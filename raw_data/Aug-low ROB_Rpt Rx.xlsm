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August 2017 analyses\Aug_LOW ROB\Aug_Low RoB_outc 2\"/>
    </mc:Choice>
  </mc:AlternateContent>
  <bookViews>
    <workbookView xWindow="0" yWindow="0" windowWidth="28800" windowHeight="12435" tabRatio="663" firstSheet="1" activeTab="6"/>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state="hidden"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A31" i="38" s="1"/>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27" i="20"/>
  <c r="K27" i="20"/>
  <c r="L9" i="20"/>
  <c r="K9" i="20"/>
  <c r="L28" i="20"/>
  <c r="K28" i="20"/>
  <c r="L46" i="20"/>
  <c r="K46" i="20"/>
  <c r="L44" i="20"/>
  <c r="K44" i="20"/>
  <c r="L45" i="20"/>
  <c r="K45" i="20"/>
  <c r="L19" i="20"/>
  <c r="K19" i="20"/>
  <c r="L17" i="20"/>
  <c r="K17" i="20"/>
  <c r="L10" i="20"/>
  <c r="K10" i="20"/>
  <c r="L21" i="20"/>
  <c r="K21" i="20"/>
  <c r="L25" i="20"/>
  <c r="K25" i="20"/>
  <c r="L42" i="20"/>
  <c r="K42" i="20"/>
  <c r="L30" i="20"/>
  <c r="K30" i="20"/>
  <c r="L39" i="20"/>
  <c r="K39" i="20"/>
  <c r="L18" i="20"/>
  <c r="K18" i="20"/>
  <c r="L6" i="20"/>
  <c r="K6" i="20"/>
  <c r="L47" i="20"/>
  <c r="K47" i="20"/>
  <c r="L48" i="20"/>
  <c r="K48" i="20"/>
  <c r="L33" i="20"/>
  <c r="K33" i="20"/>
  <c r="L35" i="20"/>
  <c r="K35" i="20"/>
  <c r="L22" i="20"/>
  <c r="K22" i="20"/>
  <c r="L31" i="20"/>
  <c r="K31" i="20"/>
  <c r="L24" i="20"/>
  <c r="K24" i="20"/>
  <c r="L20" i="20"/>
  <c r="K20" i="20"/>
  <c r="L36" i="20"/>
  <c r="K36" i="20"/>
  <c r="L32" i="20"/>
  <c r="K32" i="20"/>
  <c r="L15" i="20"/>
  <c r="K15" i="20"/>
  <c r="L11" i="20"/>
  <c r="K11" i="20"/>
  <c r="L14" i="20"/>
  <c r="K14" i="20"/>
  <c r="L41" i="20"/>
  <c r="K41" i="20"/>
  <c r="L23" i="20"/>
  <c r="K23" i="20"/>
  <c r="L13" i="20"/>
  <c r="K13" i="20"/>
  <c r="L40" i="20"/>
  <c r="K40" i="20"/>
  <c r="L34" i="20"/>
  <c r="K34" i="20"/>
  <c r="L12" i="20"/>
  <c r="K12" i="20"/>
  <c r="L43" i="20"/>
  <c r="K43" i="20"/>
  <c r="L8" i="20"/>
  <c r="K8" i="20"/>
  <c r="L16" i="20"/>
  <c r="K16" i="20"/>
  <c r="L7" i="20"/>
  <c r="K7" i="20"/>
  <c r="L38" i="20"/>
  <c r="K38" i="20"/>
  <c r="L5" i="20"/>
  <c r="K5" i="20"/>
  <c r="L37" i="20"/>
  <c r="K37" i="20"/>
  <c r="L29" i="20"/>
  <c r="K29" i="20"/>
  <c r="L26" i="20"/>
  <c r="K26"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Z4" i="41" s="1"/>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49" i="27"/>
  <c r="K49" i="27"/>
  <c r="L26" i="27"/>
  <c r="K26" i="27"/>
  <c r="L36" i="27"/>
  <c r="K36" i="27"/>
  <c r="L20" i="27"/>
  <c r="K20" i="27"/>
  <c r="L8" i="27"/>
  <c r="K8" i="27"/>
  <c r="L18" i="27"/>
  <c r="K18" i="27"/>
  <c r="L29" i="27"/>
  <c r="K29" i="27"/>
  <c r="L42" i="27"/>
  <c r="K42" i="27"/>
  <c r="L46" i="27"/>
  <c r="K46" i="27"/>
  <c r="L34" i="27"/>
  <c r="K34" i="27"/>
  <c r="L38" i="27"/>
  <c r="K38" i="27"/>
  <c r="L16" i="27"/>
  <c r="K16" i="27"/>
  <c r="L41" i="27"/>
  <c r="K41" i="27"/>
  <c r="L25" i="27"/>
  <c r="K25" i="27"/>
  <c r="L22" i="27"/>
  <c r="K22" i="27"/>
  <c r="L13" i="27"/>
  <c r="K13" i="27"/>
  <c r="L14" i="27"/>
  <c r="K14" i="27"/>
  <c r="L32" i="27"/>
  <c r="K32" i="27"/>
  <c r="L21" i="27"/>
  <c r="K21" i="27"/>
  <c r="L12" i="27"/>
  <c r="K12" i="27"/>
  <c r="L43" i="27"/>
  <c r="K43" i="27"/>
  <c r="L23" i="27"/>
  <c r="K23" i="27"/>
  <c r="L11" i="27"/>
  <c r="K11" i="27"/>
  <c r="L47" i="27"/>
  <c r="K47" i="27"/>
  <c r="L6" i="27"/>
  <c r="K6" i="27"/>
  <c r="L5" i="27"/>
  <c r="K5" i="27"/>
  <c r="L17" i="27"/>
  <c r="K17" i="27"/>
  <c r="L24" i="27"/>
  <c r="K24" i="27"/>
  <c r="L39" i="27"/>
  <c r="K39" i="27"/>
  <c r="L45" i="27"/>
  <c r="K45" i="27"/>
  <c r="L7" i="27"/>
  <c r="K7" i="27"/>
  <c r="L40" i="27"/>
  <c r="K40" i="27"/>
  <c r="L37" i="27"/>
  <c r="K37" i="27"/>
  <c r="L28" i="27"/>
  <c r="K28" i="27"/>
  <c r="L15" i="27"/>
  <c r="K15" i="27"/>
  <c r="L9" i="27"/>
  <c r="K9" i="27"/>
  <c r="L27" i="27"/>
  <c r="K27" i="27"/>
  <c r="L19" i="27"/>
  <c r="K19" i="27"/>
  <c r="L33" i="27"/>
  <c r="K33" i="27"/>
  <c r="L44" i="27"/>
  <c r="K44" i="27"/>
  <c r="L31" i="27"/>
  <c r="K31" i="27"/>
  <c r="L35" i="27"/>
  <c r="K35" i="27"/>
  <c r="L10" i="27"/>
  <c r="K10" i="27"/>
  <c r="L30" i="27"/>
  <c r="K30" i="27"/>
  <c r="L48" i="27"/>
  <c r="K48"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Z5" i="41" s="1"/>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Z3" i="44" s="1"/>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4" i="44"/>
  <c r="Y2" i="44"/>
  <c r="Q83" i="46"/>
  <c r="S83" i="46"/>
  <c r="T83" i="46"/>
  <c r="U83" i="46"/>
  <c r="Q85" i="46"/>
  <c r="S85" i="46"/>
  <c r="T85" i="46"/>
  <c r="U85" i="46"/>
  <c r="Q92" i="46"/>
  <c r="S92" i="46"/>
  <c r="T92" i="46"/>
  <c r="U92" i="46"/>
  <c r="Q80" i="46"/>
  <c r="S80" i="46"/>
  <c r="T80" i="46"/>
  <c r="U80" i="46"/>
  <c r="Q88" i="46"/>
  <c r="S88" i="46"/>
  <c r="T88" i="46"/>
  <c r="U88" i="46"/>
  <c r="Q95" i="46"/>
  <c r="S95" i="46"/>
  <c r="T95" i="46"/>
  <c r="U95" i="46"/>
  <c r="Q97" i="46"/>
  <c r="S97" i="46"/>
  <c r="T97" i="46"/>
  <c r="U97" i="46"/>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1" i="46"/>
  <c r="S81" i="46"/>
  <c r="T81" i="46"/>
  <c r="U81" i="46"/>
  <c r="Q82" i="46"/>
  <c r="S82" i="46"/>
  <c r="T82" i="46"/>
  <c r="U82" i="46"/>
  <c r="Q84" i="46"/>
  <c r="S84" i="46"/>
  <c r="T84" i="46"/>
  <c r="U84" i="46"/>
  <c r="Q86" i="46"/>
  <c r="S86" i="46"/>
  <c r="T86" i="46"/>
  <c r="U86" i="46"/>
  <c r="Q87" i="46"/>
  <c r="S87" i="46"/>
  <c r="T87" i="46"/>
  <c r="U87" i="46"/>
  <c r="Q89" i="46"/>
  <c r="S89" i="46"/>
  <c r="T89" i="46"/>
  <c r="U89" i="46"/>
  <c r="Q90" i="46"/>
  <c r="S90" i="46"/>
  <c r="T90" i="46"/>
  <c r="U90" i="46"/>
  <c r="Q91" i="46"/>
  <c r="S91" i="46"/>
  <c r="T91" i="46"/>
  <c r="U91" i="46"/>
  <c r="Q93" i="46"/>
  <c r="S93" i="46"/>
  <c r="T93" i="46"/>
  <c r="U93" i="46"/>
  <c r="Q94" i="46"/>
  <c r="S94" i="46"/>
  <c r="T94" i="46"/>
  <c r="U94" i="46"/>
  <c r="Q96" i="46"/>
  <c r="S96" i="46"/>
  <c r="T96" i="46"/>
  <c r="U96"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24" i="48"/>
  <c r="J28" i="48"/>
  <c r="I30" i="48"/>
  <c r="I36" i="48"/>
  <c r="E17" i="48"/>
  <c r="E15" i="48"/>
  <c r="I38" i="48"/>
  <c r="I25" i="48"/>
  <c r="J29" i="48"/>
  <c r="I35" i="48"/>
  <c r="J31" i="48"/>
  <c r="I27" i="48"/>
  <c r="J27" i="48"/>
  <c r="J34" i="48"/>
  <c r="J32" i="48"/>
  <c r="I34" i="48"/>
  <c r="J30" i="48"/>
  <c r="J38" i="48"/>
  <c r="I32" i="48"/>
  <c r="J33" i="48"/>
  <c r="J26" i="48"/>
  <c r="I26" i="48"/>
  <c r="I24" i="48"/>
  <c r="J35" i="48"/>
  <c r="I28" i="48"/>
  <c r="I31" i="48"/>
  <c r="I29" i="48"/>
  <c r="J25" i="48"/>
  <c r="J37" i="48"/>
  <c r="I33" i="48"/>
  <c r="I37" i="48"/>
  <c r="J36" i="48"/>
  <c r="E8" i="48"/>
  <c r="E16" i="48"/>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 r="J134" i="40"/>
  <c r="J147" i="40"/>
  <c r="J120" i="40"/>
  <c r="J144" i="40"/>
  <c r="J121" i="40"/>
  <c r="K128" i="40"/>
  <c r="K116" i="40"/>
  <c r="I115" i="40"/>
  <c r="J116" i="40"/>
  <c r="I144" i="40"/>
  <c r="I131" i="40"/>
  <c r="J132" i="40"/>
  <c r="J112" i="40"/>
  <c r="J125" i="40"/>
  <c r="J150" i="40"/>
  <c r="J111" i="40"/>
  <c r="J114" i="40"/>
  <c r="K127" i="40"/>
  <c r="K135" i="40"/>
  <c r="I114" i="40"/>
  <c r="J115" i="40"/>
  <c r="J149" i="40"/>
  <c r="J139" i="40"/>
  <c r="I122" i="40"/>
  <c r="J130" i="40"/>
  <c r="I149" i="40"/>
  <c r="I127" i="40"/>
  <c r="K145" i="40"/>
  <c r="J148" i="40"/>
  <c r="I128" i="40"/>
  <c r="K18" i="40"/>
  <c r="J64" i="40"/>
  <c r="J9" i="40"/>
  <c r="K89" i="40"/>
  <c r="J47" i="40"/>
  <c r="J109" i="40"/>
  <c r="I49" i="40"/>
  <c r="I73" i="40"/>
  <c r="I27" i="40"/>
  <c r="J36" i="40"/>
  <c r="I20" i="40"/>
  <c r="J22" i="40"/>
  <c r="K91" i="40"/>
  <c r="I53" i="40"/>
  <c r="I92" i="40"/>
  <c r="K56" i="40"/>
  <c r="I57" i="40"/>
  <c r="K14" i="40"/>
  <c r="J107" i="40"/>
  <c r="K60" i="40"/>
  <c r="J73" i="40"/>
  <c r="K24" i="40"/>
  <c r="I66" i="40"/>
  <c r="I35" i="40"/>
  <c r="J87" i="40"/>
  <c r="I90" i="40"/>
  <c r="J14" i="40"/>
  <c r="I29" i="40"/>
  <c r="I68" i="40"/>
  <c r="J49" i="40"/>
  <c r="J29" i="40"/>
  <c r="K45" i="40"/>
  <c r="K48" i="40"/>
  <c r="K99" i="40"/>
  <c r="J68" i="40"/>
  <c r="J100" i="40"/>
  <c r="I18" i="40"/>
  <c r="K87" i="40"/>
  <c r="K52" i="40"/>
  <c r="K83" i="40"/>
  <c r="J102" i="40"/>
  <c r="J80" i="40"/>
  <c r="I51" i="40"/>
  <c r="K76" i="40"/>
  <c r="J63" i="40"/>
  <c r="K69" i="40"/>
  <c r="K29" i="40"/>
  <c r="J85" i="40"/>
  <c r="J93" i="40"/>
  <c r="K44" i="40"/>
  <c r="K8" i="40"/>
  <c r="J78" i="40"/>
  <c r="K32" i="40"/>
  <c r="J34" i="40"/>
  <c r="I14" i="40"/>
  <c r="K33" i="40"/>
  <c r="J74" i="40"/>
  <c r="I48" i="40"/>
  <c r="K78" i="40"/>
  <c r="J10" i="40"/>
  <c r="K109" i="40"/>
  <c r="K64" i="40"/>
  <c r="I16" i="40"/>
  <c r="K53" i="40"/>
  <c r="I59" i="40"/>
  <c r="K105" i="40"/>
  <c r="K66" i="40"/>
  <c r="J7" i="40"/>
  <c r="J18" i="40"/>
  <c r="K36" i="40"/>
  <c r="J50" i="40"/>
  <c r="I101" i="40"/>
  <c r="J40" i="40"/>
  <c r="K107" i="40"/>
  <c r="I44" i="40"/>
  <c r="J101" i="40"/>
  <c r="I41" i="40"/>
  <c r="K104" i="40"/>
  <c r="K23" i="40"/>
  <c r="I46" i="40"/>
  <c r="K149" i="40"/>
  <c r="J118" i="40"/>
  <c r="K119" i="40"/>
  <c r="I118" i="40"/>
  <c r="K121" i="40"/>
  <c r="J126" i="40"/>
  <c r="K113" i="40"/>
  <c r="J138" i="40"/>
  <c r="I135" i="40"/>
  <c r="J113" i="40"/>
  <c r="K125" i="40"/>
  <c r="I124" i="40"/>
  <c r="I133" i="40"/>
  <c r="I121" i="40"/>
  <c r="K133" i="40"/>
  <c r="I138" i="40"/>
  <c r="I136" i="40"/>
  <c r="J129" i="40"/>
  <c r="J137" i="40"/>
  <c r="K132" i="40"/>
  <c r="I137" i="40"/>
  <c r="I130" i="40"/>
  <c r="I119" i="40"/>
  <c r="K120" i="40"/>
  <c r="J124" i="40"/>
  <c r="K117" i="40"/>
  <c r="K144" i="40"/>
  <c r="K143" i="40"/>
  <c r="I113" i="40"/>
  <c r="K130" i="40"/>
  <c r="I33" i="40"/>
  <c r="I32" i="40"/>
  <c r="J60" i="40"/>
  <c r="I96" i="40"/>
  <c r="I25" i="40"/>
  <c r="I102" i="40"/>
  <c r="K84" i="40"/>
  <c r="K103" i="40"/>
  <c r="J51" i="40"/>
  <c r="I43" i="40"/>
  <c r="J38" i="40"/>
  <c r="K37" i="40"/>
  <c r="J32" i="40"/>
  <c r="K72" i="40"/>
  <c r="J12" i="40"/>
  <c r="K40" i="40"/>
  <c r="I15" i="40"/>
  <c r="K80" i="40"/>
  <c r="K100" i="40"/>
  <c r="K81" i="40"/>
  <c r="I87" i="40"/>
  <c r="J58" i="40"/>
  <c r="K96" i="40"/>
  <c r="J41" i="40"/>
  <c r="I7" i="40"/>
  <c r="J44" i="40"/>
  <c r="J24" i="40"/>
  <c r="K19" i="40"/>
  <c r="I24" i="40"/>
  <c r="K90" i="40"/>
  <c r="J5" i="40"/>
  <c r="K63" i="40"/>
  <c r="J104" i="40"/>
  <c r="J62" i="40"/>
  <c r="J8" i="40"/>
  <c r="K85" i="40"/>
  <c r="J45" i="40"/>
  <c r="K73" i="40"/>
  <c r="J30" i="40"/>
  <c r="J57" i="40"/>
  <c r="I60" i="40"/>
  <c r="K27" i="40"/>
  <c r="I6" i="40"/>
  <c r="J83" i="40"/>
  <c r="I42" i="40"/>
  <c r="J48" i="40"/>
  <c r="J72" i="40"/>
  <c r="J69" i="40"/>
  <c r="J43" i="40"/>
  <c r="K10" i="40"/>
  <c r="K17" i="40"/>
  <c r="I108" i="40"/>
  <c r="K11" i="40"/>
  <c r="I54" i="40"/>
  <c r="J81" i="40"/>
  <c r="K42" i="40"/>
  <c r="I31" i="40"/>
  <c r="I26" i="40"/>
  <c r="K71" i="40"/>
  <c r="J127" i="40"/>
  <c r="K123" i="40"/>
  <c r="K147" i="40"/>
  <c r="I116" i="40"/>
  <c r="I147" i="40"/>
  <c r="J135" i="40"/>
  <c r="J136" i="40"/>
  <c r="J123" i="40"/>
  <c r="K141" i="40"/>
  <c r="K138" i="40"/>
  <c r="I117" i="40"/>
  <c r="J145" i="40"/>
  <c r="J122" i="40"/>
  <c r="I120" i="40"/>
  <c r="K129" i="40"/>
  <c r="J140" i="40"/>
  <c r="K115" i="40"/>
  <c r="I111" i="40"/>
  <c r="I141" i="40"/>
  <c r="I52" i="40"/>
  <c r="I67" i="40"/>
  <c r="K94" i="40"/>
  <c r="J88" i="40"/>
  <c r="I8" i="40"/>
  <c r="J96" i="40"/>
  <c r="J54" i="40"/>
  <c r="K62" i="40"/>
  <c r="K39" i="40"/>
  <c r="I5" i="40"/>
  <c r="J26" i="40"/>
  <c r="I103" i="40"/>
  <c r="K7" i="40"/>
  <c r="K106" i="40"/>
  <c r="I62" i="40"/>
  <c r="K86" i="40"/>
  <c r="J77" i="40"/>
  <c r="J108" i="40"/>
  <c r="J17" i="40"/>
  <c r="J21" i="40"/>
  <c r="I81" i="40"/>
  <c r="K57" i="40"/>
  <c r="I98" i="40"/>
  <c r="K5" i="40"/>
  <c r="K43" i="40"/>
  <c r="I104" i="40"/>
  <c r="J59" i="40"/>
  <c r="I19" i="40"/>
  <c r="J39" i="40"/>
  <c r="K122" i="40"/>
  <c r="J142" i="40"/>
  <c r="K124" i="40"/>
  <c r="I126" i="40"/>
  <c r="I132" i="40"/>
  <c r="K131" i="40"/>
  <c r="K126" i="40"/>
  <c r="K148" i="40"/>
  <c r="J128" i="40"/>
  <c r="K118" i="40"/>
  <c r="K139" i="40"/>
  <c r="I150" i="40"/>
  <c r="I142" i="40"/>
  <c r="I134" i="40"/>
  <c r="J119" i="40"/>
  <c r="J117" i="40"/>
  <c r="K112" i="40"/>
  <c r="K142" i="40"/>
  <c r="K146" i="40"/>
  <c r="K136" i="40"/>
  <c r="J110" i="40"/>
  <c r="K6" i="40"/>
  <c r="K16" i="40"/>
  <c r="I36" i="40"/>
  <c r="J99" i="40"/>
  <c r="I58" i="40"/>
  <c r="J27" i="40"/>
  <c r="J16" i="40"/>
  <c r="K101" i="40"/>
  <c r="J23" i="40"/>
  <c r="J6" i="40"/>
  <c r="J82" i="40"/>
  <c r="I21" i="40"/>
  <c r="J71" i="40"/>
  <c r="I76" i="40"/>
  <c r="I83" i="40"/>
  <c r="I75" i="40"/>
  <c r="J28" i="40"/>
  <c r="J95" i="40"/>
  <c r="J33" i="40"/>
  <c r="I64" i="40"/>
  <c r="I11" i="40"/>
  <c r="K92" i="40"/>
  <c r="K102" i="40"/>
  <c r="J42" i="40"/>
  <c r="K75" i="40"/>
  <c r="I9" i="40"/>
  <c r="J86" i="40"/>
  <c r="I85" i="40"/>
  <c r="K88" i="40"/>
  <c r="I69" i="40"/>
  <c r="K70" i="40"/>
  <c r="I30" i="40"/>
  <c r="J84" i="40"/>
  <c r="I12" i="40"/>
  <c r="K82" i="40"/>
  <c r="J19" i="40"/>
  <c r="I45" i="40"/>
  <c r="I125" i="40"/>
  <c r="I143" i="40"/>
  <c r="K140" i="40"/>
  <c r="J133" i="40"/>
  <c r="I139" i="40"/>
  <c r="K114" i="40"/>
  <c r="I123" i="40"/>
  <c r="I148" i="40"/>
  <c r="K111" i="40"/>
  <c r="I145" i="40"/>
  <c r="K134" i="40"/>
  <c r="J143" i="40"/>
  <c r="J146" i="40"/>
  <c r="K137" i="40"/>
  <c r="J131" i="40"/>
  <c r="I112" i="40"/>
  <c r="I129" i="40"/>
  <c r="I146" i="40"/>
  <c r="J141" i="40"/>
  <c r="K150" i="40"/>
  <c r="J66" i="40"/>
  <c r="I37" i="40"/>
  <c r="I70" i="40"/>
  <c r="K110" i="40"/>
  <c r="J56" i="40"/>
  <c r="K31" i="40"/>
  <c r="K49" i="40"/>
  <c r="I88" i="40"/>
  <c r="K22" i="40"/>
  <c r="I71" i="40"/>
  <c r="K74" i="40"/>
  <c r="K58" i="40"/>
  <c r="I78" i="40"/>
  <c r="K54" i="40"/>
  <c r="K77" i="40"/>
  <c r="K30" i="40"/>
  <c r="J37" i="40"/>
  <c r="I23" i="40"/>
  <c r="I61" i="40"/>
  <c r="K67" i="40"/>
  <c r="K35" i="40"/>
  <c r="J65" i="40"/>
  <c r="J67" i="40"/>
  <c r="I77" i="40"/>
  <c r="J20" i="40"/>
  <c r="J79" i="40"/>
  <c r="I93" i="40"/>
  <c r="K25" i="40"/>
  <c r="K61" i="40"/>
  <c r="I56" i="40"/>
  <c r="J76" i="40"/>
  <c r="I40" i="40"/>
  <c r="K20" i="40"/>
  <c r="J89" i="40"/>
  <c r="K28" i="40"/>
  <c r="K50" i="40"/>
  <c r="I10" i="40"/>
  <c r="K41" i="40"/>
  <c r="J15" i="40"/>
  <c r="I109" i="40"/>
  <c r="K59" i="40"/>
  <c r="I47" i="40"/>
  <c r="J98" i="40"/>
  <c r="I80" i="40"/>
  <c r="J52" i="40"/>
  <c r="K38" i="40"/>
  <c r="I34" i="40"/>
  <c r="I65" i="40"/>
  <c r="I72" i="40"/>
  <c r="I28" i="40"/>
  <c r="I100" i="40"/>
  <c r="I22" i="40"/>
  <c r="J92" i="40"/>
  <c r="K55" i="40"/>
  <c r="K98" i="40"/>
  <c r="I86" i="40"/>
  <c r="I50" i="40"/>
  <c r="J35" i="40"/>
  <c r="J90" i="40"/>
  <c r="I13" i="40"/>
  <c r="I140" i="40"/>
  <c r="K34" i="40"/>
  <c r="J25" i="40"/>
  <c r="I97" i="40"/>
  <c r="I91" i="40"/>
  <c r="J13" i="40"/>
  <c r="K21" i="40"/>
  <c r="K12" i="40"/>
  <c r="K108" i="40"/>
  <c r="K95" i="40"/>
  <c r="J11" i="40"/>
  <c r="J97" i="40"/>
  <c r="K51" i="40"/>
  <c r="I74" i="40"/>
  <c r="I94" i="40"/>
  <c r="I107" i="40"/>
  <c r="J46" i="40"/>
  <c r="J75" i="40"/>
  <c r="I38" i="40"/>
  <c r="K13" i="40"/>
  <c r="J105" i="40"/>
  <c r="I39" i="40"/>
  <c r="J53" i="40"/>
  <c r="K26" i="40"/>
  <c r="I55" i="40"/>
  <c r="I95" i="40"/>
  <c r="K15" i="40"/>
  <c r="I79" i="40"/>
  <c r="I82" i="40"/>
  <c r="J103" i="40"/>
  <c r="I99" i="40"/>
  <c r="J31" i="40"/>
  <c r="I110" i="40"/>
  <c r="I105" i="40"/>
  <c r="I89" i="40"/>
  <c r="I63" i="40"/>
  <c r="K47" i="40"/>
  <c r="J70" i="40"/>
  <c r="I106" i="40"/>
  <c r="K68" i="40"/>
  <c r="I84" i="40"/>
  <c r="J55" i="40"/>
  <c r="K46" i="40"/>
  <c r="J106" i="40"/>
  <c r="I17" i="40"/>
  <c r="K65" i="40"/>
  <c r="J61" i="40"/>
  <c r="J91" i="40"/>
  <c r="K9" i="40"/>
  <c r="K97" i="40"/>
  <c r="K79" i="40"/>
  <c r="K93" i="40"/>
  <c r="J94" i="40"/>
  <c r="A45" i="6" l="1"/>
  <c r="Z5" i="44"/>
  <c r="A31" i="37"/>
  <c r="A46" i="4"/>
  <c r="A30" i="38"/>
  <c r="A32" i="37"/>
  <c r="A45" i="4"/>
  <c r="A46" i="6"/>
</calcChain>
</file>

<file path=xl/sharedStrings.xml><?xml version="1.0" encoding="utf-8"?>
<sst xmlns="http://schemas.openxmlformats.org/spreadsheetml/2006/main" count="2614" uniqueCount="799">
  <si>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</si>
  <si>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</si>
  <si>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</si>
  <si>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</si>
  <si>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</si>
  <si>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</si>
  <si>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</si>
  <si>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</si>
  <si>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</si>
  <si>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</si>
  <si>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</si>
  <si>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</si>
  <si>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</si>
  <si>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</si>
  <si>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</si>
  <si>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</si>
  <si>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</si>
  <si>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</si>
  <si>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</si>
  <si>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</si>
  <si>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</si>
  <si>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</si>
  <si>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</si>
  <si>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</si>
  <si>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</si>
  <si>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</si>
  <si>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</si>
  <si>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</si>
  <si>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</si>
  <si>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</si>
  <si>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</si>
  <si>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</si>
  <si>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</si>
  <si>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</si>
  <si>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</si>
  <si>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</si>
  <si>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</si>
  <si>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</si>
  <si>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</si>
  <si>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</si>
  <si>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</si>
  <si>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</si>
  <si>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</si>
  <si>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</si>
  <si>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</si>
  <si>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</si>
  <si>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</si>
  <si>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</si>
  <si>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</si>
  <si>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</si>
  <si>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</si>
  <si>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</si>
  <si>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</si>
  <si>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</si>
  <si>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</si>
  <si>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</si>
  <si>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</si>
  <si>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</si>
  <si>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</si>
  <si>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</si>
  <si>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</si>
  <si>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</si>
  <si>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</si>
  <si>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</si>
  <si>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</si>
  <si>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</si>
  <si>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</si>
  <si>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</si>
  <si>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</si>
  <si>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</si>
  <si>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</si>
  <si>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</si>
  <si>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</si>
  <si>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</si>
  <si>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</si>
  <si>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</si>
  <si>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</si>
  <si>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</si>
  <si>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</si>
  <si>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</si>
  <si>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</si>
  <si>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</si>
  <si>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</si>
  <si>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</si>
  <si>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</si>
  <si>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</si>
  <si>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</si>
  <si>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</si>
  <si>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</si>
  <si>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</si>
  <si>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</si>
  <si>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</si>
  <si>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</si>
  <si>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</si>
  <si>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</si>
  <si>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</si>
  <si>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</si>
  <si>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</si>
  <si>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</si>
  <si>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</si>
  <si>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</si>
  <si>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</si>
  <si>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</si>
  <si>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</si>
  <si>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</si>
  <si>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</si>
  <si>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</si>
  <si>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</si>
  <si>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</si>
  <si>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</si>
  <si>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</si>
  <si>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</si>
  <si>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</si>
  <si>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</si>
  <si>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</si>
  <si>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</si>
  <si>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</si>
  <si>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</si>
  <si>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</si>
  <si>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</si>
  <si>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</si>
  <si>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</si>
  <si>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</si>
  <si>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</si>
  <si>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</si>
  <si>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</si>
  <si>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</si>
  <si>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</si>
  <si>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</si>
  <si>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</si>
  <si>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</si>
  <si>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</si>
  <si>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</si>
  <si>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</si>
  <si>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</si>
  <si>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</si>
  <si>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</si>
  <si>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</si>
  <si>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</si>
  <si>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</si>
  <si>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</si>
  <si>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</si>
  <si>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</si>
  <si>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</si>
  <si>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</si>
  <si>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</si>
  <si>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</si>
  <si>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</si>
  <si>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</si>
  <si>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</si>
  <si>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</si>
  <si>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</si>
  <si>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</si>
  <si>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</si>
  <si>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</si>
  <si>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</si>
  <si>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</si>
  <si>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</si>
  <si>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</si>
  <si>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</si>
  <si>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</si>
  <si>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</si>
  <si>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</si>
  <si>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</si>
  <si>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</si>
  <si>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</si>
  <si>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</si>
  <si>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</si>
  <si>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</si>
  <si>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</si>
  <si>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</si>
  <si>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</si>
  <si>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</si>
  <si>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</si>
  <si>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</si>
  <si>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</si>
  <si>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</si>
  <si>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</si>
  <si>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</si>
  <si>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</si>
  <si>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</si>
  <si>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</si>
  <si>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</si>
  <si>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</si>
  <si>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</si>
  <si>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</si>
  <si>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</si>
  <si>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</si>
  <si>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</si>
  <si>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</si>
  <si>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</si>
  <si>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</si>
  <si>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</si>
  <si>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</si>
  <si>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</si>
  <si>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</si>
  <si>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</si>
  <si>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</si>
  <si>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</si>
  <si>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</si>
  <si>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</si>
  <si>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</si>
  <si>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</si>
  <si>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</si>
  <si>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</si>
  <si>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</si>
  <si>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</si>
  <si>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</si>
  <si>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</si>
  <si>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</si>
  <si>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</si>
  <si>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</si>
  <si>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</si>
  <si>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</si>
  <si>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</si>
  <si>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</si>
  <si>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</si>
  <si>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</si>
  <si>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</si>
  <si>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</si>
  <si>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</si>
  <si>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</si>
  <si>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</si>
  <si>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</si>
  <si>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</si>
  <si>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</si>
  <si>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</si>
  <si>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</si>
  <si>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</si>
  <si>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</si>
  <si>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</si>
  <si>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</si>
  <si>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</si>
  <si>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</si>
  <si>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</si>
  <si>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</si>
  <si>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</si>
  <si>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</si>
  <si>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</si>
  <si>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</si>
  <si>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</si>
  <si>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</si>
  <si>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</si>
  <si>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</si>
  <si>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</si>
  <si>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</si>
  <si>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</si>
  <si>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</si>
  <si>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</si>
  <si>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</si>
  <si>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</si>
  <si>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</si>
  <si>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</si>
  <si>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</si>
  <si>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</si>
  <si>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</si>
  <si>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</si>
  <si>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</si>
  <si>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</si>
  <si>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</si>
  <si>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</si>
  <si>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</si>
  <si>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</si>
  <si>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</si>
  <si>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</si>
  <si>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</si>
  <si>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</si>
  <si>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</si>
  <si>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</si>
  <si>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</si>
  <si>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</si>
  <si>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</si>
  <si>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</si>
  <si>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</si>
  <si>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</si>
  <si>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</si>
  <si>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</si>
  <si>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</si>
  <si>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</si>
  <si>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</si>
  <si>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</si>
  <si>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</si>
  <si>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</si>
  <si>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</si>
  <si>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</si>
  <si>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</si>
  <si>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</si>
  <si>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</si>
  <si>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</si>
  <si>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</si>
  <si>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</si>
  <si>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</si>
  <si>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</si>
  <si>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</si>
  <si>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</si>
  <si>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</si>
  <si>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</si>
  <si>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</si>
  <si>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</si>
  <si>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</si>
  <si>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</si>
  <si>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</si>
  <si>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</si>
  <si>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</si>
  <si>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</si>
  <si>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</si>
  <si>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</si>
  <si>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</si>
  <si>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</si>
  <si>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</si>
  <si>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</si>
  <si>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</si>
  <si>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</si>
  <si>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</si>
  <si>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</si>
  <si>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</si>
  <si>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</si>
  <si>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</si>
  <si>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</si>
  <si>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</si>
  <si>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</si>
  <si>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</si>
  <si>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</si>
  <si>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</si>
  <si>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</si>
  <si>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</si>
  <si>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</si>
  <si>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</si>
  <si>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</si>
  <si>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</si>
  <si>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</si>
  <si>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</si>
  <si>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</si>
  <si>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</si>
  <si>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</si>
  <si>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</si>
  <si>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</si>
  <si>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</si>
  <si>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</si>
  <si>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</si>
  <si>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</si>
  <si>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</si>
  <si>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</si>
  <si>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</si>
  <si>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</si>
  <si>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</si>
  <si>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</si>
  <si>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</si>
  <si>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</si>
  <si>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</si>
  <si>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</si>
  <si>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</si>
  <si>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</si>
  <si>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</si>
  <si>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</si>
  <si>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</si>
  <si>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</si>
  <si>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INDOIVCONT</t>
  </si>
  <si>
    <t>INDOTHERS</t>
  </si>
  <si>
    <t>PLAC_NORX</t>
  </si>
  <si>
    <t>r[,6]</t>
  </si>
  <si>
    <t>n[,6]</t>
  </si>
  <si>
    <t>r[,7]</t>
  </si>
  <si>
    <t>n[,7]</t>
  </si>
  <si>
    <t>r[,8]</t>
  </si>
  <si>
    <t>n[,8]</t>
  </si>
  <si>
    <t>r[,9]</t>
  </si>
  <si>
    <t>n[,9]</t>
  </si>
  <si>
    <t>t[,6]</t>
  </si>
  <si>
    <t>t[,7]</t>
  </si>
  <si>
    <t>t[,8]</t>
  </si>
  <si>
    <t>t[,9]</t>
  </si>
  <si>
    <t>NA</t>
  </si>
  <si>
    <t>END</t>
  </si>
  <si>
    <t>INDOIV vs. IBUPO</t>
  </si>
  <si>
    <t>IBUPO vs. PARAPO</t>
  </si>
  <si>
    <t>IBUIV vs. IBUPO</t>
  </si>
  <si>
    <t>IBUIV vs. IBUIVHIGHDOSE</t>
  </si>
  <si>
    <t>INDOIV vs. IBUIV</t>
  </si>
  <si>
    <t>IBUPO vs. IBUPOHIGHDOSE</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</si>
  <si>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</si>
  <si>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</si>
  <si>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</si>
  <si>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IBUIV vs. INDOTHERS</t>
  </si>
  <si>
    <t>PARAPO vs. IBUPOHIGHDOSE</t>
  </si>
  <si>
    <t>Random Effects (Vague) Rankogram</t>
  </si>
  <si>
    <t>OR &lt;1 Means the Treatment in Top Left is Better</t>
  </si>
  <si>
    <t>list(NS=21, NT=9)</t>
  </si>
  <si>
    <t>list(d=c(NA,1.5,0.5,0,1.5,1.5,2,2,2), sd=1, mu=c(1.5,1.5,2,1.5,1,1.5,0,0.5,1,2,0.5,1,0.5,0.5,1,1.5,2,1,1.5,0,1))</t>
  </si>
  <si>
    <t>list(d=c(NA,1,0.5,1.5,0,1.5,1.5,0.5,1.5), sd=1.5, mu=c(0.5,1.5,2,2,0,0,0,0,0.5,1,0.5,1,1.5,1,2,1,1.5,0,2,1,1.5))</t>
  </si>
  <si>
    <t>list(d=c(NA,1,1.5,1.5,1,0.5,0,1,1.5), sd=1.5, mu=c(0.5,1,0.5,0.5,2,1,1.5,0.5,2,0.5,1.5,1.5,0.5,0,0.5,0.5,1.5,1,1.5,2,1))</t>
  </si>
  <si>
    <t>list(d=c(NA,1,1,0.5,1,0.5,1.5,2,1.5), var=1, mu=c(1.5,0,0.5,1.5,0,1,1.5,0,1,0.5,0.5,1,1.5,0.5,0.5,0.5,0.5,0.5,1.5,1,1))</t>
  </si>
  <si>
    <t>list(d=c(NA,1,0.5,2,0.5,1,1,1.5,2), var=1.5, mu=c(0,0,0,1,0.5,0.5,2,1.5,1,0,2,0.5,0.5,0,1.5,1,0,1.5,2,0,2))</t>
  </si>
  <si>
    <t>list(d=c(NA,0.5,0,0,1,0.5,0.5,1,2), var=1.5, mu=c(0.5,0.5,1,1.5,1.5,0.5,1,1,0.5,1,0,1.5,1.5,0,0.5,0.5,1,1,0.5,1.5,0))</t>
  </si>
  <si>
    <t>list(d=c(NA,2,0.5,2,0.5,1,1.5,2,1), mu=c(1,1,0.5,1.5,0.5,1,0.5,0.5,1,1.5,0,1,0,1.5,0.5,1.5,1.5,1.5,1,1.5,1.5))</t>
  </si>
  <si>
    <t>list(d=c(NA,1,1,0.5,1,1,1.5,0.5,1.5), mu=c(1,1,1,2,0.5,0.5,2,1.5,1.5,0.5,0,1,0.5,1,1,1,0,0,0.5,1.5,0.5))</t>
  </si>
  <si>
    <t>list(d=c(NA,0.5,0.5,0,2,1.5,1.5,1,0.5), mu=c(1.5,1,1,0.5,0.5,1,1,1.5,0.5,2,1.5,0,0,1,1.5,2,1.5,1,2,1,0.5))</t>
  </si>
  <si>
    <t xml:space="preserve">INDOIV vs. </t>
  </si>
  <si>
    <t>INDOIV vs. INDOTHERS</t>
  </si>
  <si>
    <t>INDOTHERS vs. PLAC_NORX</t>
  </si>
  <si>
    <t>IBUIV vs. PLAC_NORX</t>
  </si>
  <si>
    <t>IBUPO vs. INDOTHERS</t>
  </si>
  <si>
    <t>display(log)</t>
  </si>
  <si>
    <t>check(C:/WinBUGS data/Random Effect Model (Vague).txt)</t>
  </si>
  <si>
    <t>model is syntactically correct</t>
  </si>
  <si>
    <t>data(C:/WinBUGS data/Data List.txt)</t>
  </si>
  <si>
    <t>data loaded</t>
  </si>
  <si>
    <t>data(C:/WinBUGS data/Data Table.txt)</t>
  </si>
  <si>
    <t>model compiled</t>
  </si>
  <si>
    <t>inits(1,C:/WinBUGS data/Random Effect Inits (Vague)1.txt)</t>
  </si>
  <si>
    <t>this chain contains uninitialized variables</t>
  </si>
  <si>
    <t>inits(2,C:/WinBUGS data/Random Effect Inits (Vague)2.txt)</t>
  </si>
  <si>
    <t>inits(3,C:/WinBUGS data/Random Effect Inits (Vague)3.txt)</t>
  </si>
  <si>
    <t>initial values generated, model initialized</t>
  </si>
  <si>
    <t>update(10000)</t>
  </si>
  <si>
    <t>dic.set()</t>
  </si>
  <si>
    <t>set(rk)</t>
  </si>
  <si>
    <t>set(best)</t>
  </si>
  <si>
    <t>set(OR)</t>
  </si>
  <si>
    <t>set(prob)</t>
  </si>
  <si>
    <t>set(resdev)</t>
  </si>
  <si>
    <t>set(SUCRA)</t>
  </si>
  <si>
    <t>stats(*)</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</si>
  <si>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</si>
  <si>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</si>
  <si>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</si>
  <si>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</si>
  <si>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</si>
  <si>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</si>
  <si>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</si>
  <si>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</si>
  <si>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</si>
  <si>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</si>
  <si>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</si>
  <si>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</si>
  <si>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</si>
  <si>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</si>
  <si>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</si>
  <si>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</si>
  <si>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OR[2,3]</t>
  </si>
  <si>
    <t>OR[2,4]</t>
  </si>
  <si>
    <t>OR[2,5]</t>
  </si>
  <si>
    <t>OR[2,6]</t>
  </si>
  <si>
    <t>OR[2,7]</t>
  </si>
  <si>
    <t>OR[2,8]</t>
  </si>
  <si>
    <t>OR[2,9]</t>
  </si>
  <si>
    <t>OR[3,4]</t>
  </si>
  <si>
    <t>OR[3,5]</t>
  </si>
  <si>
    <t>OR[3,6]</t>
  </si>
  <si>
    <t>OR[3,7]</t>
  </si>
  <si>
    <t>OR[3,8]</t>
  </si>
  <si>
    <t>OR[3,9]</t>
  </si>
  <si>
    <t>OR[4,5]</t>
  </si>
  <si>
    <t>OR[4,6]</t>
  </si>
  <si>
    <t>OR[4,7]</t>
  </si>
  <si>
    <t>OR[4,8]</t>
  </si>
  <si>
    <t>OR[4,9]</t>
  </si>
  <si>
    <t>OR[5,6]</t>
  </si>
  <si>
    <t>OR[5,7]</t>
  </si>
  <si>
    <t>OR[5,8]</t>
  </si>
  <si>
    <t>OR[5,9]</t>
  </si>
  <si>
    <t>OR[6,7]</t>
  </si>
  <si>
    <t>OR[6,8]</t>
  </si>
  <si>
    <t>OR[6,9]</t>
  </si>
  <si>
    <t>OR[7,8]</t>
  </si>
  <si>
    <t>OR[7,9]</t>
  </si>
  <si>
    <t>OR[8,9]</t>
  </si>
  <si>
    <t>SUCRA[1]</t>
  </si>
  <si>
    <t>SUCRA[2]</t>
  </si>
  <si>
    <t>SUCRA[3]</t>
  </si>
  <si>
    <t>SUCRA[4]</t>
  </si>
  <si>
    <t>SUCRA[5]</t>
  </si>
  <si>
    <t>SUCRA[6]</t>
  </si>
  <si>
    <t>SUCRA[7]</t>
  </si>
  <si>
    <t>SUCRA[8]</t>
  </si>
  <si>
    <t>SUCRA[9]</t>
  </si>
  <si>
    <t>best[1]</t>
  </si>
  <si>
    <t>best[2]</t>
  </si>
  <si>
    <t>best[3]</t>
  </si>
  <si>
    <t>best[4]</t>
  </si>
  <si>
    <t>best[5]</t>
  </si>
  <si>
    <t>best[6]</t>
  </si>
  <si>
    <t>best[7]</t>
  </si>
  <si>
    <t>best[8]</t>
  </si>
  <si>
    <t>best[9]</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</si>
  <si>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</si>
  <si>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</si>
  <si>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</si>
  <si>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</si>
  <si>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</si>
  <si>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</si>
  <si>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</si>
  <si>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</si>
  <si>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</si>
  <si>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</si>
  <si>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</si>
  <si>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</si>
  <si>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</si>
  <si>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</si>
  <si>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</si>
  <si>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</si>
  <si>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</si>
  <si>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</si>
  <si>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</si>
  <si>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</si>
  <si>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</si>
  <si>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</si>
  <si>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</si>
  <si>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</si>
  <si>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</si>
  <si>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</si>
  <si>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</si>
  <si>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</si>
  <si>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</si>
  <si>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</si>
  <si>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</si>
  <si>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</si>
  <si>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</si>
  <si>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</si>
  <si>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</si>
  <si>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</si>
  <si>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</si>
  <si>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</si>
  <si>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</si>
  <si>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</si>
  <si>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</si>
  <si>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</si>
  <si>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prob[1,1]</t>
  </si>
  <si>
    <t>prob[1,2]</t>
  </si>
  <si>
    <t>prob[1,3]</t>
  </si>
  <si>
    <t>prob[1,4]</t>
  </si>
  <si>
    <t>prob[1,5]</t>
  </si>
  <si>
    <t>prob[1,6]</t>
  </si>
  <si>
    <t>prob[1,7]</t>
  </si>
  <si>
    <t>prob[1,8]</t>
  </si>
  <si>
    <t>prob[1,9]</t>
  </si>
  <si>
    <t>prob[2,1]</t>
  </si>
  <si>
    <t>prob[2,2]</t>
  </si>
  <si>
    <t>prob[2,3]</t>
  </si>
  <si>
    <t>prob[2,4]</t>
  </si>
  <si>
    <t>prob[2,5]</t>
  </si>
  <si>
    <t>prob[2,6]</t>
  </si>
  <si>
    <t>prob[2,7]</t>
  </si>
  <si>
    <t>prob[2,8]</t>
  </si>
  <si>
    <t>prob[2,9]</t>
  </si>
  <si>
    <t>prob[3,1]</t>
  </si>
  <si>
    <t>prob[3,2]</t>
  </si>
  <si>
    <t>prob[3,3]</t>
  </si>
  <si>
    <t>prob[3,4]</t>
  </si>
  <si>
    <t>prob[3,5]</t>
  </si>
  <si>
    <t>prob[3,6]</t>
  </si>
  <si>
    <t>prob[3,7]</t>
  </si>
  <si>
    <t>prob[3,8]</t>
  </si>
  <si>
    <t>prob[3,9]</t>
  </si>
  <si>
    <t>prob[4,1]</t>
  </si>
  <si>
    <t>prob[4,2]</t>
  </si>
  <si>
    <t>prob[4,3]</t>
  </si>
  <si>
    <t>prob[4,4]</t>
  </si>
  <si>
    <t>prob[4,5]</t>
  </si>
  <si>
    <t>prob[4,6]</t>
  </si>
  <si>
    <t>prob[4,7]</t>
  </si>
  <si>
    <t>prob[4,8]</t>
  </si>
  <si>
    <t>prob[4,9]</t>
  </si>
  <si>
    <t>prob[5,1]</t>
  </si>
  <si>
    <t>prob[5,2]</t>
  </si>
  <si>
    <t>prob[5,3]</t>
  </si>
  <si>
    <t>prob[5,4]</t>
  </si>
  <si>
    <t>prob[5,5]</t>
  </si>
  <si>
    <t>prob[5,6]</t>
  </si>
  <si>
    <t>prob[5,7]</t>
  </si>
  <si>
    <t>prob[5,8]</t>
  </si>
  <si>
    <t>prob[5,9]</t>
  </si>
  <si>
    <t>prob[6,1]</t>
  </si>
  <si>
    <t>prob[6,2]</t>
  </si>
  <si>
    <t>prob[6,3]</t>
  </si>
  <si>
    <t>prob[6,4]</t>
  </si>
  <si>
    <t>prob[6,5]</t>
  </si>
  <si>
    <t>prob[6,6]</t>
  </si>
  <si>
    <t>prob[6,7]</t>
  </si>
  <si>
    <t>prob[6,8]</t>
  </si>
  <si>
    <t>prob[6,9]</t>
  </si>
  <si>
    <t>prob[7,1]</t>
  </si>
  <si>
    <t>prob[7,2]</t>
  </si>
  <si>
    <t>prob[7,3]</t>
  </si>
  <si>
    <t>prob[7,4]</t>
  </si>
  <si>
    <t>prob[7,5]</t>
  </si>
  <si>
    <t>prob[7,6]</t>
  </si>
  <si>
    <t>prob[7,7]</t>
  </si>
  <si>
    <t>prob[7,8]</t>
  </si>
  <si>
    <t>prob[7,9]</t>
  </si>
  <si>
    <t>prob[8,1]</t>
  </si>
  <si>
    <t>prob[8,2]</t>
  </si>
  <si>
    <t>prob[8,3]</t>
  </si>
  <si>
    <t>prob[8,4]</t>
  </si>
  <si>
    <t>prob[8,5]</t>
  </si>
  <si>
    <t>prob[8,6]</t>
  </si>
  <si>
    <t>prob[8,7]</t>
  </si>
  <si>
    <t>prob[8,8]</t>
  </si>
  <si>
    <t>prob[8,9]</t>
  </si>
  <si>
    <t>prob[9,1]</t>
  </si>
  <si>
    <t>prob[9,2]</t>
  </si>
  <si>
    <t>prob[9,3]</t>
  </si>
  <si>
    <t>prob[9,4]</t>
  </si>
  <si>
    <t>prob[9,5]</t>
  </si>
  <si>
    <t>prob[9,6]</t>
  </si>
  <si>
    <t>prob[9,7]</t>
  </si>
  <si>
    <t>prob[9,8]</t>
  </si>
  <si>
    <t>prob[9,9]</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</si>
  <si>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</si>
  <si>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</si>
  <si>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</si>
  <si>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</si>
  <si>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</si>
  <si>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</si>
  <si>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</si>
  <si>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</si>
  <si>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</si>
  <si>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</si>
  <si>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</si>
  <si>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</si>
  <si>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</si>
  <si>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</si>
  <si>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</si>
  <si>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</si>
  <si>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</si>
  <si>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</si>
  <si>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</si>
  <si>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</si>
  <si>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</si>
  <si>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rk[1]</t>
  </si>
  <si>
    <t>rk[2]</t>
  </si>
  <si>
    <t>rk[3]</t>
  </si>
  <si>
    <t>rk[4]</t>
  </si>
  <si>
    <t>rk[5]</t>
  </si>
  <si>
    <t>rk[6]</t>
  </si>
  <si>
    <t>rk[7]</t>
  </si>
  <si>
    <t>rk[8]</t>
  </si>
  <si>
    <t>rk[9]</t>
  </si>
  <si>
    <t>sd</t>
  </si>
  <si>
    <t>totresdev</t>
  </si>
  <si>
    <t>dic.stats()</t>
  </si>
  <si>
    <t>DIC</t>
  </si>
  <si>
    <t>Dbar = post.mean of -2logL; Dhat = -2LogL at post.mean of stochastic nodes</t>
  </si>
  <si>
    <t>Dbar</t>
  </si>
  <si>
    <t>Dhat</t>
  </si>
  <si>
    <t>pD</t>
  </si>
  <si>
    <t>r</t>
  </si>
  <si>
    <t>total</t>
  </si>
  <si>
    <t>gr(OR)</t>
  </si>
  <si>
    <t>Gelman Rubin statistic</t>
  </si>
  <si>
    <t>trace(OR)</t>
  </si>
  <si>
    <t>Dynamic trace</t>
  </si>
  <si>
    <t>save(C:/WinBUGS Results/Random Effect Results (Vague ) 8 9 2017 12 38 19 PM.txt)</t>
  </si>
  <si>
    <t>IBUIV versus INDOIV</t>
  </si>
  <si>
    <t>IBUPO versus INDOIV</t>
  </si>
  <si>
    <t>PARAPO versus INDOIV</t>
  </si>
  <si>
    <t>IBUIVHIGHDOSE versus INDOIV</t>
  </si>
  <si>
    <t>IBUPOHIGHDOSE versus INDOIV</t>
  </si>
  <si>
    <t>INDOIVCONT versus INDOIV</t>
  </si>
  <si>
    <t>INDOTHERS versus INDOIV</t>
  </si>
  <si>
    <t>PLAC_NORX versus INDOIV</t>
  </si>
  <si>
    <t>IBUPO versus IBUIV</t>
  </si>
  <si>
    <t>PARAPO versus IBUIV</t>
  </si>
  <si>
    <t>IBUIVHIGHDOSE versus IBUIV</t>
  </si>
  <si>
    <t>IBUPOHIGHDOSE versus IBUIV</t>
  </si>
  <si>
    <t>INDOIVCONT versus IBUIV</t>
  </si>
  <si>
    <t>INDOTHERS versus IBUIV</t>
  </si>
  <si>
    <t>PLAC_NORX versus IBUIV</t>
  </si>
  <si>
    <t>PARAPO versus IBUPO</t>
  </si>
  <si>
    <t>IBUIVHIGHDOSE versus IBUPO</t>
  </si>
  <si>
    <t>IBUPOHIGHDOSE versus IBUPO</t>
  </si>
  <si>
    <t>INDOIVCONT versus IBUPO</t>
  </si>
  <si>
    <t>INDOTHERS versus IBUPO</t>
  </si>
  <si>
    <t>PLAC_NORX versus IBUPO</t>
  </si>
  <si>
    <t>IBUIVHIGHDOSE versus PARAPO</t>
  </si>
  <si>
    <t>IBUPOHIGHDOSE versus PARAPO</t>
  </si>
  <si>
    <t>INDOIVCONT versus PARAPO</t>
  </si>
  <si>
    <t>INDOTHERS versus PARAPO</t>
  </si>
  <si>
    <t>PLAC_NORX versus PARAPO</t>
  </si>
  <si>
    <t>IBUPOHIGHDOSE versus IBUIVHIGHDOSE</t>
  </si>
  <si>
    <t>INDOIVCONT versus IBUIVHIGHDOSE</t>
  </si>
  <si>
    <t>INDOTHERS versus IBUIVHIGHDOSE</t>
  </si>
  <si>
    <t>PLAC_NORX versus IBUIVHIGHDOSE</t>
  </si>
  <si>
    <t>INDOIVCONT versus IBUPOHIGHDOSE</t>
  </si>
  <si>
    <t>INDOTHERS versus IBUPOHIGHDOSE</t>
  </si>
  <si>
    <t>PLAC_NORX versus IBUPOHIGHDOSE</t>
  </si>
  <si>
    <t>INDOTHERS versus INDOIVCONT</t>
  </si>
  <si>
    <t>PLAC_NORX versus INDOIVCONT</t>
  </si>
  <si>
    <t>PLAC_NORX versus INDOTHERS</t>
  </si>
  <si>
    <t>PARAPO versus IBUIVHIGHDOSE</t>
  </si>
  <si>
    <t>PARAPO versus IBUPOHIGHDOSE</t>
  </si>
  <si>
    <t>PARAPO versus INDOIVCONT</t>
  </si>
  <si>
    <t>PARAPO versus INDOTHERS</t>
  </si>
  <si>
    <t>PARAPO versus PLAC_NORX</t>
  </si>
  <si>
    <t>IBUIVHIGHDOSE versus IBUPOHIGHDOSE</t>
  </si>
  <si>
    <t>IBUIVHIGHDOSE versus INDOIVCONT</t>
  </si>
  <si>
    <t>IBUIVHIGHDOSE versus INDOTHERS</t>
  </si>
  <si>
    <t>IBUIVHIGHDOSE versus PLAC_NORX</t>
  </si>
  <si>
    <t>IBUPOHIGHDOSE versus INDOIVCONT</t>
  </si>
  <si>
    <t>IBUPOHIGHDOSE versus INDOTHERS</t>
  </si>
  <si>
    <t>IBUPOHIGHDOSE versus PLAC_NORX</t>
  </si>
  <si>
    <t>IBUPO versus INDOIVCONT</t>
  </si>
  <si>
    <t>IBUPO versus INDOTHERS</t>
  </si>
  <si>
    <t>IBUPO versus PLAC_NORX</t>
  </si>
  <si>
    <t>INDOIVCONT versus INDOTHERS</t>
  </si>
  <si>
    <t>INDOIVCONT versus PLAC_NORX</t>
  </si>
  <si>
    <t>INDOIV versus IBUIV</t>
  </si>
  <si>
    <t>INDOIV versus INDOTHERS</t>
  </si>
  <si>
    <t>INDOIV versus PLAC_NORX</t>
  </si>
  <si>
    <t>IBUIV versus INDOTHERS</t>
  </si>
  <si>
    <t>IBUIV versus PLAC_NORX</t>
  </si>
  <si>
    <t>INDOTHERS versus PLAC_NORX</t>
  </si>
  <si>
    <t>check(C:/WinBUGS data/Random Effect Model (Informative).txt)</t>
  </si>
  <si>
    <t>inits(1,C:/WinBUGS data/Random Effect Inits (Informative)1.txt)</t>
  </si>
  <si>
    <t>inits(2,C:/WinBUGS data/Random Effect Inits (Informative)2.txt)</t>
  </si>
  <si>
    <t>inits(3,C:/WinBUGS data/Random Effect Inits (Informative)3.txt)</t>
  </si>
  <si>
    <t>save(C:/WinBUGS Results/Random Effect Results (Informative) 8 9 2017 12 39 17 PM.txt)</t>
  </si>
  <si>
    <t>list(mu=c(1,1.5,0.5,2,2,1,0.5,1,1,1.5,0.5,1.5,1.5,2,2,0,1.5,0.5,1,1.5,1), sd=2, d= structure(.Data = c(NA,1,1,1.5,1,0.5,0.5,1.5,1, NA,NA,1,0.5,1.5,2,0,1,0.5, NA,NA,NA,1,1,0.5,0,1.5,2, NA,NA,NA,NA,1,1,1,0,1, NA,NA,NA,NA,NA,1,0.5,1.5,0, NA,NA,NA,NA,NA,NA,0.5,1,0.5, NA,NA,NA,NA,NA,NA,NA,1.5,1, NA,NA,NA,NA,NA,NA,NA,NA,1), .Dim =c(8, 9)))</t>
  </si>
  <si>
    <t>list(mu=c(2,0.5,0,1,0.5,0.5,1,2,1.5,1.5,0.5,0,1.5,1.5,2,2,1,0.5,0,1.5,1.5), sd=1.5, d= structure(.Data = c(NA,0.5,0.5,1,0.5,0.5,0,0.5,1.5, NA,NA,0,1.5,0.5,0.5,2,2,1.5, NA,NA,NA,1.5,1,1,2,2,1.5, NA,NA,NA,NA,1.5,0.5,0.5,0.5,0.5, NA,NA,NA,NA,NA,0,1.5,0.5,0.5, NA,NA,NA,NA,NA,NA,2,1.5,0, NA,NA,NA,NA,NA,NA,NA,1.5,1, NA,NA,NA,NA,NA,NA,NA,NA,0.5), .Dim =c(8, 9)))</t>
  </si>
  <si>
    <t>list(mu=c(0,0,1,1,1,1,2,1.5,0,1,0.5,1,0.5,1.5,1,1.5,0,1,0.5,1,2), sd=1, d= structure(.Data = c(NA,2,1,2,1.5,0.5,1.5,1.5,1.5, NA,NA,1,0.5,1,2,1.5,1,0, NA,NA,NA,0.5,1,0.5,0,0.5,1, NA,NA,NA,NA,1.5,0.5,1,1.5,2, NA,NA,NA,NA,NA,1,2,0,1, NA,NA,NA,NA,NA,NA,1.5,0.5,1.5, NA,NA,NA,NA,NA,NA,NA,0.5,1.5, NA,NA,NA,NA,NA,NA,NA,NA,0.5), .Dim =c(8, 9)))</t>
  </si>
  <si>
    <t>check(C:/WinBUGS data/Inconsistency Random Effect Model (Vague).txt)</t>
  </si>
  <si>
    <t>data(C:/WinBUGS data/Inconsistency Data List.txt)</t>
  </si>
  <si>
    <t>data(C:/WinBUGS data/Inconsistency Data Table.txt)</t>
  </si>
  <si>
    <t>inits(1,C:/WinBUGS data/Inconsistency Random Effect Inits (Vague)1.txt)</t>
  </si>
  <si>
    <t>inits(2,C:/WinBUGS data/Inconsistency Random Effect Inits (Vague)2.txt)</t>
  </si>
  <si>
    <t>inits(3,C:/WinBUGS data/Inconsistency Random Effect Inits (Vague)3.txt)</t>
  </si>
  <si>
    <t>d[1,2]</t>
  </si>
  <si>
    <t>d[1,3]</t>
  </si>
  <si>
    <t>d[1,4]</t>
  </si>
  <si>
    <t>d[1,5]</t>
  </si>
  <si>
    <t>d[1,6]</t>
  </si>
  <si>
    <t>d[1,7]</t>
  </si>
  <si>
    <t>d[1,8]</t>
  </si>
  <si>
    <t>d[1,9]</t>
  </si>
  <si>
    <t>d[2,3]</t>
  </si>
  <si>
    <t>d[2,4]</t>
  </si>
  <si>
    <t>d[2,5]</t>
  </si>
  <si>
    <t>d[2,6]</t>
  </si>
  <si>
    <t>d[2,7]</t>
  </si>
  <si>
    <t>d[2,8]</t>
  </si>
  <si>
    <t>d[2,9]</t>
  </si>
  <si>
    <t>d[3,4]</t>
  </si>
  <si>
    <t>d[3,5]</t>
  </si>
  <si>
    <t>d[3,6]</t>
  </si>
  <si>
    <t>d[3,7]</t>
  </si>
  <si>
    <t>d[3,8]</t>
  </si>
  <si>
    <t>d[3,9]</t>
  </si>
  <si>
    <t>d[4,5]</t>
  </si>
  <si>
    <t>d[4,6]</t>
  </si>
  <si>
    <t>d[4,7]</t>
  </si>
  <si>
    <t>d[4,8]</t>
  </si>
  <si>
    <t>d[4,9]</t>
  </si>
  <si>
    <t>d[5,6]</t>
  </si>
  <si>
    <t>d[5,7]</t>
  </si>
  <si>
    <t>d[5,8]</t>
  </si>
  <si>
    <t>d[5,9]</t>
  </si>
  <si>
    <t>d[6,7]</t>
  </si>
  <si>
    <t>d[6,8]</t>
  </si>
  <si>
    <t>d[6,9]</t>
  </si>
  <si>
    <t>d[7,8]</t>
  </si>
  <si>
    <t>d[7,9]</t>
  </si>
  <si>
    <t>d[8,9]</t>
  </si>
  <si>
    <t>save(C:/WinBUGS Results/Inconsistency Random Effect Results (Vague ) 8 9 2017 12 40 12 PM.txt)</t>
  </si>
  <si>
    <t>1.05
(0.20 – 5.93)</t>
  </si>
  <si>
    <t>0.81
(0.34 – 2.04)</t>
  </si>
  <si>
    <t>0.77
(0.38 – 1.59)</t>
  </si>
  <si>
    <t>0.66
(0.22 – 1.74)</t>
  </si>
  <si>
    <t>0.47
(0.17 – 1.34)</t>
  </si>
  <si>
    <t>0.28
(0.10 – 0.73)</t>
  </si>
  <si>
    <t>0.07
(0.02 – 0.28)</t>
  </si>
  <si>
    <t>0.05
(0.00 – 0.38)</t>
  </si>
  <si>
    <t>0.78
(0.12 – 4.71)</t>
  </si>
  <si>
    <t>0.74
(0.15 – 3.33)</t>
  </si>
  <si>
    <t>0.63
(0.12 – 2.77)</t>
  </si>
  <si>
    <t>0.45
(0.09 – 1.92)</t>
  </si>
  <si>
    <t>0.27
(0.06 – 1.00)</t>
  </si>
  <si>
    <t>0.07
(0.01 – 0.37)</t>
  </si>
  <si>
    <t>0.05
(0.00 – 0.45)</t>
  </si>
  <si>
    <t>0.95
(0.37 – 2.30)</t>
  </si>
  <si>
    <t>0.81
(0.23 – 2.48)</t>
  </si>
  <si>
    <t>0.58
(0.17 – 1.90)</t>
  </si>
  <si>
    <t>0.34
(0.10 – 1.06)</t>
  </si>
  <si>
    <t>0.09
(0.02 – 0.37)</t>
  </si>
  <si>
    <t>0.06
(0.00 – 0.51)</t>
  </si>
  <si>
    <t>0.84
(0.38 – 1.81)</t>
  </si>
  <si>
    <t>0.61
(0.27 – 1.38)</t>
  </si>
  <si>
    <t>0.36
(0.18 – 0.72)</t>
  </si>
  <si>
    <t>0.10
(0.04 – 0.29)</t>
  </si>
  <si>
    <t>0.07
(0.01 – 0.43)</t>
  </si>
  <si>
    <t>0.72
(0.35 – 1.58)</t>
  </si>
  <si>
    <t>0.43
(0.22 – 0.89)</t>
  </si>
  <si>
    <t>0.12
(0.05 – 0.31)</t>
  </si>
  <si>
    <t>0.08
(0.01 – 0.52)</t>
  </si>
  <si>
    <t>0.60
(0.32 – 1.02)</t>
  </si>
  <si>
    <t>0.16
(0.06 – 0.45)</t>
  </si>
  <si>
    <t>0.11
(0.01 – 0.58)</t>
  </si>
  <si>
    <t>0.27
(0.11 – 0.68)</t>
  </si>
  <si>
    <t>0.18
(0.02 – 1.14)</t>
  </si>
  <si>
    <t>0.67
(0.06 – 4.89)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</si>
</sst>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80">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1" fillId="4" borderId="18" xfId="0" applyFont="1" applyFill="1" applyBorder="1" applyAlignment="1">
      <alignment horizontal="center"/>
    </xf>
    <xf numFmtId="0" fontId="1" fillId="4" borderId="19" xfId="0" applyFont="1" applyFill="1" applyBorder="1" applyAlignment="1">
      <alignment horizont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152">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dLbls>
          <c:showLegendKey val="0"/>
          <c:showVal val="0"/>
          <c:showCatName val="0"/>
          <c:showSerName val="0"/>
          <c:showPercent val="0"/>
          <c:showBubbleSize val="0"/>
        </c:dLbls>
        <c:axId val="615989424"/>
        <c:axId val="616000400"/>
      </c:scatterChart>
      <c:valAx>
        <c:axId val="615989424"/>
        <c:scaling>
          <c:logBase val="10"/>
          <c:orientation val="minMax"/>
        </c:scaling>
        <c:delete val="0"/>
        <c:axPos val="b"/>
        <c:numFmt formatCode="0.0000" sourceLinked="1"/>
        <c:majorTickMark val="out"/>
        <c:minorTickMark val="out"/>
        <c:tickLblPos val="nextTo"/>
        <c:crossAx val="616000400"/>
        <c:crossesAt val="0"/>
        <c:crossBetween val="midCat"/>
      </c:valAx>
      <c:valAx>
        <c:axId val="616000400"/>
        <c:scaling>
          <c:orientation val="minMax"/>
          <c:max val="90"/>
          <c:min val="0"/>
        </c:scaling>
        <c:delete val="0"/>
        <c:axPos val="l"/>
        <c:numFmt formatCode="General" sourceLinked="1"/>
        <c:majorTickMark val="none"/>
        <c:minorTickMark val="none"/>
        <c:tickLblPos val="none"/>
        <c:crossAx val="615989424"/>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6827608087450605"/>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Data'!$M$5:$M$100</c:f>
              <c:numCache>
                <c:formatCode>General</c:formatCode>
                <c:ptCount val="9"/>
                <c:pt idx="0">
                  <c:v>5.9329999999999999E-3</c:v>
                </c:pt>
                <c:pt idx="1">
                  <c:v>2.5069999999999999E-2</c:v>
                </c:pt>
                <c:pt idx="2">
                  <c:v>4.6800000000000001E-2</c:v>
                </c:pt>
                <c:pt idx="3">
                  <c:v>9.7229999999999997E-2</c:v>
                </c:pt>
                <c:pt idx="4">
                  <c:v>0.21640000000000001</c:v>
                </c:pt>
                <c:pt idx="5">
                  <c:v>0.5796</c:v>
                </c:pt>
                <c:pt idx="6">
                  <c:v>2.8469999999999999E-2</c:v>
                </c:pt>
                <c:pt idx="7">
                  <c:v>4.3330000000000002E-4</c:v>
                </c:pt>
                <c:pt idx="8">
                  <c:v>3.3330000000000001E-5</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Data'!$N$5:$N$100</c:f>
              <c:numCache>
                <c:formatCode>General</c:formatCode>
                <c:ptCount val="9"/>
                <c:pt idx="0">
                  <c:v>0</c:v>
                </c:pt>
                <c:pt idx="1">
                  <c:v>1.3329999999999999E-4</c:v>
                </c:pt>
                <c:pt idx="2">
                  <c:v>5.0000000000000001E-4</c:v>
                </c:pt>
                <c:pt idx="3">
                  <c:v>2.1329999999999999E-3</c:v>
                </c:pt>
                <c:pt idx="4">
                  <c:v>9.7330000000000003E-3</c:v>
                </c:pt>
                <c:pt idx="5">
                  <c:v>7.9100000000000004E-2</c:v>
                </c:pt>
                <c:pt idx="6">
                  <c:v>0.87390000000000001</c:v>
                </c:pt>
                <c:pt idx="7">
                  <c:v>3.4169999999999999E-2</c:v>
                </c:pt>
                <c:pt idx="8">
                  <c:v>2.9999999999999997E-4</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Data'!$O$5:$O$100</c:f>
              <c:numCache>
                <c:formatCode>General</c:formatCode>
                <c:ptCount val="9"/>
                <c:pt idx="0">
                  <c:v>4.8770000000000001E-2</c:v>
                </c:pt>
                <c:pt idx="1">
                  <c:v>0.15540000000000001</c:v>
                </c:pt>
                <c:pt idx="2">
                  <c:v>0.30470000000000003</c:v>
                </c:pt>
                <c:pt idx="3">
                  <c:v>0.31540000000000001</c:v>
                </c:pt>
                <c:pt idx="4">
                  <c:v>0.13719999999999999</c:v>
                </c:pt>
                <c:pt idx="5">
                  <c:v>3.6729999999999999E-2</c:v>
                </c:pt>
                <c:pt idx="6">
                  <c:v>1.7329999999999999E-3</c:v>
                </c:pt>
                <c:pt idx="7">
                  <c:v>1.3329999999999999E-4</c:v>
                </c:pt>
                <c:pt idx="8">
                  <c:v>0</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Data'!$P$5:$P$100</c:f>
              <c:numCache>
                <c:formatCode>General</c:formatCode>
                <c:ptCount val="9"/>
                <c:pt idx="0">
                  <c:v>0.28089999999999998</c:v>
                </c:pt>
                <c:pt idx="1">
                  <c:v>0.36780000000000002</c:v>
                </c:pt>
                <c:pt idx="2">
                  <c:v>0.19</c:v>
                </c:pt>
                <c:pt idx="3">
                  <c:v>8.523E-2</c:v>
                </c:pt>
                <c:pt idx="4">
                  <c:v>5.1200000000000002E-2</c:v>
                </c:pt>
                <c:pt idx="5">
                  <c:v>2.0230000000000001E-2</c:v>
                </c:pt>
                <c:pt idx="6">
                  <c:v>4.2329999999999998E-3</c:v>
                </c:pt>
                <c:pt idx="7">
                  <c:v>3.3330000000000002E-4</c:v>
                </c:pt>
                <c:pt idx="8">
                  <c:v>3.3330000000000001E-5</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Data'!$Q$5:$Q$100</c:f>
              <c:numCache>
                <c:formatCode>General</c:formatCode>
                <c:ptCount val="9"/>
                <c:pt idx="0">
                  <c:v>0.4506</c:v>
                </c:pt>
                <c:pt idx="1">
                  <c:v>0.1288</c:v>
                </c:pt>
                <c:pt idx="2">
                  <c:v>0.1048</c:v>
                </c:pt>
                <c:pt idx="3">
                  <c:v>0.1105</c:v>
                </c:pt>
                <c:pt idx="4">
                  <c:v>9.6629999999999994E-2</c:v>
                </c:pt>
                <c:pt idx="5">
                  <c:v>8.3169999999999994E-2</c:v>
                </c:pt>
                <c:pt idx="6">
                  <c:v>2.2530000000000001E-2</c:v>
                </c:pt>
                <c:pt idx="7">
                  <c:v>2.7000000000000001E-3</c:v>
                </c:pt>
                <c:pt idx="8">
                  <c:v>4.0000000000000002E-4</c:v>
                </c:pt>
              </c:numCache>
            </c:numRef>
          </c:val>
          <c:smooth val="0"/>
        </c:ser>
        <c:ser>
          <c:idx val="5"/>
          <c:order val="5"/>
          <c:tx>
            <c:strRef>
              <c:f>'Rankogram Data'!$R$4</c:f>
              <c:strCache>
                <c:ptCount val="1"/>
                <c:pt idx="0">
                  <c:v>IBUPOHIGHDOSE</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Data'!$R$5:$R$100</c:f>
              <c:numCache>
                <c:formatCode>General</c:formatCode>
                <c:ptCount val="9"/>
                <c:pt idx="0">
                  <c:v>0.16750000000000001</c:v>
                </c:pt>
                <c:pt idx="1">
                  <c:v>0.2104</c:v>
                </c:pt>
                <c:pt idx="2">
                  <c:v>0.18940000000000001</c:v>
                </c:pt>
                <c:pt idx="3">
                  <c:v>0.15770000000000001</c:v>
                </c:pt>
                <c:pt idx="4">
                  <c:v>0.1535</c:v>
                </c:pt>
                <c:pt idx="5">
                  <c:v>9.2100000000000001E-2</c:v>
                </c:pt>
                <c:pt idx="6">
                  <c:v>2.6100000000000002E-2</c:v>
                </c:pt>
                <c:pt idx="7">
                  <c:v>3.2000000000000002E-3</c:v>
                </c:pt>
                <c:pt idx="8">
                  <c:v>2.0000000000000001E-4</c:v>
                </c:pt>
              </c:numCache>
            </c:numRef>
          </c:val>
          <c:smooth val="0"/>
        </c:ser>
        <c:ser>
          <c:idx val="6"/>
          <c:order val="6"/>
          <c:tx>
            <c:strRef>
              <c:f>'Rankogram Data'!$S$4</c:f>
              <c:strCache>
                <c:ptCount val="1"/>
                <c:pt idx="0">
                  <c:v>INDOIVCONT</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Data'!$S$5:$S$100</c:f>
              <c:numCache>
                <c:formatCode>General</c:formatCode>
                <c:ptCount val="9"/>
                <c:pt idx="0">
                  <c:v>4.5569999999999999E-2</c:v>
                </c:pt>
                <c:pt idx="1">
                  <c:v>0.1111</c:v>
                </c:pt>
                <c:pt idx="2">
                  <c:v>0.16289999999999999</c:v>
                </c:pt>
                <c:pt idx="3">
                  <c:v>0.23050000000000001</c:v>
                </c:pt>
                <c:pt idx="4">
                  <c:v>0.3332</c:v>
                </c:pt>
                <c:pt idx="5">
                  <c:v>0.1028</c:v>
                </c:pt>
                <c:pt idx="6">
                  <c:v>1.333E-2</c:v>
                </c:pt>
                <c:pt idx="7">
                  <c:v>5.0000000000000001E-4</c:v>
                </c:pt>
                <c:pt idx="8">
                  <c:v>0</c:v>
                </c:pt>
              </c:numCache>
            </c:numRef>
          </c:val>
          <c:smooth val="0"/>
        </c:ser>
        <c:ser>
          <c:idx val="7"/>
          <c:order val="7"/>
          <c:tx>
            <c:strRef>
              <c:f>'Rankogram Data'!$T$4</c:f>
              <c:strCache>
                <c:ptCount val="1"/>
                <c:pt idx="0">
                  <c:v>INDOTHERS</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Data'!$T$5:$T$100</c:f>
              <c:numCache>
                <c:formatCode>General</c:formatCode>
                <c:ptCount val="9"/>
                <c:pt idx="0">
                  <c:v>0</c:v>
                </c:pt>
                <c:pt idx="1">
                  <c:v>3.3330000000000001E-5</c:v>
                </c:pt>
                <c:pt idx="2">
                  <c:v>3.3330000000000001E-5</c:v>
                </c:pt>
                <c:pt idx="3">
                  <c:v>6.6669999999999997E-5</c:v>
                </c:pt>
                <c:pt idx="4">
                  <c:v>2.6669999999999998E-4</c:v>
                </c:pt>
                <c:pt idx="5">
                  <c:v>8.3330000000000003E-4</c:v>
                </c:pt>
                <c:pt idx="6">
                  <c:v>5.6670000000000002E-3</c:v>
                </c:pt>
                <c:pt idx="7">
                  <c:v>0.6431</c:v>
                </c:pt>
                <c:pt idx="8">
                  <c:v>0.35</c:v>
                </c:pt>
              </c:numCache>
            </c:numRef>
          </c:val>
          <c:smooth val="0"/>
        </c:ser>
        <c:ser>
          <c:idx val="8"/>
          <c:order val="8"/>
          <c:tx>
            <c:strRef>
              <c:f>'Rankogram Data'!$U$4</c:f>
              <c:strCache>
                <c:ptCount val="1"/>
                <c:pt idx="0">
                  <c:v>PLAC_NORX</c:v>
                </c:pt>
              </c:strCache>
            </c:strRef>
          </c:tx>
          <c:spPr>
            <a:ln w="22225" cap="rnd">
              <a:solidFill>
                <a:schemeClr val="accent3">
                  <a:lumMod val="60000"/>
                </a:schemeClr>
              </a:solidFill>
              <a:round/>
            </a:ln>
            <a:effectLst/>
          </c:spPr>
          <c:marker>
            <c:symbol val="dash"/>
            <c:size val="6"/>
            <c:spPr>
              <a:solidFill>
                <a:schemeClr val="accent3">
                  <a:lumMod val="60000"/>
                </a:schemeClr>
              </a:solidFill>
              <a:ln w="9525">
                <a:solidFill>
                  <a:schemeClr val="accent3">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Data'!$U$5:$U$100</c:f>
              <c:numCache>
                <c:formatCode>General</c:formatCode>
                <c:ptCount val="9"/>
                <c:pt idx="0">
                  <c:v>7.6670000000000004E-4</c:v>
                </c:pt>
                <c:pt idx="1">
                  <c:v>1.2329999999999999E-3</c:v>
                </c:pt>
                <c:pt idx="2">
                  <c:v>9.3329999999999997E-4</c:v>
                </c:pt>
                <c:pt idx="3">
                  <c:v>1.2999999999999999E-3</c:v>
                </c:pt>
                <c:pt idx="4">
                  <c:v>1.867E-3</c:v>
                </c:pt>
                <c:pt idx="5">
                  <c:v>5.4330000000000003E-3</c:v>
                </c:pt>
                <c:pt idx="6">
                  <c:v>2.4E-2</c:v>
                </c:pt>
                <c:pt idx="7">
                  <c:v>0.31540000000000001</c:v>
                </c:pt>
                <c:pt idx="8">
                  <c:v>0.64900000000000002</c:v>
                </c:pt>
              </c:numCache>
            </c:numRef>
          </c:val>
          <c:smooth val="0"/>
        </c:ser>
        <c:ser>
          <c:idx val="9"/>
          <c:order val="9"/>
          <c:tx>
            <c:strRef>
              <c:f>'Rankogram Data'!$V$4</c:f>
              <c:strCache>
                <c:ptCount val="1"/>
              </c:strCache>
            </c:strRef>
          </c:tx>
          <c:spPr>
            <a:ln w="22225" cap="rnd">
              <a:solidFill>
                <a:schemeClr val="accent4">
                  <a:lumMod val="60000"/>
                </a:schemeClr>
              </a:solidFill>
              <a:round/>
            </a:ln>
            <a:effectLst/>
          </c:spPr>
          <c:marker>
            <c:symbol val="diamond"/>
            <c:size val="6"/>
            <c:spPr>
              <a:solidFill>
                <a:schemeClr val="accent4">
                  <a:lumMod val="60000"/>
                </a:schemeClr>
              </a:solidFill>
              <a:ln w="9525">
                <a:solidFill>
                  <a:schemeClr val="accent4">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Data'!$V$5:$V$100</c:f>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9"/>
                <c:pt idx="0">
                  <c:v>1</c:v>
                </c:pt>
                <c:pt idx="1">
                  <c:v>2</c:v>
                </c:pt>
                <c:pt idx="2">
                  <c:v>3</c:v>
                </c:pt>
                <c:pt idx="3">
                  <c:v>4</c:v>
                </c:pt>
                <c:pt idx="4">
                  <c:v>5</c:v>
                </c:pt>
                <c:pt idx="5">
                  <c:v>6</c:v>
                </c:pt>
                <c:pt idx="6">
                  <c:v>7</c:v>
                </c:pt>
                <c:pt idx="7">
                  <c:v>8</c:v>
                </c:pt>
                <c:pt idx="8">
                  <c:v>9</c:v>
                </c:pt>
              </c:numCache>
            </c:numRef>
          </c:cat>
          <c:val>
            <c:numRef>
              <c:f>'Rankogram Data'!$AA$5:$AA$100</c:f>
            </c:numRef>
          </c:val>
          <c:smooth val="0"/>
        </c:ser>
        <c:dLbls>
          <c:showLegendKey val="0"/>
          <c:showVal val="0"/>
          <c:showCatName val="0"/>
          <c:showSerName val="0"/>
          <c:showPercent val="0"/>
          <c:showBubbleSize val="0"/>
        </c:dLbls>
        <c:marker val="1"/>
        <c:smooth val="0"/>
        <c:axId val="615994520"/>
        <c:axId val="615980408"/>
      </c:lineChart>
      <c:catAx>
        <c:axId val="61599452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15980408"/>
        <c:crosses val="autoZero"/>
        <c:auto val="1"/>
        <c:lblAlgn val="ctr"/>
        <c:lblOffset val="100"/>
        <c:noMultiLvlLbl val="0"/>
      </c:catAx>
      <c:valAx>
        <c:axId val="615980408"/>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994520"/>
        <c:crosses val="autoZero"/>
        <c:crossBetween val="between"/>
        <c:maj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6001184"/>
        <c:axId val="615997264"/>
      </c:scatterChart>
      <c:valAx>
        <c:axId val="616001184"/>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97264"/>
        <c:crosses val="autoZero"/>
        <c:crossBetween val="midCat"/>
        <c:majorUnit val="0.5"/>
        <c:minorUnit val="0.25"/>
      </c:valAx>
      <c:valAx>
        <c:axId val="61599726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6001184"/>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0.54510000000000003</c:v>
                </c:pt>
                <c:pt idx="1">
                  <c:v>0.72150000000000003</c:v>
                </c:pt>
                <c:pt idx="2">
                  <c:v>0.90969999999999995</c:v>
                </c:pt>
                <c:pt idx="3">
                  <c:v>0.84540000000000004</c:v>
                </c:pt>
                <c:pt idx="4">
                  <c:v>0.79930000000000001</c:v>
                </c:pt>
                <c:pt idx="5">
                  <c:v>0.65890000000000004</c:v>
                </c:pt>
                <c:pt idx="6">
                  <c:v>1.119</c:v>
                </c:pt>
                <c:pt idx="7">
                  <c:v>1.0609999999999999</c:v>
                </c:pt>
                <c:pt idx="8">
                  <c:v>1.024</c:v>
                </c:pt>
                <c:pt idx="9">
                  <c:v>1.0109999999999999</c:v>
                </c:pt>
                <c:pt idx="10">
                  <c:v>0.96240000000000003</c:v>
                </c:pt>
                <c:pt idx="11">
                  <c:v>1.028</c:v>
                </c:pt>
                <c:pt idx="12">
                  <c:v>1.0149999999999999</c:v>
                </c:pt>
                <c:pt idx="13">
                  <c:v>1.0369999999999999</c:v>
                </c:pt>
                <c:pt idx="14">
                  <c:v>0.87719999999999998</c:v>
                </c:pt>
                <c:pt idx="15">
                  <c:v>0.8458</c:v>
                </c:pt>
                <c:pt idx="16">
                  <c:v>1.2010000000000001</c:v>
                </c:pt>
                <c:pt idx="17">
                  <c:v>1.0089999999999999</c:v>
                </c:pt>
                <c:pt idx="18">
                  <c:v>1.0129999999999999</c:v>
                </c:pt>
                <c:pt idx="19">
                  <c:v>1.149</c:v>
                </c:pt>
                <c:pt idx="20">
                  <c:v>0.59250000000000003</c:v>
                </c:pt>
                <c:pt idx="21">
                  <c:v>0.66779999999999995</c:v>
                </c:pt>
                <c:pt idx="22">
                  <c:v>0.67910000000000004</c:v>
                </c:pt>
                <c:pt idx="23">
                  <c:v>1.018</c:v>
                </c:pt>
                <c:pt idx="24">
                  <c:v>0.70079999999999998</c:v>
                </c:pt>
                <c:pt idx="25">
                  <c:v>0.69540000000000002</c:v>
                </c:pt>
              </c:numCache>
            </c:numRef>
          </c:xVal>
          <c:yVal>
            <c:numRef>
              <c:f>'Inconsistency Data'!$J$6:$J$105</c:f>
              <c:numCache>
                <c:formatCode>General</c:formatCode>
                <c:ptCount val="26"/>
                <c:pt idx="0">
                  <c:v>0.63119999999999998</c:v>
                </c:pt>
                <c:pt idx="1">
                  <c:v>0.88500000000000001</c:v>
                </c:pt>
                <c:pt idx="2">
                  <c:v>0.98680000000000001</c:v>
                </c:pt>
                <c:pt idx="3">
                  <c:v>0.93769999999999998</c:v>
                </c:pt>
                <c:pt idx="4">
                  <c:v>0.88160000000000005</c:v>
                </c:pt>
                <c:pt idx="5">
                  <c:v>0.85229999999999995</c:v>
                </c:pt>
                <c:pt idx="6">
                  <c:v>0.92490000000000006</c:v>
                </c:pt>
                <c:pt idx="7">
                  <c:v>0.7641</c:v>
                </c:pt>
                <c:pt idx="8">
                  <c:v>1.141</c:v>
                </c:pt>
                <c:pt idx="9">
                  <c:v>1.0489999999999999</c:v>
                </c:pt>
                <c:pt idx="10">
                  <c:v>1.032</c:v>
                </c:pt>
                <c:pt idx="11">
                  <c:v>1.02</c:v>
                </c:pt>
                <c:pt idx="12">
                  <c:v>1.014</c:v>
                </c:pt>
                <c:pt idx="13">
                  <c:v>1.016</c:v>
                </c:pt>
                <c:pt idx="14">
                  <c:v>1.0209999999999999</c:v>
                </c:pt>
                <c:pt idx="15">
                  <c:v>1.022</c:v>
                </c:pt>
                <c:pt idx="16">
                  <c:v>0.96399999999999997</c:v>
                </c:pt>
                <c:pt idx="17">
                  <c:v>0.89259999999999995</c:v>
                </c:pt>
                <c:pt idx="18">
                  <c:v>0.9002</c:v>
                </c:pt>
                <c:pt idx="19">
                  <c:v>0.97199999999999998</c:v>
                </c:pt>
                <c:pt idx="20">
                  <c:v>0.63009999999999999</c:v>
                </c:pt>
                <c:pt idx="21">
                  <c:v>0.69689999999999996</c:v>
                </c:pt>
                <c:pt idx="22">
                  <c:v>0.68579999999999997</c:v>
                </c:pt>
                <c:pt idx="23">
                  <c:v>1.006</c:v>
                </c:pt>
                <c:pt idx="24">
                  <c:v>0.90059999999999996</c:v>
                </c:pt>
                <c:pt idx="25">
                  <c:v>0.89790000000000003</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5998048"/>
        <c:axId val="615983544"/>
      </c:scatterChart>
      <c:valAx>
        <c:axId val="61599804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5983544"/>
        <c:crosses val="autoZero"/>
        <c:crossBetween val="midCat"/>
        <c:majorUnit val="0.5"/>
        <c:minorUnit val="0.25"/>
      </c:valAx>
      <c:valAx>
        <c:axId val="61598354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599804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30" t="s">
        <v>250</v>
      </c>
      <c r="D30" s="230"/>
      <c r="E30" s="230"/>
      <c r="F30" s="230"/>
      <c r="G30" s="230"/>
      <c r="H30" s="230"/>
      <c r="I30" s="230"/>
      <c r="J30" s="230"/>
      <c r="K30" s="230"/>
      <c r="L30" s="230"/>
      <c r="M30" s="230"/>
    </row>
    <row r="31" spans="3:13" x14ac:dyDescent="0.25">
      <c r="C31" s="230"/>
      <c r="D31" s="230"/>
      <c r="E31" s="230"/>
      <c r="F31" s="230"/>
      <c r="G31" s="230"/>
      <c r="H31" s="230"/>
      <c r="I31" s="230"/>
      <c r="J31" s="230"/>
      <c r="K31" s="230"/>
      <c r="L31" s="230"/>
      <c r="M31" s="230"/>
    </row>
    <row r="32" spans="3:13" x14ac:dyDescent="0.25">
      <c r="C32" s="230"/>
      <c r="D32" s="230"/>
      <c r="E32" s="230"/>
      <c r="F32" s="230"/>
      <c r="G32" s="230"/>
      <c r="H32" s="230"/>
      <c r="I32" s="230"/>
      <c r="J32" s="230"/>
      <c r="K32" s="230"/>
      <c r="L32" s="230"/>
      <c r="M32" s="230"/>
    </row>
    <row r="33" spans="3:13" x14ac:dyDescent="0.25">
      <c r="C33" s="230"/>
      <c r="D33" s="230"/>
      <c r="E33" s="230"/>
      <c r="F33" s="230"/>
      <c r="G33" s="230"/>
      <c r="H33" s="230"/>
      <c r="I33" s="230"/>
      <c r="J33" s="230"/>
      <c r="K33" s="230"/>
      <c r="L33" s="230"/>
      <c r="M33" s="230"/>
    </row>
    <row r="34" spans="3:13" x14ac:dyDescent="0.25">
      <c r="C34" s="230"/>
      <c r="D34" s="230"/>
      <c r="E34" s="230"/>
      <c r="F34" s="230"/>
      <c r="G34" s="230"/>
      <c r="H34" s="230"/>
      <c r="I34" s="230"/>
      <c r="J34" s="230"/>
      <c r="K34" s="230"/>
      <c r="L34" s="230"/>
      <c r="M34" s="230"/>
    </row>
    <row r="35" spans="3:13" x14ac:dyDescent="0.25">
      <c r="C35" s="230"/>
      <c r="D35" s="230"/>
      <c r="E35" s="230"/>
      <c r="F35" s="230"/>
      <c r="G35" s="230"/>
      <c r="H35" s="230"/>
      <c r="I35" s="230"/>
      <c r="J35" s="230"/>
      <c r="K35" s="230"/>
      <c r="L35" s="230"/>
      <c r="M35" s="230"/>
    </row>
    <row r="36" spans="3:13" x14ac:dyDescent="0.25">
      <c r="C36" s="230"/>
      <c r="D36" s="230"/>
      <c r="E36" s="230"/>
      <c r="F36" s="230"/>
      <c r="G36" s="230"/>
      <c r="H36" s="230"/>
      <c r="I36" s="230"/>
      <c r="J36" s="230"/>
      <c r="K36" s="230"/>
      <c r="L36" s="230"/>
      <c r="M36" s="230"/>
    </row>
    <row r="37" spans="3:13" x14ac:dyDescent="0.25">
      <c r="C37" s="230"/>
      <c r="D37" s="230"/>
      <c r="E37" s="230"/>
      <c r="F37" s="230"/>
      <c r="G37" s="230"/>
      <c r="H37" s="230"/>
      <c r="I37" s="230"/>
      <c r="J37" s="230"/>
      <c r="K37" s="230"/>
      <c r="L37" s="230"/>
      <c r="M37" s="230"/>
    </row>
    <row r="38" spans="3:13" x14ac:dyDescent="0.25">
      <c r="C38" s="230"/>
      <c r="D38" s="230"/>
      <c r="E38" s="230"/>
      <c r="F38" s="230"/>
      <c r="G38" s="230"/>
      <c r="H38" s="230"/>
      <c r="I38" s="230"/>
      <c r="J38" s="230"/>
      <c r="K38" s="230"/>
      <c r="L38" s="230"/>
      <c r="M38" s="230"/>
    </row>
    <row r="39" spans="3:13" x14ac:dyDescent="0.25">
      <c r="C39" s="230"/>
      <c r="D39" s="230"/>
      <c r="E39" s="230"/>
      <c r="F39" s="230"/>
      <c r="G39" s="230"/>
      <c r="H39" s="230"/>
      <c r="I39" s="230"/>
      <c r="J39" s="230"/>
      <c r="K39" s="230"/>
      <c r="L39" s="230"/>
      <c r="M39" s="230"/>
    </row>
    <row r="40" spans="3:13" x14ac:dyDescent="0.25">
      <c r="C40" s="230"/>
      <c r="D40" s="230"/>
      <c r="E40" s="230"/>
      <c r="F40" s="230"/>
      <c r="G40" s="230"/>
      <c r="H40" s="230"/>
      <c r="I40" s="230"/>
      <c r="J40" s="230"/>
      <c r="K40" s="230"/>
      <c r="L40" s="230"/>
      <c r="M40" s="230"/>
    </row>
    <row r="41" spans="3:13" x14ac:dyDescent="0.25">
      <c r="C41" s="230"/>
      <c r="D41" s="230"/>
      <c r="E41" s="230"/>
      <c r="F41" s="230"/>
      <c r="G41" s="230"/>
      <c r="H41" s="230"/>
      <c r="I41" s="230"/>
      <c r="J41" s="230"/>
      <c r="K41" s="230"/>
      <c r="L41" s="230"/>
      <c r="M41" s="230"/>
    </row>
    <row r="42" spans="3:13" x14ac:dyDescent="0.25">
      <c r="C42" s="230"/>
      <c r="D42" s="230"/>
      <c r="E42" s="230"/>
      <c r="F42" s="230"/>
      <c r="G42" s="230"/>
      <c r="H42" s="230"/>
      <c r="I42" s="230"/>
      <c r="J42" s="230"/>
      <c r="K42" s="230"/>
      <c r="L42" s="230"/>
      <c r="M42" s="230"/>
    </row>
    <row r="43" spans="3:13" x14ac:dyDescent="0.25">
      <c r="C43" s="230"/>
      <c r="D43" s="230"/>
      <c r="E43" s="230"/>
      <c r="F43" s="230"/>
      <c r="G43" s="230"/>
      <c r="H43" s="230"/>
      <c r="I43" s="230"/>
      <c r="J43" s="230"/>
      <c r="K43" s="230"/>
      <c r="L43" s="230"/>
      <c r="M43" s="230"/>
    </row>
    <row r="44" spans="3:13" x14ac:dyDescent="0.25">
      <c r="C44" s="230"/>
      <c r="D44" s="230"/>
      <c r="E44" s="230"/>
      <c r="F44" s="230"/>
      <c r="G44" s="230"/>
      <c r="H44" s="230"/>
      <c r="I44" s="230"/>
      <c r="J44" s="230"/>
      <c r="K44" s="230"/>
      <c r="L44" s="230"/>
      <c r="M44" s="230"/>
    </row>
    <row r="45" spans="3:13" x14ac:dyDescent="0.25">
      <c r="C45" s="230"/>
      <c r="D45" s="230"/>
      <c r="E45" s="230"/>
      <c r="F45" s="230"/>
      <c r="G45" s="230"/>
      <c r="H45" s="230"/>
      <c r="I45" s="230"/>
      <c r="J45" s="230"/>
      <c r="K45" s="230"/>
      <c r="L45" s="230"/>
      <c r="M45" s="230"/>
    </row>
    <row r="46" spans="3:13" x14ac:dyDescent="0.25">
      <c r="C46" s="230"/>
      <c r="D46" s="230"/>
      <c r="E46" s="230"/>
      <c r="F46" s="230"/>
      <c r="G46" s="230"/>
      <c r="H46" s="230"/>
      <c r="I46" s="230"/>
      <c r="J46" s="230"/>
      <c r="K46" s="230"/>
      <c r="L46" s="230"/>
      <c r="M46" s="230"/>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52" zoomScale="120" zoomScaleNormal="120" workbookViewId="0">
      <selection activeCell="L13" sqref="L13"/>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1" t="s">
        <v>118</v>
      </c>
      <c r="G9" s="232"/>
      <c r="H9" s="233"/>
    </row>
    <row r="10" spans="2:16" ht="15.75" thickBot="1" x14ac:dyDescent="0.3">
      <c r="B10" s="20"/>
      <c r="C10" s="18" t="s">
        <v>36</v>
      </c>
      <c r="D10" s="174">
        <v>10000</v>
      </c>
      <c r="F10" s="234"/>
      <c r="G10" s="235"/>
      <c r="H10" s="236"/>
    </row>
    <row r="11" spans="2:16" ht="15.75" customHeight="1" thickTop="1" x14ac:dyDescent="0.25">
      <c r="B11" s="20"/>
      <c r="C11" s="18" t="s">
        <v>68</v>
      </c>
      <c r="D11" s="168" t="b">
        <v>1</v>
      </c>
      <c r="F11" s="231" t="s">
        <v>117</v>
      </c>
      <c r="G11" s="232"/>
      <c r="H11" s="233"/>
    </row>
    <row r="12" spans="2:16" ht="15.75" thickBot="1" x14ac:dyDescent="0.3">
      <c r="B12" s="20"/>
      <c r="C12" s="18" t="s">
        <v>67</v>
      </c>
      <c r="D12" s="169" t="b">
        <v>1</v>
      </c>
      <c r="F12" s="240"/>
      <c r="G12" s="241"/>
      <c r="H12" s="242"/>
    </row>
    <row r="13" spans="2:16" ht="34.5" customHeight="1" thickTop="1" thickBot="1" x14ac:dyDescent="0.3">
      <c r="B13" s="21" t="s">
        <v>71</v>
      </c>
    </row>
    <row r="14" spans="2:16" ht="15.75" customHeight="1" thickTop="1" x14ac:dyDescent="0.25">
      <c r="B14" s="20"/>
      <c r="C14" s="18" t="s">
        <v>136</v>
      </c>
      <c r="D14" s="167">
        <v>0</v>
      </c>
      <c r="F14" s="231" t="s">
        <v>119</v>
      </c>
      <c r="G14" s="232"/>
      <c r="H14" s="233"/>
    </row>
    <row r="15" spans="2:16" ht="15" customHeight="1" x14ac:dyDescent="0.25">
      <c r="B15" s="20"/>
      <c r="C15" s="18" t="s">
        <v>137</v>
      </c>
      <c r="D15" s="168">
        <v>2</v>
      </c>
      <c r="F15" s="240"/>
      <c r="G15" s="241"/>
      <c r="H15" s="242"/>
    </row>
    <row r="16" spans="2:16" ht="15" customHeight="1" x14ac:dyDescent="0.25">
      <c r="B16" s="20"/>
      <c r="C16" s="18" t="s">
        <v>269</v>
      </c>
      <c r="D16" s="168">
        <v>1</v>
      </c>
      <c r="F16" s="240"/>
      <c r="G16" s="241"/>
      <c r="H16" s="242"/>
    </row>
    <row r="17" spans="2:8" ht="15.75" customHeight="1" thickBot="1" x14ac:dyDescent="0.3">
      <c r="B17" s="20"/>
      <c r="C17" s="18" t="s">
        <v>270</v>
      </c>
      <c r="D17" s="169">
        <v>2</v>
      </c>
      <c r="F17" s="234"/>
      <c r="G17" s="235"/>
      <c r="H17" s="236"/>
    </row>
    <row r="18" spans="2:8" ht="33.75" customHeight="1" thickTop="1" thickBot="1" x14ac:dyDescent="0.3">
      <c r="B18" s="21" t="s">
        <v>115</v>
      </c>
    </row>
    <row r="19" spans="2:8" ht="35.25" customHeight="1" thickTop="1" thickBot="1" x14ac:dyDescent="0.3">
      <c r="C19" s="24" t="s">
        <v>34</v>
      </c>
      <c r="D19" s="170" t="s">
        <v>297</v>
      </c>
      <c r="E19" t="s">
        <v>82</v>
      </c>
      <c r="F19" s="237" t="s">
        <v>133</v>
      </c>
      <c r="G19" s="238"/>
      <c r="H19" s="239"/>
    </row>
    <row r="20" spans="2:8" ht="33" customHeight="1" thickTop="1" x14ac:dyDescent="0.25">
      <c r="C20" s="25" t="s">
        <v>48</v>
      </c>
      <c r="D20" s="170" t="s">
        <v>313</v>
      </c>
      <c r="F20" s="231" t="s">
        <v>138</v>
      </c>
      <c r="G20" s="232"/>
      <c r="H20" s="233"/>
    </row>
    <row r="21" spans="2:8" ht="33" customHeight="1" thickBot="1" x14ac:dyDescent="0.3">
      <c r="C21" s="24" t="s">
        <v>49</v>
      </c>
      <c r="D21" s="170" t="s">
        <v>314</v>
      </c>
      <c r="F21" s="234"/>
      <c r="G21" s="235"/>
      <c r="H21" s="236"/>
    </row>
    <row r="22" spans="2:8" ht="15.75" customHeight="1" thickTop="1" x14ac:dyDescent="0.25">
      <c r="C22" s="18" t="s">
        <v>56</v>
      </c>
      <c r="D22" s="171" t="s">
        <v>58</v>
      </c>
      <c r="F22" s="231" t="s">
        <v>120</v>
      </c>
      <c r="G22" s="232"/>
      <c r="H22" s="233"/>
    </row>
    <row r="23" spans="2:8" ht="15.75" thickBot="1" x14ac:dyDescent="0.3">
      <c r="C23" s="18" t="s">
        <v>57</v>
      </c>
      <c r="D23" s="171" t="s">
        <v>59</v>
      </c>
      <c r="F23" s="234"/>
      <c r="G23" s="235"/>
      <c r="H23" s="236"/>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7" t="s">
        <v>273</v>
      </c>
      <c r="G30" s="238"/>
      <c r="H30" s="239"/>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U29" sqref="U29"/>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21</v>
      </c>
      <c r="D2" s="142" t="s">
        <v>14</v>
      </c>
      <c r="G2" s="60"/>
      <c r="H2" s="60"/>
    </row>
    <row r="3" spans="3:34" ht="19.5" thickBot="1" x14ac:dyDescent="0.35">
      <c r="C3" s="143">
        <f>COUNTIF(E5:AH5,"&lt;&gt;")</f>
        <v>9</v>
      </c>
      <c r="D3" s="142" t="s">
        <v>15</v>
      </c>
      <c r="E3" s="254" t="s">
        <v>231</v>
      </c>
      <c r="F3" s="255"/>
      <c r="G3" s="255"/>
      <c r="H3" s="255"/>
      <c r="I3" s="255"/>
      <c r="J3" s="255"/>
      <c r="K3" s="255"/>
      <c r="L3" s="255"/>
      <c r="M3" s="255"/>
      <c r="N3" s="255"/>
      <c r="O3" s="255"/>
      <c r="P3" s="255"/>
      <c r="Q3" s="255"/>
      <c r="R3" s="255"/>
      <c r="S3" s="255"/>
      <c r="T3" s="255"/>
      <c r="U3" s="255"/>
      <c r="V3" s="255"/>
      <c r="W3" s="255"/>
      <c r="X3" s="255"/>
      <c r="Y3" s="255"/>
      <c r="Z3" s="255"/>
      <c r="AA3" s="255"/>
      <c r="AB3" s="255"/>
      <c r="AC3" s="255"/>
      <c r="AD3" s="255"/>
      <c r="AE3" s="255"/>
      <c r="AF3" s="255"/>
      <c r="AG3" s="255"/>
      <c r="AH3" s="256"/>
    </row>
    <row r="4" spans="3:34" ht="15.75" thickBot="1" x14ac:dyDescent="0.3">
      <c r="C4" s="143">
        <f>COUNTIF(F7:F56,"&lt;&gt;")</f>
        <v>9</v>
      </c>
      <c r="D4" s="142" t="s">
        <v>114</v>
      </c>
      <c r="E4" s="245">
        <v>1</v>
      </c>
      <c r="F4" s="246"/>
      <c r="G4" s="245">
        <f>E4+1</f>
        <v>2</v>
      </c>
      <c r="H4" s="246"/>
      <c r="I4" s="245">
        <f>G4+1</f>
        <v>3</v>
      </c>
      <c r="J4" s="246"/>
      <c r="K4" s="245">
        <f>I4+1</f>
        <v>4</v>
      </c>
      <c r="L4" s="246"/>
      <c r="M4" s="245">
        <f>K4+1</f>
        <v>5</v>
      </c>
      <c r="N4" s="246"/>
      <c r="O4" s="245">
        <f>M4+1</f>
        <v>6</v>
      </c>
      <c r="P4" s="246"/>
      <c r="Q4" s="245">
        <f>O4+1</f>
        <v>7</v>
      </c>
      <c r="R4" s="246"/>
      <c r="S4" s="245">
        <f>Q4+1</f>
        <v>8</v>
      </c>
      <c r="T4" s="246"/>
      <c r="U4" s="245">
        <f>S4+1</f>
        <v>9</v>
      </c>
      <c r="V4" s="246"/>
      <c r="W4" s="245">
        <f>U4+1</f>
        <v>10</v>
      </c>
      <c r="X4" s="246"/>
      <c r="Y4" s="245">
        <f>W4+1</f>
        <v>11</v>
      </c>
      <c r="Z4" s="246"/>
      <c r="AA4" s="245">
        <f>Y4+1</f>
        <v>12</v>
      </c>
      <c r="AB4" s="246"/>
      <c r="AC4" s="245">
        <f>AA4+1</f>
        <v>13</v>
      </c>
      <c r="AD4" s="246"/>
      <c r="AE4" s="245">
        <f>AC4+1</f>
        <v>14</v>
      </c>
      <c r="AF4" s="246"/>
      <c r="AG4" s="245">
        <f>AE4+1</f>
        <v>15</v>
      </c>
      <c r="AH4" s="246"/>
    </row>
    <row r="5" spans="3:34" ht="19.5" customHeight="1" thickBot="1" x14ac:dyDescent="0.3">
      <c r="C5" s="243" t="s">
        <v>9</v>
      </c>
      <c r="D5" s="140" t="s">
        <v>241</v>
      </c>
      <c r="E5" s="249" t="s">
        <v>351</v>
      </c>
      <c r="F5" s="250"/>
      <c r="G5" s="247" t="s">
        <v>352</v>
      </c>
      <c r="H5" s="248"/>
      <c r="I5" s="247" t="s">
        <v>353</v>
      </c>
      <c r="J5" s="248"/>
      <c r="K5" s="247" t="s">
        <v>354</v>
      </c>
      <c r="L5" s="248"/>
      <c r="M5" s="247" t="s">
        <v>355</v>
      </c>
      <c r="N5" s="248"/>
      <c r="O5" s="247" t="s">
        <v>356</v>
      </c>
      <c r="P5" s="248"/>
      <c r="Q5" s="247" t="s">
        <v>357</v>
      </c>
      <c r="R5" s="248"/>
      <c r="S5" s="247" t="s">
        <v>358</v>
      </c>
      <c r="T5" s="248"/>
      <c r="U5" s="247" t="s">
        <v>359</v>
      </c>
      <c r="V5" s="248"/>
      <c r="W5" s="247"/>
      <c r="X5" s="248"/>
      <c r="Y5" s="247"/>
      <c r="Z5" s="248"/>
      <c r="AA5" s="247"/>
      <c r="AB5" s="248"/>
      <c r="AC5" s="247"/>
      <c r="AD5" s="248"/>
      <c r="AE5" s="247"/>
      <c r="AF5" s="248"/>
      <c r="AG5" s="247"/>
      <c r="AH5" s="248"/>
    </row>
    <row r="6" spans="3:34" ht="32.25" customHeight="1" thickBot="1" x14ac:dyDescent="0.3">
      <c r="C6" s="244"/>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1</v>
      </c>
      <c r="E7" s="62">
        <v>0</v>
      </c>
      <c r="F7" s="63">
        <v>9</v>
      </c>
      <c r="G7" s="62"/>
      <c r="H7" s="63"/>
      <c r="I7" s="62">
        <v>0</v>
      </c>
      <c r="J7" s="63">
        <v>12</v>
      </c>
      <c r="K7" s="62"/>
      <c r="L7" s="63"/>
      <c r="M7" s="62"/>
      <c r="N7" s="63"/>
      <c r="O7" s="62"/>
      <c r="P7" s="63"/>
      <c r="Q7" s="62"/>
      <c r="R7" s="63"/>
      <c r="S7" s="62"/>
      <c r="T7" s="63"/>
      <c r="U7" s="62"/>
      <c r="V7" s="63"/>
      <c r="W7" s="62"/>
      <c r="X7" s="63"/>
      <c r="Y7" s="62"/>
      <c r="Z7" s="63"/>
      <c r="AA7" s="62"/>
      <c r="AB7" s="63"/>
      <c r="AC7" s="62"/>
      <c r="AD7" s="63"/>
      <c r="AE7" s="62"/>
      <c r="AF7" s="63"/>
      <c r="AG7" s="62"/>
      <c r="AH7" s="63"/>
    </row>
    <row r="8" spans="3:34" x14ac:dyDescent="0.25">
      <c r="C8" s="79">
        <v>2</v>
      </c>
      <c r="D8" s="61">
        <v>7</v>
      </c>
      <c r="E8" s="62"/>
      <c r="F8" s="63"/>
      <c r="G8" s="62"/>
      <c r="H8" s="63"/>
      <c r="I8" s="62">
        <v>25</v>
      </c>
      <c r="J8" s="63">
        <v>80</v>
      </c>
      <c r="K8" s="62">
        <v>20</v>
      </c>
      <c r="L8" s="63">
        <v>80</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8</v>
      </c>
      <c r="E9" s="62"/>
      <c r="F9" s="63"/>
      <c r="G9" s="62">
        <v>13</v>
      </c>
      <c r="H9" s="63">
        <v>34</v>
      </c>
      <c r="I9" s="62">
        <v>6</v>
      </c>
      <c r="J9" s="63">
        <v>36</v>
      </c>
      <c r="K9" s="62"/>
      <c r="L9" s="63"/>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9</v>
      </c>
      <c r="E10" s="62"/>
      <c r="F10" s="63"/>
      <c r="G10" s="62">
        <v>19</v>
      </c>
      <c r="H10" s="63">
        <v>50</v>
      </c>
      <c r="I10" s="62">
        <v>6</v>
      </c>
      <c r="J10" s="63">
        <v>52</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15</v>
      </c>
      <c r="E11" s="62">
        <v>2</v>
      </c>
      <c r="F11" s="63">
        <v>20</v>
      </c>
      <c r="G11" s="62"/>
      <c r="H11" s="63"/>
      <c r="I11" s="62"/>
      <c r="J11" s="63"/>
      <c r="K11" s="62"/>
      <c r="L11" s="63"/>
      <c r="M11" s="62"/>
      <c r="N11" s="63"/>
      <c r="O11" s="62"/>
      <c r="P11" s="63"/>
      <c r="Q11" s="62"/>
      <c r="R11" s="63"/>
      <c r="S11" s="62"/>
      <c r="T11" s="63"/>
      <c r="U11" s="62">
        <v>9</v>
      </c>
      <c r="V11" s="63">
        <v>19</v>
      </c>
      <c r="W11" s="62"/>
      <c r="X11" s="63"/>
      <c r="Y11" s="62"/>
      <c r="Z11" s="63"/>
      <c r="AA11" s="62"/>
      <c r="AB11" s="63"/>
      <c r="AC11" s="62"/>
      <c r="AD11" s="63"/>
      <c r="AE11" s="62"/>
      <c r="AF11" s="63"/>
      <c r="AG11" s="62"/>
      <c r="AH11" s="63"/>
    </row>
    <row r="12" spans="3:34" x14ac:dyDescent="0.25">
      <c r="C12" s="79">
        <v>6</v>
      </c>
      <c r="D12" s="61">
        <v>17</v>
      </c>
      <c r="E12" s="62"/>
      <c r="F12" s="63"/>
      <c r="G12" s="62">
        <v>12</v>
      </c>
      <c r="H12" s="63">
        <v>32</v>
      </c>
      <c r="I12" s="62"/>
      <c r="J12" s="63"/>
      <c r="K12" s="62"/>
      <c r="L12" s="63"/>
      <c r="M12" s="62"/>
      <c r="N12" s="63"/>
      <c r="O12" s="62"/>
      <c r="P12" s="63"/>
      <c r="Q12" s="62">
        <v>9</v>
      </c>
      <c r="R12" s="63">
        <v>31</v>
      </c>
      <c r="S12" s="62"/>
      <c r="T12" s="63"/>
      <c r="U12" s="62"/>
      <c r="V12" s="63"/>
      <c r="W12" s="62"/>
      <c r="X12" s="63"/>
      <c r="Y12" s="62"/>
      <c r="Z12" s="63"/>
      <c r="AA12" s="62"/>
      <c r="AB12" s="63"/>
      <c r="AC12" s="62"/>
      <c r="AD12" s="63"/>
      <c r="AE12" s="62"/>
      <c r="AF12" s="63"/>
      <c r="AG12" s="62"/>
      <c r="AH12" s="63"/>
    </row>
    <row r="13" spans="3:34" x14ac:dyDescent="0.25">
      <c r="C13" s="79">
        <v>7</v>
      </c>
      <c r="D13" s="61">
        <v>18</v>
      </c>
      <c r="E13" s="62"/>
      <c r="F13" s="63"/>
      <c r="G13" s="62">
        <v>13</v>
      </c>
      <c r="H13" s="63">
        <v>35</v>
      </c>
      <c r="I13" s="62"/>
      <c r="J13" s="63"/>
      <c r="K13" s="62"/>
      <c r="L13" s="63"/>
      <c r="M13" s="62">
        <v>5</v>
      </c>
      <c r="N13" s="63">
        <v>35</v>
      </c>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26</v>
      </c>
      <c r="E14" s="62">
        <v>17</v>
      </c>
      <c r="F14" s="63">
        <v>69</v>
      </c>
      <c r="G14" s="62"/>
      <c r="H14" s="63"/>
      <c r="I14" s="62"/>
      <c r="J14" s="63"/>
      <c r="K14" s="62"/>
      <c r="L14" s="63"/>
      <c r="M14" s="62"/>
      <c r="N14" s="63"/>
      <c r="O14" s="62"/>
      <c r="P14" s="63"/>
      <c r="Q14" s="62">
        <v>14</v>
      </c>
      <c r="R14" s="63">
        <v>71</v>
      </c>
      <c r="S14" s="62"/>
      <c r="T14" s="63"/>
      <c r="U14" s="62"/>
      <c r="V14" s="63"/>
      <c r="W14" s="62"/>
      <c r="X14" s="63"/>
      <c r="Y14" s="62"/>
      <c r="Z14" s="63"/>
      <c r="AA14" s="62"/>
      <c r="AB14" s="63"/>
      <c r="AC14" s="62"/>
      <c r="AD14" s="63"/>
      <c r="AE14" s="62"/>
      <c r="AF14" s="63"/>
      <c r="AG14" s="62"/>
      <c r="AH14" s="63"/>
    </row>
    <row r="15" spans="3:34" x14ac:dyDescent="0.25">
      <c r="C15" s="79">
        <v>9</v>
      </c>
      <c r="D15" s="61">
        <v>30</v>
      </c>
      <c r="E15" s="62"/>
      <c r="F15" s="63"/>
      <c r="G15" s="62"/>
      <c r="H15" s="63"/>
      <c r="I15" s="62"/>
      <c r="J15" s="63"/>
      <c r="K15" s="62"/>
      <c r="L15" s="63"/>
      <c r="M15" s="62"/>
      <c r="N15" s="63"/>
      <c r="O15" s="62"/>
      <c r="P15" s="63"/>
      <c r="Q15" s="62">
        <v>2</v>
      </c>
      <c r="R15" s="63">
        <v>12</v>
      </c>
      <c r="S15" s="62">
        <v>4</v>
      </c>
      <c r="T15" s="63">
        <v>11</v>
      </c>
      <c r="U15" s="62"/>
      <c r="V15" s="63"/>
      <c r="W15" s="62"/>
      <c r="X15" s="63"/>
      <c r="Y15" s="62"/>
      <c r="Z15" s="63"/>
      <c r="AA15" s="62"/>
      <c r="AB15" s="63"/>
      <c r="AC15" s="62"/>
      <c r="AD15" s="63"/>
      <c r="AE15" s="62"/>
      <c r="AF15" s="63"/>
      <c r="AG15" s="62"/>
      <c r="AH15" s="63"/>
    </row>
    <row r="16" spans="3:34" x14ac:dyDescent="0.25">
      <c r="C16" s="79">
        <v>10</v>
      </c>
      <c r="D16" s="61">
        <v>32</v>
      </c>
      <c r="E16" s="62"/>
      <c r="F16" s="63"/>
      <c r="G16" s="62"/>
      <c r="H16" s="63"/>
      <c r="I16" s="62">
        <v>9</v>
      </c>
      <c r="J16" s="63">
        <v>40</v>
      </c>
      <c r="K16" s="62">
        <v>11</v>
      </c>
      <c r="L16" s="63">
        <v>40</v>
      </c>
      <c r="M16" s="62"/>
      <c r="N16" s="63"/>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61">
        <v>35</v>
      </c>
      <c r="E17" s="62">
        <v>3</v>
      </c>
      <c r="F17" s="63">
        <v>20</v>
      </c>
      <c r="G17" s="62">
        <v>4</v>
      </c>
      <c r="H17" s="63">
        <v>20</v>
      </c>
      <c r="I17" s="62"/>
      <c r="J17" s="63"/>
      <c r="K17" s="62"/>
      <c r="L17" s="63"/>
      <c r="M17" s="62"/>
      <c r="N17" s="63"/>
      <c r="O17" s="62"/>
      <c r="P17" s="63"/>
      <c r="Q17" s="62"/>
      <c r="R17" s="63"/>
      <c r="S17" s="62"/>
      <c r="T17" s="63"/>
      <c r="U17" s="62"/>
      <c r="V17" s="63"/>
      <c r="W17" s="62"/>
      <c r="X17" s="63"/>
      <c r="Y17" s="62"/>
      <c r="Z17" s="63"/>
      <c r="AA17" s="62"/>
      <c r="AB17" s="63"/>
      <c r="AC17" s="62"/>
      <c r="AD17" s="63"/>
      <c r="AE17" s="62"/>
      <c r="AF17" s="63"/>
      <c r="AG17" s="62"/>
      <c r="AH17" s="63"/>
    </row>
    <row r="18" spans="3:34" x14ac:dyDescent="0.25">
      <c r="C18" s="79">
        <v>12</v>
      </c>
      <c r="D18" s="61">
        <v>37</v>
      </c>
      <c r="E18" s="62">
        <v>1</v>
      </c>
      <c r="F18" s="63">
        <v>15</v>
      </c>
      <c r="G18" s="62">
        <v>4</v>
      </c>
      <c r="H18" s="63">
        <v>18</v>
      </c>
      <c r="I18" s="62"/>
      <c r="J18" s="63"/>
      <c r="K18" s="62"/>
      <c r="L18" s="63"/>
      <c r="M18" s="62"/>
      <c r="N18" s="63"/>
      <c r="O18" s="62"/>
      <c r="P18" s="63"/>
      <c r="Q18" s="62"/>
      <c r="R18" s="63"/>
      <c r="S18" s="62"/>
      <c r="T18" s="63"/>
      <c r="U18" s="62"/>
      <c r="V18" s="63"/>
      <c r="W18" s="62"/>
      <c r="X18" s="63"/>
      <c r="Y18" s="62"/>
      <c r="Z18" s="63"/>
      <c r="AA18" s="62"/>
      <c r="AB18" s="63"/>
      <c r="AC18" s="62"/>
      <c r="AD18" s="63"/>
      <c r="AE18" s="62"/>
      <c r="AF18" s="63"/>
      <c r="AG18" s="62"/>
      <c r="AH18" s="63"/>
    </row>
    <row r="19" spans="3:34" x14ac:dyDescent="0.25">
      <c r="C19" s="79">
        <v>13</v>
      </c>
      <c r="D19" s="61">
        <v>45</v>
      </c>
      <c r="E19" s="62"/>
      <c r="F19" s="63"/>
      <c r="G19" s="62"/>
      <c r="H19" s="63"/>
      <c r="I19" s="62"/>
      <c r="J19" s="63"/>
      <c r="K19" s="62"/>
      <c r="L19" s="63"/>
      <c r="M19" s="62"/>
      <c r="N19" s="63"/>
      <c r="O19" s="62"/>
      <c r="P19" s="63"/>
      <c r="Q19" s="62">
        <v>4</v>
      </c>
      <c r="R19" s="63">
        <v>15</v>
      </c>
      <c r="S19" s="62">
        <v>11</v>
      </c>
      <c r="T19" s="63">
        <v>15</v>
      </c>
      <c r="U19" s="62"/>
      <c r="V19" s="63"/>
      <c r="W19" s="62"/>
      <c r="X19" s="63"/>
      <c r="Y19" s="62"/>
      <c r="Z19" s="63"/>
      <c r="AA19" s="62"/>
      <c r="AB19" s="63"/>
      <c r="AC19" s="62"/>
      <c r="AD19" s="63"/>
      <c r="AE19" s="62"/>
      <c r="AF19" s="63"/>
      <c r="AG19" s="62"/>
      <c r="AH19" s="63"/>
    </row>
    <row r="20" spans="3:34" x14ac:dyDescent="0.25">
      <c r="C20" s="79">
        <v>14</v>
      </c>
      <c r="D20" s="61">
        <v>47</v>
      </c>
      <c r="E20" s="62"/>
      <c r="F20" s="63"/>
      <c r="G20" s="62">
        <v>9</v>
      </c>
      <c r="H20" s="63">
        <v>54</v>
      </c>
      <c r="I20" s="62"/>
      <c r="J20" s="63"/>
      <c r="K20" s="62"/>
      <c r="L20" s="63"/>
      <c r="M20" s="62"/>
      <c r="N20" s="63"/>
      <c r="O20" s="62"/>
      <c r="P20" s="63"/>
      <c r="Q20" s="62"/>
      <c r="R20" s="63"/>
      <c r="S20" s="62">
        <v>24</v>
      </c>
      <c r="T20" s="63">
        <v>51</v>
      </c>
      <c r="U20" s="62"/>
      <c r="V20" s="63"/>
      <c r="W20" s="62"/>
      <c r="X20" s="63"/>
      <c r="Y20" s="62"/>
      <c r="Z20" s="63"/>
      <c r="AA20" s="62"/>
      <c r="AB20" s="63"/>
      <c r="AC20" s="62"/>
      <c r="AD20" s="63"/>
      <c r="AE20" s="62"/>
      <c r="AF20" s="63"/>
      <c r="AG20" s="62"/>
      <c r="AH20" s="63"/>
    </row>
    <row r="21" spans="3:34" x14ac:dyDescent="0.25">
      <c r="C21" s="79">
        <v>15</v>
      </c>
      <c r="D21" s="61">
        <v>49</v>
      </c>
      <c r="E21" s="62">
        <v>7</v>
      </c>
      <c r="F21" s="63">
        <v>59</v>
      </c>
      <c r="G21" s="62">
        <v>8</v>
      </c>
      <c r="H21" s="63">
        <v>60</v>
      </c>
      <c r="I21" s="62"/>
      <c r="J21" s="63"/>
      <c r="K21" s="62"/>
      <c r="L21" s="63"/>
      <c r="M21" s="62"/>
      <c r="N21" s="63"/>
      <c r="O21" s="62"/>
      <c r="P21" s="63"/>
      <c r="Q21" s="62"/>
      <c r="R21" s="63"/>
      <c r="S21" s="62"/>
      <c r="T21" s="63"/>
      <c r="U21" s="62"/>
      <c r="V21" s="63"/>
      <c r="W21" s="62"/>
      <c r="X21" s="63"/>
      <c r="Y21" s="62"/>
      <c r="Z21" s="63"/>
      <c r="AA21" s="62"/>
      <c r="AB21" s="63"/>
      <c r="AC21" s="62"/>
      <c r="AD21" s="63"/>
      <c r="AE21" s="62"/>
      <c r="AF21" s="63"/>
      <c r="AG21" s="62"/>
      <c r="AH21" s="63"/>
    </row>
    <row r="22" spans="3:34" x14ac:dyDescent="0.25">
      <c r="C22" s="79">
        <v>16</v>
      </c>
      <c r="D22" s="61">
        <v>53</v>
      </c>
      <c r="E22" s="62">
        <v>9</v>
      </c>
      <c r="F22" s="63">
        <v>74</v>
      </c>
      <c r="G22" s="62">
        <v>12</v>
      </c>
      <c r="H22" s="63">
        <v>74</v>
      </c>
      <c r="I22" s="62"/>
      <c r="J22" s="63"/>
      <c r="K22" s="62"/>
      <c r="L22" s="63"/>
      <c r="M22" s="62"/>
      <c r="N22" s="63"/>
      <c r="O22" s="62"/>
      <c r="P22" s="63"/>
      <c r="Q22" s="62"/>
      <c r="R22" s="63"/>
      <c r="S22" s="62"/>
      <c r="T22" s="63"/>
      <c r="U22" s="62"/>
      <c r="V22" s="63"/>
      <c r="W22" s="62"/>
      <c r="X22" s="63"/>
      <c r="Y22" s="62"/>
      <c r="Z22" s="63"/>
      <c r="AA22" s="62"/>
      <c r="AB22" s="63"/>
      <c r="AC22" s="62"/>
      <c r="AD22" s="63"/>
      <c r="AE22" s="62"/>
      <c r="AF22" s="63"/>
      <c r="AG22" s="62"/>
      <c r="AH22" s="63"/>
    </row>
    <row r="23" spans="3:34" x14ac:dyDescent="0.25">
      <c r="C23" s="79">
        <v>17</v>
      </c>
      <c r="D23" s="61">
        <v>54</v>
      </c>
      <c r="E23" s="62"/>
      <c r="F23" s="63"/>
      <c r="G23" s="62"/>
      <c r="H23" s="63"/>
      <c r="I23" s="62">
        <v>32</v>
      </c>
      <c r="J23" s="63">
        <v>48</v>
      </c>
      <c r="K23" s="62"/>
      <c r="L23" s="63"/>
      <c r="M23" s="62"/>
      <c r="N23" s="63"/>
      <c r="O23" s="62"/>
      <c r="P23" s="63"/>
      <c r="Q23" s="62">
        <v>20</v>
      </c>
      <c r="R23" s="63">
        <v>35</v>
      </c>
      <c r="S23" s="62"/>
      <c r="T23" s="63"/>
      <c r="U23" s="62"/>
      <c r="V23" s="63"/>
      <c r="W23" s="62"/>
      <c r="X23" s="63"/>
      <c r="Y23" s="62"/>
      <c r="Z23" s="63"/>
      <c r="AA23" s="62"/>
      <c r="AB23" s="63"/>
      <c r="AC23" s="62"/>
      <c r="AD23" s="63"/>
      <c r="AE23" s="62"/>
      <c r="AF23" s="63"/>
      <c r="AG23" s="62"/>
      <c r="AH23" s="63"/>
    </row>
    <row r="24" spans="3:34" x14ac:dyDescent="0.25">
      <c r="C24" s="79">
        <v>18</v>
      </c>
      <c r="D24" s="61">
        <v>56</v>
      </c>
      <c r="E24" s="62"/>
      <c r="F24" s="63"/>
      <c r="G24" s="62"/>
      <c r="H24" s="63"/>
      <c r="I24" s="62">
        <v>10</v>
      </c>
      <c r="J24" s="63">
        <v>30</v>
      </c>
      <c r="K24" s="62"/>
      <c r="L24" s="63"/>
      <c r="M24" s="62"/>
      <c r="N24" s="63"/>
      <c r="O24" s="62">
        <v>6</v>
      </c>
      <c r="P24" s="63">
        <v>30</v>
      </c>
      <c r="Q24" s="62"/>
      <c r="R24" s="63"/>
      <c r="S24" s="62"/>
      <c r="T24" s="63"/>
      <c r="U24" s="62"/>
      <c r="V24" s="63"/>
      <c r="W24" s="62"/>
      <c r="X24" s="63"/>
      <c r="Y24" s="62"/>
      <c r="Z24" s="63"/>
      <c r="AA24" s="62"/>
      <c r="AB24" s="63"/>
      <c r="AC24" s="62"/>
      <c r="AD24" s="63"/>
      <c r="AE24" s="62"/>
      <c r="AF24" s="63"/>
      <c r="AG24" s="62"/>
      <c r="AH24" s="63"/>
    </row>
    <row r="25" spans="3:34" x14ac:dyDescent="0.25">
      <c r="C25" s="79">
        <v>19</v>
      </c>
      <c r="D25" s="61">
        <v>62</v>
      </c>
      <c r="E25" s="62">
        <v>3</v>
      </c>
      <c r="F25" s="63">
        <v>24</v>
      </c>
      <c r="G25" s="62">
        <v>7</v>
      </c>
      <c r="H25" s="63">
        <v>23</v>
      </c>
      <c r="I25" s="62"/>
      <c r="J25" s="63"/>
      <c r="K25" s="62"/>
      <c r="L25" s="63"/>
      <c r="M25" s="62"/>
      <c r="N25" s="63"/>
      <c r="O25" s="62"/>
      <c r="P25" s="63"/>
      <c r="Q25" s="62"/>
      <c r="R25" s="63"/>
      <c r="S25" s="62"/>
      <c r="T25" s="63"/>
      <c r="U25" s="62"/>
      <c r="V25" s="63"/>
      <c r="W25" s="62"/>
      <c r="X25" s="63"/>
      <c r="Y25" s="62"/>
      <c r="Z25" s="63"/>
      <c r="AA25" s="62"/>
      <c r="AB25" s="63"/>
      <c r="AC25" s="62"/>
      <c r="AD25" s="63"/>
      <c r="AE25" s="62"/>
      <c r="AF25" s="63"/>
      <c r="AG25" s="62"/>
      <c r="AH25" s="63"/>
    </row>
    <row r="26" spans="3:34" x14ac:dyDescent="0.25">
      <c r="C26" s="79">
        <v>20</v>
      </c>
      <c r="D26" s="61">
        <v>65</v>
      </c>
      <c r="E26" s="62">
        <v>2</v>
      </c>
      <c r="F26" s="63">
        <v>18</v>
      </c>
      <c r="G26" s="62"/>
      <c r="H26" s="63"/>
      <c r="I26" s="62">
        <v>1</v>
      </c>
      <c r="J26" s="63">
        <v>16</v>
      </c>
      <c r="K26" s="62"/>
      <c r="L26" s="63"/>
      <c r="M26" s="62"/>
      <c r="N26" s="63"/>
      <c r="O26" s="62"/>
      <c r="P26" s="63"/>
      <c r="Q26" s="62"/>
      <c r="R26" s="63"/>
      <c r="S26" s="62"/>
      <c r="T26" s="63"/>
      <c r="U26" s="62"/>
      <c r="V26" s="63"/>
      <c r="W26" s="62"/>
      <c r="X26" s="63"/>
      <c r="Y26" s="62"/>
      <c r="Z26" s="63"/>
      <c r="AA26" s="62"/>
      <c r="AB26" s="63"/>
      <c r="AC26" s="62"/>
      <c r="AD26" s="63"/>
      <c r="AE26" s="62"/>
      <c r="AF26" s="63"/>
      <c r="AG26" s="62"/>
      <c r="AH26" s="63"/>
    </row>
    <row r="27" spans="3:34" x14ac:dyDescent="0.25">
      <c r="C27" s="79">
        <v>21</v>
      </c>
      <c r="D27" s="61">
        <v>67</v>
      </c>
      <c r="E27" s="62"/>
      <c r="F27" s="63"/>
      <c r="G27" s="62"/>
      <c r="H27" s="63"/>
      <c r="I27" s="62"/>
      <c r="J27" s="63"/>
      <c r="K27" s="62">
        <v>12</v>
      </c>
      <c r="L27" s="63">
        <v>67</v>
      </c>
      <c r="M27" s="62"/>
      <c r="N27" s="63"/>
      <c r="O27" s="62">
        <v>17</v>
      </c>
      <c r="P27" s="63">
        <v>62</v>
      </c>
      <c r="Q27" s="62"/>
      <c r="R27" s="63"/>
      <c r="S27" s="62"/>
      <c r="T27" s="63"/>
      <c r="U27" s="62"/>
      <c r="V27" s="63"/>
      <c r="W27" s="62"/>
      <c r="X27" s="63"/>
      <c r="Y27" s="62"/>
      <c r="Z27" s="63"/>
      <c r="AA27" s="62"/>
      <c r="AB27" s="63"/>
      <c r="AC27" s="62"/>
      <c r="AD27" s="63"/>
      <c r="AE27" s="62"/>
      <c r="AF27" s="63"/>
      <c r="AG27" s="62"/>
      <c r="AH27" s="63"/>
    </row>
    <row r="28" spans="3:34" x14ac:dyDescent="0.25">
      <c r="C28" s="79">
        <v>22</v>
      </c>
      <c r="D28" s="61"/>
      <c r="E28" s="62"/>
      <c r="F28" s="63"/>
      <c r="G28" s="62"/>
      <c r="H28" s="63"/>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c r="E29" s="62"/>
      <c r="F29" s="63"/>
      <c r="G29" s="62"/>
      <c r="H29" s="63"/>
      <c r="I29" s="62"/>
      <c r="J29" s="63"/>
      <c r="K29" s="62"/>
      <c r="L29" s="63"/>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c r="E30" s="62"/>
      <c r="F30" s="63"/>
      <c r="G30" s="62"/>
      <c r="H30" s="63"/>
      <c r="I30" s="62"/>
      <c r="J30" s="63"/>
      <c r="K30" s="62"/>
      <c r="L30" s="63"/>
      <c r="M30" s="62"/>
      <c r="N30" s="63"/>
      <c r="O30" s="62"/>
      <c r="P30" s="63"/>
      <c r="Q30" s="62"/>
      <c r="R30" s="63"/>
      <c r="S30" s="62"/>
      <c r="T30" s="63"/>
      <c r="U30" s="62"/>
      <c r="V30" s="63"/>
      <c r="W30" s="62"/>
      <c r="X30" s="63"/>
      <c r="Y30" s="62"/>
      <c r="Z30" s="63"/>
      <c r="AA30" s="62"/>
      <c r="AB30" s="63"/>
      <c r="AC30" s="62"/>
      <c r="AD30" s="63"/>
      <c r="AE30" s="62"/>
      <c r="AF30" s="63"/>
      <c r="AG30" s="62"/>
      <c r="AH30" s="63"/>
    </row>
    <row r="31" spans="3:34" x14ac:dyDescent="0.25">
      <c r="C31" s="79">
        <v>25</v>
      </c>
      <c r="D31" s="61"/>
      <c r="E31" s="62"/>
      <c r="F31" s="63"/>
      <c r="G31" s="62"/>
      <c r="H31" s="63"/>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c r="E32" s="62"/>
      <c r="F32" s="63"/>
      <c r="G32" s="62"/>
      <c r="H32" s="63"/>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c r="E33" s="62"/>
      <c r="F33" s="63"/>
      <c r="G33" s="62"/>
      <c r="H33" s="63"/>
      <c r="I33" s="62"/>
      <c r="J33" s="63"/>
      <c r="K33" s="62"/>
      <c r="L33" s="63"/>
      <c r="M33" s="62"/>
      <c r="N33" s="63"/>
      <c r="O33" s="62"/>
      <c r="P33" s="63"/>
      <c r="Q33" s="62"/>
      <c r="R33" s="63"/>
      <c r="S33" s="62"/>
      <c r="T33" s="63"/>
      <c r="U33" s="62"/>
      <c r="V33" s="63"/>
      <c r="W33" s="62"/>
      <c r="X33" s="63"/>
      <c r="Y33" s="62"/>
      <c r="Z33" s="63"/>
      <c r="AA33" s="62"/>
      <c r="AB33" s="63"/>
      <c r="AC33" s="62"/>
      <c r="AD33" s="63"/>
      <c r="AE33" s="62"/>
      <c r="AF33" s="63"/>
      <c r="AG33" s="62"/>
      <c r="AH33" s="63"/>
    </row>
    <row r="34" spans="3:34" x14ac:dyDescent="0.25">
      <c r="C34" s="79">
        <v>28</v>
      </c>
      <c r="D34" s="61"/>
      <c r="E34" s="62"/>
      <c r="F34" s="63"/>
      <c r="G34" s="62"/>
      <c r="H34" s="63"/>
      <c r="I34" s="62"/>
      <c r="J34" s="63"/>
      <c r="K34" s="62"/>
      <c r="L34" s="63"/>
      <c r="M34" s="62"/>
      <c r="N34" s="63"/>
      <c r="O34" s="62"/>
      <c r="P34" s="63"/>
      <c r="Q34" s="62"/>
      <c r="R34" s="63"/>
      <c r="S34" s="62"/>
      <c r="T34" s="63"/>
      <c r="U34" s="62"/>
      <c r="V34" s="63"/>
      <c r="W34" s="62"/>
      <c r="X34" s="63"/>
      <c r="Y34" s="62"/>
      <c r="Z34" s="63"/>
      <c r="AA34" s="62"/>
      <c r="AB34" s="63"/>
      <c r="AC34" s="62"/>
      <c r="AD34" s="63"/>
      <c r="AE34" s="62"/>
      <c r="AF34" s="63"/>
      <c r="AG34" s="62"/>
      <c r="AH34" s="63"/>
    </row>
    <row r="35" spans="3:34" x14ac:dyDescent="0.25">
      <c r="C35" s="79">
        <v>29</v>
      </c>
      <c r="D35" s="61"/>
      <c r="E35" s="62"/>
      <c r="F35" s="63"/>
      <c r="G35" s="62"/>
      <c r="H35" s="63"/>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c r="E36" s="62"/>
      <c r="F36" s="63"/>
      <c r="G36" s="62"/>
      <c r="H36" s="63"/>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c r="E37" s="62"/>
      <c r="F37" s="63"/>
      <c r="G37" s="62"/>
      <c r="H37" s="63"/>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c r="E38" s="62"/>
      <c r="F38" s="63"/>
      <c r="G38" s="62"/>
      <c r="H38" s="63"/>
      <c r="I38" s="62"/>
      <c r="J38" s="63"/>
      <c r="K38" s="62"/>
      <c r="L38" s="63"/>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19</v>
      </c>
      <c r="D57" s="77">
        <f>SUM(patient_totals)</f>
        <v>1596</v>
      </c>
      <c r="E57" s="251">
        <f>IF(SUM(F7:F56)=0,"",SUM(F7:F56))</f>
        <v>308</v>
      </c>
      <c r="F57" s="252"/>
      <c r="G57" s="251">
        <f>IF(SUM(H7:H56)=0,"",SUM(H7:H56))</f>
        <v>400</v>
      </c>
      <c r="H57" s="252"/>
      <c r="I57" s="251">
        <f>IF(SUM(J7:J56)=0,"",SUM(J7:J56))</f>
        <v>314</v>
      </c>
      <c r="J57" s="252"/>
      <c r="K57" s="251">
        <f>IF(SUM(L7:L56)=0,"",SUM(L7:L56))</f>
        <v>187</v>
      </c>
      <c r="L57" s="252"/>
      <c r="M57" s="251">
        <f>IF(SUM(N7:N56)=0,"",SUM(N7:N56))</f>
        <v>35</v>
      </c>
      <c r="N57" s="252"/>
      <c r="O57" s="251">
        <f>IF(SUM(P7:P56)=0,"",SUM(P7:P56))</f>
        <v>92</v>
      </c>
      <c r="P57" s="252"/>
      <c r="Q57" s="251">
        <f>IF(SUM(R7:R56)=0,"",SUM(R7:R56))</f>
        <v>164</v>
      </c>
      <c r="R57" s="252"/>
      <c r="S57" s="251">
        <f>IF(SUM(T7:T56)=0,"",SUM(T7:T56))</f>
        <v>77</v>
      </c>
      <c r="T57" s="252"/>
      <c r="U57" s="251">
        <f>IF(SUM(V7:V56)=0,"",SUM(V7:V56))</f>
        <v>19</v>
      </c>
      <c r="V57" s="252"/>
      <c r="W57" s="251" t="str">
        <f>IF(SUM(X7:X56)=0,"",SUM(X7:X56))</f>
        <v/>
      </c>
      <c r="X57" s="252"/>
      <c r="Y57" s="251" t="str">
        <f>IF(SUM(Z7:Z56)=0,"",SUM(Z7:Z56))</f>
        <v/>
      </c>
      <c r="Z57" s="252"/>
      <c r="AA57" s="251" t="str">
        <f>IF(SUM(AB7:AB56)=0,"",SUM(AB7:AB56))</f>
        <v/>
      </c>
      <c r="AB57" s="252"/>
      <c r="AC57" s="251" t="str">
        <f>IF(SUM(AD7:AD56)=0,"",SUM(AD7:AD56))</f>
        <v/>
      </c>
      <c r="AD57" s="252"/>
      <c r="AE57" s="251" t="str">
        <f>IF(SUM(AF7:AF56)=0,"",SUM(AF7:AF56))</f>
        <v/>
      </c>
      <c r="AF57" s="252"/>
      <c r="AG57" s="253" t="str">
        <f>IF(SUM(AH7:AH56)=0,"",SUM(AH7:AH56))</f>
        <v/>
      </c>
      <c r="AH57" s="252"/>
    </row>
  </sheetData>
  <sheetProtection selectLockedCells="1"/>
  <mergeCells count="47">
    <mergeCell ref="AE4:AF4"/>
    <mergeCell ref="AG4:AH4"/>
    <mergeCell ref="E3:AH3"/>
    <mergeCell ref="U4:V4"/>
    <mergeCell ref="W4:X4"/>
    <mergeCell ref="Y4:Z4"/>
    <mergeCell ref="AA4:AB4"/>
    <mergeCell ref="AC4:AD4"/>
    <mergeCell ref="K4:L4"/>
    <mergeCell ref="M4:N4"/>
    <mergeCell ref="O4:P4"/>
    <mergeCell ref="Q4:R4"/>
    <mergeCell ref="S4:T4"/>
    <mergeCell ref="Y57:Z57"/>
    <mergeCell ref="AA57:AB57"/>
    <mergeCell ref="AC57:AD57"/>
    <mergeCell ref="AE57:AF57"/>
    <mergeCell ref="AG57:AH57"/>
    <mergeCell ref="O57:P57"/>
    <mergeCell ref="Q57:R57"/>
    <mergeCell ref="S57:T57"/>
    <mergeCell ref="U57:V57"/>
    <mergeCell ref="W57:X57"/>
    <mergeCell ref="E57:F57"/>
    <mergeCell ref="G57:H57"/>
    <mergeCell ref="I57:J57"/>
    <mergeCell ref="K57:L57"/>
    <mergeCell ref="M57:N57"/>
    <mergeCell ref="AA5:AB5"/>
    <mergeCell ref="AC5:AD5"/>
    <mergeCell ref="AE5:AF5"/>
    <mergeCell ref="AG5:AH5"/>
    <mergeCell ref="U5:V5"/>
    <mergeCell ref="W5:X5"/>
    <mergeCell ref="Y5:Z5"/>
    <mergeCell ref="Q5:R5"/>
    <mergeCell ref="S5:T5"/>
    <mergeCell ref="E5:F5"/>
    <mergeCell ref="G5:H5"/>
    <mergeCell ref="I5:J5"/>
    <mergeCell ref="K5:L5"/>
    <mergeCell ref="M5:N5"/>
    <mergeCell ref="C5:C6"/>
    <mergeCell ref="E4:F4"/>
    <mergeCell ref="G4:H4"/>
    <mergeCell ref="I4:J4"/>
    <mergeCell ref="O5:P5"/>
  </mergeCells>
  <conditionalFormatting sqref="D11 D28:D56">
    <cfRule type="expression" dxfId="151" priority="204">
      <formula>$D10&lt;&gt;""</formula>
    </cfRule>
  </conditionalFormatting>
  <conditionalFormatting sqref="G5:H5">
    <cfRule type="expression" dxfId="150" priority="203">
      <formula>E$5&lt;&gt;""</formula>
    </cfRule>
  </conditionalFormatting>
  <conditionalFormatting sqref="I5:AH5">
    <cfRule type="expression" dxfId="149" priority="202">
      <formula>G$5&lt;&gt;""</formula>
    </cfRule>
  </conditionalFormatting>
  <conditionalFormatting sqref="E11 E28:E56">
    <cfRule type="expression" dxfId="148" priority="197">
      <formula>AND($D11&lt;&gt;"",E$5&lt;&gt;"")</formula>
    </cfRule>
  </conditionalFormatting>
  <conditionalFormatting sqref="F11 F28:F56">
    <cfRule type="expression" dxfId="147" priority="196">
      <formula>AND($D11&lt;&gt;"",E$5&lt;&gt;"")</formula>
    </cfRule>
  </conditionalFormatting>
  <conditionalFormatting sqref="M7 O7 Q7 S7 U7 W7 Y7 AA7 AC7 AE7 AG7">
    <cfRule type="expression" dxfId="146" priority="193">
      <formula>AND($D7&lt;&gt;"",M$5&lt;&gt;"")</formula>
    </cfRule>
  </conditionalFormatting>
  <conditionalFormatting sqref="N7 P7 R7 T7 V7 X7 Z7 AB7 AD7 AF7 AH7">
    <cfRule type="expression" dxfId="145" priority="192">
      <formula>AND($D7&lt;&gt;"",M$5&lt;&gt;"")</formula>
    </cfRule>
  </conditionalFormatting>
  <conditionalFormatting sqref="G11 G28:G56">
    <cfRule type="expression" dxfId="144" priority="191">
      <formula>AND($D11&lt;&gt;"",G$5&lt;&gt;"")</formula>
    </cfRule>
  </conditionalFormatting>
  <conditionalFormatting sqref="H11 H28:H56">
    <cfRule type="expression" dxfId="143" priority="190">
      <formula>AND($D11&lt;&gt;"",G$5&lt;&gt;"")</formula>
    </cfRule>
  </conditionalFormatting>
  <conditionalFormatting sqref="I11 O8:O11 Q8:Q11 S8:S13 U8:U14 W8:W14 Y8:Y56 AA8:AA56 AC8:AC56 AE8:AE56 AG8:AG56 K11 M8:M11 K17 I25 W16:W18 K25 M25:M56 S24:S56 Q24:Q56 O25:O56 W20:W56 U24:U56 M16:M17 Q13 O13 O16:O17 Q16:Q17 S16:S17 U16:U18 K28:K56 I28:I56">
    <cfRule type="expression" dxfId="142" priority="189">
      <formula>AND($D8&lt;&gt;"",I$5&lt;&gt;"")</formula>
    </cfRule>
  </conditionalFormatting>
  <conditionalFormatting sqref="J11 P8:P11 R8:R11 T8:T13 V8:V14 X8:X14 Z8:Z56 AB8:AB56 AD8:AD56 AF8:AF56 AH8:AH56 L11 N8:N11 L17 J25 X16:X18 L25 N25:N56 T24:T56 R24:R56 P25:P56 X20:X56 V24:V56 N16:N17 R13 P13 P16:P17 R16:R17 T16:T17 V16:V18 L28:L56 J28:J56">
    <cfRule type="expression" dxfId="141" priority="188">
      <formula>AND($D8&lt;&gt;"",I$5&lt;&gt;"")</formula>
    </cfRule>
  </conditionalFormatting>
  <conditionalFormatting sqref="M11 M16:M17">
    <cfRule type="expression" dxfId="140" priority="187">
      <formula>AND($D11&lt;&gt;"",M$5&lt;&gt;"")</formula>
    </cfRule>
  </conditionalFormatting>
  <conditionalFormatting sqref="N11 N16:N17">
    <cfRule type="expression" dxfId="139" priority="186">
      <formula>AND($D11&lt;&gt;"",M$5&lt;&gt;"")</formula>
    </cfRule>
  </conditionalFormatting>
  <conditionalFormatting sqref="M7">
    <cfRule type="expression" dxfId="138" priority="185">
      <formula>AND($D7&lt;&gt;"",M$5&lt;&gt;"")</formula>
    </cfRule>
  </conditionalFormatting>
  <conditionalFormatting sqref="N7">
    <cfRule type="expression" dxfId="137" priority="184">
      <formula>AND($D7&lt;&gt;"",M$5&lt;&gt;"")</formula>
    </cfRule>
  </conditionalFormatting>
  <conditionalFormatting sqref="K11">
    <cfRule type="expression" dxfId="136" priority="183">
      <formula>AND($D11&lt;&gt;"",K$5&lt;&gt;"")</formula>
    </cfRule>
  </conditionalFormatting>
  <conditionalFormatting sqref="L11">
    <cfRule type="expression" dxfId="135" priority="182">
      <formula>AND($D11&lt;&gt;"",K$5&lt;&gt;"")</formula>
    </cfRule>
  </conditionalFormatting>
  <conditionalFormatting sqref="K11">
    <cfRule type="expression" dxfId="134" priority="181">
      <formula>AND($D11&lt;&gt;"",K$5&lt;&gt;"")</formula>
    </cfRule>
  </conditionalFormatting>
  <conditionalFormatting sqref="L11">
    <cfRule type="expression" dxfId="133" priority="180">
      <formula>AND($D11&lt;&gt;"",K$5&lt;&gt;"")</formula>
    </cfRule>
  </conditionalFormatting>
  <conditionalFormatting sqref="M8">
    <cfRule type="expression" dxfId="132" priority="179">
      <formula>AND($D8&lt;&gt;"",M$5&lt;&gt;"")</formula>
    </cfRule>
  </conditionalFormatting>
  <conditionalFormatting sqref="N8">
    <cfRule type="expression" dxfId="131" priority="178">
      <formula>AND($D8&lt;&gt;"",M$5&lt;&gt;"")</formula>
    </cfRule>
  </conditionalFormatting>
  <conditionalFormatting sqref="G5:H5">
    <cfRule type="expression" dxfId="130" priority="177">
      <formula>E$5&lt;&gt;""</formula>
    </cfRule>
  </conditionalFormatting>
  <conditionalFormatting sqref="I5:R5">
    <cfRule type="expression" dxfId="129" priority="176">
      <formula>G$5&lt;&gt;""</formula>
    </cfRule>
  </conditionalFormatting>
  <conditionalFormatting sqref="G5:H5">
    <cfRule type="expression" dxfId="128" priority="175">
      <formula>E$5&lt;&gt;""</formula>
    </cfRule>
  </conditionalFormatting>
  <conditionalFormatting sqref="I5:R5">
    <cfRule type="expression" dxfId="127" priority="174">
      <formula>G$5&lt;&gt;""</formula>
    </cfRule>
  </conditionalFormatting>
  <conditionalFormatting sqref="W15">
    <cfRule type="expression" dxfId="126" priority="161">
      <formula>AND($D15&lt;&gt;"",W$5&lt;&gt;"")</formula>
    </cfRule>
  </conditionalFormatting>
  <conditionalFormatting sqref="X15">
    <cfRule type="expression" dxfId="125" priority="160">
      <formula>AND($D15&lt;&gt;"",W$5&lt;&gt;"")</formula>
    </cfRule>
  </conditionalFormatting>
  <conditionalFormatting sqref="I17">
    <cfRule type="expression" dxfId="124" priority="151">
      <formula>AND($D17&lt;&gt;"",I$5&lt;&gt;"")</formula>
    </cfRule>
  </conditionalFormatting>
  <conditionalFormatting sqref="J17">
    <cfRule type="expression" dxfId="123" priority="150">
      <formula>AND($D17&lt;&gt;"",I$5&lt;&gt;"")</formula>
    </cfRule>
  </conditionalFormatting>
  <conditionalFormatting sqref="I18 K18 M18 S18 Q18 O18">
    <cfRule type="expression" dxfId="122" priority="145">
      <formula>AND($D18&lt;&gt;"",I$5&lt;&gt;"")</formula>
    </cfRule>
  </conditionalFormatting>
  <conditionalFormatting sqref="J18 L18 N18 T18 R18 P18">
    <cfRule type="expression" dxfId="121" priority="144">
      <formula>AND($D18&lt;&gt;"",I$5&lt;&gt;"")</formula>
    </cfRule>
  </conditionalFormatting>
  <conditionalFormatting sqref="W19">
    <cfRule type="expression" dxfId="120" priority="139">
      <formula>AND($D19&lt;&gt;"",W$5&lt;&gt;"")</formula>
    </cfRule>
  </conditionalFormatting>
  <conditionalFormatting sqref="X19">
    <cfRule type="expression" dxfId="119" priority="138">
      <formula>AND($D19&lt;&gt;"",W$5&lt;&gt;"")</formula>
    </cfRule>
  </conditionalFormatting>
  <conditionalFormatting sqref="D8">
    <cfRule type="expression" dxfId="118" priority="117">
      <formula>$D7&lt;&gt;""</formula>
    </cfRule>
  </conditionalFormatting>
  <conditionalFormatting sqref="D9">
    <cfRule type="expression" dxfId="117" priority="116">
      <formula>$D8&lt;&gt;""</formula>
    </cfRule>
  </conditionalFormatting>
  <conditionalFormatting sqref="D10">
    <cfRule type="expression" dxfId="116" priority="115">
      <formula>$D9&lt;&gt;""</formula>
    </cfRule>
  </conditionalFormatting>
  <conditionalFormatting sqref="E7">
    <cfRule type="expression" dxfId="115" priority="114">
      <formula>AND($D7&lt;&gt;"",E$5&lt;&gt;"")</formula>
    </cfRule>
  </conditionalFormatting>
  <conditionalFormatting sqref="F7">
    <cfRule type="expression" dxfId="114" priority="113">
      <formula>AND($D7&lt;&gt;"",E$5&lt;&gt;"")</formula>
    </cfRule>
  </conditionalFormatting>
  <conditionalFormatting sqref="E8:E10">
    <cfRule type="expression" dxfId="113" priority="112">
      <formula>AND($D8&lt;&gt;"",E$5&lt;&gt;"")</formula>
    </cfRule>
  </conditionalFormatting>
  <conditionalFormatting sqref="F8:F10">
    <cfRule type="expression" dxfId="112" priority="111">
      <formula>AND($D8&lt;&gt;"",E$5&lt;&gt;"")</formula>
    </cfRule>
  </conditionalFormatting>
  <conditionalFormatting sqref="G7">
    <cfRule type="expression" dxfId="111" priority="110">
      <formula>AND($D7&lt;&gt;"",G$5&lt;&gt;"")</formula>
    </cfRule>
  </conditionalFormatting>
  <conditionalFormatting sqref="H7">
    <cfRule type="expression" dxfId="110" priority="109">
      <formula>AND($D7&lt;&gt;"",G$5&lt;&gt;"")</formula>
    </cfRule>
  </conditionalFormatting>
  <conditionalFormatting sqref="I7 K7">
    <cfRule type="expression" dxfId="109" priority="108">
      <formula>AND($D7&lt;&gt;"",I$5&lt;&gt;"")</formula>
    </cfRule>
  </conditionalFormatting>
  <conditionalFormatting sqref="J7 L7">
    <cfRule type="expression" dxfId="108" priority="107">
      <formula>AND($D7&lt;&gt;"",I$5&lt;&gt;"")</formula>
    </cfRule>
  </conditionalFormatting>
  <conditionalFormatting sqref="G8:G10">
    <cfRule type="expression" dxfId="107" priority="106">
      <formula>AND($D8&lt;&gt;"",G$5&lt;&gt;"")</formula>
    </cfRule>
  </conditionalFormatting>
  <conditionalFormatting sqref="H8:H10">
    <cfRule type="expression" dxfId="106" priority="105">
      <formula>AND($D8&lt;&gt;"",G$5&lt;&gt;"")</formula>
    </cfRule>
  </conditionalFormatting>
  <conditionalFormatting sqref="I8:I10 K8:K10">
    <cfRule type="expression" dxfId="105" priority="104">
      <formula>AND($D8&lt;&gt;"",I$5&lt;&gt;"")</formula>
    </cfRule>
  </conditionalFormatting>
  <conditionalFormatting sqref="J8:J10 L8:L10">
    <cfRule type="expression" dxfId="104" priority="103">
      <formula>AND($D8&lt;&gt;"",I$5&lt;&gt;"")</formula>
    </cfRule>
  </conditionalFormatting>
  <conditionalFormatting sqref="D12">
    <cfRule type="expression" dxfId="103" priority="100">
      <formula>$D11&lt;&gt;""</formula>
    </cfRule>
  </conditionalFormatting>
  <conditionalFormatting sqref="E12">
    <cfRule type="expression" dxfId="102" priority="99">
      <formula>AND($D12&lt;&gt;"",E$5&lt;&gt;"")</formula>
    </cfRule>
  </conditionalFormatting>
  <conditionalFormatting sqref="F12">
    <cfRule type="expression" dxfId="101" priority="98">
      <formula>AND($D12&lt;&gt;"",E$5&lt;&gt;"")</formula>
    </cfRule>
  </conditionalFormatting>
  <conditionalFormatting sqref="O12 M12 K12">
    <cfRule type="expression" dxfId="100" priority="97">
      <formula>AND($D12&lt;&gt;"",K$5&lt;&gt;"")</formula>
    </cfRule>
  </conditionalFormatting>
  <conditionalFormatting sqref="P12 N12 L12">
    <cfRule type="expression" dxfId="99" priority="96">
      <formula>AND($D12&lt;&gt;"",K$5&lt;&gt;"")</formula>
    </cfRule>
  </conditionalFormatting>
  <conditionalFormatting sqref="M12">
    <cfRule type="expression" dxfId="98" priority="95">
      <formula>AND($D12&lt;&gt;"",M$5&lt;&gt;"")</formula>
    </cfRule>
  </conditionalFormatting>
  <conditionalFormatting sqref="N12">
    <cfRule type="expression" dxfId="97" priority="94">
      <formula>AND($D12&lt;&gt;"",M$5&lt;&gt;"")</formula>
    </cfRule>
  </conditionalFormatting>
  <conditionalFormatting sqref="G12">
    <cfRule type="expression" dxfId="96" priority="93">
      <formula>AND($D12&lt;&gt;"",G$5&lt;&gt;"")</formula>
    </cfRule>
  </conditionalFormatting>
  <conditionalFormatting sqref="H12">
    <cfRule type="expression" dxfId="95" priority="92">
      <formula>AND($D12&lt;&gt;"",G$5&lt;&gt;"")</formula>
    </cfRule>
  </conditionalFormatting>
  <conditionalFormatting sqref="I12">
    <cfRule type="expression" dxfId="94" priority="91">
      <formula>AND($D12&lt;&gt;"",I$5&lt;&gt;"")</formula>
    </cfRule>
  </conditionalFormatting>
  <conditionalFormatting sqref="J12">
    <cfRule type="expression" dxfId="93" priority="90">
      <formula>AND($D12&lt;&gt;"",I$5&lt;&gt;"")</formula>
    </cfRule>
  </conditionalFormatting>
  <conditionalFormatting sqref="Q12">
    <cfRule type="expression" dxfId="92" priority="101">
      <formula>AND($D12&lt;&gt;"",S$5&lt;&gt;"")</formula>
    </cfRule>
  </conditionalFormatting>
  <conditionalFormatting sqref="R12">
    <cfRule type="expression" dxfId="91" priority="102">
      <formula>AND($D12&lt;&gt;"",S$5&lt;&gt;"")</formula>
    </cfRule>
  </conditionalFormatting>
  <conditionalFormatting sqref="D13">
    <cfRule type="expression" dxfId="90" priority="89">
      <formula>$D12&lt;&gt;""</formula>
    </cfRule>
  </conditionalFormatting>
  <conditionalFormatting sqref="E13">
    <cfRule type="expression" dxfId="89" priority="88">
      <formula>AND($D13&lt;&gt;"",E$5&lt;&gt;"")</formula>
    </cfRule>
  </conditionalFormatting>
  <conditionalFormatting sqref="F13">
    <cfRule type="expression" dxfId="88" priority="87">
      <formula>AND($D13&lt;&gt;"",E$5&lt;&gt;"")</formula>
    </cfRule>
  </conditionalFormatting>
  <conditionalFormatting sqref="M13 K13">
    <cfRule type="expression" dxfId="87" priority="86">
      <formula>AND($D13&lt;&gt;"",K$5&lt;&gt;"")</formula>
    </cfRule>
  </conditionalFormatting>
  <conditionalFormatting sqref="N13 L13">
    <cfRule type="expression" dxfId="86" priority="85">
      <formula>AND($D13&lt;&gt;"",K$5&lt;&gt;"")</formula>
    </cfRule>
  </conditionalFormatting>
  <conditionalFormatting sqref="M13">
    <cfRule type="expression" dxfId="85" priority="84">
      <formula>AND($D13&lt;&gt;"",M$5&lt;&gt;"")</formula>
    </cfRule>
  </conditionalFormatting>
  <conditionalFormatting sqref="N13">
    <cfRule type="expression" dxfId="84" priority="83">
      <formula>AND($D13&lt;&gt;"",M$5&lt;&gt;"")</formula>
    </cfRule>
  </conditionalFormatting>
  <conditionalFormatting sqref="G13">
    <cfRule type="expression" dxfId="83" priority="82">
      <formula>AND($D13&lt;&gt;"",G$5&lt;&gt;"")</formula>
    </cfRule>
  </conditionalFormatting>
  <conditionalFormatting sqref="H13">
    <cfRule type="expression" dxfId="82" priority="81">
      <formula>AND($D13&lt;&gt;"",G$5&lt;&gt;"")</formula>
    </cfRule>
  </conditionalFormatting>
  <conditionalFormatting sqref="I13">
    <cfRule type="expression" dxfId="81" priority="80">
      <formula>AND($D13&lt;&gt;"",I$5&lt;&gt;"")</formula>
    </cfRule>
  </conditionalFormatting>
  <conditionalFormatting sqref="J13">
    <cfRule type="expression" dxfId="80" priority="79">
      <formula>AND($D13&lt;&gt;"",I$5&lt;&gt;"")</formula>
    </cfRule>
  </conditionalFormatting>
  <conditionalFormatting sqref="D14">
    <cfRule type="expression" dxfId="79" priority="76">
      <formula>$D13&lt;&gt;""</formula>
    </cfRule>
  </conditionalFormatting>
  <conditionalFormatting sqref="Q14">
    <cfRule type="expression" dxfId="78" priority="75">
      <formula>AND($D14&lt;&gt;"",Q$5&lt;&gt;"")</formula>
    </cfRule>
  </conditionalFormatting>
  <conditionalFormatting sqref="R14">
    <cfRule type="expression" dxfId="77" priority="74">
      <formula>AND($D14&lt;&gt;"",Q$5&lt;&gt;"")</formula>
    </cfRule>
  </conditionalFormatting>
  <conditionalFormatting sqref="E14">
    <cfRule type="expression" dxfId="76" priority="73">
      <formula>AND($D14&lt;&gt;"",E$5&lt;&gt;"")</formula>
    </cfRule>
  </conditionalFormatting>
  <conditionalFormatting sqref="F14">
    <cfRule type="expression" dxfId="75" priority="72">
      <formula>AND($D14&lt;&gt;"",E$5&lt;&gt;"")</formula>
    </cfRule>
  </conditionalFormatting>
  <conditionalFormatting sqref="G14">
    <cfRule type="expression" dxfId="74" priority="71">
      <formula>AND($D14&lt;&gt;"",G$5&lt;&gt;"")</formula>
    </cfRule>
  </conditionalFormatting>
  <conditionalFormatting sqref="H14">
    <cfRule type="expression" dxfId="73" priority="70">
      <formula>AND($D14&lt;&gt;"",G$5&lt;&gt;"")</formula>
    </cfRule>
  </conditionalFormatting>
  <conditionalFormatting sqref="I14 K14 M14 O14">
    <cfRule type="expression" dxfId="72" priority="69">
      <formula>AND($D14&lt;&gt;"",I$5&lt;&gt;"")</formula>
    </cfRule>
  </conditionalFormatting>
  <conditionalFormatting sqref="J14 L14 N14 P14">
    <cfRule type="expression" dxfId="71" priority="68">
      <formula>AND($D14&lt;&gt;"",I$5&lt;&gt;"")</formula>
    </cfRule>
  </conditionalFormatting>
  <conditionalFormatting sqref="S14">
    <cfRule type="expression" dxfId="70" priority="77">
      <formula>AND($D14&lt;&gt;"",U$5&lt;&gt;"")</formula>
    </cfRule>
  </conditionalFormatting>
  <conditionalFormatting sqref="T14">
    <cfRule type="expression" dxfId="69" priority="78">
      <formula>AND($D14&lt;&gt;"",U$5&lt;&gt;"")</formula>
    </cfRule>
  </conditionalFormatting>
  <conditionalFormatting sqref="D15">
    <cfRule type="expression" dxfId="68" priority="67">
      <formula>$D14&lt;&gt;""</formula>
    </cfRule>
  </conditionalFormatting>
  <conditionalFormatting sqref="Q15 U15 S15">
    <cfRule type="expression" dxfId="67" priority="66">
      <formula>AND($D15&lt;&gt;"",Q$5&lt;&gt;"")</formula>
    </cfRule>
  </conditionalFormatting>
  <conditionalFormatting sqref="R15 V15 T15">
    <cfRule type="expression" dxfId="66" priority="65">
      <formula>AND($D15&lt;&gt;"",Q$5&lt;&gt;"")</formula>
    </cfRule>
  </conditionalFormatting>
  <conditionalFormatting sqref="E15">
    <cfRule type="expression" dxfId="65" priority="64">
      <formula>AND($D15&lt;&gt;"",E$5&lt;&gt;"")</formula>
    </cfRule>
  </conditionalFormatting>
  <conditionalFormatting sqref="F15">
    <cfRule type="expression" dxfId="64" priority="63">
      <formula>AND($D15&lt;&gt;"",E$5&lt;&gt;"")</formula>
    </cfRule>
  </conditionalFormatting>
  <conditionalFormatting sqref="G15">
    <cfRule type="expression" dxfId="63" priority="62">
      <formula>AND($D15&lt;&gt;"",G$5&lt;&gt;"")</formula>
    </cfRule>
  </conditionalFormatting>
  <conditionalFormatting sqref="H15">
    <cfRule type="expression" dxfId="62" priority="61">
      <formula>AND($D15&lt;&gt;"",G$5&lt;&gt;"")</formula>
    </cfRule>
  </conditionalFormatting>
  <conditionalFormatting sqref="I15 K15 M15 O15">
    <cfRule type="expression" dxfId="61" priority="60">
      <formula>AND($D15&lt;&gt;"",I$5&lt;&gt;"")</formula>
    </cfRule>
  </conditionalFormatting>
  <conditionalFormatting sqref="J15 L15 N15 P15">
    <cfRule type="expression" dxfId="60" priority="59">
      <formula>AND($D15&lt;&gt;"",I$5&lt;&gt;"")</formula>
    </cfRule>
  </conditionalFormatting>
  <conditionalFormatting sqref="D16">
    <cfRule type="expression" dxfId="59" priority="58">
      <formula>$D15&lt;&gt;""</formula>
    </cfRule>
  </conditionalFormatting>
  <conditionalFormatting sqref="E16">
    <cfRule type="expression" dxfId="58" priority="57">
      <formula>AND($D16&lt;&gt;"",E$5&lt;&gt;"")</formula>
    </cfRule>
  </conditionalFormatting>
  <conditionalFormatting sqref="F16">
    <cfRule type="expression" dxfId="57" priority="56">
      <formula>AND($D16&lt;&gt;"",E$5&lt;&gt;"")</formula>
    </cfRule>
  </conditionalFormatting>
  <conditionalFormatting sqref="G16">
    <cfRule type="expression" dxfId="56" priority="55">
      <formula>AND($D16&lt;&gt;"",G$5&lt;&gt;"")</formula>
    </cfRule>
  </conditionalFormatting>
  <conditionalFormatting sqref="H16">
    <cfRule type="expression" dxfId="55" priority="54">
      <formula>AND($D16&lt;&gt;"",G$5&lt;&gt;"")</formula>
    </cfRule>
  </conditionalFormatting>
  <conditionalFormatting sqref="I16 K16">
    <cfRule type="expression" dxfId="54" priority="53">
      <formula>AND($D16&lt;&gt;"",I$5&lt;&gt;"")</formula>
    </cfRule>
  </conditionalFormatting>
  <conditionalFormatting sqref="J16 L16">
    <cfRule type="expression" dxfId="53" priority="52">
      <formula>AND($D16&lt;&gt;"",I$5&lt;&gt;"")</formula>
    </cfRule>
  </conditionalFormatting>
  <conditionalFormatting sqref="D17:D18">
    <cfRule type="expression" dxfId="52" priority="51">
      <formula>$D16&lt;&gt;""</formula>
    </cfRule>
  </conditionalFormatting>
  <conditionalFormatting sqref="E17:E18">
    <cfRule type="expression" dxfId="51" priority="50">
      <formula>AND($D17&lt;&gt;"",E$5&lt;&gt;"")</formula>
    </cfRule>
  </conditionalFormatting>
  <conditionalFormatting sqref="F17:F18">
    <cfRule type="expression" dxfId="50" priority="49">
      <formula>AND($D17&lt;&gt;"",E$5&lt;&gt;"")</formula>
    </cfRule>
  </conditionalFormatting>
  <conditionalFormatting sqref="G17:G18">
    <cfRule type="expression" dxfId="49" priority="48">
      <formula>AND($D17&lt;&gt;"",G$5&lt;&gt;"")</formula>
    </cfRule>
  </conditionalFormatting>
  <conditionalFormatting sqref="H17:H18">
    <cfRule type="expression" dxfId="48" priority="47">
      <formula>AND($D17&lt;&gt;"",G$5&lt;&gt;"")</formula>
    </cfRule>
  </conditionalFormatting>
  <conditionalFormatting sqref="D19">
    <cfRule type="expression" dxfId="47" priority="46">
      <formula>$D18&lt;&gt;""</formula>
    </cfRule>
  </conditionalFormatting>
  <conditionalFormatting sqref="Q19 U19 S19">
    <cfRule type="expression" dxfId="46" priority="45">
      <formula>AND($D19&lt;&gt;"",Q$5&lt;&gt;"")</formula>
    </cfRule>
  </conditionalFormatting>
  <conditionalFormatting sqref="R19 V19 T19">
    <cfRule type="expression" dxfId="45" priority="44">
      <formula>AND($D19&lt;&gt;"",Q$5&lt;&gt;"")</formula>
    </cfRule>
  </conditionalFormatting>
  <conditionalFormatting sqref="E19">
    <cfRule type="expression" dxfId="44" priority="43">
      <formula>AND($D19&lt;&gt;"",E$5&lt;&gt;"")</formula>
    </cfRule>
  </conditionalFormatting>
  <conditionalFormatting sqref="F19">
    <cfRule type="expression" dxfId="43" priority="42">
      <formula>AND($D19&lt;&gt;"",E$5&lt;&gt;"")</formula>
    </cfRule>
  </conditionalFormatting>
  <conditionalFormatting sqref="G19">
    <cfRule type="expression" dxfId="42" priority="41">
      <formula>AND($D19&lt;&gt;"",G$5&lt;&gt;"")</formula>
    </cfRule>
  </conditionalFormatting>
  <conditionalFormatting sqref="H19">
    <cfRule type="expression" dxfId="41" priority="40">
      <formula>AND($D19&lt;&gt;"",G$5&lt;&gt;"")</formula>
    </cfRule>
  </conditionalFormatting>
  <conditionalFormatting sqref="I19 K19 M19 O19">
    <cfRule type="expression" dxfId="40" priority="39">
      <formula>AND($D19&lt;&gt;"",I$5&lt;&gt;"")</formula>
    </cfRule>
  </conditionalFormatting>
  <conditionalFormatting sqref="J19 L19 N19 P19">
    <cfRule type="expression" dxfId="39" priority="38">
      <formula>AND($D19&lt;&gt;"",I$5&lt;&gt;"")</formula>
    </cfRule>
  </conditionalFormatting>
  <conditionalFormatting sqref="D20">
    <cfRule type="expression" dxfId="38" priority="37">
      <formula>$D19&lt;&gt;""</formula>
    </cfRule>
  </conditionalFormatting>
  <conditionalFormatting sqref="Q20 U20 S20">
    <cfRule type="expression" dxfId="37" priority="36">
      <formula>AND($D20&lt;&gt;"",Q$5&lt;&gt;"")</formula>
    </cfRule>
  </conditionalFormatting>
  <conditionalFormatting sqref="R20 V20 T20">
    <cfRule type="expression" dxfId="36" priority="35">
      <formula>AND($D20&lt;&gt;"",Q$5&lt;&gt;"")</formula>
    </cfRule>
  </conditionalFormatting>
  <conditionalFormatting sqref="E20">
    <cfRule type="expression" dxfId="35" priority="34">
      <formula>AND($D20&lt;&gt;"",E$5&lt;&gt;"")</formula>
    </cfRule>
  </conditionalFormatting>
  <conditionalFormatting sqref="F20">
    <cfRule type="expression" dxfId="34" priority="33">
      <formula>AND($D20&lt;&gt;"",E$5&lt;&gt;"")</formula>
    </cfRule>
  </conditionalFormatting>
  <conditionalFormatting sqref="G20">
    <cfRule type="expression" dxfId="33" priority="32">
      <formula>AND($D20&lt;&gt;"",G$5&lt;&gt;"")</formula>
    </cfRule>
  </conditionalFormatting>
  <conditionalFormatting sqref="H20">
    <cfRule type="expression" dxfId="32" priority="31">
      <formula>AND($D20&lt;&gt;"",G$5&lt;&gt;"")</formula>
    </cfRule>
  </conditionalFormatting>
  <conditionalFormatting sqref="I20 K20 M20 O20">
    <cfRule type="expression" dxfId="31" priority="30">
      <formula>AND($D20&lt;&gt;"",I$5&lt;&gt;"")</formula>
    </cfRule>
  </conditionalFormatting>
  <conditionalFormatting sqref="J20 L20 N20 P20">
    <cfRule type="expression" dxfId="30" priority="29">
      <formula>AND($D20&lt;&gt;"",I$5&lt;&gt;"")</formula>
    </cfRule>
  </conditionalFormatting>
  <conditionalFormatting sqref="D21:D23">
    <cfRule type="expression" dxfId="29" priority="28">
      <formula>$D20&lt;&gt;""</formula>
    </cfRule>
  </conditionalFormatting>
  <conditionalFormatting sqref="Q21:Q23 U21:U23 S21:S23">
    <cfRule type="expression" dxfId="28" priority="27">
      <formula>AND($D21&lt;&gt;"",Q$5&lt;&gt;"")</formula>
    </cfRule>
  </conditionalFormatting>
  <conditionalFormatting sqref="R21:R23 V21:V23 T21:T23">
    <cfRule type="expression" dxfId="27" priority="26">
      <formula>AND($D21&lt;&gt;"",Q$5&lt;&gt;"")</formula>
    </cfRule>
  </conditionalFormatting>
  <conditionalFormatting sqref="E21:E23">
    <cfRule type="expression" dxfId="26" priority="25">
      <formula>AND($D21&lt;&gt;"",E$5&lt;&gt;"")</formula>
    </cfRule>
  </conditionalFormatting>
  <conditionalFormatting sqref="F21:F23">
    <cfRule type="expression" dxfId="25" priority="24">
      <formula>AND($D21&lt;&gt;"",E$5&lt;&gt;"")</formula>
    </cfRule>
  </conditionalFormatting>
  <conditionalFormatting sqref="G21:G23">
    <cfRule type="expression" dxfId="24" priority="23">
      <formula>AND($D21&lt;&gt;"",G$5&lt;&gt;"")</formula>
    </cfRule>
  </conditionalFormatting>
  <conditionalFormatting sqref="H21:H23">
    <cfRule type="expression" dxfId="23" priority="22">
      <formula>AND($D21&lt;&gt;"",G$5&lt;&gt;"")</formula>
    </cfRule>
  </conditionalFormatting>
  <conditionalFormatting sqref="I21:I23 K21:K23 M21:M23 O21:O23">
    <cfRule type="expression" dxfId="22" priority="21">
      <formula>AND($D21&lt;&gt;"",I$5&lt;&gt;"")</formula>
    </cfRule>
  </conditionalFormatting>
  <conditionalFormatting sqref="J21:J23 L21:L23 N21:N23 P21:P23">
    <cfRule type="expression" dxfId="21" priority="20">
      <formula>AND($D21&lt;&gt;"",I$5&lt;&gt;"")</formula>
    </cfRule>
  </conditionalFormatting>
  <conditionalFormatting sqref="D24">
    <cfRule type="expression" dxfId="20" priority="19">
      <formula>$D23&lt;&gt;""</formula>
    </cfRule>
  </conditionalFormatting>
  <conditionalFormatting sqref="E24">
    <cfRule type="expression" dxfId="19" priority="18">
      <formula>AND($D24&lt;&gt;"",E$5&lt;&gt;"")</formula>
    </cfRule>
  </conditionalFormatting>
  <conditionalFormatting sqref="F24">
    <cfRule type="expression" dxfId="18" priority="17">
      <formula>AND($D24&lt;&gt;"",E$5&lt;&gt;"")</formula>
    </cfRule>
  </conditionalFormatting>
  <conditionalFormatting sqref="G24">
    <cfRule type="expression" dxfId="17" priority="16">
      <formula>AND($D24&lt;&gt;"",G$5&lt;&gt;"")</formula>
    </cfRule>
  </conditionalFormatting>
  <conditionalFormatting sqref="H24">
    <cfRule type="expression" dxfId="16" priority="15">
      <formula>AND($D24&lt;&gt;"",G$5&lt;&gt;"")</formula>
    </cfRule>
  </conditionalFormatting>
  <conditionalFormatting sqref="I24 K24 M24 O24">
    <cfRule type="expression" dxfId="15" priority="14">
      <formula>AND($D24&lt;&gt;"",I$5&lt;&gt;"")</formula>
    </cfRule>
  </conditionalFormatting>
  <conditionalFormatting sqref="J24 L24 N24 P24">
    <cfRule type="expression" dxfId="14" priority="13">
      <formula>AND($D24&lt;&gt;"",I$5&lt;&gt;"")</formula>
    </cfRule>
  </conditionalFormatting>
  <conditionalFormatting sqref="D25">
    <cfRule type="expression" dxfId="13" priority="12">
      <formula>$D24&lt;&gt;""</formula>
    </cfRule>
  </conditionalFormatting>
  <conditionalFormatting sqref="E25">
    <cfRule type="expression" dxfId="12" priority="11">
      <formula>AND($D25&lt;&gt;"",E$5&lt;&gt;"")</formula>
    </cfRule>
  </conditionalFormatting>
  <conditionalFormatting sqref="F25">
    <cfRule type="expression" dxfId="11" priority="10">
      <formula>AND($D25&lt;&gt;"",E$5&lt;&gt;"")</formula>
    </cfRule>
  </conditionalFormatting>
  <conditionalFormatting sqref="G25">
    <cfRule type="expression" dxfId="10" priority="9">
      <formula>AND($D25&lt;&gt;"",G$5&lt;&gt;"")</formula>
    </cfRule>
  </conditionalFormatting>
  <conditionalFormatting sqref="H25">
    <cfRule type="expression" dxfId="9" priority="8">
      <formula>AND($D25&lt;&gt;"",G$5&lt;&gt;"")</formula>
    </cfRule>
  </conditionalFormatting>
  <conditionalFormatting sqref="D26:D27">
    <cfRule type="expression" dxfId="8" priority="7">
      <formula>$D25&lt;&gt;""</formula>
    </cfRule>
  </conditionalFormatting>
  <conditionalFormatting sqref="E26:E27">
    <cfRule type="expression" dxfId="7" priority="6">
      <formula>AND($D26&lt;&gt;"",E$5&lt;&gt;"")</formula>
    </cfRule>
  </conditionalFormatting>
  <conditionalFormatting sqref="F26:F27">
    <cfRule type="expression" dxfId="6" priority="5">
      <formula>AND($D26&lt;&gt;"",E$5&lt;&gt;"")</formula>
    </cfRule>
  </conditionalFormatting>
  <conditionalFormatting sqref="G26:G27">
    <cfRule type="expression" dxfId="5" priority="4">
      <formula>AND($D26&lt;&gt;"",G$5&lt;&gt;"")</formula>
    </cfRule>
  </conditionalFormatting>
  <conditionalFormatting sqref="H26:H27">
    <cfRule type="expression" dxfId="4" priority="3">
      <formula>AND($D26&lt;&gt;"",G$5&lt;&gt;"")</formula>
    </cfRule>
  </conditionalFormatting>
  <conditionalFormatting sqref="I26:I27 K26:K27">
    <cfRule type="expression" dxfId="3" priority="2">
      <formula>AND($D26&lt;&gt;"",I$5&lt;&gt;"")</formula>
    </cfRule>
  </conditionalFormatting>
  <conditionalFormatting sqref="J26:J27 L26:L27">
    <cfRule type="expression" dxfId="2" priority="1">
      <formula>AND($D26&lt;&gt;"",I$5&lt;&gt;"")</formula>
    </cfRule>
  </conditionalFormatting>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1,3</v>
      </c>
      <c r="F5" s="31">
        <f>IFERROR(INDEX('WINBUGS data'!$F$17:$ZZ$65,MATCH($C5,'WINBUGS data'!$F$17:$F$65,0),MATCH("t[,"&amp;F$4 &amp;"]",'WINBUGS data'!$F$16:$ZZ$16,0)),"")</f>
        <v>1</v>
      </c>
      <c r="G5" s="31">
        <f>IFERROR(INDEX('WINBUGS data'!$F$17:$ZZ$65,MATCH($C5,'WINBUGS data'!$F$17:$F$65,0),MATCH("t[,"&amp;G$4 &amp;"]",'WINBUGS data'!$F$16:$ZZ$16,0)),"")</f>
        <v>3</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3,4</v>
      </c>
      <c r="F6" s="31">
        <f>IFERROR(INDEX('WINBUGS data'!$F$17:$ZZ$65,MATCH($C6,'WINBUGS data'!$F$17:$F$65,0),MATCH("t[,"&amp;F$4 &amp;"]",'WINBUGS data'!$F$16:$ZZ$16,0)),"")</f>
        <v>3</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2,3</v>
      </c>
      <c r="F7" s="31">
        <f>IFERROR(INDEX('WINBUGS data'!$F$17:$ZZ$65,MATCH($C7,'WINBUGS data'!$F$17:$F$65,0),MATCH("t[,"&amp;F$4 &amp;"]",'WINBUGS data'!$F$16:$ZZ$16,0)),"")</f>
        <v>2</v>
      </c>
      <c r="G7" s="31">
        <f>IFERROR(INDEX('WINBUGS data'!$F$17:$ZZ$65,MATCH($C7,'WINBUGS data'!$F$17:$F$65,0),MATCH("t[,"&amp;G$4 &amp;"]",'WINBUGS data'!$F$16:$ZZ$16,0)),"")</f>
        <v>3</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1,9</v>
      </c>
      <c r="F9" s="31">
        <f>IFERROR(INDEX('WINBUGS data'!$F$17:$ZZ$65,MATCH($C9,'WINBUGS data'!$F$17:$F$65,0),MATCH("t[,"&amp;F$4 &amp;"]",'WINBUGS data'!$F$16:$ZZ$16,0)),"")</f>
        <v>1</v>
      </c>
      <c r="G9" s="31">
        <f>IFERROR(INDEX('WINBUGS data'!$F$17:$ZZ$65,MATCH($C9,'WINBUGS data'!$F$17:$F$65,0),MATCH("t[,"&amp;G$4 &amp;"]",'WINBUGS data'!$F$16:$ZZ$16,0)),"")</f>
        <v>9</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2,7</v>
      </c>
      <c r="F10" s="31">
        <f>IFERROR(INDEX('WINBUGS data'!$F$17:$ZZ$65,MATCH($C10,'WINBUGS data'!$F$17:$F$65,0),MATCH("t[,"&amp;F$4 &amp;"]",'WINBUGS data'!$F$16:$ZZ$16,0)),"")</f>
        <v>2</v>
      </c>
      <c r="G10" s="31">
        <f>IFERROR(INDEX('WINBUGS data'!$F$17:$ZZ$65,MATCH($C10,'WINBUGS data'!$F$17:$F$65,0),MATCH("t[,"&amp;G$4 &amp;"]",'WINBUGS data'!$F$16:$ZZ$16,0)),"")</f>
        <v>7</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2,5</v>
      </c>
      <c r="F11" s="31">
        <f>IFERROR(INDEX('WINBUGS data'!$F$17:$ZZ$65,MATCH($C11,'WINBUGS data'!$F$17:$F$65,0),MATCH("t[,"&amp;F$4 &amp;"]",'WINBUGS data'!$F$16:$ZZ$16,0)),"")</f>
        <v>2</v>
      </c>
      <c r="G11" s="31">
        <f>IFERROR(INDEX('WINBUGS data'!$F$17:$ZZ$65,MATCH($C11,'WINBUGS data'!$F$17:$F$65,0),MATCH("t[,"&amp;G$4 &amp;"]",'WINBUGS data'!$F$16:$ZZ$16,0)),"")</f>
        <v>5</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1,7</v>
      </c>
      <c r="F12" s="31">
        <f>IFERROR(INDEX('WINBUGS data'!$F$17:$ZZ$65,MATCH($C12,'WINBUGS data'!$F$17:$F$65,0),MATCH("t[,"&amp;F$4 &amp;"]",'WINBUGS data'!$F$16:$ZZ$16,0)),"")</f>
        <v>1</v>
      </c>
      <c r="G12" s="31">
        <f>IFERROR(INDEX('WINBUGS data'!$F$17:$ZZ$65,MATCH($C12,'WINBUGS data'!$F$17:$F$65,0),MATCH("t[,"&amp;G$4 &amp;"]",'WINBUGS data'!$F$16:$ZZ$16,0)),"")</f>
        <v>7</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7,8</v>
      </c>
      <c r="F13" s="31">
        <f>IFERROR(INDEX('WINBUGS data'!$F$17:$ZZ$65,MATCH($C13,'WINBUGS data'!$F$17:$F$65,0),MATCH("t[,"&amp;F$4 &amp;"]",'WINBUGS data'!$F$16:$ZZ$16,0)),"")</f>
        <v>7</v>
      </c>
      <c r="G13" s="31">
        <f>IFERROR(INDEX('WINBUGS data'!$F$17:$ZZ$65,MATCH($C13,'WINBUGS data'!$F$17:$F$65,0),MATCH("t[,"&amp;G$4 &amp;"]",'WINBUGS data'!$F$16:$ZZ$16,0)),"")</f>
        <v>8</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3,4</v>
      </c>
      <c r="F14" s="31">
        <f>IFERROR(INDEX('WINBUGS data'!$F$17:$ZZ$65,MATCH($C14,'WINBUGS data'!$F$17:$F$65,0),MATCH("t[,"&amp;F$4 &amp;"]",'WINBUGS data'!$F$16:$ZZ$16,0)),"")</f>
        <v>3</v>
      </c>
      <c r="G14" s="31">
        <f>IFERROR(INDEX('WINBUGS data'!$F$17:$ZZ$65,MATCH($C14,'WINBUGS data'!$F$17:$F$65,0),MATCH("t[,"&amp;G$4 &amp;"]",'WINBUGS data'!$F$16:$ZZ$16,0)),"")</f>
        <v>4</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1,2</v>
      </c>
      <c r="F15" s="31">
        <f>IFERROR(INDEX('WINBUGS data'!$F$17:$ZZ$65,MATCH($C15,'WINBUGS data'!$F$17:$F$65,0),MATCH("t[,"&amp;F$4 &amp;"]",'WINBUGS data'!$F$16:$ZZ$16,0)),"")</f>
        <v>1</v>
      </c>
      <c r="G15" s="31">
        <f>IFERROR(INDEX('WINBUGS data'!$F$17:$ZZ$65,MATCH($C15,'WINBUGS data'!$F$17:$F$65,0),MATCH("t[,"&amp;G$4 &amp;"]",'WINBUGS data'!$F$16:$ZZ$16,0)),"")</f>
        <v>2</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1,2</v>
      </c>
      <c r="F16" s="31">
        <f>IFERROR(INDEX('WINBUGS data'!$F$17:$ZZ$65,MATCH($C16,'WINBUGS data'!$F$17:$F$65,0),MATCH("t[,"&amp;F$4 &amp;"]",'WINBUGS data'!$F$16:$ZZ$16,0)),"")</f>
        <v>1</v>
      </c>
      <c r="G16" s="31">
        <f>IFERROR(INDEX('WINBUGS data'!$F$17:$ZZ$65,MATCH($C16,'WINBUGS data'!$F$17:$F$65,0),MATCH("t[,"&amp;G$4 &amp;"]",'WINBUGS data'!$F$16:$ZZ$16,0)),"")</f>
        <v>2</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7,8</v>
      </c>
      <c r="F17" s="31">
        <f>IFERROR(INDEX('WINBUGS data'!$F$17:$ZZ$65,MATCH($C17,'WINBUGS data'!$F$17:$F$65,0),MATCH("t[,"&amp;F$4 &amp;"]",'WINBUGS data'!$F$16:$ZZ$16,0)),"")</f>
        <v>7</v>
      </c>
      <c r="G17" s="31">
        <f>IFERROR(INDEX('WINBUGS data'!$F$17:$ZZ$65,MATCH($C17,'WINBUGS data'!$F$17:$F$65,0),MATCH("t[,"&amp;G$4 &amp;"]",'WINBUGS data'!$F$16:$ZZ$16,0)),"")</f>
        <v>8</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2,8</v>
      </c>
      <c r="F18" s="31">
        <f>IFERROR(INDEX('WINBUGS data'!$F$17:$ZZ$65,MATCH($C18,'WINBUGS data'!$F$17:$F$65,0),MATCH("t[,"&amp;F$4 &amp;"]",'WINBUGS data'!$F$16:$ZZ$16,0)),"")</f>
        <v>2</v>
      </c>
      <c r="G18" s="31">
        <f>IFERROR(INDEX('WINBUGS data'!$F$17:$ZZ$65,MATCH($C18,'WINBUGS data'!$F$17:$F$65,0),MATCH("t[,"&amp;G$4 &amp;"]",'WINBUGS data'!$F$16:$ZZ$16,0)),"")</f>
        <v>8</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1,2</v>
      </c>
      <c r="F19" s="31">
        <f>IFERROR(INDEX('WINBUGS data'!$F$17:$ZZ$65,MATCH($C19,'WINBUGS data'!$F$17:$F$65,0),MATCH("t[,"&amp;F$4 &amp;"]",'WINBUGS data'!$F$16:$ZZ$16,0)),"")</f>
        <v>1</v>
      </c>
      <c r="G19" s="31">
        <f>IFERROR(INDEX('WINBUGS data'!$F$17:$ZZ$65,MATCH($C19,'WINBUGS data'!$F$17:$F$65,0),MATCH("t[,"&amp;G$4 &amp;"]",'WINBUGS data'!$F$16:$ZZ$16,0)),"")</f>
        <v>2</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1,2</v>
      </c>
      <c r="F20" s="31">
        <f>IFERROR(INDEX('WINBUGS data'!$F$17:$ZZ$65,MATCH($C20,'WINBUGS data'!$F$17:$F$65,0),MATCH("t[,"&amp;F$4 &amp;"]",'WINBUGS data'!$F$16:$ZZ$16,0)),"")</f>
        <v>1</v>
      </c>
      <c r="G20" s="31">
        <f>IFERROR(INDEX('WINBUGS data'!$F$17:$ZZ$65,MATCH($C20,'WINBUGS data'!$F$17:$F$65,0),MATCH("t[,"&amp;G$4 &amp;"]",'WINBUGS data'!$F$16:$ZZ$16,0)),"")</f>
        <v>2</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3,7</v>
      </c>
      <c r="F21" s="31">
        <f>IFERROR(INDEX('WINBUGS data'!$F$17:$ZZ$65,MATCH($C21,'WINBUGS data'!$F$17:$F$65,0),MATCH("t[,"&amp;F$4 &amp;"]",'WINBUGS data'!$F$16:$ZZ$16,0)),"")</f>
        <v>3</v>
      </c>
      <c r="G21" s="31">
        <f>IFERROR(INDEX('WINBUGS data'!$F$17:$ZZ$65,MATCH($C21,'WINBUGS data'!$F$17:$F$65,0),MATCH("t[,"&amp;G$4 &amp;"]",'WINBUGS data'!$F$16:$ZZ$16,0)),"")</f>
        <v>7</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3,6</v>
      </c>
      <c r="F22" s="31">
        <f>IFERROR(INDEX('WINBUGS data'!$F$17:$ZZ$65,MATCH($C22,'WINBUGS data'!$F$17:$F$65,0),MATCH("t[,"&amp;F$4 &amp;"]",'WINBUGS data'!$F$16:$ZZ$16,0)),"")</f>
        <v>3</v>
      </c>
      <c r="G22" s="31">
        <f>IFERROR(INDEX('WINBUGS data'!$F$17:$ZZ$65,MATCH($C22,'WINBUGS data'!$F$17:$F$65,0),MATCH("t[,"&amp;G$4 &amp;"]",'WINBUGS data'!$F$16:$ZZ$16,0)),"")</f>
        <v>6</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1,2</v>
      </c>
      <c r="F23" s="31">
        <f>IFERROR(INDEX('WINBUGS data'!$F$17:$ZZ$65,MATCH($C23,'WINBUGS data'!$F$17:$F$65,0),MATCH("t[,"&amp;F$4 &amp;"]",'WINBUGS data'!$F$16:$ZZ$16,0)),"")</f>
        <v>1</v>
      </c>
      <c r="G23" s="31">
        <f>IFERROR(INDEX('WINBUGS data'!$F$17:$ZZ$65,MATCH($C23,'WINBUGS data'!$F$17:$F$65,0),MATCH("t[,"&amp;G$4 &amp;"]",'WINBUGS data'!$F$16:$ZZ$16,0)),"")</f>
        <v>2</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1,3</v>
      </c>
      <c r="F24" s="31">
        <f>IFERROR(INDEX('WINBUGS data'!$F$17:$ZZ$65,MATCH($C24,'WINBUGS data'!$F$17:$F$65,0),MATCH("t[,"&amp;F$4 &amp;"]",'WINBUGS data'!$F$16:$ZZ$16,0)),"")</f>
        <v>1</v>
      </c>
      <c r="G24" s="31">
        <f>IFERROR(INDEX('WINBUGS data'!$F$17:$ZZ$65,MATCH($C24,'WINBUGS data'!$F$17:$F$65,0),MATCH("t[,"&amp;G$4 &amp;"]",'WINBUGS data'!$F$16:$ZZ$16,0)),"")</f>
        <v>3</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4,6</v>
      </c>
      <c r="F25" s="31">
        <f>IFERROR(INDEX('WINBUGS data'!$F$17:$ZZ$65,MATCH($C25,'WINBUGS data'!$F$17:$F$65,0),MATCH("t[,"&amp;F$4 &amp;"]",'WINBUGS data'!$F$16:$ZZ$16,0)),"")</f>
        <v>4</v>
      </c>
      <c r="G25" s="31">
        <f>IFERROR(INDEX('WINBUGS data'!$F$17:$ZZ$65,MATCH($C25,'WINBUGS data'!$F$17:$F$65,0),MATCH("t[,"&amp;G$4 &amp;"]",'WINBUGS data'!$F$16:$ZZ$16,0)),"")</f>
        <v>6</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t="str">
        <f>IF('WINBUGS data'!F38&lt;&gt;"",'WINBUGS data'!F38,"")</f>
        <v/>
      </c>
      <c r="D26" s="31" t="str">
        <f>IFERROR(INDEX('WINBUGS data'!$F$17:$ZZ$65,MATCH(C26,'WINBUGS data'!$F$17:$F$65,0),MATCH("na[]",'WINBUGS data'!$F$16:$ZZ$16,0)),"")</f>
        <v/>
      </c>
      <c r="E26" s="31" t="str">
        <f t="shared" si="0"/>
        <v/>
      </c>
      <c r="F26" s="31" t="str">
        <f>IFERROR(INDEX('WINBUGS data'!$F$17:$ZZ$65,MATCH($C26,'WINBUGS data'!$F$17:$F$65,0),MATCH("t[,"&amp;F$4 &amp;"]",'WINBUGS data'!$F$16:$ZZ$16,0)),"")</f>
        <v/>
      </c>
      <c r="G26" s="31" t="str">
        <f>IFERROR(INDEX('WINBUGS data'!$F$17:$ZZ$65,MATCH($C26,'WINBUGS data'!$F$17:$F$65,0),MATCH("t[,"&amp;G$4 &amp;"]",'WINBUGS data'!$F$16:$ZZ$16,0)),"")</f>
        <v/>
      </c>
      <c r="H26" s="31" t="str">
        <f>IFERROR(INDEX('WINBUGS data'!$F$17:$ZZ$65,MATCH($C26,'WINBUGS data'!$F$17:$F$65,0),MATCH("t[,"&amp;H$4 &amp;"]",'WINBUGS data'!$F$16:$ZZ$16,0)),"")</f>
        <v/>
      </c>
      <c r="I26" s="31" t="str">
        <f>IFERROR(INDEX('WINBUGS data'!$F$17:$ZZ$65,MATCH($C26,'WINBUGS data'!$F$17:$F$65,0),MATCH("t[,"&amp;I$4 &amp;"]",'WINBUGS data'!$F$16:$ZZ$16,0)),"")</f>
        <v/>
      </c>
      <c r="J26" s="31" t="str">
        <f>IFERROR(INDEX('WINBUGS data'!$F$17:$ZZ$65,MATCH($C26,'WINBUGS data'!$F$17:$F$65,0),MATCH("t[,"&amp;J$4 &amp;"]",'WINBUGS data'!$F$16:$ZZ$16,0)),"")</f>
        <v/>
      </c>
      <c r="K26" s="31" t="str">
        <f>IFERROR(INDEX('WINBUGS data'!$F$17:$ZZ$65,MATCH($C26,'WINBUGS data'!$F$17:$F$65,0),MATCH("t[,"&amp;K$4 &amp;"]",'WINBUGS data'!$F$16:$ZZ$16,0)),"")</f>
        <v/>
      </c>
      <c r="L26" s="31" t="str">
        <f>IFERROR(INDEX('WINBUGS data'!$F$17:$ZZ$65,MATCH($C26,'WINBUGS data'!$F$17:$F$65,0),MATCH("t[,"&amp;L$4 &amp;"]",'WINBUGS data'!$F$16:$ZZ$16,0)),"")</f>
        <v/>
      </c>
      <c r="M26" s="31" t="str">
        <f>IFERROR(INDEX('WINBUGS data'!$F$17:$ZZ$65,MATCH($C26,'WINBUGS data'!$F$17:$F$65,0),MATCH("t[,"&amp;M$4 &amp;"]",'WINBUGS data'!$F$16:$ZZ$16,0)),"")</f>
        <v/>
      </c>
      <c r="N26" s="31" t="str">
        <f>IFERROR(INDEX('WINBUGS data'!$F$17:$ZZ$65,MATCH($C26,'WINBUGS data'!$F$17:$F$65,0),MATCH("t[,"&amp;N$4 &amp;"]",'WINBUGS data'!$F$16:$ZZ$16,0)),"")</f>
        <v/>
      </c>
      <c r="O26" s="31" t="str">
        <f>IFERROR(INDEX('WINBUGS data'!$F$17:$ZZ$65,MATCH($C26,'WINBUGS data'!$F$17:$F$65,0),MATCH("t[,"&amp;O$4 &amp;"]",'WINBUGS data'!$F$16:$ZZ$16,0)),"")</f>
        <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t="str">
        <f>IF('WINBUGS data'!F39&lt;&gt;"",'WINBUGS data'!F39,"")</f>
        <v/>
      </c>
      <c r="D27" s="31" t="str">
        <f>IFERROR(INDEX('WINBUGS data'!$F$17:$ZZ$65,MATCH(C27,'WINBUGS data'!$F$17:$F$65,0),MATCH("na[]",'WINBUGS data'!$F$16:$ZZ$16,0)),"")</f>
        <v/>
      </c>
      <c r="E27" s="31" t="str">
        <f t="shared" si="0"/>
        <v/>
      </c>
      <c r="F27" s="31" t="str">
        <f>IFERROR(INDEX('WINBUGS data'!$F$17:$ZZ$65,MATCH($C27,'WINBUGS data'!$F$17:$F$65,0),MATCH("t[,"&amp;F$4 &amp;"]",'WINBUGS data'!$F$16:$ZZ$16,0)),"")</f>
        <v/>
      </c>
      <c r="G27" s="31" t="str">
        <f>IFERROR(INDEX('WINBUGS data'!$F$17:$ZZ$65,MATCH($C27,'WINBUGS data'!$F$17:$F$65,0),MATCH("t[,"&amp;G$4 &amp;"]",'WINBUGS data'!$F$16:$ZZ$16,0)),"")</f>
        <v/>
      </c>
      <c r="H27" s="31" t="str">
        <f>IFERROR(INDEX('WINBUGS data'!$F$17:$ZZ$65,MATCH($C27,'WINBUGS data'!$F$17:$F$65,0),MATCH("t[,"&amp;H$4 &amp;"]",'WINBUGS data'!$F$16:$ZZ$16,0)),"")</f>
        <v/>
      </c>
      <c r="I27" s="31" t="str">
        <f>IFERROR(INDEX('WINBUGS data'!$F$17:$ZZ$65,MATCH($C27,'WINBUGS data'!$F$17:$F$65,0),MATCH("t[,"&amp;I$4 &amp;"]",'WINBUGS data'!$F$16:$ZZ$16,0)),"")</f>
        <v/>
      </c>
      <c r="J27" s="31" t="str">
        <f>IFERROR(INDEX('WINBUGS data'!$F$17:$ZZ$65,MATCH($C27,'WINBUGS data'!$F$17:$F$65,0),MATCH("t[,"&amp;J$4 &amp;"]",'WINBUGS data'!$F$16:$ZZ$16,0)),"")</f>
        <v/>
      </c>
      <c r="K27" s="31" t="str">
        <f>IFERROR(INDEX('WINBUGS data'!$F$17:$ZZ$65,MATCH($C27,'WINBUGS data'!$F$17:$F$65,0),MATCH("t[,"&amp;K$4 &amp;"]",'WINBUGS data'!$F$16:$ZZ$16,0)),"")</f>
        <v/>
      </c>
      <c r="L27" s="31" t="str">
        <f>IFERROR(INDEX('WINBUGS data'!$F$17:$ZZ$65,MATCH($C27,'WINBUGS data'!$F$17:$F$65,0),MATCH("t[,"&amp;L$4 &amp;"]",'WINBUGS data'!$F$16:$ZZ$16,0)),"")</f>
        <v/>
      </c>
      <c r="M27" s="31" t="str">
        <f>IFERROR(INDEX('WINBUGS data'!$F$17:$ZZ$65,MATCH($C27,'WINBUGS data'!$F$17:$F$65,0),MATCH("t[,"&amp;M$4 &amp;"]",'WINBUGS data'!$F$16:$ZZ$16,0)),"")</f>
        <v/>
      </c>
      <c r="N27" s="31" t="str">
        <f>IFERROR(INDEX('WINBUGS data'!$F$17:$ZZ$65,MATCH($C27,'WINBUGS data'!$F$17:$F$65,0),MATCH("t[,"&amp;N$4 &amp;"]",'WINBUGS data'!$F$16:$ZZ$16,0)),"")</f>
        <v/>
      </c>
      <c r="O27" s="31" t="str">
        <f>IFERROR(INDEX('WINBUGS data'!$F$17:$ZZ$65,MATCH($C27,'WINBUGS data'!$F$17:$F$65,0),MATCH("t[,"&amp;O$4 &amp;"]",'WINBUGS data'!$F$16:$ZZ$16,0)),"")</f>
        <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t="str">
        <f>IF('WINBUGS data'!F40&lt;&gt;"",'WINBUGS data'!F40,"")</f>
        <v/>
      </c>
      <c r="D28" s="31" t="str">
        <f>IFERROR(INDEX('WINBUGS data'!$F$17:$ZZ$65,MATCH(C28,'WINBUGS data'!$F$17:$F$65,0),MATCH("na[]",'WINBUGS data'!$F$16:$ZZ$16,0)),"")</f>
        <v/>
      </c>
      <c r="E28" s="31" t="str">
        <f t="shared" si="0"/>
        <v/>
      </c>
      <c r="F28" s="31" t="str">
        <f>IFERROR(INDEX('WINBUGS data'!$F$17:$ZZ$65,MATCH($C28,'WINBUGS data'!$F$17:$F$65,0),MATCH("t[,"&amp;F$4 &amp;"]",'WINBUGS data'!$F$16:$ZZ$16,0)),"")</f>
        <v/>
      </c>
      <c r="G28" s="31" t="str">
        <f>IFERROR(INDEX('WINBUGS data'!$F$17:$ZZ$65,MATCH($C28,'WINBUGS data'!$F$17:$F$65,0),MATCH("t[,"&amp;G$4 &amp;"]",'WINBUGS data'!$F$16:$ZZ$16,0)),"")</f>
        <v/>
      </c>
      <c r="H28" s="31" t="str">
        <f>IFERROR(INDEX('WINBUGS data'!$F$17:$ZZ$65,MATCH($C28,'WINBUGS data'!$F$17:$F$65,0),MATCH("t[,"&amp;H$4 &amp;"]",'WINBUGS data'!$F$16:$ZZ$16,0)),"")</f>
        <v/>
      </c>
      <c r="I28" s="31" t="str">
        <f>IFERROR(INDEX('WINBUGS data'!$F$17:$ZZ$65,MATCH($C28,'WINBUGS data'!$F$17:$F$65,0),MATCH("t[,"&amp;I$4 &amp;"]",'WINBUGS data'!$F$16:$ZZ$16,0)),"")</f>
        <v/>
      </c>
      <c r="J28" s="31" t="str">
        <f>IFERROR(INDEX('WINBUGS data'!$F$17:$ZZ$65,MATCH($C28,'WINBUGS data'!$F$17:$F$65,0),MATCH("t[,"&amp;J$4 &amp;"]",'WINBUGS data'!$F$16:$ZZ$16,0)),"")</f>
        <v/>
      </c>
      <c r="K28" s="31" t="str">
        <f>IFERROR(INDEX('WINBUGS data'!$F$17:$ZZ$65,MATCH($C28,'WINBUGS data'!$F$17:$F$65,0),MATCH("t[,"&amp;K$4 &amp;"]",'WINBUGS data'!$F$16:$ZZ$16,0)),"")</f>
        <v/>
      </c>
      <c r="L28" s="31" t="str">
        <f>IFERROR(INDEX('WINBUGS data'!$F$17:$ZZ$65,MATCH($C28,'WINBUGS data'!$F$17:$F$65,0),MATCH("t[,"&amp;L$4 &amp;"]",'WINBUGS data'!$F$16:$ZZ$16,0)),"")</f>
        <v/>
      </c>
      <c r="M28" s="31" t="str">
        <f>IFERROR(INDEX('WINBUGS data'!$F$17:$ZZ$65,MATCH($C28,'WINBUGS data'!$F$17:$F$65,0),MATCH("t[,"&amp;M$4 &amp;"]",'WINBUGS data'!$F$16:$ZZ$16,0)),"")</f>
        <v/>
      </c>
      <c r="N28" s="31" t="str">
        <f>IFERROR(INDEX('WINBUGS data'!$F$17:$ZZ$65,MATCH($C28,'WINBUGS data'!$F$17:$F$65,0),MATCH("t[,"&amp;N$4 &amp;"]",'WINBUGS data'!$F$16:$ZZ$16,0)),"")</f>
        <v/>
      </c>
      <c r="O28" s="31" t="str">
        <f>IFERROR(INDEX('WINBUGS data'!$F$17:$ZZ$65,MATCH($C28,'WINBUGS data'!$F$17:$F$65,0),MATCH("t[,"&amp;O$4 &amp;"]",'WINBUGS data'!$F$16:$ZZ$16,0)),"")</f>
        <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t="str">
        <f>IF('WINBUGS data'!F41&lt;&gt;"",'WINBUGS data'!F41,"")</f>
        <v/>
      </c>
      <c r="D29" s="31" t="str">
        <f>IFERROR(INDEX('WINBUGS data'!$F$17:$ZZ$65,MATCH(C29,'WINBUGS data'!$F$17:$F$65,0),MATCH("na[]",'WINBUGS data'!$F$16:$ZZ$16,0)),"")</f>
        <v/>
      </c>
      <c r="E29" s="31" t="str">
        <f t="shared" si="0"/>
        <v/>
      </c>
      <c r="F29" s="31" t="str">
        <f>IFERROR(INDEX('WINBUGS data'!$F$17:$ZZ$65,MATCH($C29,'WINBUGS data'!$F$17:$F$65,0),MATCH("t[,"&amp;F$4 &amp;"]",'WINBUGS data'!$F$16:$ZZ$16,0)),"")</f>
        <v/>
      </c>
      <c r="G29" s="31" t="str">
        <f>IFERROR(INDEX('WINBUGS data'!$F$17:$ZZ$65,MATCH($C29,'WINBUGS data'!$F$17:$F$65,0),MATCH("t[,"&amp;G$4 &amp;"]",'WINBUGS data'!$F$16:$ZZ$16,0)),"")</f>
        <v/>
      </c>
      <c r="H29" s="31" t="str">
        <f>IFERROR(INDEX('WINBUGS data'!$F$17:$ZZ$65,MATCH($C29,'WINBUGS data'!$F$17:$F$65,0),MATCH("t[,"&amp;H$4 &amp;"]",'WINBUGS data'!$F$16:$ZZ$16,0)),"")</f>
        <v/>
      </c>
      <c r="I29" s="31" t="str">
        <f>IFERROR(INDEX('WINBUGS data'!$F$17:$ZZ$65,MATCH($C29,'WINBUGS data'!$F$17:$F$65,0),MATCH("t[,"&amp;I$4 &amp;"]",'WINBUGS data'!$F$16:$ZZ$16,0)),"")</f>
        <v/>
      </c>
      <c r="J29" s="31" t="str">
        <f>IFERROR(INDEX('WINBUGS data'!$F$17:$ZZ$65,MATCH($C29,'WINBUGS data'!$F$17:$F$65,0),MATCH("t[,"&amp;J$4 &amp;"]",'WINBUGS data'!$F$16:$ZZ$16,0)),"")</f>
        <v/>
      </c>
      <c r="K29" s="31" t="str">
        <f>IFERROR(INDEX('WINBUGS data'!$F$17:$ZZ$65,MATCH($C29,'WINBUGS data'!$F$17:$F$65,0),MATCH("t[,"&amp;K$4 &amp;"]",'WINBUGS data'!$F$16:$ZZ$16,0)),"")</f>
        <v/>
      </c>
      <c r="L29" s="31" t="str">
        <f>IFERROR(INDEX('WINBUGS data'!$F$17:$ZZ$65,MATCH($C29,'WINBUGS data'!$F$17:$F$65,0),MATCH("t[,"&amp;L$4 &amp;"]",'WINBUGS data'!$F$16:$ZZ$16,0)),"")</f>
        <v/>
      </c>
      <c r="M29" s="31" t="str">
        <f>IFERROR(INDEX('WINBUGS data'!$F$17:$ZZ$65,MATCH($C29,'WINBUGS data'!$F$17:$F$65,0),MATCH("t[,"&amp;M$4 &amp;"]",'WINBUGS data'!$F$16:$ZZ$16,0)),"")</f>
        <v/>
      </c>
      <c r="N29" s="31" t="str">
        <f>IFERROR(INDEX('WINBUGS data'!$F$17:$ZZ$65,MATCH($C29,'WINBUGS data'!$F$17:$F$65,0),MATCH("t[,"&amp;N$4 &amp;"]",'WINBUGS data'!$F$16:$ZZ$16,0)),"")</f>
        <v/>
      </c>
      <c r="O29" s="31" t="str">
        <f>IFERROR(INDEX('WINBUGS data'!$F$17:$ZZ$65,MATCH($C29,'WINBUGS data'!$F$17:$F$65,0),MATCH("t[,"&amp;O$4 &amp;"]",'WINBUGS data'!$F$16:$ZZ$16,0)),"")</f>
        <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t="str">
        <f>IF('WINBUGS data'!F42&lt;&gt;"",'WINBUGS data'!F42,"")</f>
        <v/>
      </c>
      <c r="D30" s="31" t="str">
        <f>IFERROR(INDEX('WINBUGS data'!$F$17:$ZZ$65,MATCH(C30,'WINBUGS data'!$F$17:$F$65,0),MATCH("na[]",'WINBUGS data'!$F$16:$ZZ$16,0)),"")</f>
        <v/>
      </c>
      <c r="E30" s="31" t="str">
        <f t="shared" si="0"/>
        <v/>
      </c>
      <c r="F30" s="31" t="str">
        <f>IFERROR(INDEX('WINBUGS data'!$F$17:$ZZ$65,MATCH($C30,'WINBUGS data'!$F$17:$F$65,0),MATCH("t[,"&amp;F$4 &amp;"]",'WINBUGS data'!$F$16:$ZZ$16,0)),"")</f>
        <v/>
      </c>
      <c r="G30" s="31" t="str">
        <f>IFERROR(INDEX('WINBUGS data'!$F$17:$ZZ$65,MATCH($C30,'WINBUGS data'!$F$17:$F$65,0),MATCH("t[,"&amp;G$4 &amp;"]",'WINBUGS data'!$F$16:$ZZ$16,0)),"")</f>
        <v/>
      </c>
      <c r="H30" s="31" t="str">
        <f>IFERROR(INDEX('WINBUGS data'!$F$17:$ZZ$65,MATCH($C30,'WINBUGS data'!$F$17:$F$65,0),MATCH("t[,"&amp;H$4 &amp;"]",'WINBUGS data'!$F$16:$ZZ$16,0)),"")</f>
        <v/>
      </c>
      <c r="I30" s="31" t="str">
        <f>IFERROR(INDEX('WINBUGS data'!$F$17:$ZZ$65,MATCH($C30,'WINBUGS data'!$F$17:$F$65,0),MATCH("t[,"&amp;I$4 &amp;"]",'WINBUGS data'!$F$16:$ZZ$16,0)),"")</f>
        <v/>
      </c>
      <c r="J30" s="31" t="str">
        <f>IFERROR(INDEX('WINBUGS data'!$F$17:$ZZ$65,MATCH($C30,'WINBUGS data'!$F$17:$F$65,0),MATCH("t[,"&amp;J$4 &amp;"]",'WINBUGS data'!$F$16:$ZZ$16,0)),"")</f>
        <v/>
      </c>
      <c r="K30" s="31" t="str">
        <f>IFERROR(INDEX('WINBUGS data'!$F$17:$ZZ$65,MATCH($C30,'WINBUGS data'!$F$17:$F$65,0),MATCH("t[,"&amp;K$4 &amp;"]",'WINBUGS data'!$F$16:$ZZ$16,0)),"")</f>
        <v/>
      </c>
      <c r="L30" s="31" t="str">
        <f>IFERROR(INDEX('WINBUGS data'!$F$17:$ZZ$65,MATCH($C30,'WINBUGS data'!$F$17:$F$65,0),MATCH("t[,"&amp;L$4 &amp;"]",'WINBUGS data'!$F$16:$ZZ$16,0)),"")</f>
        <v/>
      </c>
      <c r="M30" s="31" t="str">
        <f>IFERROR(INDEX('WINBUGS data'!$F$17:$ZZ$65,MATCH($C30,'WINBUGS data'!$F$17:$F$65,0),MATCH("t[,"&amp;M$4 &amp;"]",'WINBUGS data'!$F$16:$ZZ$16,0)),"")</f>
        <v/>
      </c>
      <c r="N30" s="31" t="str">
        <f>IFERROR(INDEX('WINBUGS data'!$F$17:$ZZ$65,MATCH($C30,'WINBUGS data'!$F$17:$F$65,0),MATCH("t[,"&amp;N$4 &amp;"]",'WINBUGS data'!$F$16:$ZZ$16,0)),"")</f>
        <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t="str">
        <f>IF('WINBUGS data'!F43&lt;&gt;"",'WINBUGS data'!F43,"")</f>
        <v/>
      </c>
      <c r="D31" s="31" t="str">
        <f>IFERROR(INDEX('WINBUGS data'!$F$17:$ZZ$65,MATCH(C31,'WINBUGS data'!$F$17:$F$65,0),MATCH("na[]",'WINBUGS data'!$F$16:$ZZ$16,0)),"")</f>
        <v/>
      </c>
      <c r="E31" s="31" t="str">
        <f t="shared" si="0"/>
        <v/>
      </c>
      <c r="F31" s="31" t="str">
        <f>IFERROR(INDEX('WINBUGS data'!$F$17:$ZZ$65,MATCH($C31,'WINBUGS data'!$F$17:$F$65,0),MATCH("t[,"&amp;F$4 &amp;"]",'WINBUGS data'!$F$16:$ZZ$16,0)),"")</f>
        <v/>
      </c>
      <c r="G31" s="31" t="str">
        <f>IFERROR(INDEX('WINBUGS data'!$F$17:$ZZ$65,MATCH($C31,'WINBUGS data'!$F$17:$F$65,0),MATCH("t[,"&amp;G$4 &amp;"]",'WINBUGS data'!$F$16:$ZZ$16,0)),"")</f>
        <v/>
      </c>
      <c r="H31" s="31" t="str">
        <f>IFERROR(INDEX('WINBUGS data'!$F$17:$ZZ$65,MATCH($C31,'WINBUGS data'!$F$17:$F$65,0),MATCH("t[,"&amp;H$4 &amp;"]",'WINBUGS data'!$F$16:$ZZ$16,0)),"")</f>
        <v/>
      </c>
      <c r="I31" s="31" t="str">
        <f>IFERROR(INDEX('WINBUGS data'!$F$17:$ZZ$65,MATCH($C31,'WINBUGS data'!$F$17:$F$65,0),MATCH("t[,"&amp;I$4 &amp;"]",'WINBUGS data'!$F$16:$ZZ$16,0)),"")</f>
        <v/>
      </c>
      <c r="J31" s="31" t="str">
        <f>IFERROR(INDEX('WINBUGS data'!$F$17:$ZZ$65,MATCH($C31,'WINBUGS data'!$F$17:$F$65,0),MATCH("t[,"&amp;J$4 &amp;"]",'WINBUGS data'!$F$16:$ZZ$16,0)),"")</f>
        <v/>
      </c>
      <c r="K31" s="31" t="str">
        <f>IFERROR(INDEX('WINBUGS data'!$F$17:$ZZ$65,MATCH($C31,'WINBUGS data'!$F$17:$F$65,0),MATCH("t[,"&amp;K$4 &amp;"]",'WINBUGS data'!$F$16:$ZZ$16,0)),"")</f>
        <v/>
      </c>
      <c r="L31" s="31" t="str">
        <f>IFERROR(INDEX('WINBUGS data'!$F$17:$ZZ$65,MATCH($C31,'WINBUGS data'!$F$17:$F$65,0),MATCH("t[,"&amp;L$4 &amp;"]",'WINBUGS data'!$F$16:$ZZ$16,0)),"")</f>
        <v/>
      </c>
      <c r="M31" s="31" t="str">
        <f>IFERROR(INDEX('WINBUGS data'!$F$17:$ZZ$65,MATCH($C31,'WINBUGS data'!$F$17:$F$65,0),MATCH("t[,"&amp;M$4 &amp;"]",'WINBUGS data'!$F$16:$ZZ$16,0)),"")</f>
        <v/>
      </c>
      <c r="N31" s="31" t="str">
        <f>IFERROR(INDEX('WINBUGS data'!$F$17:$ZZ$65,MATCH($C31,'WINBUGS data'!$F$17:$F$65,0),MATCH("t[,"&amp;N$4 &amp;"]",'WINBUGS data'!$F$16:$ZZ$16,0)),"")</f>
        <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t="str">
        <f>IF('WINBUGS data'!F44&lt;&gt;"",'WINBUGS data'!F44,"")</f>
        <v/>
      </c>
      <c r="D32" s="31" t="str">
        <f>IFERROR(INDEX('WINBUGS data'!$F$17:$ZZ$65,MATCH(C32,'WINBUGS data'!$F$17:$F$65,0),MATCH("na[]",'WINBUGS data'!$F$16:$ZZ$16,0)),"")</f>
        <v/>
      </c>
      <c r="E32" s="31" t="str">
        <f t="shared" si="0"/>
        <v/>
      </c>
      <c r="F32" s="31" t="str">
        <f>IFERROR(INDEX('WINBUGS data'!$F$17:$ZZ$65,MATCH($C32,'WINBUGS data'!$F$17:$F$65,0),MATCH("t[,"&amp;F$4 &amp;"]",'WINBUGS data'!$F$16:$ZZ$16,0)),"")</f>
        <v/>
      </c>
      <c r="G32" s="31" t="str">
        <f>IFERROR(INDEX('WINBUGS data'!$F$17:$ZZ$65,MATCH($C32,'WINBUGS data'!$F$17:$F$65,0),MATCH("t[,"&amp;G$4 &amp;"]",'WINBUGS data'!$F$16:$ZZ$16,0)),"")</f>
        <v/>
      </c>
      <c r="H32" s="31" t="str">
        <f>IFERROR(INDEX('WINBUGS data'!$F$17:$ZZ$65,MATCH($C32,'WINBUGS data'!$F$17:$F$65,0),MATCH("t[,"&amp;H$4 &amp;"]",'WINBUGS data'!$F$16:$ZZ$16,0)),"")</f>
        <v/>
      </c>
      <c r="I32" s="31" t="str">
        <f>IFERROR(INDEX('WINBUGS data'!$F$17:$ZZ$65,MATCH($C32,'WINBUGS data'!$F$17:$F$65,0),MATCH("t[,"&amp;I$4 &amp;"]",'WINBUGS data'!$F$16:$ZZ$16,0)),"")</f>
        <v/>
      </c>
      <c r="J32" s="31" t="str">
        <f>IFERROR(INDEX('WINBUGS data'!$F$17:$ZZ$65,MATCH($C32,'WINBUGS data'!$F$17:$F$65,0),MATCH("t[,"&amp;J$4 &amp;"]",'WINBUGS data'!$F$16:$ZZ$16,0)),"")</f>
        <v/>
      </c>
      <c r="K32" s="31" t="str">
        <f>IFERROR(INDEX('WINBUGS data'!$F$17:$ZZ$65,MATCH($C32,'WINBUGS data'!$F$17:$F$65,0),MATCH("t[,"&amp;K$4 &amp;"]",'WINBUGS data'!$F$16:$ZZ$16,0)),"")</f>
        <v/>
      </c>
      <c r="L32" s="31" t="str">
        <f>IFERROR(INDEX('WINBUGS data'!$F$17:$ZZ$65,MATCH($C32,'WINBUGS data'!$F$17:$F$65,0),MATCH("t[,"&amp;L$4 &amp;"]",'WINBUGS data'!$F$16:$ZZ$16,0)),"")</f>
        <v/>
      </c>
      <c r="M32" s="31" t="str">
        <f>IFERROR(INDEX('WINBUGS data'!$F$17:$ZZ$65,MATCH($C32,'WINBUGS data'!$F$17:$F$65,0),MATCH("t[,"&amp;M$4 &amp;"]",'WINBUGS data'!$F$16:$ZZ$16,0)),"")</f>
        <v/>
      </c>
      <c r="N32" s="31" t="str">
        <f>IFERROR(INDEX('WINBUGS data'!$F$17:$ZZ$65,MATCH($C32,'WINBUGS data'!$F$17:$F$65,0),MATCH("t[,"&amp;N$4 &amp;"]",'WINBUGS data'!$F$16:$ZZ$16,0)),"")</f>
        <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t="str">
        <f>IF('WINBUGS data'!F45&lt;&gt;"",'WINBUGS data'!F45,"")</f>
        <v/>
      </c>
      <c r="D33" s="31" t="str">
        <f>IFERROR(INDEX('WINBUGS data'!$F$17:$ZZ$65,MATCH(C33,'WINBUGS data'!$F$17:$F$65,0),MATCH("na[]",'WINBUGS data'!$F$16:$ZZ$16,0)),"")</f>
        <v/>
      </c>
      <c r="E33" s="31" t="str">
        <f t="shared" si="0"/>
        <v/>
      </c>
      <c r="F33" s="31" t="str">
        <f>IFERROR(INDEX('WINBUGS data'!$F$17:$ZZ$65,MATCH($C33,'WINBUGS data'!$F$17:$F$65,0),MATCH("t[,"&amp;F$4 &amp;"]",'WINBUGS data'!$F$16:$ZZ$16,0)),"")</f>
        <v/>
      </c>
      <c r="G33" s="31" t="str">
        <f>IFERROR(INDEX('WINBUGS data'!$F$17:$ZZ$65,MATCH($C33,'WINBUGS data'!$F$17:$F$65,0),MATCH("t[,"&amp;G$4 &amp;"]",'WINBUGS data'!$F$16:$ZZ$16,0)),"")</f>
        <v/>
      </c>
      <c r="H33" s="31" t="str">
        <f>IFERROR(INDEX('WINBUGS data'!$F$17:$ZZ$65,MATCH($C33,'WINBUGS data'!$F$17:$F$65,0),MATCH("t[,"&amp;H$4 &amp;"]",'WINBUGS data'!$F$16:$ZZ$16,0)),"")</f>
        <v/>
      </c>
      <c r="I33" s="31" t="str">
        <f>IFERROR(INDEX('WINBUGS data'!$F$17:$ZZ$65,MATCH($C33,'WINBUGS data'!$F$17:$F$65,0),MATCH("t[,"&amp;I$4 &amp;"]",'WINBUGS data'!$F$16:$ZZ$16,0)),"")</f>
        <v/>
      </c>
      <c r="J33" s="31" t="str">
        <f>IFERROR(INDEX('WINBUGS data'!$F$17:$ZZ$65,MATCH($C33,'WINBUGS data'!$F$17:$F$65,0),MATCH("t[,"&amp;J$4 &amp;"]",'WINBUGS data'!$F$16:$ZZ$16,0)),"")</f>
        <v/>
      </c>
      <c r="K33" s="31" t="str">
        <f>IFERROR(INDEX('WINBUGS data'!$F$17:$ZZ$65,MATCH($C33,'WINBUGS data'!$F$17:$F$65,0),MATCH("t[,"&amp;K$4 &amp;"]",'WINBUGS data'!$F$16:$ZZ$16,0)),"")</f>
        <v/>
      </c>
      <c r="L33" s="31" t="str">
        <f>IFERROR(INDEX('WINBUGS data'!$F$17:$ZZ$65,MATCH($C33,'WINBUGS data'!$F$17:$F$65,0),MATCH("t[,"&amp;L$4 &amp;"]",'WINBUGS data'!$F$16:$ZZ$16,0)),"")</f>
        <v/>
      </c>
      <c r="M33" s="31" t="str">
        <f>IFERROR(INDEX('WINBUGS data'!$F$17:$ZZ$65,MATCH($C33,'WINBUGS data'!$F$17:$F$65,0),MATCH("t[,"&amp;M$4 &amp;"]",'WINBUGS data'!$F$16:$ZZ$16,0)),"")</f>
        <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t="str">
        <f>IF('WINBUGS data'!F46&lt;&gt;"",'WINBUGS data'!F46,"")</f>
        <v/>
      </c>
      <c r="D34" s="31" t="str">
        <f>IFERROR(INDEX('WINBUGS data'!$F$17:$ZZ$65,MATCH(C34,'WINBUGS data'!$F$17:$F$65,0),MATCH("na[]",'WINBUGS data'!$F$16:$ZZ$16,0)),"")</f>
        <v/>
      </c>
      <c r="E34" s="31" t="str">
        <f t="shared" si="0"/>
        <v/>
      </c>
      <c r="F34" s="31" t="str">
        <f>IFERROR(INDEX('WINBUGS data'!$F$17:$ZZ$65,MATCH($C34,'WINBUGS data'!$F$17:$F$65,0),MATCH("t[,"&amp;F$4 &amp;"]",'WINBUGS data'!$F$16:$ZZ$16,0)),"")</f>
        <v/>
      </c>
      <c r="G34" s="31" t="str">
        <f>IFERROR(INDEX('WINBUGS data'!$F$17:$ZZ$65,MATCH($C34,'WINBUGS data'!$F$17:$F$65,0),MATCH("t[,"&amp;G$4 &amp;"]",'WINBUGS data'!$F$16:$ZZ$16,0)),"")</f>
        <v/>
      </c>
      <c r="H34" s="31" t="str">
        <f>IFERROR(INDEX('WINBUGS data'!$F$17:$ZZ$65,MATCH($C34,'WINBUGS data'!$F$17:$F$65,0),MATCH("t[,"&amp;H$4 &amp;"]",'WINBUGS data'!$F$16:$ZZ$16,0)),"")</f>
        <v/>
      </c>
      <c r="I34" s="31" t="str">
        <f>IFERROR(INDEX('WINBUGS data'!$F$17:$ZZ$65,MATCH($C34,'WINBUGS data'!$F$17:$F$65,0),MATCH("t[,"&amp;I$4 &amp;"]",'WINBUGS data'!$F$16:$ZZ$16,0)),"")</f>
        <v/>
      </c>
      <c r="J34" s="31" t="str">
        <f>IFERROR(INDEX('WINBUGS data'!$F$17:$ZZ$65,MATCH($C34,'WINBUGS data'!$F$17:$F$65,0),MATCH("t[,"&amp;J$4 &amp;"]",'WINBUGS data'!$F$16:$ZZ$16,0)),"")</f>
        <v/>
      </c>
      <c r="K34" s="31" t="str">
        <f>IFERROR(INDEX('WINBUGS data'!$F$17:$ZZ$65,MATCH($C34,'WINBUGS data'!$F$17:$F$65,0),MATCH("t[,"&amp;K$4 &amp;"]",'WINBUGS data'!$F$16:$ZZ$16,0)),"")</f>
        <v/>
      </c>
      <c r="L34" s="31" t="str">
        <f>IFERROR(INDEX('WINBUGS data'!$F$17:$ZZ$65,MATCH($C34,'WINBUGS data'!$F$17:$F$65,0),MATCH("t[,"&amp;L$4 &amp;"]",'WINBUGS data'!$F$16:$ZZ$16,0)),"")</f>
        <v/>
      </c>
      <c r="M34" s="31" t="str">
        <f>IFERROR(INDEX('WINBUGS data'!$F$17:$ZZ$65,MATCH($C34,'WINBUGS data'!$F$17:$F$65,0),MATCH("t[,"&amp;M$4 &amp;"]",'WINBUGS data'!$F$16:$ZZ$16,0)),"")</f>
        <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t="str">
        <f>IF('WINBUGS data'!F47&lt;&gt;"",'WINBUGS data'!F47,"")</f>
        <v/>
      </c>
      <c r="D35" s="31" t="str">
        <f>IFERROR(INDEX('WINBUGS data'!$F$17:$ZZ$65,MATCH(C35,'WINBUGS data'!$F$17:$F$65,0),MATCH("na[]",'WINBUGS data'!$F$16:$ZZ$16,0)),"")</f>
        <v/>
      </c>
      <c r="E35" s="31" t="str">
        <f t="shared" si="0"/>
        <v/>
      </c>
      <c r="F35" s="31" t="str">
        <f>IFERROR(INDEX('WINBUGS data'!$F$17:$ZZ$65,MATCH($C35,'WINBUGS data'!$F$17:$F$65,0),MATCH("t[,"&amp;F$4 &amp;"]",'WINBUGS data'!$F$16:$ZZ$16,0)),"")</f>
        <v/>
      </c>
      <c r="G35" s="31" t="str">
        <f>IFERROR(INDEX('WINBUGS data'!$F$17:$ZZ$65,MATCH($C35,'WINBUGS data'!$F$17:$F$65,0),MATCH("t[,"&amp;G$4 &amp;"]",'WINBUGS data'!$F$16:$ZZ$16,0)),"")</f>
        <v/>
      </c>
      <c r="H35" s="31" t="str">
        <f>IFERROR(INDEX('WINBUGS data'!$F$17:$ZZ$65,MATCH($C35,'WINBUGS data'!$F$17:$F$65,0),MATCH("t[,"&amp;H$4 &amp;"]",'WINBUGS data'!$F$16:$ZZ$16,0)),"")</f>
        <v/>
      </c>
      <c r="I35" s="31" t="str">
        <f>IFERROR(INDEX('WINBUGS data'!$F$17:$ZZ$65,MATCH($C35,'WINBUGS data'!$F$17:$F$65,0),MATCH("t[,"&amp;I$4 &amp;"]",'WINBUGS data'!$F$16:$ZZ$16,0)),"")</f>
        <v/>
      </c>
      <c r="J35" s="31" t="str">
        <f>IFERROR(INDEX('WINBUGS data'!$F$17:$ZZ$65,MATCH($C35,'WINBUGS data'!$F$17:$F$65,0),MATCH("t[,"&amp;J$4 &amp;"]",'WINBUGS data'!$F$16:$ZZ$16,0)),"")</f>
        <v/>
      </c>
      <c r="K35" s="31" t="str">
        <f>IFERROR(INDEX('WINBUGS data'!$F$17:$ZZ$65,MATCH($C35,'WINBUGS data'!$F$17:$F$65,0),MATCH("t[,"&amp;K$4 &amp;"]",'WINBUGS data'!$F$16:$ZZ$16,0)),"")</f>
        <v/>
      </c>
      <c r="L35" s="31" t="str">
        <f>IFERROR(INDEX('WINBUGS data'!$F$17:$ZZ$65,MATCH($C35,'WINBUGS data'!$F$17:$F$65,0),MATCH("t[,"&amp;L$4 &amp;"]",'WINBUGS data'!$F$16:$ZZ$16,0)),"")</f>
        <v/>
      </c>
      <c r="M35" s="31" t="str">
        <f>IFERROR(INDEX('WINBUGS data'!$F$17:$ZZ$65,MATCH($C35,'WINBUGS data'!$F$17:$F$65,0),MATCH("t[,"&amp;M$4 &amp;"]",'WINBUGS data'!$F$16:$ZZ$16,0)),"")</f>
        <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t="str">
        <f>IF('WINBUGS data'!F48&lt;&gt;"",'WINBUGS data'!F48,"")</f>
        <v/>
      </c>
      <c r="D36" s="31" t="str">
        <f>IFERROR(INDEX('WINBUGS data'!$F$17:$ZZ$65,MATCH(C36,'WINBUGS data'!$F$17:$F$65,0),MATCH("na[]",'WINBUGS data'!$F$16:$ZZ$16,0)),"")</f>
        <v/>
      </c>
      <c r="E36" s="31" t="str">
        <f t="shared" si="0"/>
        <v/>
      </c>
      <c r="F36" s="31" t="str">
        <f>IFERROR(INDEX('WINBUGS data'!$F$17:$ZZ$65,MATCH($C36,'WINBUGS data'!$F$17:$F$65,0),MATCH("t[,"&amp;F$4 &amp;"]",'WINBUGS data'!$F$16:$ZZ$16,0)),"")</f>
        <v/>
      </c>
      <c r="G36" s="31" t="str">
        <f>IFERROR(INDEX('WINBUGS data'!$F$17:$ZZ$65,MATCH($C36,'WINBUGS data'!$F$17:$F$65,0),MATCH("t[,"&amp;G$4 &amp;"]",'WINBUGS data'!$F$16:$ZZ$16,0)),"")</f>
        <v/>
      </c>
      <c r="H36" s="31" t="str">
        <f>IFERROR(INDEX('WINBUGS data'!$F$17:$ZZ$65,MATCH($C36,'WINBUGS data'!$F$17:$F$65,0),MATCH("t[,"&amp;H$4 &amp;"]",'WINBUGS data'!$F$16:$ZZ$16,0)),"")</f>
        <v/>
      </c>
      <c r="I36" s="31" t="str">
        <f>IFERROR(INDEX('WINBUGS data'!$F$17:$ZZ$65,MATCH($C36,'WINBUGS data'!$F$17:$F$65,0),MATCH("t[,"&amp;I$4 &amp;"]",'WINBUGS data'!$F$16:$ZZ$16,0)),"")</f>
        <v/>
      </c>
      <c r="J36" s="31" t="str">
        <f>IFERROR(INDEX('WINBUGS data'!$F$17:$ZZ$65,MATCH($C36,'WINBUGS data'!$F$17:$F$65,0),MATCH("t[,"&amp;J$4 &amp;"]",'WINBUGS data'!$F$16:$ZZ$16,0)),"")</f>
        <v/>
      </c>
      <c r="K36" s="31" t="str">
        <f>IFERROR(INDEX('WINBUGS data'!$F$17:$ZZ$65,MATCH($C36,'WINBUGS data'!$F$17:$F$65,0),MATCH("t[,"&amp;K$4 &amp;"]",'WINBUGS data'!$F$16:$ZZ$16,0)),"")</f>
        <v/>
      </c>
      <c r="L36" s="31" t="str">
        <f>IFERROR(INDEX('WINBUGS data'!$F$17:$ZZ$65,MATCH($C36,'WINBUGS data'!$F$17:$F$65,0),MATCH("t[,"&amp;L$4 &amp;"]",'WINBUGS data'!$F$16:$ZZ$16,0)),"")</f>
        <v/>
      </c>
      <c r="M36" s="31" t="str">
        <f>IFERROR(INDEX('WINBUGS data'!$F$17:$ZZ$65,MATCH($C36,'WINBUGS data'!$F$17:$F$65,0),MATCH("t[,"&amp;M$4 &amp;"]",'WINBUGS data'!$F$16:$ZZ$16,0)),"")</f>
        <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I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5" ht="87" customHeight="1" thickBot="1" x14ac:dyDescent="0.3">
      <c r="J1" s="22" t="s">
        <v>121</v>
      </c>
    </row>
    <row r="2" spans="2:35" ht="19.5" thickBot="1" x14ac:dyDescent="0.35">
      <c r="B2" s="257" t="s">
        <v>13</v>
      </c>
      <c r="C2" s="258"/>
      <c r="H2" s="9" t="s">
        <v>263</v>
      </c>
      <c r="I2" s="10"/>
      <c r="J2" s="10"/>
      <c r="K2" s="10"/>
      <c r="L2" s="10"/>
      <c r="M2" s="10"/>
      <c r="N2" s="10"/>
      <c r="O2" s="10"/>
      <c r="P2" s="10"/>
      <c r="Q2" s="10"/>
      <c r="R2" s="10"/>
      <c r="S2" s="10"/>
      <c r="T2" s="10"/>
    </row>
    <row r="3" spans="2:35" ht="15.75" thickBot="1" x14ac:dyDescent="0.3">
      <c r="B3" s="4" t="s">
        <v>8</v>
      </c>
      <c r="C3" s="3" t="s">
        <v>7</v>
      </c>
      <c r="H3" t="s">
        <v>388</v>
      </c>
    </row>
    <row r="4" spans="2:35" x14ac:dyDescent="0.25">
      <c r="B4" s="5" t="str">
        <f>IF('DATA Input'!E5="","",'DATA Input'!E5)</f>
        <v>INDOIV</v>
      </c>
      <c r="C4" s="1">
        <f>IF(B4="","",1)</f>
        <v>1</v>
      </c>
      <c r="H4" t="s">
        <v>389</v>
      </c>
    </row>
    <row r="5" spans="2:35" x14ac:dyDescent="0.25">
      <c r="B5" s="5" t="str">
        <f>IF('DATA Input'!G5="","",'DATA Input'!G5)</f>
        <v>IBUIV</v>
      </c>
      <c r="C5" s="1">
        <f>IF(B5="","",C4+1)</f>
        <v>2</v>
      </c>
      <c r="H5" t="s">
        <v>390</v>
      </c>
    </row>
    <row r="6" spans="2:35"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5" x14ac:dyDescent="0.25">
      <c r="B7" s="5" t="str">
        <f>IF('DATA Input'!K$5="","",'DATA Input'!K$5)</f>
        <v>PARAPO</v>
      </c>
      <c r="C7" s="1">
        <f t="shared" si="0"/>
        <v>4</v>
      </c>
      <c r="H7" t="s">
        <v>391</v>
      </c>
    </row>
    <row r="8" spans="2:35" x14ac:dyDescent="0.25">
      <c r="B8" s="5" t="str">
        <f>IF('DATA Input'!M$5="","",'DATA Input'!M$5)</f>
        <v>IBUIVHIGHDOSE</v>
      </c>
      <c r="C8" s="1">
        <f t="shared" si="0"/>
        <v>5</v>
      </c>
      <c r="H8" t="s">
        <v>392</v>
      </c>
    </row>
    <row r="9" spans="2:35" x14ac:dyDescent="0.25">
      <c r="B9" s="5" t="str">
        <f>IF('DATA Input'!O$5="","",'DATA Input'!O$5)</f>
        <v>IBUPOHIGHDOSE</v>
      </c>
      <c r="C9" s="1">
        <f t="shared" si="0"/>
        <v>6</v>
      </c>
      <c r="H9" t="s">
        <v>393</v>
      </c>
    </row>
    <row r="10" spans="2:35" ht="15.75" x14ac:dyDescent="0.25">
      <c r="B10" s="5" t="str">
        <f>IF('DATA Input'!Q$5="","",'DATA Input'!Q$5)</f>
        <v>INDOIVCONT</v>
      </c>
      <c r="C10" s="1">
        <f t="shared" si="0"/>
        <v>7</v>
      </c>
      <c r="H10" s="9" t="s">
        <v>265</v>
      </c>
      <c r="I10" s="10"/>
      <c r="J10" s="10"/>
      <c r="K10" s="10"/>
      <c r="L10" s="10"/>
      <c r="M10" s="10"/>
      <c r="N10" s="10"/>
      <c r="O10" s="10"/>
      <c r="P10" s="10"/>
      <c r="Q10" s="10"/>
      <c r="R10" s="10"/>
      <c r="S10" s="10"/>
      <c r="T10" s="10"/>
    </row>
    <row r="11" spans="2:35" x14ac:dyDescent="0.25">
      <c r="B11" s="5" t="str">
        <f>IF('DATA Input'!S$5="","",'DATA Input'!S$5)</f>
        <v>INDOTHERS</v>
      </c>
      <c r="C11" s="1">
        <f t="shared" si="0"/>
        <v>8</v>
      </c>
      <c r="H11" t="s">
        <v>394</v>
      </c>
    </row>
    <row r="12" spans="2:35" x14ac:dyDescent="0.25">
      <c r="B12" s="5" t="str">
        <f>IF('DATA Input'!U$5="","",'DATA Input'!U$5)</f>
        <v>PLAC_NORX</v>
      </c>
      <c r="C12" s="1">
        <f t="shared" si="0"/>
        <v>9</v>
      </c>
      <c r="F12" s="172" t="s">
        <v>268</v>
      </c>
      <c r="G12" s="146"/>
      <c r="H12" s="54" t="s">
        <v>395</v>
      </c>
      <c r="I12" s="19"/>
      <c r="J12" s="19"/>
      <c r="K12" s="19"/>
      <c r="L12" s="19"/>
      <c r="M12" s="19"/>
      <c r="N12" s="19"/>
      <c r="O12" s="19"/>
      <c r="P12" s="19"/>
      <c r="Q12" s="19"/>
      <c r="R12" s="19"/>
      <c r="S12" s="19"/>
      <c r="T12" s="19"/>
      <c r="U12" s="19"/>
      <c r="V12" s="19"/>
      <c r="W12" s="19"/>
      <c r="X12" s="19"/>
    </row>
    <row r="13" spans="2:35" x14ac:dyDescent="0.25">
      <c r="B13" s="5" t="str">
        <f>IF('DATA Input'!W$5="","",'DATA Input'!W$5)</f>
        <v/>
      </c>
      <c r="C13" s="1" t="str">
        <f t="shared" si="0"/>
        <v/>
      </c>
      <c r="F13" s="8"/>
      <c r="G13" s="16"/>
      <c r="H13" s="54" t="s">
        <v>396</v>
      </c>
      <c r="I13" s="19">
        <v>9.4285714285714288</v>
      </c>
      <c r="J13" s="19">
        <v>0.5714285714285714</v>
      </c>
      <c r="K13" s="19">
        <v>12.571428571428571</v>
      </c>
      <c r="L13" s="19"/>
      <c r="M13" s="19"/>
      <c r="N13" s="19"/>
      <c r="O13" s="19"/>
      <c r="P13" s="19"/>
      <c r="Q13" s="19"/>
      <c r="R13" s="19"/>
      <c r="S13" s="19"/>
      <c r="T13" s="19"/>
      <c r="U13" s="19"/>
      <c r="V13" s="19"/>
      <c r="W13" s="19"/>
      <c r="X13" s="19"/>
    </row>
    <row r="14" spans="2:35"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5" x14ac:dyDescent="0.25">
      <c r="B15" s="5" t="str">
        <f>IF('DATA Input'!AA$5="","",'DATA Input'!AA$5)</f>
        <v/>
      </c>
      <c r="C15" s="1" t="str">
        <f t="shared" si="0"/>
        <v/>
      </c>
      <c r="F15" s="8"/>
      <c r="G15" s="16"/>
      <c r="H15" s="148" t="s">
        <v>387</v>
      </c>
      <c r="I15" s="19"/>
      <c r="J15" s="19"/>
      <c r="K15" s="19"/>
      <c r="L15" s="19"/>
      <c r="M15" s="19"/>
      <c r="N15" s="19"/>
      <c r="O15" s="19"/>
      <c r="P15" s="19"/>
      <c r="Q15" s="19"/>
      <c r="R15" s="19"/>
      <c r="S15" s="19"/>
      <c r="T15" s="19"/>
      <c r="U15" s="19"/>
      <c r="V15" s="19"/>
      <c r="W15" s="19"/>
      <c r="X15" s="19"/>
    </row>
    <row r="16" spans="2:35"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360</v>
      </c>
      <c r="S16" s="16" t="s">
        <v>361</v>
      </c>
      <c r="T16" s="16" t="s">
        <v>362</v>
      </c>
      <c r="U16" s="16" t="s">
        <v>363</v>
      </c>
      <c r="V16" s="16" t="s">
        <v>364</v>
      </c>
      <c r="W16" s="16" t="s">
        <v>365</v>
      </c>
      <c r="X16" s="19" t="s">
        <v>366</v>
      </c>
      <c r="Y16" t="s">
        <v>367</v>
      </c>
      <c r="Z16" t="s">
        <v>4</v>
      </c>
      <c r="AA16" t="s">
        <v>5</v>
      </c>
      <c r="AB16" t="s">
        <v>46</v>
      </c>
      <c r="AC16" t="s">
        <v>47</v>
      </c>
      <c r="AD16" t="s">
        <v>253</v>
      </c>
      <c r="AE16" t="s">
        <v>368</v>
      </c>
      <c r="AF16" t="s">
        <v>369</v>
      </c>
      <c r="AG16" t="s">
        <v>370</v>
      </c>
      <c r="AH16" t="s">
        <v>371</v>
      </c>
      <c r="AI16" t="s">
        <v>6</v>
      </c>
    </row>
    <row r="17" spans="2:35" x14ac:dyDescent="0.25">
      <c r="B17" s="5" t="str">
        <f>IF('DATA Input'!AE$5="","",'DATA Input'!AE$5)</f>
        <v/>
      </c>
      <c r="C17" s="1" t="str">
        <f t="shared" si="0"/>
        <v/>
      </c>
      <c r="F17" s="16">
        <v>1</v>
      </c>
      <c r="G17" s="104">
        <v>1</v>
      </c>
      <c r="H17" s="144">
        <v>0</v>
      </c>
      <c r="I17" s="144">
        <v>9</v>
      </c>
      <c r="J17" s="144">
        <v>0</v>
      </c>
      <c r="K17" s="144">
        <v>12</v>
      </c>
      <c r="L17" s="144" t="s">
        <v>372</v>
      </c>
      <c r="M17" s="144">
        <v>1</v>
      </c>
      <c r="N17" s="19" t="s">
        <v>372</v>
      </c>
      <c r="O17" s="19">
        <v>1</v>
      </c>
      <c r="P17" s="19" t="s">
        <v>372</v>
      </c>
      <c r="Q17" s="19">
        <v>1</v>
      </c>
      <c r="R17" s="19" t="s">
        <v>372</v>
      </c>
      <c r="S17" s="19">
        <v>1</v>
      </c>
      <c r="T17" s="19" t="s">
        <v>372</v>
      </c>
      <c r="U17" s="19">
        <v>1</v>
      </c>
      <c r="V17" s="19" t="s">
        <v>372</v>
      </c>
      <c r="W17" s="19">
        <v>1</v>
      </c>
      <c r="X17" s="19" t="s">
        <v>372</v>
      </c>
      <c r="Y17">
        <v>1</v>
      </c>
      <c r="Z17">
        <v>1</v>
      </c>
      <c r="AA17">
        <v>3</v>
      </c>
      <c r="AB17" t="s">
        <v>372</v>
      </c>
      <c r="AC17" t="s">
        <v>372</v>
      </c>
      <c r="AD17" t="s">
        <v>372</v>
      </c>
      <c r="AE17" t="s">
        <v>372</v>
      </c>
      <c r="AF17" t="s">
        <v>372</v>
      </c>
      <c r="AG17" t="s">
        <v>372</v>
      </c>
      <c r="AH17" t="s">
        <v>372</v>
      </c>
      <c r="AI17">
        <v>2</v>
      </c>
    </row>
    <row r="18" spans="2:35" ht="15.75" thickBot="1" x14ac:dyDescent="0.3">
      <c r="B18" s="6" t="str">
        <f>IF('DATA Input'!AG$5="","",'DATA Input'!AG$5)</f>
        <v/>
      </c>
      <c r="C18" s="2" t="str">
        <f t="shared" si="0"/>
        <v/>
      </c>
      <c r="F18" s="16">
        <v>2</v>
      </c>
      <c r="G18" s="104">
        <v>7</v>
      </c>
      <c r="H18" s="19">
        <v>25</v>
      </c>
      <c r="I18" s="19">
        <v>80</v>
      </c>
      <c r="J18" s="19">
        <v>20</v>
      </c>
      <c r="K18" s="19">
        <v>80</v>
      </c>
      <c r="L18" s="19" t="s">
        <v>372</v>
      </c>
      <c r="M18" s="19">
        <v>1</v>
      </c>
      <c r="N18" s="19" t="s">
        <v>372</v>
      </c>
      <c r="O18" s="19">
        <v>1</v>
      </c>
      <c r="P18" s="19" t="s">
        <v>372</v>
      </c>
      <c r="Q18" s="19">
        <v>1</v>
      </c>
      <c r="R18" s="19" t="s">
        <v>372</v>
      </c>
      <c r="S18" s="19">
        <v>1</v>
      </c>
      <c r="T18" s="19" t="s">
        <v>372</v>
      </c>
      <c r="U18" s="19">
        <v>1</v>
      </c>
      <c r="V18" s="19" t="s">
        <v>372</v>
      </c>
      <c r="W18" s="19">
        <v>1</v>
      </c>
      <c r="X18" s="19" t="s">
        <v>372</v>
      </c>
      <c r="Y18">
        <v>1</v>
      </c>
      <c r="Z18">
        <v>3</v>
      </c>
      <c r="AA18">
        <v>4</v>
      </c>
      <c r="AB18" t="s">
        <v>372</v>
      </c>
      <c r="AC18" t="s">
        <v>372</v>
      </c>
      <c r="AD18" t="s">
        <v>372</v>
      </c>
      <c r="AE18" t="s">
        <v>372</v>
      </c>
      <c r="AF18" t="s">
        <v>372</v>
      </c>
      <c r="AG18" t="s">
        <v>372</v>
      </c>
      <c r="AH18" t="s">
        <v>372</v>
      </c>
      <c r="AI18">
        <v>2</v>
      </c>
    </row>
    <row r="19" spans="2:35" x14ac:dyDescent="0.25">
      <c r="F19" s="16">
        <v>3</v>
      </c>
      <c r="G19" s="104">
        <v>8</v>
      </c>
      <c r="H19" s="19">
        <v>13</v>
      </c>
      <c r="I19" s="19">
        <v>34</v>
      </c>
      <c r="J19" s="19">
        <v>6</v>
      </c>
      <c r="K19" s="19">
        <v>36</v>
      </c>
      <c r="L19" s="19" t="s">
        <v>372</v>
      </c>
      <c r="M19" s="19">
        <v>1</v>
      </c>
      <c r="N19" s="19" t="s">
        <v>372</v>
      </c>
      <c r="O19" s="19">
        <v>1</v>
      </c>
      <c r="P19" s="19" t="s">
        <v>372</v>
      </c>
      <c r="Q19" s="19">
        <v>1</v>
      </c>
      <c r="R19" s="19" t="s">
        <v>372</v>
      </c>
      <c r="S19" s="19">
        <v>1</v>
      </c>
      <c r="T19" s="19" t="s">
        <v>372</v>
      </c>
      <c r="U19" s="19">
        <v>1</v>
      </c>
      <c r="V19" s="19" t="s">
        <v>372</v>
      </c>
      <c r="W19" s="19">
        <v>1</v>
      </c>
      <c r="X19" s="19" t="s">
        <v>372</v>
      </c>
      <c r="Y19">
        <v>1</v>
      </c>
      <c r="Z19">
        <v>2</v>
      </c>
      <c r="AA19">
        <v>3</v>
      </c>
      <c r="AB19" t="s">
        <v>372</v>
      </c>
      <c r="AC19" t="s">
        <v>372</v>
      </c>
      <c r="AD19" t="s">
        <v>372</v>
      </c>
      <c r="AE19" t="s">
        <v>372</v>
      </c>
      <c r="AF19" t="s">
        <v>372</v>
      </c>
      <c r="AG19" t="s">
        <v>372</v>
      </c>
      <c r="AH19" t="s">
        <v>372</v>
      </c>
      <c r="AI19">
        <v>2</v>
      </c>
    </row>
    <row r="20" spans="2:35" x14ac:dyDescent="0.25">
      <c r="F20" s="16">
        <v>4</v>
      </c>
      <c r="G20" s="104">
        <v>9</v>
      </c>
      <c r="H20" s="19">
        <v>19</v>
      </c>
      <c r="I20" s="19">
        <v>50</v>
      </c>
      <c r="J20" s="19">
        <v>6</v>
      </c>
      <c r="K20" s="19">
        <v>52</v>
      </c>
      <c r="L20" s="19" t="s">
        <v>372</v>
      </c>
      <c r="M20" s="19">
        <v>1</v>
      </c>
      <c r="N20" s="19" t="s">
        <v>372</v>
      </c>
      <c r="O20" s="19">
        <v>1</v>
      </c>
      <c r="P20" s="19" t="s">
        <v>372</v>
      </c>
      <c r="Q20" s="19">
        <v>1</v>
      </c>
      <c r="R20" s="19" t="s">
        <v>372</v>
      </c>
      <c r="S20" s="19">
        <v>1</v>
      </c>
      <c r="T20" s="19" t="s">
        <v>372</v>
      </c>
      <c r="U20" s="19">
        <v>1</v>
      </c>
      <c r="V20" s="19" t="s">
        <v>372</v>
      </c>
      <c r="W20" s="19">
        <v>1</v>
      </c>
      <c r="X20" s="19" t="s">
        <v>372</v>
      </c>
      <c r="Y20">
        <v>1</v>
      </c>
      <c r="Z20">
        <v>2</v>
      </c>
      <c r="AA20">
        <v>3</v>
      </c>
      <c r="AB20" t="s">
        <v>372</v>
      </c>
      <c r="AC20" t="s">
        <v>372</v>
      </c>
      <c r="AD20" t="s">
        <v>372</v>
      </c>
      <c r="AE20" t="s">
        <v>372</v>
      </c>
      <c r="AF20" t="s">
        <v>372</v>
      </c>
      <c r="AG20" t="s">
        <v>372</v>
      </c>
      <c r="AH20" t="s">
        <v>372</v>
      </c>
      <c r="AI20">
        <v>2</v>
      </c>
    </row>
    <row r="21" spans="2:35" x14ac:dyDescent="0.25">
      <c r="F21" s="16">
        <v>5</v>
      </c>
      <c r="G21" s="104">
        <v>15</v>
      </c>
      <c r="H21" s="19">
        <v>2</v>
      </c>
      <c r="I21" s="19">
        <v>20</v>
      </c>
      <c r="J21" s="19">
        <v>9</v>
      </c>
      <c r="K21" s="19">
        <v>19</v>
      </c>
      <c r="L21" s="19" t="s">
        <v>372</v>
      </c>
      <c r="M21" s="19">
        <v>1</v>
      </c>
      <c r="N21" s="19" t="s">
        <v>372</v>
      </c>
      <c r="O21" s="19">
        <v>1</v>
      </c>
      <c r="P21" s="19" t="s">
        <v>372</v>
      </c>
      <c r="Q21" s="19">
        <v>1</v>
      </c>
      <c r="R21" s="19" t="s">
        <v>372</v>
      </c>
      <c r="S21" s="19">
        <v>1</v>
      </c>
      <c r="T21" s="19" t="s">
        <v>372</v>
      </c>
      <c r="U21" s="19">
        <v>1</v>
      </c>
      <c r="V21" s="19" t="s">
        <v>372</v>
      </c>
      <c r="W21" s="19">
        <v>1</v>
      </c>
      <c r="X21" s="19" t="s">
        <v>372</v>
      </c>
      <c r="Y21">
        <v>1</v>
      </c>
      <c r="Z21">
        <v>1</v>
      </c>
      <c r="AA21">
        <v>9</v>
      </c>
      <c r="AB21" t="s">
        <v>372</v>
      </c>
      <c r="AC21" t="s">
        <v>372</v>
      </c>
      <c r="AD21" t="s">
        <v>372</v>
      </c>
      <c r="AE21" t="s">
        <v>372</v>
      </c>
      <c r="AF21" t="s">
        <v>372</v>
      </c>
      <c r="AG21" t="s">
        <v>372</v>
      </c>
      <c r="AH21" t="s">
        <v>372</v>
      </c>
      <c r="AI21">
        <v>2</v>
      </c>
    </row>
    <row r="22" spans="2:35" x14ac:dyDescent="0.25">
      <c r="F22" s="16">
        <v>6</v>
      </c>
      <c r="G22" s="104">
        <v>17</v>
      </c>
      <c r="H22" s="19">
        <v>12</v>
      </c>
      <c r="I22" s="19">
        <v>32</v>
      </c>
      <c r="J22" s="19">
        <v>9</v>
      </c>
      <c r="K22" s="19">
        <v>31</v>
      </c>
      <c r="L22" s="19" t="s">
        <v>372</v>
      </c>
      <c r="M22" s="19">
        <v>1</v>
      </c>
      <c r="N22" s="19" t="s">
        <v>372</v>
      </c>
      <c r="O22" s="19">
        <v>1</v>
      </c>
      <c r="P22" s="19" t="s">
        <v>372</v>
      </c>
      <c r="Q22" s="19">
        <v>1</v>
      </c>
      <c r="R22" s="19" t="s">
        <v>372</v>
      </c>
      <c r="S22" s="19">
        <v>1</v>
      </c>
      <c r="T22" s="19" t="s">
        <v>372</v>
      </c>
      <c r="U22" s="19">
        <v>1</v>
      </c>
      <c r="V22" s="19" t="s">
        <v>372</v>
      </c>
      <c r="W22" s="19">
        <v>1</v>
      </c>
      <c r="X22" s="19" t="s">
        <v>372</v>
      </c>
      <c r="Y22">
        <v>1</v>
      </c>
      <c r="Z22">
        <v>2</v>
      </c>
      <c r="AA22">
        <v>7</v>
      </c>
      <c r="AB22" t="s">
        <v>372</v>
      </c>
      <c r="AC22" t="s">
        <v>372</v>
      </c>
      <c r="AD22" t="s">
        <v>372</v>
      </c>
      <c r="AE22" t="s">
        <v>372</v>
      </c>
      <c r="AF22" t="s">
        <v>372</v>
      </c>
      <c r="AG22" t="s">
        <v>372</v>
      </c>
      <c r="AH22" t="s">
        <v>372</v>
      </c>
      <c r="AI22">
        <v>2</v>
      </c>
    </row>
    <row r="23" spans="2:35" x14ac:dyDescent="0.25">
      <c r="F23" s="16">
        <v>7</v>
      </c>
      <c r="G23" s="104">
        <v>18</v>
      </c>
      <c r="H23" s="19">
        <v>13</v>
      </c>
      <c r="I23" s="19">
        <v>35</v>
      </c>
      <c r="J23" s="19">
        <v>5</v>
      </c>
      <c r="K23" s="19">
        <v>35</v>
      </c>
      <c r="L23" s="19" t="s">
        <v>372</v>
      </c>
      <c r="M23" s="19">
        <v>1</v>
      </c>
      <c r="N23" s="19" t="s">
        <v>372</v>
      </c>
      <c r="O23" s="19">
        <v>1</v>
      </c>
      <c r="P23" s="19" t="s">
        <v>372</v>
      </c>
      <c r="Q23" s="19">
        <v>1</v>
      </c>
      <c r="R23" s="19" t="s">
        <v>372</v>
      </c>
      <c r="S23" s="19">
        <v>1</v>
      </c>
      <c r="T23" s="19" t="s">
        <v>372</v>
      </c>
      <c r="U23" s="19">
        <v>1</v>
      </c>
      <c r="V23" s="19" t="s">
        <v>372</v>
      </c>
      <c r="W23" s="19">
        <v>1</v>
      </c>
      <c r="X23" s="19" t="s">
        <v>372</v>
      </c>
      <c r="Y23">
        <v>1</v>
      </c>
      <c r="Z23">
        <v>2</v>
      </c>
      <c r="AA23">
        <v>5</v>
      </c>
      <c r="AB23" t="s">
        <v>372</v>
      </c>
      <c r="AC23" t="s">
        <v>372</v>
      </c>
      <c r="AD23" t="s">
        <v>372</v>
      </c>
      <c r="AE23" t="s">
        <v>372</v>
      </c>
      <c r="AF23" t="s">
        <v>372</v>
      </c>
      <c r="AG23" t="s">
        <v>372</v>
      </c>
      <c r="AH23" t="s">
        <v>372</v>
      </c>
      <c r="AI23">
        <v>2</v>
      </c>
    </row>
    <row r="24" spans="2:35" x14ac:dyDescent="0.25">
      <c r="F24" s="16">
        <v>8</v>
      </c>
      <c r="G24" s="104">
        <v>26</v>
      </c>
      <c r="H24" s="19">
        <v>17</v>
      </c>
      <c r="I24" s="19">
        <v>69</v>
      </c>
      <c r="J24" s="19">
        <v>14</v>
      </c>
      <c r="K24" s="19">
        <v>71</v>
      </c>
      <c r="L24" s="19" t="s">
        <v>372</v>
      </c>
      <c r="M24" s="19">
        <v>1</v>
      </c>
      <c r="N24" s="19" t="s">
        <v>372</v>
      </c>
      <c r="O24" s="19">
        <v>1</v>
      </c>
      <c r="P24" s="19" t="s">
        <v>372</v>
      </c>
      <c r="Q24" s="19">
        <v>1</v>
      </c>
      <c r="R24" s="19" t="s">
        <v>372</v>
      </c>
      <c r="S24" s="19">
        <v>1</v>
      </c>
      <c r="T24" s="19" t="s">
        <v>372</v>
      </c>
      <c r="U24" s="19">
        <v>1</v>
      </c>
      <c r="V24" s="19" t="s">
        <v>372</v>
      </c>
      <c r="W24" s="19">
        <v>1</v>
      </c>
      <c r="X24" s="19" t="s">
        <v>372</v>
      </c>
      <c r="Y24">
        <v>1</v>
      </c>
      <c r="Z24">
        <v>1</v>
      </c>
      <c r="AA24">
        <v>7</v>
      </c>
      <c r="AB24" t="s">
        <v>372</v>
      </c>
      <c r="AC24" t="s">
        <v>372</v>
      </c>
      <c r="AD24" t="s">
        <v>372</v>
      </c>
      <c r="AE24" t="s">
        <v>372</v>
      </c>
      <c r="AF24" t="s">
        <v>372</v>
      </c>
      <c r="AG24" t="s">
        <v>372</v>
      </c>
      <c r="AH24" t="s">
        <v>372</v>
      </c>
      <c r="AI24">
        <v>2</v>
      </c>
    </row>
    <row r="25" spans="2:35" x14ac:dyDescent="0.25">
      <c r="F25" s="16">
        <v>9</v>
      </c>
      <c r="G25" s="104">
        <v>30</v>
      </c>
      <c r="H25" s="19">
        <v>2</v>
      </c>
      <c r="I25" s="19">
        <v>12</v>
      </c>
      <c r="J25" s="19">
        <v>4</v>
      </c>
      <c r="K25" s="19">
        <v>11</v>
      </c>
      <c r="L25" s="19" t="s">
        <v>372</v>
      </c>
      <c r="M25" s="19">
        <v>1</v>
      </c>
      <c r="N25" s="19" t="s">
        <v>372</v>
      </c>
      <c r="O25" s="19">
        <v>1</v>
      </c>
      <c r="P25" s="19" t="s">
        <v>372</v>
      </c>
      <c r="Q25" s="19">
        <v>1</v>
      </c>
      <c r="R25" s="19" t="s">
        <v>372</v>
      </c>
      <c r="S25" s="19">
        <v>1</v>
      </c>
      <c r="T25" s="19" t="s">
        <v>372</v>
      </c>
      <c r="U25" s="19">
        <v>1</v>
      </c>
      <c r="V25" s="19" t="s">
        <v>372</v>
      </c>
      <c r="W25" s="19">
        <v>1</v>
      </c>
      <c r="X25" s="19" t="s">
        <v>372</v>
      </c>
      <c r="Y25">
        <v>1</v>
      </c>
      <c r="Z25">
        <v>7</v>
      </c>
      <c r="AA25">
        <v>8</v>
      </c>
      <c r="AB25" t="s">
        <v>372</v>
      </c>
      <c r="AC25" t="s">
        <v>372</v>
      </c>
      <c r="AD25" t="s">
        <v>372</v>
      </c>
      <c r="AE25" t="s">
        <v>372</v>
      </c>
      <c r="AF25" t="s">
        <v>372</v>
      </c>
      <c r="AG25" t="s">
        <v>372</v>
      </c>
      <c r="AH25" t="s">
        <v>372</v>
      </c>
      <c r="AI25">
        <v>2</v>
      </c>
    </row>
    <row r="26" spans="2:35" x14ac:dyDescent="0.25">
      <c r="F26" s="16">
        <v>10</v>
      </c>
      <c r="G26" s="104">
        <v>32</v>
      </c>
      <c r="H26" s="19">
        <v>9</v>
      </c>
      <c r="I26" s="19">
        <v>40</v>
      </c>
      <c r="J26" s="19">
        <v>11</v>
      </c>
      <c r="K26" s="19">
        <v>40</v>
      </c>
      <c r="L26" s="19" t="s">
        <v>372</v>
      </c>
      <c r="M26" s="19">
        <v>1</v>
      </c>
      <c r="N26" s="19" t="s">
        <v>372</v>
      </c>
      <c r="O26" s="19">
        <v>1</v>
      </c>
      <c r="P26" s="19" t="s">
        <v>372</v>
      </c>
      <c r="Q26" s="19">
        <v>1</v>
      </c>
      <c r="R26" s="19" t="s">
        <v>372</v>
      </c>
      <c r="S26" s="19">
        <v>1</v>
      </c>
      <c r="T26" s="19" t="s">
        <v>372</v>
      </c>
      <c r="U26" s="19">
        <v>1</v>
      </c>
      <c r="V26" s="19" t="s">
        <v>372</v>
      </c>
      <c r="W26" s="19">
        <v>1</v>
      </c>
      <c r="X26" s="19" t="s">
        <v>372</v>
      </c>
      <c r="Y26">
        <v>1</v>
      </c>
      <c r="Z26">
        <v>3</v>
      </c>
      <c r="AA26">
        <v>4</v>
      </c>
      <c r="AB26" t="s">
        <v>372</v>
      </c>
      <c r="AC26" t="s">
        <v>372</v>
      </c>
      <c r="AD26" t="s">
        <v>372</v>
      </c>
      <c r="AE26" t="s">
        <v>372</v>
      </c>
      <c r="AF26" t="s">
        <v>372</v>
      </c>
      <c r="AG26" t="s">
        <v>372</v>
      </c>
      <c r="AH26" t="s">
        <v>372</v>
      </c>
      <c r="AI26">
        <v>2</v>
      </c>
    </row>
    <row r="27" spans="2:35" x14ac:dyDescent="0.25">
      <c r="F27" s="16">
        <v>11</v>
      </c>
      <c r="G27" s="104">
        <v>35</v>
      </c>
      <c r="H27" s="19">
        <v>3</v>
      </c>
      <c r="I27" s="16">
        <v>20</v>
      </c>
      <c r="J27" s="16">
        <v>4</v>
      </c>
      <c r="K27" s="16">
        <v>20</v>
      </c>
      <c r="L27" s="16" t="s">
        <v>372</v>
      </c>
      <c r="M27" s="16">
        <v>1</v>
      </c>
      <c r="N27" s="16" t="s">
        <v>372</v>
      </c>
      <c r="O27" s="16">
        <v>1</v>
      </c>
      <c r="P27" s="16" t="s">
        <v>372</v>
      </c>
      <c r="Q27" s="16">
        <v>1</v>
      </c>
      <c r="R27" s="16" t="s">
        <v>372</v>
      </c>
      <c r="S27" s="16">
        <v>1</v>
      </c>
      <c r="T27" s="16" t="s">
        <v>372</v>
      </c>
      <c r="U27" s="16">
        <v>1</v>
      </c>
      <c r="V27" s="16" t="s">
        <v>372</v>
      </c>
      <c r="W27" s="16">
        <v>1</v>
      </c>
      <c r="X27" s="16" t="s">
        <v>372</v>
      </c>
      <c r="Y27">
        <v>1</v>
      </c>
      <c r="Z27">
        <v>1</v>
      </c>
      <c r="AA27">
        <v>2</v>
      </c>
      <c r="AB27" t="s">
        <v>372</v>
      </c>
      <c r="AC27" t="s">
        <v>372</v>
      </c>
      <c r="AD27" t="s">
        <v>372</v>
      </c>
      <c r="AE27" t="s">
        <v>372</v>
      </c>
      <c r="AF27" t="s">
        <v>372</v>
      </c>
      <c r="AG27" t="s">
        <v>372</v>
      </c>
      <c r="AH27" t="s">
        <v>372</v>
      </c>
      <c r="AI27">
        <v>2</v>
      </c>
    </row>
    <row r="28" spans="2:35" x14ac:dyDescent="0.25">
      <c r="F28" s="16">
        <v>12</v>
      </c>
      <c r="G28" s="104">
        <v>37</v>
      </c>
      <c r="H28" s="16">
        <v>1</v>
      </c>
      <c r="I28" s="16">
        <v>15</v>
      </c>
      <c r="J28" s="16">
        <v>4</v>
      </c>
      <c r="K28" s="16">
        <v>18</v>
      </c>
      <c r="L28" s="16" t="s">
        <v>372</v>
      </c>
      <c r="M28" s="16">
        <v>1</v>
      </c>
      <c r="N28" s="16" t="s">
        <v>372</v>
      </c>
      <c r="O28" s="16">
        <v>1</v>
      </c>
      <c r="P28" s="16" t="s">
        <v>372</v>
      </c>
      <c r="Q28" s="16">
        <v>1</v>
      </c>
      <c r="R28" s="16" t="s">
        <v>372</v>
      </c>
      <c r="S28" s="16">
        <v>1</v>
      </c>
      <c r="T28" s="16" t="s">
        <v>372</v>
      </c>
      <c r="U28" s="16">
        <v>1</v>
      </c>
      <c r="V28" s="16" t="s">
        <v>372</v>
      </c>
      <c r="W28" s="16">
        <v>1</v>
      </c>
      <c r="X28" s="16" t="s">
        <v>372</v>
      </c>
      <c r="Y28">
        <v>1</v>
      </c>
      <c r="Z28">
        <v>1</v>
      </c>
      <c r="AA28">
        <v>2</v>
      </c>
      <c r="AB28" t="s">
        <v>372</v>
      </c>
      <c r="AC28" t="s">
        <v>372</v>
      </c>
      <c r="AD28" t="s">
        <v>372</v>
      </c>
      <c r="AE28" t="s">
        <v>372</v>
      </c>
      <c r="AF28" t="s">
        <v>372</v>
      </c>
      <c r="AG28" t="s">
        <v>372</v>
      </c>
      <c r="AH28" t="s">
        <v>372</v>
      </c>
      <c r="AI28">
        <v>2</v>
      </c>
    </row>
    <row r="29" spans="2:35" x14ac:dyDescent="0.25">
      <c r="F29" s="16">
        <v>13</v>
      </c>
      <c r="G29" s="104">
        <v>45</v>
      </c>
      <c r="H29" s="16">
        <v>4</v>
      </c>
      <c r="I29" s="16">
        <v>15</v>
      </c>
      <c r="J29" s="16">
        <v>11</v>
      </c>
      <c r="K29" s="16">
        <v>15</v>
      </c>
      <c r="L29" s="16" t="s">
        <v>372</v>
      </c>
      <c r="M29" s="16">
        <v>1</v>
      </c>
      <c r="N29" s="16" t="s">
        <v>372</v>
      </c>
      <c r="O29" s="16">
        <v>1</v>
      </c>
      <c r="P29" s="16" t="s">
        <v>372</v>
      </c>
      <c r="Q29" s="16">
        <v>1</v>
      </c>
      <c r="R29" s="16" t="s">
        <v>372</v>
      </c>
      <c r="S29" s="16">
        <v>1</v>
      </c>
      <c r="T29" s="16" t="s">
        <v>372</v>
      </c>
      <c r="U29" s="16">
        <v>1</v>
      </c>
      <c r="V29" s="16" t="s">
        <v>372</v>
      </c>
      <c r="W29" s="16">
        <v>1</v>
      </c>
      <c r="X29" s="16" t="s">
        <v>372</v>
      </c>
      <c r="Y29">
        <v>1</v>
      </c>
      <c r="Z29">
        <v>7</v>
      </c>
      <c r="AA29">
        <v>8</v>
      </c>
      <c r="AB29" t="s">
        <v>372</v>
      </c>
      <c r="AC29" t="s">
        <v>372</v>
      </c>
      <c r="AD29" t="s">
        <v>372</v>
      </c>
      <c r="AE29" t="s">
        <v>372</v>
      </c>
      <c r="AF29" t="s">
        <v>372</v>
      </c>
      <c r="AG29" t="s">
        <v>372</v>
      </c>
      <c r="AH29" t="s">
        <v>372</v>
      </c>
      <c r="AI29">
        <v>2</v>
      </c>
    </row>
    <row r="30" spans="2:35" x14ac:dyDescent="0.25">
      <c r="F30" s="16">
        <v>14</v>
      </c>
      <c r="G30" s="104">
        <v>47</v>
      </c>
      <c r="H30" s="16">
        <v>9</v>
      </c>
      <c r="I30" s="16">
        <v>54</v>
      </c>
      <c r="J30" s="16">
        <v>24</v>
      </c>
      <c r="K30" s="16">
        <v>51</v>
      </c>
      <c r="L30" s="16" t="s">
        <v>372</v>
      </c>
      <c r="M30" s="16">
        <v>1</v>
      </c>
      <c r="N30" s="16" t="s">
        <v>372</v>
      </c>
      <c r="O30" s="16">
        <v>1</v>
      </c>
      <c r="P30" s="16" t="s">
        <v>372</v>
      </c>
      <c r="Q30" s="16">
        <v>1</v>
      </c>
      <c r="R30" s="16" t="s">
        <v>372</v>
      </c>
      <c r="S30" s="16">
        <v>1</v>
      </c>
      <c r="T30" s="16" t="s">
        <v>372</v>
      </c>
      <c r="U30" s="16">
        <v>1</v>
      </c>
      <c r="V30" s="16" t="s">
        <v>372</v>
      </c>
      <c r="W30" s="16">
        <v>1</v>
      </c>
      <c r="X30" s="16" t="s">
        <v>372</v>
      </c>
      <c r="Y30">
        <v>1</v>
      </c>
      <c r="Z30">
        <v>2</v>
      </c>
      <c r="AA30">
        <v>8</v>
      </c>
      <c r="AB30" t="s">
        <v>372</v>
      </c>
      <c r="AC30" t="s">
        <v>372</v>
      </c>
      <c r="AD30" t="s">
        <v>372</v>
      </c>
      <c r="AE30" t="s">
        <v>372</v>
      </c>
      <c r="AF30" t="s">
        <v>372</v>
      </c>
      <c r="AG30" t="s">
        <v>372</v>
      </c>
      <c r="AH30" t="s">
        <v>372</v>
      </c>
      <c r="AI30">
        <v>2</v>
      </c>
    </row>
    <row r="31" spans="2:35" x14ac:dyDescent="0.25">
      <c r="F31" s="16">
        <v>15</v>
      </c>
      <c r="G31" s="104">
        <v>49</v>
      </c>
      <c r="H31" s="16">
        <v>7</v>
      </c>
      <c r="I31" s="16">
        <v>59</v>
      </c>
      <c r="J31" s="16">
        <v>8</v>
      </c>
      <c r="K31" s="16">
        <v>60</v>
      </c>
      <c r="L31" s="16" t="s">
        <v>372</v>
      </c>
      <c r="M31" s="16">
        <v>1</v>
      </c>
      <c r="N31" s="16" t="s">
        <v>372</v>
      </c>
      <c r="O31" s="16">
        <v>1</v>
      </c>
      <c r="P31" s="16" t="s">
        <v>372</v>
      </c>
      <c r="Q31" s="16">
        <v>1</v>
      </c>
      <c r="R31" s="16" t="s">
        <v>372</v>
      </c>
      <c r="S31" s="16">
        <v>1</v>
      </c>
      <c r="T31" s="16" t="s">
        <v>372</v>
      </c>
      <c r="U31" s="16">
        <v>1</v>
      </c>
      <c r="V31" s="16" t="s">
        <v>372</v>
      </c>
      <c r="W31" s="16">
        <v>1</v>
      </c>
      <c r="X31" s="16" t="s">
        <v>372</v>
      </c>
      <c r="Y31">
        <v>1</v>
      </c>
      <c r="Z31">
        <v>1</v>
      </c>
      <c r="AA31">
        <v>2</v>
      </c>
      <c r="AB31" t="s">
        <v>372</v>
      </c>
      <c r="AC31" t="s">
        <v>372</v>
      </c>
      <c r="AD31" t="s">
        <v>372</v>
      </c>
      <c r="AE31" t="s">
        <v>372</v>
      </c>
      <c r="AF31" t="s">
        <v>372</v>
      </c>
      <c r="AG31" t="s">
        <v>372</v>
      </c>
      <c r="AH31" t="s">
        <v>372</v>
      </c>
      <c r="AI31">
        <v>2</v>
      </c>
    </row>
    <row r="32" spans="2:35" x14ac:dyDescent="0.25">
      <c r="F32" s="16">
        <v>16</v>
      </c>
      <c r="G32" s="104">
        <v>53</v>
      </c>
      <c r="H32" s="16">
        <v>9</v>
      </c>
      <c r="I32" s="16">
        <v>74</v>
      </c>
      <c r="J32" s="16">
        <v>12</v>
      </c>
      <c r="K32" s="16">
        <v>74</v>
      </c>
      <c r="L32" s="16" t="s">
        <v>372</v>
      </c>
      <c r="M32" s="16">
        <v>1</v>
      </c>
      <c r="N32" s="16" t="s">
        <v>372</v>
      </c>
      <c r="O32" s="16">
        <v>1</v>
      </c>
      <c r="P32" s="16" t="s">
        <v>372</v>
      </c>
      <c r="Q32" s="16">
        <v>1</v>
      </c>
      <c r="R32" s="16" t="s">
        <v>372</v>
      </c>
      <c r="S32" s="16">
        <v>1</v>
      </c>
      <c r="T32" s="16" t="s">
        <v>372</v>
      </c>
      <c r="U32" s="16">
        <v>1</v>
      </c>
      <c r="V32" s="16" t="s">
        <v>372</v>
      </c>
      <c r="W32" s="16">
        <v>1</v>
      </c>
      <c r="X32" s="16" t="s">
        <v>372</v>
      </c>
      <c r="Y32">
        <v>1</v>
      </c>
      <c r="Z32">
        <v>1</v>
      </c>
      <c r="AA32">
        <v>2</v>
      </c>
      <c r="AB32" t="s">
        <v>372</v>
      </c>
      <c r="AC32" t="s">
        <v>372</v>
      </c>
      <c r="AD32" t="s">
        <v>372</v>
      </c>
      <c r="AE32" t="s">
        <v>372</v>
      </c>
      <c r="AF32" t="s">
        <v>372</v>
      </c>
      <c r="AG32" t="s">
        <v>372</v>
      </c>
      <c r="AH32" t="s">
        <v>372</v>
      </c>
      <c r="AI32">
        <v>2</v>
      </c>
    </row>
    <row r="33" spans="6:35" x14ac:dyDescent="0.25">
      <c r="F33" s="16">
        <v>17</v>
      </c>
      <c r="G33" s="104">
        <v>54</v>
      </c>
      <c r="H33" s="16">
        <v>32</v>
      </c>
      <c r="I33" s="16">
        <v>48</v>
      </c>
      <c r="J33" s="16">
        <v>20</v>
      </c>
      <c r="K33" s="16">
        <v>35</v>
      </c>
      <c r="L33" s="16" t="s">
        <v>372</v>
      </c>
      <c r="M33" s="16">
        <v>1</v>
      </c>
      <c r="N33" s="16" t="s">
        <v>372</v>
      </c>
      <c r="O33" s="16">
        <v>1</v>
      </c>
      <c r="P33" s="16" t="s">
        <v>372</v>
      </c>
      <c r="Q33" s="16">
        <v>1</v>
      </c>
      <c r="R33" s="16" t="s">
        <v>372</v>
      </c>
      <c r="S33" s="16">
        <v>1</v>
      </c>
      <c r="T33" s="16" t="s">
        <v>372</v>
      </c>
      <c r="U33" s="16">
        <v>1</v>
      </c>
      <c r="V33" s="16" t="s">
        <v>372</v>
      </c>
      <c r="W33" s="16">
        <v>1</v>
      </c>
      <c r="X33" s="16" t="s">
        <v>372</v>
      </c>
      <c r="Y33">
        <v>1</v>
      </c>
      <c r="Z33">
        <v>3</v>
      </c>
      <c r="AA33">
        <v>7</v>
      </c>
      <c r="AB33" t="s">
        <v>372</v>
      </c>
      <c r="AC33" t="s">
        <v>372</v>
      </c>
      <c r="AD33" t="s">
        <v>372</v>
      </c>
      <c r="AE33" t="s">
        <v>372</v>
      </c>
      <c r="AF33" t="s">
        <v>372</v>
      </c>
      <c r="AG33" t="s">
        <v>372</v>
      </c>
      <c r="AH33" t="s">
        <v>372</v>
      </c>
      <c r="AI33">
        <v>2</v>
      </c>
    </row>
    <row r="34" spans="6:35" x14ac:dyDescent="0.25">
      <c r="F34" s="16">
        <v>18</v>
      </c>
      <c r="G34" s="104">
        <v>56</v>
      </c>
      <c r="H34" s="16">
        <v>10</v>
      </c>
      <c r="I34" s="16">
        <v>30</v>
      </c>
      <c r="J34" s="16">
        <v>6</v>
      </c>
      <c r="K34" s="16">
        <v>30</v>
      </c>
      <c r="L34" s="16" t="s">
        <v>372</v>
      </c>
      <c r="M34" s="16">
        <v>1</v>
      </c>
      <c r="N34" s="16" t="s">
        <v>372</v>
      </c>
      <c r="O34" s="16">
        <v>1</v>
      </c>
      <c r="P34" s="16" t="s">
        <v>372</v>
      </c>
      <c r="Q34" s="16">
        <v>1</v>
      </c>
      <c r="R34" s="16" t="s">
        <v>372</v>
      </c>
      <c r="S34" s="16">
        <v>1</v>
      </c>
      <c r="T34" s="16" t="s">
        <v>372</v>
      </c>
      <c r="U34" s="16">
        <v>1</v>
      </c>
      <c r="V34" s="16" t="s">
        <v>372</v>
      </c>
      <c r="W34" s="16">
        <v>1</v>
      </c>
      <c r="X34" s="16" t="s">
        <v>372</v>
      </c>
      <c r="Y34">
        <v>1</v>
      </c>
      <c r="Z34">
        <v>3</v>
      </c>
      <c r="AA34">
        <v>6</v>
      </c>
      <c r="AB34" t="s">
        <v>372</v>
      </c>
      <c r="AC34" t="s">
        <v>372</v>
      </c>
      <c r="AD34" t="s">
        <v>372</v>
      </c>
      <c r="AE34" t="s">
        <v>372</v>
      </c>
      <c r="AF34" t="s">
        <v>372</v>
      </c>
      <c r="AG34" t="s">
        <v>372</v>
      </c>
      <c r="AH34" t="s">
        <v>372</v>
      </c>
      <c r="AI34">
        <v>2</v>
      </c>
    </row>
    <row r="35" spans="6:35" x14ac:dyDescent="0.25">
      <c r="F35" s="16">
        <v>19</v>
      </c>
      <c r="G35" s="104">
        <v>62</v>
      </c>
      <c r="H35" s="16">
        <v>3</v>
      </c>
      <c r="I35" s="16">
        <v>24</v>
      </c>
      <c r="J35" s="16">
        <v>7</v>
      </c>
      <c r="K35" s="16">
        <v>23</v>
      </c>
      <c r="L35" s="16" t="s">
        <v>372</v>
      </c>
      <c r="M35" s="16">
        <v>1</v>
      </c>
      <c r="N35" s="16" t="s">
        <v>372</v>
      </c>
      <c r="O35" s="16">
        <v>1</v>
      </c>
      <c r="P35" s="16" t="s">
        <v>372</v>
      </c>
      <c r="Q35" s="16">
        <v>1</v>
      </c>
      <c r="R35" s="16" t="s">
        <v>372</v>
      </c>
      <c r="S35" s="16">
        <v>1</v>
      </c>
      <c r="T35" s="16" t="s">
        <v>372</v>
      </c>
      <c r="U35" s="16">
        <v>1</v>
      </c>
      <c r="V35" s="16" t="s">
        <v>372</v>
      </c>
      <c r="W35" s="16">
        <v>1</v>
      </c>
      <c r="X35" s="16" t="s">
        <v>372</v>
      </c>
      <c r="Y35">
        <v>1</v>
      </c>
      <c r="Z35">
        <v>1</v>
      </c>
      <c r="AA35">
        <v>2</v>
      </c>
      <c r="AB35" t="s">
        <v>372</v>
      </c>
      <c r="AC35" t="s">
        <v>372</v>
      </c>
      <c r="AD35" t="s">
        <v>372</v>
      </c>
      <c r="AE35" t="s">
        <v>372</v>
      </c>
      <c r="AF35" t="s">
        <v>372</v>
      </c>
      <c r="AG35" t="s">
        <v>372</v>
      </c>
      <c r="AH35" t="s">
        <v>372</v>
      </c>
      <c r="AI35">
        <v>2</v>
      </c>
    </row>
    <row r="36" spans="6:35" x14ac:dyDescent="0.25">
      <c r="F36" s="16">
        <v>20</v>
      </c>
      <c r="G36" s="104">
        <v>65</v>
      </c>
      <c r="H36" s="16">
        <v>2</v>
      </c>
      <c r="I36" s="16">
        <v>18</v>
      </c>
      <c r="J36" s="16">
        <v>1</v>
      </c>
      <c r="K36" s="16">
        <v>16</v>
      </c>
      <c r="L36" s="16" t="s">
        <v>372</v>
      </c>
      <c r="M36" s="16">
        <v>1</v>
      </c>
      <c r="N36" s="16" t="s">
        <v>372</v>
      </c>
      <c r="O36" s="16">
        <v>1</v>
      </c>
      <c r="P36" s="16" t="s">
        <v>372</v>
      </c>
      <c r="Q36" s="16">
        <v>1</v>
      </c>
      <c r="R36" s="16" t="s">
        <v>372</v>
      </c>
      <c r="S36" s="16">
        <v>1</v>
      </c>
      <c r="T36" s="16" t="s">
        <v>372</v>
      </c>
      <c r="U36" s="16">
        <v>1</v>
      </c>
      <c r="V36" s="16" t="s">
        <v>372</v>
      </c>
      <c r="W36" s="16">
        <v>1</v>
      </c>
      <c r="X36" s="16" t="s">
        <v>372</v>
      </c>
      <c r="Y36">
        <v>1</v>
      </c>
      <c r="Z36">
        <v>1</v>
      </c>
      <c r="AA36">
        <v>3</v>
      </c>
      <c r="AB36" t="s">
        <v>372</v>
      </c>
      <c r="AC36" t="s">
        <v>372</v>
      </c>
      <c r="AD36" t="s">
        <v>372</v>
      </c>
      <c r="AE36" t="s">
        <v>372</v>
      </c>
      <c r="AF36" t="s">
        <v>372</v>
      </c>
      <c r="AG36" t="s">
        <v>372</v>
      </c>
      <c r="AH36" t="s">
        <v>372</v>
      </c>
      <c r="AI36">
        <v>2</v>
      </c>
    </row>
    <row r="37" spans="6:35" x14ac:dyDescent="0.25">
      <c r="F37" s="16">
        <v>21</v>
      </c>
      <c r="G37" s="104">
        <v>67</v>
      </c>
      <c r="H37" s="16">
        <v>12</v>
      </c>
      <c r="I37" s="16">
        <v>67</v>
      </c>
      <c r="J37" s="16">
        <v>17</v>
      </c>
      <c r="K37" s="16">
        <v>62</v>
      </c>
      <c r="L37" s="16" t="s">
        <v>372</v>
      </c>
      <c r="M37" s="16">
        <v>1</v>
      </c>
      <c r="N37" s="16" t="s">
        <v>372</v>
      </c>
      <c r="O37" s="16">
        <v>1</v>
      </c>
      <c r="P37" s="16" t="s">
        <v>372</v>
      </c>
      <c r="Q37" s="16">
        <v>1</v>
      </c>
      <c r="R37" s="16" t="s">
        <v>372</v>
      </c>
      <c r="S37" s="16">
        <v>1</v>
      </c>
      <c r="T37" s="16" t="s">
        <v>372</v>
      </c>
      <c r="U37" s="16">
        <v>1</v>
      </c>
      <c r="V37" s="16" t="s">
        <v>372</v>
      </c>
      <c r="W37" s="16">
        <v>1</v>
      </c>
      <c r="X37" s="16" t="s">
        <v>372</v>
      </c>
      <c r="Y37">
        <v>1</v>
      </c>
      <c r="Z37">
        <v>4</v>
      </c>
      <c r="AA37">
        <v>6</v>
      </c>
      <c r="AB37" t="s">
        <v>372</v>
      </c>
      <c r="AC37" t="s">
        <v>372</v>
      </c>
      <c r="AD37" t="s">
        <v>372</v>
      </c>
      <c r="AE37" t="s">
        <v>372</v>
      </c>
      <c r="AF37" t="s">
        <v>372</v>
      </c>
      <c r="AG37" t="s">
        <v>372</v>
      </c>
      <c r="AH37" t="s">
        <v>372</v>
      </c>
      <c r="AI37">
        <v>2</v>
      </c>
    </row>
    <row r="38" spans="6:35" x14ac:dyDescent="0.25">
      <c r="F38" s="16"/>
      <c r="G38" s="104"/>
      <c r="H38" s="16" t="s">
        <v>373</v>
      </c>
      <c r="I38" s="16"/>
      <c r="J38" s="16"/>
      <c r="K38" s="16"/>
      <c r="L38" s="16"/>
      <c r="M38" s="16"/>
      <c r="N38" s="16"/>
      <c r="O38" s="16"/>
      <c r="P38" s="16"/>
      <c r="Q38" s="16"/>
      <c r="R38" s="16"/>
      <c r="S38" s="16"/>
      <c r="T38" s="16"/>
      <c r="U38" s="16"/>
      <c r="V38" s="16"/>
      <c r="W38" s="16"/>
      <c r="X38" s="16"/>
    </row>
    <row r="39" spans="6:35" x14ac:dyDescent="0.25">
      <c r="F39" s="16"/>
      <c r="G39" s="104"/>
      <c r="H39" s="16"/>
      <c r="I39" s="16"/>
      <c r="J39" s="16"/>
      <c r="K39" s="16"/>
      <c r="L39" s="16"/>
      <c r="M39" s="16"/>
      <c r="N39" s="16"/>
      <c r="O39" s="16"/>
      <c r="P39" s="16"/>
      <c r="Q39" s="16"/>
      <c r="R39" s="16"/>
      <c r="S39" s="16"/>
      <c r="T39" s="16"/>
      <c r="U39" s="16"/>
      <c r="V39" s="16"/>
      <c r="W39" s="16"/>
      <c r="X39" s="16"/>
    </row>
    <row r="40" spans="6:35" x14ac:dyDescent="0.25">
      <c r="F40" s="16"/>
      <c r="G40" s="104"/>
      <c r="H40" s="16"/>
      <c r="I40" s="16"/>
      <c r="J40" s="16"/>
      <c r="K40" s="16"/>
      <c r="L40" s="16"/>
      <c r="M40" s="16"/>
      <c r="N40" s="16"/>
      <c r="O40" s="16"/>
      <c r="P40" s="16"/>
      <c r="Q40" s="16"/>
      <c r="R40" s="16"/>
      <c r="S40" s="16"/>
      <c r="T40" s="16"/>
      <c r="U40" s="16"/>
      <c r="V40" s="16"/>
      <c r="W40" s="16"/>
    </row>
    <row r="41" spans="6:35" x14ac:dyDescent="0.25">
      <c r="F41" s="16"/>
      <c r="G41" s="104"/>
      <c r="H41" s="16"/>
      <c r="I41" s="16"/>
      <c r="J41" s="16"/>
      <c r="K41" s="16"/>
      <c r="L41" s="16"/>
      <c r="M41" s="16"/>
      <c r="N41" s="16"/>
      <c r="O41" s="16"/>
      <c r="P41" s="16"/>
      <c r="Q41" s="16"/>
      <c r="R41" s="16"/>
      <c r="S41" s="16"/>
      <c r="T41" s="16"/>
      <c r="U41" s="16"/>
      <c r="V41" s="16"/>
      <c r="W41" s="16"/>
    </row>
    <row r="42" spans="6:35" x14ac:dyDescent="0.25">
      <c r="F42" s="16"/>
      <c r="G42" s="104"/>
      <c r="H42" s="16"/>
      <c r="I42" s="16"/>
      <c r="J42" s="16"/>
      <c r="K42" s="16"/>
      <c r="L42" s="16"/>
      <c r="M42" s="16"/>
      <c r="N42" s="16"/>
      <c r="O42" s="16"/>
      <c r="P42" s="16"/>
      <c r="Q42" s="16"/>
      <c r="R42" s="16"/>
      <c r="S42" s="16"/>
      <c r="T42" s="16"/>
      <c r="U42" s="16"/>
      <c r="V42" s="16"/>
      <c r="W42" s="16"/>
    </row>
    <row r="43" spans="6:35" x14ac:dyDescent="0.25">
      <c r="F43" s="16"/>
      <c r="G43" s="104"/>
      <c r="H43" s="16"/>
      <c r="I43" s="16"/>
      <c r="J43" s="16"/>
      <c r="K43" s="16"/>
      <c r="L43" s="16"/>
      <c r="M43" s="16"/>
      <c r="N43" s="16"/>
      <c r="O43" s="16"/>
      <c r="P43" s="16"/>
      <c r="Q43" s="16"/>
      <c r="R43" s="16"/>
      <c r="S43" s="16"/>
      <c r="T43" s="16"/>
      <c r="U43" s="16"/>
      <c r="V43" s="16"/>
      <c r="W43" s="16"/>
    </row>
    <row r="44" spans="6:35" x14ac:dyDescent="0.25">
      <c r="F44" s="16"/>
      <c r="G44" s="104"/>
      <c r="H44" s="16"/>
      <c r="I44" s="16"/>
      <c r="J44" s="16"/>
      <c r="K44" s="16"/>
      <c r="L44" s="16"/>
      <c r="M44" s="16"/>
      <c r="N44" s="16"/>
      <c r="O44" s="16"/>
      <c r="P44" s="16"/>
      <c r="Q44" s="16"/>
      <c r="R44" s="16"/>
      <c r="S44" s="16"/>
      <c r="T44" s="16"/>
      <c r="U44" s="16"/>
      <c r="V44" s="16"/>
      <c r="W44" s="16"/>
    </row>
    <row r="45" spans="6:35" x14ac:dyDescent="0.25">
      <c r="F45" s="16"/>
      <c r="G45" s="104"/>
      <c r="H45" s="16"/>
      <c r="I45" s="16"/>
      <c r="J45" s="16"/>
      <c r="K45" s="16"/>
      <c r="L45" s="16"/>
      <c r="M45" s="16"/>
      <c r="N45" s="16"/>
      <c r="O45" s="16"/>
      <c r="P45" s="16"/>
      <c r="Q45" s="16"/>
      <c r="R45" s="16"/>
      <c r="S45" s="16"/>
      <c r="T45" s="16"/>
      <c r="U45" s="16"/>
      <c r="V45" s="16"/>
      <c r="W45" s="16"/>
    </row>
    <row r="46" spans="6:35" x14ac:dyDescent="0.25">
      <c r="F46" s="16"/>
      <c r="G46" s="104"/>
    </row>
    <row r="47" spans="6:35" x14ac:dyDescent="0.25">
      <c r="F47" s="16"/>
      <c r="G47" s="104"/>
    </row>
    <row r="48" spans="6:35" x14ac:dyDescent="0.25">
      <c r="F48" s="16"/>
      <c r="G48" s="104"/>
    </row>
    <row r="49" spans="6:7" x14ac:dyDescent="0.25">
      <c r="F49" s="16"/>
      <c r="G49" s="104"/>
    </row>
    <row r="50" spans="6:7" x14ac:dyDescent="0.25">
      <c r="F50" s="16"/>
      <c r="G50" s="104"/>
    </row>
    <row r="51" spans="6:7" x14ac:dyDescent="0.25">
      <c r="F51" s="16"/>
      <c r="G51" s="104"/>
    </row>
    <row r="52" spans="6:7" x14ac:dyDescent="0.25">
      <c r="F52" s="16"/>
      <c r="G52" s="104"/>
    </row>
    <row r="53" spans="6:7" x14ac:dyDescent="0.25">
      <c r="F53" s="16"/>
      <c r="G53" s="104"/>
    </row>
    <row r="54" spans="6:7" x14ac:dyDescent="0.25">
      <c r="F54" s="16"/>
      <c r="G54" s="104"/>
    </row>
    <row r="55" spans="6:7" x14ac:dyDescent="0.25">
      <c r="F55" s="16"/>
      <c r="G55" s="104"/>
    </row>
    <row r="56" spans="6:7" x14ac:dyDescent="0.25">
      <c r="F56" s="16"/>
      <c r="G56" s="104"/>
    </row>
    <row r="57" spans="6:7" x14ac:dyDescent="0.25">
      <c r="F57" s="16"/>
      <c r="G57" s="104"/>
    </row>
    <row r="58" spans="6:7" x14ac:dyDescent="0.25">
      <c r="F58" s="16"/>
      <c r="G58" s="104"/>
    </row>
    <row r="59" spans="6:7" x14ac:dyDescent="0.25">
      <c r="G59" s="104"/>
    </row>
    <row r="60" spans="6:7" x14ac:dyDescent="0.25">
      <c r="G60" s="104"/>
    </row>
    <row r="61" spans="6:7" x14ac:dyDescent="0.25">
      <c r="G61" s="104"/>
    </row>
    <row r="62" spans="6:7"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7" t="s">
        <v>13</v>
      </c>
      <c r="C2" s="258"/>
      <c r="H2" s="9" t="s">
        <v>127</v>
      </c>
      <c r="I2" s="10"/>
      <c r="J2" s="10"/>
      <c r="K2" s="10"/>
      <c r="L2" s="10"/>
      <c r="M2" s="10"/>
      <c r="N2" s="10"/>
      <c r="O2" s="10"/>
      <c r="P2" s="10"/>
      <c r="Q2" s="10"/>
      <c r="R2" s="10"/>
      <c r="S2" s="10"/>
      <c r="T2" s="10"/>
    </row>
    <row r="3" spans="2:26" ht="15.75" thickBot="1" x14ac:dyDescent="0.3">
      <c r="B3" s="4" t="s">
        <v>8</v>
      </c>
      <c r="C3" s="3" t="s">
        <v>7</v>
      </c>
      <c r="H3" t="s">
        <v>717</v>
      </c>
    </row>
    <row r="4" spans="2:26" x14ac:dyDescent="0.25">
      <c r="B4" s="5" t="str">
        <f>IF('DATA Input'!E5="","",'DATA Input'!E5)</f>
        <v>INDOIV</v>
      </c>
      <c r="C4" s="1">
        <f>IF(B4="","",1)</f>
        <v>1</v>
      </c>
      <c r="H4" t="s">
        <v>718</v>
      </c>
    </row>
    <row r="5" spans="2:26" x14ac:dyDescent="0.25">
      <c r="B5" s="5" t="str">
        <f>IF('DATA Input'!G5="","",'DATA Input'!G5)</f>
        <v>IBUIV</v>
      </c>
      <c r="C5" s="1">
        <f>IF(B5="","",C4+1)</f>
        <v>2</v>
      </c>
      <c r="H5" t="s">
        <v>719</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380</v>
      </c>
    </row>
    <row r="8" spans="2:26" x14ac:dyDescent="0.25">
      <c r="B8" s="5" t="str">
        <f>IF('DATA Input'!M$5="","",'DATA Input'!M$5)</f>
        <v>IBUIVHIGHDOSE</v>
      </c>
      <c r="C8" s="1">
        <f t="shared" si="0"/>
        <v>5</v>
      </c>
      <c r="H8" t="s">
        <v>381</v>
      </c>
    </row>
    <row r="9" spans="2:26" x14ac:dyDescent="0.25">
      <c r="B9" s="5" t="str">
        <f>IF('DATA Input'!O$5="","",'DATA Input'!O$5)</f>
        <v>IBUPOHIGHDOSE</v>
      </c>
      <c r="C9" s="1">
        <f t="shared" si="0"/>
        <v>6</v>
      </c>
      <c r="H9" t="s">
        <v>382</v>
      </c>
    </row>
    <row r="10" spans="2:26" x14ac:dyDescent="0.25">
      <c r="B10" s="5" t="str">
        <f>IF('DATA Input'!Q$5="","",'DATA Input'!Q$5)</f>
        <v>INDOIVCONT</v>
      </c>
      <c r="C10" s="1">
        <f t="shared" si="0"/>
        <v>7</v>
      </c>
      <c r="H10" s="259" t="s">
        <v>128</v>
      </c>
      <c r="I10" s="259"/>
      <c r="J10" s="259"/>
      <c r="K10" s="259"/>
      <c r="L10" s="259"/>
      <c r="M10" s="259"/>
      <c r="N10" s="259"/>
      <c r="O10" s="259"/>
      <c r="P10" s="259"/>
      <c r="Q10" s="259"/>
      <c r="R10" s="259"/>
      <c r="S10" s="259"/>
      <c r="T10" s="259"/>
      <c r="U10" s="259"/>
      <c r="V10" s="259"/>
      <c r="W10" s="259"/>
    </row>
    <row r="11" spans="2:26" x14ac:dyDescent="0.25">
      <c r="B11" s="5" t="str">
        <f>IF('DATA Input'!S$5="","",'DATA Input'!S$5)</f>
        <v>INDOTHERS</v>
      </c>
      <c r="C11" s="1">
        <f t="shared" si="0"/>
        <v>8</v>
      </c>
      <c r="H11" t="s">
        <v>387</v>
      </c>
    </row>
    <row r="12" spans="2:26" x14ac:dyDescent="0.25">
      <c r="B12" s="5" t="str">
        <f>IF('DATA Input'!U$5="","",'DATA Input'!U$5)</f>
        <v>PLAC_NORX</v>
      </c>
      <c r="C12" s="1">
        <f t="shared" si="0"/>
        <v>9</v>
      </c>
      <c r="F12" s="51"/>
      <c r="G12" s="7"/>
      <c r="H12" s="16"/>
      <c r="I12" s="16"/>
      <c r="J12" s="16"/>
      <c r="K12" s="16"/>
      <c r="L12" s="16"/>
      <c r="M12" s="16"/>
      <c r="N12" s="16"/>
      <c r="O12" s="16"/>
      <c r="P12" s="16"/>
      <c r="Q12" s="16"/>
    </row>
    <row r="13" spans="2:26" x14ac:dyDescent="0.25">
      <c r="B13" s="5" t="str">
        <f>IF('DATA Input'!W$5="","",'DATA Input'!W$5)</f>
        <v/>
      </c>
      <c r="C13" s="1" t="str">
        <f t="shared" si="0"/>
        <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abSelected="1" workbookViewId="0">
      <selection activeCell="P45" sqref="P45"/>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9</v>
      </c>
    </row>
    <row r="8" spans="4:5" x14ac:dyDescent="0.25">
      <c r="D8" s="179" t="s">
        <v>14</v>
      </c>
      <c r="E8" s="181">
        <f>num_studies</f>
        <v>21</v>
      </c>
    </row>
    <row r="9" spans="4:5" x14ac:dyDescent="0.25">
      <c r="D9" s="179" t="s">
        <v>288</v>
      </c>
      <c r="E9" s="182">
        <f>max_total</f>
        <v>1596</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402</v>
      </c>
    </row>
    <row r="11" spans="4:5" x14ac:dyDescent="0.25">
      <c r="D11" s="179" t="s">
        <v>290</v>
      </c>
      <c r="E11" s="181">
        <f>COMBIN(E7,2)</f>
        <v>36</v>
      </c>
    </row>
    <row r="12" spans="4:5" x14ac:dyDescent="0.25">
      <c r="D12" s="179" t="s">
        <v>291</v>
      </c>
      <c r="E12" s="181">
        <f>Unique_connections(list)</f>
        <v>13</v>
      </c>
    </row>
    <row r="13" spans="4:5" x14ac:dyDescent="0.25">
      <c r="D13" s="179" t="s">
        <v>292</v>
      </c>
      <c r="E13" s="181">
        <f ca="1">COUNTIF(OFFSET('WINBUGS data'!G17:G66,0,MATCH("na[]",'WINBUGS data'!H16:BE16,0)),"2")</f>
        <v>21</v>
      </c>
    </row>
    <row r="14" spans="4:5" x14ac:dyDescent="0.25">
      <c r="D14" s="179" t="s">
        <v>293</v>
      </c>
      <c r="E14" s="181">
        <f ca="1">COUNTIF(OFFSET('WINBUGS data'!G17:G66,0,MATCH("na[]",'WINBUGS data'!H16:BE16,0)),"&gt;2")</f>
        <v>0</v>
      </c>
    </row>
    <row r="15" spans="4:5" x14ac:dyDescent="0.25">
      <c r="D15" s="179" t="s">
        <v>296</v>
      </c>
      <c r="E15" s="181">
        <f>No_zero('DATA Input'!E7:AH56)</f>
        <v>20</v>
      </c>
    </row>
    <row r="16" spans="4:5" x14ac:dyDescent="0.25">
      <c r="D16" s="179" t="s">
        <v>294</v>
      </c>
      <c r="E16" s="181">
        <f>num_studies-E15</f>
        <v>1</v>
      </c>
    </row>
    <row r="17" spans="4:11" ht="15.75" thickBot="1" x14ac:dyDescent="0.3">
      <c r="D17" s="180" t="s">
        <v>295</v>
      </c>
      <c r="E17" s="183">
        <f>All_zero('DATA Input'!E7:AH56)</f>
        <v>1</v>
      </c>
    </row>
    <row r="18" spans="4:11" x14ac:dyDescent="0.25">
      <c r="D18" s="177"/>
    </row>
    <row r="19" spans="4:11" hidden="1" x14ac:dyDescent="0.25">
      <c r="D19" s="177"/>
    </row>
    <row r="20" spans="4:11" x14ac:dyDescent="0.25">
      <c r="D20" s="177"/>
    </row>
    <row r="21" spans="4:11" ht="16.5" thickBot="1" x14ac:dyDescent="0.3">
      <c r="D21" s="260" t="s">
        <v>286</v>
      </c>
      <c r="E21" s="260"/>
      <c r="F21" s="260"/>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9</v>
      </c>
      <c r="F24" s="209">
        <f>SUM('DATA Input'!$E$7:$E$56)</f>
        <v>44</v>
      </c>
      <c r="G24" s="209">
        <f>SUM('DATA Input'!$F$7:$F$56)</f>
        <v>308</v>
      </c>
      <c r="H24" s="210">
        <f>F24/G24</f>
        <v>0.14285714285714285</v>
      </c>
      <c r="I24" s="210">
        <f>MinRate(1,'DATA Input'!$E$7:$AH$56)</f>
        <v>6.6666670143604279E-2</v>
      </c>
      <c r="J24" s="211">
        <f>MaxRate(1,'DATA Input'!$E$7:$AH$56)</f>
        <v>0.24637681245803833</v>
      </c>
    </row>
    <row r="25" spans="4:11" x14ac:dyDescent="0.25">
      <c r="D25" s="179" t="str">
        <f>IF('DATA Input'!$G$5="","",'DATA Input'!$G$5)</f>
        <v>IBUIV</v>
      </c>
      <c r="E25" s="185">
        <f>COUNTIF('DATA Input'!$H$7:$H$56,"&lt;&gt;")</f>
        <v>10</v>
      </c>
      <c r="F25" s="184">
        <f>SUM('DATA Input'!$G$7:$G$56)</f>
        <v>101</v>
      </c>
      <c r="G25" s="185">
        <f>SUM('DATA Input'!$H$7:$H$56)</f>
        <v>400</v>
      </c>
      <c r="H25" s="188">
        <f t="shared" ref="H25:H38" si="0">F25/G25</f>
        <v>0.2525</v>
      </c>
      <c r="I25" s="188">
        <f>MinRate(2,'DATA Input'!$E$7:$AH$56)</f>
        <v>0.13333334028720856</v>
      </c>
      <c r="J25" s="190">
        <f>MaxRate(2,'DATA Input'!$E$7:$AH$56)</f>
        <v>0.38235294818878174</v>
      </c>
    </row>
    <row r="26" spans="4:11" x14ac:dyDescent="0.25">
      <c r="D26" s="179" t="str">
        <f>IF('DATA Input'!$I$5="","",'DATA Input'!$I$5)</f>
        <v>IBUPO</v>
      </c>
      <c r="E26" s="185">
        <f>COUNTIF('DATA Input'!$J$7:$J$56,"&lt;&gt;")</f>
        <v>8</v>
      </c>
      <c r="F26" s="184">
        <f>SUM('DATA Input'!$I$7:$I$56)</f>
        <v>89</v>
      </c>
      <c r="G26" s="185">
        <f>SUM('DATA Input'!$J$7:$J$56)</f>
        <v>314</v>
      </c>
      <c r="H26" s="188">
        <f t="shared" si="0"/>
        <v>0.28343949044585987</v>
      </c>
      <c r="I26" s="188">
        <f>MinRate(3,'DATA Input'!$E$7:$AH$56)</f>
        <v>6.25E-2</v>
      </c>
      <c r="J26" s="190">
        <f>MaxRate(3,'DATA Input'!$E$7:$AH$56)</f>
        <v>0.66666668653488159</v>
      </c>
    </row>
    <row r="27" spans="4:11" x14ac:dyDescent="0.25">
      <c r="D27" s="179" t="str">
        <f>IF('DATA Input'!$K$5="","",'DATA Input'!$K$5)</f>
        <v>PARAPO</v>
      </c>
      <c r="E27" s="184">
        <f>COUNTIF('DATA Input'!$L$7:$L$56,"&lt;&gt;")</f>
        <v>3</v>
      </c>
      <c r="F27" s="184">
        <f>SUM('DATA Input'!$K$7:$K$56)</f>
        <v>43</v>
      </c>
      <c r="G27" s="184">
        <f>SUM('DATA Input'!$L$7:$L$56)</f>
        <v>187</v>
      </c>
      <c r="H27" s="188">
        <f t="shared" si="0"/>
        <v>0.22994652406417113</v>
      </c>
      <c r="I27" s="188">
        <f>MinRate(4,'DATA Input'!$E$7:$AH$56)</f>
        <v>0.17910447716712952</v>
      </c>
      <c r="J27" s="190">
        <f>MaxRate(4,'DATA Input'!$E$7:$AH$56)</f>
        <v>0.27500000596046448</v>
      </c>
    </row>
    <row r="28" spans="4:11" x14ac:dyDescent="0.25">
      <c r="D28" s="179" t="str">
        <f>IF('DATA Input'!$M$5="","",'DATA Input'!$M$5)</f>
        <v>IBUIVHIGHDOSE</v>
      </c>
      <c r="E28" s="184">
        <f>COUNTIF('DATA Input'!$N$7:$N$56,"&lt;&gt;")</f>
        <v>1</v>
      </c>
      <c r="F28" s="184">
        <f>SUM('DATA Input'!$M$7:$M$56)</f>
        <v>5</v>
      </c>
      <c r="G28" s="184">
        <f>SUM('DATA Input'!$N$7:$N$56)</f>
        <v>35</v>
      </c>
      <c r="H28" s="188">
        <f t="shared" si="0"/>
        <v>0.14285714285714285</v>
      </c>
      <c r="I28" s="188">
        <f>MinRate(5,'DATA Input'!$E$7:$AH$56)</f>
        <v>0.1428571492433548</v>
      </c>
      <c r="J28" s="190">
        <f>MaxRate(5,'DATA Input'!$E$7:$AH$56)</f>
        <v>0.1428571492433548</v>
      </c>
    </row>
    <row r="29" spans="4:11" x14ac:dyDescent="0.25">
      <c r="D29" s="179" t="str">
        <f>IF('DATA Input'!$O$5="","",'DATA Input'!$O$5)</f>
        <v>IBUPOHIGHDOSE</v>
      </c>
      <c r="E29" s="184">
        <f>COUNTIF('DATA Input'!$P$7:$P$56,"&lt;&gt;")</f>
        <v>2</v>
      </c>
      <c r="F29" s="184">
        <f>SUM('DATA Input'!$O$7:$O$56)</f>
        <v>23</v>
      </c>
      <c r="G29" s="184">
        <f>SUM('DATA Input'!$P$7:$P$56)</f>
        <v>92</v>
      </c>
      <c r="H29" s="188">
        <f t="shared" si="0"/>
        <v>0.25</v>
      </c>
      <c r="I29" s="188">
        <f>MinRate(6,'DATA Input'!$E$7:$AH$56)</f>
        <v>0.20000000298023224</v>
      </c>
      <c r="J29" s="190">
        <f>MaxRate(6,'DATA Input'!$E$7:$AH$56)</f>
        <v>0.27419355511665344</v>
      </c>
    </row>
    <row r="30" spans="4:11" x14ac:dyDescent="0.25">
      <c r="D30" s="179" t="str">
        <f>IF('DATA Input'!$Q$5="","",'DATA Input'!$Q$5)</f>
        <v>INDOIVCONT</v>
      </c>
      <c r="E30" s="184">
        <f>COUNTIF('DATA Input'!$R$7:$R$56,"&lt;&gt;")</f>
        <v>5</v>
      </c>
      <c r="F30" s="184">
        <f>SUM('DATA Input'!$Q$7:$Q$56)</f>
        <v>49</v>
      </c>
      <c r="G30" s="184">
        <f>SUM('DATA Input'!$R$7:$R$56)</f>
        <v>164</v>
      </c>
      <c r="H30" s="188">
        <f t="shared" si="0"/>
        <v>0.29878048780487804</v>
      </c>
      <c r="I30" s="188">
        <f>MinRate(7,'DATA Input'!$E$7:$AH$56)</f>
        <v>0.1666666716337204</v>
      </c>
      <c r="J30" s="190">
        <f>MaxRate(7,'DATA Input'!$E$7:$AH$56)</f>
        <v>0.57142859697341919</v>
      </c>
    </row>
    <row r="31" spans="4:11" x14ac:dyDescent="0.25">
      <c r="D31" s="179" t="str">
        <f>IF('DATA Input'!$S$5="","",'DATA Input'!$S$5)</f>
        <v>INDOTHERS</v>
      </c>
      <c r="E31" s="184">
        <f>COUNTIF('DATA Input'!$T$7:$T$56,"&lt;&gt;")</f>
        <v>3</v>
      </c>
      <c r="F31" s="184">
        <f>SUM('DATA Input'!$S$7:$S$56)</f>
        <v>39</v>
      </c>
      <c r="G31" s="184">
        <f>SUM('DATA Input'!$T$7:$T$56)</f>
        <v>77</v>
      </c>
      <c r="H31" s="188">
        <f t="shared" si="0"/>
        <v>0.50649350649350644</v>
      </c>
      <c r="I31" s="188">
        <f>MinRate(8,'DATA Input'!$E$7:$AH$56)</f>
        <v>0.36363637447357178</v>
      </c>
      <c r="J31" s="190">
        <f>MaxRate(8,'DATA Input'!$E$7:$AH$56)</f>
        <v>0.73333334922790527</v>
      </c>
    </row>
    <row r="32" spans="4:11" ht="15.75" thickBot="1" x14ac:dyDescent="0.3">
      <c r="D32" s="179" t="str">
        <f>IF('DATA Input'!$U$5="","",'DATA Input'!$U$5)</f>
        <v>PLAC_NORX</v>
      </c>
      <c r="E32" s="184">
        <f>COUNTIF('DATA Input'!$V$7:$V$56,"&lt;&gt;")</f>
        <v>1</v>
      </c>
      <c r="F32" s="184">
        <f>SUM('DATA Input'!$U$7:$U$56)</f>
        <v>9</v>
      </c>
      <c r="G32" s="184">
        <f>SUM('DATA Input'!$V$7:$V$56)</f>
        <v>19</v>
      </c>
      <c r="H32" s="188">
        <f t="shared" si="0"/>
        <v>0.47368421052631576</v>
      </c>
      <c r="I32" s="188">
        <f>MinRate(9,'DATA Input'!$E$7:$AH$56)</f>
        <v>0.47368422150611877</v>
      </c>
      <c r="J32" s="190">
        <f>MaxRate(9,'DATA Input'!$E$7:$AH$56)</f>
        <v>0.47368422150611877</v>
      </c>
    </row>
    <row r="33" spans="4:10" ht="15.75" hidden="1" thickBot="1" x14ac:dyDescent="0.3">
      <c r="D33" s="179" t="str">
        <f>IF('DATA Input'!$W$5="","",'DATA Input'!$W$5)</f>
        <v/>
      </c>
      <c r="E33" s="184">
        <f>COUNTIF('DATA Input'!$X$7:$X$56,"&lt;&gt;")</f>
        <v>0</v>
      </c>
      <c r="F33" s="184">
        <f>SUM('DATA Input'!$W$7:$W$56)</f>
        <v>0</v>
      </c>
      <c r="G33" s="184">
        <f>SUM('DATA Input'!$X$7:$X$56)</f>
        <v>0</v>
      </c>
      <c r="H33" s="188" t="e">
        <f t="shared" si="0"/>
        <v>#DIV/0!</v>
      </c>
      <c r="I33" s="188">
        <f>MinRate(10,'DATA Input'!$E$7:$AH$56)</f>
        <v>1</v>
      </c>
      <c r="J33" s="190">
        <f>MaxRate(10,'DATA Input'!$E$7:$AH$56)</f>
        <v>0</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60" t="s">
        <v>285</v>
      </c>
      <c r="E41" s="260"/>
      <c r="F41" s="260"/>
    </row>
    <row r="42" spans="4:10" ht="15.75" thickBot="1" x14ac:dyDescent="0.3">
      <c r="D42" s="214" t="s">
        <v>276</v>
      </c>
      <c r="E42" s="213" t="s">
        <v>283</v>
      </c>
      <c r="F42" s="213" t="s">
        <v>279</v>
      </c>
      <c r="G42" s="208" t="s">
        <v>278</v>
      </c>
    </row>
    <row r="43" spans="4:10" x14ac:dyDescent="0.25">
      <c r="D43" s="216" t="s">
        <v>374</v>
      </c>
      <c r="E43" s="195">
        <v>2</v>
      </c>
      <c r="F43" s="196">
        <v>55</v>
      </c>
      <c r="G43" s="197">
        <v>3</v>
      </c>
    </row>
    <row r="44" spans="4:10" x14ac:dyDescent="0.25">
      <c r="D44" s="179" t="s">
        <v>375</v>
      </c>
      <c r="E44" s="184">
        <v>2</v>
      </c>
      <c r="F44" s="185">
        <v>240</v>
      </c>
      <c r="G44" s="182">
        <v>65</v>
      </c>
    </row>
    <row r="45" spans="4:10" x14ac:dyDescent="0.25">
      <c r="D45" s="179" t="s">
        <v>376</v>
      </c>
      <c r="E45" s="184">
        <v>2</v>
      </c>
      <c r="F45" s="185">
        <v>172</v>
      </c>
      <c r="G45" s="182">
        <v>44</v>
      </c>
    </row>
    <row r="46" spans="4:10" x14ac:dyDescent="0.25">
      <c r="D46" s="179" t="s">
        <v>397</v>
      </c>
      <c r="E46" s="184">
        <v>1</v>
      </c>
      <c r="F46" s="185">
        <v>0</v>
      </c>
      <c r="G46" s="182">
        <v>0</v>
      </c>
    </row>
    <row r="47" spans="4:10" x14ac:dyDescent="0.25">
      <c r="D47" s="179" t="s">
        <v>383</v>
      </c>
      <c r="E47" s="184">
        <v>1</v>
      </c>
      <c r="F47" s="185">
        <v>105</v>
      </c>
      <c r="G47" s="182">
        <v>33</v>
      </c>
    </row>
    <row r="48" spans="4:10" x14ac:dyDescent="0.25">
      <c r="D48" s="179" t="s">
        <v>377</v>
      </c>
      <c r="E48" s="184">
        <v>1</v>
      </c>
      <c r="F48" s="185">
        <v>70</v>
      </c>
      <c r="G48" s="182">
        <v>18</v>
      </c>
    </row>
    <row r="49" spans="4:7" x14ac:dyDescent="0.25">
      <c r="D49" s="179" t="s">
        <v>398</v>
      </c>
      <c r="E49" s="184">
        <v>1</v>
      </c>
      <c r="F49" s="185">
        <v>0</v>
      </c>
      <c r="G49" s="182">
        <v>0</v>
      </c>
    </row>
    <row r="50" spans="4:7" x14ac:dyDescent="0.25">
      <c r="D50" s="178" t="s">
        <v>399</v>
      </c>
      <c r="E50" s="184">
        <v>2</v>
      </c>
      <c r="F50" s="185">
        <v>0</v>
      </c>
      <c r="G50" s="182">
        <v>0</v>
      </c>
    </row>
    <row r="51" spans="4:7" x14ac:dyDescent="0.25">
      <c r="D51" s="217" t="s">
        <v>378</v>
      </c>
      <c r="E51" s="198">
        <v>5</v>
      </c>
      <c r="F51" s="200">
        <v>387</v>
      </c>
      <c r="G51" s="201">
        <v>58</v>
      </c>
    </row>
    <row r="52" spans="4:7" x14ac:dyDescent="0.25">
      <c r="D52" s="217" t="s">
        <v>400</v>
      </c>
      <c r="E52" s="198">
        <v>1</v>
      </c>
      <c r="F52" s="200">
        <v>0</v>
      </c>
      <c r="G52" s="201">
        <v>0</v>
      </c>
    </row>
    <row r="53" spans="4:7" x14ac:dyDescent="0.25">
      <c r="D53" s="217" t="s">
        <v>401</v>
      </c>
      <c r="E53" s="198">
        <v>1</v>
      </c>
      <c r="F53" s="200">
        <v>0</v>
      </c>
      <c r="G53" s="201">
        <v>0</v>
      </c>
    </row>
    <row r="54" spans="4:7" x14ac:dyDescent="0.25">
      <c r="D54" s="217" t="s">
        <v>379</v>
      </c>
      <c r="E54" s="198">
        <v>1</v>
      </c>
      <c r="F54" s="200">
        <v>60</v>
      </c>
      <c r="G54" s="201">
        <v>16</v>
      </c>
    </row>
    <row r="55" spans="4:7" ht="15.75" thickBot="1" x14ac:dyDescent="0.3">
      <c r="D55" s="217" t="s">
        <v>384</v>
      </c>
      <c r="E55" s="198">
        <v>1</v>
      </c>
      <c r="F55" s="200">
        <v>129</v>
      </c>
      <c r="G55" s="201">
        <v>29</v>
      </c>
    </row>
    <row r="56" spans="4:7" hidden="1" x14ac:dyDescent="0.25">
      <c r="D56" s="217"/>
      <c r="E56" s="198"/>
      <c r="F56" s="200"/>
      <c r="G56" s="201"/>
    </row>
    <row r="57" spans="4:7" hidden="1" x14ac:dyDescent="0.25">
      <c r="D57" s="217"/>
      <c r="E57" s="198"/>
      <c r="F57" s="200"/>
      <c r="G57" s="201"/>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50" zoomScaleNormal="50" workbookViewId="0">
      <selection activeCell="Y20" sqref="Y20"/>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54" t="s">
        <v>13</v>
      </c>
      <c r="C23" s="256"/>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INDOIVCONT</v>
      </c>
      <c r="C31" s="97" t="s">
        <v>304</v>
      </c>
    </row>
    <row r="32" spans="2:3" x14ac:dyDescent="0.25">
      <c r="B32" s="101" t="str">
        <f>'WINBUGS data'!B11</f>
        <v>INDOTHERS</v>
      </c>
      <c r="C32" s="97" t="s">
        <v>305</v>
      </c>
    </row>
    <row r="33" spans="2:3" x14ac:dyDescent="0.25">
      <c r="B33" s="101" t="str">
        <f>'WINBUGS data'!B12</f>
        <v>PLAC_NORX</v>
      </c>
      <c r="C33" s="97" t="s">
        <v>306</v>
      </c>
    </row>
    <row r="34" spans="2:3" x14ac:dyDescent="0.25">
      <c r="B34" s="101" t="str">
        <f>'WINBUGS data'!B13</f>
        <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1" t="s">
        <v>233</v>
      </c>
      <c r="C5" s="82" t="s">
        <v>217</v>
      </c>
      <c r="D5" s="90" t="s">
        <v>223</v>
      </c>
      <c r="U5" s="11"/>
      <c r="Y5" t="s">
        <v>220</v>
      </c>
      <c r="Z5" t="str">
        <f ca="1">'Random Effects  (Informative)'!A1</f>
        <v>Random Effects  (Informative)</v>
      </c>
    </row>
    <row r="6" spans="1:26" ht="15.75" thickBot="1" x14ac:dyDescent="0.3">
      <c r="A6" s="92"/>
      <c r="B6" s="262"/>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topLeftCell="D4" zoomScale="136" zoomScaleNormal="136" workbookViewId="0">
      <selection activeCell="F5" sqref="F5:N13"/>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354</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763</v>
      </c>
      <c r="G6" s="223" t="s">
        <v>355</v>
      </c>
      <c r="H6" s="70"/>
      <c r="I6" s="70"/>
      <c r="J6" s="70"/>
      <c r="K6" s="70"/>
      <c r="L6" s="70"/>
      <c r="M6" s="70"/>
      <c r="N6" s="70"/>
      <c r="O6" s="70"/>
      <c r="P6" s="70"/>
      <c r="Q6" s="70"/>
      <c r="R6" s="70"/>
      <c r="S6" s="70"/>
      <c r="Y6" t="s">
        <v>386</v>
      </c>
    </row>
    <row r="7" spans="2:26" ht="39.950000000000003" customHeight="1" thickBot="1" x14ac:dyDescent="0.3">
      <c r="E7" s="69"/>
      <c r="F7" s="225" t="s">
        <v>764</v>
      </c>
      <c r="G7" s="224" t="s">
        <v>771</v>
      </c>
      <c r="H7" s="223" t="s">
        <v>356</v>
      </c>
      <c r="I7" s="70"/>
      <c r="J7" s="70"/>
      <c r="K7" s="70"/>
      <c r="L7" s="70"/>
      <c r="M7" s="70"/>
      <c r="N7" s="70"/>
      <c r="O7" s="70"/>
      <c r="P7" s="70"/>
      <c r="Q7" s="70"/>
      <c r="R7" s="70"/>
      <c r="S7" s="70"/>
    </row>
    <row r="8" spans="2:26" ht="39.950000000000003" customHeight="1" thickBot="1" x14ac:dyDescent="0.3">
      <c r="E8" s="69"/>
      <c r="F8" s="225" t="s">
        <v>765</v>
      </c>
      <c r="G8" s="221" t="s">
        <v>772</v>
      </c>
      <c r="H8" s="224" t="s">
        <v>778</v>
      </c>
      <c r="I8" s="223" t="s">
        <v>353</v>
      </c>
      <c r="J8" s="70"/>
      <c r="K8" s="70"/>
      <c r="L8" s="70"/>
      <c r="M8" s="70"/>
      <c r="N8" s="70"/>
      <c r="O8" s="70"/>
      <c r="P8" s="70"/>
      <c r="Q8" s="70"/>
      <c r="R8" s="70"/>
      <c r="S8" s="70"/>
    </row>
    <row r="9" spans="2:26" ht="39.950000000000003" customHeight="1" thickBot="1" x14ac:dyDescent="0.3">
      <c r="E9" s="69"/>
      <c r="F9" s="225" t="s">
        <v>766</v>
      </c>
      <c r="G9" s="221" t="s">
        <v>773</v>
      </c>
      <c r="H9" s="221" t="s">
        <v>779</v>
      </c>
      <c r="I9" s="224" t="s">
        <v>784</v>
      </c>
      <c r="J9" s="223" t="s">
        <v>357</v>
      </c>
      <c r="K9" s="70"/>
      <c r="L9" s="70"/>
      <c r="M9" s="70"/>
      <c r="N9" s="70"/>
      <c r="O9" s="70"/>
      <c r="P9" s="70"/>
      <c r="Q9" s="70"/>
      <c r="R9" s="70"/>
      <c r="S9" s="70"/>
    </row>
    <row r="10" spans="2:26" ht="39.950000000000003" customHeight="1" thickBot="1" x14ac:dyDescent="0.3">
      <c r="E10" s="69"/>
      <c r="F10" s="225" t="s">
        <v>767</v>
      </c>
      <c r="G10" s="221" t="s">
        <v>774</v>
      </c>
      <c r="H10" s="221" t="s">
        <v>780</v>
      </c>
      <c r="I10" s="221" t="s">
        <v>785</v>
      </c>
      <c r="J10" s="224" t="s">
        <v>789</v>
      </c>
      <c r="K10" s="223" t="s">
        <v>351</v>
      </c>
      <c r="L10" s="70"/>
      <c r="M10" s="70"/>
      <c r="N10" s="70"/>
      <c r="O10" s="70"/>
      <c r="P10" s="70"/>
      <c r="Q10" s="70"/>
      <c r="R10" s="70"/>
      <c r="S10" s="70"/>
    </row>
    <row r="11" spans="2:26" ht="39.950000000000003" customHeight="1" thickBot="1" x14ac:dyDescent="0.3">
      <c r="E11" s="69"/>
      <c r="F11" s="225" t="s">
        <v>768</v>
      </c>
      <c r="G11" s="221" t="s">
        <v>775</v>
      </c>
      <c r="H11" s="221" t="s">
        <v>781</v>
      </c>
      <c r="I11" s="221" t="s">
        <v>786</v>
      </c>
      <c r="J11" s="221" t="s">
        <v>790</v>
      </c>
      <c r="K11" s="224" t="s">
        <v>793</v>
      </c>
      <c r="L11" s="223" t="s">
        <v>352</v>
      </c>
      <c r="M11" s="70"/>
      <c r="N11" s="70"/>
      <c r="O11" s="70"/>
      <c r="P11" s="70"/>
      <c r="Q11" s="70"/>
      <c r="R11" s="70"/>
      <c r="S11" s="70"/>
    </row>
    <row r="12" spans="2:26" ht="39.950000000000003" customHeight="1" thickBot="1" x14ac:dyDescent="0.3">
      <c r="E12" s="69"/>
      <c r="F12" s="225" t="s">
        <v>769</v>
      </c>
      <c r="G12" s="221" t="s">
        <v>776</v>
      </c>
      <c r="H12" s="221" t="s">
        <v>782</v>
      </c>
      <c r="I12" s="221" t="s">
        <v>787</v>
      </c>
      <c r="J12" s="221" t="s">
        <v>791</v>
      </c>
      <c r="K12" s="221" t="s">
        <v>794</v>
      </c>
      <c r="L12" s="224" t="s">
        <v>796</v>
      </c>
      <c r="M12" s="223" t="s">
        <v>358</v>
      </c>
      <c r="N12" s="70"/>
      <c r="O12" s="70"/>
      <c r="P12" s="70"/>
      <c r="Q12" s="70"/>
      <c r="R12" s="70"/>
      <c r="S12" s="70"/>
    </row>
    <row r="13" spans="2:26" ht="39.950000000000003" customHeight="1" thickBot="1" x14ac:dyDescent="0.3">
      <c r="E13" s="69"/>
      <c r="F13" s="226" t="s">
        <v>770</v>
      </c>
      <c r="G13" s="222" t="s">
        <v>777</v>
      </c>
      <c r="H13" s="222" t="s">
        <v>783</v>
      </c>
      <c r="I13" s="222" t="s">
        <v>788</v>
      </c>
      <c r="J13" s="222" t="s">
        <v>792</v>
      </c>
      <c r="K13" s="222" t="s">
        <v>795</v>
      </c>
      <c r="L13" s="222" t="s">
        <v>797</v>
      </c>
      <c r="M13" s="228" t="s">
        <v>798</v>
      </c>
      <c r="N13" s="223" t="s">
        <v>359</v>
      </c>
      <c r="O13" s="70"/>
      <c r="P13" s="70"/>
      <c r="Q13" s="70"/>
      <c r="R13" s="70"/>
      <c r="S13" s="70"/>
    </row>
    <row r="14" spans="2:26" ht="39.950000000000003" customHeight="1" x14ac:dyDescent="0.25">
      <c r="E14" s="69"/>
      <c r="F14" s="229"/>
      <c r="G14" s="229"/>
      <c r="H14" s="229"/>
      <c r="I14" s="229"/>
      <c r="J14" s="229"/>
      <c r="K14" s="229"/>
      <c r="L14" s="229"/>
      <c r="M14" s="229"/>
      <c r="N14" s="229"/>
      <c r="O14" s="229"/>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V21" sqref="V21"/>
    </sheetView>
  </sheetViews>
  <sheetFormatPr defaultRowHeight="15" x14ac:dyDescent="0.25"/>
  <cols>
    <col min="2" max="2" width="11.85546875" customWidth="1"/>
    <col min="3" max="3" width="33" customWidth="1"/>
    <col min="13" max="27" width="9.140625" customWidth="1"/>
  </cols>
  <sheetData>
    <row r="2" spans="2:30" hidden="1" x14ac:dyDescent="0.25">
      <c r="B2" t="s">
        <v>385</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354</v>
      </c>
      <c r="D15" s="107">
        <v>0.83279999999999998</v>
      </c>
    </row>
    <row r="16" spans="2:30" x14ac:dyDescent="0.25">
      <c r="C16" s="108" t="s">
        <v>355</v>
      </c>
      <c r="D16" s="109">
        <v>0.79630000000000001</v>
      </c>
    </row>
    <row r="17" spans="2:5" x14ac:dyDescent="0.25">
      <c r="C17" s="108" t="s">
        <v>356</v>
      </c>
      <c r="D17" s="109">
        <v>0.71040000000000003</v>
      </c>
    </row>
    <row r="18" spans="2:5" x14ac:dyDescent="0.25">
      <c r="C18" s="108" t="s">
        <v>353</v>
      </c>
      <c r="D18" s="109">
        <v>0.69320000000000004</v>
      </c>
    </row>
    <row r="19" spans="2:5" x14ac:dyDescent="0.25">
      <c r="C19" s="108" t="s">
        <v>357</v>
      </c>
      <c r="D19" s="109">
        <v>0.61760000000000004</v>
      </c>
    </row>
    <row r="20" spans="2:5" x14ac:dyDescent="0.25">
      <c r="C20" s="108" t="s">
        <v>351</v>
      </c>
      <c r="D20" s="109">
        <v>0.45650000000000002</v>
      </c>
    </row>
    <row r="21" spans="2:5" x14ac:dyDescent="0.25">
      <c r="C21" s="108" t="s">
        <v>352</v>
      </c>
      <c r="D21" s="109">
        <v>0.2591</v>
      </c>
    </row>
    <row r="22" spans="2:5" x14ac:dyDescent="0.25">
      <c r="C22" s="108" t="s">
        <v>358</v>
      </c>
      <c r="D22" s="109">
        <v>8.2350000000000007E-2</v>
      </c>
    </row>
    <row r="23" spans="2:5" x14ac:dyDescent="0.25">
      <c r="C23" s="108" t="s">
        <v>359</v>
      </c>
      <c r="D23" s="109">
        <v>5.176E-2</v>
      </c>
    </row>
    <row r="24" spans="2:5" x14ac:dyDescent="0.25">
      <c r="C24" s="108"/>
      <c r="D24" s="109"/>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4" t="s">
        <v>37</v>
      </c>
      <c r="E4" s="265"/>
      <c r="F4" s="265"/>
      <c r="G4" s="265"/>
      <c r="H4" s="266"/>
      <c r="I4" s="264" t="s">
        <v>226</v>
      </c>
      <c r="J4" s="265"/>
      <c r="K4" s="265"/>
      <c r="L4" s="265"/>
      <c r="M4" s="266"/>
      <c r="N4" s="40"/>
      <c r="O4" s="267" t="s">
        <v>212</v>
      </c>
      <c r="P4" s="268"/>
      <c r="Q4" s="268"/>
      <c r="R4" s="268"/>
      <c r="S4" s="268"/>
      <c r="T4" s="268"/>
      <c r="U4" s="268"/>
      <c r="V4" s="269"/>
    </row>
    <row r="5" spans="1:35" ht="15.75" thickBot="1" x14ac:dyDescent="0.3">
      <c r="D5" s="270" t="s">
        <v>209</v>
      </c>
      <c r="E5" s="271"/>
      <c r="F5" s="271" t="s">
        <v>210</v>
      </c>
      <c r="G5" s="271"/>
      <c r="H5" s="2" t="s">
        <v>211</v>
      </c>
      <c r="I5" s="270" t="s">
        <v>209</v>
      </c>
      <c r="J5" s="271"/>
      <c r="K5" s="271" t="s">
        <v>210</v>
      </c>
      <c r="L5" s="271"/>
      <c r="M5" s="2" t="s">
        <v>211</v>
      </c>
      <c r="O5" s="117" t="s">
        <v>207</v>
      </c>
      <c r="P5" s="118" t="s">
        <v>208</v>
      </c>
      <c r="Q5" s="46"/>
      <c r="R5" s="46" t="s">
        <v>10</v>
      </c>
      <c r="S5" s="119"/>
      <c r="T5" s="86" t="s">
        <v>213</v>
      </c>
      <c r="U5" s="86" t="s">
        <v>214</v>
      </c>
      <c r="V5" s="65">
        <v>1</v>
      </c>
      <c r="Z5" t="str">
        <f>R5</f>
        <v>Study Name</v>
      </c>
      <c r="AB5" s="263"/>
      <c r="AC5" s="263"/>
      <c r="AD5" s="263"/>
      <c r="AE5" s="263"/>
      <c r="AH5" s="19"/>
      <c r="AI5" s="19"/>
    </row>
    <row r="6" spans="1:35" x14ac:dyDescent="0.25">
      <c r="A6">
        <v>0</v>
      </c>
      <c r="B6">
        <v>0</v>
      </c>
      <c r="D6" s="26"/>
      <c r="E6" s="31"/>
      <c r="F6" s="31"/>
      <c r="G6" s="31"/>
      <c r="H6" s="1" t="str">
        <f>IF(D6="","",G6-E6)</f>
        <v/>
      </c>
      <c r="I6" s="26" t="s">
        <v>485</v>
      </c>
      <c r="J6" s="31">
        <v>0.63119999999999998</v>
      </c>
      <c r="K6" s="31" t="s">
        <v>485</v>
      </c>
      <c r="L6" s="31">
        <v>0.54510000000000003</v>
      </c>
      <c r="M6" s="1">
        <f>IF(I6="","",L6-J6)</f>
        <v>-8.6099999999999954E-2</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486</v>
      </c>
      <c r="J7" s="31">
        <v>0.88500000000000001</v>
      </c>
      <c r="K7" s="31" t="s">
        <v>486</v>
      </c>
      <c r="L7" s="31">
        <v>0.72150000000000003</v>
      </c>
      <c r="M7" s="1">
        <f t="shared" ref="M7:M70" si="5">IF(I7="","",L7-J7)</f>
        <v>-0.16349999999999998</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487</v>
      </c>
      <c r="J8" s="31">
        <v>0.98680000000000001</v>
      </c>
      <c r="K8" s="31" t="s">
        <v>487</v>
      </c>
      <c r="L8" s="31">
        <v>0.90969999999999995</v>
      </c>
      <c r="M8" s="1">
        <f t="shared" si="5"/>
        <v>-7.7100000000000057E-2</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488</v>
      </c>
      <c r="J9" s="31">
        <v>0.93769999999999998</v>
      </c>
      <c r="K9" s="31" t="s">
        <v>488</v>
      </c>
      <c r="L9" s="31">
        <v>0.84540000000000004</v>
      </c>
      <c r="M9" s="1">
        <f t="shared" si="5"/>
        <v>-9.2299999999999938E-2</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489</v>
      </c>
      <c r="J10" s="31">
        <v>0.88160000000000005</v>
      </c>
      <c r="K10" s="31" t="s">
        <v>489</v>
      </c>
      <c r="L10" s="31">
        <v>0.79930000000000001</v>
      </c>
      <c r="M10" s="1">
        <f t="shared" si="5"/>
        <v>-8.230000000000004E-2</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490</v>
      </c>
      <c r="J11" s="31">
        <v>0.85229999999999995</v>
      </c>
      <c r="K11" s="31" t="s">
        <v>490</v>
      </c>
      <c r="L11" s="31">
        <v>0.65890000000000004</v>
      </c>
      <c r="M11" s="1">
        <f t="shared" si="5"/>
        <v>-0.19339999999999991</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491</v>
      </c>
      <c r="J12" s="31">
        <v>0.92490000000000006</v>
      </c>
      <c r="K12" s="31" t="s">
        <v>491</v>
      </c>
      <c r="L12" s="31">
        <v>1.119</v>
      </c>
      <c r="M12" s="1">
        <f t="shared" si="5"/>
        <v>0.19409999999999994</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492</v>
      </c>
      <c r="J13" s="31">
        <v>0.7641</v>
      </c>
      <c r="K13" s="31" t="s">
        <v>492</v>
      </c>
      <c r="L13" s="31">
        <v>1.0609999999999999</v>
      </c>
      <c r="M13" s="1">
        <f t="shared" si="5"/>
        <v>0.29689999999999994</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493</v>
      </c>
      <c r="J14" s="31">
        <v>1.141</v>
      </c>
      <c r="K14" s="31" t="s">
        <v>493</v>
      </c>
      <c r="L14" s="31">
        <v>1.024</v>
      </c>
      <c r="M14" s="1">
        <f t="shared" si="5"/>
        <v>-0.11699999999999999</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494</v>
      </c>
      <c r="J15" s="31">
        <v>1.0489999999999999</v>
      </c>
      <c r="K15" s="31" t="s">
        <v>494</v>
      </c>
      <c r="L15" s="31">
        <v>1.0109999999999999</v>
      </c>
      <c r="M15" s="1">
        <f t="shared" si="5"/>
        <v>-3.8000000000000034E-2</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495</v>
      </c>
      <c r="J16" s="31">
        <v>1.032</v>
      </c>
      <c r="K16" s="31" t="s">
        <v>495</v>
      </c>
      <c r="L16" s="31">
        <v>0.96240000000000003</v>
      </c>
      <c r="M16" s="1">
        <f t="shared" si="5"/>
        <v>-6.9599999999999995E-2</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496</v>
      </c>
      <c r="J17" s="31">
        <v>1.02</v>
      </c>
      <c r="K17" s="31" t="s">
        <v>496</v>
      </c>
      <c r="L17" s="31">
        <v>1.028</v>
      </c>
      <c r="M17" s="1">
        <f t="shared" si="5"/>
        <v>8.0000000000000071E-3</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497</v>
      </c>
      <c r="J18" s="31">
        <v>1.014</v>
      </c>
      <c r="K18" s="31" t="s">
        <v>497</v>
      </c>
      <c r="L18" s="31">
        <v>1.0149999999999999</v>
      </c>
      <c r="M18" s="1">
        <f t="shared" si="5"/>
        <v>9.9999999999988987E-4</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498</v>
      </c>
      <c r="J19" s="31">
        <v>1.016</v>
      </c>
      <c r="K19" s="31" t="s">
        <v>498</v>
      </c>
      <c r="L19" s="31">
        <v>1.0369999999999999</v>
      </c>
      <c r="M19" s="1">
        <f t="shared" si="5"/>
        <v>2.0999999999999908E-2</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499</v>
      </c>
      <c r="J20" s="31">
        <v>1.0209999999999999</v>
      </c>
      <c r="K20" s="31" t="s">
        <v>499</v>
      </c>
      <c r="L20" s="31">
        <v>0.87719999999999998</v>
      </c>
      <c r="M20" s="1">
        <f t="shared" si="5"/>
        <v>-0.14379999999999993</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500</v>
      </c>
      <c r="J21" s="31">
        <v>1.022</v>
      </c>
      <c r="K21" s="31" t="s">
        <v>500</v>
      </c>
      <c r="L21" s="31">
        <v>0.8458</v>
      </c>
      <c r="M21" s="1">
        <f t="shared" si="5"/>
        <v>-0.17620000000000002</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501</v>
      </c>
      <c r="J22" s="31">
        <v>0.96399999999999997</v>
      </c>
      <c r="K22" s="31" t="s">
        <v>501</v>
      </c>
      <c r="L22" s="31">
        <v>1.2010000000000001</v>
      </c>
      <c r="M22" s="1">
        <f t="shared" si="5"/>
        <v>0.2370000000000001</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502</v>
      </c>
      <c r="J23" s="31">
        <v>0.89259999999999995</v>
      </c>
      <c r="K23" s="31" t="s">
        <v>502</v>
      </c>
      <c r="L23" s="31">
        <v>1.0089999999999999</v>
      </c>
      <c r="M23" s="1">
        <f t="shared" si="5"/>
        <v>0.11639999999999995</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503</v>
      </c>
      <c r="J24" s="31">
        <v>0.9002</v>
      </c>
      <c r="K24" s="31" t="s">
        <v>503</v>
      </c>
      <c r="L24" s="31">
        <v>1.0129999999999999</v>
      </c>
      <c r="M24" s="1">
        <f t="shared" si="5"/>
        <v>0.1127999999999999</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504</v>
      </c>
      <c r="J25" s="31">
        <v>0.97199999999999998</v>
      </c>
      <c r="K25" s="31" t="s">
        <v>504</v>
      </c>
      <c r="L25" s="31">
        <v>1.149</v>
      </c>
      <c r="M25" s="1">
        <f t="shared" si="5"/>
        <v>0.17700000000000005</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505</v>
      </c>
      <c r="J26" s="39">
        <v>0.63009999999999999</v>
      </c>
      <c r="K26" s="39" t="s">
        <v>505</v>
      </c>
      <c r="L26" s="39">
        <v>0.59250000000000003</v>
      </c>
      <c r="M26" s="52">
        <f t="shared" si="5"/>
        <v>-3.7599999999999967E-2</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506</v>
      </c>
      <c r="J27" s="39">
        <v>0.69689999999999996</v>
      </c>
      <c r="K27" s="39" t="s">
        <v>506</v>
      </c>
      <c r="L27" s="39">
        <v>0.66779999999999995</v>
      </c>
      <c r="M27" s="52">
        <f t="shared" si="5"/>
        <v>-2.9100000000000015E-2</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507</v>
      </c>
      <c r="J28" s="39">
        <v>0.68579999999999997</v>
      </c>
      <c r="K28" s="39" t="s">
        <v>507</v>
      </c>
      <c r="L28" s="39">
        <v>0.67910000000000004</v>
      </c>
      <c r="M28" s="52">
        <f t="shared" si="5"/>
        <v>-6.6999999999999282E-3</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508</v>
      </c>
      <c r="J29" s="39">
        <v>1.006</v>
      </c>
      <c r="K29" s="39" t="s">
        <v>508</v>
      </c>
      <c r="L29" s="39">
        <v>1.018</v>
      </c>
      <c r="M29" s="52">
        <f t="shared" si="5"/>
        <v>1.2000000000000011E-2</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509</v>
      </c>
      <c r="J30" s="39">
        <v>0.90059999999999996</v>
      </c>
      <c r="K30" s="39" t="s">
        <v>509</v>
      </c>
      <c r="L30" s="39">
        <v>0.70079999999999998</v>
      </c>
      <c r="M30" s="52">
        <f t="shared" si="5"/>
        <v>-0.19979999999999998</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510</v>
      </c>
      <c r="J31" s="39">
        <v>0.89790000000000003</v>
      </c>
      <c r="K31" s="39" t="s">
        <v>510</v>
      </c>
      <c r="L31" s="39">
        <v>0.69540000000000002</v>
      </c>
      <c r="M31" s="52">
        <f t="shared" si="5"/>
        <v>-0.20250000000000001</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511</v>
      </c>
      <c r="J32" s="39">
        <v>1.038</v>
      </c>
      <c r="K32" s="39" t="s">
        <v>511</v>
      </c>
      <c r="L32" s="39">
        <v>0.89370000000000005</v>
      </c>
      <c r="M32" s="52">
        <f t="shared" si="5"/>
        <v>-0.14429999999999998</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512</v>
      </c>
      <c r="J33" s="39">
        <v>1.036</v>
      </c>
      <c r="K33" s="39" t="s">
        <v>512</v>
      </c>
      <c r="L33" s="39">
        <v>0.98760000000000003</v>
      </c>
      <c r="M33" s="52">
        <f t="shared" si="5"/>
        <v>-4.8399999999999999E-2</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513</v>
      </c>
      <c r="J34" s="39">
        <v>0.95030000000000003</v>
      </c>
      <c r="K34" s="39" t="s">
        <v>513</v>
      </c>
      <c r="L34" s="39">
        <v>0.89380000000000004</v>
      </c>
      <c r="M34" s="52">
        <f t="shared" si="5"/>
        <v>-5.6499999999999995E-2</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514</v>
      </c>
      <c r="J35" s="39">
        <v>0.85770000000000002</v>
      </c>
      <c r="K35" s="39" t="s">
        <v>514</v>
      </c>
      <c r="L35" s="39">
        <v>0.81110000000000004</v>
      </c>
      <c r="M35" s="52">
        <f t="shared" si="5"/>
        <v>-4.6599999999999975E-2</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515</v>
      </c>
      <c r="J36" s="39">
        <v>0.82850000000000001</v>
      </c>
      <c r="K36" s="39" t="s">
        <v>515</v>
      </c>
      <c r="L36" s="39">
        <v>0.76590000000000003</v>
      </c>
      <c r="M36" s="52">
        <f t="shared" si="5"/>
        <v>-6.2599999999999989E-2</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516</v>
      </c>
      <c r="J37" s="39">
        <v>0.83089999999999997</v>
      </c>
      <c r="K37" s="39" t="s">
        <v>516</v>
      </c>
      <c r="L37" s="39">
        <v>0.77729999999999999</v>
      </c>
      <c r="M37" s="52">
        <f t="shared" si="5"/>
        <v>-5.3599999999999981E-2</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517</v>
      </c>
      <c r="J38" s="39">
        <v>1.0249999999999999</v>
      </c>
      <c r="K38" s="39" t="s">
        <v>517</v>
      </c>
      <c r="L38" s="39">
        <v>1.208</v>
      </c>
      <c r="M38" s="52">
        <f t="shared" si="5"/>
        <v>0.18300000000000005</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518</v>
      </c>
      <c r="J39" s="39">
        <v>1.0109999999999999</v>
      </c>
      <c r="K39" s="39" t="s">
        <v>518</v>
      </c>
      <c r="L39" s="39">
        <v>1.369</v>
      </c>
      <c r="M39" s="52">
        <f t="shared" si="5"/>
        <v>0.3580000000000001</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519</v>
      </c>
      <c r="J40" s="39">
        <v>0.99229999999999996</v>
      </c>
      <c r="K40" s="39" t="s">
        <v>519</v>
      </c>
      <c r="L40" s="39">
        <v>1.296</v>
      </c>
      <c r="M40" s="52">
        <f t="shared" si="5"/>
        <v>0.30370000000000008</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520</v>
      </c>
      <c r="J41" s="39">
        <v>1.0409999999999999</v>
      </c>
      <c r="K41" s="39" t="s">
        <v>520</v>
      </c>
      <c r="L41" s="39">
        <v>1.1339999999999999</v>
      </c>
      <c r="M41" s="52">
        <f t="shared" si="5"/>
        <v>9.2999999999999972E-2</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521</v>
      </c>
      <c r="J42" s="39">
        <v>0.79210000000000003</v>
      </c>
      <c r="K42" s="39" t="s">
        <v>521</v>
      </c>
      <c r="L42" s="39">
        <v>0.78059999999999996</v>
      </c>
      <c r="M42" s="52">
        <f t="shared" si="5"/>
        <v>-1.1500000000000066E-2</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522</v>
      </c>
      <c r="J43" s="39">
        <v>0.98129999999999995</v>
      </c>
      <c r="K43" s="39" t="s">
        <v>522</v>
      </c>
      <c r="L43" s="39">
        <v>0.96189999999999998</v>
      </c>
      <c r="M43" s="52">
        <f t="shared" si="5"/>
        <v>-1.9399999999999973E-2</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523</v>
      </c>
      <c r="J44" s="39">
        <v>0.97599999999999998</v>
      </c>
      <c r="K44" s="39" t="s">
        <v>523</v>
      </c>
      <c r="L44" s="39">
        <v>0.7581</v>
      </c>
      <c r="M44" s="52">
        <f t="shared" si="5"/>
        <v>-0.21789999999999998</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524</v>
      </c>
      <c r="J45" s="39">
        <v>0.77439999999999998</v>
      </c>
      <c r="K45" s="39" t="s">
        <v>524</v>
      </c>
      <c r="L45" s="39">
        <v>0.45929999999999999</v>
      </c>
      <c r="M45" s="52">
        <f t="shared" si="5"/>
        <v>-0.31509999999999999</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525</v>
      </c>
      <c r="J46" s="39">
        <v>1.0209999999999999</v>
      </c>
      <c r="K46" s="39" t="s">
        <v>525</v>
      </c>
      <c r="L46" s="39">
        <v>1.03</v>
      </c>
      <c r="M46" s="52">
        <f t="shared" si="5"/>
        <v>9.000000000000119E-3</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526</v>
      </c>
      <c r="J47" s="39">
        <v>1.0129999999999999</v>
      </c>
      <c r="K47" s="39" t="s">
        <v>526</v>
      </c>
      <c r="L47" s="39">
        <v>1.141</v>
      </c>
      <c r="M47" s="52">
        <f t="shared" si="5"/>
        <v>0.12800000000000011</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c r="J48" s="39"/>
      <c r="K48" s="39"/>
      <c r="L48" s="39"/>
      <c r="M48" s="52" t="str">
        <f t="shared" si="5"/>
        <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c r="J49" s="39"/>
      <c r="K49" s="39"/>
      <c r="L49" s="39"/>
      <c r="M49" s="52" t="str">
        <f t="shared" si="5"/>
        <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c r="J50" s="39"/>
      <c r="K50" s="39"/>
      <c r="L50" s="39"/>
      <c r="M50" s="52" t="str">
        <f t="shared" si="5"/>
        <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c r="J51" s="39"/>
      <c r="K51" s="39"/>
      <c r="L51" s="39"/>
      <c r="M51" s="52" t="str">
        <f t="shared" si="5"/>
        <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c r="J52" s="39"/>
      <c r="K52" s="39"/>
      <c r="L52" s="39"/>
      <c r="M52" s="52" t="str">
        <f t="shared" si="5"/>
        <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c r="J53" s="39"/>
      <c r="K53" s="39"/>
      <c r="L53" s="39"/>
      <c r="M53" s="52" t="str">
        <f t="shared" si="5"/>
        <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c r="J54" s="39"/>
      <c r="K54" s="39"/>
      <c r="L54" s="39"/>
      <c r="M54" s="52" t="str">
        <f t="shared" si="5"/>
        <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c r="J55" s="39"/>
      <c r="K55" s="39"/>
      <c r="L55" s="39"/>
      <c r="M55" s="52" t="str">
        <f t="shared" si="5"/>
        <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c r="J56" s="39"/>
      <c r="K56" s="39"/>
      <c r="L56" s="39"/>
      <c r="M56" s="52" t="str">
        <f t="shared" si="5"/>
        <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c r="J57" s="39"/>
      <c r="K57" s="39"/>
      <c r="L57" s="39"/>
      <c r="M57" s="52" t="str">
        <f t="shared" si="5"/>
        <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c r="J58" s="39"/>
      <c r="K58" s="39"/>
      <c r="L58" s="39"/>
      <c r="M58" s="52" t="str">
        <f t="shared" si="5"/>
        <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c r="J59" s="39"/>
      <c r="K59" s="39"/>
      <c r="L59" s="39"/>
      <c r="M59" s="52" t="str">
        <f t="shared" si="5"/>
        <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c r="J60" s="39"/>
      <c r="K60" s="39"/>
      <c r="L60" s="39"/>
      <c r="M60" s="52" t="str">
        <f t="shared" si="5"/>
        <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c r="J61" s="39"/>
      <c r="K61" s="39"/>
      <c r="L61" s="39"/>
      <c r="M61" s="52" t="str">
        <f t="shared" si="5"/>
        <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c r="J62" s="39"/>
      <c r="K62" s="39"/>
      <c r="L62" s="39"/>
      <c r="M62" s="52" t="str">
        <f t="shared" si="5"/>
        <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c r="J63" s="39"/>
      <c r="K63" s="39"/>
      <c r="L63" s="39"/>
      <c r="M63" s="52" t="str">
        <f t="shared" si="5"/>
        <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c r="J64" s="39"/>
      <c r="K64" s="39"/>
      <c r="L64" s="39"/>
      <c r="M64" s="52" t="str">
        <f t="shared" si="5"/>
        <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c r="J65" s="39"/>
      <c r="K65" s="39"/>
      <c r="L65" s="39"/>
      <c r="M65" s="52" t="str">
        <f t="shared" si="5"/>
        <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c r="J66" s="39"/>
      <c r="K66" s="39"/>
      <c r="L66" s="39"/>
      <c r="M66" s="52" t="str">
        <f t="shared" si="5"/>
        <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c r="J67" s="39"/>
      <c r="K67" s="39"/>
      <c r="L67" s="39"/>
      <c r="M67" s="52" t="str">
        <f t="shared" si="5"/>
        <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c r="J68" s="39"/>
      <c r="K68" s="39"/>
      <c r="L68" s="39"/>
      <c r="M68" s="52" t="str">
        <f t="shared" si="5"/>
        <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c r="J69" s="39"/>
      <c r="K69" s="39"/>
      <c r="L69" s="39"/>
      <c r="M69" s="52" t="str">
        <f t="shared" si="5"/>
        <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workbookViewId="0">
      <selection activeCell="Q5" sqref="Q5"/>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2" t="s">
        <v>246</v>
      </c>
      <c r="F3" s="273"/>
      <c r="G3" s="274"/>
      <c r="J3" s="272" t="s">
        <v>247</v>
      </c>
      <c r="K3" s="273"/>
      <c r="L3" s="274"/>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1.6779999999999999</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0.60870000000000002</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0.47039999999999998</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0.45300000000000001</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0.5847</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INDOIVCONT versus INDOIV</v>
      </c>
      <c r="K10" s="127">
        <f ca="1">IF(INDIRECT(CONCATENATE("'",'Inconsistency Data'!$I$4,"'!Q10"))="","",INDIRECT(CONCATENATE("'",'Inconsistency Data'!$I$4,"'!Q10")))</f>
        <v>0.71750000000000003</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INDOTHERS versus INDOIV</v>
      </c>
      <c r="K11" s="127">
        <f ca="1">IF(INDIRECT(CONCATENATE("'",'Inconsistency Data'!$I$4,"'!Q11"))="","",INDIRECT(CONCATENATE("'",'Inconsistency Data'!$I$4,"'!Q11")))</f>
        <v>6.2450000000000001</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OR[1,9]</v>
      </c>
      <c r="J12" s="126" t="str">
        <f ca="1">IF(INDIRECT(CONCATENATE("'",'Inconsistency Data'!$I$4,"'!O12"))="","",INDIRECT(CONCATENATE("'",'Inconsistency Data'!$I$4,"'!O12")))</f>
        <v>PLAC_NORX versus INDOIV</v>
      </c>
      <c r="K12" s="127">
        <f ca="1">IF(INDIRECT(CONCATENATE("'",'Inconsistency Data'!$I$4,"'!Q12"))="","",INDIRECT(CONCATENATE("'",'Inconsistency Data'!$I$4,"'!Q12")))</f>
        <v>9.2089999999999996</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OR[2,3]</v>
      </c>
      <c r="J13" s="126" t="str">
        <f ca="1">IF(INDIRECT(CONCATENATE("'",'Inconsistency Data'!$I$4,"'!O13"))="","",INDIRECT(CONCATENATE("'",'Inconsistency Data'!$I$4,"'!O13")))</f>
        <v>IBUPO versus IBUIV</v>
      </c>
      <c r="K13" s="127">
        <f ca="1">IF(INDIRECT(CONCATENATE("'",'Inconsistency Data'!$I$4,"'!Q13"))="","",INDIRECT(CONCATENATE("'",'Inconsistency Data'!$I$4,"'!Q13")))</f>
        <v>0.36180000000000001</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OR[2,4]</v>
      </c>
      <c r="J14" s="126" t="str">
        <f ca="1">IF(INDIRECT(CONCATENATE("'",'Inconsistency Data'!$I$4,"'!O14"))="","",INDIRECT(CONCATENATE("'",'Inconsistency Data'!$I$4,"'!O14")))</f>
        <v>PARAPO versus IBUIV</v>
      </c>
      <c r="K14" s="127">
        <f ca="1">IF(INDIRECT(CONCATENATE("'",'Inconsistency Data'!$I$4,"'!Q14"))="","",INDIRECT(CONCATENATE("'",'Inconsistency Data'!$I$4,"'!Q14")))</f>
        <v>0.27550000000000002</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OR[2,5]</v>
      </c>
      <c r="J15" s="126" t="str">
        <f ca="1">IF(INDIRECT(CONCATENATE("'",'Inconsistency Data'!$I$4,"'!O15"))="","",INDIRECT(CONCATENATE("'",'Inconsistency Data'!$I$4,"'!O15")))</f>
        <v>IBUIVHIGHDOSE versus IBUIV</v>
      </c>
      <c r="K15" s="127">
        <f ca="1">IF(INDIRECT(CONCATENATE("'",'Inconsistency Data'!$I$4,"'!Q15"))="","",INDIRECT(CONCATENATE("'",'Inconsistency Data'!$I$4,"'!Q15")))</f>
        <v>0.26900000000000002</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OR[2,6]</v>
      </c>
      <c r="J16" s="126" t="str">
        <f ca="1">IF(INDIRECT(CONCATENATE("'",'Inconsistency Data'!$I$4,"'!O16"))="","",INDIRECT(CONCATENATE("'",'Inconsistency Data'!$I$4,"'!O16")))</f>
        <v>IBUPOHIGHDOSE versus IBUIV</v>
      </c>
      <c r="K16" s="127">
        <f ca="1">IF(INDIRECT(CONCATENATE("'",'Inconsistency Data'!$I$4,"'!Q16"))="","",INDIRECT(CONCATENATE("'",'Inconsistency Data'!$I$4,"'!Q16")))</f>
        <v>0.34329999999999999</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OR[2,7]</v>
      </c>
      <c r="J17" s="126" t="str">
        <f ca="1">IF(INDIRECT(CONCATENATE("'",'Inconsistency Data'!$I$4,"'!O17"))="","",INDIRECT(CONCATENATE("'",'Inconsistency Data'!$I$4,"'!O17")))</f>
        <v>INDOIVCONT versus IBUIV</v>
      </c>
      <c r="K17" s="127">
        <f ca="1">IF(INDIRECT(CONCATENATE("'",'Inconsistency Data'!$I$4,"'!Q17"))="","",INDIRECT(CONCATENATE("'",'Inconsistency Data'!$I$4,"'!Q17")))</f>
        <v>0.42699999999999999</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OR[2,8]</v>
      </c>
      <c r="J18" s="126" t="str">
        <f ca="1">IF(INDIRECT(CONCATENATE("'",'Inconsistency Data'!$I$4,"'!O18"))="","",INDIRECT(CONCATENATE("'",'Inconsistency Data'!$I$4,"'!O18")))</f>
        <v>INDOTHERS versus IBUIV</v>
      </c>
      <c r="K18" s="127">
        <f ca="1">IF(INDIRECT(CONCATENATE("'",'Inconsistency Data'!$I$4,"'!Q18"))="","",INDIRECT(CONCATENATE("'",'Inconsistency Data'!$I$4,"'!Q18")))</f>
        <v>3.6459999999999999</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OR[2,9]</v>
      </c>
      <c r="J19" s="126" t="str">
        <f ca="1">IF(INDIRECT(CONCATENATE("'",'Inconsistency Data'!$I$4,"'!O19"))="","",INDIRECT(CONCATENATE("'",'Inconsistency Data'!$I$4,"'!O19")))</f>
        <v>PLAC_NORX versus IBUIV</v>
      </c>
      <c r="K19" s="127">
        <f ca="1">IF(INDIRECT(CONCATENATE("'",'Inconsistency Data'!$I$4,"'!Q19"))="","",INDIRECT(CONCATENATE("'",'Inconsistency Data'!$I$4,"'!Q19")))</f>
        <v>5.4450000000000003</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OR[3,4]</v>
      </c>
      <c r="J20" s="126" t="str">
        <f ca="1">IF(INDIRECT(CONCATENATE("'",'Inconsistency Data'!$I$4,"'!O20"))="","",INDIRECT(CONCATENATE("'",'Inconsistency Data'!$I$4,"'!O20")))</f>
        <v>PARAPO versus IBUPO</v>
      </c>
      <c r="K20" s="127">
        <f ca="1">IF(INDIRECT(CONCATENATE("'",'Inconsistency Data'!$I$4,"'!Q20"))="","",INDIRECT(CONCATENATE("'",'Inconsistency Data'!$I$4,"'!Q20")))</f>
        <v>0.76880000000000004</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OR[3,5]</v>
      </c>
      <c r="J21" s="126" t="str">
        <f ca="1">IF(INDIRECT(CONCATENATE("'",'Inconsistency Data'!$I$4,"'!O21"))="","",INDIRECT(CONCATENATE("'",'Inconsistency Data'!$I$4,"'!O21")))</f>
        <v>IBUIVHIGHDOSE versus IBUPO</v>
      </c>
      <c r="K21" s="127">
        <f ca="1">IF(INDIRECT(CONCATENATE("'",'Inconsistency Data'!$I$4,"'!Q21"))="","",INDIRECT(CONCATENATE("'",'Inconsistency Data'!$I$4,"'!Q21")))</f>
        <v>0.73509999999999998</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OR[3,6]</v>
      </c>
      <c r="J22" s="126" t="str">
        <f ca="1">IF(INDIRECT(CONCATENATE("'",'Inconsistency Data'!$I$4,"'!O22"))="","",INDIRECT(CONCATENATE("'",'Inconsistency Data'!$I$4,"'!O22")))</f>
        <v>IBUPOHIGHDOSE versus IBUPO</v>
      </c>
      <c r="K22" s="127">
        <f ca="1">IF(INDIRECT(CONCATENATE("'",'Inconsistency Data'!$I$4,"'!Q22"))="","",INDIRECT(CONCATENATE("'",'Inconsistency Data'!$I$4,"'!Q22")))</f>
        <v>0.94820000000000004</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OR[3,7]</v>
      </c>
      <c r="J23" s="126" t="str">
        <f ca="1">IF(INDIRECT(CONCATENATE("'",'Inconsistency Data'!$I$4,"'!O23"))="","",INDIRECT(CONCATENATE("'",'Inconsistency Data'!$I$4,"'!O23")))</f>
        <v>INDOIVCONT versus IBUPO</v>
      </c>
      <c r="K23" s="127">
        <f ca="1">IF(INDIRECT(CONCATENATE("'",'Inconsistency Data'!$I$4,"'!Q23"))="","",INDIRECT(CONCATENATE("'",'Inconsistency Data'!$I$4,"'!Q23")))</f>
        <v>1.1890000000000001</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OR[3,8]</v>
      </c>
      <c r="J24" s="126" t="str">
        <f ca="1">IF(INDIRECT(CONCATENATE("'",'Inconsistency Data'!$I$4,"'!O24"))="","",INDIRECT(CONCATENATE("'",'Inconsistency Data'!$I$4,"'!O24")))</f>
        <v>INDOTHERS versus IBUPO</v>
      </c>
      <c r="K24" s="127">
        <f ca="1">IF(INDIRECT(CONCATENATE("'",'Inconsistency Data'!$I$4,"'!Q24"))="","",INDIRECT(CONCATENATE("'",'Inconsistency Data'!$I$4,"'!Q24")))</f>
        <v>10.3</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OR[3,9]</v>
      </c>
      <c r="J25" s="126" t="str">
        <f ca="1">IF(INDIRECT(CONCATENATE("'",'Inconsistency Data'!$I$4,"'!O25"))="","",INDIRECT(CONCATENATE("'",'Inconsistency Data'!$I$4,"'!O25")))</f>
        <v>PLAC_NORX versus IBUPO</v>
      </c>
      <c r="K25" s="127">
        <f ca="1">IF(INDIRECT(CONCATENATE("'",'Inconsistency Data'!$I$4,"'!Q25"))="","",INDIRECT(CONCATENATE("'",'Inconsistency Data'!$I$4,"'!Q25")))</f>
        <v>15.04</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OR[4,5]</v>
      </c>
      <c r="J26" s="126" t="str">
        <f ca="1">IF(INDIRECT(CONCATENATE("'",'Inconsistency Data'!$I$4,"'!O26"))="","",INDIRECT(CONCATENATE("'",'Inconsistency Data'!$I$4,"'!O26")))</f>
        <v>IBUIVHIGHDOSE versus PARAPO</v>
      </c>
      <c r="K26" s="127">
        <f ca="1">IF(INDIRECT(CONCATENATE("'",'Inconsistency Data'!$I$4,"'!Q26"))="","",INDIRECT(CONCATENATE("'",'Inconsistency Data'!$I$4,"'!Q26")))</f>
        <v>0.95399999999999996</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OR[4,6]</v>
      </c>
      <c r="J27" s="126" t="str">
        <f ca="1">IF(INDIRECT(CONCATENATE("'",'Inconsistency Data'!$I$4,"'!O27"))="","",INDIRECT(CONCATENATE("'",'Inconsistency Data'!$I$4,"'!O27")))</f>
        <v>IBUPOHIGHDOSE versus PARAPO</v>
      </c>
      <c r="K27" s="127">
        <f ca="1">IF(INDIRECT(CONCATENATE("'",'Inconsistency Data'!$I$4,"'!Q27"))="","",INDIRECT(CONCATENATE("'",'Inconsistency Data'!$I$4,"'!Q27")))</f>
        <v>1.236</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OR[4,7]</v>
      </c>
      <c r="J28" s="126" t="str">
        <f ca="1">IF(INDIRECT(CONCATENATE("'",'Inconsistency Data'!$I$4,"'!O28"))="","",INDIRECT(CONCATENATE("'",'Inconsistency Data'!$I$4,"'!O28")))</f>
        <v>INDOIVCONT versus PARAPO</v>
      </c>
      <c r="K28" s="127">
        <f ca="1">IF(INDIRECT(CONCATENATE("'",'Inconsistency Data'!$I$4,"'!Q28"))="","",INDIRECT(CONCATENATE("'",'Inconsistency Data'!$I$4,"'!Q28")))</f>
        <v>1.526</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OR[4,8]</v>
      </c>
      <c r="J29" s="126" t="str">
        <f ca="1">IF(INDIRECT(CONCATENATE("'",'Inconsistency Data'!$I$4,"'!O29"))="","",INDIRECT(CONCATENATE("'",'Inconsistency Data'!$I$4,"'!O29")))</f>
        <v>INDOTHERS versus PARAPO</v>
      </c>
      <c r="K29" s="127">
        <f ca="1">IF(INDIRECT(CONCATENATE("'",'Inconsistency Data'!$I$4,"'!Q29"))="","",INDIRECT(CONCATENATE("'",'Inconsistency Data'!$I$4,"'!Q29")))</f>
        <v>13.4</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OR[4,9]</v>
      </c>
      <c r="J30" s="126" t="str">
        <f ca="1">IF(INDIRECT(CONCATENATE("'",'Inconsistency Data'!$I$4,"'!O30"))="","",INDIRECT(CONCATENATE("'",'Inconsistency Data'!$I$4,"'!O30")))</f>
        <v>PLAC_NORX versus PARAPO</v>
      </c>
      <c r="K30" s="127">
        <f ca="1">IF(INDIRECT(CONCATENATE("'",'Inconsistency Data'!$I$4,"'!Q30"))="","",INDIRECT(CONCATENATE("'",'Inconsistency Data'!$I$4,"'!Q30")))</f>
        <v>19.48</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OR[5,6]</v>
      </c>
      <c r="J31" s="126" t="str">
        <f ca="1">IF(INDIRECT(CONCATENATE("'",'Inconsistency Data'!$I$4,"'!O31"))="","",INDIRECT(CONCATENATE("'",'Inconsistency Data'!$I$4,"'!O31")))</f>
        <v>IBUPOHIGHDOSE versus IBUIVHIGHDOSE</v>
      </c>
      <c r="K31" s="127">
        <f ca="1">IF(INDIRECT(CONCATENATE("'",'Inconsistency Data'!$I$4,"'!Q31"))="","",INDIRECT(CONCATENATE("'",'Inconsistency Data'!$I$4,"'!Q31")))</f>
        <v>1.2829999999999999</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OR[5,7]</v>
      </c>
      <c r="J32" s="126" t="str">
        <f ca="1">IF(INDIRECT(CONCATENATE("'",'Inconsistency Data'!$I$4,"'!O32"))="","",INDIRECT(CONCATENATE("'",'Inconsistency Data'!$I$4,"'!O32")))</f>
        <v>INDOIVCONT versus IBUIVHIGHDOSE</v>
      </c>
      <c r="K32" s="127">
        <f ca="1">IF(INDIRECT(CONCATENATE("'",'Inconsistency Data'!$I$4,"'!Q32"))="","",INDIRECT(CONCATENATE("'",'Inconsistency Data'!$I$4,"'!Q32")))</f>
        <v>1.5940000000000001</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OR[5,8]</v>
      </c>
      <c r="J33" s="126" t="str">
        <f ca="1">IF(INDIRECT(CONCATENATE("'",'Inconsistency Data'!$I$4,"'!O33"))="","",INDIRECT(CONCATENATE("'",'Inconsistency Data'!$I$4,"'!O33")))</f>
        <v>INDOTHERS versus IBUIVHIGHDOSE</v>
      </c>
      <c r="K33" s="127">
        <f ca="1">IF(INDIRECT(CONCATENATE("'",'Inconsistency Data'!$I$4,"'!Q33"))="","",INDIRECT(CONCATENATE("'",'Inconsistency Data'!$I$4,"'!Q33")))</f>
        <v>13.91</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OR[5,9]</v>
      </c>
      <c r="J34" s="126" t="str">
        <f ca="1">IF(INDIRECT(CONCATENATE("'",'Inconsistency Data'!$I$4,"'!O34"))="","",INDIRECT(CONCATENATE("'",'Inconsistency Data'!$I$4,"'!O34")))</f>
        <v>PLAC_NORX versus IBUIVHIGHDOSE</v>
      </c>
      <c r="K34" s="127">
        <f ca="1">IF(INDIRECT(CONCATENATE("'",'Inconsistency Data'!$I$4,"'!Q34"))="","",INDIRECT(CONCATENATE("'",'Inconsistency Data'!$I$4,"'!Q34")))</f>
        <v>20.92</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OR[6,7]</v>
      </c>
      <c r="J35" s="126" t="str">
        <f ca="1">IF(INDIRECT(CONCATENATE("'",'Inconsistency Data'!$I$4,"'!O35"))="","",INDIRECT(CONCATENATE("'",'Inconsistency Data'!$I$4,"'!O35")))</f>
        <v>INDOIVCONT versus IBUPOHIGHDOSE</v>
      </c>
      <c r="K35" s="127">
        <f ca="1">IF(INDIRECT(CONCATENATE("'",'Inconsistency Data'!$I$4,"'!Q35"))="","",INDIRECT(CONCATENATE("'",'Inconsistency Data'!$I$4,"'!Q35")))</f>
        <v>1.2330000000000001</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OR[6,8]</v>
      </c>
      <c r="J36" s="126" t="str">
        <f ca="1">IF(INDIRECT(CONCATENATE("'",'Inconsistency Data'!$I$4,"'!O36"))="","",INDIRECT(CONCATENATE("'",'Inconsistency Data'!$I$4,"'!O36")))</f>
        <v>INDOTHERS versus IBUPOHIGHDOSE</v>
      </c>
      <c r="K36" s="127">
        <f ca="1">IF(INDIRECT(CONCATENATE("'",'Inconsistency Data'!$I$4,"'!Q36"))="","",INDIRECT(CONCATENATE("'",'Inconsistency Data'!$I$4,"'!Q36")))</f>
        <v>10.8</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OR[6,9]</v>
      </c>
      <c r="J37" s="126" t="str">
        <f ca="1">IF(INDIRECT(CONCATENATE("'",'Inconsistency Data'!$I$4,"'!O37"))="","",INDIRECT(CONCATENATE("'",'Inconsistency Data'!$I$4,"'!O37")))</f>
        <v>PLAC_NORX versus IBUPOHIGHDOSE</v>
      </c>
      <c r="K37" s="127">
        <f ca="1">IF(INDIRECT(CONCATENATE("'",'Inconsistency Data'!$I$4,"'!Q37"))="","",INDIRECT(CONCATENATE("'",'Inconsistency Data'!$I$4,"'!Q37")))</f>
        <v>16.100000000000001</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OR[7,8]</v>
      </c>
      <c r="J38" s="126" t="str">
        <f ca="1">IF(INDIRECT(CONCATENATE("'",'Inconsistency Data'!$I$4,"'!O38"))="","",INDIRECT(CONCATENATE("'",'Inconsistency Data'!$I$4,"'!O38")))</f>
        <v>INDOTHERS versus INDOIVCONT</v>
      </c>
      <c r="K38" s="127">
        <f ca="1">IF(INDIRECT(CONCATENATE("'",'Inconsistency Data'!$I$4,"'!Q38"))="","",INDIRECT(CONCATENATE("'",'Inconsistency Data'!$I$4,"'!Q38")))</f>
        <v>8.6370000000000005</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OR[7,9]</v>
      </c>
      <c r="J39" s="126" t="str">
        <f ca="1">IF(INDIRECT(CONCATENATE("'",'Inconsistency Data'!$I$4,"'!O39"))="","",INDIRECT(CONCATENATE("'",'Inconsistency Data'!$I$4,"'!O39")))</f>
        <v>PLAC_NORX versus INDOIVCONT</v>
      </c>
      <c r="K39" s="127">
        <f ca="1">IF(INDIRECT(CONCATENATE("'",'Inconsistency Data'!$I$4,"'!Q39"))="","",INDIRECT(CONCATENATE("'",'Inconsistency Data'!$I$4,"'!Q39")))</f>
        <v>12.88</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OR[8,9]</v>
      </c>
      <c r="J40" s="126" t="str">
        <f ca="1">IF(INDIRECT(CONCATENATE("'",'Inconsistency Data'!$I$4,"'!O40"))="","",INDIRECT(CONCATENATE("'",'Inconsistency Data'!$I$4,"'!O40")))</f>
        <v>PLAC_NORX versus INDOTHERS</v>
      </c>
      <c r="K40" s="127">
        <f ca="1">IF(INDIRECT(CONCATENATE("'",'Inconsistency Data'!$I$4,"'!Q40"))="","",INDIRECT(CONCATENATE("'",'Inconsistency Data'!$I$4,"'!Q40")))</f>
        <v>1.494</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
      </c>
      <c r="J41" s="126" t="str">
        <f ca="1">IF(INDIRECT(CONCATENATE("'",'Inconsistency Data'!$I$4,"'!O41"))="","",INDIRECT(CONCATENATE("'",'Inconsistency Data'!$I$4,"'!O41")))</f>
        <v/>
      </c>
      <c r="K41" s="127" t="str">
        <f ca="1">IF(INDIRECT(CONCATENATE("'",'Inconsistency Data'!$I$4,"'!Q41"))="","",INDIRECT(CONCATENATE("'",'Inconsistency Data'!$I$4,"'!Q41")))</f>
        <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
      </c>
      <c r="J42" s="126" t="str">
        <f ca="1">IF(INDIRECT(CONCATENATE("'",'Inconsistency Data'!$I$4,"'!O42"))="","",INDIRECT(CONCATENATE("'",'Inconsistency Data'!$I$4,"'!O42")))</f>
        <v/>
      </c>
      <c r="K42" s="127" t="str">
        <f ca="1">IF(INDIRECT(CONCATENATE("'",'Inconsistency Data'!$I$4,"'!Q42"))="","",INDIRECT(CONCATENATE("'",'Inconsistency Data'!$I$4,"'!Q42")))</f>
        <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
      </c>
      <c r="J43" s="126" t="str">
        <f ca="1">IF(INDIRECT(CONCATENATE("'",'Inconsistency Data'!$I$4,"'!O43"))="","",INDIRECT(CONCATENATE("'",'Inconsistency Data'!$I$4,"'!O43")))</f>
        <v/>
      </c>
      <c r="K43" s="127" t="str">
        <f ca="1">IF(INDIRECT(CONCATENATE("'",'Inconsistency Data'!$I$4,"'!Q43"))="","",INDIRECT(CONCATENATE("'",'Inconsistency Data'!$I$4,"'!Q43")))</f>
        <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
      </c>
      <c r="J44" s="126" t="str">
        <f ca="1">IF(INDIRECT(CONCATENATE("'",'Inconsistency Data'!$I$4,"'!O44"))="","",INDIRECT(CONCATENATE("'",'Inconsistency Data'!$I$4,"'!O44")))</f>
        <v/>
      </c>
      <c r="K44" s="127" t="str">
        <f ca="1">IF(INDIRECT(CONCATENATE("'",'Inconsistency Data'!$I$4,"'!Q44"))="","",INDIRECT(CONCATENATE("'",'Inconsistency Data'!$I$4,"'!Q44")))</f>
        <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
      </c>
      <c r="J45" s="126" t="str">
        <f ca="1">IF(INDIRECT(CONCATENATE("'",'Inconsistency Data'!$I$4,"'!O45"))="","",INDIRECT(CONCATENATE("'",'Inconsistency Data'!$I$4,"'!O45")))</f>
        <v/>
      </c>
      <c r="K45" s="127" t="str">
        <f ca="1">IF(INDIRECT(CONCATENATE("'",'Inconsistency Data'!$I$4,"'!Q45"))="","",INDIRECT(CONCATENATE("'",'Inconsistency Data'!$I$4,"'!Q45")))</f>
        <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
      </c>
      <c r="J46" s="126" t="str">
        <f ca="1">IF(INDIRECT(CONCATENATE("'",'Inconsistency Data'!$I$4,"'!O46"))="","",INDIRECT(CONCATENATE("'",'Inconsistency Data'!$I$4,"'!O46")))</f>
        <v/>
      </c>
      <c r="K46" s="127" t="str">
        <f ca="1">IF(INDIRECT(CONCATENATE("'",'Inconsistency Data'!$I$4,"'!Q46"))="","",INDIRECT(CONCATENATE("'",'Inconsistency Data'!$I$4,"'!Q46")))</f>
        <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
      </c>
      <c r="J47" s="126" t="str">
        <f ca="1">IF(INDIRECT(CONCATENATE("'",'Inconsistency Data'!$I$4,"'!O47"))="","",INDIRECT(CONCATENATE("'",'Inconsistency Data'!$I$4,"'!O47")))</f>
        <v/>
      </c>
      <c r="K47" s="127" t="str">
        <f ca="1">IF(INDIRECT(CONCATENATE("'",'Inconsistency Data'!$I$4,"'!Q47"))="","",INDIRECT(CONCATENATE("'",'Inconsistency Data'!$I$4,"'!Q47")))</f>
        <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
      </c>
      <c r="J48" s="126" t="str">
        <f ca="1">IF(INDIRECT(CONCATENATE("'",'Inconsistency Data'!$I$4,"'!O48"))="","",INDIRECT(CONCATENATE("'",'Inconsistency Data'!$I$4,"'!O48")))</f>
        <v/>
      </c>
      <c r="K48" s="127" t="str">
        <f ca="1">IF(INDIRECT(CONCATENATE("'",'Inconsistency Data'!$I$4,"'!Q48"))="","",INDIRECT(CONCATENATE("'",'Inconsistency Data'!$I$4,"'!Q48")))</f>
        <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
      </c>
      <c r="J49" s="126" t="str">
        <f ca="1">IF(INDIRECT(CONCATENATE("'",'Inconsistency Data'!$I$4,"'!O49"))="","",INDIRECT(CONCATENATE("'",'Inconsistency Data'!$I$4,"'!O49")))</f>
        <v/>
      </c>
      <c r="K49" s="127" t="str">
        <f ca="1">IF(INDIRECT(CONCATENATE("'",'Inconsistency Data'!$I$4,"'!Q49"))="","",INDIRECT(CONCATENATE("'",'Inconsistency Data'!$I$4,"'!Q49")))</f>
        <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258"/>
  <sheetViews>
    <sheetView showGridLines="0" topLeftCell="A43" workbookViewId="0">
      <selection activeCell="Y230" sqref="Y230"/>
    </sheetView>
  </sheetViews>
  <sheetFormatPr defaultRowHeight="15" x14ac:dyDescent="0.25"/>
  <sheetData>
    <row r="1" spans="1:1" hidden="1" x14ac:dyDescent="0.25">
      <c r="A1" t="s">
        <v>402</v>
      </c>
    </row>
    <row r="2" spans="1:1" hidden="1" x14ac:dyDescent="0.25">
      <c r="A2" t="s">
        <v>403</v>
      </c>
    </row>
    <row r="3" spans="1:1" hidden="1" x14ac:dyDescent="0.25">
      <c r="A3" t="s">
        <v>404</v>
      </c>
    </row>
    <row r="4" spans="1:1" hidden="1" x14ac:dyDescent="0.25">
      <c r="A4" t="s">
        <v>405</v>
      </c>
    </row>
    <row r="5" spans="1:1" hidden="1" x14ac:dyDescent="0.25">
      <c r="A5" t="s">
        <v>406</v>
      </c>
    </row>
    <row r="6" spans="1:1" hidden="1" x14ac:dyDescent="0.25">
      <c r="A6" t="s">
        <v>407</v>
      </c>
    </row>
    <row r="7" spans="1:1" hidden="1" x14ac:dyDescent="0.25">
      <c r="A7" t="s">
        <v>406</v>
      </c>
    </row>
    <row r="8" spans="1:1" hidden="1" x14ac:dyDescent="0.25">
      <c r="A8" t="s">
        <v>21</v>
      </c>
    </row>
    <row r="9" spans="1:1" hidden="1" x14ac:dyDescent="0.25">
      <c r="A9" t="s">
        <v>408</v>
      </c>
    </row>
    <row r="10" spans="1:1" hidden="1" x14ac:dyDescent="0.25">
      <c r="A10" t="s">
        <v>409</v>
      </c>
    </row>
    <row r="11" spans="1:1" hidden="1" x14ac:dyDescent="0.25">
      <c r="A11" t="s">
        <v>410</v>
      </c>
    </row>
    <row r="12" spans="1:1" hidden="1" x14ac:dyDescent="0.25">
      <c r="A12" t="s">
        <v>411</v>
      </c>
    </row>
    <row r="13" spans="1:1" hidden="1" x14ac:dyDescent="0.25">
      <c r="A13" t="s">
        <v>410</v>
      </c>
    </row>
    <row r="14" spans="1:1" hidden="1" x14ac:dyDescent="0.25">
      <c r="A14" t="s">
        <v>412</v>
      </c>
    </row>
    <row r="15" spans="1:1" hidden="1" x14ac:dyDescent="0.25">
      <c r="A15" t="s">
        <v>410</v>
      </c>
    </row>
    <row r="16" spans="1:1" hidden="1" x14ac:dyDescent="0.25">
      <c r="A16" t="s">
        <v>23</v>
      </c>
    </row>
    <row r="17" spans="1:1" hidden="1" x14ac:dyDescent="0.25">
      <c r="A17" t="s">
        <v>413</v>
      </c>
    </row>
    <row r="18" spans="1:1" hidden="1" x14ac:dyDescent="0.25">
      <c r="A18" t="s">
        <v>414</v>
      </c>
    </row>
    <row r="19" spans="1:1" hidden="1" x14ac:dyDescent="0.25">
      <c r="A19" t="s">
        <v>415</v>
      </c>
    </row>
    <row r="20" spans="1:1" hidden="1" x14ac:dyDescent="0.25">
      <c r="A20" t="s">
        <v>416</v>
      </c>
    </row>
    <row r="21" spans="1:1" hidden="1" x14ac:dyDescent="0.25">
      <c r="A21" t="s">
        <v>417</v>
      </c>
    </row>
    <row r="22" spans="1:1" hidden="1" x14ac:dyDescent="0.25">
      <c r="A22" t="s">
        <v>418</v>
      </c>
    </row>
    <row r="23" spans="1:1" hidden="1" x14ac:dyDescent="0.25">
      <c r="A23" t="s">
        <v>419</v>
      </c>
    </row>
    <row r="24" spans="1:1" hidden="1" x14ac:dyDescent="0.25">
      <c r="A24" t="s">
        <v>420</v>
      </c>
    </row>
    <row r="25" spans="1:1" hidden="1" x14ac:dyDescent="0.25">
      <c r="A25" t="s">
        <v>421</v>
      </c>
    </row>
    <row r="26" spans="1:1" hidden="1" x14ac:dyDescent="0.25">
      <c r="A26" t="s">
        <v>197</v>
      </c>
    </row>
    <row r="27" spans="1:1" hidden="1" x14ac:dyDescent="0.25">
      <c r="A27" t="s">
        <v>199</v>
      </c>
    </row>
    <row r="28" spans="1:1" hidden="1" x14ac:dyDescent="0.25">
      <c r="A28" t="s">
        <v>261</v>
      </c>
    </row>
    <row r="29" spans="1:1" hidden="1" x14ac:dyDescent="0.25">
      <c r="A29" t="s">
        <v>414</v>
      </c>
    </row>
    <row r="30" spans="1:1" hidden="1" x14ac:dyDescent="0.25">
      <c r="A30" t="s">
        <v>422</v>
      </c>
    </row>
    <row r="32" spans="1:1" x14ac:dyDescent="0.25">
      <c r="A32" t="s">
        <v>423</v>
      </c>
    </row>
    <row r="33" spans="2:10" x14ac:dyDescent="0.25">
      <c r="B33" t="s">
        <v>424</v>
      </c>
      <c r="C33" t="s">
        <v>425</v>
      </c>
      <c r="D33" t="s">
        <v>426</v>
      </c>
      <c r="E33" t="s">
        <v>427</v>
      </c>
      <c r="F33" s="12">
        <v>2.5000000000000001E-2</v>
      </c>
      <c r="G33" t="s">
        <v>428</v>
      </c>
      <c r="H33" s="12">
        <v>0.97499999999999998</v>
      </c>
      <c r="I33" t="s">
        <v>429</v>
      </c>
      <c r="J33" t="s">
        <v>430</v>
      </c>
    </row>
    <row r="34" spans="2:10" x14ac:dyDescent="0.25">
      <c r="B34" t="s">
        <v>431</v>
      </c>
      <c r="C34">
        <v>1.7729999999999999</v>
      </c>
      <c r="D34">
        <v>0.55820000000000003</v>
      </c>
      <c r="E34">
        <v>1.7100000000000001E-2</v>
      </c>
      <c r="F34">
        <v>0.97899999999999998</v>
      </c>
      <c r="G34">
        <v>1.6779999999999999</v>
      </c>
      <c r="H34">
        <v>3.121</v>
      </c>
      <c r="I34">
        <v>10001</v>
      </c>
      <c r="J34">
        <v>30000</v>
      </c>
    </row>
    <row r="35" spans="2:10" x14ac:dyDescent="0.25">
      <c r="B35" t="s">
        <v>432</v>
      </c>
      <c r="C35">
        <v>0.66739999999999999</v>
      </c>
      <c r="D35">
        <v>0.308</v>
      </c>
      <c r="E35">
        <v>9.0989999999999994E-3</v>
      </c>
      <c r="F35">
        <v>0.27189999999999998</v>
      </c>
      <c r="G35">
        <v>0.60870000000000002</v>
      </c>
      <c r="H35">
        <v>1.3779999999999999</v>
      </c>
      <c r="I35">
        <v>10001</v>
      </c>
      <c r="J35">
        <v>30000</v>
      </c>
    </row>
    <row r="36" spans="2:10" x14ac:dyDescent="0.25">
      <c r="B36" t="s">
        <v>433</v>
      </c>
      <c r="C36">
        <v>0.54459999999999997</v>
      </c>
      <c r="D36">
        <v>0.3679</v>
      </c>
      <c r="E36">
        <v>9.0340000000000004E-3</v>
      </c>
      <c r="F36">
        <v>0.16550000000000001</v>
      </c>
      <c r="G36">
        <v>0.47039999999999998</v>
      </c>
      <c r="H36">
        <v>1.341</v>
      </c>
      <c r="I36">
        <v>10001</v>
      </c>
      <c r="J36">
        <v>30000</v>
      </c>
    </row>
    <row r="37" spans="2:10" x14ac:dyDescent="0.25">
      <c r="B37" t="s">
        <v>434</v>
      </c>
      <c r="C37">
        <v>0.6028</v>
      </c>
      <c r="D37">
        <v>0.70660000000000001</v>
      </c>
      <c r="E37">
        <v>1.345E-2</v>
      </c>
      <c r="F37">
        <v>9.3369999999999995E-2</v>
      </c>
      <c r="G37">
        <v>0.45300000000000001</v>
      </c>
      <c r="H37">
        <v>1.92</v>
      </c>
      <c r="I37">
        <v>10001</v>
      </c>
      <c r="J37">
        <v>30000</v>
      </c>
    </row>
    <row r="38" spans="2:10" x14ac:dyDescent="0.25">
      <c r="B38" t="s">
        <v>435</v>
      </c>
      <c r="C38">
        <v>0.69499999999999995</v>
      </c>
      <c r="D38">
        <v>0.50670000000000004</v>
      </c>
      <c r="E38">
        <v>1.2840000000000001E-2</v>
      </c>
      <c r="F38">
        <v>0.1691</v>
      </c>
      <c r="G38">
        <v>0.5847</v>
      </c>
      <c r="H38">
        <v>1.895</v>
      </c>
      <c r="I38">
        <v>10001</v>
      </c>
      <c r="J38">
        <v>30000</v>
      </c>
    </row>
    <row r="39" spans="2:10" x14ac:dyDescent="0.25">
      <c r="B39" t="s">
        <v>436</v>
      </c>
      <c r="C39">
        <v>0.78139999999999998</v>
      </c>
      <c r="D39">
        <v>0.32440000000000002</v>
      </c>
      <c r="E39">
        <v>8.3920000000000002E-3</v>
      </c>
      <c r="F39">
        <v>0.35460000000000003</v>
      </c>
      <c r="G39">
        <v>0.71750000000000003</v>
      </c>
      <c r="H39">
        <v>1.583</v>
      </c>
      <c r="I39">
        <v>10001</v>
      </c>
      <c r="J39">
        <v>30000</v>
      </c>
    </row>
    <row r="40" spans="2:10" x14ac:dyDescent="0.25">
      <c r="B40" t="s">
        <v>437</v>
      </c>
      <c r="C40">
        <v>7.0890000000000004</v>
      </c>
      <c r="D40">
        <v>4.2830000000000004</v>
      </c>
      <c r="E40">
        <v>0.1024</v>
      </c>
      <c r="F40">
        <v>2.2440000000000002</v>
      </c>
      <c r="G40">
        <v>6.2450000000000001</v>
      </c>
      <c r="H40">
        <v>16.91</v>
      </c>
      <c r="I40">
        <v>10001</v>
      </c>
      <c r="J40">
        <v>30000</v>
      </c>
    </row>
    <row r="41" spans="2:10" x14ac:dyDescent="0.25">
      <c r="B41" t="s">
        <v>438</v>
      </c>
      <c r="C41">
        <v>17.510000000000002</v>
      </c>
      <c r="D41">
        <v>30.9</v>
      </c>
      <c r="E41">
        <v>0.87180000000000002</v>
      </c>
      <c r="F41">
        <v>1.724</v>
      </c>
      <c r="G41">
        <v>9.2089999999999996</v>
      </c>
      <c r="H41">
        <v>91.29</v>
      </c>
      <c r="I41">
        <v>10001</v>
      </c>
      <c r="J41">
        <v>30000</v>
      </c>
    </row>
    <row r="42" spans="2:10" x14ac:dyDescent="0.25">
      <c r="B42" t="s">
        <v>439</v>
      </c>
      <c r="C42">
        <v>0.38440000000000002</v>
      </c>
      <c r="D42">
        <v>0.15049999999999999</v>
      </c>
      <c r="E42">
        <v>3.8149999999999998E-3</v>
      </c>
      <c r="F42">
        <v>0.17929999999999999</v>
      </c>
      <c r="G42">
        <v>0.36180000000000001</v>
      </c>
      <c r="H42">
        <v>0.71870000000000001</v>
      </c>
      <c r="I42">
        <v>10001</v>
      </c>
      <c r="J42">
        <v>30000</v>
      </c>
    </row>
    <row r="43" spans="2:10" x14ac:dyDescent="0.25">
      <c r="B43" t="s">
        <v>440</v>
      </c>
      <c r="C43">
        <v>0.315</v>
      </c>
      <c r="D43">
        <v>0.21410000000000001</v>
      </c>
      <c r="E43">
        <v>4.4780000000000002E-3</v>
      </c>
      <c r="F43">
        <v>0.1038</v>
      </c>
      <c r="G43">
        <v>0.27550000000000002</v>
      </c>
      <c r="H43">
        <v>0.73109999999999997</v>
      </c>
      <c r="I43">
        <v>10001</v>
      </c>
      <c r="J43">
        <v>30000</v>
      </c>
    </row>
    <row r="44" spans="2:10" x14ac:dyDescent="0.25">
      <c r="B44" t="s">
        <v>441</v>
      </c>
      <c r="C44">
        <v>0.33839999999999998</v>
      </c>
      <c r="D44">
        <v>0.3226</v>
      </c>
      <c r="E44">
        <v>6.123E-3</v>
      </c>
      <c r="F44">
        <v>6.1089999999999998E-2</v>
      </c>
      <c r="G44">
        <v>0.26900000000000002</v>
      </c>
      <c r="H44">
        <v>1.004</v>
      </c>
      <c r="I44">
        <v>10001</v>
      </c>
      <c r="J44">
        <v>30000</v>
      </c>
    </row>
    <row r="45" spans="2:10" x14ac:dyDescent="0.25">
      <c r="B45" t="s">
        <v>442</v>
      </c>
      <c r="C45">
        <v>0.40360000000000001</v>
      </c>
      <c r="D45">
        <v>0.27839999999999998</v>
      </c>
      <c r="E45">
        <v>6.6600000000000001E-3</v>
      </c>
      <c r="F45">
        <v>0.1046</v>
      </c>
      <c r="G45">
        <v>0.34329999999999999</v>
      </c>
      <c r="H45">
        <v>1.056</v>
      </c>
      <c r="I45">
        <v>10001</v>
      </c>
      <c r="J45">
        <v>30000</v>
      </c>
    </row>
    <row r="46" spans="2:10" x14ac:dyDescent="0.25">
      <c r="B46" t="s">
        <v>443</v>
      </c>
      <c r="C46">
        <v>0.45779999999999998</v>
      </c>
      <c r="D46">
        <v>0.1804</v>
      </c>
      <c r="E46">
        <v>5.2399999999999999E-3</v>
      </c>
      <c r="F46">
        <v>0.21790000000000001</v>
      </c>
      <c r="G46">
        <v>0.42699999999999999</v>
      </c>
      <c r="H46">
        <v>0.88919999999999999</v>
      </c>
      <c r="I46">
        <v>10001</v>
      </c>
      <c r="J46">
        <v>30000</v>
      </c>
    </row>
    <row r="47" spans="2:10" x14ac:dyDescent="0.25">
      <c r="B47" t="s">
        <v>444</v>
      </c>
      <c r="C47">
        <v>4.0739999999999998</v>
      </c>
      <c r="D47">
        <v>2.2719999999999998</v>
      </c>
      <c r="E47">
        <v>5.8590000000000003E-2</v>
      </c>
      <c r="F47">
        <v>1.4670000000000001</v>
      </c>
      <c r="G47">
        <v>3.6459999999999999</v>
      </c>
      <c r="H47">
        <v>9.1340000000000003</v>
      </c>
      <c r="I47">
        <v>10001</v>
      </c>
      <c r="J47">
        <v>30000</v>
      </c>
    </row>
    <row r="48" spans="2:10" x14ac:dyDescent="0.25">
      <c r="B48" t="s">
        <v>445</v>
      </c>
      <c r="C48">
        <v>10.91</v>
      </c>
      <c r="D48">
        <v>21.75</v>
      </c>
      <c r="E48">
        <v>0.57399999999999995</v>
      </c>
      <c r="F48">
        <v>0.87570000000000003</v>
      </c>
      <c r="G48">
        <v>5.4450000000000003</v>
      </c>
      <c r="H48">
        <v>57.41</v>
      </c>
      <c r="I48">
        <v>10001</v>
      </c>
      <c r="J48">
        <v>30000</v>
      </c>
    </row>
    <row r="49" spans="2:10" x14ac:dyDescent="0.25">
      <c r="B49" t="s">
        <v>446</v>
      </c>
      <c r="C49">
        <v>0.81850000000000001</v>
      </c>
      <c r="D49">
        <v>0.30990000000000001</v>
      </c>
      <c r="E49">
        <v>7.9889999999999996E-3</v>
      </c>
      <c r="F49">
        <v>0.3795</v>
      </c>
      <c r="G49">
        <v>0.76880000000000004</v>
      </c>
      <c r="H49">
        <v>1.5880000000000001</v>
      </c>
      <c r="I49">
        <v>10001</v>
      </c>
      <c r="J49">
        <v>30000</v>
      </c>
    </row>
    <row r="50" spans="2:10" x14ac:dyDescent="0.25">
      <c r="B50" t="s">
        <v>447</v>
      </c>
      <c r="C50">
        <v>1.0009999999999999</v>
      </c>
      <c r="D50">
        <v>1.119</v>
      </c>
      <c r="E50">
        <v>2.249E-2</v>
      </c>
      <c r="F50">
        <v>0.14940000000000001</v>
      </c>
      <c r="G50">
        <v>0.73509999999999998</v>
      </c>
      <c r="H50">
        <v>3.327</v>
      </c>
      <c r="I50">
        <v>10001</v>
      </c>
      <c r="J50">
        <v>30000</v>
      </c>
    </row>
    <row r="51" spans="2:10" x14ac:dyDescent="0.25">
      <c r="B51" t="s">
        <v>448</v>
      </c>
      <c r="C51">
        <v>1.0529999999999999</v>
      </c>
      <c r="D51">
        <v>0.53990000000000005</v>
      </c>
      <c r="E51">
        <v>1.274E-2</v>
      </c>
      <c r="F51">
        <v>0.36599999999999999</v>
      </c>
      <c r="G51">
        <v>0.94820000000000004</v>
      </c>
      <c r="H51">
        <v>2.2949999999999999</v>
      </c>
      <c r="I51">
        <v>10001</v>
      </c>
      <c r="J51">
        <v>30000</v>
      </c>
    </row>
    <row r="52" spans="2:10" x14ac:dyDescent="0.25">
      <c r="B52" t="s">
        <v>449</v>
      </c>
      <c r="C52">
        <v>1.29</v>
      </c>
      <c r="D52">
        <v>0.56540000000000001</v>
      </c>
      <c r="E52">
        <v>1.4409999999999999E-2</v>
      </c>
      <c r="F52">
        <v>0.55249999999999999</v>
      </c>
      <c r="G52">
        <v>1.1890000000000001</v>
      </c>
      <c r="H52">
        <v>2.6539999999999999</v>
      </c>
      <c r="I52">
        <v>10001</v>
      </c>
      <c r="J52">
        <v>30000</v>
      </c>
    </row>
    <row r="53" spans="2:10" x14ac:dyDescent="0.25">
      <c r="B53" t="s">
        <v>450</v>
      </c>
      <c r="C53">
        <v>11.72</v>
      </c>
      <c r="D53">
        <v>7.2610000000000001</v>
      </c>
      <c r="E53">
        <v>0.1757</v>
      </c>
      <c r="F53">
        <v>3.4340000000000002</v>
      </c>
      <c r="G53">
        <v>10.3</v>
      </c>
      <c r="H53">
        <v>28.14</v>
      </c>
      <c r="I53">
        <v>10001</v>
      </c>
      <c r="J53">
        <v>30000</v>
      </c>
    </row>
    <row r="54" spans="2:10" x14ac:dyDescent="0.25">
      <c r="B54" t="s">
        <v>451</v>
      </c>
      <c r="C54">
        <v>32.11</v>
      </c>
      <c r="D54">
        <v>61.46</v>
      </c>
      <c r="E54">
        <v>1.869</v>
      </c>
      <c r="F54">
        <v>2.3069999999999999</v>
      </c>
      <c r="G54">
        <v>15.04</v>
      </c>
      <c r="H54">
        <v>182.4</v>
      </c>
      <c r="I54">
        <v>10001</v>
      </c>
      <c r="J54">
        <v>30000</v>
      </c>
    </row>
    <row r="55" spans="2:10" x14ac:dyDescent="0.25">
      <c r="B55" t="s">
        <v>452</v>
      </c>
      <c r="C55">
        <v>1.3879999999999999</v>
      </c>
      <c r="D55">
        <v>2.153</v>
      </c>
      <c r="E55">
        <v>3.6889999999999999E-2</v>
      </c>
      <c r="F55">
        <v>0.16869999999999999</v>
      </c>
      <c r="G55">
        <v>0.95399999999999996</v>
      </c>
      <c r="H55">
        <v>5.0010000000000003</v>
      </c>
      <c r="I55">
        <v>10001</v>
      </c>
      <c r="J55">
        <v>30000</v>
      </c>
    </row>
    <row r="56" spans="2:10" x14ac:dyDescent="0.25">
      <c r="B56" t="s">
        <v>453</v>
      </c>
      <c r="C56">
        <v>1.355</v>
      </c>
      <c r="D56">
        <v>0.6512</v>
      </c>
      <c r="E56">
        <v>1.3440000000000001E-2</v>
      </c>
      <c r="F56">
        <v>0.4914</v>
      </c>
      <c r="G56">
        <v>1.236</v>
      </c>
      <c r="H56">
        <v>2.9420000000000002</v>
      </c>
      <c r="I56">
        <v>10001</v>
      </c>
      <c r="J56">
        <v>30000</v>
      </c>
    </row>
    <row r="57" spans="2:10" x14ac:dyDescent="0.25">
      <c r="B57" t="s">
        <v>454</v>
      </c>
      <c r="C57">
        <v>1.784</v>
      </c>
      <c r="D57">
        <v>1.095</v>
      </c>
      <c r="E57">
        <v>2.6009999999999998E-2</v>
      </c>
      <c r="F57">
        <v>0.5756</v>
      </c>
      <c r="G57">
        <v>1.526</v>
      </c>
      <c r="H57">
        <v>4.4660000000000002</v>
      </c>
      <c r="I57">
        <v>10001</v>
      </c>
      <c r="J57">
        <v>30000</v>
      </c>
    </row>
    <row r="58" spans="2:10" x14ac:dyDescent="0.25">
      <c r="B58" t="s">
        <v>455</v>
      </c>
      <c r="C58">
        <v>16.32</v>
      </c>
      <c r="D58">
        <v>12.77</v>
      </c>
      <c r="E58">
        <v>0.3029</v>
      </c>
      <c r="F58">
        <v>3.5840000000000001</v>
      </c>
      <c r="G58">
        <v>13.4</v>
      </c>
      <c r="H58">
        <v>46.52</v>
      </c>
      <c r="I58">
        <v>10001</v>
      </c>
      <c r="J58">
        <v>30000</v>
      </c>
    </row>
    <row r="59" spans="2:10" x14ac:dyDescent="0.25">
      <c r="B59" t="s">
        <v>456</v>
      </c>
      <c r="C59">
        <v>43.97</v>
      </c>
      <c r="D59">
        <v>94.3</v>
      </c>
      <c r="E59">
        <v>2.4329999999999998</v>
      </c>
      <c r="F59">
        <v>2.6309999999999998</v>
      </c>
      <c r="G59">
        <v>19.48</v>
      </c>
      <c r="H59">
        <v>247.2</v>
      </c>
      <c r="I59">
        <v>10001</v>
      </c>
      <c r="J59">
        <v>30000</v>
      </c>
    </row>
    <row r="60" spans="2:10" x14ac:dyDescent="0.25">
      <c r="B60" t="s">
        <v>457</v>
      </c>
      <c r="C60">
        <v>2.012</v>
      </c>
      <c r="D60">
        <v>2.9119999999999999</v>
      </c>
      <c r="E60">
        <v>6.234E-2</v>
      </c>
      <c r="F60">
        <v>0.21240000000000001</v>
      </c>
      <c r="G60">
        <v>1.2829999999999999</v>
      </c>
      <c r="H60">
        <v>8.0939999999999994</v>
      </c>
      <c r="I60">
        <v>10001</v>
      </c>
      <c r="J60">
        <v>30000</v>
      </c>
    </row>
    <row r="61" spans="2:10" x14ac:dyDescent="0.25">
      <c r="B61" t="s">
        <v>458</v>
      </c>
      <c r="C61">
        <v>2.2879999999999998</v>
      </c>
      <c r="D61">
        <v>3.38</v>
      </c>
      <c r="E61">
        <v>6.071E-2</v>
      </c>
      <c r="F61">
        <v>0.36099999999999999</v>
      </c>
      <c r="G61">
        <v>1.5940000000000001</v>
      </c>
      <c r="H61">
        <v>8.67</v>
      </c>
      <c r="I61">
        <v>10001</v>
      </c>
      <c r="J61">
        <v>30000</v>
      </c>
    </row>
    <row r="62" spans="2:10" x14ac:dyDescent="0.25">
      <c r="B62" t="s">
        <v>459</v>
      </c>
      <c r="C62">
        <v>20.46</v>
      </c>
      <c r="D62">
        <v>38.35</v>
      </c>
      <c r="E62">
        <v>0.58160000000000001</v>
      </c>
      <c r="F62">
        <v>2.6789999999999998</v>
      </c>
      <c r="G62">
        <v>13.91</v>
      </c>
      <c r="H62">
        <v>79.400000000000006</v>
      </c>
      <c r="I62">
        <v>10001</v>
      </c>
      <c r="J62">
        <v>30000</v>
      </c>
    </row>
    <row r="63" spans="2:10" x14ac:dyDescent="0.25">
      <c r="B63" t="s">
        <v>460</v>
      </c>
      <c r="C63">
        <v>53.99</v>
      </c>
      <c r="D63">
        <v>162.69999999999999</v>
      </c>
      <c r="E63">
        <v>3.7770000000000001</v>
      </c>
      <c r="F63">
        <v>2.2320000000000002</v>
      </c>
      <c r="G63">
        <v>20.92</v>
      </c>
      <c r="H63">
        <v>314.39999999999998</v>
      </c>
      <c r="I63">
        <v>10001</v>
      </c>
      <c r="J63">
        <v>30000</v>
      </c>
    </row>
    <row r="64" spans="2:10" x14ac:dyDescent="0.25">
      <c r="B64" t="s">
        <v>461</v>
      </c>
      <c r="C64">
        <v>1.536</v>
      </c>
      <c r="D64">
        <v>1.175</v>
      </c>
      <c r="E64">
        <v>2.6290000000000001E-2</v>
      </c>
      <c r="F64">
        <v>0.40379999999999999</v>
      </c>
      <c r="G64">
        <v>1.2330000000000001</v>
      </c>
      <c r="H64">
        <v>4.4379999999999997</v>
      </c>
      <c r="I64">
        <v>10001</v>
      </c>
      <c r="J64">
        <v>30000</v>
      </c>
    </row>
    <row r="65" spans="2:10" x14ac:dyDescent="0.25">
      <c r="B65" t="s">
        <v>462</v>
      </c>
      <c r="C65">
        <v>13.91</v>
      </c>
      <c r="D65">
        <v>12.56</v>
      </c>
      <c r="E65">
        <v>0.27779999999999999</v>
      </c>
      <c r="F65">
        <v>2.673</v>
      </c>
      <c r="G65">
        <v>10.8</v>
      </c>
      <c r="H65">
        <v>42.63</v>
      </c>
      <c r="I65">
        <v>10001</v>
      </c>
      <c r="J65">
        <v>30000</v>
      </c>
    </row>
    <row r="66" spans="2:10" x14ac:dyDescent="0.25">
      <c r="B66" t="s">
        <v>463</v>
      </c>
      <c r="C66">
        <v>37.770000000000003</v>
      </c>
      <c r="D66">
        <v>93.46</v>
      </c>
      <c r="E66">
        <v>2.0659999999999998</v>
      </c>
      <c r="F66">
        <v>1.97</v>
      </c>
      <c r="G66">
        <v>16.100000000000001</v>
      </c>
      <c r="H66">
        <v>201</v>
      </c>
      <c r="I66">
        <v>10001</v>
      </c>
      <c r="J66">
        <v>30000</v>
      </c>
    </row>
    <row r="67" spans="2:10" x14ac:dyDescent="0.25">
      <c r="B67" t="s">
        <v>464</v>
      </c>
      <c r="C67">
        <v>9.56</v>
      </c>
      <c r="D67">
        <v>4.9539999999999997</v>
      </c>
      <c r="E67">
        <v>0.1283</v>
      </c>
      <c r="F67">
        <v>3.2109999999999999</v>
      </c>
      <c r="G67">
        <v>8.6370000000000005</v>
      </c>
      <c r="H67">
        <v>20.76</v>
      </c>
      <c r="I67">
        <v>10001</v>
      </c>
      <c r="J67">
        <v>30000</v>
      </c>
    </row>
    <row r="68" spans="2:10" x14ac:dyDescent="0.25">
      <c r="B68" t="s">
        <v>465</v>
      </c>
      <c r="C68">
        <v>26.21</v>
      </c>
      <c r="D68">
        <v>51.2</v>
      </c>
      <c r="E68">
        <v>1.4119999999999999</v>
      </c>
      <c r="F68">
        <v>1.917</v>
      </c>
      <c r="G68">
        <v>12.88</v>
      </c>
      <c r="H68">
        <v>142.80000000000001</v>
      </c>
      <c r="I68">
        <v>10001</v>
      </c>
      <c r="J68">
        <v>30000</v>
      </c>
    </row>
    <row r="69" spans="2:10" x14ac:dyDescent="0.25">
      <c r="B69" t="s">
        <v>466</v>
      </c>
      <c r="C69">
        <v>3.28</v>
      </c>
      <c r="D69">
        <v>7.4109999999999996</v>
      </c>
      <c r="E69">
        <v>0.17680000000000001</v>
      </c>
      <c r="F69">
        <v>0.20430000000000001</v>
      </c>
      <c r="G69">
        <v>1.494</v>
      </c>
      <c r="H69">
        <v>17.21</v>
      </c>
      <c r="I69">
        <v>10001</v>
      </c>
      <c r="J69">
        <v>30000</v>
      </c>
    </row>
    <row r="70" spans="2:10" x14ac:dyDescent="0.25">
      <c r="B70" t="s">
        <v>467</v>
      </c>
      <c r="C70">
        <v>0.45650000000000002</v>
      </c>
      <c r="D70">
        <v>0.13589999999999999</v>
      </c>
      <c r="E70">
        <v>3.921E-3</v>
      </c>
      <c r="F70">
        <v>0.25</v>
      </c>
      <c r="G70">
        <v>0.375</v>
      </c>
      <c r="H70">
        <v>0.875</v>
      </c>
      <c r="I70">
        <v>10001</v>
      </c>
      <c r="J70">
        <v>30000</v>
      </c>
    </row>
    <row r="71" spans="2:10" x14ac:dyDescent="0.25">
      <c r="B71" t="s">
        <v>468</v>
      </c>
      <c r="C71">
        <v>0.2591</v>
      </c>
      <c r="D71">
        <v>5.2830000000000002E-2</v>
      </c>
      <c r="E71" s="13">
        <v>9.6940000000000004E-4</v>
      </c>
      <c r="F71">
        <v>0.125</v>
      </c>
      <c r="G71">
        <v>0.25</v>
      </c>
      <c r="H71">
        <v>0.375</v>
      </c>
      <c r="I71">
        <v>10001</v>
      </c>
      <c r="J71">
        <v>30000</v>
      </c>
    </row>
    <row r="72" spans="2:10" x14ac:dyDescent="0.25">
      <c r="B72" t="s">
        <v>469</v>
      </c>
      <c r="C72">
        <v>0.69320000000000004</v>
      </c>
      <c r="D72">
        <v>0.14630000000000001</v>
      </c>
      <c r="E72">
        <v>3.9690000000000003E-3</v>
      </c>
      <c r="F72">
        <v>0.375</v>
      </c>
      <c r="G72">
        <v>0.75</v>
      </c>
      <c r="H72">
        <v>1</v>
      </c>
      <c r="I72">
        <v>10001</v>
      </c>
      <c r="J72">
        <v>30000</v>
      </c>
    </row>
    <row r="73" spans="2:10" x14ac:dyDescent="0.25">
      <c r="B73" t="s">
        <v>470</v>
      </c>
      <c r="C73">
        <v>0.83279999999999998</v>
      </c>
      <c r="D73">
        <v>0.15820000000000001</v>
      </c>
      <c r="E73">
        <v>3.784E-3</v>
      </c>
      <c r="F73">
        <v>0.5</v>
      </c>
      <c r="G73">
        <v>0.875</v>
      </c>
      <c r="H73">
        <v>1</v>
      </c>
      <c r="I73">
        <v>10001</v>
      </c>
      <c r="J73">
        <v>30000</v>
      </c>
    </row>
    <row r="74" spans="2:10" x14ac:dyDescent="0.25">
      <c r="B74" t="s">
        <v>471</v>
      </c>
      <c r="C74">
        <v>0.79630000000000001</v>
      </c>
      <c r="D74">
        <v>0.23319999999999999</v>
      </c>
      <c r="E74">
        <v>6.2040000000000003E-3</v>
      </c>
      <c r="F74">
        <v>0.25</v>
      </c>
      <c r="G74">
        <v>0.875</v>
      </c>
      <c r="H74">
        <v>1</v>
      </c>
      <c r="I74">
        <v>10001</v>
      </c>
      <c r="J74">
        <v>30000</v>
      </c>
    </row>
    <row r="75" spans="2:10" x14ac:dyDescent="0.25">
      <c r="B75" t="s">
        <v>472</v>
      </c>
      <c r="C75">
        <v>0.71040000000000003</v>
      </c>
      <c r="D75">
        <v>0.21229999999999999</v>
      </c>
      <c r="E75">
        <v>5.7660000000000003E-3</v>
      </c>
      <c r="F75">
        <v>0.25</v>
      </c>
      <c r="G75">
        <v>0.75</v>
      </c>
      <c r="H75">
        <v>1</v>
      </c>
      <c r="I75">
        <v>10001</v>
      </c>
      <c r="J75">
        <v>30000</v>
      </c>
    </row>
    <row r="76" spans="2:10" x14ac:dyDescent="0.25">
      <c r="B76" t="s">
        <v>473</v>
      </c>
      <c r="C76">
        <v>0.61760000000000004</v>
      </c>
      <c r="D76">
        <v>0.17169999999999999</v>
      </c>
      <c r="E76">
        <v>4.444E-3</v>
      </c>
      <c r="F76">
        <v>0.375</v>
      </c>
      <c r="G76">
        <v>0.625</v>
      </c>
      <c r="H76">
        <v>1</v>
      </c>
      <c r="I76">
        <v>10001</v>
      </c>
      <c r="J76">
        <v>30000</v>
      </c>
    </row>
    <row r="77" spans="2:10" x14ac:dyDescent="0.25">
      <c r="B77" t="s">
        <v>474</v>
      </c>
      <c r="C77">
        <v>8.2350000000000007E-2</v>
      </c>
      <c r="D77">
        <v>6.2260000000000003E-2</v>
      </c>
      <c r="E77">
        <v>1.7179999999999999E-3</v>
      </c>
      <c r="F77">
        <v>0</v>
      </c>
      <c r="G77">
        <v>0.125</v>
      </c>
      <c r="H77">
        <v>0.125</v>
      </c>
      <c r="I77">
        <v>10001</v>
      </c>
      <c r="J77">
        <v>30000</v>
      </c>
    </row>
    <row r="78" spans="2:10" x14ac:dyDescent="0.25">
      <c r="B78" t="s">
        <v>475</v>
      </c>
      <c r="C78">
        <v>5.176E-2</v>
      </c>
      <c r="D78">
        <v>8.7889999999999996E-2</v>
      </c>
      <c r="E78">
        <v>2.3019999999999998E-3</v>
      </c>
      <c r="F78">
        <v>0</v>
      </c>
      <c r="G78">
        <v>0</v>
      </c>
      <c r="H78">
        <v>0.25</v>
      </c>
      <c r="I78">
        <v>10001</v>
      </c>
      <c r="J78">
        <v>30000</v>
      </c>
    </row>
    <row r="79" spans="2:10" x14ac:dyDescent="0.25">
      <c r="B79" t="s">
        <v>476</v>
      </c>
      <c r="C79">
        <v>5.9329999999999999E-3</v>
      </c>
      <c r="D79">
        <v>7.6799999999999993E-2</v>
      </c>
      <c r="E79">
        <v>1.0430000000000001E-3</v>
      </c>
      <c r="F79">
        <v>0</v>
      </c>
      <c r="G79">
        <v>0</v>
      </c>
      <c r="H79">
        <v>0</v>
      </c>
      <c r="I79">
        <v>10001</v>
      </c>
      <c r="J79">
        <v>30000</v>
      </c>
    </row>
    <row r="80" spans="2:10" x14ac:dyDescent="0.25">
      <c r="B80" t="s">
        <v>477</v>
      </c>
      <c r="C80">
        <v>0</v>
      </c>
      <c r="D80">
        <v>0</v>
      </c>
      <c r="E80" s="13">
        <v>3.333E-13</v>
      </c>
      <c r="F80">
        <v>0</v>
      </c>
      <c r="G80">
        <v>0</v>
      </c>
      <c r="H80">
        <v>0</v>
      </c>
      <c r="I80">
        <v>10001</v>
      </c>
      <c r="J80">
        <v>30000</v>
      </c>
    </row>
    <row r="81" spans="2:10" x14ac:dyDescent="0.25">
      <c r="B81" t="s">
        <v>478</v>
      </c>
      <c r="C81">
        <v>4.8770000000000001E-2</v>
      </c>
      <c r="D81">
        <v>0.21540000000000001</v>
      </c>
      <c r="E81">
        <v>6.3800000000000003E-3</v>
      </c>
      <c r="F81">
        <v>0</v>
      </c>
      <c r="G81">
        <v>0</v>
      </c>
      <c r="H81">
        <v>1</v>
      </c>
      <c r="I81">
        <v>10001</v>
      </c>
      <c r="J81">
        <v>30000</v>
      </c>
    </row>
    <row r="82" spans="2:10" x14ac:dyDescent="0.25">
      <c r="B82" t="s">
        <v>479</v>
      </c>
      <c r="C82">
        <v>0.28089999999999998</v>
      </c>
      <c r="D82">
        <v>0.44950000000000001</v>
      </c>
      <c r="E82">
        <v>9.7800000000000005E-3</v>
      </c>
      <c r="F82">
        <v>0</v>
      </c>
      <c r="G82">
        <v>0</v>
      </c>
      <c r="H82">
        <v>1</v>
      </c>
      <c r="I82">
        <v>10001</v>
      </c>
      <c r="J82">
        <v>30000</v>
      </c>
    </row>
    <row r="83" spans="2:10" x14ac:dyDescent="0.25">
      <c r="B83" t="s">
        <v>480</v>
      </c>
      <c r="C83">
        <v>0.4506</v>
      </c>
      <c r="D83">
        <v>0.49759999999999999</v>
      </c>
      <c r="E83">
        <v>1.303E-2</v>
      </c>
      <c r="F83">
        <v>0</v>
      </c>
      <c r="G83">
        <v>0</v>
      </c>
      <c r="H83">
        <v>1</v>
      </c>
      <c r="I83">
        <v>10001</v>
      </c>
      <c r="J83">
        <v>30000</v>
      </c>
    </row>
    <row r="84" spans="2:10" x14ac:dyDescent="0.25">
      <c r="B84" t="s">
        <v>481</v>
      </c>
      <c r="C84">
        <v>0.16750000000000001</v>
      </c>
      <c r="D84">
        <v>0.37340000000000001</v>
      </c>
      <c r="E84">
        <v>8.5780000000000006E-3</v>
      </c>
      <c r="F84">
        <v>0</v>
      </c>
      <c r="G84">
        <v>0</v>
      </c>
      <c r="H84">
        <v>1</v>
      </c>
      <c r="I84">
        <v>10001</v>
      </c>
      <c r="J84">
        <v>30000</v>
      </c>
    </row>
    <row r="85" spans="2:10" x14ac:dyDescent="0.25">
      <c r="B85" t="s">
        <v>482</v>
      </c>
      <c r="C85">
        <v>4.5569999999999999E-2</v>
      </c>
      <c r="D85">
        <v>0.20849999999999999</v>
      </c>
      <c r="E85">
        <v>4.1989999999999996E-3</v>
      </c>
      <c r="F85">
        <v>0</v>
      </c>
      <c r="G85">
        <v>0</v>
      </c>
      <c r="H85">
        <v>1</v>
      </c>
      <c r="I85">
        <v>10001</v>
      </c>
      <c r="J85">
        <v>30000</v>
      </c>
    </row>
    <row r="86" spans="2:10" x14ac:dyDescent="0.25">
      <c r="B86" t="s">
        <v>483</v>
      </c>
      <c r="C86">
        <v>0</v>
      </c>
      <c r="D86">
        <v>0</v>
      </c>
      <c r="E86" s="13">
        <v>3.333E-13</v>
      </c>
      <c r="F86">
        <v>0</v>
      </c>
      <c r="G86">
        <v>0</v>
      </c>
      <c r="H86">
        <v>0</v>
      </c>
      <c r="I86">
        <v>10001</v>
      </c>
      <c r="J86">
        <v>30000</v>
      </c>
    </row>
    <row r="87" spans="2:10" x14ac:dyDescent="0.25">
      <c r="B87" t="s">
        <v>484</v>
      </c>
      <c r="C87" s="13">
        <v>7.6670000000000004E-4</v>
      </c>
      <c r="D87">
        <v>2.768E-2</v>
      </c>
      <c r="E87" s="13">
        <v>3.2000000000000003E-4</v>
      </c>
      <c r="F87">
        <v>0</v>
      </c>
      <c r="G87">
        <v>0</v>
      </c>
      <c r="H87">
        <v>0</v>
      </c>
      <c r="I87">
        <v>10001</v>
      </c>
      <c r="J87">
        <v>30000</v>
      </c>
    </row>
    <row r="88" spans="2:10" x14ac:dyDescent="0.25">
      <c r="B88" t="s">
        <v>485</v>
      </c>
      <c r="C88">
        <v>0.54510000000000003</v>
      </c>
      <c r="D88">
        <v>0.76290000000000002</v>
      </c>
      <c r="E88">
        <v>4.4900000000000001E-3</v>
      </c>
      <c r="F88" s="13">
        <v>5.6329999999999998E-4</v>
      </c>
      <c r="G88">
        <v>0.25280000000000002</v>
      </c>
      <c r="H88">
        <v>2.7109999999999999</v>
      </c>
      <c r="I88">
        <v>10001</v>
      </c>
      <c r="J88">
        <v>30000</v>
      </c>
    </row>
    <row r="89" spans="2:10" x14ac:dyDescent="0.25">
      <c r="B89" t="s">
        <v>486</v>
      </c>
      <c r="C89">
        <v>0.72150000000000003</v>
      </c>
      <c r="D89">
        <v>0.97619999999999996</v>
      </c>
      <c r="E89">
        <v>6.0899999999999999E-3</v>
      </c>
      <c r="F89" s="13">
        <v>7.4120000000000002E-4</v>
      </c>
      <c r="G89">
        <v>0.34670000000000001</v>
      </c>
      <c r="H89">
        <v>3.472</v>
      </c>
      <c r="I89">
        <v>10001</v>
      </c>
      <c r="J89">
        <v>30000</v>
      </c>
    </row>
    <row r="90" spans="2:10" x14ac:dyDescent="0.25">
      <c r="B90" t="s">
        <v>487</v>
      </c>
      <c r="C90">
        <v>0.90969999999999995</v>
      </c>
      <c r="D90">
        <v>1.2929999999999999</v>
      </c>
      <c r="E90">
        <v>1.8800000000000001E-2</v>
      </c>
      <c r="F90" s="13">
        <v>9.5640000000000005E-4</v>
      </c>
      <c r="G90">
        <v>0.41320000000000001</v>
      </c>
      <c r="H90">
        <v>4.5919999999999996</v>
      </c>
      <c r="I90">
        <v>10001</v>
      </c>
      <c r="J90">
        <v>30000</v>
      </c>
    </row>
    <row r="91" spans="2:10" x14ac:dyDescent="0.25">
      <c r="B91" t="s">
        <v>488</v>
      </c>
      <c r="C91">
        <v>0.84540000000000004</v>
      </c>
      <c r="D91">
        <v>1.2130000000000001</v>
      </c>
      <c r="E91">
        <v>1.6549999999999999E-2</v>
      </c>
      <c r="F91" s="13">
        <v>7.896E-4</v>
      </c>
      <c r="G91">
        <v>0.38169999999999998</v>
      </c>
      <c r="H91">
        <v>4.2530000000000001</v>
      </c>
      <c r="I91">
        <v>10001</v>
      </c>
      <c r="J91">
        <v>30000</v>
      </c>
    </row>
    <row r="92" spans="2:10" x14ac:dyDescent="0.25">
      <c r="B92" t="s">
        <v>489</v>
      </c>
      <c r="C92">
        <v>0.79930000000000001</v>
      </c>
      <c r="D92">
        <v>1.119</v>
      </c>
      <c r="E92">
        <v>8.4279999999999997E-3</v>
      </c>
      <c r="F92" s="13">
        <v>7.3039999999999997E-4</v>
      </c>
      <c r="G92">
        <v>0.36270000000000002</v>
      </c>
      <c r="H92">
        <v>3.9889999999999999</v>
      </c>
      <c r="I92">
        <v>10001</v>
      </c>
      <c r="J92">
        <v>30000</v>
      </c>
    </row>
    <row r="93" spans="2:10" x14ac:dyDescent="0.25">
      <c r="B93" t="s">
        <v>490</v>
      </c>
      <c r="C93">
        <v>0.65890000000000004</v>
      </c>
      <c r="D93">
        <v>0.95450000000000002</v>
      </c>
      <c r="E93">
        <v>9.0170000000000007E-3</v>
      </c>
      <c r="F93" s="13">
        <v>6.9870000000000002E-4</v>
      </c>
      <c r="G93">
        <v>0.29809999999999998</v>
      </c>
      <c r="H93">
        <v>3.4129999999999998</v>
      </c>
      <c r="I93">
        <v>10001</v>
      </c>
      <c r="J93">
        <v>30000</v>
      </c>
    </row>
    <row r="94" spans="2:10" x14ac:dyDescent="0.25">
      <c r="B94" t="s">
        <v>491</v>
      </c>
      <c r="C94">
        <v>1.119</v>
      </c>
      <c r="D94">
        <v>1.5249999999999999</v>
      </c>
      <c r="E94">
        <v>1.78E-2</v>
      </c>
      <c r="F94">
        <v>1.1100000000000001E-3</v>
      </c>
      <c r="G94">
        <v>0.52459999999999996</v>
      </c>
      <c r="H94">
        <v>5.4050000000000002</v>
      </c>
      <c r="I94">
        <v>10001</v>
      </c>
      <c r="J94">
        <v>30000</v>
      </c>
    </row>
    <row r="95" spans="2:10" x14ac:dyDescent="0.25">
      <c r="B95" t="s">
        <v>492</v>
      </c>
      <c r="C95">
        <v>1.0609999999999999</v>
      </c>
      <c r="D95">
        <v>1.4019999999999999</v>
      </c>
      <c r="E95">
        <v>2.3480000000000001E-2</v>
      </c>
      <c r="F95">
        <v>1.201E-3</v>
      </c>
      <c r="G95">
        <v>0.52390000000000003</v>
      </c>
      <c r="H95">
        <v>4.9870000000000001</v>
      </c>
      <c r="I95">
        <v>10001</v>
      </c>
      <c r="J95">
        <v>30000</v>
      </c>
    </row>
    <row r="96" spans="2:10" x14ac:dyDescent="0.25">
      <c r="B96" t="s">
        <v>493</v>
      </c>
      <c r="C96">
        <v>1.024</v>
      </c>
      <c r="D96">
        <v>1.4530000000000001</v>
      </c>
      <c r="E96">
        <v>3.6819999999999999E-2</v>
      </c>
      <c r="F96" s="13">
        <v>9.986000000000001E-4</v>
      </c>
      <c r="G96">
        <v>0.45550000000000002</v>
      </c>
      <c r="H96">
        <v>5.24</v>
      </c>
      <c r="I96">
        <v>10001</v>
      </c>
      <c r="J96">
        <v>30000</v>
      </c>
    </row>
    <row r="97" spans="2:10" x14ac:dyDescent="0.25">
      <c r="B97" t="s">
        <v>494</v>
      </c>
      <c r="C97">
        <v>1.0109999999999999</v>
      </c>
      <c r="D97">
        <v>1.431</v>
      </c>
      <c r="E97">
        <v>1.472E-2</v>
      </c>
      <c r="F97">
        <v>1.098E-3</v>
      </c>
      <c r="G97">
        <v>0.4622</v>
      </c>
      <c r="H97">
        <v>5.0439999999999996</v>
      </c>
      <c r="I97">
        <v>10001</v>
      </c>
      <c r="J97">
        <v>30000</v>
      </c>
    </row>
    <row r="98" spans="2:10" x14ac:dyDescent="0.25">
      <c r="B98" t="s">
        <v>495</v>
      </c>
      <c r="C98">
        <v>0.96240000000000003</v>
      </c>
      <c r="D98">
        <v>1.3169999999999999</v>
      </c>
      <c r="E98">
        <v>1.4290000000000001E-2</v>
      </c>
      <c r="F98" s="13">
        <v>9.4740000000000004E-4</v>
      </c>
      <c r="G98">
        <v>0.45279999999999998</v>
      </c>
      <c r="H98">
        <v>4.6920000000000002</v>
      </c>
      <c r="I98">
        <v>10001</v>
      </c>
      <c r="J98">
        <v>30000</v>
      </c>
    </row>
    <row r="99" spans="2:10" x14ac:dyDescent="0.25">
      <c r="B99" t="s">
        <v>496</v>
      </c>
      <c r="C99">
        <v>1.028</v>
      </c>
      <c r="D99">
        <v>1.3340000000000001</v>
      </c>
      <c r="E99">
        <v>1.7440000000000001E-2</v>
      </c>
      <c r="F99">
        <v>1.2019999999999999E-3</v>
      </c>
      <c r="G99">
        <v>0.51939999999999997</v>
      </c>
      <c r="H99">
        <v>4.827</v>
      </c>
      <c r="I99">
        <v>10001</v>
      </c>
      <c r="J99">
        <v>30000</v>
      </c>
    </row>
    <row r="100" spans="2:10" x14ac:dyDescent="0.25">
      <c r="B100" t="s">
        <v>497</v>
      </c>
      <c r="C100">
        <v>1.0149999999999999</v>
      </c>
      <c r="D100">
        <v>1.44</v>
      </c>
      <c r="E100">
        <v>1.3860000000000001E-2</v>
      </c>
      <c r="F100">
        <v>1.024E-3</v>
      </c>
      <c r="G100">
        <v>0.46939999999999998</v>
      </c>
      <c r="H100">
        <v>5.1580000000000004</v>
      </c>
      <c r="I100">
        <v>10001</v>
      </c>
      <c r="J100">
        <v>30000</v>
      </c>
    </row>
    <row r="101" spans="2:10" x14ac:dyDescent="0.25">
      <c r="B101" t="s">
        <v>498</v>
      </c>
      <c r="C101">
        <v>1.0369999999999999</v>
      </c>
      <c r="D101">
        <v>1.452</v>
      </c>
      <c r="E101">
        <v>2.5590000000000002E-2</v>
      </c>
      <c r="F101" s="13">
        <v>9.8440000000000008E-4</v>
      </c>
      <c r="G101">
        <v>0.4748</v>
      </c>
      <c r="H101">
        <v>5.1689999999999996</v>
      </c>
      <c r="I101">
        <v>10001</v>
      </c>
      <c r="J101">
        <v>30000</v>
      </c>
    </row>
    <row r="102" spans="2:10" x14ac:dyDescent="0.25">
      <c r="B102" t="s">
        <v>499</v>
      </c>
      <c r="C102">
        <v>0.87719999999999998</v>
      </c>
      <c r="D102">
        <v>1.242</v>
      </c>
      <c r="E102">
        <v>1.268E-2</v>
      </c>
      <c r="F102" s="13">
        <v>9.4530000000000005E-4</v>
      </c>
      <c r="G102">
        <v>0.39789999999999998</v>
      </c>
      <c r="H102">
        <v>4.4290000000000003</v>
      </c>
      <c r="I102">
        <v>10001</v>
      </c>
      <c r="J102">
        <v>30000</v>
      </c>
    </row>
    <row r="103" spans="2:10" x14ac:dyDescent="0.25">
      <c r="B103" t="s">
        <v>500</v>
      </c>
      <c r="C103">
        <v>0.8458</v>
      </c>
      <c r="D103">
        <v>1.1990000000000001</v>
      </c>
      <c r="E103">
        <v>1.2869999999999999E-2</v>
      </c>
      <c r="F103" s="13">
        <v>8.2580000000000001E-4</v>
      </c>
      <c r="G103">
        <v>0.38640000000000002</v>
      </c>
      <c r="H103">
        <v>4.2919999999999998</v>
      </c>
      <c r="I103">
        <v>10001</v>
      </c>
      <c r="J103">
        <v>30000</v>
      </c>
    </row>
    <row r="104" spans="2:10" x14ac:dyDescent="0.25">
      <c r="B104" t="s">
        <v>501</v>
      </c>
      <c r="C104">
        <v>1.2010000000000001</v>
      </c>
      <c r="D104">
        <v>1.2749999999999999</v>
      </c>
      <c r="E104">
        <v>2.0119999999999999E-2</v>
      </c>
      <c r="F104">
        <v>2.5049999999999998E-3</v>
      </c>
      <c r="G104">
        <v>0.78810000000000002</v>
      </c>
      <c r="H104">
        <v>4.5529999999999999</v>
      </c>
      <c r="I104">
        <v>10001</v>
      </c>
      <c r="J104">
        <v>30000</v>
      </c>
    </row>
    <row r="105" spans="2:10" x14ac:dyDescent="0.25">
      <c r="B105" t="s">
        <v>502</v>
      </c>
      <c r="C105">
        <v>1.0089999999999999</v>
      </c>
      <c r="D105">
        <v>1.373</v>
      </c>
      <c r="E105">
        <v>9.979E-3</v>
      </c>
      <c r="F105">
        <v>1.0009999999999999E-3</v>
      </c>
      <c r="G105">
        <v>0.4773</v>
      </c>
      <c r="H105">
        <v>4.9690000000000003</v>
      </c>
      <c r="I105">
        <v>10001</v>
      </c>
      <c r="J105">
        <v>30000</v>
      </c>
    </row>
    <row r="106" spans="2:10" x14ac:dyDescent="0.25">
      <c r="B106" t="s">
        <v>503</v>
      </c>
      <c r="C106">
        <v>1.0129999999999999</v>
      </c>
      <c r="D106">
        <v>1.3759999999999999</v>
      </c>
      <c r="E106">
        <v>1.5049999999999999E-2</v>
      </c>
      <c r="F106">
        <v>1.065E-3</v>
      </c>
      <c r="G106">
        <v>0.4803</v>
      </c>
      <c r="H106">
        <v>4.9279999999999999</v>
      </c>
      <c r="I106">
        <v>10001</v>
      </c>
      <c r="J106">
        <v>30000</v>
      </c>
    </row>
    <row r="107" spans="2:10" x14ac:dyDescent="0.25">
      <c r="B107" t="s">
        <v>504</v>
      </c>
      <c r="C107">
        <v>1.149</v>
      </c>
      <c r="D107">
        <v>1.4950000000000001</v>
      </c>
      <c r="E107">
        <v>1.636E-2</v>
      </c>
      <c r="F107">
        <v>1.374E-3</v>
      </c>
      <c r="G107">
        <v>0.57579999999999998</v>
      </c>
      <c r="H107">
        <v>5.3319999999999999</v>
      </c>
      <c r="I107">
        <v>10001</v>
      </c>
      <c r="J107">
        <v>30000</v>
      </c>
    </row>
    <row r="108" spans="2:10" x14ac:dyDescent="0.25">
      <c r="B108" t="s">
        <v>505</v>
      </c>
      <c r="C108">
        <v>0.59250000000000003</v>
      </c>
      <c r="D108">
        <v>0.82730000000000004</v>
      </c>
      <c r="E108">
        <v>7.2240000000000004E-3</v>
      </c>
      <c r="F108" s="13">
        <v>5.6550000000000003E-4</v>
      </c>
      <c r="G108">
        <v>0.2747</v>
      </c>
      <c r="H108">
        <v>2.919</v>
      </c>
      <c r="I108">
        <v>10001</v>
      </c>
      <c r="J108">
        <v>30000</v>
      </c>
    </row>
    <row r="109" spans="2:10" x14ac:dyDescent="0.25">
      <c r="B109" t="s">
        <v>506</v>
      </c>
      <c r="C109">
        <v>0.66779999999999995</v>
      </c>
      <c r="D109">
        <v>0.94279999999999997</v>
      </c>
      <c r="E109">
        <v>6.234E-3</v>
      </c>
      <c r="F109" s="13">
        <v>6.001E-4</v>
      </c>
      <c r="G109">
        <v>0.30430000000000001</v>
      </c>
      <c r="H109">
        <v>3.3479999999999999</v>
      </c>
      <c r="I109">
        <v>10001</v>
      </c>
      <c r="J109">
        <v>30000</v>
      </c>
    </row>
    <row r="110" spans="2:10" x14ac:dyDescent="0.25">
      <c r="B110" t="s">
        <v>507</v>
      </c>
      <c r="C110">
        <v>0.67910000000000004</v>
      </c>
      <c r="D110">
        <v>0.91969999999999996</v>
      </c>
      <c r="E110">
        <v>9.4190000000000003E-3</v>
      </c>
      <c r="F110" s="13">
        <v>7.9469999999999996E-4</v>
      </c>
      <c r="G110">
        <v>0.33329999999999999</v>
      </c>
      <c r="H110">
        <v>3.2610000000000001</v>
      </c>
      <c r="I110">
        <v>10001</v>
      </c>
      <c r="J110">
        <v>30000</v>
      </c>
    </row>
    <row r="111" spans="2:10" x14ac:dyDescent="0.25">
      <c r="B111" t="s">
        <v>508</v>
      </c>
      <c r="C111">
        <v>1.018</v>
      </c>
      <c r="D111">
        <v>1.381</v>
      </c>
      <c r="E111">
        <v>8.5299999999999994E-3</v>
      </c>
      <c r="F111">
        <v>1.2639999999999999E-3</v>
      </c>
      <c r="G111">
        <v>0.47920000000000001</v>
      </c>
      <c r="H111">
        <v>4.9379999999999997</v>
      </c>
      <c r="I111">
        <v>10001</v>
      </c>
      <c r="J111">
        <v>30000</v>
      </c>
    </row>
    <row r="112" spans="2:10" x14ac:dyDescent="0.25">
      <c r="B112" t="s">
        <v>509</v>
      </c>
      <c r="C112">
        <v>0.70079999999999998</v>
      </c>
      <c r="D112">
        <v>0.97360000000000002</v>
      </c>
      <c r="E112">
        <v>7.8609999999999999E-3</v>
      </c>
      <c r="F112" s="13">
        <v>7.7380000000000005E-4</v>
      </c>
      <c r="G112">
        <v>0.32200000000000001</v>
      </c>
      <c r="H112">
        <v>3.4489999999999998</v>
      </c>
      <c r="I112">
        <v>10001</v>
      </c>
      <c r="J112">
        <v>30000</v>
      </c>
    </row>
    <row r="113" spans="2:10" x14ac:dyDescent="0.25">
      <c r="B113" t="s">
        <v>510</v>
      </c>
      <c r="C113">
        <v>0.69540000000000002</v>
      </c>
      <c r="D113">
        <v>0.97760000000000002</v>
      </c>
      <c r="E113">
        <v>7.1989999999999997E-3</v>
      </c>
      <c r="F113" s="13">
        <v>6.8369999999999998E-4</v>
      </c>
      <c r="G113">
        <v>0.31490000000000001</v>
      </c>
      <c r="H113">
        <v>3.4220000000000002</v>
      </c>
      <c r="I113">
        <v>10001</v>
      </c>
      <c r="J113">
        <v>30000</v>
      </c>
    </row>
    <row r="114" spans="2:10" x14ac:dyDescent="0.25">
      <c r="B114" t="s">
        <v>511</v>
      </c>
      <c r="C114">
        <v>0.89370000000000005</v>
      </c>
      <c r="D114">
        <v>1.2589999999999999</v>
      </c>
      <c r="E114">
        <v>2.0740000000000001E-2</v>
      </c>
      <c r="F114" s="13">
        <v>9.5679999999999995E-4</v>
      </c>
      <c r="G114">
        <v>0.40820000000000001</v>
      </c>
      <c r="H114">
        <v>4.548</v>
      </c>
      <c r="I114">
        <v>10001</v>
      </c>
      <c r="J114">
        <v>30000</v>
      </c>
    </row>
    <row r="115" spans="2:10" x14ac:dyDescent="0.25">
      <c r="B115" t="s">
        <v>512</v>
      </c>
      <c r="C115">
        <v>0.98760000000000003</v>
      </c>
      <c r="D115">
        <v>1.405</v>
      </c>
      <c r="E115">
        <v>1.3520000000000001E-2</v>
      </c>
      <c r="F115" s="13">
        <v>8.8829999999999996E-4</v>
      </c>
      <c r="G115">
        <v>0.44540000000000002</v>
      </c>
      <c r="H115">
        <v>4.9630000000000001</v>
      </c>
      <c r="I115">
        <v>10001</v>
      </c>
      <c r="J115">
        <v>30000</v>
      </c>
    </row>
    <row r="116" spans="2:10" x14ac:dyDescent="0.25">
      <c r="B116" t="s">
        <v>513</v>
      </c>
      <c r="C116">
        <v>0.89380000000000004</v>
      </c>
      <c r="D116">
        <v>1.1919999999999999</v>
      </c>
      <c r="E116">
        <v>1.7440000000000001E-2</v>
      </c>
      <c r="F116" s="13">
        <v>9.9500000000000001E-4</v>
      </c>
      <c r="G116">
        <v>0.43769999999999998</v>
      </c>
      <c r="H116">
        <v>4.2530000000000001</v>
      </c>
      <c r="I116">
        <v>10001</v>
      </c>
      <c r="J116">
        <v>30000</v>
      </c>
    </row>
    <row r="117" spans="2:10" x14ac:dyDescent="0.25">
      <c r="B117" t="s">
        <v>514</v>
      </c>
      <c r="C117">
        <v>0.81110000000000004</v>
      </c>
      <c r="D117">
        <v>1.149</v>
      </c>
      <c r="E117">
        <v>1.042E-2</v>
      </c>
      <c r="F117" s="13">
        <v>7.5120000000000004E-4</v>
      </c>
      <c r="G117">
        <v>0.36359999999999998</v>
      </c>
      <c r="H117">
        <v>4.0970000000000004</v>
      </c>
      <c r="I117">
        <v>10001</v>
      </c>
      <c r="J117">
        <v>30000</v>
      </c>
    </row>
    <row r="118" spans="2:10" x14ac:dyDescent="0.25">
      <c r="B118" t="s">
        <v>515</v>
      </c>
      <c r="C118">
        <v>0.76590000000000003</v>
      </c>
      <c r="D118">
        <v>1.071</v>
      </c>
      <c r="E118">
        <v>1.4579999999999999E-2</v>
      </c>
      <c r="F118" s="13">
        <v>7.804E-4</v>
      </c>
      <c r="G118">
        <v>0.35089999999999999</v>
      </c>
      <c r="H118">
        <v>3.8420000000000001</v>
      </c>
      <c r="I118">
        <v>10001</v>
      </c>
      <c r="J118">
        <v>30000</v>
      </c>
    </row>
    <row r="119" spans="2:10" x14ac:dyDescent="0.25">
      <c r="B119" t="s">
        <v>516</v>
      </c>
      <c r="C119">
        <v>0.77729999999999999</v>
      </c>
      <c r="D119">
        <v>1.1020000000000001</v>
      </c>
      <c r="E119">
        <v>9.025E-3</v>
      </c>
      <c r="F119" s="13">
        <v>7.113E-4</v>
      </c>
      <c r="G119">
        <v>0.34960000000000002</v>
      </c>
      <c r="H119">
        <v>3.9569999999999999</v>
      </c>
      <c r="I119">
        <v>10001</v>
      </c>
      <c r="J119">
        <v>30000</v>
      </c>
    </row>
    <row r="120" spans="2:10" x14ac:dyDescent="0.25">
      <c r="B120" t="s">
        <v>517</v>
      </c>
      <c r="C120">
        <v>1.208</v>
      </c>
      <c r="D120">
        <v>1.613</v>
      </c>
      <c r="E120">
        <v>2.2859999999999998E-2</v>
      </c>
      <c r="F120">
        <v>1.279E-3</v>
      </c>
      <c r="G120">
        <v>0.58250000000000002</v>
      </c>
      <c r="H120">
        <v>5.742</v>
      </c>
      <c r="I120">
        <v>10001</v>
      </c>
      <c r="J120">
        <v>30000</v>
      </c>
    </row>
    <row r="121" spans="2:10" x14ac:dyDescent="0.25">
      <c r="B121" t="s">
        <v>518</v>
      </c>
      <c r="C121">
        <v>1.369</v>
      </c>
      <c r="D121">
        <v>1.7829999999999999</v>
      </c>
      <c r="E121">
        <v>3.2719999999999999E-2</v>
      </c>
      <c r="F121">
        <v>1.5100000000000001E-3</v>
      </c>
      <c r="G121">
        <v>0.69410000000000005</v>
      </c>
      <c r="H121">
        <v>6.3070000000000004</v>
      </c>
      <c r="I121">
        <v>10001</v>
      </c>
      <c r="J121">
        <v>30000</v>
      </c>
    </row>
    <row r="122" spans="2:10" x14ac:dyDescent="0.25">
      <c r="B122" t="s">
        <v>519</v>
      </c>
      <c r="C122">
        <v>1.296</v>
      </c>
      <c r="D122">
        <v>1.68</v>
      </c>
      <c r="E122">
        <v>2.6769999999999999E-2</v>
      </c>
      <c r="F122">
        <v>1.5939999999999999E-3</v>
      </c>
      <c r="G122">
        <v>0.6573</v>
      </c>
      <c r="H122">
        <v>6.0209999999999999</v>
      </c>
      <c r="I122">
        <v>10001</v>
      </c>
      <c r="J122">
        <v>30000</v>
      </c>
    </row>
    <row r="123" spans="2:10" x14ac:dyDescent="0.25">
      <c r="B123" t="s">
        <v>520</v>
      </c>
      <c r="C123">
        <v>1.1339999999999999</v>
      </c>
      <c r="D123">
        <v>1.5089999999999999</v>
      </c>
      <c r="E123">
        <v>2.2040000000000001E-2</v>
      </c>
      <c r="F123">
        <v>1.193E-3</v>
      </c>
      <c r="G123">
        <v>0.55269999999999997</v>
      </c>
      <c r="H123">
        <v>5.3710000000000004</v>
      </c>
      <c r="I123">
        <v>10001</v>
      </c>
      <c r="J123">
        <v>30000</v>
      </c>
    </row>
    <row r="124" spans="2:10" x14ac:dyDescent="0.25">
      <c r="B124" t="s">
        <v>521</v>
      </c>
      <c r="C124">
        <v>0.78059999999999996</v>
      </c>
      <c r="D124">
        <v>1.0820000000000001</v>
      </c>
      <c r="E124">
        <v>1.18E-2</v>
      </c>
      <c r="F124" s="13">
        <v>8.141E-4</v>
      </c>
      <c r="G124">
        <v>0.36630000000000001</v>
      </c>
      <c r="H124">
        <v>3.8149999999999999</v>
      </c>
      <c r="I124">
        <v>10001</v>
      </c>
      <c r="J124">
        <v>30000</v>
      </c>
    </row>
    <row r="125" spans="2:10" x14ac:dyDescent="0.25">
      <c r="B125" t="s">
        <v>522</v>
      </c>
      <c r="C125">
        <v>0.96189999999999998</v>
      </c>
      <c r="D125">
        <v>1.3009999999999999</v>
      </c>
      <c r="E125">
        <v>1.0330000000000001E-2</v>
      </c>
      <c r="F125">
        <v>1.005E-3</v>
      </c>
      <c r="G125">
        <v>0.4546</v>
      </c>
      <c r="H125">
        <v>4.6580000000000004</v>
      </c>
      <c r="I125">
        <v>10001</v>
      </c>
      <c r="J125">
        <v>30000</v>
      </c>
    </row>
    <row r="126" spans="2:10" x14ac:dyDescent="0.25">
      <c r="B126" t="s">
        <v>523</v>
      </c>
      <c r="C126">
        <v>0.7581</v>
      </c>
      <c r="D126">
        <v>1.0609999999999999</v>
      </c>
      <c r="E126">
        <v>6.77E-3</v>
      </c>
      <c r="F126" s="13">
        <v>8.0900000000000004E-4</v>
      </c>
      <c r="G126">
        <v>0.34820000000000001</v>
      </c>
      <c r="H126">
        <v>3.7730000000000001</v>
      </c>
      <c r="I126">
        <v>10001</v>
      </c>
      <c r="J126">
        <v>30000</v>
      </c>
    </row>
    <row r="127" spans="2:10" x14ac:dyDescent="0.25">
      <c r="B127" t="s">
        <v>524</v>
      </c>
      <c r="C127">
        <v>0.45929999999999999</v>
      </c>
      <c r="D127">
        <v>0.65759999999999996</v>
      </c>
      <c r="E127">
        <v>4.4999999999999997E-3</v>
      </c>
      <c r="F127" s="13">
        <v>4.5179999999999998E-4</v>
      </c>
      <c r="G127">
        <v>0.20810000000000001</v>
      </c>
      <c r="H127">
        <v>2.39</v>
      </c>
      <c r="I127">
        <v>10001</v>
      </c>
      <c r="J127">
        <v>30000</v>
      </c>
    </row>
    <row r="128" spans="2:10" x14ac:dyDescent="0.25">
      <c r="B128" t="s">
        <v>525</v>
      </c>
      <c r="C128">
        <v>1.03</v>
      </c>
      <c r="D128">
        <v>1.46</v>
      </c>
      <c r="E128">
        <v>1.9400000000000001E-2</v>
      </c>
      <c r="F128">
        <v>1.0709999999999999E-3</v>
      </c>
      <c r="G128">
        <v>0.47670000000000001</v>
      </c>
      <c r="H128">
        <v>5.1260000000000003</v>
      </c>
      <c r="I128">
        <v>10001</v>
      </c>
      <c r="J128">
        <v>30000</v>
      </c>
    </row>
    <row r="129" spans="2:10" x14ac:dyDescent="0.25">
      <c r="B129" t="s">
        <v>526</v>
      </c>
      <c r="C129">
        <v>1.141</v>
      </c>
      <c r="D129">
        <v>1.5740000000000001</v>
      </c>
      <c r="E129">
        <v>2.1760000000000002E-2</v>
      </c>
      <c r="F129">
        <v>1.1919999999999999E-3</v>
      </c>
      <c r="G129">
        <v>0.53110000000000002</v>
      </c>
      <c r="H129">
        <v>5.6</v>
      </c>
      <c r="I129">
        <v>10001</v>
      </c>
      <c r="J129">
        <v>30000</v>
      </c>
    </row>
    <row r="130" spans="2:10" x14ac:dyDescent="0.25">
      <c r="B130" t="s">
        <v>527</v>
      </c>
      <c r="C130">
        <v>5.9329999999999999E-3</v>
      </c>
      <c r="D130">
        <v>7.6799999999999993E-2</v>
      </c>
      <c r="E130">
        <v>1.0430000000000001E-3</v>
      </c>
      <c r="F130">
        <v>0</v>
      </c>
      <c r="G130">
        <v>0</v>
      </c>
      <c r="H130">
        <v>0</v>
      </c>
      <c r="I130">
        <v>10001</v>
      </c>
      <c r="J130">
        <v>30000</v>
      </c>
    </row>
    <row r="131" spans="2:10" x14ac:dyDescent="0.25">
      <c r="B131" t="s">
        <v>528</v>
      </c>
      <c r="C131">
        <v>2.5069999999999999E-2</v>
      </c>
      <c r="D131">
        <v>0.15629999999999999</v>
      </c>
      <c r="E131">
        <v>2.493E-3</v>
      </c>
      <c r="F131">
        <v>0</v>
      </c>
      <c r="G131">
        <v>0</v>
      </c>
      <c r="H131">
        <v>1</v>
      </c>
      <c r="I131">
        <v>10001</v>
      </c>
      <c r="J131">
        <v>30000</v>
      </c>
    </row>
    <row r="132" spans="2:10" x14ac:dyDescent="0.25">
      <c r="B132" t="s">
        <v>529</v>
      </c>
      <c r="C132">
        <v>4.6800000000000001E-2</v>
      </c>
      <c r="D132">
        <v>0.2112</v>
      </c>
      <c r="E132">
        <v>3.529E-3</v>
      </c>
      <c r="F132">
        <v>0</v>
      </c>
      <c r="G132">
        <v>0</v>
      </c>
      <c r="H132">
        <v>1</v>
      </c>
      <c r="I132">
        <v>10001</v>
      </c>
      <c r="J132">
        <v>30000</v>
      </c>
    </row>
    <row r="133" spans="2:10" x14ac:dyDescent="0.25">
      <c r="B133" t="s">
        <v>530</v>
      </c>
      <c r="C133">
        <v>9.7229999999999997E-2</v>
      </c>
      <c r="D133">
        <v>0.29630000000000001</v>
      </c>
      <c r="E133">
        <v>7.3379999999999999E-3</v>
      </c>
      <c r="F133">
        <v>0</v>
      </c>
      <c r="G133">
        <v>0</v>
      </c>
      <c r="H133">
        <v>1</v>
      </c>
      <c r="I133">
        <v>10001</v>
      </c>
      <c r="J133">
        <v>30000</v>
      </c>
    </row>
    <row r="134" spans="2:10" x14ac:dyDescent="0.25">
      <c r="B134" t="s">
        <v>531</v>
      </c>
      <c r="C134">
        <v>0.21640000000000001</v>
      </c>
      <c r="D134">
        <v>0.4118</v>
      </c>
      <c r="E134">
        <v>7.0390000000000001E-3</v>
      </c>
      <c r="F134">
        <v>0</v>
      </c>
      <c r="G134">
        <v>0</v>
      </c>
      <c r="H134">
        <v>1</v>
      </c>
      <c r="I134">
        <v>10001</v>
      </c>
      <c r="J134">
        <v>30000</v>
      </c>
    </row>
    <row r="135" spans="2:10" x14ac:dyDescent="0.25">
      <c r="B135" t="s">
        <v>532</v>
      </c>
      <c r="C135">
        <v>0.5796</v>
      </c>
      <c r="D135">
        <v>0.49359999999999998</v>
      </c>
      <c r="E135">
        <v>1.3440000000000001E-2</v>
      </c>
      <c r="F135">
        <v>0</v>
      </c>
      <c r="G135">
        <v>1</v>
      </c>
      <c r="H135">
        <v>1</v>
      </c>
      <c r="I135">
        <v>10001</v>
      </c>
      <c r="J135">
        <v>30000</v>
      </c>
    </row>
    <row r="136" spans="2:10" x14ac:dyDescent="0.25">
      <c r="B136" t="s">
        <v>533</v>
      </c>
      <c r="C136">
        <v>2.8469999999999999E-2</v>
      </c>
      <c r="D136">
        <v>0.1663</v>
      </c>
      <c r="E136">
        <v>2.297E-3</v>
      </c>
      <c r="F136">
        <v>0</v>
      </c>
      <c r="G136">
        <v>0</v>
      </c>
      <c r="H136">
        <v>1</v>
      </c>
      <c r="I136">
        <v>10001</v>
      </c>
      <c r="J136">
        <v>30000</v>
      </c>
    </row>
    <row r="137" spans="2:10" x14ac:dyDescent="0.25">
      <c r="B137" t="s">
        <v>534</v>
      </c>
      <c r="C137" s="13">
        <v>4.3330000000000002E-4</v>
      </c>
      <c r="D137">
        <v>2.0809999999999999E-2</v>
      </c>
      <c r="E137" s="13">
        <v>1.273E-4</v>
      </c>
      <c r="F137">
        <v>0</v>
      </c>
      <c r="G137">
        <v>0</v>
      </c>
      <c r="H137">
        <v>0</v>
      </c>
      <c r="I137">
        <v>10001</v>
      </c>
      <c r="J137">
        <v>30000</v>
      </c>
    </row>
    <row r="138" spans="2:10" x14ac:dyDescent="0.25">
      <c r="B138" t="s">
        <v>535</v>
      </c>
      <c r="C138" s="13">
        <v>3.3330000000000001E-5</v>
      </c>
      <c r="D138">
        <v>5.7730000000000004E-3</v>
      </c>
      <c r="E138" s="13">
        <v>3.345E-5</v>
      </c>
      <c r="F138">
        <v>0</v>
      </c>
      <c r="G138">
        <v>0</v>
      </c>
      <c r="H138">
        <v>0</v>
      </c>
      <c r="I138">
        <v>10001</v>
      </c>
      <c r="J138">
        <v>30000</v>
      </c>
    </row>
    <row r="139" spans="2:10" x14ac:dyDescent="0.25">
      <c r="B139" t="s">
        <v>536</v>
      </c>
      <c r="C139">
        <v>0</v>
      </c>
      <c r="D139">
        <v>0</v>
      </c>
      <c r="E139" s="13">
        <v>3.333E-13</v>
      </c>
      <c r="F139">
        <v>0</v>
      </c>
      <c r="G139">
        <v>0</v>
      </c>
      <c r="H139">
        <v>0</v>
      </c>
      <c r="I139">
        <v>10001</v>
      </c>
      <c r="J139">
        <v>30000</v>
      </c>
    </row>
    <row r="140" spans="2:10" x14ac:dyDescent="0.25">
      <c r="B140" t="s">
        <v>537</v>
      </c>
      <c r="C140" s="13">
        <v>1.3329999999999999E-4</v>
      </c>
      <c r="D140">
        <v>1.155E-2</v>
      </c>
      <c r="E140" s="13">
        <v>6.6550000000000005E-5</v>
      </c>
      <c r="F140">
        <v>0</v>
      </c>
      <c r="G140">
        <v>0</v>
      </c>
      <c r="H140">
        <v>0</v>
      </c>
      <c r="I140">
        <v>10001</v>
      </c>
      <c r="J140">
        <v>30000</v>
      </c>
    </row>
    <row r="141" spans="2:10" x14ac:dyDescent="0.25">
      <c r="B141" t="s">
        <v>538</v>
      </c>
      <c r="C141" s="13">
        <v>5.0000000000000001E-4</v>
      </c>
      <c r="D141">
        <v>2.2360000000000001E-2</v>
      </c>
      <c r="E141" s="13">
        <v>1.35E-4</v>
      </c>
      <c r="F141">
        <v>0</v>
      </c>
      <c r="G141">
        <v>0</v>
      </c>
      <c r="H141">
        <v>0</v>
      </c>
      <c r="I141">
        <v>10001</v>
      </c>
      <c r="J141">
        <v>30000</v>
      </c>
    </row>
    <row r="142" spans="2:10" x14ac:dyDescent="0.25">
      <c r="B142" t="s">
        <v>539</v>
      </c>
      <c r="C142">
        <v>2.1329999999999999E-3</v>
      </c>
      <c r="D142">
        <v>4.614E-2</v>
      </c>
      <c r="E142" s="13">
        <v>3.455E-4</v>
      </c>
      <c r="F142">
        <v>0</v>
      </c>
      <c r="G142">
        <v>0</v>
      </c>
      <c r="H142">
        <v>0</v>
      </c>
      <c r="I142">
        <v>10001</v>
      </c>
      <c r="J142">
        <v>30000</v>
      </c>
    </row>
    <row r="143" spans="2:10" x14ac:dyDescent="0.25">
      <c r="B143" t="s">
        <v>540</v>
      </c>
      <c r="C143">
        <v>9.7330000000000003E-3</v>
      </c>
      <c r="D143">
        <v>9.8180000000000003E-2</v>
      </c>
      <c r="E143">
        <v>1.0449999999999999E-3</v>
      </c>
      <c r="F143">
        <v>0</v>
      </c>
      <c r="G143">
        <v>0</v>
      </c>
      <c r="H143">
        <v>0</v>
      </c>
      <c r="I143">
        <v>10001</v>
      </c>
      <c r="J143">
        <v>30000</v>
      </c>
    </row>
    <row r="144" spans="2:10" x14ac:dyDescent="0.25">
      <c r="B144" t="s">
        <v>541</v>
      </c>
      <c r="C144">
        <v>7.9100000000000004E-2</v>
      </c>
      <c r="D144">
        <v>0.26989999999999997</v>
      </c>
      <c r="E144">
        <v>4.8979999999999996E-3</v>
      </c>
      <c r="F144">
        <v>0</v>
      </c>
      <c r="G144">
        <v>0</v>
      </c>
      <c r="H144">
        <v>1</v>
      </c>
      <c r="I144">
        <v>10001</v>
      </c>
      <c r="J144">
        <v>30000</v>
      </c>
    </row>
    <row r="145" spans="2:10" x14ac:dyDescent="0.25">
      <c r="B145" t="s">
        <v>542</v>
      </c>
      <c r="C145">
        <v>0.87390000000000001</v>
      </c>
      <c r="D145">
        <v>0.33189999999999997</v>
      </c>
      <c r="E145">
        <v>6.6709999999999998E-3</v>
      </c>
      <c r="F145">
        <v>0</v>
      </c>
      <c r="G145">
        <v>1</v>
      </c>
      <c r="H145">
        <v>1</v>
      </c>
      <c r="I145">
        <v>10001</v>
      </c>
      <c r="J145">
        <v>30000</v>
      </c>
    </row>
    <row r="146" spans="2:10" x14ac:dyDescent="0.25">
      <c r="B146" t="s">
        <v>543</v>
      </c>
      <c r="C146">
        <v>3.4169999999999999E-2</v>
      </c>
      <c r="D146">
        <v>0.1817</v>
      </c>
      <c r="E146">
        <v>3.771E-3</v>
      </c>
      <c r="F146">
        <v>0</v>
      </c>
      <c r="G146">
        <v>0</v>
      </c>
      <c r="H146">
        <v>1</v>
      </c>
      <c r="I146">
        <v>10001</v>
      </c>
      <c r="J146">
        <v>30000</v>
      </c>
    </row>
    <row r="147" spans="2:10" x14ac:dyDescent="0.25">
      <c r="B147" t="s">
        <v>544</v>
      </c>
      <c r="C147" s="13">
        <v>2.9999999999999997E-4</v>
      </c>
      <c r="D147">
        <v>1.7319999999999999E-2</v>
      </c>
      <c r="E147" s="13">
        <v>1.37E-4</v>
      </c>
      <c r="F147">
        <v>0</v>
      </c>
      <c r="G147">
        <v>0</v>
      </c>
      <c r="H147">
        <v>0</v>
      </c>
      <c r="I147">
        <v>10001</v>
      </c>
      <c r="J147">
        <v>30000</v>
      </c>
    </row>
    <row r="148" spans="2:10" x14ac:dyDescent="0.25">
      <c r="B148" t="s">
        <v>545</v>
      </c>
      <c r="C148">
        <v>4.8770000000000001E-2</v>
      </c>
      <c r="D148">
        <v>0.21540000000000001</v>
      </c>
      <c r="E148">
        <v>6.3800000000000003E-3</v>
      </c>
      <c r="F148">
        <v>0</v>
      </c>
      <c r="G148">
        <v>0</v>
      </c>
      <c r="H148">
        <v>1</v>
      </c>
      <c r="I148">
        <v>10001</v>
      </c>
      <c r="J148">
        <v>30000</v>
      </c>
    </row>
    <row r="149" spans="2:10" x14ac:dyDescent="0.25">
      <c r="B149" t="s">
        <v>546</v>
      </c>
      <c r="C149">
        <v>0.15540000000000001</v>
      </c>
      <c r="D149">
        <v>0.36230000000000001</v>
      </c>
      <c r="E149">
        <v>7.0349999999999996E-3</v>
      </c>
      <c r="F149">
        <v>0</v>
      </c>
      <c r="G149">
        <v>0</v>
      </c>
      <c r="H149">
        <v>1</v>
      </c>
      <c r="I149">
        <v>10001</v>
      </c>
      <c r="J149">
        <v>30000</v>
      </c>
    </row>
    <row r="150" spans="2:10" x14ac:dyDescent="0.25">
      <c r="B150" t="s">
        <v>547</v>
      </c>
      <c r="C150">
        <v>0.30470000000000003</v>
      </c>
      <c r="D150">
        <v>0.46029999999999999</v>
      </c>
      <c r="E150">
        <v>8.6910000000000008E-3</v>
      </c>
      <c r="F150">
        <v>0</v>
      </c>
      <c r="G150">
        <v>0</v>
      </c>
      <c r="H150">
        <v>1</v>
      </c>
      <c r="I150">
        <v>10001</v>
      </c>
      <c r="J150">
        <v>30000</v>
      </c>
    </row>
    <row r="151" spans="2:10" x14ac:dyDescent="0.25">
      <c r="B151" t="s">
        <v>548</v>
      </c>
      <c r="C151">
        <v>0.31540000000000001</v>
      </c>
      <c r="D151">
        <v>0.4647</v>
      </c>
      <c r="E151">
        <v>8.6610000000000003E-3</v>
      </c>
      <c r="F151">
        <v>0</v>
      </c>
      <c r="G151">
        <v>0</v>
      </c>
      <c r="H151">
        <v>1</v>
      </c>
      <c r="I151">
        <v>10001</v>
      </c>
      <c r="J151">
        <v>30000</v>
      </c>
    </row>
    <row r="152" spans="2:10" x14ac:dyDescent="0.25">
      <c r="B152" t="s">
        <v>549</v>
      </c>
      <c r="C152">
        <v>0.13719999999999999</v>
      </c>
      <c r="D152">
        <v>0.34399999999999997</v>
      </c>
      <c r="E152">
        <v>6.9550000000000002E-3</v>
      </c>
      <c r="F152">
        <v>0</v>
      </c>
      <c r="G152">
        <v>0</v>
      </c>
      <c r="H152">
        <v>1</v>
      </c>
      <c r="I152">
        <v>10001</v>
      </c>
      <c r="J152">
        <v>30000</v>
      </c>
    </row>
    <row r="153" spans="2:10" x14ac:dyDescent="0.25">
      <c r="B153" t="s">
        <v>550</v>
      </c>
      <c r="C153">
        <v>3.6729999999999999E-2</v>
      </c>
      <c r="D153">
        <v>0.18809999999999999</v>
      </c>
      <c r="E153">
        <v>4.2729999999999999E-3</v>
      </c>
      <c r="F153">
        <v>0</v>
      </c>
      <c r="G153">
        <v>0</v>
      </c>
      <c r="H153">
        <v>1</v>
      </c>
      <c r="I153">
        <v>10001</v>
      </c>
      <c r="J153">
        <v>30000</v>
      </c>
    </row>
    <row r="154" spans="2:10" x14ac:dyDescent="0.25">
      <c r="B154" t="s">
        <v>551</v>
      </c>
      <c r="C154">
        <v>1.7329999999999999E-3</v>
      </c>
      <c r="D154">
        <v>4.1599999999999998E-2</v>
      </c>
      <c r="E154" s="13">
        <v>3.1960000000000002E-4</v>
      </c>
      <c r="F154">
        <v>0</v>
      </c>
      <c r="G154">
        <v>0</v>
      </c>
      <c r="H154">
        <v>0</v>
      </c>
      <c r="I154">
        <v>10001</v>
      </c>
      <c r="J154">
        <v>30000</v>
      </c>
    </row>
    <row r="155" spans="2:10" x14ac:dyDescent="0.25">
      <c r="B155" t="s">
        <v>552</v>
      </c>
      <c r="C155" s="13">
        <v>1.3329999999999999E-4</v>
      </c>
      <c r="D155">
        <v>1.155E-2</v>
      </c>
      <c r="E155" s="13">
        <v>6.6550000000000005E-5</v>
      </c>
      <c r="F155">
        <v>0</v>
      </c>
      <c r="G155">
        <v>0</v>
      </c>
      <c r="H155">
        <v>0</v>
      </c>
      <c r="I155">
        <v>10001</v>
      </c>
      <c r="J155">
        <v>30000</v>
      </c>
    </row>
    <row r="156" spans="2:10" x14ac:dyDescent="0.25">
      <c r="B156" t="s">
        <v>553</v>
      </c>
      <c r="C156">
        <v>0</v>
      </c>
      <c r="D156">
        <v>0</v>
      </c>
      <c r="E156" s="13">
        <v>3.333E-13</v>
      </c>
      <c r="F156">
        <v>0</v>
      </c>
      <c r="G156">
        <v>0</v>
      </c>
      <c r="H156">
        <v>0</v>
      </c>
      <c r="I156">
        <v>10001</v>
      </c>
      <c r="J156">
        <v>30000</v>
      </c>
    </row>
    <row r="157" spans="2:10" x14ac:dyDescent="0.25">
      <c r="B157" t="s">
        <v>554</v>
      </c>
      <c r="C157">
        <v>0.28089999999999998</v>
      </c>
      <c r="D157">
        <v>0.44950000000000001</v>
      </c>
      <c r="E157">
        <v>9.7800000000000005E-3</v>
      </c>
      <c r="F157">
        <v>0</v>
      </c>
      <c r="G157">
        <v>0</v>
      </c>
      <c r="H157">
        <v>1</v>
      </c>
      <c r="I157">
        <v>10001</v>
      </c>
      <c r="J157">
        <v>30000</v>
      </c>
    </row>
    <row r="158" spans="2:10" x14ac:dyDescent="0.25">
      <c r="B158" t="s">
        <v>555</v>
      </c>
      <c r="C158">
        <v>0.36780000000000002</v>
      </c>
      <c r="D158">
        <v>0.48220000000000002</v>
      </c>
      <c r="E158">
        <v>9.0050000000000009E-3</v>
      </c>
      <c r="F158">
        <v>0</v>
      </c>
      <c r="G158">
        <v>0</v>
      </c>
      <c r="H158">
        <v>1</v>
      </c>
      <c r="I158">
        <v>10001</v>
      </c>
      <c r="J158">
        <v>30000</v>
      </c>
    </row>
    <row r="159" spans="2:10" x14ac:dyDescent="0.25">
      <c r="B159" t="s">
        <v>556</v>
      </c>
      <c r="C159">
        <v>0.19</v>
      </c>
      <c r="D159">
        <v>0.39229999999999998</v>
      </c>
      <c r="E159">
        <v>7.2110000000000004E-3</v>
      </c>
      <c r="F159">
        <v>0</v>
      </c>
      <c r="G159">
        <v>0</v>
      </c>
      <c r="H159">
        <v>1</v>
      </c>
      <c r="I159">
        <v>10001</v>
      </c>
      <c r="J159">
        <v>30000</v>
      </c>
    </row>
    <row r="160" spans="2:10" x14ac:dyDescent="0.25">
      <c r="B160" t="s">
        <v>557</v>
      </c>
      <c r="C160">
        <v>8.523E-2</v>
      </c>
      <c r="D160">
        <v>0.2792</v>
      </c>
      <c r="E160">
        <v>4.2069999999999998E-3</v>
      </c>
      <c r="F160">
        <v>0</v>
      </c>
      <c r="G160">
        <v>0</v>
      </c>
      <c r="H160">
        <v>1</v>
      </c>
      <c r="I160">
        <v>10001</v>
      </c>
      <c r="J160">
        <v>30000</v>
      </c>
    </row>
    <row r="161" spans="2:10" x14ac:dyDescent="0.25">
      <c r="B161" t="s">
        <v>558</v>
      </c>
      <c r="C161">
        <v>5.1200000000000002E-2</v>
      </c>
      <c r="D161">
        <v>0.22040000000000001</v>
      </c>
      <c r="E161">
        <v>4.5469999999999998E-3</v>
      </c>
      <c r="F161">
        <v>0</v>
      </c>
      <c r="G161">
        <v>0</v>
      </c>
      <c r="H161">
        <v>1</v>
      </c>
      <c r="I161">
        <v>10001</v>
      </c>
      <c r="J161">
        <v>30000</v>
      </c>
    </row>
    <row r="162" spans="2:10" x14ac:dyDescent="0.25">
      <c r="B162" t="s">
        <v>559</v>
      </c>
      <c r="C162">
        <v>2.0230000000000001E-2</v>
      </c>
      <c r="D162">
        <v>0.14080000000000001</v>
      </c>
      <c r="E162">
        <v>1.9480000000000001E-3</v>
      </c>
      <c r="F162">
        <v>0</v>
      </c>
      <c r="G162">
        <v>0</v>
      </c>
      <c r="H162">
        <v>0</v>
      </c>
      <c r="I162">
        <v>10001</v>
      </c>
      <c r="J162">
        <v>30000</v>
      </c>
    </row>
    <row r="163" spans="2:10" x14ac:dyDescent="0.25">
      <c r="B163" t="s">
        <v>560</v>
      </c>
      <c r="C163">
        <v>4.2329999999999998E-3</v>
      </c>
      <c r="D163">
        <v>6.4930000000000002E-2</v>
      </c>
      <c r="E163" s="13">
        <v>5.8339999999999998E-4</v>
      </c>
      <c r="F163">
        <v>0</v>
      </c>
      <c r="G163">
        <v>0</v>
      </c>
      <c r="H163">
        <v>0</v>
      </c>
      <c r="I163">
        <v>10001</v>
      </c>
      <c r="J163">
        <v>30000</v>
      </c>
    </row>
    <row r="164" spans="2:10" x14ac:dyDescent="0.25">
      <c r="B164" t="s">
        <v>561</v>
      </c>
      <c r="C164" s="13">
        <v>3.3330000000000002E-4</v>
      </c>
      <c r="D164">
        <v>1.8249999999999999E-2</v>
      </c>
      <c r="E164" s="13">
        <v>1.144E-4</v>
      </c>
      <c r="F164">
        <v>0</v>
      </c>
      <c r="G164">
        <v>0</v>
      </c>
      <c r="H164">
        <v>0</v>
      </c>
      <c r="I164">
        <v>10001</v>
      </c>
      <c r="J164">
        <v>30000</v>
      </c>
    </row>
    <row r="165" spans="2:10" x14ac:dyDescent="0.25">
      <c r="B165" t="s">
        <v>562</v>
      </c>
      <c r="C165" s="13">
        <v>3.3330000000000001E-5</v>
      </c>
      <c r="D165">
        <v>5.7730000000000004E-3</v>
      </c>
      <c r="E165" s="13">
        <v>3.345E-5</v>
      </c>
      <c r="F165">
        <v>0</v>
      </c>
      <c r="G165">
        <v>0</v>
      </c>
      <c r="H165">
        <v>0</v>
      </c>
      <c r="I165">
        <v>10001</v>
      </c>
      <c r="J165">
        <v>30000</v>
      </c>
    </row>
    <row r="166" spans="2:10" x14ac:dyDescent="0.25">
      <c r="B166" t="s">
        <v>563</v>
      </c>
      <c r="C166">
        <v>0.4506</v>
      </c>
      <c r="D166">
        <v>0.49759999999999999</v>
      </c>
      <c r="E166">
        <v>1.303E-2</v>
      </c>
      <c r="F166">
        <v>0</v>
      </c>
      <c r="G166">
        <v>0</v>
      </c>
      <c r="H166">
        <v>1</v>
      </c>
      <c r="I166">
        <v>10001</v>
      </c>
      <c r="J166">
        <v>30000</v>
      </c>
    </row>
    <row r="167" spans="2:10" x14ac:dyDescent="0.25">
      <c r="B167" t="s">
        <v>564</v>
      </c>
      <c r="C167">
        <v>0.1288</v>
      </c>
      <c r="D167">
        <v>0.33489999999999998</v>
      </c>
      <c r="E167">
        <v>5.8149999999999999E-3</v>
      </c>
      <c r="F167">
        <v>0</v>
      </c>
      <c r="G167">
        <v>0</v>
      </c>
      <c r="H167">
        <v>1</v>
      </c>
      <c r="I167">
        <v>10001</v>
      </c>
      <c r="J167">
        <v>30000</v>
      </c>
    </row>
    <row r="168" spans="2:10" x14ac:dyDescent="0.25">
      <c r="B168" t="s">
        <v>565</v>
      </c>
      <c r="C168">
        <v>0.1048</v>
      </c>
      <c r="D168">
        <v>0.30630000000000002</v>
      </c>
      <c r="E168">
        <v>4.1139999999999996E-3</v>
      </c>
      <c r="F168">
        <v>0</v>
      </c>
      <c r="G168">
        <v>0</v>
      </c>
      <c r="H168">
        <v>1</v>
      </c>
      <c r="I168">
        <v>10001</v>
      </c>
      <c r="J168">
        <v>30000</v>
      </c>
    </row>
    <row r="169" spans="2:10" x14ac:dyDescent="0.25">
      <c r="B169" t="s">
        <v>566</v>
      </c>
      <c r="C169">
        <v>0.1105</v>
      </c>
      <c r="D169">
        <v>0.3135</v>
      </c>
      <c r="E169">
        <v>5.0720000000000001E-3</v>
      </c>
      <c r="F169">
        <v>0</v>
      </c>
      <c r="G169">
        <v>0</v>
      </c>
      <c r="H169">
        <v>1</v>
      </c>
      <c r="I169">
        <v>10001</v>
      </c>
      <c r="J169">
        <v>30000</v>
      </c>
    </row>
    <row r="170" spans="2:10" x14ac:dyDescent="0.25">
      <c r="B170" t="s">
        <v>567</v>
      </c>
      <c r="C170">
        <v>9.6629999999999994E-2</v>
      </c>
      <c r="D170">
        <v>0.29549999999999998</v>
      </c>
      <c r="E170">
        <v>5.4910000000000002E-3</v>
      </c>
      <c r="F170">
        <v>0</v>
      </c>
      <c r="G170">
        <v>0</v>
      </c>
      <c r="H170">
        <v>1</v>
      </c>
      <c r="I170">
        <v>10001</v>
      </c>
      <c r="J170">
        <v>30000</v>
      </c>
    </row>
    <row r="171" spans="2:10" x14ac:dyDescent="0.25">
      <c r="B171" t="s">
        <v>568</v>
      </c>
      <c r="C171">
        <v>8.3169999999999994E-2</v>
      </c>
      <c r="D171">
        <v>0.27610000000000001</v>
      </c>
      <c r="E171">
        <v>5.9849999999999999E-3</v>
      </c>
      <c r="F171">
        <v>0</v>
      </c>
      <c r="G171">
        <v>0</v>
      </c>
      <c r="H171">
        <v>1</v>
      </c>
      <c r="I171">
        <v>10001</v>
      </c>
      <c r="J171">
        <v>30000</v>
      </c>
    </row>
    <row r="172" spans="2:10" x14ac:dyDescent="0.25">
      <c r="B172" t="s">
        <v>569</v>
      </c>
      <c r="C172">
        <v>2.2530000000000001E-2</v>
      </c>
      <c r="D172">
        <v>0.1484</v>
      </c>
      <c r="E172">
        <v>2.003E-3</v>
      </c>
      <c r="F172">
        <v>0</v>
      </c>
      <c r="G172">
        <v>0</v>
      </c>
      <c r="H172">
        <v>0</v>
      </c>
      <c r="I172">
        <v>10001</v>
      </c>
      <c r="J172">
        <v>30000</v>
      </c>
    </row>
    <row r="173" spans="2:10" x14ac:dyDescent="0.25">
      <c r="B173" t="s">
        <v>570</v>
      </c>
      <c r="C173">
        <v>2.7000000000000001E-3</v>
      </c>
      <c r="D173">
        <v>5.1889999999999999E-2</v>
      </c>
      <c r="E173" s="13">
        <v>4.484E-4</v>
      </c>
      <c r="F173">
        <v>0</v>
      </c>
      <c r="G173">
        <v>0</v>
      </c>
      <c r="H173">
        <v>0</v>
      </c>
      <c r="I173">
        <v>10001</v>
      </c>
      <c r="J173">
        <v>30000</v>
      </c>
    </row>
    <row r="174" spans="2:10" x14ac:dyDescent="0.25">
      <c r="B174" t="s">
        <v>571</v>
      </c>
      <c r="C174" s="13">
        <v>4.0000000000000002E-4</v>
      </c>
      <c r="D174">
        <v>0.02</v>
      </c>
      <c r="E174" s="13">
        <v>1.2320000000000001E-4</v>
      </c>
      <c r="F174">
        <v>0</v>
      </c>
      <c r="G174">
        <v>0</v>
      </c>
      <c r="H174">
        <v>0</v>
      </c>
      <c r="I174">
        <v>10001</v>
      </c>
      <c r="J174">
        <v>30000</v>
      </c>
    </row>
    <row r="175" spans="2:10" x14ac:dyDescent="0.25">
      <c r="B175" t="s">
        <v>572</v>
      </c>
      <c r="C175">
        <v>0.16750000000000001</v>
      </c>
      <c r="D175">
        <v>0.37340000000000001</v>
      </c>
      <c r="E175">
        <v>8.5780000000000006E-3</v>
      </c>
      <c r="F175">
        <v>0</v>
      </c>
      <c r="G175">
        <v>0</v>
      </c>
      <c r="H175">
        <v>1</v>
      </c>
      <c r="I175">
        <v>10001</v>
      </c>
      <c r="J175">
        <v>30000</v>
      </c>
    </row>
    <row r="176" spans="2:10" x14ac:dyDescent="0.25">
      <c r="B176" t="s">
        <v>573</v>
      </c>
      <c r="C176">
        <v>0.2104</v>
      </c>
      <c r="D176">
        <v>0.40760000000000002</v>
      </c>
      <c r="E176">
        <v>6.7970000000000001E-3</v>
      </c>
      <c r="F176">
        <v>0</v>
      </c>
      <c r="G176">
        <v>0</v>
      </c>
      <c r="H176">
        <v>1</v>
      </c>
      <c r="I176">
        <v>10001</v>
      </c>
      <c r="J176">
        <v>30000</v>
      </c>
    </row>
    <row r="177" spans="2:10" x14ac:dyDescent="0.25">
      <c r="B177" t="s">
        <v>574</v>
      </c>
      <c r="C177">
        <v>0.18940000000000001</v>
      </c>
      <c r="D177">
        <v>0.39179999999999998</v>
      </c>
      <c r="E177">
        <v>6.1130000000000004E-3</v>
      </c>
      <c r="F177">
        <v>0</v>
      </c>
      <c r="G177">
        <v>0</v>
      </c>
      <c r="H177">
        <v>1</v>
      </c>
      <c r="I177">
        <v>10001</v>
      </c>
      <c r="J177">
        <v>30000</v>
      </c>
    </row>
    <row r="178" spans="2:10" x14ac:dyDescent="0.25">
      <c r="B178" t="s">
        <v>575</v>
      </c>
      <c r="C178">
        <v>0.15770000000000001</v>
      </c>
      <c r="D178">
        <v>0.3644</v>
      </c>
      <c r="E178">
        <v>6.3169999999999997E-3</v>
      </c>
      <c r="F178">
        <v>0</v>
      </c>
      <c r="G178">
        <v>0</v>
      </c>
      <c r="H178">
        <v>1</v>
      </c>
      <c r="I178">
        <v>10001</v>
      </c>
      <c r="J178">
        <v>30000</v>
      </c>
    </row>
    <row r="179" spans="2:10" x14ac:dyDescent="0.25">
      <c r="B179" t="s">
        <v>576</v>
      </c>
      <c r="C179">
        <v>0.1535</v>
      </c>
      <c r="D179">
        <v>0.3604</v>
      </c>
      <c r="E179">
        <v>8.8280000000000008E-3</v>
      </c>
      <c r="F179">
        <v>0</v>
      </c>
      <c r="G179">
        <v>0</v>
      </c>
      <c r="H179">
        <v>1</v>
      </c>
      <c r="I179">
        <v>10001</v>
      </c>
      <c r="J179">
        <v>30000</v>
      </c>
    </row>
    <row r="180" spans="2:10" x14ac:dyDescent="0.25">
      <c r="B180" t="s">
        <v>577</v>
      </c>
      <c r="C180">
        <v>9.2100000000000001E-2</v>
      </c>
      <c r="D180">
        <v>0.28920000000000001</v>
      </c>
      <c r="E180">
        <v>6.4070000000000004E-3</v>
      </c>
      <c r="F180">
        <v>0</v>
      </c>
      <c r="G180">
        <v>0</v>
      </c>
      <c r="H180">
        <v>1</v>
      </c>
      <c r="I180">
        <v>10001</v>
      </c>
      <c r="J180">
        <v>30000</v>
      </c>
    </row>
    <row r="181" spans="2:10" x14ac:dyDescent="0.25">
      <c r="B181" t="s">
        <v>578</v>
      </c>
      <c r="C181">
        <v>2.6100000000000002E-2</v>
      </c>
      <c r="D181">
        <v>0.15939999999999999</v>
      </c>
      <c r="E181">
        <v>2.5000000000000001E-3</v>
      </c>
      <c r="F181">
        <v>0</v>
      </c>
      <c r="G181">
        <v>0</v>
      </c>
      <c r="H181">
        <v>1</v>
      </c>
      <c r="I181">
        <v>10001</v>
      </c>
      <c r="J181">
        <v>30000</v>
      </c>
    </row>
    <row r="182" spans="2:10" x14ac:dyDescent="0.25">
      <c r="B182" t="s">
        <v>579</v>
      </c>
      <c r="C182">
        <v>3.2000000000000002E-3</v>
      </c>
      <c r="D182">
        <v>5.6480000000000002E-2</v>
      </c>
      <c r="E182" s="13">
        <v>6.1890000000000003E-4</v>
      </c>
      <c r="F182">
        <v>0</v>
      </c>
      <c r="G182">
        <v>0</v>
      </c>
      <c r="H182">
        <v>0</v>
      </c>
      <c r="I182">
        <v>10001</v>
      </c>
      <c r="J182">
        <v>30000</v>
      </c>
    </row>
    <row r="183" spans="2:10" x14ac:dyDescent="0.25">
      <c r="B183" t="s">
        <v>580</v>
      </c>
      <c r="C183" s="13">
        <v>2.0000000000000001E-4</v>
      </c>
      <c r="D183">
        <v>1.414E-2</v>
      </c>
      <c r="E183" s="13">
        <v>1.053E-4</v>
      </c>
      <c r="F183">
        <v>0</v>
      </c>
      <c r="G183">
        <v>0</v>
      </c>
      <c r="H183">
        <v>0</v>
      </c>
      <c r="I183">
        <v>10001</v>
      </c>
      <c r="J183">
        <v>30000</v>
      </c>
    </row>
    <row r="184" spans="2:10" x14ac:dyDescent="0.25">
      <c r="B184" t="s">
        <v>581</v>
      </c>
      <c r="C184">
        <v>4.5569999999999999E-2</v>
      </c>
      <c r="D184">
        <v>0.20849999999999999</v>
      </c>
      <c r="E184">
        <v>4.1989999999999996E-3</v>
      </c>
      <c r="F184">
        <v>0</v>
      </c>
      <c r="G184">
        <v>0</v>
      </c>
      <c r="H184">
        <v>1</v>
      </c>
      <c r="I184">
        <v>10001</v>
      </c>
      <c r="J184">
        <v>30000</v>
      </c>
    </row>
    <row r="185" spans="2:10" x14ac:dyDescent="0.25">
      <c r="B185" t="s">
        <v>582</v>
      </c>
      <c r="C185">
        <v>0.1111</v>
      </c>
      <c r="D185">
        <v>0.31430000000000002</v>
      </c>
      <c r="E185">
        <v>6.6709999999999998E-3</v>
      </c>
      <c r="F185">
        <v>0</v>
      </c>
      <c r="G185">
        <v>0</v>
      </c>
      <c r="H185">
        <v>1</v>
      </c>
      <c r="I185">
        <v>10001</v>
      </c>
      <c r="J185">
        <v>30000</v>
      </c>
    </row>
    <row r="186" spans="2:10" x14ac:dyDescent="0.25">
      <c r="B186" t="s">
        <v>583</v>
      </c>
      <c r="C186">
        <v>0.16289999999999999</v>
      </c>
      <c r="D186">
        <v>0.36930000000000002</v>
      </c>
      <c r="E186">
        <v>6.9459999999999999E-3</v>
      </c>
      <c r="F186">
        <v>0</v>
      </c>
      <c r="G186">
        <v>0</v>
      </c>
      <c r="H186">
        <v>1</v>
      </c>
      <c r="I186">
        <v>10001</v>
      </c>
      <c r="J186">
        <v>30000</v>
      </c>
    </row>
    <row r="187" spans="2:10" x14ac:dyDescent="0.25">
      <c r="B187" t="s">
        <v>584</v>
      </c>
      <c r="C187">
        <v>0.23050000000000001</v>
      </c>
      <c r="D187">
        <v>0.42120000000000002</v>
      </c>
      <c r="E187">
        <v>6.855E-3</v>
      </c>
      <c r="F187">
        <v>0</v>
      </c>
      <c r="G187">
        <v>0</v>
      </c>
      <c r="H187">
        <v>1</v>
      </c>
      <c r="I187">
        <v>10001</v>
      </c>
      <c r="J187">
        <v>30000</v>
      </c>
    </row>
    <row r="188" spans="2:10" x14ac:dyDescent="0.25">
      <c r="B188" t="s">
        <v>585</v>
      </c>
      <c r="C188">
        <v>0.3332</v>
      </c>
      <c r="D188">
        <v>0.47139999999999999</v>
      </c>
      <c r="E188">
        <v>9.9760000000000005E-3</v>
      </c>
      <c r="F188">
        <v>0</v>
      </c>
      <c r="G188">
        <v>0</v>
      </c>
      <c r="H188">
        <v>1</v>
      </c>
      <c r="I188">
        <v>10001</v>
      </c>
      <c r="J188">
        <v>30000</v>
      </c>
    </row>
    <row r="189" spans="2:10" x14ac:dyDescent="0.25">
      <c r="B189" t="s">
        <v>586</v>
      </c>
      <c r="C189">
        <v>0.1028</v>
      </c>
      <c r="D189">
        <v>0.30370000000000003</v>
      </c>
      <c r="E189">
        <v>5.1200000000000004E-3</v>
      </c>
      <c r="F189">
        <v>0</v>
      </c>
      <c r="G189">
        <v>0</v>
      </c>
      <c r="H189">
        <v>1</v>
      </c>
      <c r="I189">
        <v>10001</v>
      </c>
      <c r="J189">
        <v>30000</v>
      </c>
    </row>
    <row r="190" spans="2:10" x14ac:dyDescent="0.25">
      <c r="B190" t="s">
        <v>587</v>
      </c>
      <c r="C190">
        <v>1.333E-2</v>
      </c>
      <c r="D190">
        <v>0.1147</v>
      </c>
      <c r="E190">
        <v>3.6380000000000002E-3</v>
      </c>
      <c r="F190">
        <v>0</v>
      </c>
      <c r="G190">
        <v>0</v>
      </c>
      <c r="H190">
        <v>0</v>
      </c>
      <c r="I190">
        <v>10001</v>
      </c>
      <c r="J190">
        <v>30000</v>
      </c>
    </row>
    <row r="191" spans="2:10" x14ac:dyDescent="0.25">
      <c r="B191" t="s">
        <v>588</v>
      </c>
      <c r="C191" s="13">
        <v>5.0000000000000001E-4</v>
      </c>
      <c r="D191">
        <v>2.2360000000000001E-2</v>
      </c>
      <c r="E191" s="13">
        <v>1.35E-4</v>
      </c>
      <c r="F191">
        <v>0</v>
      </c>
      <c r="G191">
        <v>0</v>
      </c>
      <c r="H191">
        <v>0</v>
      </c>
      <c r="I191">
        <v>10001</v>
      </c>
      <c r="J191">
        <v>30000</v>
      </c>
    </row>
    <row r="192" spans="2:10" x14ac:dyDescent="0.25">
      <c r="B192" t="s">
        <v>589</v>
      </c>
      <c r="C192">
        <v>0</v>
      </c>
      <c r="D192">
        <v>0</v>
      </c>
      <c r="E192" s="13">
        <v>3.333E-13</v>
      </c>
      <c r="F192">
        <v>0</v>
      </c>
      <c r="G192">
        <v>0</v>
      </c>
      <c r="H192">
        <v>0</v>
      </c>
      <c r="I192">
        <v>10001</v>
      </c>
      <c r="J192">
        <v>30000</v>
      </c>
    </row>
    <row r="193" spans="2:10" x14ac:dyDescent="0.25">
      <c r="B193" t="s">
        <v>590</v>
      </c>
      <c r="C193">
        <v>0</v>
      </c>
      <c r="D193">
        <v>0</v>
      </c>
      <c r="E193" s="13">
        <v>3.333E-13</v>
      </c>
      <c r="F193">
        <v>0</v>
      </c>
      <c r="G193">
        <v>0</v>
      </c>
      <c r="H193">
        <v>0</v>
      </c>
      <c r="I193">
        <v>10001</v>
      </c>
      <c r="J193">
        <v>30000</v>
      </c>
    </row>
    <row r="194" spans="2:10" x14ac:dyDescent="0.25">
      <c r="B194" t="s">
        <v>591</v>
      </c>
      <c r="C194" s="13">
        <v>3.3330000000000001E-5</v>
      </c>
      <c r="D194">
        <v>5.7730000000000004E-3</v>
      </c>
      <c r="E194" s="13">
        <v>3.345E-5</v>
      </c>
      <c r="F194">
        <v>0</v>
      </c>
      <c r="G194">
        <v>0</v>
      </c>
      <c r="H194">
        <v>0</v>
      </c>
      <c r="I194">
        <v>10001</v>
      </c>
      <c r="J194">
        <v>30000</v>
      </c>
    </row>
    <row r="195" spans="2:10" x14ac:dyDescent="0.25">
      <c r="B195" t="s">
        <v>592</v>
      </c>
      <c r="C195" s="13">
        <v>3.3330000000000001E-5</v>
      </c>
      <c r="D195">
        <v>5.7730000000000004E-3</v>
      </c>
      <c r="E195" s="13">
        <v>3.345E-5</v>
      </c>
      <c r="F195">
        <v>0</v>
      </c>
      <c r="G195">
        <v>0</v>
      </c>
      <c r="H195">
        <v>0</v>
      </c>
      <c r="I195">
        <v>10001</v>
      </c>
      <c r="J195">
        <v>30000</v>
      </c>
    </row>
    <row r="196" spans="2:10" x14ac:dyDescent="0.25">
      <c r="B196" t="s">
        <v>593</v>
      </c>
      <c r="C196" s="13">
        <v>6.6669999999999997E-5</v>
      </c>
      <c r="D196">
        <v>8.1650000000000004E-3</v>
      </c>
      <c r="E196" s="13">
        <v>4.7219999999999999E-5</v>
      </c>
      <c r="F196">
        <v>0</v>
      </c>
      <c r="G196">
        <v>0</v>
      </c>
      <c r="H196">
        <v>0</v>
      </c>
      <c r="I196">
        <v>10001</v>
      </c>
      <c r="J196">
        <v>30000</v>
      </c>
    </row>
    <row r="197" spans="2:10" x14ac:dyDescent="0.25">
      <c r="B197" t="s">
        <v>594</v>
      </c>
      <c r="C197" s="13">
        <v>2.6669999999999998E-4</v>
      </c>
      <c r="D197">
        <v>1.6330000000000001E-2</v>
      </c>
      <c r="E197" s="13">
        <v>9.3480000000000006E-5</v>
      </c>
      <c r="F197">
        <v>0</v>
      </c>
      <c r="G197">
        <v>0</v>
      </c>
      <c r="H197">
        <v>0</v>
      </c>
      <c r="I197">
        <v>10001</v>
      </c>
      <c r="J197">
        <v>30000</v>
      </c>
    </row>
    <row r="198" spans="2:10" x14ac:dyDescent="0.25">
      <c r="B198" t="s">
        <v>595</v>
      </c>
      <c r="C198" s="13">
        <v>8.3330000000000003E-4</v>
      </c>
      <c r="D198">
        <v>2.886E-2</v>
      </c>
      <c r="E198" s="13">
        <v>1.672E-4</v>
      </c>
      <c r="F198">
        <v>0</v>
      </c>
      <c r="G198">
        <v>0</v>
      </c>
      <c r="H198">
        <v>0</v>
      </c>
      <c r="I198">
        <v>10001</v>
      </c>
      <c r="J198">
        <v>30000</v>
      </c>
    </row>
    <row r="199" spans="2:10" x14ac:dyDescent="0.25">
      <c r="B199" t="s">
        <v>596</v>
      </c>
      <c r="C199">
        <v>5.6670000000000002E-3</v>
      </c>
      <c r="D199">
        <v>7.5060000000000002E-2</v>
      </c>
      <c r="E199" s="13">
        <v>7.2760000000000001E-4</v>
      </c>
      <c r="F199">
        <v>0</v>
      </c>
      <c r="G199">
        <v>0</v>
      </c>
      <c r="H199">
        <v>0</v>
      </c>
      <c r="I199">
        <v>10001</v>
      </c>
      <c r="J199">
        <v>30000</v>
      </c>
    </row>
    <row r="200" spans="2:10" x14ac:dyDescent="0.25">
      <c r="B200" t="s">
        <v>597</v>
      </c>
      <c r="C200">
        <v>0.6431</v>
      </c>
      <c r="D200">
        <v>0.47910000000000003</v>
      </c>
      <c r="E200">
        <v>1.376E-2</v>
      </c>
      <c r="F200">
        <v>0</v>
      </c>
      <c r="G200">
        <v>1</v>
      </c>
      <c r="H200">
        <v>1</v>
      </c>
      <c r="I200">
        <v>10001</v>
      </c>
      <c r="J200">
        <v>30000</v>
      </c>
    </row>
    <row r="201" spans="2:10" x14ac:dyDescent="0.25">
      <c r="B201" t="s">
        <v>598</v>
      </c>
      <c r="C201">
        <v>0.35</v>
      </c>
      <c r="D201">
        <v>0.47699999999999998</v>
      </c>
      <c r="E201">
        <v>1.374E-2</v>
      </c>
      <c r="F201">
        <v>0</v>
      </c>
      <c r="G201">
        <v>0</v>
      </c>
      <c r="H201">
        <v>1</v>
      </c>
      <c r="I201">
        <v>10001</v>
      </c>
      <c r="J201">
        <v>30000</v>
      </c>
    </row>
    <row r="202" spans="2:10" x14ac:dyDescent="0.25">
      <c r="B202" t="s">
        <v>599</v>
      </c>
      <c r="C202" s="13">
        <v>7.6670000000000004E-4</v>
      </c>
      <c r="D202">
        <v>2.768E-2</v>
      </c>
      <c r="E202" s="13">
        <v>3.2000000000000003E-4</v>
      </c>
      <c r="F202">
        <v>0</v>
      </c>
      <c r="G202">
        <v>0</v>
      </c>
      <c r="H202">
        <v>0</v>
      </c>
      <c r="I202">
        <v>10001</v>
      </c>
      <c r="J202">
        <v>30000</v>
      </c>
    </row>
    <row r="203" spans="2:10" x14ac:dyDescent="0.25">
      <c r="B203" t="s">
        <v>600</v>
      </c>
      <c r="C203">
        <v>1.2329999999999999E-3</v>
      </c>
      <c r="D203">
        <v>3.5099999999999999E-2</v>
      </c>
      <c r="E203" s="13">
        <v>2.8509999999999999E-4</v>
      </c>
      <c r="F203">
        <v>0</v>
      </c>
      <c r="G203">
        <v>0</v>
      </c>
      <c r="H203">
        <v>0</v>
      </c>
      <c r="I203">
        <v>10001</v>
      </c>
      <c r="J203">
        <v>30000</v>
      </c>
    </row>
    <row r="204" spans="2:10" x14ac:dyDescent="0.25">
      <c r="B204" t="s">
        <v>601</v>
      </c>
      <c r="C204" s="13">
        <v>9.3329999999999997E-4</v>
      </c>
      <c r="D204">
        <v>3.0540000000000001E-2</v>
      </c>
      <c r="E204" s="13">
        <v>2.6249999999999998E-4</v>
      </c>
      <c r="F204">
        <v>0</v>
      </c>
      <c r="G204">
        <v>0</v>
      </c>
      <c r="H204">
        <v>0</v>
      </c>
      <c r="I204">
        <v>10001</v>
      </c>
      <c r="J204">
        <v>30000</v>
      </c>
    </row>
    <row r="205" spans="2:10" x14ac:dyDescent="0.25">
      <c r="B205" t="s">
        <v>602</v>
      </c>
      <c r="C205">
        <v>1.2999999999999999E-3</v>
      </c>
      <c r="D205">
        <v>3.603E-2</v>
      </c>
      <c r="E205" s="13">
        <v>2.7609999999999999E-4</v>
      </c>
      <c r="F205">
        <v>0</v>
      </c>
      <c r="G205">
        <v>0</v>
      </c>
      <c r="H205">
        <v>0</v>
      </c>
      <c r="I205">
        <v>10001</v>
      </c>
      <c r="J205">
        <v>30000</v>
      </c>
    </row>
    <row r="206" spans="2:10" x14ac:dyDescent="0.25">
      <c r="B206" t="s">
        <v>603</v>
      </c>
      <c r="C206">
        <v>1.867E-3</v>
      </c>
      <c r="D206">
        <v>4.3159999999999997E-2</v>
      </c>
      <c r="E206" s="13">
        <v>3.4739999999999999E-4</v>
      </c>
      <c r="F206">
        <v>0</v>
      </c>
      <c r="G206">
        <v>0</v>
      </c>
      <c r="H206">
        <v>0</v>
      </c>
      <c r="I206">
        <v>10001</v>
      </c>
      <c r="J206">
        <v>30000</v>
      </c>
    </row>
    <row r="207" spans="2:10" x14ac:dyDescent="0.25">
      <c r="B207" t="s">
        <v>604</v>
      </c>
      <c r="C207">
        <v>5.4330000000000003E-3</v>
      </c>
      <c r="D207">
        <v>7.3510000000000006E-2</v>
      </c>
      <c r="E207">
        <v>1.036E-3</v>
      </c>
      <c r="F207">
        <v>0</v>
      </c>
      <c r="G207">
        <v>0</v>
      </c>
      <c r="H207">
        <v>0</v>
      </c>
      <c r="I207">
        <v>10001</v>
      </c>
      <c r="J207">
        <v>30000</v>
      </c>
    </row>
    <row r="208" spans="2:10" x14ac:dyDescent="0.25">
      <c r="B208" t="s">
        <v>605</v>
      </c>
      <c r="C208">
        <v>2.4E-2</v>
      </c>
      <c r="D208">
        <v>0.153</v>
      </c>
      <c r="E208">
        <v>2.843E-3</v>
      </c>
      <c r="F208">
        <v>0</v>
      </c>
      <c r="G208">
        <v>0</v>
      </c>
      <c r="H208">
        <v>0</v>
      </c>
      <c r="I208">
        <v>10001</v>
      </c>
      <c r="J208">
        <v>30000</v>
      </c>
    </row>
    <row r="209" spans="2:10" x14ac:dyDescent="0.25">
      <c r="B209" t="s">
        <v>606</v>
      </c>
      <c r="C209">
        <v>0.31540000000000001</v>
      </c>
      <c r="D209">
        <v>0.4647</v>
      </c>
      <c r="E209">
        <v>1.2619999999999999E-2</v>
      </c>
      <c r="F209">
        <v>0</v>
      </c>
      <c r="G209">
        <v>0</v>
      </c>
      <c r="H209">
        <v>1</v>
      </c>
      <c r="I209">
        <v>10001</v>
      </c>
      <c r="J209">
        <v>30000</v>
      </c>
    </row>
    <row r="210" spans="2:10" x14ac:dyDescent="0.25">
      <c r="B210" t="s">
        <v>607</v>
      </c>
      <c r="C210">
        <v>0.64900000000000002</v>
      </c>
      <c r="D210">
        <v>0.4773</v>
      </c>
      <c r="E210">
        <v>1.375E-2</v>
      </c>
      <c r="F210">
        <v>0</v>
      </c>
      <c r="G210">
        <v>1</v>
      </c>
      <c r="H210">
        <v>1</v>
      </c>
      <c r="I210">
        <v>10001</v>
      </c>
      <c r="J210">
        <v>30000</v>
      </c>
    </row>
    <row r="211" spans="2:10" x14ac:dyDescent="0.25">
      <c r="B211" t="s">
        <v>608</v>
      </c>
      <c r="C211">
        <v>1.2669999999999999</v>
      </c>
      <c r="D211">
        <v>1.6120000000000001</v>
      </c>
      <c r="E211">
        <v>9.9120000000000007E-3</v>
      </c>
      <c r="F211">
        <v>2.3650000000000001E-2</v>
      </c>
      <c r="G211">
        <v>0.66710000000000003</v>
      </c>
      <c r="H211">
        <v>5.835</v>
      </c>
      <c r="I211">
        <v>10001</v>
      </c>
      <c r="J211">
        <v>30000</v>
      </c>
    </row>
    <row r="212" spans="2:10" x14ac:dyDescent="0.25">
      <c r="B212" t="s">
        <v>609</v>
      </c>
      <c r="C212">
        <v>1.7549999999999999</v>
      </c>
      <c r="D212">
        <v>1.8120000000000001</v>
      </c>
      <c r="E212">
        <v>3.3980000000000003E-2</v>
      </c>
      <c r="F212">
        <v>4.2410000000000003E-2</v>
      </c>
      <c r="G212">
        <v>1.1819999999999999</v>
      </c>
      <c r="H212">
        <v>6.7770000000000001</v>
      </c>
      <c r="I212">
        <v>10001</v>
      </c>
      <c r="J212">
        <v>30000</v>
      </c>
    </row>
    <row r="213" spans="2:10" x14ac:dyDescent="0.25">
      <c r="B213" t="s">
        <v>610</v>
      </c>
      <c r="C213">
        <v>1.458</v>
      </c>
      <c r="D213">
        <v>1.575</v>
      </c>
      <c r="E213">
        <v>1.554E-2</v>
      </c>
      <c r="F213">
        <v>3.3550000000000003E-2</v>
      </c>
      <c r="G213">
        <v>0.94810000000000005</v>
      </c>
      <c r="H213">
        <v>5.7640000000000002</v>
      </c>
      <c r="I213">
        <v>10001</v>
      </c>
      <c r="J213">
        <v>30000</v>
      </c>
    </row>
    <row r="214" spans="2:10" x14ac:dyDescent="0.25">
      <c r="B214" t="s">
        <v>611</v>
      </c>
      <c r="C214">
        <v>2.1789999999999998</v>
      </c>
      <c r="D214">
        <v>1.9510000000000001</v>
      </c>
      <c r="E214">
        <v>3.8769999999999999E-2</v>
      </c>
      <c r="F214">
        <v>6.9320000000000007E-2</v>
      </c>
      <c r="G214">
        <v>1.641</v>
      </c>
      <c r="H214">
        <v>7.274</v>
      </c>
      <c r="I214">
        <v>10001</v>
      </c>
      <c r="J214">
        <v>30000</v>
      </c>
    </row>
    <row r="215" spans="2:10" x14ac:dyDescent="0.25">
      <c r="B215" t="s">
        <v>612</v>
      </c>
      <c r="C215">
        <v>2.0350000000000001</v>
      </c>
      <c r="D215">
        <v>2.0430000000000001</v>
      </c>
      <c r="E215">
        <v>4.6399999999999997E-2</v>
      </c>
      <c r="F215">
        <v>5.3109999999999997E-2</v>
      </c>
      <c r="G215">
        <v>1.387</v>
      </c>
      <c r="H215">
        <v>7.444</v>
      </c>
      <c r="I215">
        <v>10001</v>
      </c>
      <c r="J215">
        <v>30000</v>
      </c>
    </row>
    <row r="216" spans="2:10" x14ac:dyDescent="0.25">
      <c r="B216" t="s">
        <v>613</v>
      </c>
      <c r="C216">
        <v>1.9910000000000001</v>
      </c>
      <c r="D216">
        <v>1.794</v>
      </c>
      <c r="E216">
        <v>2.964E-2</v>
      </c>
      <c r="F216">
        <v>6.5079999999999999E-2</v>
      </c>
      <c r="G216">
        <v>1.514</v>
      </c>
      <c r="H216">
        <v>6.7240000000000002</v>
      </c>
      <c r="I216">
        <v>10001</v>
      </c>
      <c r="J216">
        <v>30000</v>
      </c>
    </row>
    <row r="217" spans="2:10" x14ac:dyDescent="0.25">
      <c r="B217" t="s">
        <v>614</v>
      </c>
      <c r="C217">
        <v>2.052</v>
      </c>
      <c r="D217">
        <v>2.0499999999999998</v>
      </c>
      <c r="E217">
        <v>3.5959999999999999E-2</v>
      </c>
      <c r="F217">
        <v>5.373E-2</v>
      </c>
      <c r="G217">
        <v>1.425</v>
      </c>
      <c r="H217">
        <v>7.694</v>
      </c>
      <c r="I217">
        <v>10001</v>
      </c>
      <c r="J217">
        <v>30000</v>
      </c>
    </row>
    <row r="218" spans="2:10" x14ac:dyDescent="0.25">
      <c r="B218" t="s">
        <v>615</v>
      </c>
      <c r="C218">
        <v>1.7230000000000001</v>
      </c>
      <c r="D218">
        <v>1.754</v>
      </c>
      <c r="E218">
        <v>2.332E-2</v>
      </c>
      <c r="F218">
        <v>4.1869999999999997E-2</v>
      </c>
      <c r="G218">
        <v>1.1779999999999999</v>
      </c>
      <c r="H218">
        <v>6.3659999999999997</v>
      </c>
      <c r="I218">
        <v>10001</v>
      </c>
      <c r="J218">
        <v>30000</v>
      </c>
    </row>
    <row r="219" spans="2:10" x14ac:dyDescent="0.25">
      <c r="B219" t="s">
        <v>616</v>
      </c>
      <c r="C219">
        <v>2.2109999999999999</v>
      </c>
      <c r="D219">
        <v>1.71</v>
      </c>
      <c r="E219">
        <v>2.6720000000000001E-2</v>
      </c>
      <c r="F219">
        <v>0.16389999999999999</v>
      </c>
      <c r="G219">
        <v>1.8260000000000001</v>
      </c>
      <c r="H219">
        <v>6.702</v>
      </c>
      <c r="I219">
        <v>10001</v>
      </c>
      <c r="J219">
        <v>30000</v>
      </c>
    </row>
    <row r="220" spans="2:10" x14ac:dyDescent="0.25">
      <c r="B220" t="s">
        <v>617</v>
      </c>
      <c r="C220">
        <v>2.1619999999999999</v>
      </c>
      <c r="D220">
        <v>1.907</v>
      </c>
      <c r="E220">
        <v>2.9389999999999999E-2</v>
      </c>
      <c r="F220">
        <v>8.004E-2</v>
      </c>
      <c r="G220">
        <v>1.6579999999999999</v>
      </c>
      <c r="H220">
        <v>7.1609999999999996</v>
      </c>
      <c r="I220">
        <v>10001</v>
      </c>
      <c r="J220">
        <v>30000</v>
      </c>
    </row>
    <row r="221" spans="2:10" x14ac:dyDescent="0.25">
      <c r="B221" t="s">
        <v>618</v>
      </c>
      <c r="C221">
        <v>1.26</v>
      </c>
      <c r="D221">
        <v>1.5029999999999999</v>
      </c>
      <c r="E221">
        <v>1.184E-2</v>
      </c>
      <c r="F221">
        <v>2.23E-2</v>
      </c>
      <c r="G221">
        <v>0.74370000000000003</v>
      </c>
      <c r="H221">
        <v>5.4349999999999996</v>
      </c>
      <c r="I221">
        <v>10001</v>
      </c>
      <c r="J221">
        <v>30000</v>
      </c>
    </row>
    <row r="222" spans="2:10" x14ac:dyDescent="0.25">
      <c r="B222" t="s">
        <v>619</v>
      </c>
      <c r="C222">
        <v>1.6970000000000001</v>
      </c>
      <c r="D222">
        <v>1.5629999999999999</v>
      </c>
      <c r="E222">
        <v>1.4840000000000001E-2</v>
      </c>
      <c r="F222">
        <v>0.11409999999999999</v>
      </c>
      <c r="G222">
        <v>1.2430000000000001</v>
      </c>
      <c r="H222">
        <v>5.95</v>
      </c>
      <c r="I222">
        <v>10001</v>
      </c>
      <c r="J222">
        <v>30000</v>
      </c>
    </row>
    <row r="223" spans="2:10" x14ac:dyDescent="0.25">
      <c r="B223" t="s">
        <v>620</v>
      </c>
      <c r="C223">
        <v>1.3959999999999999</v>
      </c>
      <c r="D223">
        <v>1.5489999999999999</v>
      </c>
      <c r="E223">
        <v>1.3480000000000001E-2</v>
      </c>
      <c r="F223">
        <v>3.0110000000000001E-2</v>
      </c>
      <c r="G223">
        <v>0.88549999999999995</v>
      </c>
      <c r="H223">
        <v>5.6459999999999999</v>
      </c>
      <c r="I223">
        <v>10001</v>
      </c>
      <c r="J223">
        <v>30000</v>
      </c>
    </row>
    <row r="224" spans="2:10" x14ac:dyDescent="0.25">
      <c r="B224" t="s">
        <v>621</v>
      </c>
      <c r="C224">
        <v>1.881</v>
      </c>
      <c r="D224">
        <v>1.883</v>
      </c>
      <c r="E224">
        <v>3.1940000000000003E-2</v>
      </c>
      <c r="F224">
        <v>4.981E-2</v>
      </c>
      <c r="G224">
        <v>1.3</v>
      </c>
      <c r="H224">
        <v>6.8680000000000003</v>
      </c>
      <c r="I224">
        <v>10001</v>
      </c>
      <c r="J224">
        <v>30000</v>
      </c>
    </row>
    <row r="225" spans="2:10" x14ac:dyDescent="0.25">
      <c r="B225" t="s">
        <v>622</v>
      </c>
      <c r="C225">
        <v>1.7050000000000001</v>
      </c>
      <c r="D225">
        <v>1.6639999999999999</v>
      </c>
      <c r="E225">
        <v>2.5760000000000002E-2</v>
      </c>
      <c r="F225">
        <v>5.2269999999999997E-2</v>
      </c>
      <c r="G225">
        <v>1.21</v>
      </c>
      <c r="H225">
        <v>6.1609999999999996</v>
      </c>
      <c r="I225">
        <v>10001</v>
      </c>
      <c r="J225">
        <v>30000</v>
      </c>
    </row>
    <row r="226" spans="2:10" x14ac:dyDescent="0.25">
      <c r="B226" t="s">
        <v>623</v>
      </c>
      <c r="C226">
        <v>1.5429999999999999</v>
      </c>
      <c r="D226">
        <v>1.6240000000000001</v>
      </c>
      <c r="E226">
        <v>2.1680000000000001E-2</v>
      </c>
      <c r="F226">
        <v>3.4259999999999999E-2</v>
      </c>
      <c r="G226">
        <v>1.03</v>
      </c>
      <c r="H226">
        <v>5.9409999999999998</v>
      </c>
      <c r="I226">
        <v>10001</v>
      </c>
      <c r="J226">
        <v>30000</v>
      </c>
    </row>
    <row r="227" spans="2:10" x14ac:dyDescent="0.25">
      <c r="B227" t="s">
        <v>624</v>
      </c>
      <c r="C227">
        <v>2.577</v>
      </c>
      <c r="D227">
        <v>2.3039999999999998</v>
      </c>
      <c r="E227">
        <v>5.3539999999999997E-2</v>
      </c>
      <c r="F227">
        <v>7.6280000000000001E-2</v>
      </c>
      <c r="G227">
        <v>1.962</v>
      </c>
      <c r="H227">
        <v>8.6419999999999995</v>
      </c>
      <c r="I227">
        <v>10001</v>
      </c>
      <c r="J227">
        <v>30000</v>
      </c>
    </row>
    <row r="228" spans="2:10" x14ac:dyDescent="0.25">
      <c r="B228" t="s">
        <v>625</v>
      </c>
      <c r="C228">
        <v>2.431</v>
      </c>
      <c r="D228">
        <v>2.117</v>
      </c>
      <c r="E228">
        <v>4.6920000000000003E-2</v>
      </c>
      <c r="F228">
        <v>8.5040000000000004E-2</v>
      </c>
      <c r="G228">
        <v>1.8740000000000001</v>
      </c>
      <c r="H228">
        <v>7.8070000000000004</v>
      </c>
      <c r="I228">
        <v>10001</v>
      </c>
      <c r="J228">
        <v>30000</v>
      </c>
    </row>
    <row r="229" spans="2:10" x14ac:dyDescent="0.25">
      <c r="B229" t="s">
        <v>626</v>
      </c>
      <c r="C229">
        <v>1.742</v>
      </c>
      <c r="D229">
        <v>1.607</v>
      </c>
      <c r="E229">
        <v>1.9480000000000001E-2</v>
      </c>
      <c r="F229">
        <v>7.1179999999999993E-2</v>
      </c>
      <c r="G229">
        <v>1.3049999999999999</v>
      </c>
      <c r="H229">
        <v>6.109</v>
      </c>
      <c r="I229">
        <v>10001</v>
      </c>
      <c r="J229">
        <v>30000</v>
      </c>
    </row>
    <row r="230" spans="2:10" x14ac:dyDescent="0.25">
      <c r="B230" t="s">
        <v>627</v>
      </c>
      <c r="C230">
        <v>1.2170000000000001</v>
      </c>
      <c r="D230">
        <v>1.522</v>
      </c>
      <c r="E230">
        <v>1.0109999999999999E-2</v>
      </c>
      <c r="F230">
        <v>1.9230000000000001E-2</v>
      </c>
      <c r="G230">
        <v>0.67300000000000004</v>
      </c>
      <c r="H230">
        <v>5.5389999999999997</v>
      </c>
      <c r="I230">
        <v>10001</v>
      </c>
      <c r="J230">
        <v>30000</v>
      </c>
    </row>
    <row r="231" spans="2:10" x14ac:dyDescent="0.25">
      <c r="B231" t="s">
        <v>628</v>
      </c>
      <c r="C231">
        <v>2.1709999999999998</v>
      </c>
      <c r="D231">
        <v>2.1190000000000002</v>
      </c>
      <c r="E231">
        <v>3.9510000000000003E-2</v>
      </c>
      <c r="F231">
        <v>5.8430000000000003E-2</v>
      </c>
      <c r="G231">
        <v>1.542</v>
      </c>
      <c r="H231">
        <v>7.867</v>
      </c>
      <c r="I231">
        <v>10001</v>
      </c>
      <c r="J231">
        <v>30000</v>
      </c>
    </row>
    <row r="232" spans="2:10" x14ac:dyDescent="0.25">
      <c r="B232" t="s">
        <v>629</v>
      </c>
      <c r="C232">
        <v>5.3479999999999999</v>
      </c>
      <c r="D232">
        <v>1.087</v>
      </c>
      <c r="E232">
        <v>3.1370000000000002E-2</v>
      </c>
      <c r="F232">
        <v>2</v>
      </c>
      <c r="G232">
        <v>6</v>
      </c>
      <c r="H232">
        <v>7</v>
      </c>
      <c r="I232">
        <v>10001</v>
      </c>
      <c r="J232">
        <v>30000</v>
      </c>
    </row>
    <row r="233" spans="2:10" x14ac:dyDescent="0.25">
      <c r="B233" t="s">
        <v>630</v>
      </c>
      <c r="C233">
        <v>6.9269999999999996</v>
      </c>
      <c r="D233">
        <v>0.42259999999999998</v>
      </c>
      <c r="E233">
        <v>7.7549999999999997E-3</v>
      </c>
      <c r="F233">
        <v>6</v>
      </c>
      <c r="G233">
        <v>7</v>
      </c>
      <c r="H233">
        <v>8</v>
      </c>
      <c r="I233">
        <v>10001</v>
      </c>
      <c r="J233">
        <v>30000</v>
      </c>
    </row>
    <row r="234" spans="2:10" x14ac:dyDescent="0.25">
      <c r="B234" t="s">
        <v>631</v>
      </c>
      <c r="C234">
        <v>3.4550000000000001</v>
      </c>
      <c r="D234">
        <v>1.17</v>
      </c>
      <c r="E234">
        <v>3.175E-2</v>
      </c>
      <c r="F234">
        <v>1</v>
      </c>
      <c r="G234">
        <v>3</v>
      </c>
      <c r="H234">
        <v>6</v>
      </c>
      <c r="I234">
        <v>10001</v>
      </c>
      <c r="J234">
        <v>30000</v>
      </c>
    </row>
    <row r="235" spans="2:10" x14ac:dyDescent="0.25">
      <c r="B235" t="s">
        <v>632</v>
      </c>
      <c r="C235">
        <v>2.3370000000000002</v>
      </c>
      <c r="D235">
        <v>1.266</v>
      </c>
      <c r="E235">
        <v>3.0269999999999998E-2</v>
      </c>
      <c r="F235">
        <v>1</v>
      </c>
      <c r="G235">
        <v>2</v>
      </c>
      <c r="H235">
        <v>5</v>
      </c>
      <c r="I235">
        <v>10001</v>
      </c>
      <c r="J235">
        <v>30000</v>
      </c>
    </row>
    <row r="236" spans="2:10" x14ac:dyDescent="0.25">
      <c r="B236" t="s">
        <v>633</v>
      </c>
      <c r="C236">
        <v>2.629</v>
      </c>
      <c r="D236">
        <v>1.8660000000000001</v>
      </c>
      <c r="E236">
        <v>4.9630000000000001E-2</v>
      </c>
      <c r="F236">
        <v>1</v>
      </c>
      <c r="G236">
        <v>2</v>
      </c>
      <c r="H236">
        <v>7</v>
      </c>
      <c r="I236">
        <v>10001</v>
      </c>
      <c r="J236">
        <v>30000</v>
      </c>
    </row>
    <row r="237" spans="2:10" x14ac:dyDescent="0.25">
      <c r="B237" t="s">
        <v>634</v>
      </c>
      <c r="C237">
        <v>3.3170000000000002</v>
      </c>
      <c r="D237">
        <v>1.6990000000000001</v>
      </c>
      <c r="E237">
        <v>4.6120000000000001E-2</v>
      </c>
      <c r="F237">
        <v>1</v>
      </c>
      <c r="G237">
        <v>3</v>
      </c>
      <c r="H237">
        <v>7</v>
      </c>
      <c r="I237">
        <v>10001</v>
      </c>
      <c r="J237">
        <v>30000</v>
      </c>
    </row>
    <row r="238" spans="2:10" x14ac:dyDescent="0.25">
      <c r="B238" t="s">
        <v>635</v>
      </c>
      <c r="C238">
        <v>4.0590000000000002</v>
      </c>
      <c r="D238">
        <v>1.3740000000000001</v>
      </c>
      <c r="E238">
        <v>3.5549999999999998E-2</v>
      </c>
      <c r="F238">
        <v>1</v>
      </c>
      <c r="G238">
        <v>4</v>
      </c>
      <c r="H238">
        <v>6</v>
      </c>
      <c r="I238">
        <v>10001</v>
      </c>
      <c r="J238">
        <v>30000</v>
      </c>
    </row>
    <row r="239" spans="2:10" x14ac:dyDescent="0.25">
      <c r="B239" t="s">
        <v>636</v>
      </c>
      <c r="C239">
        <v>8.3409999999999993</v>
      </c>
      <c r="D239">
        <v>0.49809999999999999</v>
      </c>
      <c r="E239">
        <v>1.374E-2</v>
      </c>
      <c r="F239">
        <v>8</v>
      </c>
      <c r="G239">
        <v>8</v>
      </c>
      <c r="H239">
        <v>9</v>
      </c>
      <c r="I239">
        <v>10001</v>
      </c>
      <c r="J239">
        <v>30000</v>
      </c>
    </row>
    <row r="240" spans="2:10" x14ac:dyDescent="0.25">
      <c r="B240" t="s">
        <v>637</v>
      </c>
      <c r="C240">
        <v>8.5860000000000003</v>
      </c>
      <c r="D240">
        <v>0.70309999999999995</v>
      </c>
      <c r="E240">
        <v>1.8419999999999999E-2</v>
      </c>
      <c r="F240">
        <v>7</v>
      </c>
      <c r="G240">
        <v>9</v>
      </c>
      <c r="H240">
        <v>9</v>
      </c>
      <c r="I240">
        <v>10001</v>
      </c>
      <c r="J240">
        <v>30000</v>
      </c>
    </row>
    <row r="241" spans="1:10" x14ac:dyDescent="0.25">
      <c r="B241" t="s">
        <v>638</v>
      </c>
      <c r="C241">
        <v>0.26490000000000002</v>
      </c>
      <c r="D241">
        <v>0.20330000000000001</v>
      </c>
      <c r="E241">
        <v>7.3879999999999996E-3</v>
      </c>
      <c r="F241">
        <v>1.5699999999999999E-2</v>
      </c>
      <c r="G241">
        <v>0.22009999999999999</v>
      </c>
      <c r="H241">
        <v>0.75519999999999998</v>
      </c>
      <c r="I241">
        <v>10001</v>
      </c>
      <c r="J241">
        <v>30000</v>
      </c>
    </row>
    <row r="242" spans="1:10" x14ac:dyDescent="0.25">
      <c r="B242" t="s">
        <v>639</v>
      </c>
      <c r="C242">
        <v>38.450000000000003</v>
      </c>
      <c r="D242">
        <v>8.1579999999999995</v>
      </c>
      <c r="E242">
        <v>0.12790000000000001</v>
      </c>
      <c r="F242">
        <v>24.34</v>
      </c>
      <c r="G242">
        <v>37.869999999999997</v>
      </c>
      <c r="H242">
        <v>56.35</v>
      </c>
      <c r="I242">
        <v>10001</v>
      </c>
      <c r="J242">
        <v>30000</v>
      </c>
    </row>
    <row r="243" spans="1:10" x14ac:dyDescent="0.25">
      <c r="A243" t="s">
        <v>640</v>
      </c>
    </row>
    <row r="245" spans="1:10" x14ac:dyDescent="0.25">
      <c r="A245" t="s">
        <v>641</v>
      </c>
    </row>
    <row r="246" spans="1:10" x14ac:dyDescent="0.25">
      <c r="A246" t="s">
        <v>642</v>
      </c>
    </row>
    <row r="247" spans="1:10" x14ac:dyDescent="0.25">
      <c r="B247" t="s">
        <v>643</v>
      </c>
      <c r="C247" t="s">
        <v>644</v>
      </c>
      <c r="D247" t="s">
        <v>645</v>
      </c>
      <c r="E247" t="s">
        <v>641</v>
      </c>
    </row>
    <row r="248" spans="1:10" x14ac:dyDescent="0.25">
      <c r="A248" t="s">
        <v>646</v>
      </c>
      <c r="B248">
        <v>183.428</v>
      </c>
      <c r="C248">
        <v>152.02799999999999</v>
      </c>
      <c r="D248">
        <v>31.4</v>
      </c>
      <c r="E248">
        <v>214.828</v>
      </c>
    </row>
    <row r="249" spans="1:10" x14ac:dyDescent="0.25">
      <c r="A249" t="s">
        <v>647</v>
      </c>
      <c r="B249">
        <v>183.428</v>
      </c>
      <c r="C249">
        <v>152.02799999999999</v>
      </c>
      <c r="D249">
        <v>31.4</v>
      </c>
      <c r="E249">
        <v>214.828</v>
      </c>
    </row>
    <row r="250" spans="1:10" x14ac:dyDescent="0.25">
      <c r="A250" t="s">
        <v>648</v>
      </c>
    </row>
    <row r="252" spans="1:10" x14ac:dyDescent="0.25">
      <c r="A252" t="s">
        <v>649</v>
      </c>
    </row>
    <row r="254" spans="1:10" x14ac:dyDescent="0.25">
      <c r="A254" t="s">
        <v>650</v>
      </c>
    </row>
    <row r="256" spans="1:10" x14ac:dyDescent="0.25">
      <c r="A256" t="s">
        <v>651</v>
      </c>
    </row>
    <row r="258" spans="1:1" x14ac:dyDescent="0.25">
      <c r="A258" t="s">
        <v>652</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258"/>
  <sheetViews>
    <sheetView showGridLines="0" topLeftCell="A31" workbookViewId="0">
      <selection activeCell="L16" sqref="L16"/>
    </sheetView>
  </sheetViews>
  <sheetFormatPr defaultRowHeight="15" x14ac:dyDescent="0.25"/>
  <sheetData>
    <row r="1" spans="1:1" hidden="1" x14ac:dyDescent="0.25">
      <c r="A1" t="s">
        <v>402</v>
      </c>
    </row>
    <row r="2" spans="1:1" hidden="1" x14ac:dyDescent="0.25">
      <c r="A2" t="s">
        <v>712</v>
      </c>
    </row>
    <row r="3" spans="1:1" hidden="1" x14ac:dyDescent="0.25">
      <c r="A3" t="s">
        <v>404</v>
      </c>
    </row>
    <row r="4" spans="1:1" hidden="1" x14ac:dyDescent="0.25">
      <c r="A4" t="s">
        <v>405</v>
      </c>
    </row>
    <row r="5" spans="1:1" hidden="1" x14ac:dyDescent="0.25">
      <c r="A5" t="s">
        <v>406</v>
      </c>
    </row>
    <row r="6" spans="1:1" hidden="1" x14ac:dyDescent="0.25">
      <c r="A6" t="s">
        <v>407</v>
      </c>
    </row>
    <row r="7" spans="1:1" hidden="1" x14ac:dyDescent="0.25">
      <c r="A7" t="s">
        <v>406</v>
      </c>
    </row>
    <row r="8" spans="1:1" hidden="1" x14ac:dyDescent="0.25">
      <c r="A8" t="s">
        <v>21</v>
      </c>
    </row>
    <row r="9" spans="1:1" hidden="1" x14ac:dyDescent="0.25">
      <c r="A9" t="s">
        <v>408</v>
      </c>
    </row>
    <row r="10" spans="1:1" hidden="1" x14ac:dyDescent="0.25">
      <c r="A10" t="s">
        <v>713</v>
      </c>
    </row>
    <row r="11" spans="1:1" hidden="1" x14ac:dyDescent="0.25">
      <c r="A11" t="s">
        <v>410</v>
      </c>
    </row>
    <row r="12" spans="1:1" hidden="1" x14ac:dyDescent="0.25">
      <c r="A12" t="s">
        <v>714</v>
      </c>
    </row>
    <row r="13" spans="1:1" hidden="1" x14ac:dyDescent="0.25">
      <c r="A13" t="s">
        <v>410</v>
      </c>
    </row>
    <row r="14" spans="1:1" hidden="1" x14ac:dyDescent="0.25">
      <c r="A14" t="s">
        <v>715</v>
      </c>
    </row>
    <row r="15" spans="1:1" hidden="1" x14ac:dyDescent="0.25">
      <c r="A15" t="s">
        <v>410</v>
      </c>
    </row>
    <row r="16" spans="1:1" hidden="1" x14ac:dyDescent="0.25">
      <c r="A16" t="s">
        <v>23</v>
      </c>
    </row>
    <row r="17" spans="1:1" hidden="1" x14ac:dyDescent="0.25">
      <c r="A17" t="s">
        <v>413</v>
      </c>
    </row>
    <row r="18" spans="1:1" hidden="1" x14ac:dyDescent="0.25">
      <c r="A18" t="s">
        <v>414</v>
      </c>
    </row>
    <row r="19" spans="1:1" hidden="1" x14ac:dyDescent="0.25">
      <c r="A19" t="s">
        <v>415</v>
      </c>
    </row>
    <row r="20" spans="1:1" hidden="1" x14ac:dyDescent="0.25">
      <c r="A20" t="s">
        <v>416</v>
      </c>
    </row>
    <row r="21" spans="1:1" hidden="1" x14ac:dyDescent="0.25">
      <c r="A21" t="s">
        <v>417</v>
      </c>
    </row>
    <row r="22" spans="1:1" hidden="1" x14ac:dyDescent="0.25">
      <c r="A22" t="s">
        <v>418</v>
      </c>
    </row>
    <row r="23" spans="1:1" hidden="1" x14ac:dyDescent="0.25">
      <c r="A23" t="s">
        <v>419</v>
      </c>
    </row>
    <row r="24" spans="1:1" hidden="1" x14ac:dyDescent="0.25">
      <c r="A24" t="s">
        <v>420</v>
      </c>
    </row>
    <row r="25" spans="1:1" hidden="1" x14ac:dyDescent="0.25">
      <c r="A25" t="s">
        <v>421</v>
      </c>
    </row>
    <row r="26" spans="1:1" hidden="1" x14ac:dyDescent="0.25">
      <c r="A26" t="s">
        <v>197</v>
      </c>
    </row>
    <row r="27" spans="1:1" hidden="1" x14ac:dyDescent="0.25">
      <c r="A27" t="s">
        <v>199</v>
      </c>
    </row>
    <row r="28" spans="1:1" hidden="1" x14ac:dyDescent="0.25">
      <c r="A28" t="s">
        <v>261</v>
      </c>
    </row>
    <row r="29" spans="1:1" hidden="1" x14ac:dyDescent="0.25">
      <c r="A29" t="s">
        <v>414</v>
      </c>
    </row>
    <row r="30" spans="1:1" hidden="1" x14ac:dyDescent="0.25">
      <c r="A30" t="s">
        <v>422</v>
      </c>
    </row>
    <row r="32" spans="1:1" x14ac:dyDescent="0.25">
      <c r="A32" t="s">
        <v>423</v>
      </c>
    </row>
    <row r="33" spans="2:10" x14ac:dyDescent="0.25">
      <c r="B33" t="s">
        <v>424</v>
      </c>
      <c r="C33" t="s">
        <v>425</v>
      </c>
      <c r="D33" t="s">
        <v>426</v>
      </c>
      <c r="E33" t="s">
        <v>427</v>
      </c>
      <c r="F33" s="12">
        <v>2.5000000000000001E-2</v>
      </c>
      <c r="G33" t="s">
        <v>428</v>
      </c>
      <c r="H33" s="12">
        <v>0.97499999999999998</v>
      </c>
      <c r="I33" t="s">
        <v>429</v>
      </c>
      <c r="J33" t="s">
        <v>430</v>
      </c>
    </row>
    <row r="34" spans="2:10" x14ac:dyDescent="0.25">
      <c r="B34" t="s">
        <v>431</v>
      </c>
      <c r="C34">
        <v>1.7589999999999999</v>
      </c>
      <c r="D34">
        <v>0.48110000000000003</v>
      </c>
      <c r="E34">
        <v>1.8960000000000001E-2</v>
      </c>
      <c r="F34">
        <v>1.006</v>
      </c>
      <c r="G34">
        <v>1.6850000000000001</v>
      </c>
      <c r="H34">
        <v>2.911</v>
      </c>
      <c r="I34">
        <v>10001</v>
      </c>
      <c r="J34">
        <v>30000</v>
      </c>
    </row>
    <row r="35" spans="2:10" x14ac:dyDescent="0.25">
      <c r="B35" t="s">
        <v>432</v>
      </c>
      <c r="C35">
        <v>0.65449999999999997</v>
      </c>
      <c r="D35">
        <v>0.24909999999999999</v>
      </c>
      <c r="E35">
        <v>1.039E-2</v>
      </c>
      <c r="F35">
        <v>0.27710000000000001</v>
      </c>
      <c r="G35">
        <v>0.61429999999999996</v>
      </c>
      <c r="H35">
        <v>1.262</v>
      </c>
      <c r="I35">
        <v>10001</v>
      </c>
      <c r="J35">
        <v>30000</v>
      </c>
    </row>
    <row r="36" spans="2:10" x14ac:dyDescent="0.25">
      <c r="B36" t="s">
        <v>433</v>
      </c>
      <c r="C36">
        <v>0.50800000000000001</v>
      </c>
      <c r="D36">
        <v>0.24879999999999999</v>
      </c>
      <c r="E36">
        <v>9.6570000000000007E-3</v>
      </c>
      <c r="F36">
        <v>0.17330000000000001</v>
      </c>
      <c r="G36">
        <v>0.46250000000000002</v>
      </c>
      <c r="H36">
        <v>1.117</v>
      </c>
      <c r="I36">
        <v>10001</v>
      </c>
      <c r="J36">
        <v>30000</v>
      </c>
    </row>
    <row r="37" spans="2:10" x14ac:dyDescent="0.25">
      <c r="B37" t="s">
        <v>434</v>
      </c>
      <c r="C37">
        <v>0.53459999999999996</v>
      </c>
      <c r="D37">
        <v>0.38269999999999998</v>
      </c>
      <c r="E37">
        <v>1.294E-2</v>
      </c>
      <c r="F37">
        <v>0.1186</v>
      </c>
      <c r="G37">
        <v>0.437</v>
      </c>
      <c r="H37">
        <v>1.5409999999999999</v>
      </c>
      <c r="I37">
        <v>10001</v>
      </c>
      <c r="J37">
        <v>30000</v>
      </c>
    </row>
    <row r="38" spans="2:10" x14ac:dyDescent="0.25">
      <c r="B38" t="s">
        <v>435</v>
      </c>
      <c r="C38">
        <v>0.64380000000000004</v>
      </c>
      <c r="D38">
        <v>0.37959999999999999</v>
      </c>
      <c r="E38">
        <v>1.439E-2</v>
      </c>
      <c r="F38">
        <v>0.1757</v>
      </c>
      <c r="G38">
        <v>0.55920000000000003</v>
      </c>
      <c r="H38">
        <v>1.5960000000000001</v>
      </c>
      <c r="I38">
        <v>10001</v>
      </c>
      <c r="J38">
        <v>30000</v>
      </c>
    </row>
    <row r="39" spans="2:10" x14ac:dyDescent="0.25">
      <c r="B39" t="s">
        <v>436</v>
      </c>
      <c r="C39">
        <v>0.74750000000000005</v>
      </c>
      <c r="D39">
        <v>0.2452</v>
      </c>
      <c r="E39">
        <v>8.3719999999999992E-3</v>
      </c>
      <c r="F39">
        <v>0.374</v>
      </c>
      <c r="G39">
        <v>0.70899999999999996</v>
      </c>
      <c r="H39">
        <v>1.3140000000000001</v>
      </c>
      <c r="I39">
        <v>10001</v>
      </c>
      <c r="J39">
        <v>30000</v>
      </c>
    </row>
    <row r="40" spans="2:10" x14ac:dyDescent="0.25">
      <c r="B40" t="s">
        <v>437</v>
      </c>
      <c r="C40">
        <v>7.1710000000000003</v>
      </c>
      <c r="D40">
        <v>3.7610000000000001</v>
      </c>
      <c r="E40">
        <v>0.13619999999999999</v>
      </c>
      <c r="F40">
        <v>2.5169999999999999</v>
      </c>
      <c r="G40">
        <v>6.3090000000000002</v>
      </c>
      <c r="H40">
        <v>16.93</v>
      </c>
      <c r="I40">
        <v>10001</v>
      </c>
      <c r="J40">
        <v>30000</v>
      </c>
    </row>
    <row r="41" spans="2:10" x14ac:dyDescent="0.25">
      <c r="B41" t="s">
        <v>438</v>
      </c>
      <c r="C41">
        <v>17.37</v>
      </c>
      <c r="D41">
        <v>30.1</v>
      </c>
      <c r="E41">
        <v>1.1479999999999999</v>
      </c>
      <c r="F41">
        <v>1.7270000000000001</v>
      </c>
      <c r="G41">
        <v>9.2799999999999994</v>
      </c>
      <c r="H41">
        <v>79.48</v>
      </c>
      <c r="I41">
        <v>10001</v>
      </c>
      <c r="J41">
        <v>30000</v>
      </c>
    </row>
    <row r="42" spans="2:10" x14ac:dyDescent="0.25">
      <c r="B42" t="s">
        <v>439</v>
      </c>
      <c r="C42">
        <v>0.378</v>
      </c>
      <c r="D42">
        <v>0.1225</v>
      </c>
      <c r="E42">
        <v>4.5110000000000003E-3</v>
      </c>
      <c r="F42">
        <v>0.185</v>
      </c>
      <c r="G42">
        <v>0.36020000000000002</v>
      </c>
      <c r="H42">
        <v>0.66930000000000001</v>
      </c>
      <c r="I42">
        <v>10001</v>
      </c>
      <c r="J42">
        <v>30000</v>
      </c>
    </row>
    <row r="43" spans="2:10" x14ac:dyDescent="0.25">
      <c r="B43" t="s">
        <v>440</v>
      </c>
      <c r="C43">
        <v>0.29370000000000002</v>
      </c>
      <c r="D43">
        <v>0.13170000000000001</v>
      </c>
      <c r="E43">
        <v>4.6740000000000002E-3</v>
      </c>
      <c r="F43">
        <v>0.1113</v>
      </c>
      <c r="G43">
        <v>0.26800000000000002</v>
      </c>
      <c r="H43">
        <v>0.61780000000000002</v>
      </c>
      <c r="I43">
        <v>10001</v>
      </c>
      <c r="J43">
        <v>30000</v>
      </c>
    </row>
    <row r="44" spans="2:10" x14ac:dyDescent="0.25">
      <c r="B44" t="s">
        <v>441</v>
      </c>
      <c r="C44">
        <v>0.3049</v>
      </c>
      <c r="D44">
        <v>0.19939999999999999</v>
      </c>
      <c r="E44">
        <v>6.4380000000000001E-3</v>
      </c>
      <c r="F44">
        <v>7.4569999999999997E-2</v>
      </c>
      <c r="G44">
        <v>0.25600000000000001</v>
      </c>
      <c r="H44">
        <v>0.82240000000000002</v>
      </c>
      <c r="I44">
        <v>10001</v>
      </c>
      <c r="J44">
        <v>30000</v>
      </c>
    </row>
    <row r="45" spans="2:10" x14ac:dyDescent="0.25">
      <c r="B45" t="s">
        <v>442</v>
      </c>
      <c r="C45">
        <v>0.3715</v>
      </c>
      <c r="D45">
        <v>0.2041</v>
      </c>
      <c r="E45">
        <v>7.3130000000000001E-3</v>
      </c>
      <c r="F45">
        <v>0.1163</v>
      </c>
      <c r="G45">
        <v>0.33069999999999999</v>
      </c>
      <c r="H45">
        <v>0.87960000000000005</v>
      </c>
      <c r="I45">
        <v>10001</v>
      </c>
      <c r="J45">
        <v>30000</v>
      </c>
    </row>
    <row r="46" spans="2:10" x14ac:dyDescent="0.25">
      <c r="B46" t="s">
        <v>443</v>
      </c>
      <c r="C46">
        <v>0.43930000000000002</v>
      </c>
      <c r="D46">
        <v>0.14199999999999999</v>
      </c>
      <c r="E46">
        <v>4.6639999999999997E-3</v>
      </c>
      <c r="F46">
        <v>0.2253</v>
      </c>
      <c r="G46">
        <v>0.41760000000000003</v>
      </c>
      <c r="H46">
        <v>0.76890000000000003</v>
      </c>
      <c r="I46">
        <v>10001</v>
      </c>
      <c r="J46">
        <v>30000</v>
      </c>
    </row>
    <row r="47" spans="2:10" x14ac:dyDescent="0.25">
      <c r="B47" t="s">
        <v>444</v>
      </c>
      <c r="C47">
        <v>4.0940000000000003</v>
      </c>
      <c r="D47">
        <v>1.81</v>
      </c>
      <c r="E47">
        <v>6.2579999999999997E-2</v>
      </c>
      <c r="F47">
        <v>1.6619999999999999</v>
      </c>
      <c r="G47">
        <v>3.7320000000000002</v>
      </c>
      <c r="H47">
        <v>8.5760000000000005</v>
      </c>
      <c r="I47">
        <v>10001</v>
      </c>
      <c r="J47">
        <v>30000</v>
      </c>
    </row>
    <row r="48" spans="2:10" x14ac:dyDescent="0.25">
      <c r="B48" t="s">
        <v>445</v>
      </c>
      <c r="C48">
        <v>10.62</v>
      </c>
      <c r="D48">
        <v>19.46</v>
      </c>
      <c r="E48">
        <v>0.70699999999999996</v>
      </c>
      <c r="F48">
        <v>0.94</v>
      </c>
      <c r="G48">
        <v>5.5</v>
      </c>
      <c r="H48">
        <v>50.65</v>
      </c>
      <c r="I48">
        <v>10001</v>
      </c>
      <c r="J48">
        <v>30000</v>
      </c>
    </row>
    <row r="49" spans="2:10" x14ac:dyDescent="0.25">
      <c r="B49" t="s">
        <v>446</v>
      </c>
      <c r="C49">
        <v>0.7782</v>
      </c>
      <c r="D49">
        <v>0.2321</v>
      </c>
      <c r="E49">
        <v>6.9439999999999997E-3</v>
      </c>
      <c r="F49">
        <v>0.4173</v>
      </c>
      <c r="G49">
        <v>0.74939999999999996</v>
      </c>
      <c r="H49">
        <v>1.3109999999999999</v>
      </c>
      <c r="I49">
        <v>10001</v>
      </c>
      <c r="J49">
        <v>30000</v>
      </c>
    </row>
    <row r="50" spans="2:10" x14ac:dyDescent="0.25">
      <c r="B50" t="s">
        <v>447</v>
      </c>
      <c r="C50">
        <v>0.90229999999999999</v>
      </c>
      <c r="D50">
        <v>0.71830000000000005</v>
      </c>
      <c r="E50">
        <v>2.4490000000000001E-2</v>
      </c>
      <c r="F50">
        <v>0.17730000000000001</v>
      </c>
      <c r="G50">
        <v>0.71060000000000001</v>
      </c>
      <c r="H50">
        <v>2.7839999999999998</v>
      </c>
      <c r="I50">
        <v>10001</v>
      </c>
      <c r="J50">
        <v>30000</v>
      </c>
    </row>
    <row r="51" spans="2:10" x14ac:dyDescent="0.25">
      <c r="B51" t="s">
        <v>448</v>
      </c>
      <c r="C51">
        <v>0.98229999999999995</v>
      </c>
      <c r="D51">
        <v>0.41689999999999999</v>
      </c>
      <c r="E51">
        <v>1.2789999999999999E-2</v>
      </c>
      <c r="F51">
        <v>0.40760000000000002</v>
      </c>
      <c r="G51">
        <v>0.89890000000000003</v>
      </c>
      <c r="H51">
        <v>2.004</v>
      </c>
      <c r="I51">
        <v>10001</v>
      </c>
      <c r="J51">
        <v>30000</v>
      </c>
    </row>
    <row r="52" spans="2:10" x14ac:dyDescent="0.25">
      <c r="B52" t="s">
        <v>449</v>
      </c>
      <c r="C52">
        <v>1.2410000000000001</v>
      </c>
      <c r="D52">
        <v>0.46750000000000003</v>
      </c>
      <c r="E52">
        <v>1.6299999999999999E-2</v>
      </c>
      <c r="F52">
        <v>0.59130000000000005</v>
      </c>
      <c r="G52">
        <v>1.1579999999999999</v>
      </c>
      <c r="H52">
        <v>2.41</v>
      </c>
      <c r="I52">
        <v>10001</v>
      </c>
      <c r="J52">
        <v>30000</v>
      </c>
    </row>
    <row r="53" spans="2:10" x14ac:dyDescent="0.25">
      <c r="B53" t="s">
        <v>450</v>
      </c>
      <c r="C53">
        <v>11.75</v>
      </c>
      <c r="D53">
        <v>6.0140000000000002</v>
      </c>
      <c r="E53">
        <v>0.2077</v>
      </c>
      <c r="F53">
        <v>3.9489999999999998</v>
      </c>
      <c r="G53">
        <v>10.49</v>
      </c>
      <c r="H53">
        <v>26.86</v>
      </c>
      <c r="I53">
        <v>10001</v>
      </c>
      <c r="J53">
        <v>30000</v>
      </c>
    </row>
    <row r="54" spans="2:10" x14ac:dyDescent="0.25">
      <c r="B54" t="s">
        <v>451</v>
      </c>
      <c r="C54">
        <v>30.61</v>
      </c>
      <c r="D54">
        <v>53.99</v>
      </c>
      <c r="E54">
        <v>2.0019999999999998</v>
      </c>
      <c r="F54">
        <v>2.5179999999999998</v>
      </c>
      <c r="G54">
        <v>15.1</v>
      </c>
      <c r="H54">
        <v>160.5</v>
      </c>
      <c r="I54">
        <v>10001</v>
      </c>
      <c r="J54">
        <v>30000</v>
      </c>
    </row>
    <row r="55" spans="2:10" x14ac:dyDescent="0.25">
      <c r="B55" t="s">
        <v>452</v>
      </c>
      <c r="C55">
        <v>1.254</v>
      </c>
      <c r="D55">
        <v>1.099</v>
      </c>
      <c r="E55">
        <v>3.6589999999999998E-2</v>
      </c>
      <c r="F55">
        <v>0.21909999999999999</v>
      </c>
      <c r="G55">
        <v>0.95140000000000002</v>
      </c>
      <c r="H55">
        <v>4.0819999999999999</v>
      </c>
      <c r="I55">
        <v>10001</v>
      </c>
      <c r="J55">
        <v>30000</v>
      </c>
    </row>
    <row r="56" spans="2:10" x14ac:dyDescent="0.25">
      <c r="B56" t="s">
        <v>453</v>
      </c>
      <c r="C56">
        <v>1.3049999999999999</v>
      </c>
      <c r="D56">
        <v>0.52049999999999996</v>
      </c>
      <c r="E56">
        <v>1.453E-2</v>
      </c>
      <c r="F56">
        <v>0.56459999999999999</v>
      </c>
      <c r="G56">
        <v>1.21</v>
      </c>
      <c r="H56">
        <v>2.6040000000000001</v>
      </c>
      <c r="I56">
        <v>10001</v>
      </c>
      <c r="J56">
        <v>30000</v>
      </c>
    </row>
    <row r="57" spans="2:10" x14ac:dyDescent="0.25">
      <c r="B57" t="s">
        <v>454</v>
      </c>
      <c r="C57">
        <v>1.74</v>
      </c>
      <c r="D57">
        <v>0.85919999999999996</v>
      </c>
      <c r="E57">
        <v>2.8740000000000002E-2</v>
      </c>
      <c r="F57">
        <v>0.64790000000000003</v>
      </c>
      <c r="G57">
        <v>1.5489999999999999</v>
      </c>
      <c r="H57">
        <v>3.944</v>
      </c>
      <c r="I57">
        <v>10001</v>
      </c>
      <c r="J57">
        <v>30000</v>
      </c>
    </row>
    <row r="58" spans="2:10" x14ac:dyDescent="0.25">
      <c r="B58" t="s">
        <v>455</v>
      </c>
      <c r="C58">
        <v>16.489999999999998</v>
      </c>
      <c r="D58">
        <v>10.27</v>
      </c>
      <c r="E58">
        <v>0.34360000000000002</v>
      </c>
      <c r="F58">
        <v>4.6020000000000003</v>
      </c>
      <c r="G58">
        <v>13.8</v>
      </c>
      <c r="H58">
        <v>43.22</v>
      </c>
      <c r="I58">
        <v>10001</v>
      </c>
      <c r="J58">
        <v>30000</v>
      </c>
    </row>
    <row r="59" spans="2:10" x14ac:dyDescent="0.25">
      <c r="B59" t="s">
        <v>456</v>
      </c>
      <c r="C59">
        <v>42.39</v>
      </c>
      <c r="D59">
        <v>78.38</v>
      </c>
      <c r="E59">
        <v>2.6989999999999998</v>
      </c>
      <c r="F59">
        <v>2.948</v>
      </c>
      <c r="G59">
        <v>20.53</v>
      </c>
      <c r="H59">
        <v>225.8</v>
      </c>
      <c r="I59">
        <v>10001</v>
      </c>
      <c r="J59">
        <v>30000</v>
      </c>
    </row>
    <row r="60" spans="2:10" x14ac:dyDescent="0.25">
      <c r="B60" t="s">
        <v>457</v>
      </c>
      <c r="C60">
        <v>1.7649999999999999</v>
      </c>
      <c r="D60">
        <v>1.7170000000000001</v>
      </c>
      <c r="E60">
        <v>5.7110000000000001E-2</v>
      </c>
      <c r="F60">
        <v>0.254</v>
      </c>
      <c r="G60">
        <v>1.282</v>
      </c>
      <c r="H60">
        <v>6.0670000000000002</v>
      </c>
      <c r="I60">
        <v>10001</v>
      </c>
      <c r="J60">
        <v>30000</v>
      </c>
    </row>
    <row r="61" spans="2:10" x14ac:dyDescent="0.25">
      <c r="B61" t="s">
        <v>458</v>
      </c>
      <c r="C61">
        <v>2.1240000000000001</v>
      </c>
      <c r="D61">
        <v>2.0070000000000001</v>
      </c>
      <c r="E61">
        <v>6.4409999999999995E-2</v>
      </c>
      <c r="F61">
        <v>0.4259</v>
      </c>
      <c r="G61">
        <v>1.635</v>
      </c>
      <c r="H61">
        <v>6.6210000000000004</v>
      </c>
      <c r="I61">
        <v>10001</v>
      </c>
      <c r="J61">
        <v>30000</v>
      </c>
    </row>
    <row r="62" spans="2:10" x14ac:dyDescent="0.25">
      <c r="B62" t="s">
        <v>459</v>
      </c>
      <c r="C62">
        <v>19.59</v>
      </c>
      <c r="D62">
        <v>20.46</v>
      </c>
      <c r="E62">
        <v>0.61229999999999996</v>
      </c>
      <c r="F62">
        <v>3.5419999999999998</v>
      </c>
      <c r="G62">
        <v>14.37</v>
      </c>
      <c r="H62">
        <v>63.26</v>
      </c>
      <c r="I62">
        <v>10001</v>
      </c>
      <c r="J62">
        <v>30000</v>
      </c>
    </row>
    <row r="63" spans="2:10" x14ac:dyDescent="0.25">
      <c r="B63" t="s">
        <v>460</v>
      </c>
      <c r="C63">
        <v>50.43</v>
      </c>
      <c r="D63">
        <v>142.9</v>
      </c>
      <c r="E63">
        <v>3.8109999999999999</v>
      </c>
      <c r="F63">
        <v>2.7490000000000001</v>
      </c>
      <c r="G63">
        <v>21.79</v>
      </c>
      <c r="H63">
        <v>265.60000000000002</v>
      </c>
      <c r="I63">
        <v>10001</v>
      </c>
      <c r="J63">
        <v>30000</v>
      </c>
    </row>
    <row r="64" spans="2:10" x14ac:dyDescent="0.25">
      <c r="B64" t="s">
        <v>461</v>
      </c>
      <c r="C64">
        <v>1.5009999999999999</v>
      </c>
      <c r="D64">
        <v>0.93049999999999999</v>
      </c>
      <c r="E64">
        <v>3.1890000000000002E-2</v>
      </c>
      <c r="F64">
        <v>0.46060000000000001</v>
      </c>
      <c r="G64">
        <v>1.286</v>
      </c>
      <c r="H64">
        <v>3.8759999999999999</v>
      </c>
      <c r="I64">
        <v>10001</v>
      </c>
      <c r="J64">
        <v>30000</v>
      </c>
    </row>
    <row r="65" spans="2:10" x14ac:dyDescent="0.25">
      <c r="B65" t="s">
        <v>462</v>
      </c>
      <c r="C65">
        <v>14.2</v>
      </c>
      <c r="D65">
        <v>10.43</v>
      </c>
      <c r="E65">
        <v>0.35849999999999999</v>
      </c>
      <c r="F65">
        <v>3.3889999999999998</v>
      </c>
      <c r="G65">
        <v>11.28</v>
      </c>
      <c r="H65">
        <v>41.09</v>
      </c>
      <c r="I65">
        <v>10001</v>
      </c>
      <c r="J65">
        <v>30000</v>
      </c>
    </row>
    <row r="66" spans="2:10" x14ac:dyDescent="0.25">
      <c r="B66" t="s">
        <v>463</v>
      </c>
      <c r="C66">
        <v>37.090000000000003</v>
      </c>
      <c r="D66">
        <v>75.14</v>
      </c>
      <c r="E66">
        <v>2.4940000000000002</v>
      </c>
      <c r="F66">
        <v>2.3130000000000002</v>
      </c>
      <c r="G66">
        <v>16.98</v>
      </c>
      <c r="H66">
        <v>218.3</v>
      </c>
      <c r="I66">
        <v>10001</v>
      </c>
      <c r="J66">
        <v>30000</v>
      </c>
    </row>
    <row r="67" spans="2:10" x14ac:dyDescent="0.25">
      <c r="B67" t="s">
        <v>464</v>
      </c>
      <c r="C67">
        <v>9.9979999999999993</v>
      </c>
      <c r="D67">
        <v>4.923</v>
      </c>
      <c r="E67">
        <v>0.1865</v>
      </c>
      <c r="F67">
        <v>3.5550000000000002</v>
      </c>
      <c r="G67">
        <v>9.016</v>
      </c>
      <c r="H67">
        <v>22.78</v>
      </c>
      <c r="I67">
        <v>10001</v>
      </c>
      <c r="J67">
        <v>30000</v>
      </c>
    </row>
    <row r="68" spans="2:10" x14ac:dyDescent="0.25">
      <c r="B68" t="s">
        <v>465</v>
      </c>
      <c r="C68">
        <v>25.56</v>
      </c>
      <c r="D68">
        <v>46.71</v>
      </c>
      <c r="E68">
        <v>1.69</v>
      </c>
      <c r="F68">
        <v>2.2429999999999999</v>
      </c>
      <c r="G68">
        <v>13.17</v>
      </c>
      <c r="H68">
        <v>124.3</v>
      </c>
      <c r="I68">
        <v>10001</v>
      </c>
      <c r="J68">
        <v>30000</v>
      </c>
    </row>
    <row r="69" spans="2:10" x14ac:dyDescent="0.25">
      <c r="B69" t="s">
        <v>466</v>
      </c>
      <c r="C69">
        <v>3.0590000000000002</v>
      </c>
      <c r="D69">
        <v>5.883</v>
      </c>
      <c r="E69">
        <v>0.19439999999999999</v>
      </c>
      <c r="F69">
        <v>0.2079</v>
      </c>
      <c r="G69">
        <v>1.516</v>
      </c>
      <c r="H69">
        <v>15.87</v>
      </c>
      <c r="I69">
        <v>10001</v>
      </c>
      <c r="J69">
        <v>30000</v>
      </c>
    </row>
    <row r="70" spans="2:10" x14ac:dyDescent="0.25">
      <c r="B70" t="s">
        <v>467</v>
      </c>
      <c r="C70">
        <v>0.43740000000000001</v>
      </c>
      <c r="D70">
        <v>0.11600000000000001</v>
      </c>
      <c r="E70">
        <v>4.1209999999999997E-3</v>
      </c>
      <c r="F70">
        <v>0.25</v>
      </c>
      <c r="G70">
        <v>0.375</v>
      </c>
      <c r="H70">
        <v>0.75</v>
      </c>
      <c r="I70">
        <v>10001</v>
      </c>
      <c r="J70">
        <v>30000</v>
      </c>
    </row>
    <row r="71" spans="2:10" x14ac:dyDescent="0.25">
      <c r="B71" t="s">
        <v>468</v>
      </c>
      <c r="C71">
        <v>0.25290000000000001</v>
      </c>
      <c r="D71">
        <v>3.6459999999999999E-2</v>
      </c>
      <c r="E71" s="13">
        <v>9.3519999999999996E-4</v>
      </c>
      <c r="F71">
        <v>0.125</v>
      </c>
      <c r="G71">
        <v>0.25</v>
      </c>
      <c r="H71">
        <v>0.375</v>
      </c>
      <c r="I71">
        <v>10001</v>
      </c>
      <c r="J71">
        <v>30000</v>
      </c>
    </row>
    <row r="72" spans="2:10" x14ac:dyDescent="0.25">
      <c r="B72" t="s">
        <v>469</v>
      </c>
      <c r="C72">
        <v>0.67920000000000003</v>
      </c>
      <c r="D72">
        <v>0.1343</v>
      </c>
      <c r="E72">
        <v>3.7980000000000002E-3</v>
      </c>
      <c r="F72">
        <v>0.375</v>
      </c>
      <c r="G72">
        <v>0.625</v>
      </c>
      <c r="H72">
        <v>1</v>
      </c>
      <c r="I72">
        <v>10001</v>
      </c>
      <c r="J72">
        <v>30000</v>
      </c>
    </row>
    <row r="73" spans="2:10" x14ac:dyDescent="0.25">
      <c r="B73" t="s">
        <v>470</v>
      </c>
      <c r="C73">
        <v>0.84899999999999998</v>
      </c>
      <c r="D73">
        <v>0.14149999999999999</v>
      </c>
      <c r="E73">
        <v>4.0400000000000002E-3</v>
      </c>
      <c r="F73">
        <v>0.5</v>
      </c>
      <c r="G73">
        <v>0.875</v>
      </c>
      <c r="H73">
        <v>1</v>
      </c>
      <c r="I73">
        <v>10001</v>
      </c>
      <c r="J73">
        <v>30000</v>
      </c>
    </row>
    <row r="74" spans="2:10" x14ac:dyDescent="0.25">
      <c r="B74" t="s">
        <v>471</v>
      </c>
      <c r="C74">
        <v>0.8125</v>
      </c>
      <c r="D74">
        <v>0.2203</v>
      </c>
      <c r="E74">
        <v>7.0289999999999997E-3</v>
      </c>
      <c r="F74">
        <v>0.375</v>
      </c>
      <c r="G74">
        <v>0.875</v>
      </c>
      <c r="H74">
        <v>1</v>
      </c>
      <c r="I74">
        <v>10001</v>
      </c>
      <c r="J74">
        <v>30000</v>
      </c>
    </row>
    <row r="75" spans="2:10" x14ac:dyDescent="0.25">
      <c r="B75" t="s">
        <v>472</v>
      </c>
      <c r="C75">
        <v>0.72360000000000002</v>
      </c>
      <c r="D75">
        <v>0.20130000000000001</v>
      </c>
      <c r="E75">
        <v>6.5640000000000004E-3</v>
      </c>
      <c r="F75">
        <v>0.375</v>
      </c>
      <c r="G75">
        <v>0.75</v>
      </c>
      <c r="H75">
        <v>1</v>
      </c>
      <c r="I75">
        <v>10001</v>
      </c>
      <c r="J75">
        <v>30000</v>
      </c>
    </row>
    <row r="76" spans="2:10" x14ac:dyDescent="0.25">
      <c r="B76" t="s">
        <v>473</v>
      </c>
      <c r="C76">
        <v>0.61460000000000004</v>
      </c>
      <c r="D76">
        <v>0.16689999999999999</v>
      </c>
      <c r="E76">
        <v>5.2339999999999999E-3</v>
      </c>
      <c r="F76">
        <v>0.375</v>
      </c>
      <c r="G76">
        <v>0.625</v>
      </c>
      <c r="H76">
        <v>1</v>
      </c>
      <c r="I76">
        <v>10001</v>
      </c>
      <c r="J76">
        <v>30000</v>
      </c>
    </row>
    <row r="77" spans="2:10" x14ac:dyDescent="0.25">
      <c r="B77" t="s">
        <v>474</v>
      </c>
      <c r="C77">
        <v>8.1460000000000005E-2</v>
      </c>
      <c r="D77">
        <v>5.9769999999999997E-2</v>
      </c>
      <c r="E77">
        <v>2.153E-3</v>
      </c>
      <c r="F77">
        <v>0</v>
      </c>
      <c r="G77">
        <v>0.125</v>
      </c>
      <c r="H77">
        <v>0.125</v>
      </c>
      <c r="I77">
        <v>10001</v>
      </c>
      <c r="J77">
        <v>30000</v>
      </c>
    </row>
    <row r="78" spans="2:10" x14ac:dyDescent="0.25">
      <c r="B78" t="s">
        <v>475</v>
      </c>
      <c r="C78">
        <v>4.9349999999999998E-2</v>
      </c>
      <c r="D78">
        <v>7.9130000000000006E-2</v>
      </c>
      <c r="E78">
        <v>2.8300000000000001E-3</v>
      </c>
      <c r="F78">
        <v>0</v>
      </c>
      <c r="G78">
        <v>0</v>
      </c>
      <c r="H78">
        <v>0.25</v>
      </c>
      <c r="I78">
        <v>10001</v>
      </c>
      <c r="J78">
        <v>30000</v>
      </c>
    </row>
    <row r="79" spans="2:10" x14ac:dyDescent="0.25">
      <c r="B79" t="s">
        <v>476</v>
      </c>
      <c r="C79">
        <v>2.2000000000000001E-3</v>
      </c>
      <c r="D79">
        <v>4.6850000000000003E-2</v>
      </c>
      <c r="E79" s="13">
        <v>9.2199999999999997E-4</v>
      </c>
      <c r="F79">
        <v>0</v>
      </c>
      <c r="G79">
        <v>0</v>
      </c>
      <c r="H79">
        <v>0</v>
      </c>
      <c r="I79">
        <v>10001</v>
      </c>
      <c r="J79">
        <v>30000</v>
      </c>
    </row>
    <row r="80" spans="2:10" x14ac:dyDescent="0.25">
      <c r="B80" t="s">
        <v>477</v>
      </c>
      <c r="C80">
        <v>0</v>
      </c>
      <c r="D80">
        <v>0</v>
      </c>
      <c r="E80" s="13">
        <v>3.333E-13</v>
      </c>
      <c r="F80">
        <v>0</v>
      </c>
      <c r="G80">
        <v>0</v>
      </c>
      <c r="H80">
        <v>0</v>
      </c>
      <c r="I80">
        <v>10001</v>
      </c>
      <c r="J80">
        <v>30000</v>
      </c>
    </row>
    <row r="81" spans="2:10" x14ac:dyDescent="0.25">
      <c r="B81" t="s">
        <v>478</v>
      </c>
      <c r="C81">
        <v>2.683E-2</v>
      </c>
      <c r="D81">
        <v>0.16159999999999999</v>
      </c>
      <c r="E81">
        <v>2.5969999999999999E-3</v>
      </c>
      <c r="F81">
        <v>0</v>
      </c>
      <c r="G81">
        <v>0</v>
      </c>
      <c r="H81">
        <v>1</v>
      </c>
      <c r="I81">
        <v>10001</v>
      </c>
      <c r="J81">
        <v>30000</v>
      </c>
    </row>
    <row r="82" spans="2:10" x14ac:dyDescent="0.25">
      <c r="B82" t="s">
        <v>479</v>
      </c>
      <c r="C82">
        <v>0.2954</v>
      </c>
      <c r="D82">
        <v>0.45619999999999999</v>
      </c>
      <c r="E82">
        <v>1.1220000000000001E-2</v>
      </c>
      <c r="F82">
        <v>0</v>
      </c>
      <c r="G82">
        <v>0</v>
      </c>
      <c r="H82">
        <v>1</v>
      </c>
      <c r="I82">
        <v>10001</v>
      </c>
      <c r="J82">
        <v>30000</v>
      </c>
    </row>
    <row r="83" spans="2:10" x14ac:dyDescent="0.25">
      <c r="B83" t="s">
        <v>480</v>
      </c>
      <c r="C83">
        <v>0.4713</v>
      </c>
      <c r="D83">
        <v>0.49919999999999998</v>
      </c>
      <c r="E83">
        <v>1.5100000000000001E-2</v>
      </c>
      <c r="F83">
        <v>0</v>
      </c>
      <c r="G83">
        <v>0</v>
      </c>
      <c r="H83">
        <v>1</v>
      </c>
      <c r="I83">
        <v>10001</v>
      </c>
      <c r="J83">
        <v>30000</v>
      </c>
    </row>
    <row r="84" spans="2:10" x14ac:dyDescent="0.25">
      <c r="B84" t="s">
        <v>481</v>
      </c>
      <c r="C84">
        <v>0.157</v>
      </c>
      <c r="D84">
        <v>0.36380000000000001</v>
      </c>
      <c r="E84">
        <v>9.0030000000000006E-3</v>
      </c>
      <c r="F84">
        <v>0</v>
      </c>
      <c r="G84">
        <v>0</v>
      </c>
      <c r="H84">
        <v>1</v>
      </c>
      <c r="I84">
        <v>10001</v>
      </c>
      <c r="J84">
        <v>30000</v>
      </c>
    </row>
    <row r="85" spans="2:10" x14ac:dyDescent="0.25">
      <c r="B85" t="s">
        <v>482</v>
      </c>
      <c r="C85">
        <v>4.6969999999999998E-2</v>
      </c>
      <c r="D85">
        <v>0.21160000000000001</v>
      </c>
      <c r="E85">
        <v>5.1399999999999996E-3</v>
      </c>
      <c r="F85">
        <v>0</v>
      </c>
      <c r="G85">
        <v>0</v>
      </c>
      <c r="H85">
        <v>1</v>
      </c>
      <c r="I85">
        <v>10001</v>
      </c>
      <c r="J85">
        <v>30000</v>
      </c>
    </row>
    <row r="86" spans="2:10" x14ac:dyDescent="0.25">
      <c r="B86" t="s">
        <v>483</v>
      </c>
      <c r="C86">
        <v>0</v>
      </c>
      <c r="D86">
        <v>0</v>
      </c>
      <c r="E86" s="13">
        <v>3.333E-13</v>
      </c>
      <c r="F86">
        <v>0</v>
      </c>
      <c r="G86">
        <v>0</v>
      </c>
      <c r="H86">
        <v>0</v>
      </c>
      <c r="I86">
        <v>10001</v>
      </c>
      <c r="J86">
        <v>30000</v>
      </c>
    </row>
    <row r="87" spans="2:10" x14ac:dyDescent="0.25">
      <c r="B87" t="s">
        <v>484</v>
      </c>
      <c r="C87" s="13">
        <v>3.3330000000000002E-4</v>
      </c>
      <c r="D87">
        <v>1.8249999999999999E-2</v>
      </c>
      <c r="E87" s="13">
        <v>2.7149999999999999E-4</v>
      </c>
      <c r="F87">
        <v>0</v>
      </c>
      <c r="G87">
        <v>0</v>
      </c>
      <c r="H87">
        <v>0</v>
      </c>
      <c r="I87">
        <v>10001</v>
      </c>
      <c r="J87">
        <v>30000</v>
      </c>
    </row>
    <row r="88" spans="2:10" x14ac:dyDescent="0.25">
      <c r="B88" t="s">
        <v>485</v>
      </c>
      <c r="C88">
        <v>0.53490000000000004</v>
      </c>
      <c r="D88">
        <v>0.74729999999999996</v>
      </c>
      <c r="E88">
        <v>4.5799999999999999E-3</v>
      </c>
      <c r="F88" s="13">
        <v>5.0549999999999998E-4</v>
      </c>
      <c r="G88">
        <v>0.2445</v>
      </c>
      <c r="H88">
        <v>2.6709999999999998</v>
      </c>
      <c r="I88">
        <v>10001</v>
      </c>
      <c r="J88">
        <v>30000</v>
      </c>
    </row>
    <row r="89" spans="2:10" x14ac:dyDescent="0.25">
      <c r="B89" t="s">
        <v>486</v>
      </c>
      <c r="C89">
        <v>0.70909999999999995</v>
      </c>
      <c r="D89">
        <v>0.95899999999999996</v>
      </c>
      <c r="E89">
        <v>6.2249999999999996E-3</v>
      </c>
      <c r="F89" s="13">
        <v>7.2869999999999999E-4</v>
      </c>
      <c r="G89">
        <v>0.33750000000000002</v>
      </c>
      <c r="H89">
        <v>3.44</v>
      </c>
      <c r="I89">
        <v>10001</v>
      </c>
      <c r="J89">
        <v>30000</v>
      </c>
    </row>
    <row r="90" spans="2:10" x14ac:dyDescent="0.25">
      <c r="B90" t="s">
        <v>487</v>
      </c>
      <c r="C90">
        <v>0.84160000000000001</v>
      </c>
      <c r="D90">
        <v>1.1910000000000001</v>
      </c>
      <c r="E90">
        <v>1.205E-2</v>
      </c>
      <c r="F90" s="13">
        <v>7.9549999999999998E-4</v>
      </c>
      <c r="G90">
        <v>0.38290000000000002</v>
      </c>
      <c r="H90">
        <v>4.2009999999999996</v>
      </c>
      <c r="I90">
        <v>10001</v>
      </c>
      <c r="J90">
        <v>30000</v>
      </c>
    </row>
    <row r="91" spans="2:10" x14ac:dyDescent="0.25">
      <c r="B91" t="s">
        <v>488</v>
      </c>
      <c r="C91">
        <v>0.81759999999999999</v>
      </c>
      <c r="D91">
        <v>1.1659999999999999</v>
      </c>
      <c r="E91">
        <v>1.176E-2</v>
      </c>
      <c r="F91" s="13">
        <v>8.1070000000000003E-4</v>
      </c>
      <c r="G91">
        <v>0.36809999999999998</v>
      </c>
      <c r="H91">
        <v>4.1070000000000002</v>
      </c>
      <c r="I91">
        <v>10001</v>
      </c>
      <c r="J91">
        <v>30000</v>
      </c>
    </row>
    <row r="92" spans="2:10" x14ac:dyDescent="0.25">
      <c r="B92" t="s">
        <v>489</v>
      </c>
      <c r="C92">
        <v>0.78169999999999995</v>
      </c>
      <c r="D92">
        <v>1.1000000000000001</v>
      </c>
      <c r="E92">
        <v>9.2130000000000007E-3</v>
      </c>
      <c r="F92" s="13">
        <v>7.7380000000000005E-4</v>
      </c>
      <c r="G92">
        <v>0.35620000000000002</v>
      </c>
      <c r="H92">
        <v>3.847</v>
      </c>
      <c r="I92">
        <v>10001</v>
      </c>
      <c r="J92">
        <v>30000</v>
      </c>
    </row>
    <row r="93" spans="2:10" x14ac:dyDescent="0.25">
      <c r="B93" t="s">
        <v>490</v>
      </c>
      <c r="C93">
        <v>0.62109999999999999</v>
      </c>
      <c r="D93">
        <v>0.89090000000000003</v>
      </c>
      <c r="E93">
        <v>1.009E-2</v>
      </c>
      <c r="F93" s="13">
        <v>6.2960000000000002E-4</v>
      </c>
      <c r="G93">
        <v>0.27650000000000002</v>
      </c>
      <c r="H93">
        <v>3.1</v>
      </c>
      <c r="I93">
        <v>10001</v>
      </c>
      <c r="J93">
        <v>30000</v>
      </c>
    </row>
    <row r="94" spans="2:10" x14ac:dyDescent="0.25">
      <c r="B94" t="s">
        <v>491</v>
      </c>
      <c r="C94">
        <v>1.179</v>
      </c>
      <c r="D94">
        <v>1.6020000000000001</v>
      </c>
      <c r="E94">
        <v>2.146E-2</v>
      </c>
      <c r="F94">
        <v>1.1919999999999999E-3</v>
      </c>
      <c r="G94">
        <v>0.56569999999999998</v>
      </c>
      <c r="H94">
        <v>5.641</v>
      </c>
      <c r="I94">
        <v>10001</v>
      </c>
      <c r="J94">
        <v>30000</v>
      </c>
    </row>
    <row r="95" spans="2:10" x14ac:dyDescent="0.25">
      <c r="B95" t="s">
        <v>492</v>
      </c>
      <c r="C95">
        <v>1.161</v>
      </c>
      <c r="D95">
        <v>1.4850000000000001</v>
      </c>
      <c r="E95">
        <v>2.8490000000000001E-2</v>
      </c>
      <c r="F95">
        <v>1.518E-3</v>
      </c>
      <c r="G95">
        <v>0.60899999999999999</v>
      </c>
      <c r="H95">
        <v>5.2729999999999997</v>
      </c>
      <c r="I95">
        <v>10001</v>
      </c>
      <c r="J95">
        <v>30000</v>
      </c>
    </row>
    <row r="96" spans="2:10" x14ac:dyDescent="0.25">
      <c r="B96" t="s">
        <v>493</v>
      </c>
      <c r="C96">
        <v>1.0740000000000001</v>
      </c>
      <c r="D96">
        <v>1.508</v>
      </c>
      <c r="E96">
        <v>4.6330000000000003E-2</v>
      </c>
      <c r="F96" s="13">
        <v>9.6310000000000005E-4</v>
      </c>
      <c r="G96">
        <v>0.48359999999999997</v>
      </c>
      <c r="H96">
        <v>5.4139999999999997</v>
      </c>
      <c r="I96">
        <v>10001</v>
      </c>
      <c r="J96">
        <v>30000</v>
      </c>
    </row>
    <row r="97" spans="2:10" x14ac:dyDescent="0.25">
      <c r="B97" t="s">
        <v>494</v>
      </c>
      <c r="C97">
        <v>1.0169999999999999</v>
      </c>
      <c r="D97">
        <v>1.4219999999999999</v>
      </c>
      <c r="E97">
        <v>1.575E-2</v>
      </c>
      <c r="F97">
        <v>1.049E-3</v>
      </c>
      <c r="G97">
        <v>0.46189999999999998</v>
      </c>
      <c r="H97">
        <v>5.048</v>
      </c>
      <c r="I97">
        <v>10001</v>
      </c>
      <c r="J97">
        <v>30000</v>
      </c>
    </row>
    <row r="98" spans="2:10" x14ac:dyDescent="0.25">
      <c r="B98" t="s">
        <v>495</v>
      </c>
      <c r="C98">
        <v>0.99770000000000003</v>
      </c>
      <c r="D98">
        <v>1.3640000000000001</v>
      </c>
      <c r="E98">
        <v>1.5100000000000001E-2</v>
      </c>
      <c r="F98">
        <v>1.0610000000000001E-3</v>
      </c>
      <c r="G98">
        <v>0.4723</v>
      </c>
      <c r="H98">
        <v>4.8419999999999996</v>
      </c>
      <c r="I98">
        <v>10001</v>
      </c>
      <c r="J98">
        <v>30000</v>
      </c>
    </row>
    <row r="99" spans="2:10" x14ac:dyDescent="0.25">
      <c r="B99" t="s">
        <v>496</v>
      </c>
      <c r="C99">
        <v>1.079</v>
      </c>
      <c r="D99">
        <v>1.373</v>
      </c>
      <c r="E99">
        <v>2.0219999999999998E-2</v>
      </c>
      <c r="F99">
        <v>1.2570000000000001E-3</v>
      </c>
      <c r="G99">
        <v>0.55820000000000003</v>
      </c>
      <c r="H99">
        <v>5</v>
      </c>
      <c r="I99">
        <v>10001</v>
      </c>
      <c r="J99">
        <v>30000</v>
      </c>
    </row>
    <row r="100" spans="2:10" x14ac:dyDescent="0.25">
      <c r="B100" t="s">
        <v>497</v>
      </c>
      <c r="C100">
        <v>0.99309999999999998</v>
      </c>
      <c r="D100">
        <v>1.427</v>
      </c>
      <c r="E100">
        <v>1.6799999999999999E-2</v>
      </c>
      <c r="F100" s="13">
        <v>9.1180000000000005E-4</v>
      </c>
      <c r="G100">
        <v>0.43730000000000002</v>
      </c>
      <c r="H100">
        <v>5.0780000000000003</v>
      </c>
      <c r="I100">
        <v>10001</v>
      </c>
      <c r="J100">
        <v>30000</v>
      </c>
    </row>
    <row r="101" spans="2:10" x14ac:dyDescent="0.25">
      <c r="B101" t="s">
        <v>498</v>
      </c>
      <c r="C101">
        <v>0.98109999999999997</v>
      </c>
      <c r="D101">
        <v>1.4039999999999999</v>
      </c>
      <c r="E101">
        <v>2.8500000000000001E-2</v>
      </c>
      <c r="F101" s="13">
        <v>8.9930000000000001E-4</v>
      </c>
      <c r="G101">
        <v>0.44850000000000001</v>
      </c>
      <c r="H101">
        <v>4.9349999999999996</v>
      </c>
      <c r="I101">
        <v>10001</v>
      </c>
      <c r="J101">
        <v>30000</v>
      </c>
    </row>
    <row r="102" spans="2:10" x14ac:dyDescent="0.25">
      <c r="B102" t="s">
        <v>499</v>
      </c>
      <c r="C102">
        <v>0.81079999999999997</v>
      </c>
      <c r="D102">
        <v>1.1479999999999999</v>
      </c>
      <c r="E102">
        <v>1.108E-2</v>
      </c>
      <c r="F102" s="13">
        <v>8.1430000000000001E-4</v>
      </c>
      <c r="G102">
        <v>0.375</v>
      </c>
      <c r="H102">
        <v>4.0250000000000004</v>
      </c>
      <c r="I102">
        <v>10001</v>
      </c>
      <c r="J102">
        <v>30000</v>
      </c>
    </row>
    <row r="103" spans="2:10" x14ac:dyDescent="0.25">
      <c r="B103" t="s">
        <v>500</v>
      </c>
      <c r="C103">
        <v>0.80149999999999999</v>
      </c>
      <c r="D103">
        <v>1.109</v>
      </c>
      <c r="E103">
        <v>1.244E-2</v>
      </c>
      <c r="F103" s="13">
        <v>9.054E-4</v>
      </c>
      <c r="G103">
        <v>0.37619999999999998</v>
      </c>
      <c r="H103">
        <v>3.9209999999999998</v>
      </c>
      <c r="I103">
        <v>10001</v>
      </c>
      <c r="J103">
        <v>30000</v>
      </c>
    </row>
    <row r="104" spans="2:10" x14ac:dyDescent="0.25">
      <c r="B104" t="s">
        <v>501</v>
      </c>
      <c r="C104">
        <v>1.288</v>
      </c>
      <c r="D104">
        <v>1.3160000000000001</v>
      </c>
      <c r="E104">
        <v>2.554E-2</v>
      </c>
      <c r="F104">
        <v>3.0639999999999999E-3</v>
      </c>
      <c r="G104">
        <v>0.873</v>
      </c>
      <c r="H104">
        <v>4.6950000000000003</v>
      </c>
      <c r="I104">
        <v>10001</v>
      </c>
      <c r="J104">
        <v>30000</v>
      </c>
    </row>
    <row r="105" spans="2:10" x14ac:dyDescent="0.25">
      <c r="B105" t="s">
        <v>502</v>
      </c>
      <c r="C105">
        <v>1.0669999999999999</v>
      </c>
      <c r="D105">
        <v>1.444</v>
      </c>
      <c r="E105">
        <v>1.2749999999999999E-2</v>
      </c>
      <c r="F105">
        <v>1.1980000000000001E-3</v>
      </c>
      <c r="G105">
        <v>0.51049999999999995</v>
      </c>
      <c r="H105">
        <v>5.1849999999999996</v>
      </c>
      <c r="I105">
        <v>10001</v>
      </c>
      <c r="J105">
        <v>30000</v>
      </c>
    </row>
    <row r="106" spans="2:10" x14ac:dyDescent="0.25">
      <c r="B106" t="s">
        <v>503</v>
      </c>
      <c r="C106">
        <v>1.1040000000000001</v>
      </c>
      <c r="D106">
        <v>1.4570000000000001</v>
      </c>
      <c r="E106">
        <v>1.8239999999999999E-2</v>
      </c>
      <c r="F106">
        <v>1.2700000000000001E-3</v>
      </c>
      <c r="G106">
        <v>0.5544</v>
      </c>
      <c r="H106">
        <v>5.1909999999999998</v>
      </c>
      <c r="I106">
        <v>10001</v>
      </c>
      <c r="J106">
        <v>30000</v>
      </c>
    </row>
    <row r="107" spans="2:10" x14ac:dyDescent="0.25">
      <c r="B107" t="s">
        <v>504</v>
      </c>
      <c r="C107">
        <v>1.264</v>
      </c>
      <c r="D107">
        <v>1.5840000000000001</v>
      </c>
      <c r="E107">
        <v>2.231E-2</v>
      </c>
      <c r="F107">
        <v>1.524E-3</v>
      </c>
      <c r="G107">
        <v>0.66700000000000004</v>
      </c>
      <c r="H107">
        <v>5.7140000000000004</v>
      </c>
      <c r="I107">
        <v>10001</v>
      </c>
      <c r="J107">
        <v>30000</v>
      </c>
    </row>
    <row r="108" spans="2:10" x14ac:dyDescent="0.25">
      <c r="B108" t="s">
        <v>505</v>
      </c>
      <c r="C108">
        <v>0.55569999999999997</v>
      </c>
      <c r="D108">
        <v>0.77259999999999995</v>
      </c>
      <c r="E108">
        <v>6.4609999999999997E-3</v>
      </c>
      <c r="F108" s="13">
        <v>5.4819999999999999E-4</v>
      </c>
      <c r="G108">
        <v>0.25829999999999997</v>
      </c>
      <c r="H108">
        <v>2.7090000000000001</v>
      </c>
      <c r="I108">
        <v>10001</v>
      </c>
      <c r="J108">
        <v>30000</v>
      </c>
    </row>
    <row r="109" spans="2:10" x14ac:dyDescent="0.25">
      <c r="B109" t="s">
        <v>506</v>
      </c>
      <c r="C109">
        <v>0.63880000000000003</v>
      </c>
      <c r="D109">
        <v>0.91379999999999995</v>
      </c>
      <c r="E109">
        <v>5.8539999999999998E-3</v>
      </c>
      <c r="F109" s="13">
        <v>6.8769999999999996E-4</v>
      </c>
      <c r="G109">
        <v>0.29370000000000002</v>
      </c>
      <c r="H109">
        <v>3.2149999999999999</v>
      </c>
      <c r="I109">
        <v>10001</v>
      </c>
      <c r="J109">
        <v>30000</v>
      </c>
    </row>
    <row r="110" spans="2:10" x14ac:dyDescent="0.25">
      <c r="B110" t="s">
        <v>507</v>
      </c>
      <c r="C110">
        <v>0.68479999999999996</v>
      </c>
      <c r="D110">
        <v>0.88880000000000003</v>
      </c>
      <c r="E110">
        <v>1.0840000000000001E-2</v>
      </c>
      <c r="F110" s="13">
        <v>8.4699999999999999E-4</v>
      </c>
      <c r="G110">
        <v>0.34460000000000002</v>
      </c>
      <c r="H110">
        <v>3.165</v>
      </c>
      <c r="I110">
        <v>10001</v>
      </c>
      <c r="J110">
        <v>30000</v>
      </c>
    </row>
    <row r="111" spans="2:10" x14ac:dyDescent="0.25">
      <c r="B111" t="s">
        <v>508</v>
      </c>
      <c r="C111">
        <v>1.006</v>
      </c>
      <c r="D111">
        <v>1.377</v>
      </c>
      <c r="E111">
        <v>9.7199999999999995E-3</v>
      </c>
      <c r="F111" s="13">
        <v>9.4780000000000005E-4</v>
      </c>
      <c r="G111">
        <v>0.47910000000000003</v>
      </c>
      <c r="H111">
        <v>4.9059999999999997</v>
      </c>
      <c r="I111">
        <v>10001</v>
      </c>
      <c r="J111">
        <v>30000</v>
      </c>
    </row>
    <row r="112" spans="2:10" x14ac:dyDescent="0.25">
      <c r="B112" t="s">
        <v>509</v>
      </c>
      <c r="C112">
        <v>0.68400000000000005</v>
      </c>
      <c r="D112">
        <v>0.95079999999999998</v>
      </c>
      <c r="E112">
        <v>9.4660000000000005E-3</v>
      </c>
      <c r="F112" s="13">
        <v>6.8320000000000002E-4</v>
      </c>
      <c r="G112">
        <v>0.32050000000000001</v>
      </c>
      <c r="H112">
        <v>3.4119999999999999</v>
      </c>
      <c r="I112">
        <v>10001</v>
      </c>
      <c r="J112">
        <v>30000</v>
      </c>
    </row>
    <row r="113" spans="2:10" x14ac:dyDescent="0.25">
      <c r="B113" t="s">
        <v>510</v>
      </c>
      <c r="C113">
        <v>0.68640000000000001</v>
      </c>
      <c r="D113">
        <v>0.94230000000000003</v>
      </c>
      <c r="E113">
        <v>9.1909999999999995E-3</v>
      </c>
      <c r="F113" s="13">
        <v>6.8380000000000003E-4</v>
      </c>
      <c r="G113">
        <v>0.32329999999999998</v>
      </c>
      <c r="H113">
        <v>3.391</v>
      </c>
      <c r="I113">
        <v>10001</v>
      </c>
      <c r="J113">
        <v>30000</v>
      </c>
    </row>
    <row r="114" spans="2:10" x14ac:dyDescent="0.25">
      <c r="B114" t="s">
        <v>511</v>
      </c>
      <c r="C114">
        <v>0.89990000000000003</v>
      </c>
      <c r="D114">
        <v>1.264</v>
      </c>
      <c r="E114">
        <v>2.1700000000000001E-2</v>
      </c>
      <c r="F114" s="13">
        <v>8.8800000000000001E-4</v>
      </c>
      <c r="G114">
        <v>0.41470000000000001</v>
      </c>
      <c r="H114">
        <v>4.5389999999999997</v>
      </c>
      <c r="I114">
        <v>10001</v>
      </c>
      <c r="J114">
        <v>30000</v>
      </c>
    </row>
    <row r="115" spans="2:10" x14ac:dyDescent="0.25">
      <c r="B115" t="s">
        <v>512</v>
      </c>
      <c r="C115">
        <v>0.99050000000000005</v>
      </c>
      <c r="D115">
        <v>1.401</v>
      </c>
      <c r="E115">
        <v>1.6820000000000002E-2</v>
      </c>
      <c r="F115">
        <v>1.0380000000000001E-3</v>
      </c>
      <c r="G115">
        <v>0.4486</v>
      </c>
      <c r="H115">
        <v>4.96</v>
      </c>
      <c r="I115">
        <v>10001</v>
      </c>
      <c r="J115">
        <v>30000</v>
      </c>
    </row>
    <row r="116" spans="2:10" x14ac:dyDescent="0.25">
      <c r="B116" t="s">
        <v>513</v>
      </c>
      <c r="C116">
        <v>0.89500000000000002</v>
      </c>
      <c r="D116">
        <v>1.151</v>
      </c>
      <c r="E116">
        <v>1.788E-2</v>
      </c>
      <c r="F116">
        <v>1.0269999999999999E-3</v>
      </c>
      <c r="G116">
        <v>0.45469999999999999</v>
      </c>
      <c r="H116">
        <v>4.1390000000000002</v>
      </c>
      <c r="I116">
        <v>10001</v>
      </c>
      <c r="J116">
        <v>30000</v>
      </c>
    </row>
    <row r="117" spans="2:10" x14ac:dyDescent="0.25">
      <c r="B117" t="s">
        <v>514</v>
      </c>
      <c r="C117">
        <v>0.81279999999999997</v>
      </c>
      <c r="D117">
        <v>1.149</v>
      </c>
      <c r="E117">
        <v>1.217E-2</v>
      </c>
      <c r="F117" s="13">
        <v>7.5129999999999999E-4</v>
      </c>
      <c r="G117">
        <v>0.36919999999999997</v>
      </c>
      <c r="H117">
        <v>4.0890000000000004</v>
      </c>
      <c r="I117">
        <v>10001</v>
      </c>
      <c r="J117">
        <v>30000</v>
      </c>
    </row>
    <row r="118" spans="2:10" x14ac:dyDescent="0.25">
      <c r="B118" t="s">
        <v>515</v>
      </c>
      <c r="C118">
        <v>0.73209999999999997</v>
      </c>
      <c r="D118">
        <v>1.0049999999999999</v>
      </c>
      <c r="E118">
        <v>1.515E-2</v>
      </c>
      <c r="F118" s="13">
        <v>7.5020000000000002E-4</v>
      </c>
      <c r="G118">
        <v>0.34460000000000002</v>
      </c>
      <c r="H118">
        <v>3.5760000000000001</v>
      </c>
      <c r="I118">
        <v>10001</v>
      </c>
      <c r="J118">
        <v>30000</v>
      </c>
    </row>
    <row r="119" spans="2:10" x14ac:dyDescent="0.25">
      <c r="B119" t="s">
        <v>516</v>
      </c>
      <c r="C119">
        <v>0.74939999999999996</v>
      </c>
      <c r="D119">
        <v>1.0629999999999999</v>
      </c>
      <c r="E119">
        <v>9.8429999999999993E-3</v>
      </c>
      <c r="F119" s="13">
        <v>7.8220000000000004E-4</v>
      </c>
      <c r="G119">
        <v>0.33989999999999998</v>
      </c>
      <c r="H119">
        <v>3.7360000000000002</v>
      </c>
      <c r="I119">
        <v>10001</v>
      </c>
      <c r="J119">
        <v>30000</v>
      </c>
    </row>
    <row r="120" spans="2:10" x14ac:dyDescent="0.25">
      <c r="B120" t="s">
        <v>517</v>
      </c>
      <c r="C120">
        <v>1.278</v>
      </c>
      <c r="D120">
        <v>1.6910000000000001</v>
      </c>
      <c r="E120">
        <v>2.6610000000000002E-2</v>
      </c>
      <c r="F120">
        <v>1.5679999999999999E-3</v>
      </c>
      <c r="G120">
        <v>0.63129999999999997</v>
      </c>
      <c r="H120">
        <v>6.0609999999999999</v>
      </c>
      <c r="I120">
        <v>10001</v>
      </c>
      <c r="J120">
        <v>30000</v>
      </c>
    </row>
    <row r="121" spans="2:10" x14ac:dyDescent="0.25">
      <c r="B121" t="s">
        <v>518</v>
      </c>
      <c r="C121">
        <v>1.494</v>
      </c>
      <c r="D121">
        <v>1.84</v>
      </c>
      <c r="E121">
        <v>3.9050000000000001E-2</v>
      </c>
      <c r="F121">
        <v>1.861E-3</v>
      </c>
      <c r="G121">
        <v>0.82110000000000005</v>
      </c>
      <c r="H121">
        <v>6.5880000000000001</v>
      </c>
      <c r="I121">
        <v>10001</v>
      </c>
      <c r="J121">
        <v>30000</v>
      </c>
    </row>
    <row r="122" spans="2:10" x14ac:dyDescent="0.25">
      <c r="B122" t="s">
        <v>519</v>
      </c>
      <c r="C122">
        <v>1.2729999999999999</v>
      </c>
      <c r="D122">
        <v>1.65</v>
      </c>
      <c r="E122">
        <v>2.4750000000000001E-2</v>
      </c>
      <c r="F122">
        <v>1.4959999999999999E-3</v>
      </c>
      <c r="G122">
        <v>0.63859999999999995</v>
      </c>
      <c r="H122">
        <v>5.8449999999999998</v>
      </c>
      <c r="I122">
        <v>10001</v>
      </c>
      <c r="J122">
        <v>30000</v>
      </c>
    </row>
    <row r="123" spans="2:10" x14ac:dyDescent="0.25">
      <c r="B123" t="s">
        <v>520</v>
      </c>
      <c r="C123">
        <v>1.113</v>
      </c>
      <c r="D123">
        <v>1.476</v>
      </c>
      <c r="E123">
        <v>2.0840000000000001E-2</v>
      </c>
      <c r="F123">
        <v>1.1440000000000001E-3</v>
      </c>
      <c r="G123">
        <v>0.53739999999999999</v>
      </c>
      <c r="H123">
        <v>5.34</v>
      </c>
      <c r="I123">
        <v>10001</v>
      </c>
      <c r="J123">
        <v>30000</v>
      </c>
    </row>
    <row r="124" spans="2:10" x14ac:dyDescent="0.25">
      <c r="B124" t="s">
        <v>521</v>
      </c>
      <c r="C124">
        <v>0.77539999999999998</v>
      </c>
      <c r="D124">
        <v>1.052</v>
      </c>
      <c r="E124">
        <v>1.4E-2</v>
      </c>
      <c r="F124" s="13">
        <v>7.4750000000000001E-4</v>
      </c>
      <c r="G124">
        <v>0.37640000000000001</v>
      </c>
      <c r="H124">
        <v>3.722</v>
      </c>
      <c r="I124">
        <v>10001</v>
      </c>
      <c r="J124">
        <v>30000</v>
      </c>
    </row>
    <row r="125" spans="2:10" x14ac:dyDescent="0.25">
      <c r="B125" t="s">
        <v>522</v>
      </c>
      <c r="C125">
        <v>0.97840000000000005</v>
      </c>
      <c r="D125">
        <v>1.3260000000000001</v>
      </c>
      <c r="E125">
        <v>1.2540000000000001E-2</v>
      </c>
      <c r="F125" s="13">
        <v>9.9299999999999996E-4</v>
      </c>
      <c r="G125">
        <v>0.4667</v>
      </c>
      <c r="H125">
        <v>4.7469999999999999</v>
      </c>
      <c r="I125">
        <v>10001</v>
      </c>
      <c r="J125">
        <v>30000</v>
      </c>
    </row>
    <row r="126" spans="2:10" x14ac:dyDescent="0.25">
      <c r="B126" t="s">
        <v>523</v>
      </c>
      <c r="C126">
        <v>0.74309999999999998</v>
      </c>
      <c r="D126">
        <v>1.0269999999999999</v>
      </c>
      <c r="E126">
        <v>6.1500000000000001E-3</v>
      </c>
      <c r="F126" s="13">
        <v>7.1920000000000003E-4</v>
      </c>
      <c r="G126">
        <v>0.34210000000000002</v>
      </c>
      <c r="H126">
        <v>3.6669999999999998</v>
      </c>
      <c r="I126">
        <v>10001</v>
      </c>
      <c r="J126">
        <v>30000</v>
      </c>
    </row>
    <row r="127" spans="2:10" x14ac:dyDescent="0.25">
      <c r="B127" t="s">
        <v>524</v>
      </c>
      <c r="C127">
        <v>0.43440000000000001</v>
      </c>
      <c r="D127">
        <v>0.61060000000000003</v>
      </c>
      <c r="E127">
        <v>4.5729999999999998E-3</v>
      </c>
      <c r="F127" s="13">
        <v>4.4729999999999998E-4</v>
      </c>
      <c r="G127">
        <v>0.20069999999999999</v>
      </c>
      <c r="H127">
        <v>2.153</v>
      </c>
      <c r="I127">
        <v>10001</v>
      </c>
      <c r="J127">
        <v>30000</v>
      </c>
    </row>
    <row r="128" spans="2:10" x14ac:dyDescent="0.25">
      <c r="B128" t="s">
        <v>525</v>
      </c>
      <c r="C128">
        <v>1.101</v>
      </c>
      <c r="D128">
        <v>1.5229999999999999</v>
      </c>
      <c r="E128">
        <v>2.2429999999999999E-2</v>
      </c>
      <c r="F128">
        <v>1.201E-3</v>
      </c>
      <c r="G128">
        <v>0.51400000000000001</v>
      </c>
      <c r="H128">
        <v>5.45</v>
      </c>
      <c r="I128">
        <v>10001</v>
      </c>
      <c r="J128">
        <v>30000</v>
      </c>
    </row>
    <row r="129" spans="2:10" x14ac:dyDescent="0.25">
      <c r="B129" t="s">
        <v>526</v>
      </c>
      <c r="C129">
        <v>1.2310000000000001</v>
      </c>
      <c r="D129">
        <v>1.669</v>
      </c>
      <c r="E129">
        <v>2.3939999999999999E-2</v>
      </c>
      <c r="F129">
        <v>1.2899999999999999E-3</v>
      </c>
      <c r="G129">
        <v>0.59140000000000004</v>
      </c>
      <c r="H129">
        <v>5.9909999999999997</v>
      </c>
      <c r="I129">
        <v>10001</v>
      </c>
      <c r="J129">
        <v>30000</v>
      </c>
    </row>
    <row r="130" spans="2:10" x14ac:dyDescent="0.25">
      <c r="B130" t="s">
        <v>527</v>
      </c>
      <c r="C130">
        <v>2.2000000000000001E-3</v>
      </c>
      <c r="D130">
        <v>4.6850000000000003E-2</v>
      </c>
      <c r="E130" s="13">
        <v>9.2199999999999997E-4</v>
      </c>
      <c r="F130">
        <v>0</v>
      </c>
      <c r="G130">
        <v>0</v>
      </c>
      <c r="H130">
        <v>0</v>
      </c>
      <c r="I130">
        <v>10001</v>
      </c>
      <c r="J130">
        <v>30000</v>
      </c>
    </row>
    <row r="131" spans="2:10" x14ac:dyDescent="0.25">
      <c r="B131" t="s">
        <v>528</v>
      </c>
      <c r="C131">
        <v>1.5270000000000001E-2</v>
      </c>
      <c r="D131">
        <v>0.1226</v>
      </c>
      <c r="E131">
        <v>3.0130000000000001E-3</v>
      </c>
      <c r="F131">
        <v>0</v>
      </c>
      <c r="G131">
        <v>0</v>
      </c>
      <c r="H131">
        <v>0</v>
      </c>
      <c r="I131">
        <v>10001</v>
      </c>
      <c r="J131">
        <v>30000</v>
      </c>
    </row>
    <row r="132" spans="2:10" x14ac:dyDescent="0.25">
      <c r="B132" t="s">
        <v>529</v>
      </c>
      <c r="C132">
        <v>3.243E-2</v>
      </c>
      <c r="D132">
        <v>0.17710000000000001</v>
      </c>
      <c r="E132">
        <v>4.2199999999999998E-3</v>
      </c>
      <c r="F132">
        <v>0</v>
      </c>
      <c r="G132">
        <v>0</v>
      </c>
      <c r="H132">
        <v>1</v>
      </c>
      <c r="I132">
        <v>10001</v>
      </c>
      <c r="J132">
        <v>30000</v>
      </c>
    </row>
    <row r="133" spans="2:10" x14ac:dyDescent="0.25">
      <c r="B133" t="s">
        <v>530</v>
      </c>
      <c r="C133">
        <v>6.8970000000000004E-2</v>
      </c>
      <c r="D133">
        <v>0.25340000000000001</v>
      </c>
      <c r="E133">
        <v>5.1919999999999996E-3</v>
      </c>
      <c r="F133">
        <v>0</v>
      </c>
      <c r="G133">
        <v>0</v>
      </c>
      <c r="H133">
        <v>1</v>
      </c>
      <c r="I133">
        <v>10001</v>
      </c>
      <c r="J133">
        <v>30000</v>
      </c>
    </row>
    <row r="134" spans="2:10" x14ac:dyDescent="0.25">
      <c r="B134" t="s">
        <v>531</v>
      </c>
      <c r="C134">
        <v>0.2172</v>
      </c>
      <c r="D134">
        <v>0.4123</v>
      </c>
      <c r="E134">
        <v>9.5809999999999992E-3</v>
      </c>
      <c r="F134">
        <v>0</v>
      </c>
      <c r="G134">
        <v>0</v>
      </c>
      <c r="H134">
        <v>1</v>
      </c>
      <c r="I134">
        <v>10001</v>
      </c>
      <c r="J134">
        <v>30000</v>
      </c>
    </row>
    <row r="135" spans="2:10" x14ac:dyDescent="0.25">
      <c r="B135" t="s">
        <v>532</v>
      </c>
      <c r="C135">
        <v>0.63839999999999997</v>
      </c>
      <c r="D135">
        <v>0.48049999999999998</v>
      </c>
      <c r="E135">
        <v>1.4749999999999999E-2</v>
      </c>
      <c r="F135">
        <v>0</v>
      </c>
      <c r="G135">
        <v>1</v>
      </c>
      <c r="H135">
        <v>1</v>
      </c>
      <c r="I135">
        <v>10001</v>
      </c>
      <c r="J135">
        <v>30000</v>
      </c>
    </row>
    <row r="136" spans="2:10" x14ac:dyDescent="0.25">
      <c r="B136" t="s">
        <v>533</v>
      </c>
      <c r="C136">
        <v>2.5499999999999998E-2</v>
      </c>
      <c r="D136">
        <v>0.15759999999999999</v>
      </c>
      <c r="E136">
        <v>4.5269999999999998E-3</v>
      </c>
      <c r="F136">
        <v>0</v>
      </c>
      <c r="G136">
        <v>0</v>
      </c>
      <c r="H136">
        <v>1</v>
      </c>
      <c r="I136">
        <v>10001</v>
      </c>
      <c r="J136">
        <v>30000</v>
      </c>
    </row>
    <row r="137" spans="2:10" x14ac:dyDescent="0.25">
      <c r="B137" t="s">
        <v>534</v>
      </c>
      <c r="C137" s="13">
        <v>6.6669999999999997E-5</v>
      </c>
      <c r="D137">
        <v>8.1650000000000004E-3</v>
      </c>
      <c r="E137" s="13">
        <v>6.6890000000000005E-5</v>
      </c>
      <c r="F137">
        <v>0</v>
      </c>
      <c r="G137">
        <v>0</v>
      </c>
      <c r="H137">
        <v>0</v>
      </c>
      <c r="I137">
        <v>10001</v>
      </c>
      <c r="J137">
        <v>30000</v>
      </c>
    </row>
    <row r="138" spans="2:10" x14ac:dyDescent="0.25">
      <c r="B138" t="s">
        <v>535</v>
      </c>
      <c r="C138">
        <v>0</v>
      </c>
      <c r="D138">
        <v>0</v>
      </c>
      <c r="E138" s="13">
        <v>3.333E-13</v>
      </c>
      <c r="F138">
        <v>0</v>
      </c>
      <c r="G138">
        <v>0</v>
      </c>
      <c r="H138">
        <v>0</v>
      </c>
      <c r="I138">
        <v>10001</v>
      </c>
      <c r="J138">
        <v>30000</v>
      </c>
    </row>
    <row r="139" spans="2:10" x14ac:dyDescent="0.25">
      <c r="B139" t="s">
        <v>536</v>
      </c>
      <c r="C139">
        <v>0</v>
      </c>
      <c r="D139">
        <v>0</v>
      </c>
      <c r="E139" s="13">
        <v>3.333E-13</v>
      </c>
      <c r="F139">
        <v>0</v>
      </c>
      <c r="G139">
        <v>0</v>
      </c>
      <c r="H139">
        <v>0</v>
      </c>
      <c r="I139">
        <v>10001</v>
      </c>
      <c r="J139">
        <v>30000</v>
      </c>
    </row>
    <row r="140" spans="2:10" x14ac:dyDescent="0.25">
      <c r="B140" t="s">
        <v>537</v>
      </c>
      <c r="C140">
        <v>0</v>
      </c>
      <c r="D140">
        <v>0</v>
      </c>
      <c r="E140" s="13">
        <v>3.333E-13</v>
      </c>
      <c r="F140">
        <v>0</v>
      </c>
      <c r="G140">
        <v>0</v>
      </c>
      <c r="H140">
        <v>0</v>
      </c>
      <c r="I140">
        <v>10001</v>
      </c>
      <c r="J140">
        <v>30000</v>
      </c>
    </row>
    <row r="141" spans="2:10" x14ac:dyDescent="0.25">
      <c r="B141" t="s">
        <v>538</v>
      </c>
      <c r="C141" s="13">
        <v>3.3330000000000001E-5</v>
      </c>
      <c r="D141">
        <v>5.7730000000000004E-3</v>
      </c>
      <c r="E141" s="13">
        <v>3.345E-5</v>
      </c>
      <c r="F141">
        <v>0</v>
      </c>
      <c r="G141">
        <v>0</v>
      </c>
      <c r="H141">
        <v>0</v>
      </c>
      <c r="I141">
        <v>10001</v>
      </c>
      <c r="J141">
        <v>30000</v>
      </c>
    </row>
    <row r="142" spans="2:10" x14ac:dyDescent="0.25">
      <c r="B142" t="s">
        <v>539</v>
      </c>
      <c r="C142" s="13">
        <v>2.3330000000000001E-4</v>
      </c>
      <c r="D142">
        <v>1.5270000000000001E-2</v>
      </c>
      <c r="E142" s="13">
        <v>1.4540000000000001E-4</v>
      </c>
      <c r="F142">
        <v>0</v>
      </c>
      <c r="G142">
        <v>0</v>
      </c>
      <c r="H142">
        <v>0</v>
      </c>
      <c r="I142">
        <v>10001</v>
      </c>
      <c r="J142">
        <v>30000</v>
      </c>
    </row>
    <row r="143" spans="2:10" x14ac:dyDescent="0.25">
      <c r="B143" t="s">
        <v>540</v>
      </c>
      <c r="C143">
        <v>1.6670000000000001E-3</v>
      </c>
      <c r="D143">
        <v>4.079E-2</v>
      </c>
      <c r="E143" s="13">
        <v>4.1800000000000002E-4</v>
      </c>
      <c r="F143">
        <v>0</v>
      </c>
      <c r="G143">
        <v>0</v>
      </c>
      <c r="H143">
        <v>0</v>
      </c>
      <c r="I143">
        <v>10001</v>
      </c>
      <c r="J143">
        <v>30000</v>
      </c>
    </row>
    <row r="144" spans="2:10" x14ac:dyDescent="0.25">
      <c r="B144" t="s">
        <v>541</v>
      </c>
      <c r="C144">
        <v>4.7870000000000003E-2</v>
      </c>
      <c r="D144">
        <v>0.2135</v>
      </c>
      <c r="E144">
        <v>5.2469999999999999E-3</v>
      </c>
      <c r="F144">
        <v>0</v>
      </c>
      <c r="G144">
        <v>0</v>
      </c>
      <c r="H144">
        <v>1</v>
      </c>
      <c r="I144">
        <v>10001</v>
      </c>
      <c r="J144">
        <v>30000</v>
      </c>
    </row>
    <row r="145" spans="2:10" x14ac:dyDescent="0.25">
      <c r="B145" t="s">
        <v>542</v>
      </c>
      <c r="C145">
        <v>0.92169999999999996</v>
      </c>
      <c r="D145">
        <v>0.26860000000000001</v>
      </c>
      <c r="E145">
        <v>6.9760000000000004E-3</v>
      </c>
      <c r="F145">
        <v>0</v>
      </c>
      <c r="G145">
        <v>1</v>
      </c>
      <c r="H145">
        <v>1</v>
      </c>
      <c r="I145">
        <v>10001</v>
      </c>
      <c r="J145">
        <v>30000</v>
      </c>
    </row>
    <row r="146" spans="2:10" x14ac:dyDescent="0.25">
      <c r="B146" t="s">
        <v>543</v>
      </c>
      <c r="C146">
        <v>2.8469999999999999E-2</v>
      </c>
      <c r="D146">
        <v>0.1663</v>
      </c>
      <c r="E146">
        <v>4.6909999999999999E-3</v>
      </c>
      <c r="F146">
        <v>0</v>
      </c>
      <c r="G146">
        <v>0</v>
      </c>
      <c r="H146">
        <v>1</v>
      </c>
      <c r="I146">
        <v>10001</v>
      </c>
      <c r="J146">
        <v>30000</v>
      </c>
    </row>
    <row r="147" spans="2:10" x14ac:dyDescent="0.25">
      <c r="B147" t="s">
        <v>544</v>
      </c>
      <c r="C147">
        <v>0</v>
      </c>
      <c r="D147">
        <v>0</v>
      </c>
      <c r="E147" s="13">
        <v>3.333E-13</v>
      </c>
      <c r="F147">
        <v>0</v>
      </c>
      <c r="G147">
        <v>0</v>
      </c>
      <c r="H147">
        <v>0</v>
      </c>
      <c r="I147">
        <v>10001</v>
      </c>
      <c r="J147">
        <v>30000</v>
      </c>
    </row>
    <row r="148" spans="2:10" x14ac:dyDescent="0.25">
      <c r="B148" t="s">
        <v>545</v>
      </c>
      <c r="C148">
        <v>2.683E-2</v>
      </c>
      <c r="D148">
        <v>0.16159999999999999</v>
      </c>
      <c r="E148">
        <v>2.5969999999999999E-3</v>
      </c>
      <c r="F148">
        <v>0</v>
      </c>
      <c r="G148">
        <v>0</v>
      </c>
      <c r="H148">
        <v>1</v>
      </c>
      <c r="I148">
        <v>10001</v>
      </c>
      <c r="J148">
        <v>30000</v>
      </c>
    </row>
    <row r="149" spans="2:10" x14ac:dyDescent="0.25">
      <c r="B149" t="s">
        <v>546</v>
      </c>
      <c r="C149">
        <v>0.12889999999999999</v>
      </c>
      <c r="D149">
        <v>0.33510000000000001</v>
      </c>
      <c r="E149">
        <v>6.6319999999999999E-3</v>
      </c>
      <c r="F149">
        <v>0</v>
      </c>
      <c r="G149">
        <v>0</v>
      </c>
      <c r="H149">
        <v>1</v>
      </c>
      <c r="I149">
        <v>10001</v>
      </c>
      <c r="J149">
        <v>30000</v>
      </c>
    </row>
    <row r="150" spans="2:10" x14ac:dyDescent="0.25">
      <c r="B150" t="s">
        <v>547</v>
      </c>
      <c r="C150">
        <v>0.3085</v>
      </c>
      <c r="D150">
        <v>0.46189999999999998</v>
      </c>
      <c r="E150">
        <v>9.2770000000000005E-3</v>
      </c>
      <c r="F150">
        <v>0</v>
      </c>
      <c r="G150">
        <v>0</v>
      </c>
      <c r="H150">
        <v>1</v>
      </c>
      <c r="I150">
        <v>10001</v>
      </c>
      <c r="J150">
        <v>30000</v>
      </c>
    </row>
    <row r="151" spans="2:10" x14ac:dyDescent="0.25">
      <c r="B151" t="s">
        <v>548</v>
      </c>
      <c r="C151">
        <v>0.35399999999999998</v>
      </c>
      <c r="D151">
        <v>0.47820000000000001</v>
      </c>
      <c r="E151">
        <v>9.1629999999999993E-3</v>
      </c>
      <c r="F151">
        <v>0</v>
      </c>
      <c r="G151">
        <v>0</v>
      </c>
      <c r="H151">
        <v>1</v>
      </c>
      <c r="I151">
        <v>10001</v>
      </c>
      <c r="J151">
        <v>30000</v>
      </c>
    </row>
    <row r="152" spans="2:10" x14ac:dyDescent="0.25">
      <c r="B152" t="s">
        <v>549</v>
      </c>
      <c r="C152">
        <v>0.15049999999999999</v>
      </c>
      <c r="D152">
        <v>0.35759999999999997</v>
      </c>
      <c r="E152">
        <v>8.3129999999999992E-3</v>
      </c>
      <c r="F152">
        <v>0</v>
      </c>
      <c r="G152">
        <v>0</v>
      </c>
      <c r="H152">
        <v>1</v>
      </c>
      <c r="I152">
        <v>10001</v>
      </c>
      <c r="J152">
        <v>30000</v>
      </c>
    </row>
    <row r="153" spans="2:10" x14ac:dyDescent="0.25">
      <c r="B153" t="s">
        <v>550</v>
      </c>
      <c r="C153">
        <v>3.1029999999999999E-2</v>
      </c>
      <c r="D153">
        <v>0.1734</v>
      </c>
      <c r="E153">
        <v>4.0730000000000002E-3</v>
      </c>
      <c r="F153">
        <v>0</v>
      </c>
      <c r="G153">
        <v>0</v>
      </c>
      <c r="H153">
        <v>1</v>
      </c>
      <c r="I153">
        <v>10001</v>
      </c>
      <c r="J153">
        <v>30000</v>
      </c>
    </row>
    <row r="154" spans="2:10" x14ac:dyDescent="0.25">
      <c r="B154" t="s">
        <v>551</v>
      </c>
      <c r="C154" s="13">
        <v>2.3330000000000001E-4</v>
      </c>
      <c r="D154">
        <v>1.5270000000000001E-2</v>
      </c>
      <c r="E154" s="13">
        <v>1.529E-4</v>
      </c>
      <c r="F154">
        <v>0</v>
      </c>
      <c r="G154">
        <v>0</v>
      </c>
      <c r="H154">
        <v>0</v>
      </c>
      <c r="I154">
        <v>10001</v>
      </c>
      <c r="J154">
        <v>30000</v>
      </c>
    </row>
    <row r="155" spans="2:10" x14ac:dyDescent="0.25">
      <c r="B155" t="s">
        <v>552</v>
      </c>
      <c r="C155">
        <v>0</v>
      </c>
      <c r="D155">
        <v>0</v>
      </c>
      <c r="E155" s="13">
        <v>3.333E-13</v>
      </c>
      <c r="F155">
        <v>0</v>
      </c>
      <c r="G155">
        <v>0</v>
      </c>
      <c r="H155">
        <v>0</v>
      </c>
      <c r="I155">
        <v>10001</v>
      </c>
      <c r="J155">
        <v>30000</v>
      </c>
    </row>
    <row r="156" spans="2:10" x14ac:dyDescent="0.25">
      <c r="B156" t="s">
        <v>553</v>
      </c>
      <c r="C156">
        <v>0</v>
      </c>
      <c r="D156">
        <v>0</v>
      </c>
      <c r="E156" s="13">
        <v>3.333E-13</v>
      </c>
      <c r="F156">
        <v>0</v>
      </c>
      <c r="G156">
        <v>0</v>
      </c>
      <c r="H156">
        <v>0</v>
      </c>
      <c r="I156">
        <v>10001</v>
      </c>
      <c r="J156">
        <v>30000</v>
      </c>
    </row>
    <row r="157" spans="2:10" x14ac:dyDescent="0.25">
      <c r="B157" t="s">
        <v>554</v>
      </c>
      <c r="C157">
        <v>0.2954</v>
      </c>
      <c r="D157">
        <v>0.45619999999999999</v>
      </c>
      <c r="E157">
        <v>1.1220000000000001E-2</v>
      </c>
      <c r="F157">
        <v>0</v>
      </c>
      <c r="G157">
        <v>0</v>
      </c>
      <c r="H157">
        <v>1</v>
      </c>
      <c r="I157">
        <v>10001</v>
      </c>
      <c r="J157">
        <v>30000</v>
      </c>
    </row>
    <row r="158" spans="2:10" x14ac:dyDescent="0.25">
      <c r="B158" t="s">
        <v>555</v>
      </c>
      <c r="C158">
        <v>0.3876</v>
      </c>
      <c r="D158">
        <v>0.48720000000000002</v>
      </c>
      <c r="E158">
        <v>9.8809999999999992E-3</v>
      </c>
      <c r="F158">
        <v>0</v>
      </c>
      <c r="G158">
        <v>0</v>
      </c>
      <c r="H158">
        <v>1</v>
      </c>
      <c r="I158">
        <v>10001</v>
      </c>
      <c r="J158">
        <v>30000</v>
      </c>
    </row>
    <row r="159" spans="2:10" x14ac:dyDescent="0.25">
      <c r="B159" t="s">
        <v>556</v>
      </c>
      <c r="C159">
        <v>0.19139999999999999</v>
      </c>
      <c r="D159">
        <v>0.39340000000000003</v>
      </c>
      <c r="E159">
        <v>6.5360000000000001E-3</v>
      </c>
      <c r="F159">
        <v>0</v>
      </c>
      <c r="G159">
        <v>0</v>
      </c>
      <c r="H159">
        <v>1</v>
      </c>
      <c r="I159">
        <v>10001</v>
      </c>
      <c r="J159">
        <v>30000</v>
      </c>
    </row>
    <row r="160" spans="2:10" x14ac:dyDescent="0.25">
      <c r="B160" t="s">
        <v>557</v>
      </c>
      <c r="C160">
        <v>7.8729999999999994E-2</v>
      </c>
      <c r="D160">
        <v>0.26929999999999998</v>
      </c>
      <c r="E160">
        <v>4.6889999999999996E-3</v>
      </c>
      <c r="F160">
        <v>0</v>
      </c>
      <c r="G160">
        <v>0</v>
      </c>
      <c r="H160">
        <v>1</v>
      </c>
      <c r="I160">
        <v>10001</v>
      </c>
      <c r="J160">
        <v>30000</v>
      </c>
    </row>
    <row r="161" spans="2:10" x14ac:dyDescent="0.25">
      <c r="B161" t="s">
        <v>558</v>
      </c>
      <c r="C161">
        <v>3.363E-2</v>
      </c>
      <c r="D161">
        <v>0.18029999999999999</v>
      </c>
      <c r="E161">
        <v>3.5630000000000002E-3</v>
      </c>
      <c r="F161">
        <v>0</v>
      </c>
      <c r="G161">
        <v>0</v>
      </c>
      <c r="H161">
        <v>1</v>
      </c>
      <c r="I161">
        <v>10001</v>
      </c>
      <c r="J161">
        <v>30000</v>
      </c>
    </row>
    <row r="162" spans="2:10" x14ac:dyDescent="0.25">
      <c r="B162" t="s">
        <v>559</v>
      </c>
      <c r="C162">
        <v>1.2370000000000001E-2</v>
      </c>
      <c r="D162">
        <v>0.1105</v>
      </c>
      <c r="E162">
        <v>1.8959999999999999E-3</v>
      </c>
      <c r="F162">
        <v>0</v>
      </c>
      <c r="G162">
        <v>0</v>
      </c>
      <c r="H162">
        <v>0</v>
      </c>
      <c r="I162">
        <v>10001</v>
      </c>
      <c r="J162">
        <v>30000</v>
      </c>
    </row>
    <row r="163" spans="2:10" x14ac:dyDescent="0.25">
      <c r="B163" t="s">
        <v>560</v>
      </c>
      <c r="C163" s="13">
        <v>8.6669999999999998E-4</v>
      </c>
      <c r="D163">
        <v>2.9430000000000001E-2</v>
      </c>
      <c r="E163" s="13">
        <v>4.261E-4</v>
      </c>
      <c r="F163">
        <v>0</v>
      </c>
      <c r="G163">
        <v>0</v>
      </c>
      <c r="H163">
        <v>0</v>
      </c>
      <c r="I163">
        <v>10001</v>
      </c>
      <c r="J163">
        <v>30000</v>
      </c>
    </row>
    <row r="164" spans="2:10" x14ac:dyDescent="0.25">
      <c r="B164" t="s">
        <v>561</v>
      </c>
      <c r="C164">
        <v>0</v>
      </c>
      <c r="D164">
        <v>0</v>
      </c>
      <c r="E164" s="13">
        <v>3.333E-13</v>
      </c>
      <c r="F164">
        <v>0</v>
      </c>
      <c r="G164">
        <v>0</v>
      </c>
      <c r="H164">
        <v>0</v>
      </c>
      <c r="I164">
        <v>10001</v>
      </c>
      <c r="J164">
        <v>30000</v>
      </c>
    </row>
    <row r="165" spans="2:10" x14ac:dyDescent="0.25">
      <c r="B165" t="s">
        <v>562</v>
      </c>
      <c r="C165">
        <v>0</v>
      </c>
      <c r="D165">
        <v>0</v>
      </c>
      <c r="E165" s="13">
        <v>3.333E-13</v>
      </c>
      <c r="F165">
        <v>0</v>
      </c>
      <c r="G165">
        <v>0</v>
      </c>
      <c r="H165">
        <v>0</v>
      </c>
      <c r="I165">
        <v>10001</v>
      </c>
      <c r="J165">
        <v>30000</v>
      </c>
    </row>
    <row r="166" spans="2:10" x14ac:dyDescent="0.25">
      <c r="B166" t="s">
        <v>563</v>
      </c>
      <c r="C166">
        <v>0.4713</v>
      </c>
      <c r="D166">
        <v>0.49919999999999998</v>
      </c>
      <c r="E166">
        <v>1.5100000000000001E-2</v>
      </c>
      <c r="F166">
        <v>0</v>
      </c>
      <c r="G166">
        <v>0</v>
      </c>
      <c r="H166">
        <v>1</v>
      </c>
      <c r="I166">
        <v>10001</v>
      </c>
      <c r="J166">
        <v>30000</v>
      </c>
    </row>
    <row r="167" spans="2:10" x14ac:dyDescent="0.25">
      <c r="B167" t="s">
        <v>564</v>
      </c>
      <c r="C167">
        <v>0.1258</v>
      </c>
      <c r="D167">
        <v>0.33160000000000001</v>
      </c>
      <c r="E167">
        <v>4.8050000000000002E-3</v>
      </c>
      <c r="F167">
        <v>0</v>
      </c>
      <c r="G167">
        <v>0</v>
      </c>
      <c r="H167">
        <v>1</v>
      </c>
      <c r="I167">
        <v>10001</v>
      </c>
      <c r="J167">
        <v>30000</v>
      </c>
    </row>
    <row r="168" spans="2:10" x14ac:dyDescent="0.25">
      <c r="B168" t="s">
        <v>565</v>
      </c>
      <c r="C168">
        <v>0.11070000000000001</v>
      </c>
      <c r="D168">
        <v>0.31380000000000002</v>
      </c>
      <c r="E168">
        <v>5.4640000000000001E-3</v>
      </c>
      <c r="F168">
        <v>0</v>
      </c>
      <c r="G168">
        <v>0</v>
      </c>
      <c r="H168">
        <v>1</v>
      </c>
      <c r="I168">
        <v>10001</v>
      </c>
      <c r="J168">
        <v>30000</v>
      </c>
    </row>
    <row r="169" spans="2:10" x14ac:dyDescent="0.25">
      <c r="B169" t="s">
        <v>566</v>
      </c>
      <c r="C169">
        <v>0.11360000000000001</v>
      </c>
      <c r="D169">
        <v>0.31730000000000003</v>
      </c>
      <c r="E169">
        <v>5.9420000000000002E-3</v>
      </c>
      <c r="F169">
        <v>0</v>
      </c>
      <c r="G169">
        <v>0</v>
      </c>
      <c r="H169">
        <v>1</v>
      </c>
      <c r="I169">
        <v>10001</v>
      </c>
      <c r="J169">
        <v>30000</v>
      </c>
    </row>
    <row r="170" spans="2:10" x14ac:dyDescent="0.25">
      <c r="B170" t="s">
        <v>567</v>
      </c>
      <c r="C170">
        <v>9.4299999999999995E-2</v>
      </c>
      <c r="D170">
        <v>0.29220000000000002</v>
      </c>
      <c r="E170">
        <v>5.9090000000000002E-3</v>
      </c>
      <c r="F170">
        <v>0</v>
      </c>
      <c r="G170">
        <v>0</v>
      </c>
      <c r="H170">
        <v>1</v>
      </c>
      <c r="I170">
        <v>10001</v>
      </c>
      <c r="J170">
        <v>30000</v>
      </c>
    </row>
    <row r="171" spans="2:10" x14ac:dyDescent="0.25">
      <c r="B171" t="s">
        <v>568</v>
      </c>
      <c r="C171">
        <v>7.17E-2</v>
      </c>
      <c r="D171">
        <v>0.25800000000000001</v>
      </c>
      <c r="E171">
        <v>6.3410000000000003E-3</v>
      </c>
      <c r="F171">
        <v>0</v>
      </c>
      <c r="G171">
        <v>0</v>
      </c>
      <c r="H171">
        <v>1</v>
      </c>
      <c r="I171">
        <v>10001</v>
      </c>
      <c r="J171">
        <v>30000</v>
      </c>
    </row>
    <row r="172" spans="2:10" x14ac:dyDescent="0.25">
      <c r="B172" t="s">
        <v>569</v>
      </c>
      <c r="C172">
        <v>1.1900000000000001E-2</v>
      </c>
      <c r="D172">
        <v>0.1084</v>
      </c>
      <c r="E172">
        <v>1.905E-3</v>
      </c>
      <c r="F172">
        <v>0</v>
      </c>
      <c r="G172">
        <v>0</v>
      </c>
      <c r="H172">
        <v>0</v>
      </c>
      <c r="I172">
        <v>10001</v>
      </c>
      <c r="J172">
        <v>30000</v>
      </c>
    </row>
    <row r="173" spans="2:10" x14ac:dyDescent="0.25">
      <c r="B173" t="s">
        <v>570</v>
      </c>
      <c r="C173" s="13">
        <v>7.3329999999999999E-4</v>
      </c>
      <c r="D173">
        <v>2.707E-2</v>
      </c>
      <c r="E173" s="13">
        <v>3.455E-4</v>
      </c>
      <c r="F173">
        <v>0</v>
      </c>
      <c r="G173">
        <v>0</v>
      </c>
      <c r="H173">
        <v>0</v>
      </c>
      <c r="I173">
        <v>10001</v>
      </c>
      <c r="J173">
        <v>30000</v>
      </c>
    </row>
    <row r="174" spans="2:10" x14ac:dyDescent="0.25">
      <c r="B174" t="s">
        <v>571</v>
      </c>
      <c r="C174">
        <v>0</v>
      </c>
      <c r="D174">
        <v>0</v>
      </c>
      <c r="E174" s="13">
        <v>3.333E-13</v>
      </c>
      <c r="F174">
        <v>0</v>
      </c>
      <c r="G174">
        <v>0</v>
      </c>
      <c r="H174">
        <v>0</v>
      </c>
      <c r="I174">
        <v>10001</v>
      </c>
      <c r="J174">
        <v>30000</v>
      </c>
    </row>
    <row r="175" spans="2:10" x14ac:dyDescent="0.25">
      <c r="B175" t="s">
        <v>572</v>
      </c>
      <c r="C175">
        <v>0.157</v>
      </c>
      <c r="D175">
        <v>0.36380000000000001</v>
      </c>
      <c r="E175">
        <v>9.0030000000000006E-3</v>
      </c>
      <c r="F175">
        <v>0</v>
      </c>
      <c r="G175">
        <v>0</v>
      </c>
      <c r="H175">
        <v>1</v>
      </c>
      <c r="I175">
        <v>10001</v>
      </c>
      <c r="J175">
        <v>30000</v>
      </c>
    </row>
    <row r="176" spans="2:10" x14ac:dyDescent="0.25">
      <c r="B176" t="s">
        <v>573</v>
      </c>
      <c r="C176">
        <v>0.23549999999999999</v>
      </c>
      <c r="D176">
        <v>0.42430000000000001</v>
      </c>
      <c r="E176">
        <v>8.744E-3</v>
      </c>
      <c r="F176">
        <v>0</v>
      </c>
      <c r="G176">
        <v>0</v>
      </c>
      <c r="H176">
        <v>1</v>
      </c>
      <c r="I176">
        <v>10001</v>
      </c>
      <c r="J176">
        <v>30000</v>
      </c>
    </row>
    <row r="177" spans="2:10" x14ac:dyDescent="0.25">
      <c r="B177" t="s">
        <v>574</v>
      </c>
      <c r="C177">
        <v>0.21379999999999999</v>
      </c>
      <c r="D177">
        <v>0.41</v>
      </c>
      <c r="E177">
        <v>7.4159999999999998E-3</v>
      </c>
      <c r="F177">
        <v>0</v>
      </c>
      <c r="G177">
        <v>0</v>
      </c>
      <c r="H177">
        <v>1</v>
      </c>
      <c r="I177">
        <v>10001</v>
      </c>
      <c r="J177">
        <v>30000</v>
      </c>
    </row>
    <row r="178" spans="2:10" x14ac:dyDescent="0.25">
      <c r="B178" t="s">
        <v>575</v>
      </c>
      <c r="C178">
        <v>0.15110000000000001</v>
      </c>
      <c r="D178">
        <v>0.35820000000000002</v>
      </c>
      <c r="E178">
        <v>6.1450000000000003E-3</v>
      </c>
      <c r="F178">
        <v>0</v>
      </c>
      <c r="G178">
        <v>0</v>
      </c>
      <c r="H178">
        <v>1</v>
      </c>
      <c r="I178">
        <v>10001</v>
      </c>
      <c r="J178">
        <v>30000</v>
      </c>
    </row>
    <row r="179" spans="2:10" x14ac:dyDescent="0.25">
      <c r="B179" t="s">
        <v>576</v>
      </c>
      <c r="C179">
        <v>0.13320000000000001</v>
      </c>
      <c r="D179">
        <v>0.33979999999999999</v>
      </c>
      <c r="E179">
        <v>7.2100000000000003E-3</v>
      </c>
      <c r="F179">
        <v>0</v>
      </c>
      <c r="G179">
        <v>0</v>
      </c>
      <c r="H179">
        <v>1</v>
      </c>
      <c r="I179">
        <v>10001</v>
      </c>
      <c r="J179">
        <v>30000</v>
      </c>
    </row>
    <row r="180" spans="2:10" x14ac:dyDescent="0.25">
      <c r="B180" t="s">
        <v>577</v>
      </c>
      <c r="C180">
        <v>9.5070000000000002E-2</v>
      </c>
      <c r="D180">
        <v>0.29330000000000001</v>
      </c>
      <c r="E180">
        <v>7.6940000000000003E-3</v>
      </c>
      <c r="F180">
        <v>0</v>
      </c>
      <c r="G180">
        <v>0</v>
      </c>
      <c r="H180">
        <v>1</v>
      </c>
      <c r="I180">
        <v>10001</v>
      </c>
      <c r="J180">
        <v>30000</v>
      </c>
    </row>
    <row r="181" spans="2:10" x14ac:dyDescent="0.25">
      <c r="B181" t="s">
        <v>578</v>
      </c>
      <c r="C181">
        <v>1.3469999999999999E-2</v>
      </c>
      <c r="D181">
        <v>0.1153</v>
      </c>
      <c r="E181">
        <v>2.7269999999999998E-3</v>
      </c>
      <c r="F181">
        <v>0</v>
      </c>
      <c r="G181">
        <v>0</v>
      </c>
      <c r="H181">
        <v>0</v>
      </c>
      <c r="I181">
        <v>10001</v>
      </c>
      <c r="J181">
        <v>30000</v>
      </c>
    </row>
    <row r="182" spans="2:10" x14ac:dyDescent="0.25">
      <c r="B182" t="s">
        <v>579</v>
      </c>
      <c r="C182" s="13">
        <v>8.3330000000000003E-4</v>
      </c>
      <c r="D182">
        <v>2.886E-2</v>
      </c>
      <c r="E182" s="13">
        <v>5.1999999999999995E-4</v>
      </c>
      <c r="F182">
        <v>0</v>
      </c>
      <c r="G182">
        <v>0</v>
      </c>
      <c r="H182">
        <v>0</v>
      </c>
      <c r="I182">
        <v>10001</v>
      </c>
      <c r="J182">
        <v>30000</v>
      </c>
    </row>
    <row r="183" spans="2:10" x14ac:dyDescent="0.25">
      <c r="B183" t="s">
        <v>580</v>
      </c>
      <c r="C183">
        <v>0</v>
      </c>
      <c r="D183">
        <v>0</v>
      </c>
      <c r="E183" s="13">
        <v>3.333E-13</v>
      </c>
      <c r="F183">
        <v>0</v>
      </c>
      <c r="G183">
        <v>0</v>
      </c>
      <c r="H183">
        <v>0</v>
      </c>
      <c r="I183">
        <v>10001</v>
      </c>
      <c r="J183">
        <v>30000</v>
      </c>
    </row>
    <row r="184" spans="2:10" x14ac:dyDescent="0.25">
      <c r="B184" t="s">
        <v>581</v>
      </c>
      <c r="C184">
        <v>4.6969999999999998E-2</v>
      </c>
      <c r="D184">
        <v>0.21160000000000001</v>
      </c>
      <c r="E184">
        <v>5.1399999999999996E-3</v>
      </c>
      <c r="F184">
        <v>0</v>
      </c>
      <c r="G184">
        <v>0</v>
      </c>
      <c r="H184">
        <v>1</v>
      </c>
      <c r="I184">
        <v>10001</v>
      </c>
      <c r="J184">
        <v>30000</v>
      </c>
    </row>
    <row r="185" spans="2:10" x14ac:dyDescent="0.25">
      <c r="B185" t="s">
        <v>582</v>
      </c>
      <c r="C185">
        <v>0.106</v>
      </c>
      <c r="D185">
        <v>0.30790000000000001</v>
      </c>
      <c r="E185">
        <v>6.9680000000000002E-3</v>
      </c>
      <c r="F185">
        <v>0</v>
      </c>
      <c r="G185">
        <v>0</v>
      </c>
      <c r="H185">
        <v>1</v>
      </c>
      <c r="I185">
        <v>10001</v>
      </c>
      <c r="J185">
        <v>30000</v>
      </c>
    </row>
    <row r="186" spans="2:10" x14ac:dyDescent="0.25">
      <c r="B186" t="s">
        <v>583</v>
      </c>
      <c r="C186">
        <v>0.14269999999999999</v>
      </c>
      <c r="D186">
        <v>0.3498</v>
      </c>
      <c r="E186">
        <v>6.5209999999999999E-3</v>
      </c>
      <c r="F186">
        <v>0</v>
      </c>
      <c r="G186">
        <v>0</v>
      </c>
      <c r="H186">
        <v>1</v>
      </c>
      <c r="I186">
        <v>10001</v>
      </c>
      <c r="J186">
        <v>30000</v>
      </c>
    </row>
    <row r="187" spans="2:10" x14ac:dyDescent="0.25">
      <c r="B187" t="s">
        <v>584</v>
      </c>
      <c r="C187">
        <v>0.23300000000000001</v>
      </c>
      <c r="D187">
        <v>0.42270000000000002</v>
      </c>
      <c r="E187">
        <v>8.0160000000000006E-3</v>
      </c>
      <c r="F187">
        <v>0</v>
      </c>
      <c r="G187">
        <v>0</v>
      </c>
      <c r="H187">
        <v>1</v>
      </c>
      <c r="I187">
        <v>10001</v>
      </c>
      <c r="J187">
        <v>30000</v>
      </c>
    </row>
    <row r="188" spans="2:10" x14ac:dyDescent="0.25">
      <c r="B188" t="s">
        <v>585</v>
      </c>
      <c r="C188">
        <v>0.36809999999999998</v>
      </c>
      <c r="D188">
        <v>0.48230000000000001</v>
      </c>
      <c r="E188">
        <v>1.298E-2</v>
      </c>
      <c r="F188">
        <v>0</v>
      </c>
      <c r="G188">
        <v>0</v>
      </c>
      <c r="H188">
        <v>1</v>
      </c>
      <c r="I188">
        <v>10001</v>
      </c>
      <c r="J188">
        <v>30000</v>
      </c>
    </row>
    <row r="189" spans="2:10" x14ac:dyDescent="0.25">
      <c r="B189" t="s">
        <v>586</v>
      </c>
      <c r="C189">
        <v>9.9430000000000004E-2</v>
      </c>
      <c r="D189">
        <v>0.29920000000000002</v>
      </c>
      <c r="E189">
        <v>7.6400000000000001E-3</v>
      </c>
      <c r="F189">
        <v>0</v>
      </c>
      <c r="G189">
        <v>0</v>
      </c>
      <c r="H189">
        <v>1</v>
      </c>
      <c r="I189">
        <v>10001</v>
      </c>
      <c r="J189">
        <v>30000</v>
      </c>
    </row>
    <row r="190" spans="2:10" x14ac:dyDescent="0.25">
      <c r="B190" t="s">
        <v>587</v>
      </c>
      <c r="C190">
        <v>3.6670000000000001E-3</v>
      </c>
      <c r="D190">
        <v>6.0440000000000001E-2</v>
      </c>
      <c r="E190">
        <v>1.291E-3</v>
      </c>
      <c r="F190">
        <v>0</v>
      </c>
      <c r="G190">
        <v>0</v>
      </c>
      <c r="H190">
        <v>0</v>
      </c>
      <c r="I190">
        <v>10001</v>
      </c>
      <c r="J190">
        <v>30000</v>
      </c>
    </row>
    <row r="191" spans="2:10" x14ac:dyDescent="0.25">
      <c r="B191" t="s">
        <v>588</v>
      </c>
      <c r="C191" s="13">
        <v>1.3329999999999999E-4</v>
      </c>
      <c r="D191">
        <v>1.155E-2</v>
      </c>
      <c r="E191" s="13">
        <v>1.0569999999999999E-4</v>
      </c>
      <c r="F191">
        <v>0</v>
      </c>
      <c r="G191">
        <v>0</v>
      </c>
      <c r="H191">
        <v>0</v>
      </c>
      <c r="I191">
        <v>10001</v>
      </c>
      <c r="J191">
        <v>30000</v>
      </c>
    </row>
    <row r="192" spans="2:10" x14ac:dyDescent="0.25">
      <c r="B192" t="s">
        <v>589</v>
      </c>
      <c r="C192">
        <v>0</v>
      </c>
      <c r="D192">
        <v>0</v>
      </c>
      <c r="E192" s="13">
        <v>3.333E-13</v>
      </c>
      <c r="F192">
        <v>0</v>
      </c>
      <c r="G192">
        <v>0</v>
      </c>
      <c r="H192">
        <v>0</v>
      </c>
      <c r="I192">
        <v>10001</v>
      </c>
      <c r="J192">
        <v>30000</v>
      </c>
    </row>
    <row r="193" spans="2:10" x14ac:dyDescent="0.25">
      <c r="B193" t="s">
        <v>590</v>
      </c>
      <c r="C193">
        <v>0</v>
      </c>
      <c r="D193">
        <v>0</v>
      </c>
      <c r="E193" s="13">
        <v>3.333E-13</v>
      </c>
      <c r="F193">
        <v>0</v>
      </c>
      <c r="G193">
        <v>0</v>
      </c>
      <c r="H193">
        <v>0</v>
      </c>
      <c r="I193">
        <v>10001</v>
      </c>
      <c r="J193">
        <v>30000</v>
      </c>
    </row>
    <row r="194" spans="2:10" x14ac:dyDescent="0.25">
      <c r="B194" t="s">
        <v>591</v>
      </c>
      <c r="C194">
        <v>0</v>
      </c>
      <c r="D194">
        <v>0</v>
      </c>
      <c r="E194" s="13">
        <v>3.333E-13</v>
      </c>
      <c r="F194">
        <v>0</v>
      </c>
      <c r="G194">
        <v>0</v>
      </c>
      <c r="H194">
        <v>0</v>
      </c>
      <c r="I194">
        <v>10001</v>
      </c>
      <c r="J194">
        <v>30000</v>
      </c>
    </row>
    <row r="195" spans="2:10" x14ac:dyDescent="0.25">
      <c r="B195" t="s">
        <v>592</v>
      </c>
      <c r="C195">
        <v>0</v>
      </c>
      <c r="D195">
        <v>0</v>
      </c>
      <c r="E195" s="13">
        <v>3.333E-13</v>
      </c>
      <c r="F195">
        <v>0</v>
      </c>
      <c r="G195">
        <v>0</v>
      </c>
      <c r="H195">
        <v>0</v>
      </c>
      <c r="I195">
        <v>10001</v>
      </c>
      <c r="J195">
        <v>30000</v>
      </c>
    </row>
    <row r="196" spans="2:10" x14ac:dyDescent="0.25">
      <c r="B196" t="s">
        <v>593</v>
      </c>
      <c r="C196">
        <v>0</v>
      </c>
      <c r="D196">
        <v>0</v>
      </c>
      <c r="E196" s="13">
        <v>3.333E-13</v>
      </c>
      <c r="F196">
        <v>0</v>
      </c>
      <c r="G196">
        <v>0</v>
      </c>
      <c r="H196">
        <v>0</v>
      </c>
      <c r="I196">
        <v>10001</v>
      </c>
      <c r="J196">
        <v>30000</v>
      </c>
    </row>
    <row r="197" spans="2:10" x14ac:dyDescent="0.25">
      <c r="B197" t="s">
        <v>594</v>
      </c>
      <c r="C197">
        <v>0</v>
      </c>
      <c r="D197">
        <v>0</v>
      </c>
      <c r="E197" s="13">
        <v>3.333E-13</v>
      </c>
      <c r="F197">
        <v>0</v>
      </c>
      <c r="G197">
        <v>0</v>
      </c>
      <c r="H197">
        <v>0</v>
      </c>
      <c r="I197">
        <v>10001</v>
      </c>
      <c r="J197">
        <v>30000</v>
      </c>
    </row>
    <row r="198" spans="2:10" x14ac:dyDescent="0.25">
      <c r="B198" t="s">
        <v>595</v>
      </c>
      <c r="C198" s="13">
        <v>1E-4</v>
      </c>
      <c r="D198">
        <v>9.9989999999999992E-3</v>
      </c>
      <c r="E198" s="13">
        <v>5.7739999999999999E-5</v>
      </c>
      <c r="F198">
        <v>0</v>
      </c>
      <c r="G198">
        <v>0</v>
      </c>
      <c r="H198">
        <v>0</v>
      </c>
      <c r="I198">
        <v>10001</v>
      </c>
      <c r="J198">
        <v>30000</v>
      </c>
    </row>
    <row r="199" spans="2:10" x14ac:dyDescent="0.25">
      <c r="B199" t="s">
        <v>596</v>
      </c>
      <c r="C199" s="13">
        <v>5.3330000000000001E-4</v>
      </c>
      <c r="D199">
        <v>2.3089999999999999E-2</v>
      </c>
      <c r="E199" s="13">
        <v>1.6119999999999999E-4</v>
      </c>
      <c r="F199">
        <v>0</v>
      </c>
      <c r="G199">
        <v>0</v>
      </c>
      <c r="H199">
        <v>0</v>
      </c>
      <c r="I199">
        <v>10001</v>
      </c>
      <c r="J199">
        <v>30000</v>
      </c>
    </row>
    <row r="200" spans="2:10" x14ac:dyDescent="0.25">
      <c r="B200" t="s">
        <v>597</v>
      </c>
      <c r="C200">
        <v>0.65029999999999999</v>
      </c>
      <c r="D200">
        <v>0.47689999999999999</v>
      </c>
      <c r="E200">
        <v>1.719E-2</v>
      </c>
      <c r="F200">
        <v>0</v>
      </c>
      <c r="G200">
        <v>1</v>
      </c>
      <c r="H200">
        <v>1</v>
      </c>
      <c r="I200">
        <v>10001</v>
      </c>
      <c r="J200">
        <v>30000</v>
      </c>
    </row>
    <row r="201" spans="2:10" x14ac:dyDescent="0.25">
      <c r="B201" t="s">
        <v>598</v>
      </c>
      <c r="C201">
        <v>0.34899999999999998</v>
      </c>
      <c r="D201">
        <v>0.47670000000000001</v>
      </c>
      <c r="E201">
        <v>1.72E-2</v>
      </c>
      <c r="F201">
        <v>0</v>
      </c>
      <c r="G201">
        <v>0</v>
      </c>
      <c r="H201">
        <v>1</v>
      </c>
      <c r="I201">
        <v>10001</v>
      </c>
      <c r="J201">
        <v>30000</v>
      </c>
    </row>
    <row r="202" spans="2:10" x14ac:dyDescent="0.25">
      <c r="B202" t="s">
        <v>599</v>
      </c>
      <c r="C202" s="13">
        <v>3.3330000000000002E-4</v>
      </c>
      <c r="D202">
        <v>1.8249999999999999E-2</v>
      </c>
      <c r="E202" s="13">
        <v>2.7149999999999999E-4</v>
      </c>
      <c r="F202">
        <v>0</v>
      </c>
      <c r="G202">
        <v>0</v>
      </c>
      <c r="H202">
        <v>0</v>
      </c>
      <c r="I202">
        <v>10001</v>
      </c>
      <c r="J202">
        <v>30000</v>
      </c>
    </row>
    <row r="203" spans="2:10" x14ac:dyDescent="0.25">
      <c r="B203" t="s">
        <v>600</v>
      </c>
      <c r="C203" s="13">
        <v>8.9999999999999998E-4</v>
      </c>
      <c r="D203">
        <v>2.9989999999999999E-2</v>
      </c>
      <c r="E203" s="13">
        <v>5.3660000000000003E-4</v>
      </c>
      <c r="F203">
        <v>0</v>
      </c>
      <c r="G203">
        <v>0</v>
      </c>
      <c r="H203">
        <v>0</v>
      </c>
      <c r="I203">
        <v>10001</v>
      </c>
      <c r="J203">
        <v>30000</v>
      </c>
    </row>
    <row r="204" spans="2:10" x14ac:dyDescent="0.25">
      <c r="B204" t="s">
        <v>601</v>
      </c>
      <c r="C204" s="13">
        <v>4.0000000000000002E-4</v>
      </c>
      <c r="D204">
        <v>0.02</v>
      </c>
      <c r="E204" s="13">
        <v>2.6279999999999999E-4</v>
      </c>
      <c r="F204">
        <v>0</v>
      </c>
      <c r="G204">
        <v>0</v>
      </c>
      <c r="H204">
        <v>0</v>
      </c>
      <c r="I204">
        <v>10001</v>
      </c>
      <c r="J204">
        <v>30000</v>
      </c>
    </row>
    <row r="205" spans="2:10" x14ac:dyDescent="0.25">
      <c r="B205" t="s">
        <v>602</v>
      </c>
      <c r="C205" s="13">
        <v>3.6670000000000002E-4</v>
      </c>
      <c r="D205">
        <v>1.915E-2</v>
      </c>
      <c r="E205" s="13">
        <v>1.728E-4</v>
      </c>
      <c r="F205">
        <v>0</v>
      </c>
      <c r="G205">
        <v>0</v>
      </c>
      <c r="H205">
        <v>0</v>
      </c>
      <c r="I205">
        <v>10001</v>
      </c>
      <c r="J205">
        <v>30000</v>
      </c>
    </row>
    <row r="206" spans="2:10" x14ac:dyDescent="0.25">
      <c r="B206" t="s">
        <v>603</v>
      </c>
      <c r="C206">
        <v>1.467E-3</v>
      </c>
      <c r="D206">
        <v>3.8269999999999998E-2</v>
      </c>
      <c r="E206" s="13">
        <v>4.5389999999999997E-4</v>
      </c>
      <c r="F206">
        <v>0</v>
      </c>
      <c r="G206">
        <v>0</v>
      </c>
      <c r="H206">
        <v>0</v>
      </c>
      <c r="I206">
        <v>10001</v>
      </c>
      <c r="J206">
        <v>30000</v>
      </c>
    </row>
    <row r="207" spans="2:10" x14ac:dyDescent="0.25">
      <c r="B207" t="s">
        <v>604</v>
      </c>
      <c r="C207">
        <v>4.0330000000000001E-3</v>
      </c>
      <c r="D207">
        <v>6.3380000000000006E-2</v>
      </c>
      <c r="E207">
        <v>1.0369999999999999E-3</v>
      </c>
      <c r="F207">
        <v>0</v>
      </c>
      <c r="G207">
        <v>0</v>
      </c>
      <c r="H207">
        <v>0</v>
      </c>
      <c r="I207">
        <v>10001</v>
      </c>
      <c r="J207">
        <v>30000</v>
      </c>
    </row>
    <row r="208" spans="2:10" x14ac:dyDescent="0.25">
      <c r="B208" t="s">
        <v>605</v>
      </c>
      <c r="C208">
        <v>2.2100000000000002E-2</v>
      </c>
      <c r="D208">
        <v>0.14699999999999999</v>
      </c>
      <c r="E208">
        <v>3.9160000000000002E-3</v>
      </c>
      <c r="F208">
        <v>0</v>
      </c>
      <c r="G208">
        <v>0</v>
      </c>
      <c r="H208">
        <v>0</v>
      </c>
      <c r="I208">
        <v>10001</v>
      </c>
      <c r="J208">
        <v>30000</v>
      </c>
    </row>
    <row r="209" spans="2:10" x14ac:dyDescent="0.25">
      <c r="B209" t="s">
        <v>606</v>
      </c>
      <c r="C209">
        <v>0.31940000000000002</v>
      </c>
      <c r="D209">
        <v>0.46629999999999999</v>
      </c>
      <c r="E209">
        <v>1.5570000000000001E-2</v>
      </c>
      <c r="F209">
        <v>0</v>
      </c>
      <c r="G209">
        <v>0</v>
      </c>
      <c r="H209">
        <v>1</v>
      </c>
      <c r="I209">
        <v>10001</v>
      </c>
      <c r="J209">
        <v>30000</v>
      </c>
    </row>
    <row r="210" spans="2:10" x14ac:dyDescent="0.25">
      <c r="B210" t="s">
        <v>607</v>
      </c>
      <c r="C210">
        <v>0.65100000000000002</v>
      </c>
      <c r="D210">
        <v>0.47670000000000001</v>
      </c>
      <c r="E210">
        <v>1.72E-2</v>
      </c>
      <c r="F210">
        <v>0</v>
      </c>
      <c r="G210">
        <v>1</v>
      </c>
      <c r="H210">
        <v>1</v>
      </c>
      <c r="I210">
        <v>10001</v>
      </c>
      <c r="J210">
        <v>30000</v>
      </c>
    </row>
    <row r="211" spans="2:10" x14ac:dyDescent="0.25">
      <c r="B211" t="s">
        <v>608</v>
      </c>
      <c r="C211">
        <v>1.244</v>
      </c>
      <c r="D211">
        <v>1.5940000000000001</v>
      </c>
      <c r="E211">
        <v>1.0279999999999999E-2</v>
      </c>
      <c r="F211">
        <v>2.002E-2</v>
      </c>
      <c r="G211">
        <v>0.63739999999999997</v>
      </c>
      <c r="H211">
        <v>5.7969999999999997</v>
      </c>
      <c r="I211">
        <v>10001</v>
      </c>
      <c r="J211">
        <v>30000</v>
      </c>
    </row>
    <row r="212" spans="2:10" x14ac:dyDescent="0.25">
      <c r="B212" t="s">
        <v>609</v>
      </c>
      <c r="C212">
        <v>1.659</v>
      </c>
      <c r="D212">
        <v>1.7070000000000001</v>
      </c>
      <c r="E212">
        <v>2.1819999999999999E-2</v>
      </c>
      <c r="F212">
        <v>4.2079999999999999E-2</v>
      </c>
      <c r="G212">
        <v>1.1299999999999999</v>
      </c>
      <c r="H212">
        <v>6.3259999999999996</v>
      </c>
      <c r="I212">
        <v>10001</v>
      </c>
      <c r="J212">
        <v>30000</v>
      </c>
    </row>
    <row r="213" spans="2:10" x14ac:dyDescent="0.25">
      <c r="B213" t="s">
        <v>610</v>
      </c>
      <c r="C213">
        <v>1.403</v>
      </c>
      <c r="D213">
        <v>1.546</v>
      </c>
      <c r="E213">
        <v>1.7860000000000001E-2</v>
      </c>
      <c r="F213">
        <v>3.0460000000000001E-2</v>
      </c>
      <c r="G213">
        <v>0.89410000000000001</v>
      </c>
      <c r="H213">
        <v>5.6520000000000001</v>
      </c>
      <c r="I213">
        <v>10001</v>
      </c>
      <c r="J213">
        <v>30000</v>
      </c>
    </row>
    <row r="214" spans="2:10" x14ac:dyDescent="0.25">
      <c r="B214" t="s">
        <v>611</v>
      </c>
      <c r="C214">
        <v>2.34</v>
      </c>
      <c r="D214">
        <v>2.0030000000000001</v>
      </c>
      <c r="E214">
        <v>4.8079999999999998E-2</v>
      </c>
      <c r="F214">
        <v>9.6320000000000003E-2</v>
      </c>
      <c r="G214">
        <v>1.827</v>
      </c>
      <c r="H214">
        <v>7.5330000000000004</v>
      </c>
      <c r="I214">
        <v>10001</v>
      </c>
      <c r="J214">
        <v>30000</v>
      </c>
    </row>
    <row r="215" spans="2:10" x14ac:dyDescent="0.25">
      <c r="B215" t="s">
        <v>612</v>
      </c>
      <c r="C215">
        <v>2.0910000000000002</v>
      </c>
      <c r="D215">
        <v>2.0880000000000001</v>
      </c>
      <c r="E215">
        <v>5.7700000000000001E-2</v>
      </c>
      <c r="F215">
        <v>4.8140000000000002E-2</v>
      </c>
      <c r="G215">
        <v>1.4590000000000001</v>
      </c>
      <c r="H215">
        <v>7.7629999999999999</v>
      </c>
      <c r="I215">
        <v>10001</v>
      </c>
      <c r="J215">
        <v>30000</v>
      </c>
    </row>
    <row r="216" spans="2:10" x14ac:dyDescent="0.25">
      <c r="B216" t="s">
        <v>613</v>
      </c>
      <c r="C216">
        <v>2.077</v>
      </c>
      <c r="D216">
        <v>1.8029999999999999</v>
      </c>
      <c r="E216">
        <v>3.3669999999999999E-2</v>
      </c>
      <c r="F216">
        <v>8.2619999999999999E-2</v>
      </c>
      <c r="G216">
        <v>1.625</v>
      </c>
      <c r="H216">
        <v>6.8129999999999997</v>
      </c>
      <c r="I216">
        <v>10001</v>
      </c>
      <c r="J216">
        <v>30000</v>
      </c>
    </row>
    <row r="217" spans="2:10" x14ac:dyDescent="0.25">
      <c r="B217" t="s">
        <v>614</v>
      </c>
      <c r="C217">
        <v>1.974</v>
      </c>
      <c r="D217">
        <v>2.0129999999999999</v>
      </c>
      <c r="E217">
        <v>4.1419999999999998E-2</v>
      </c>
      <c r="F217">
        <v>4.8370000000000003E-2</v>
      </c>
      <c r="G217">
        <v>1.353</v>
      </c>
      <c r="H217">
        <v>7.4329999999999998</v>
      </c>
      <c r="I217">
        <v>10001</v>
      </c>
      <c r="J217">
        <v>30000</v>
      </c>
    </row>
    <row r="218" spans="2:10" x14ac:dyDescent="0.25">
      <c r="B218" t="s">
        <v>615</v>
      </c>
      <c r="C218">
        <v>1.6120000000000001</v>
      </c>
      <c r="D218">
        <v>1.635</v>
      </c>
      <c r="E218">
        <v>2.1360000000000001E-2</v>
      </c>
      <c r="F218">
        <v>4.2040000000000001E-2</v>
      </c>
      <c r="G218">
        <v>1.115</v>
      </c>
      <c r="H218">
        <v>5.9660000000000002</v>
      </c>
      <c r="I218">
        <v>10001</v>
      </c>
      <c r="J218">
        <v>30000</v>
      </c>
    </row>
    <row r="219" spans="2:10" x14ac:dyDescent="0.25">
      <c r="B219" t="s">
        <v>616</v>
      </c>
      <c r="C219">
        <v>2.355</v>
      </c>
      <c r="D219">
        <v>1.7430000000000001</v>
      </c>
      <c r="E219">
        <v>3.5270000000000003E-2</v>
      </c>
      <c r="F219">
        <v>0.22750000000000001</v>
      </c>
      <c r="G219">
        <v>1.9830000000000001</v>
      </c>
      <c r="H219">
        <v>6.8209999999999997</v>
      </c>
      <c r="I219">
        <v>10001</v>
      </c>
      <c r="J219">
        <v>30000</v>
      </c>
    </row>
    <row r="220" spans="2:10" x14ac:dyDescent="0.25">
      <c r="B220" t="s">
        <v>617</v>
      </c>
      <c r="C220">
        <v>2.3679999999999999</v>
      </c>
      <c r="D220">
        <v>1.9390000000000001</v>
      </c>
      <c r="E220">
        <v>3.832E-2</v>
      </c>
      <c r="F220">
        <v>0.1179</v>
      </c>
      <c r="G220">
        <v>1.899</v>
      </c>
      <c r="H220">
        <v>7.3090000000000002</v>
      </c>
      <c r="I220">
        <v>10001</v>
      </c>
      <c r="J220">
        <v>30000</v>
      </c>
    </row>
    <row r="221" spans="2:10" x14ac:dyDescent="0.25">
      <c r="B221" t="s">
        <v>618</v>
      </c>
      <c r="C221">
        <v>1.1950000000000001</v>
      </c>
      <c r="D221">
        <v>1.4850000000000001</v>
      </c>
      <c r="E221">
        <v>1.12E-2</v>
      </c>
      <c r="F221">
        <v>2.1489999999999999E-2</v>
      </c>
      <c r="G221">
        <v>0.67549999999999999</v>
      </c>
      <c r="H221">
        <v>5.3659999999999997</v>
      </c>
      <c r="I221">
        <v>10001</v>
      </c>
      <c r="J221">
        <v>30000</v>
      </c>
    </row>
    <row r="222" spans="2:10" x14ac:dyDescent="0.25">
      <c r="B222" t="s">
        <v>619</v>
      </c>
      <c r="C222">
        <v>1.6910000000000001</v>
      </c>
      <c r="D222">
        <v>1.516</v>
      </c>
      <c r="E222">
        <v>1.7770000000000001E-2</v>
      </c>
      <c r="F222">
        <v>0.18440000000000001</v>
      </c>
      <c r="G222">
        <v>1.2370000000000001</v>
      </c>
      <c r="H222">
        <v>5.9450000000000003</v>
      </c>
      <c r="I222">
        <v>10001</v>
      </c>
      <c r="J222">
        <v>30000</v>
      </c>
    </row>
    <row r="223" spans="2:10" x14ac:dyDescent="0.25">
      <c r="B223" t="s">
        <v>620</v>
      </c>
      <c r="C223">
        <v>1.37</v>
      </c>
      <c r="D223">
        <v>1.502</v>
      </c>
      <c r="E223">
        <v>1.762E-2</v>
      </c>
      <c r="F223">
        <v>3.1809999999999998E-2</v>
      </c>
      <c r="G223">
        <v>0.88290000000000002</v>
      </c>
      <c r="H223">
        <v>5.5289999999999999</v>
      </c>
      <c r="I223">
        <v>10001</v>
      </c>
      <c r="J223">
        <v>30000</v>
      </c>
    </row>
    <row r="224" spans="2:10" x14ac:dyDescent="0.25">
      <c r="B224" t="s">
        <v>621</v>
      </c>
      <c r="C224">
        <v>1.89</v>
      </c>
      <c r="D224">
        <v>1.877</v>
      </c>
      <c r="E224">
        <v>3.6749999999999998E-2</v>
      </c>
      <c r="F224">
        <v>4.8890000000000003E-2</v>
      </c>
      <c r="G224">
        <v>1.296</v>
      </c>
      <c r="H224">
        <v>6.8380000000000001</v>
      </c>
      <c r="I224">
        <v>10001</v>
      </c>
      <c r="J224">
        <v>30000</v>
      </c>
    </row>
    <row r="225" spans="2:10" x14ac:dyDescent="0.25">
      <c r="B225" t="s">
        <v>622</v>
      </c>
      <c r="C225">
        <v>1.708</v>
      </c>
      <c r="D225">
        <v>1.615</v>
      </c>
      <c r="E225">
        <v>2.8230000000000002E-2</v>
      </c>
      <c r="F225">
        <v>5.8979999999999998E-2</v>
      </c>
      <c r="G225">
        <v>1.26</v>
      </c>
      <c r="H225">
        <v>6.0060000000000002</v>
      </c>
      <c r="I225">
        <v>10001</v>
      </c>
      <c r="J225">
        <v>30000</v>
      </c>
    </row>
    <row r="226" spans="2:10" x14ac:dyDescent="0.25">
      <c r="B226" t="s">
        <v>623</v>
      </c>
      <c r="C226">
        <v>1.482</v>
      </c>
      <c r="D226">
        <v>1.542</v>
      </c>
      <c r="E226">
        <v>2.332E-2</v>
      </c>
      <c r="F226">
        <v>3.4759999999999999E-2</v>
      </c>
      <c r="G226">
        <v>1</v>
      </c>
      <c r="H226">
        <v>5.6230000000000002</v>
      </c>
      <c r="I226">
        <v>10001</v>
      </c>
      <c r="J226">
        <v>30000</v>
      </c>
    </row>
    <row r="227" spans="2:10" x14ac:dyDescent="0.25">
      <c r="B227" t="s">
        <v>624</v>
      </c>
      <c r="C227">
        <v>2.7719999999999998</v>
      </c>
      <c r="D227">
        <v>2.347</v>
      </c>
      <c r="E227">
        <v>6.3890000000000002E-2</v>
      </c>
      <c r="F227">
        <v>0.1106</v>
      </c>
      <c r="G227">
        <v>2.1869999999999998</v>
      </c>
      <c r="H227">
        <v>8.8000000000000007</v>
      </c>
      <c r="I227">
        <v>10001</v>
      </c>
      <c r="J227">
        <v>30000</v>
      </c>
    </row>
    <row r="228" spans="2:10" x14ac:dyDescent="0.25">
      <c r="B228" t="s">
        <v>625</v>
      </c>
      <c r="C228">
        <v>2.3860000000000001</v>
      </c>
      <c r="D228">
        <v>2.0550000000000002</v>
      </c>
      <c r="E228">
        <v>4.3610000000000003E-2</v>
      </c>
      <c r="F228">
        <v>8.5690000000000002E-2</v>
      </c>
      <c r="G228">
        <v>1.861</v>
      </c>
      <c r="H228">
        <v>7.6369999999999996</v>
      </c>
      <c r="I228">
        <v>10001</v>
      </c>
      <c r="J228">
        <v>30000</v>
      </c>
    </row>
    <row r="229" spans="2:10" x14ac:dyDescent="0.25">
      <c r="B229" t="s">
        <v>626</v>
      </c>
      <c r="C229">
        <v>1.754</v>
      </c>
      <c r="D229">
        <v>1.5920000000000001</v>
      </c>
      <c r="E229">
        <v>2.4279999999999999E-2</v>
      </c>
      <c r="F229">
        <v>0.1003</v>
      </c>
      <c r="G229">
        <v>1.321</v>
      </c>
      <c r="H229">
        <v>6.032</v>
      </c>
      <c r="I229">
        <v>10001</v>
      </c>
      <c r="J229">
        <v>30000</v>
      </c>
    </row>
    <row r="230" spans="2:10" x14ac:dyDescent="0.25">
      <c r="B230" t="s">
        <v>627</v>
      </c>
      <c r="C230">
        <v>1.177</v>
      </c>
      <c r="D230">
        <v>1.486</v>
      </c>
      <c r="E230">
        <v>9.8329999999999997E-3</v>
      </c>
      <c r="F230">
        <v>1.7659999999999999E-2</v>
      </c>
      <c r="G230">
        <v>0.62490000000000001</v>
      </c>
      <c r="H230">
        <v>5.3639999999999999</v>
      </c>
      <c r="I230">
        <v>10001</v>
      </c>
      <c r="J230">
        <v>30000</v>
      </c>
    </row>
    <row r="231" spans="2:10" x14ac:dyDescent="0.25">
      <c r="B231" t="s">
        <v>628</v>
      </c>
      <c r="C231">
        <v>2.3319999999999999</v>
      </c>
      <c r="D231">
        <v>2.2010000000000001</v>
      </c>
      <c r="E231">
        <v>4.4499999999999998E-2</v>
      </c>
      <c r="F231">
        <v>6.4460000000000003E-2</v>
      </c>
      <c r="G231">
        <v>1.6850000000000001</v>
      </c>
      <c r="H231">
        <v>8.1669999999999998</v>
      </c>
      <c r="I231">
        <v>10001</v>
      </c>
      <c r="J231">
        <v>30000</v>
      </c>
    </row>
    <row r="232" spans="2:10" x14ac:dyDescent="0.25">
      <c r="B232" t="s">
        <v>629</v>
      </c>
      <c r="C232">
        <v>5.5010000000000003</v>
      </c>
      <c r="D232">
        <v>0.92800000000000005</v>
      </c>
      <c r="E232">
        <v>3.2969999999999999E-2</v>
      </c>
      <c r="F232">
        <v>3</v>
      </c>
      <c r="G232">
        <v>6</v>
      </c>
      <c r="H232">
        <v>7</v>
      </c>
      <c r="I232">
        <v>10001</v>
      </c>
      <c r="J232">
        <v>30000</v>
      </c>
    </row>
    <row r="233" spans="2:10" x14ac:dyDescent="0.25">
      <c r="B233" t="s">
        <v>630</v>
      </c>
      <c r="C233">
        <v>6.976</v>
      </c>
      <c r="D233">
        <v>0.29170000000000001</v>
      </c>
      <c r="E233">
        <v>7.4809999999999998E-3</v>
      </c>
      <c r="F233">
        <v>6</v>
      </c>
      <c r="G233">
        <v>7</v>
      </c>
      <c r="H233">
        <v>8</v>
      </c>
      <c r="I233">
        <v>10001</v>
      </c>
      <c r="J233">
        <v>30000</v>
      </c>
    </row>
    <row r="234" spans="2:10" x14ac:dyDescent="0.25">
      <c r="B234" t="s">
        <v>631</v>
      </c>
      <c r="C234">
        <v>3.5670000000000002</v>
      </c>
      <c r="D234">
        <v>1.0740000000000001</v>
      </c>
      <c r="E234">
        <v>3.0380000000000001E-2</v>
      </c>
      <c r="F234">
        <v>1</v>
      </c>
      <c r="G234">
        <v>4</v>
      </c>
      <c r="H234">
        <v>6</v>
      </c>
      <c r="I234">
        <v>10001</v>
      </c>
      <c r="J234">
        <v>30000</v>
      </c>
    </row>
    <row r="235" spans="2:10" x14ac:dyDescent="0.25">
      <c r="B235" t="s">
        <v>632</v>
      </c>
      <c r="C235">
        <v>2.2080000000000002</v>
      </c>
      <c r="D235">
        <v>1.1319999999999999</v>
      </c>
      <c r="E235">
        <v>3.2320000000000002E-2</v>
      </c>
      <c r="F235">
        <v>1</v>
      </c>
      <c r="G235">
        <v>2</v>
      </c>
      <c r="H235">
        <v>5</v>
      </c>
      <c r="I235">
        <v>10001</v>
      </c>
      <c r="J235">
        <v>30000</v>
      </c>
    </row>
    <row r="236" spans="2:10" x14ac:dyDescent="0.25">
      <c r="B236" t="s">
        <v>633</v>
      </c>
      <c r="C236">
        <v>2.5</v>
      </c>
      <c r="D236">
        <v>1.762</v>
      </c>
      <c r="E236">
        <v>5.6230000000000002E-2</v>
      </c>
      <c r="F236">
        <v>1</v>
      </c>
      <c r="G236">
        <v>2</v>
      </c>
      <c r="H236">
        <v>6</v>
      </c>
      <c r="I236">
        <v>10001</v>
      </c>
      <c r="J236">
        <v>30000</v>
      </c>
    </row>
    <row r="237" spans="2:10" x14ac:dyDescent="0.25">
      <c r="B237" t="s">
        <v>634</v>
      </c>
      <c r="C237">
        <v>3.2109999999999999</v>
      </c>
      <c r="D237">
        <v>1.611</v>
      </c>
      <c r="E237">
        <v>5.2519999999999997E-2</v>
      </c>
      <c r="F237">
        <v>1</v>
      </c>
      <c r="G237">
        <v>3</v>
      </c>
      <c r="H237">
        <v>6</v>
      </c>
      <c r="I237">
        <v>10001</v>
      </c>
      <c r="J237">
        <v>30000</v>
      </c>
    </row>
    <row r="238" spans="2:10" x14ac:dyDescent="0.25">
      <c r="B238" t="s">
        <v>635</v>
      </c>
      <c r="C238">
        <v>4.0830000000000002</v>
      </c>
      <c r="D238">
        <v>1.3360000000000001</v>
      </c>
      <c r="E238">
        <v>4.1869999999999997E-2</v>
      </c>
      <c r="F238">
        <v>1</v>
      </c>
      <c r="G238">
        <v>4</v>
      </c>
      <c r="H238">
        <v>6</v>
      </c>
      <c r="I238">
        <v>10001</v>
      </c>
      <c r="J238">
        <v>30000</v>
      </c>
    </row>
    <row r="239" spans="2:10" x14ac:dyDescent="0.25">
      <c r="B239" t="s">
        <v>636</v>
      </c>
      <c r="C239">
        <v>8.3480000000000008</v>
      </c>
      <c r="D239">
        <v>0.47820000000000001</v>
      </c>
      <c r="E239">
        <v>1.7219999999999999E-2</v>
      </c>
      <c r="F239">
        <v>8</v>
      </c>
      <c r="G239">
        <v>8</v>
      </c>
      <c r="H239">
        <v>9</v>
      </c>
      <c r="I239">
        <v>10001</v>
      </c>
      <c r="J239">
        <v>30000</v>
      </c>
    </row>
    <row r="240" spans="2:10" x14ac:dyDescent="0.25">
      <c r="B240" t="s">
        <v>637</v>
      </c>
      <c r="C240">
        <v>8.6050000000000004</v>
      </c>
      <c r="D240">
        <v>0.63300000000000001</v>
      </c>
      <c r="E240">
        <v>2.264E-2</v>
      </c>
      <c r="F240">
        <v>7</v>
      </c>
      <c r="G240">
        <v>9</v>
      </c>
      <c r="H240">
        <v>9</v>
      </c>
      <c r="I240">
        <v>10001</v>
      </c>
      <c r="J240">
        <v>30000</v>
      </c>
    </row>
    <row r="241" spans="1:10" x14ac:dyDescent="0.25">
      <c r="B241" t="s">
        <v>638</v>
      </c>
      <c r="C241">
        <v>0.13969999999999999</v>
      </c>
      <c r="D241">
        <v>8.0769999999999995E-2</v>
      </c>
      <c r="E241">
        <v>2.3180000000000002E-3</v>
      </c>
      <c r="F241">
        <v>3.8879999999999998E-2</v>
      </c>
      <c r="G241">
        <v>0.1212</v>
      </c>
      <c r="H241">
        <v>0.34760000000000002</v>
      </c>
      <c r="I241">
        <v>10001</v>
      </c>
      <c r="J241">
        <v>30000</v>
      </c>
    </row>
    <row r="242" spans="1:10" x14ac:dyDescent="0.25">
      <c r="B242" t="s">
        <v>639</v>
      </c>
      <c r="C242">
        <v>38.880000000000003</v>
      </c>
      <c r="D242">
        <v>7.9180000000000001</v>
      </c>
      <c r="E242">
        <v>0.1313</v>
      </c>
      <c r="F242">
        <v>25.24</v>
      </c>
      <c r="G242">
        <v>38.25</v>
      </c>
      <c r="H242">
        <v>55.98</v>
      </c>
      <c r="I242">
        <v>10001</v>
      </c>
      <c r="J242">
        <v>30000</v>
      </c>
    </row>
    <row r="243" spans="1:10" x14ac:dyDescent="0.25">
      <c r="A243" t="s">
        <v>640</v>
      </c>
    </row>
    <row r="245" spans="1:10" x14ac:dyDescent="0.25">
      <c r="A245" t="s">
        <v>641</v>
      </c>
    </row>
    <row r="246" spans="1:10" x14ac:dyDescent="0.25">
      <c r="A246" t="s">
        <v>642</v>
      </c>
    </row>
    <row r="247" spans="1:10" x14ac:dyDescent="0.25">
      <c r="B247" t="s">
        <v>643</v>
      </c>
      <c r="C247" t="s">
        <v>644</v>
      </c>
      <c r="D247" t="s">
        <v>645</v>
      </c>
      <c r="E247" t="s">
        <v>641</v>
      </c>
    </row>
    <row r="248" spans="1:10" x14ac:dyDescent="0.25">
      <c r="A248" t="s">
        <v>646</v>
      </c>
      <c r="B248">
        <v>183.85400000000001</v>
      </c>
      <c r="C248">
        <v>154.02199999999999</v>
      </c>
      <c r="D248">
        <v>29.832999999999998</v>
      </c>
      <c r="E248">
        <v>213.68700000000001</v>
      </c>
    </row>
    <row r="249" spans="1:10" x14ac:dyDescent="0.25">
      <c r="A249" t="s">
        <v>647</v>
      </c>
      <c r="B249">
        <v>183.85400000000001</v>
      </c>
      <c r="C249">
        <v>154.02199999999999</v>
      </c>
      <c r="D249">
        <v>29.832999999999998</v>
      </c>
      <c r="E249">
        <v>213.68700000000001</v>
      </c>
    </row>
    <row r="250" spans="1:10" x14ac:dyDescent="0.25">
      <c r="A250" t="s">
        <v>648</v>
      </c>
    </row>
    <row r="252" spans="1:10" x14ac:dyDescent="0.25">
      <c r="A252" t="s">
        <v>649</v>
      </c>
    </row>
    <row r="254" spans="1:10" x14ac:dyDescent="0.25">
      <c r="A254" t="s">
        <v>650</v>
      </c>
    </row>
    <row r="256" spans="1:10" x14ac:dyDescent="0.25">
      <c r="A256" t="s">
        <v>651</v>
      </c>
    </row>
    <row r="258" spans="1:1" x14ac:dyDescent="0.25">
      <c r="A258" t="s">
        <v>716</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06"/>
  <sheetViews>
    <sheetView showGridLines="0" topLeftCell="A24" workbookViewId="0">
      <selection activeCell="A24" sqref="A24"/>
    </sheetView>
  </sheetViews>
  <sheetFormatPr defaultRowHeight="15" x14ac:dyDescent="0.25"/>
  <sheetData>
    <row r="1" spans="1:1" hidden="1" x14ac:dyDescent="0.25">
      <c r="A1" t="s">
        <v>402</v>
      </c>
    </row>
    <row r="2" spans="1:1" hidden="1" x14ac:dyDescent="0.25">
      <c r="A2" t="s">
        <v>720</v>
      </c>
    </row>
    <row r="3" spans="1:1" hidden="1" x14ac:dyDescent="0.25">
      <c r="A3" t="s">
        <v>404</v>
      </c>
    </row>
    <row r="4" spans="1:1" hidden="1" x14ac:dyDescent="0.25">
      <c r="A4" t="s">
        <v>721</v>
      </c>
    </row>
    <row r="5" spans="1:1" hidden="1" x14ac:dyDescent="0.25">
      <c r="A5" t="s">
        <v>406</v>
      </c>
    </row>
    <row r="6" spans="1:1" hidden="1" x14ac:dyDescent="0.25">
      <c r="A6" t="s">
        <v>722</v>
      </c>
    </row>
    <row r="7" spans="1:1" hidden="1" x14ac:dyDescent="0.25">
      <c r="A7" t="s">
        <v>406</v>
      </c>
    </row>
    <row r="8" spans="1:1" hidden="1" x14ac:dyDescent="0.25">
      <c r="A8" t="s">
        <v>21</v>
      </c>
    </row>
    <row r="9" spans="1:1" hidden="1" x14ac:dyDescent="0.25">
      <c r="A9" t="s">
        <v>408</v>
      </c>
    </row>
    <row r="10" spans="1:1" hidden="1" x14ac:dyDescent="0.25">
      <c r="A10" t="s">
        <v>723</v>
      </c>
    </row>
    <row r="11" spans="1:1" hidden="1" x14ac:dyDescent="0.25">
      <c r="A11" t="s">
        <v>410</v>
      </c>
    </row>
    <row r="12" spans="1:1" hidden="1" x14ac:dyDescent="0.25">
      <c r="A12" t="s">
        <v>724</v>
      </c>
    </row>
    <row r="13" spans="1:1" hidden="1" x14ac:dyDescent="0.25">
      <c r="A13" t="s">
        <v>410</v>
      </c>
    </row>
    <row r="14" spans="1:1" hidden="1" x14ac:dyDescent="0.25">
      <c r="A14" t="s">
        <v>725</v>
      </c>
    </row>
    <row r="15" spans="1:1" hidden="1" x14ac:dyDescent="0.25">
      <c r="A15" t="s">
        <v>410</v>
      </c>
    </row>
    <row r="16" spans="1:1" hidden="1" x14ac:dyDescent="0.25">
      <c r="A16" t="s">
        <v>23</v>
      </c>
    </row>
    <row r="17" spans="1:10" hidden="1" x14ac:dyDescent="0.25">
      <c r="A17" t="s">
        <v>413</v>
      </c>
    </row>
    <row r="18" spans="1:10" hidden="1" x14ac:dyDescent="0.25">
      <c r="A18" t="s">
        <v>414</v>
      </c>
    </row>
    <row r="19" spans="1:10" hidden="1" x14ac:dyDescent="0.25">
      <c r="A19" t="s">
        <v>197</v>
      </c>
    </row>
    <row r="20" spans="1:10" hidden="1" x14ac:dyDescent="0.25">
      <c r="A20" t="s">
        <v>198</v>
      </c>
    </row>
    <row r="21" spans="1:10" hidden="1" x14ac:dyDescent="0.25">
      <c r="A21" t="s">
        <v>199</v>
      </c>
    </row>
    <row r="22" spans="1:10" hidden="1" x14ac:dyDescent="0.25">
      <c r="A22" t="s">
        <v>414</v>
      </c>
    </row>
    <row r="23" spans="1:10" hidden="1" x14ac:dyDescent="0.25">
      <c r="A23" t="s">
        <v>422</v>
      </c>
    </row>
    <row r="25" spans="1:10" x14ac:dyDescent="0.25">
      <c r="A25" t="s">
        <v>423</v>
      </c>
    </row>
    <row r="26" spans="1:10" x14ac:dyDescent="0.25">
      <c r="B26" t="s">
        <v>424</v>
      </c>
      <c r="C26" t="s">
        <v>425</v>
      </c>
      <c r="D26" t="s">
        <v>426</v>
      </c>
      <c r="E26" t="s">
        <v>427</v>
      </c>
      <c r="F26" s="12">
        <v>2.5000000000000001E-2</v>
      </c>
      <c r="G26" t="s">
        <v>428</v>
      </c>
      <c r="H26" s="12">
        <v>0.97499999999999998</v>
      </c>
      <c r="I26" t="s">
        <v>429</v>
      </c>
      <c r="J26" t="s">
        <v>430</v>
      </c>
    </row>
    <row r="27" spans="1:10" x14ac:dyDescent="0.25">
      <c r="B27" t="s">
        <v>726</v>
      </c>
      <c r="C27">
        <v>0.54910000000000003</v>
      </c>
      <c r="D27">
        <v>0.36020000000000002</v>
      </c>
      <c r="E27">
        <v>9.9240000000000005E-3</v>
      </c>
      <c r="F27">
        <v>-0.1431</v>
      </c>
      <c r="G27">
        <v>0.53790000000000004</v>
      </c>
      <c r="H27">
        <v>1.2470000000000001</v>
      </c>
      <c r="I27">
        <v>10001</v>
      </c>
      <c r="J27">
        <v>30000</v>
      </c>
    </row>
    <row r="28" spans="1:10" x14ac:dyDescent="0.25">
      <c r="B28" t="s">
        <v>727</v>
      </c>
      <c r="C28">
        <v>-0.53639999999999999</v>
      </c>
      <c r="D28">
        <v>1.1519999999999999</v>
      </c>
      <c r="E28">
        <v>4.4900000000000002E-2</v>
      </c>
      <c r="F28">
        <v>-2.9969999999999999</v>
      </c>
      <c r="G28">
        <v>-0.4708</v>
      </c>
      <c r="H28">
        <v>1.5980000000000001</v>
      </c>
      <c r="I28">
        <v>10001</v>
      </c>
      <c r="J28">
        <v>30000</v>
      </c>
    </row>
    <row r="29" spans="1:10" x14ac:dyDescent="0.25">
      <c r="B29" t="s">
        <v>728</v>
      </c>
      <c r="C29">
        <v>0.48449999999999999</v>
      </c>
      <c r="D29">
        <v>99.77</v>
      </c>
      <c r="E29">
        <v>0.59689999999999999</v>
      </c>
      <c r="F29">
        <v>-194</v>
      </c>
      <c r="G29">
        <v>0.67200000000000004</v>
      </c>
      <c r="H29">
        <v>197.2</v>
      </c>
      <c r="I29">
        <v>10001</v>
      </c>
      <c r="J29">
        <v>30000</v>
      </c>
    </row>
    <row r="30" spans="1:10" x14ac:dyDescent="0.25">
      <c r="B30" t="s">
        <v>729</v>
      </c>
      <c r="C30">
        <v>-0.82689999999999997</v>
      </c>
      <c r="D30">
        <v>100.4</v>
      </c>
      <c r="E30">
        <v>0.59079999999999999</v>
      </c>
      <c r="F30">
        <v>-195.8</v>
      </c>
      <c r="G30">
        <v>0.1714</v>
      </c>
      <c r="H30">
        <v>195.4</v>
      </c>
      <c r="I30">
        <v>10001</v>
      </c>
      <c r="J30">
        <v>30000</v>
      </c>
    </row>
    <row r="31" spans="1:10" x14ac:dyDescent="0.25">
      <c r="B31" t="s">
        <v>730</v>
      </c>
      <c r="C31">
        <v>0.74199999999999999</v>
      </c>
      <c r="D31">
        <v>99.66</v>
      </c>
      <c r="E31">
        <v>0.56289999999999996</v>
      </c>
      <c r="F31">
        <v>-195.6</v>
      </c>
      <c r="G31">
        <v>1.0549999999999999</v>
      </c>
      <c r="H31">
        <v>196.3</v>
      </c>
      <c r="I31">
        <v>10001</v>
      </c>
      <c r="J31">
        <v>30000</v>
      </c>
    </row>
    <row r="32" spans="1:10" x14ac:dyDescent="0.25">
      <c r="B32" t="s">
        <v>731</v>
      </c>
      <c r="C32">
        <v>-0.29780000000000001</v>
      </c>
      <c r="D32">
        <v>0.58130000000000004</v>
      </c>
      <c r="E32">
        <v>1.2120000000000001E-2</v>
      </c>
      <c r="F32">
        <v>-1.4139999999999999</v>
      </c>
      <c r="G32">
        <v>-0.3085</v>
      </c>
      <c r="H32">
        <v>0.81259999999999999</v>
      </c>
      <c r="I32">
        <v>10001</v>
      </c>
      <c r="J32">
        <v>30000</v>
      </c>
    </row>
    <row r="33" spans="2:10" x14ac:dyDescent="0.25">
      <c r="B33" t="s">
        <v>732</v>
      </c>
      <c r="C33">
        <v>0.50209999999999999</v>
      </c>
      <c r="D33">
        <v>101</v>
      </c>
      <c r="E33">
        <v>0.57040000000000002</v>
      </c>
      <c r="F33">
        <v>-195.8</v>
      </c>
      <c r="G33">
        <v>8.2860000000000003E-2</v>
      </c>
      <c r="H33">
        <v>199.1</v>
      </c>
      <c r="I33">
        <v>10001</v>
      </c>
      <c r="J33">
        <v>30000</v>
      </c>
    </row>
    <row r="34" spans="2:10" x14ac:dyDescent="0.25">
      <c r="B34" t="s">
        <v>733</v>
      </c>
      <c r="C34">
        <v>2.3130000000000002</v>
      </c>
      <c r="D34">
        <v>1.081</v>
      </c>
      <c r="E34">
        <v>3.789E-2</v>
      </c>
      <c r="F34">
        <v>0.31190000000000001</v>
      </c>
      <c r="G34">
        <v>2.2879999999999998</v>
      </c>
      <c r="H34">
        <v>4.5780000000000003</v>
      </c>
      <c r="I34">
        <v>10001</v>
      </c>
      <c r="J34">
        <v>30000</v>
      </c>
    </row>
    <row r="35" spans="2:10" x14ac:dyDescent="0.25">
      <c r="B35" t="s">
        <v>734</v>
      </c>
      <c r="C35">
        <v>-1.4059999999999999</v>
      </c>
      <c r="D35">
        <v>0.48330000000000001</v>
      </c>
      <c r="E35">
        <v>1.14E-2</v>
      </c>
      <c r="F35">
        <v>-2.3650000000000002</v>
      </c>
      <c r="G35">
        <v>-1.4159999999999999</v>
      </c>
      <c r="H35">
        <v>-0.45450000000000002</v>
      </c>
      <c r="I35">
        <v>10001</v>
      </c>
      <c r="J35">
        <v>30000</v>
      </c>
    </row>
    <row r="36" spans="2:10" x14ac:dyDescent="0.25">
      <c r="B36" t="s">
        <v>735</v>
      </c>
      <c r="C36">
        <v>-0.37619999999999998</v>
      </c>
      <c r="D36">
        <v>100.1</v>
      </c>
      <c r="E36">
        <v>0.58479999999999999</v>
      </c>
      <c r="F36">
        <v>-196.1</v>
      </c>
      <c r="G36">
        <v>-3.1699999999999999E-2</v>
      </c>
      <c r="H36">
        <v>195.3</v>
      </c>
      <c r="I36">
        <v>10001</v>
      </c>
      <c r="J36">
        <v>30000</v>
      </c>
    </row>
    <row r="37" spans="2:10" x14ac:dyDescent="0.25">
      <c r="B37" t="s">
        <v>736</v>
      </c>
      <c r="C37">
        <v>-1.3069999999999999</v>
      </c>
      <c r="D37">
        <v>0.73980000000000001</v>
      </c>
      <c r="E37">
        <v>1.7909999999999999E-2</v>
      </c>
      <c r="F37">
        <v>-2.782</v>
      </c>
      <c r="G37">
        <v>-1.2869999999999999</v>
      </c>
      <c r="H37">
        <v>4.7759999999999997E-2</v>
      </c>
      <c r="I37">
        <v>10001</v>
      </c>
      <c r="J37">
        <v>30000</v>
      </c>
    </row>
    <row r="38" spans="2:10" x14ac:dyDescent="0.25">
      <c r="B38" t="s">
        <v>737</v>
      </c>
      <c r="C38">
        <v>0.38779999999999998</v>
      </c>
      <c r="D38">
        <v>100.2</v>
      </c>
      <c r="E38">
        <v>0.61809999999999998</v>
      </c>
      <c r="F38">
        <v>-195.2</v>
      </c>
      <c r="G38">
        <v>0.2107</v>
      </c>
      <c r="H38">
        <v>197.4</v>
      </c>
      <c r="I38">
        <v>10001</v>
      </c>
      <c r="J38">
        <v>30000</v>
      </c>
    </row>
    <row r="39" spans="2:10" x14ac:dyDescent="0.25">
      <c r="B39" t="s">
        <v>738</v>
      </c>
      <c r="C39">
        <v>-0.41560000000000002</v>
      </c>
      <c r="D39">
        <v>0.68689999999999996</v>
      </c>
      <c r="E39">
        <v>1.583E-2</v>
      </c>
      <c r="F39">
        <v>-1.7330000000000001</v>
      </c>
      <c r="G39">
        <v>-0.42559999999999998</v>
      </c>
      <c r="H39">
        <v>0.94569999999999999</v>
      </c>
      <c r="I39">
        <v>10001</v>
      </c>
      <c r="J39">
        <v>30000</v>
      </c>
    </row>
    <row r="40" spans="2:10" x14ac:dyDescent="0.25">
      <c r="B40" t="s">
        <v>739</v>
      </c>
      <c r="C40">
        <v>1.54</v>
      </c>
      <c r="D40">
        <v>0.625</v>
      </c>
      <c r="E40">
        <v>1.435E-2</v>
      </c>
      <c r="F40">
        <v>0.33550000000000002</v>
      </c>
      <c r="G40">
        <v>1.534</v>
      </c>
      <c r="H40">
        <v>2.7610000000000001</v>
      </c>
      <c r="I40">
        <v>10001</v>
      </c>
      <c r="J40">
        <v>30000</v>
      </c>
    </row>
    <row r="41" spans="2:10" x14ac:dyDescent="0.25">
      <c r="B41" t="s">
        <v>740</v>
      </c>
      <c r="C41">
        <v>4.5159999999999999E-2</v>
      </c>
      <c r="D41">
        <v>100.4</v>
      </c>
      <c r="E41">
        <v>0.6139</v>
      </c>
      <c r="F41">
        <v>-195.5</v>
      </c>
      <c r="G41">
        <v>-0.4698</v>
      </c>
      <c r="H41">
        <v>197.9</v>
      </c>
      <c r="I41">
        <v>10001</v>
      </c>
      <c r="J41">
        <v>30000</v>
      </c>
    </row>
    <row r="42" spans="2:10" x14ac:dyDescent="0.25">
      <c r="B42" t="s">
        <v>741</v>
      </c>
      <c r="C42">
        <v>-9.7239999999999993E-2</v>
      </c>
      <c r="D42">
        <v>0.41249999999999998</v>
      </c>
      <c r="E42">
        <v>7.6610000000000003E-3</v>
      </c>
      <c r="F42">
        <v>-0.91320000000000001</v>
      </c>
      <c r="G42">
        <v>-9.6269999999999994E-2</v>
      </c>
      <c r="H42">
        <v>0.73340000000000005</v>
      </c>
      <c r="I42">
        <v>10001</v>
      </c>
      <c r="J42">
        <v>30000</v>
      </c>
    </row>
    <row r="43" spans="2:10" x14ac:dyDescent="0.25">
      <c r="B43" t="s">
        <v>742</v>
      </c>
      <c r="C43">
        <v>-0.45810000000000001</v>
      </c>
      <c r="D43">
        <v>99.81</v>
      </c>
      <c r="E43">
        <v>0.54449999999999998</v>
      </c>
      <c r="F43">
        <v>-197.6</v>
      </c>
      <c r="G43">
        <v>-0.53110000000000002</v>
      </c>
      <c r="H43">
        <v>195.5</v>
      </c>
      <c r="I43">
        <v>10001</v>
      </c>
      <c r="J43">
        <v>30000</v>
      </c>
    </row>
    <row r="44" spans="2:10" x14ac:dyDescent="0.25">
      <c r="B44" t="s">
        <v>743</v>
      </c>
      <c r="C44">
        <v>-0.76390000000000002</v>
      </c>
      <c r="D44">
        <v>0.74460000000000004</v>
      </c>
      <c r="E44">
        <v>1.8970000000000001E-2</v>
      </c>
      <c r="F44">
        <v>-2.258</v>
      </c>
      <c r="G44">
        <v>-0.75080000000000002</v>
      </c>
      <c r="H44">
        <v>0.69530000000000003</v>
      </c>
      <c r="I44">
        <v>10001</v>
      </c>
      <c r="J44">
        <v>30000</v>
      </c>
    </row>
    <row r="45" spans="2:10" x14ac:dyDescent="0.25">
      <c r="B45" t="s">
        <v>744</v>
      </c>
      <c r="C45">
        <v>-0.4123</v>
      </c>
      <c r="D45">
        <v>0.628</v>
      </c>
      <c r="E45">
        <v>1.355E-2</v>
      </c>
      <c r="F45">
        <v>-1.6180000000000001</v>
      </c>
      <c r="G45">
        <v>-0.41880000000000001</v>
      </c>
      <c r="H45">
        <v>0.76959999999999995</v>
      </c>
      <c r="I45">
        <v>10001</v>
      </c>
      <c r="J45">
        <v>30000</v>
      </c>
    </row>
    <row r="46" spans="2:10" x14ac:dyDescent="0.25">
      <c r="B46" t="s">
        <v>745</v>
      </c>
      <c r="C46">
        <v>0.28189999999999998</v>
      </c>
      <c r="D46">
        <v>99.86</v>
      </c>
      <c r="E46">
        <v>0.57940000000000003</v>
      </c>
      <c r="F46">
        <v>-195.7</v>
      </c>
      <c r="G46">
        <v>0.55820000000000003</v>
      </c>
      <c r="H46">
        <v>194.4</v>
      </c>
      <c r="I46">
        <v>10001</v>
      </c>
      <c r="J46">
        <v>30000</v>
      </c>
    </row>
    <row r="47" spans="2:10" x14ac:dyDescent="0.25">
      <c r="B47" t="s">
        <v>746</v>
      </c>
      <c r="C47">
        <v>0.4592</v>
      </c>
      <c r="D47">
        <v>100.2</v>
      </c>
      <c r="E47">
        <v>0.57989999999999997</v>
      </c>
      <c r="F47">
        <v>-194.7</v>
      </c>
      <c r="G47">
        <v>0.9103</v>
      </c>
      <c r="H47">
        <v>197.5</v>
      </c>
      <c r="I47">
        <v>10001</v>
      </c>
      <c r="J47">
        <v>30000</v>
      </c>
    </row>
    <row r="48" spans="2:10" x14ac:dyDescent="0.25">
      <c r="B48" t="s">
        <v>747</v>
      </c>
      <c r="C48">
        <v>-0.71209999999999996</v>
      </c>
      <c r="D48">
        <v>100</v>
      </c>
      <c r="E48">
        <v>0.58189999999999997</v>
      </c>
      <c r="F48">
        <v>-195.8</v>
      </c>
      <c r="G48">
        <v>-0.53779999999999994</v>
      </c>
      <c r="H48">
        <v>194.8</v>
      </c>
      <c r="I48">
        <v>10001</v>
      </c>
      <c r="J48">
        <v>30000</v>
      </c>
    </row>
    <row r="49" spans="2:10" x14ac:dyDescent="0.25">
      <c r="B49" t="s">
        <v>748</v>
      </c>
      <c r="C49">
        <v>0.56979999999999997</v>
      </c>
      <c r="D49">
        <v>0.59860000000000002</v>
      </c>
      <c r="E49">
        <v>1.239E-2</v>
      </c>
      <c r="F49">
        <v>-0.57030000000000003</v>
      </c>
      <c r="G49">
        <v>0.56779999999999997</v>
      </c>
      <c r="H49">
        <v>1.756</v>
      </c>
      <c r="I49">
        <v>10001</v>
      </c>
      <c r="J49">
        <v>30000</v>
      </c>
    </row>
    <row r="50" spans="2:10" x14ac:dyDescent="0.25">
      <c r="B50" t="s">
        <v>749</v>
      </c>
      <c r="C50">
        <v>-0.87980000000000003</v>
      </c>
      <c r="D50">
        <v>100.6</v>
      </c>
      <c r="E50">
        <v>0.60980000000000001</v>
      </c>
      <c r="F50">
        <v>-198.6</v>
      </c>
      <c r="G50">
        <v>-0.50829999999999997</v>
      </c>
      <c r="H50">
        <v>195</v>
      </c>
      <c r="I50">
        <v>10001</v>
      </c>
      <c r="J50">
        <v>30000</v>
      </c>
    </row>
    <row r="51" spans="2:10" x14ac:dyDescent="0.25">
      <c r="B51" t="s">
        <v>750</v>
      </c>
      <c r="C51">
        <v>-0.51659999999999995</v>
      </c>
      <c r="D51">
        <v>100</v>
      </c>
      <c r="E51">
        <v>0.55940000000000001</v>
      </c>
      <c r="F51">
        <v>-196.5</v>
      </c>
      <c r="G51">
        <v>-0.71740000000000004</v>
      </c>
      <c r="H51">
        <v>195.3</v>
      </c>
      <c r="I51">
        <v>10001</v>
      </c>
      <c r="J51">
        <v>30000</v>
      </c>
    </row>
    <row r="52" spans="2:10" x14ac:dyDescent="0.25">
      <c r="B52" t="s">
        <v>751</v>
      </c>
      <c r="C52">
        <v>0.49680000000000002</v>
      </c>
      <c r="D52">
        <v>99.38</v>
      </c>
      <c r="E52">
        <v>0.62270000000000003</v>
      </c>
      <c r="F52">
        <v>-193.7</v>
      </c>
      <c r="G52">
        <v>1.1339999999999999</v>
      </c>
      <c r="H52">
        <v>194.4</v>
      </c>
      <c r="I52">
        <v>10001</v>
      </c>
      <c r="J52">
        <v>30000</v>
      </c>
    </row>
    <row r="53" spans="2:10" x14ac:dyDescent="0.25">
      <c r="B53" t="s">
        <v>752</v>
      </c>
      <c r="C53">
        <v>0.3165</v>
      </c>
      <c r="D53">
        <v>99.93</v>
      </c>
      <c r="E53">
        <v>0.56279999999999997</v>
      </c>
      <c r="F53">
        <v>-194.1</v>
      </c>
      <c r="G53">
        <v>-6.4679999999999998E-3</v>
      </c>
      <c r="H53">
        <v>196.3</v>
      </c>
      <c r="I53">
        <v>10001</v>
      </c>
      <c r="J53">
        <v>30000</v>
      </c>
    </row>
    <row r="54" spans="2:10" x14ac:dyDescent="0.25">
      <c r="B54" t="s">
        <v>753</v>
      </c>
      <c r="C54">
        <v>0.20680000000000001</v>
      </c>
      <c r="D54">
        <v>100.6</v>
      </c>
      <c r="E54">
        <v>0.59309999999999996</v>
      </c>
      <c r="F54">
        <v>-196.8</v>
      </c>
      <c r="G54">
        <v>4.9660000000000003E-2</v>
      </c>
      <c r="H54">
        <v>197.4</v>
      </c>
      <c r="I54">
        <v>10001</v>
      </c>
      <c r="J54">
        <v>30000</v>
      </c>
    </row>
    <row r="55" spans="2:10" x14ac:dyDescent="0.25">
      <c r="B55" t="s">
        <v>754</v>
      </c>
      <c r="C55">
        <v>-0.34599999999999997</v>
      </c>
      <c r="D55">
        <v>100.4</v>
      </c>
      <c r="E55">
        <v>0.57010000000000005</v>
      </c>
      <c r="F55">
        <v>-197</v>
      </c>
      <c r="G55">
        <v>-0.4425</v>
      </c>
      <c r="H55">
        <v>197.4</v>
      </c>
      <c r="I55">
        <v>10001</v>
      </c>
      <c r="J55">
        <v>30000</v>
      </c>
    </row>
    <row r="56" spans="2:10" x14ac:dyDescent="0.25">
      <c r="B56" t="s">
        <v>755</v>
      </c>
      <c r="C56">
        <v>-0.83650000000000002</v>
      </c>
      <c r="D56">
        <v>99.71</v>
      </c>
      <c r="E56">
        <v>0.5605</v>
      </c>
      <c r="F56">
        <v>-197.5</v>
      </c>
      <c r="G56">
        <v>1.21E-2</v>
      </c>
      <c r="H56">
        <v>193.5</v>
      </c>
      <c r="I56">
        <v>10001</v>
      </c>
      <c r="J56">
        <v>30000</v>
      </c>
    </row>
    <row r="57" spans="2:10" x14ac:dyDescent="0.25">
      <c r="B57" t="s">
        <v>756</v>
      </c>
      <c r="C57">
        <v>-3.006E-2</v>
      </c>
      <c r="D57">
        <v>99.85</v>
      </c>
      <c r="E57">
        <v>0.61760000000000004</v>
      </c>
      <c r="F57">
        <v>-196.6</v>
      </c>
      <c r="G57">
        <v>5.2470000000000003E-2</v>
      </c>
      <c r="H57">
        <v>194.3</v>
      </c>
      <c r="I57">
        <v>10001</v>
      </c>
      <c r="J57">
        <v>30000</v>
      </c>
    </row>
    <row r="58" spans="2:10" x14ac:dyDescent="0.25">
      <c r="B58" t="s">
        <v>757</v>
      </c>
      <c r="C58">
        <v>0.1321</v>
      </c>
      <c r="D58">
        <v>99.97</v>
      </c>
      <c r="E58">
        <v>0.57530000000000003</v>
      </c>
      <c r="F58">
        <v>-195</v>
      </c>
      <c r="G58">
        <v>-0.30990000000000001</v>
      </c>
      <c r="H58">
        <v>197.9</v>
      </c>
      <c r="I58">
        <v>10001</v>
      </c>
      <c r="J58">
        <v>30000</v>
      </c>
    </row>
    <row r="59" spans="2:10" x14ac:dyDescent="0.25">
      <c r="B59" t="s">
        <v>758</v>
      </c>
      <c r="C59">
        <v>-0.24840000000000001</v>
      </c>
      <c r="D59">
        <v>99.72</v>
      </c>
      <c r="E59">
        <v>0.59250000000000003</v>
      </c>
      <c r="F59">
        <v>-193.9</v>
      </c>
      <c r="G59">
        <v>-0.32029999999999997</v>
      </c>
      <c r="H59">
        <v>197.4</v>
      </c>
      <c r="I59">
        <v>10001</v>
      </c>
      <c r="J59">
        <v>30000</v>
      </c>
    </row>
    <row r="60" spans="2:10" x14ac:dyDescent="0.25">
      <c r="B60" t="s">
        <v>759</v>
      </c>
      <c r="C60">
        <v>1.7390000000000001</v>
      </c>
      <c r="D60">
        <v>0.73419999999999996</v>
      </c>
      <c r="E60">
        <v>2.359E-2</v>
      </c>
      <c r="F60">
        <v>0.3523</v>
      </c>
      <c r="G60">
        <v>1.724</v>
      </c>
      <c r="H60">
        <v>3.17</v>
      </c>
      <c r="I60">
        <v>10001</v>
      </c>
      <c r="J60">
        <v>30000</v>
      </c>
    </row>
    <row r="61" spans="2:10" x14ac:dyDescent="0.25">
      <c r="B61" t="s">
        <v>760</v>
      </c>
      <c r="C61">
        <v>-0.1956</v>
      </c>
      <c r="D61">
        <v>99.93</v>
      </c>
      <c r="E61">
        <v>0.57650000000000001</v>
      </c>
      <c r="F61">
        <v>-197</v>
      </c>
      <c r="G61">
        <v>0.12989999999999999</v>
      </c>
      <c r="H61">
        <v>195.1</v>
      </c>
      <c r="I61">
        <v>10001</v>
      </c>
      <c r="J61">
        <v>30000</v>
      </c>
    </row>
    <row r="62" spans="2:10" x14ac:dyDescent="0.25">
      <c r="B62" t="s">
        <v>761</v>
      </c>
      <c r="C62">
        <v>-0.1258</v>
      </c>
      <c r="D62">
        <v>100.6</v>
      </c>
      <c r="E62">
        <v>0.55500000000000005</v>
      </c>
      <c r="F62">
        <v>-197</v>
      </c>
      <c r="G62">
        <v>-0.53469999999999995</v>
      </c>
      <c r="H62">
        <v>199.1</v>
      </c>
      <c r="I62">
        <v>10001</v>
      </c>
      <c r="J62">
        <v>30000</v>
      </c>
    </row>
    <row r="63" spans="2:10" x14ac:dyDescent="0.25">
      <c r="B63" t="s">
        <v>485</v>
      </c>
      <c r="C63">
        <v>0.63119999999999998</v>
      </c>
      <c r="D63">
        <v>0.89439999999999997</v>
      </c>
      <c r="E63">
        <v>7.26E-3</v>
      </c>
      <c r="F63" s="13">
        <v>6.759E-4</v>
      </c>
      <c r="G63">
        <v>0.29330000000000001</v>
      </c>
      <c r="H63">
        <v>3.1259999999999999</v>
      </c>
      <c r="I63">
        <v>10001</v>
      </c>
      <c r="J63">
        <v>30000</v>
      </c>
    </row>
    <row r="64" spans="2:10" x14ac:dyDescent="0.25">
      <c r="B64" t="s">
        <v>486</v>
      </c>
      <c r="C64">
        <v>0.88500000000000001</v>
      </c>
      <c r="D64">
        <v>1.131</v>
      </c>
      <c r="E64">
        <v>1.489E-2</v>
      </c>
      <c r="F64">
        <v>1.0889999999999999E-3</v>
      </c>
      <c r="G64">
        <v>0.4536</v>
      </c>
      <c r="H64">
        <v>4.0579999999999998</v>
      </c>
      <c r="I64">
        <v>10001</v>
      </c>
      <c r="J64">
        <v>30000</v>
      </c>
    </row>
    <row r="65" spans="2:10" x14ac:dyDescent="0.25">
      <c r="B65" t="s">
        <v>487</v>
      </c>
      <c r="C65">
        <v>0.98680000000000001</v>
      </c>
      <c r="D65">
        <v>1.361</v>
      </c>
      <c r="E65">
        <v>1.3610000000000001E-2</v>
      </c>
      <c r="F65" s="13">
        <v>8.92E-4</v>
      </c>
      <c r="G65">
        <v>0.4541</v>
      </c>
      <c r="H65">
        <v>4.8550000000000004</v>
      </c>
      <c r="I65">
        <v>10001</v>
      </c>
      <c r="J65">
        <v>30000</v>
      </c>
    </row>
    <row r="66" spans="2:10" x14ac:dyDescent="0.25">
      <c r="B66" t="s">
        <v>488</v>
      </c>
      <c r="C66">
        <v>0.93769999999999998</v>
      </c>
      <c r="D66">
        <v>1.3260000000000001</v>
      </c>
      <c r="E66">
        <v>1.2290000000000001E-2</v>
      </c>
      <c r="F66" s="13">
        <v>8.897E-4</v>
      </c>
      <c r="G66">
        <v>0.42459999999999998</v>
      </c>
      <c r="H66">
        <v>4.7450000000000001</v>
      </c>
      <c r="I66">
        <v>10001</v>
      </c>
      <c r="J66">
        <v>30000</v>
      </c>
    </row>
    <row r="67" spans="2:10" x14ac:dyDescent="0.25">
      <c r="B67" t="s">
        <v>489</v>
      </c>
      <c r="C67">
        <v>0.88160000000000005</v>
      </c>
      <c r="D67">
        <v>1.25</v>
      </c>
      <c r="E67">
        <v>1.051E-2</v>
      </c>
      <c r="F67" s="13">
        <v>8.5740000000000002E-4</v>
      </c>
      <c r="G67">
        <v>0.3962</v>
      </c>
      <c r="H67">
        <v>4.4530000000000003</v>
      </c>
      <c r="I67">
        <v>10001</v>
      </c>
      <c r="J67">
        <v>30000</v>
      </c>
    </row>
    <row r="68" spans="2:10" x14ac:dyDescent="0.25">
      <c r="B68" t="s">
        <v>490</v>
      </c>
      <c r="C68">
        <v>0.85229999999999995</v>
      </c>
      <c r="D68">
        <v>1.1639999999999999</v>
      </c>
      <c r="E68">
        <v>1.6500000000000001E-2</v>
      </c>
      <c r="F68" s="13">
        <v>8.2169999999999997E-4</v>
      </c>
      <c r="G68">
        <v>0.4012</v>
      </c>
      <c r="H68">
        <v>4.1520000000000001</v>
      </c>
      <c r="I68">
        <v>10001</v>
      </c>
      <c r="J68">
        <v>30000</v>
      </c>
    </row>
    <row r="69" spans="2:10" x14ac:dyDescent="0.25">
      <c r="B69" t="s">
        <v>491</v>
      </c>
      <c r="C69">
        <v>0.92490000000000006</v>
      </c>
      <c r="D69">
        <v>1.304</v>
      </c>
      <c r="E69">
        <v>1.025E-2</v>
      </c>
      <c r="F69" s="13">
        <v>9.1140000000000004E-4</v>
      </c>
      <c r="G69">
        <v>0.42599999999999999</v>
      </c>
      <c r="H69">
        <v>4.593</v>
      </c>
      <c r="I69">
        <v>10001</v>
      </c>
      <c r="J69">
        <v>30000</v>
      </c>
    </row>
    <row r="70" spans="2:10" x14ac:dyDescent="0.25">
      <c r="B70" t="s">
        <v>492</v>
      </c>
      <c r="C70">
        <v>0.7641</v>
      </c>
      <c r="D70">
        <v>1.093</v>
      </c>
      <c r="E70">
        <v>1.438E-2</v>
      </c>
      <c r="F70" s="13">
        <v>7.5779999999999999E-4</v>
      </c>
      <c r="G70">
        <v>0.34539999999999998</v>
      </c>
      <c r="H70">
        <v>3.8740000000000001</v>
      </c>
      <c r="I70">
        <v>10001</v>
      </c>
      <c r="J70">
        <v>30000</v>
      </c>
    </row>
    <row r="71" spans="2:10" x14ac:dyDescent="0.25">
      <c r="B71" t="s">
        <v>493</v>
      </c>
      <c r="C71">
        <v>1.141</v>
      </c>
      <c r="D71">
        <v>1.5649999999999999</v>
      </c>
      <c r="E71">
        <v>4.0629999999999999E-2</v>
      </c>
      <c r="F71">
        <v>1.178E-3</v>
      </c>
      <c r="G71">
        <v>0.54430000000000001</v>
      </c>
      <c r="H71">
        <v>5.6109999999999998</v>
      </c>
      <c r="I71">
        <v>10001</v>
      </c>
      <c r="J71">
        <v>30000</v>
      </c>
    </row>
    <row r="72" spans="2:10" x14ac:dyDescent="0.25">
      <c r="B72" t="s">
        <v>494</v>
      </c>
      <c r="C72">
        <v>1.0489999999999999</v>
      </c>
      <c r="D72">
        <v>1.484</v>
      </c>
      <c r="E72">
        <v>1.5779999999999999E-2</v>
      </c>
      <c r="F72">
        <v>1.0690000000000001E-3</v>
      </c>
      <c r="G72">
        <v>0.48039999999999999</v>
      </c>
      <c r="H72">
        <v>5.2759999999999998</v>
      </c>
      <c r="I72">
        <v>10001</v>
      </c>
      <c r="J72">
        <v>30000</v>
      </c>
    </row>
    <row r="73" spans="2:10" x14ac:dyDescent="0.25">
      <c r="B73" t="s">
        <v>495</v>
      </c>
      <c r="C73">
        <v>1.032</v>
      </c>
      <c r="D73">
        <v>1.4450000000000001</v>
      </c>
      <c r="E73">
        <v>1.6830000000000001E-2</v>
      </c>
      <c r="F73">
        <v>1.0269999999999999E-3</v>
      </c>
      <c r="G73">
        <v>0.46960000000000002</v>
      </c>
      <c r="H73">
        <v>5.1420000000000003</v>
      </c>
      <c r="I73">
        <v>10001</v>
      </c>
      <c r="J73">
        <v>30000</v>
      </c>
    </row>
    <row r="74" spans="2:10" x14ac:dyDescent="0.25">
      <c r="B74" t="s">
        <v>496</v>
      </c>
      <c r="C74">
        <v>1.02</v>
      </c>
      <c r="D74">
        <v>1.4319999999999999</v>
      </c>
      <c r="E74">
        <v>1.8370000000000001E-2</v>
      </c>
      <c r="F74">
        <v>1.026E-3</v>
      </c>
      <c r="G74">
        <v>0.46350000000000002</v>
      </c>
      <c r="H74">
        <v>5.069</v>
      </c>
      <c r="I74">
        <v>10001</v>
      </c>
      <c r="J74">
        <v>30000</v>
      </c>
    </row>
    <row r="75" spans="2:10" x14ac:dyDescent="0.25">
      <c r="B75" t="s">
        <v>497</v>
      </c>
      <c r="C75">
        <v>1.014</v>
      </c>
      <c r="D75">
        <v>1.407</v>
      </c>
      <c r="E75">
        <v>1.341E-2</v>
      </c>
      <c r="F75">
        <v>1.0349999999999999E-3</v>
      </c>
      <c r="G75">
        <v>0.46800000000000003</v>
      </c>
      <c r="H75">
        <v>5.0119999999999996</v>
      </c>
      <c r="I75">
        <v>10001</v>
      </c>
      <c r="J75">
        <v>30000</v>
      </c>
    </row>
    <row r="76" spans="2:10" x14ac:dyDescent="0.25">
      <c r="B76" t="s">
        <v>498</v>
      </c>
      <c r="C76">
        <v>1.016</v>
      </c>
      <c r="D76">
        <v>1.395</v>
      </c>
      <c r="E76">
        <v>1.9019999999999999E-2</v>
      </c>
      <c r="F76">
        <v>1.0319999999999999E-3</v>
      </c>
      <c r="G76">
        <v>0.47670000000000001</v>
      </c>
      <c r="H76">
        <v>4.992</v>
      </c>
      <c r="I76">
        <v>10001</v>
      </c>
      <c r="J76">
        <v>30000</v>
      </c>
    </row>
    <row r="77" spans="2:10" x14ac:dyDescent="0.25">
      <c r="B77" t="s">
        <v>499</v>
      </c>
      <c r="C77">
        <v>1.0209999999999999</v>
      </c>
      <c r="D77">
        <v>1.409</v>
      </c>
      <c r="E77">
        <v>1.6289999999999999E-2</v>
      </c>
      <c r="F77" s="13">
        <v>9.8729999999999998E-4</v>
      </c>
      <c r="G77">
        <v>0.4723</v>
      </c>
      <c r="H77">
        <v>5.0529999999999999</v>
      </c>
      <c r="I77">
        <v>10001</v>
      </c>
      <c r="J77">
        <v>30000</v>
      </c>
    </row>
    <row r="78" spans="2:10" x14ac:dyDescent="0.25">
      <c r="B78" t="s">
        <v>500</v>
      </c>
      <c r="C78">
        <v>1.022</v>
      </c>
      <c r="D78">
        <v>1.4339999999999999</v>
      </c>
      <c r="E78">
        <v>1.8020000000000001E-2</v>
      </c>
      <c r="F78">
        <v>1.0150000000000001E-3</v>
      </c>
      <c r="G78">
        <v>0.46800000000000003</v>
      </c>
      <c r="H78">
        <v>5.2</v>
      </c>
      <c r="I78">
        <v>10001</v>
      </c>
      <c r="J78">
        <v>30000</v>
      </c>
    </row>
    <row r="79" spans="2:10" x14ac:dyDescent="0.25">
      <c r="B79" t="s">
        <v>501</v>
      </c>
      <c r="C79">
        <v>0.96399999999999997</v>
      </c>
      <c r="D79">
        <v>1.2490000000000001</v>
      </c>
      <c r="E79">
        <v>2.443E-2</v>
      </c>
      <c r="F79">
        <v>1.238E-3</v>
      </c>
      <c r="G79">
        <v>0.49199999999999999</v>
      </c>
      <c r="H79">
        <v>4.4550000000000001</v>
      </c>
      <c r="I79">
        <v>10001</v>
      </c>
      <c r="J79">
        <v>30000</v>
      </c>
    </row>
    <row r="80" spans="2:10" x14ac:dyDescent="0.25">
      <c r="B80" t="s">
        <v>502</v>
      </c>
      <c r="C80">
        <v>0.89259999999999995</v>
      </c>
      <c r="D80">
        <v>1.258</v>
      </c>
      <c r="E80">
        <v>1.167E-2</v>
      </c>
      <c r="F80" s="13">
        <v>9.2330000000000005E-4</v>
      </c>
      <c r="G80">
        <v>0.40289999999999998</v>
      </c>
      <c r="H80">
        <v>4.5209999999999999</v>
      </c>
      <c r="I80">
        <v>10001</v>
      </c>
      <c r="J80">
        <v>30000</v>
      </c>
    </row>
    <row r="81" spans="2:10" x14ac:dyDescent="0.25">
      <c r="B81" t="s">
        <v>503</v>
      </c>
      <c r="C81">
        <v>0.9002</v>
      </c>
      <c r="D81">
        <v>1.272</v>
      </c>
      <c r="E81">
        <v>1.358E-2</v>
      </c>
      <c r="F81" s="13">
        <v>9.4879999999999997E-4</v>
      </c>
      <c r="G81">
        <v>0.40989999999999999</v>
      </c>
      <c r="H81">
        <v>4.55</v>
      </c>
      <c r="I81">
        <v>10001</v>
      </c>
      <c r="J81">
        <v>30000</v>
      </c>
    </row>
    <row r="82" spans="2:10" x14ac:dyDescent="0.25">
      <c r="B82" t="s">
        <v>504</v>
      </c>
      <c r="C82">
        <v>0.97199999999999998</v>
      </c>
      <c r="D82">
        <v>1.3220000000000001</v>
      </c>
      <c r="E82">
        <v>1.295E-2</v>
      </c>
      <c r="F82" s="13">
        <v>9.9489999999999995E-4</v>
      </c>
      <c r="G82">
        <v>0.46650000000000003</v>
      </c>
      <c r="H82">
        <v>4.6580000000000004</v>
      </c>
      <c r="I82">
        <v>10001</v>
      </c>
      <c r="J82">
        <v>30000</v>
      </c>
    </row>
    <row r="83" spans="2:10" x14ac:dyDescent="0.25">
      <c r="B83" t="s">
        <v>505</v>
      </c>
      <c r="C83">
        <v>0.63009999999999999</v>
      </c>
      <c r="D83">
        <v>0.87539999999999996</v>
      </c>
      <c r="E83">
        <v>7.7669999999999996E-3</v>
      </c>
      <c r="F83" s="13">
        <v>6.6060000000000001E-4</v>
      </c>
      <c r="G83">
        <v>0.29289999999999999</v>
      </c>
      <c r="H83">
        <v>3.0950000000000002</v>
      </c>
      <c r="I83">
        <v>10001</v>
      </c>
      <c r="J83">
        <v>30000</v>
      </c>
    </row>
    <row r="84" spans="2:10" x14ac:dyDescent="0.25">
      <c r="B84" t="s">
        <v>506</v>
      </c>
      <c r="C84">
        <v>0.69689999999999996</v>
      </c>
      <c r="D84">
        <v>0.99639999999999995</v>
      </c>
      <c r="E84">
        <v>6.9369999999999996E-3</v>
      </c>
      <c r="F84" s="13">
        <v>5.8580000000000004E-4</v>
      </c>
      <c r="G84">
        <v>0.31669999999999998</v>
      </c>
      <c r="H84">
        <v>3.532</v>
      </c>
      <c r="I84">
        <v>10001</v>
      </c>
      <c r="J84">
        <v>30000</v>
      </c>
    </row>
    <row r="85" spans="2:10" x14ac:dyDescent="0.25">
      <c r="B85" t="s">
        <v>507</v>
      </c>
      <c r="C85">
        <v>0.68579999999999997</v>
      </c>
      <c r="D85">
        <v>0.94910000000000005</v>
      </c>
      <c r="E85">
        <v>1.0319999999999999E-2</v>
      </c>
      <c r="F85" s="13">
        <v>7.1770000000000004E-4</v>
      </c>
      <c r="G85">
        <v>0.31819999999999998</v>
      </c>
      <c r="H85">
        <v>3.355</v>
      </c>
      <c r="I85">
        <v>10001</v>
      </c>
      <c r="J85">
        <v>30000</v>
      </c>
    </row>
    <row r="86" spans="2:10" x14ac:dyDescent="0.25">
      <c r="B86" t="s">
        <v>508</v>
      </c>
      <c r="C86">
        <v>1.006</v>
      </c>
      <c r="D86">
        <v>1.3680000000000001</v>
      </c>
      <c r="E86">
        <v>9.077E-3</v>
      </c>
      <c r="F86">
        <v>1.129E-3</v>
      </c>
      <c r="G86">
        <v>0.47789999999999999</v>
      </c>
      <c r="H86">
        <v>4.923</v>
      </c>
      <c r="I86">
        <v>10001</v>
      </c>
      <c r="J86">
        <v>30000</v>
      </c>
    </row>
    <row r="87" spans="2:10" x14ac:dyDescent="0.25">
      <c r="B87" t="s">
        <v>509</v>
      </c>
      <c r="C87">
        <v>0.90059999999999996</v>
      </c>
      <c r="D87">
        <v>1.276</v>
      </c>
      <c r="E87">
        <v>1.7479999999999999E-2</v>
      </c>
      <c r="F87" s="13">
        <v>9.3740000000000002E-4</v>
      </c>
      <c r="G87">
        <v>0.40610000000000002</v>
      </c>
      <c r="H87">
        <v>4.508</v>
      </c>
      <c r="I87">
        <v>10001</v>
      </c>
      <c r="J87">
        <v>30000</v>
      </c>
    </row>
    <row r="88" spans="2:10" x14ac:dyDescent="0.25">
      <c r="B88" t="s">
        <v>510</v>
      </c>
      <c r="C88">
        <v>0.89790000000000003</v>
      </c>
      <c r="D88">
        <v>1.286</v>
      </c>
      <c r="E88">
        <v>1.5820000000000001E-2</v>
      </c>
      <c r="F88" s="13">
        <v>8.365E-4</v>
      </c>
      <c r="G88">
        <v>0.40610000000000002</v>
      </c>
      <c r="H88">
        <v>4.524</v>
      </c>
      <c r="I88">
        <v>10001</v>
      </c>
      <c r="J88">
        <v>30000</v>
      </c>
    </row>
    <row r="89" spans="2:10" x14ac:dyDescent="0.25">
      <c r="B89" t="s">
        <v>511</v>
      </c>
      <c r="C89">
        <v>1.038</v>
      </c>
      <c r="D89">
        <v>1.4490000000000001</v>
      </c>
      <c r="E89">
        <v>2.3050000000000001E-2</v>
      </c>
      <c r="F89">
        <v>1.029E-3</v>
      </c>
      <c r="G89">
        <v>0.47639999999999999</v>
      </c>
      <c r="H89">
        <v>5.1239999999999997</v>
      </c>
      <c r="I89">
        <v>10001</v>
      </c>
      <c r="J89">
        <v>30000</v>
      </c>
    </row>
    <row r="90" spans="2:10" x14ac:dyDescent="0.25">
      <c r="B90" t="s">
        <v>512</v>
      </c>
      <c r="C90">
        <v>1.036</v>
      </c>
      <c r="D90">
        <v>1.464</v>
      </c>
      <c r="E90">
        <v>1.32E-2</v>
      </c>
      <c r="F90" s="13">
        <v>8.899E-4</v>
      </c>
      <c r="G90">
        <v>0.46</v>
      </c>
      <c r="H90">
        <v>5.1509999999999998</v>
      </c>
      <c r="I90">
        <v>10001</v>
      </c>
      <c r="J90">
        <v>30000</v>
      </c>
    </row>
    <row r="91" spans="2:10" x14ac:dyDescent="0.25">
      <c r="B91" t="s">
        <v>513</v>
      </c>
      <c r="C91">
        <v>0.95030000000000003</v>
      </c>
      <c r="D91">
        <v>1.2649999999999999</v>
      </c>
      <c r="E91">
        <v>1.8579999999999999E-2</v>
      </c>
      <c r="F91">
        <v>1.0549999999999999E-3</v>
      </c>
      <c r="G91">
        <v>0.4597</v>
      </c>
      <c r="H91">
        <v>4.5510000000000002</v>
      </c>
      <c r="I91">
        <v>10001</v>
      </c>
      <c r="J91">
        <v>30000</v>
      </c>
    </row>
    <row r="92" spans="2:10" x14ac:dyDescent="0.25">
      <c r="B92" t="s">
        <v>514</v>
      </c>
      <c r="C92">
        <v>0.85770000000000002</v>
      </c>
      <c r="D92">
        <v>1.2090000000000001</v>
      </c>
      <c r="E92">
        <v>1.2189999999999999E-2</v>
      </c>
      <c r="F92" s="13">
        <v>8.2240000000000004E-4</v>
      </c>
      <c r="G92">
        <v>0.39379999999999998</v>
      </c>
      <c r="H92">
        <v>4.2830000000000004</v>
      </c>
      <c r="I92">
        <v>10001</v>
      </c>
      <c r="J92">
        <v>30000</v>
      </c>
    </row>
    <row r="93" spans="2:10" x14ac:dyDescent="0.25">
      <c r="B93" t="s">
        <v>515</v>
      </c>
      <c r="C93">
        <v>0.82850000000000001</v>
      </c>
      <c r="D93">
        <v>1.1419999999999999</v>
      </c>
      <c r="E93">
        <v>1.6709999999999999E-2</v>
      </c>
      <c r="F93" s="13">
        <v>8.097E-4</v>
      </c>
      <c r="G93">
        <v>0.38729999999999998</v>
      </c>
      <c r="H93">
        <v>4.0229999999999997</v>
      </c>
      <c r="I93">
        <v>10001</v>
      </c>
      <c r="J93">
        <v>30000</v>
      </c>
    </row>
    <row r="94" spans="2:10" x14ac:dyDescent="0.25">
      <c r="B94" t="s">
        <v>516</v>
      </c>
      <c r="C94">
        <v>0.83089999999999997</v>
      </c>
      <c r="D94">
        <v>1.1679999999999999</v>
      </c>
      <c r="E94">
        <v>1.0019999999999999E-2</v>
      </c>
      <c r="F94" s="13">
        <v>7.1880000000000002E-4</v>
      </c>
      <c r="G94">
        <v>0.37859999999999999</v>
      </c>
      <c r="H94">
        <v>4.2039999999999997</v>
      </c>
      <c r="I94">
        <v>10001</v>
      </c>
      <c r="J94">
        <v>30000</v>
      </c>
    </row>
    <row r="95" spans="2:10" x14ac:dyDescent="0.25">
      <c r="B95" t="s">
        <v>517</v>
      </c>
      <c r="C95">
        <v>1.0249999999999999</v>
      </c>
      <c r="D95">
        <v>1.4330000000000001</v>
      </c>
      <c r="E95">
        <v>1.6119999999999999E-2</v>
      </c>
      <c r="F95">
        <v>1.0150000000000001E-3</v>
      </c>
      <c r="G95">
        <v>0.46820000000000001</v>
      </c>
      <c r="H95">
        <v>5.1890000000000001</v>
      </c>
      <c r="I95">
        <v>10001</v>
      </c>
      <c r="J95">
        <v>30000</v>
      </c>
    </row>
    <row r="96" spans="2:10" x14ac:dyDescent="0.25">
      <c r="B96" t="s">
        <v>518</v>
      </c>
      <c r="C96">
        <v>1.0109999999999999</v>
      </c>
      <c r="D96">
        <v>1.407</v>
      </c>
      <c r="E96">
        <v>1.8120000000000001E-2</v>
      </c>
      <c r="F96" s="13">
        <v>9.745E-4</v>
      </c>
      <c r="G96">
        <v>0.4652</v>
      </c>
      <c r="H96">
        <v>5.0330000000000004</v>
      </c>
      <c r="I96">
        <v>10001</v>
      </c>
      <c r="J96">
        <v>30000</v>
      </c>
    </row>
    <row r="97" spans="1:10" x14ac:dyDescent="0.25">
      <c r="B97" t="s">
        <v>519</v>
      </c>
      <c r="C97">
        <v>0.99229999999999996</v>
      </c>
      <c r="D97">
        <v>1.3979999999999999</v>
      </c>
      <c r="E97">
        <v>1.762E-2</v>
      </c>
      <c r="F97" s="13">
        <v>9.4039999999999998E-4</v>
      </c>
      <c r="G97">
        <v>0.45529999999999998</v>
      </c>
      <c r="H97">
        <v>4.9770000000000003</v>
      </c>
      <c r="I97">
        <v>10001</v>
      </c>
      <c r="J97">
        <v>30000</v>
      </c>
    </row>
    <row r="98" spans="1:10" x14ac:dyDescent="0.25">
      <c r="B98" t="s">
        <v>520</v>
      </c>
      <c r="C98">
        <v>1.0409999999999999</v>
      </c>
      <c r="D98">
        <v>1.4630000000000001</v>
      </c>
      <c r="E98">
        <v>2.8139999999999998E-2</v>
      </c>
      <c r="F98">
        <v>1.065E-3</v>
      </c>
      <c r="G98">
        <v>0.47110000000000002</v>
      </c>
      <c r="H98">
        <v>5.2389999999999999</v>
      </c>
      <c r="I98">
        <v>10001</v>
      </c>
      <c r="J98">
        <v>30000</v>
      </c>
    </row>
    <row r="99" spans="1:10" x14ac:dyDescent="0.25">
      <c r="B99" t="s">
        <v>521</v>
      </c>
      <c r="C99">
        <v>0.79210000000000003</v>
      </c>
      <c r="D99">
        <v>1.1020000000000001</v>
      </c>
      <c r="E99">
        <v>1.265E-2</v>
      </c>
      <c r="F99" s="13">
        <v>9.7090000000000002E-4</v>
      </c>
      <c r="G99">
        <v>0.36720000000000003</v>
      </c>
      <c r="H99">
        <v>3.9140000000000001</v>
      </c>
      <c r="I99">
        <v>10001</v>
      </c>
      <c r="J99">
        <v>30000</v>
      </c>
    </row>
    <row r="100" spans="1:10" x14ac:dyDescent="0.25">
      <c r="B100" t="s">
        <v>522</v>
      </c>
      <c r="C100">
        <v>0.98129999999999995</v>
      </c>
      <c r="D100">
        <v>1.3460000000000001</v>
      </c>
      <c r="E100">
        <v>1.076E-2</v>
      </c>
      <c r="F100">
        <v>1.054E-3</v>
      </c>
      <c r="G100">
        <v>0.4708</v>
      </c>
      <c r="H100">
        <v>4.7949999999999999</v>
      </c>
      <c r="I100">
        <v>10001</v>
      </c>
      <c r="J100">
        <v>30000</v>
      </c>
    </row>
    <row r="101" spans="1:10" x14ac:dyDescent="0.25">
      <c r="B101" t="s">
        <v>523</v>
      </c>
      <c r="C101">
        <v>0.97599999999999998</v>
      </c>
      <c r="D101">
        <v>1.3260000000000001</v>
      </c>
      <c r="E101">
        <v>2.0420000000000001E-2</v>
      </c>
      <c r="F101" s="13">
        <v>9.8909999999999992E-4</v>
      </c>
      <c r="G101">
        <v>0.46489999999999998</v>
      </c>
      <c r="H101">
        <v>4.7030000000000003</v>
      </c>
      <c r="I101">
        <v>10001</v>
      </c>
      <c r="J101">
        <v>30000</v>
      </c>
    </row>
    <row r="102" spans="1:10" x14ac:dyDescent="0.25">
      <c r="B102" t="s">
        <v>524</v>
      </c>
      <c r="C102">
        <v>0.77439999999999998</v>
      </c>
      <c r="D102">
        <v>1.0860000000000001</v>
      </c>
      <c r="E102">
        <v>1.9949999999999999E-2</v>
      </c>
      <c r="F102" s="13">
        <v>7.5279999999999998E-4</v>
      </c>
      <c r="G102">
        <v>0.35510000000000003</v>
      </c>
      <c r="H102">
        <v>3.8490000000000002</v>
      </c>
      <c r="I102">
        <v>10001</v>
      </c>
      <c r="J102">
        <v>30000</v>
      </c>
    </row>
    <row r="103" spans="1:10" x14ac:dyDescent="0.25">
      <c r="B103" t="s">
        <v>525</v>
      </c>
      <c r="C103">
        <v>1.0209999999999999</v>
      </c>
      <c r="D103">
        <v>1.4390000000000001</v>
      </c>
      <c r="E103">
        <v>2.0219999999999998E-2</v>
      </c>
      <c r="F103">
        <v>1.0610000000000001E-3</v>
      </c>
      <c r="G103">
        <v>0.46339999999999998</v>
      </c>
      <c r="H103">
        <v>5.1790000000000003</v>
      </c>
      <c r="I103">
        <v>10001</v>
      </c>
      <c r="J103">
        <v>30000</v>
      </c>
    </row>
    <row r="104" spans="1:10" x14ac:dyDescent="0.25">
      <c r="B104" t="s">
        <v>526</v>
      </c>
      <c r="C104">
        <v>1.0129999999999999</v>
      </c>
      <c r="D104">
        <v>1.444</v>
      </c>
      <c r="E104">
        <v>1.5480000000000001E-2</v>
      </c>
      <c r="F104" s="13">
        <v>9.5370000000000003E-4</v>
      </c>
      <c r="G104">
        <v>0.45269999999999999</v>
      </c>
      <c r="H104">
        <v>5.1849999999999996</v>
      </c>
      <c r="I104">
        <v>10001</v>
      </c>
      <c r="J104">
        <v>30000</v>
      </c>
    </row>
    <row r="105" spans="1:10" x14ac:dyDescent="0.25">
      <c r="B105" t="s">
        <v>639</v>
      </c>
      <c r="C105">
        <v>38.89</v>
      </c>
      <c r="D105">
        <v>8.4529999999999994</v>
      </c>
      <c r="E105">
        <v>0.13250000000000001</v>
      </c>
      <c r="F105">
        <v>24.22</v>
      </c>
      <c r="G105">
        <v>38.18</v>
      </c>
      <c r="H105">
        <v>57.3</v>
      </c>
      <c r="I105">
        <v>10001</v>
      </c>
      <c r="J105">
        <v>30000</v>
      </c>
    </row>
    <row r="106" spans="1:10" x14ac:dyDescent="0.25">
      <c r="A106" t="s">
        <v>762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5" t="s">
        <v>149</v>
      </c>
      <c r="F5" s="276"/>
      <c r="G5" s="276"/>
      <c r="H5" s="277"/>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5" t="s">
        <v>151</v>
      </c>
      <c r="F11" s="276"/>
      <c r="G11" s="276"/>
      <c r="H11" s="277"/>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5" t="s">
        <v>150</v>
      </c>
      <c r="F17" s="276"/>
      <c r="G17" s="276"/>
      <c r="H17" s="277"/>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B52"/>
  <sheetViews>
    <sheetView showGridLines="0" showRowColHeaders="0" topLeftCell="A2" workbookViewId="0">
      <selection activeCell="A2" sqref="A2:P2"/>
    </sheetView>
  </sheetViews>
  <sheetFormatPr defaultRowHeight="15" x14ac:dyDescent="0.25"/>
  <sheetData>
    <row r="1" spans="1:28" x14ac:dyDescent="0.25">
      <c r="A1" s="19" t="s">
        <v>0</v>
      </c>
      <c r="B1" s="19" t="s">
        <v>1</v>
      </c>
      <c r="C1" s="19" t="s">
        <v>2</v>
      </c>
      <c r="D1" s="19" t="s">
        <v>3</v>
      </c>
      <c r="E1" s="19" t="s">
        <v>42</v>
      </c>
      <c r="F1" s="19" t="s">
        <v>43</v>
      </c>
      <c r="G1" s="19" t="s">
        <v>44</v>
      </c>
      <c r="H1" s="19" t="s">
        <v>45</v>
      </c>
      <c r="I1" s="19" t="s">
        <v>251</v>
      </c>
      <c r="J1" s="19" t="s">
        <v>252</v>
      </c>
      <c r="K1" s="19" t="s">
        <v>360</v>
      </c>
      <c r="L1" s="19" t="s">
        <v>361</v>
      </c>
      <c r="M1" s="19" t="s">
        <v>362</v>
      </c>
      <c r="N1" s="19" t="s">
        <v>363</v>
      </c>
      <c r="O1" s="19" t="s">
        <v>364</v>
      </c>
      <c r="P1" s="19" t="s">
        <v>365</v>
      </c>
      <c r="Q1" s="19" t="s">
        <v>366</v>
      </c>
      <c r="R1" s="19" t="s">
        <v>367</v>
      </c>
      <c r="S1" s="19" t="s">
        <v>4</v>
      </c>
      <c r="T1" s="16" t="s">
        <v>5</v>
      </c>
      <c r="U1" s="16" t="s">
        <v>46</v>
      </c>
      <c r="V1" s="16" t="s">
        <v>47</v>
      </c>
      <c r="W1" s="16" t="s">
        <v>253</v>
      </c>
      <c r="X1" s="16" t="s">
        <v>368</v>
      </c>
      <c r="Y1" t="s">
        <v>369</v>
      </c>
      <c r="Z1" t="s">
        <v>370</v>
      </c>
      <c r="AA1" t="s">
        <v>371</v>
      </c>
      <c r="AB1" t="s">
        <v>6</v>
      </c>
    </row>
    <row r="2" spans="1:28" x14ac:dyDescent="0.25">
      <c r="A2" s="19">
        <v>0.42857142857142855</v>
      </c>
      <c r="B2" s="19">
        <v>9.4285714285714288</v>
      </c>
      <c r="C2" s="19">
        <v>0.5714285714285714</v>
      </c>
      <c r="D2" s="19">
        <v>12.571428571428571</v>
      </c>
      <c r="E2" s="19" t="s">
        <v>372</v>
      </c>
      <c r="F2" s="19">
        <v>1</v>
      </c>
      <c r="G2" s="19" t="s">
        <v>372</v>
      </c>
      <c r="H2" s="19">
        <v>1</v>
      </c>
      <c r="I2" s="19" t="s">
        <v>372</v>
      </c>
      <c r="J2" s="19">
        <v>1</v>
      </c>
      <c r="K2" s="19" t="s">
        <v>372</v>
      </c>
      <c r="L2" s="19">
        <v>1</v>
      </c>
      <c r="M2" s="19" t="s">
        <v>372</v>
      </c>
      <c r="N2" s="19">
        <v>1</v>
      </c>
      <c r="O2" s="19" t="s">
        <v>372</v>
      </c>
      <c r="P2" s="19">
        <v>1</v>
      </c>
      <c r="Q2" s="19" t="s">
        <v>372</v>
      </c>
      <c r="R2" s="19">
        <v>1</v>
      </c>
      <c r="S2" s="19">
        <v>1</v>
      </c>
      <c r="T2" s="16">
        <v>3</v>
      </c>
      <c r="U2" s="16" t="s">
        <v>372</v>
      </c>
      <c r="V2" s="16" t="s">
        <v>372</v>
      </c>
      <c r="W2" s="16" t="s">
        <v>372</v>
      </c>
      <c r="X2" s="16" t="s">
        <v>372</v>
      </c>
      <c r="Y2" t="s">
        <v>372</v>
      </c>
      <c r="Z2" t="s">
        <v>372</v>
      </c>
      <c r="AA2" t="s">
        <v>372</v>
      </c>
      <c r="AB2">
        <v>2</v>
      </c>
    </row>
    <row r="3" spans="1:28" x14ac:dyDescent="0.25">
      <c r="A3" s="19">
        <v>25</v>
      </c>
      <c r="B3" s="19">
        <v>80</v>
      </c>
      <c r="C3" s="19">
        <v>20</v>
      </c>
      <c r="D3" s="19">
        <v>80</v>
      </c>
      <c r="E3" s="19" t="s">
        <v>372</v>
      </c>
      <c r="F3" s="19">
        <v>1</v>
      </c>
      <c r="G3" s="19" t="s">
        <v>372</v>
      </c>
      <c r="H3" s="19">
        <v>1</v>
      </c>
      <c r="I3" s="19" t="s">
        <v>372</v>
      </c>
      <c r="J3" s="19">
        <v>1</v>
      </c>
      <c r="K3" s="19" t="s">
        <v>372</v>
      </c>
      <c r="L3" s="19">
        <v>1</v>
      </c>
      <c r="M3" s="19" t="s">
        <v>372</v>
      </c>
      <c r="N3" s="19">
        <v>1</v>
      </c>
      <c r="O3" s="19" t="s">
        <v>372</v>
      </c>
      <c r="P3" s="19">
        <v>1</v>
      </c>
      <c r="Q3" s="19" t="s">
        <v>372</v>
      </c>
      <c r="R3" s="19">
        <v>1</v>
      </c>
      <c r="S3" s="19">
        <v>3</v>
      </c>
      <c r="T3" s="16">
        <v>4</v>
      </c>
      <c r="U3" s="16" t="s">
        <v>372</v>
      </c>
      <c r="V3" s="16" t="s">
        <v>372</v>
      </c>
      <c r="W3" s="16" t="s">
        <v>372</v>
      </c>
      <c r="X3" s="16" t="s">
        <v>372</v>
      </c>
      <c r="Y3" t="s">
        <v>372</v>
      </c>
      <c r="Z3" t="s">
        <v>372</v>
      </c>
      <c r="AA3" t="s">
        <v>372</v>
      </c>
      <c r="AB3">
        <v>2</v>
      </c>
    </row>
    <row r="4" spans="1:28" x14ac:dyDescent="0.25">
      <c r="A4" s="19">
        <v>13</v>
      </c>
      <c r="B4" s="19">
        <v>34</v>
      </c>
      <c r="C4" s="19">
        <v>6</v>
      </c>
      <c r="D4" s="19">
        <v>36</v>
      </c>
      <c r="E4" s="19" t="s">
        <v>372</v>
      </c>
      <c r="F4" s="19">
        <v>1</v>
      </c>
      <c r="G4" s="19" t="s">
        <v>372</v>
      </c>
      <c r="H4" s="19">
        <v>1</v>
      </c>
      <c r="I4" s="19" t="s">
        <v>372</v>
      </c>
      <c r="J4" s="19">
        <v>1</v>
      </c>
      <c r="K4" s="19" t="s">
        <v>372</v>
      </c>
      <c r="L4" s="19">
        <v>1</v>
      </c>
      <c r="M4" s="19" t="s">
        <v>372</v>
      </c>
      <c r="N4" s="19">
        <v>1</v>
      </c>
      <c r="O4" s="19" t="s">
        <v>372</v>
      </c>
      <c r="P4" s="19">
        <v>1</v>
      </c>
      <c r="Q4" s="19" t="s">
        <v>372</v>
      </c>
      <c r="R4" s="19">
        <v>1</v>
      </c>
      <c r="S4" s="19">
        <v>2</v>
      </c>
      <c r="T4" s="16">
        <v>3</v>
      </c>
      <c r="U4" s="16" t="s">
        <v>372</v>
      </c>
      <c r="V4" s="16" t="s">
        <v>372</v>
      </c>
      <c r="W4" s="16" t="s">
        <v>372</v>
      </c>
      <c r="X4" s="16" t="s">
        <v>372</v>
      </c>
      <c r="Y4" t="s">
        <v>372</v>
      </c>
      <c r="Z4" t="s">
        <v>372</v>
      </c>
      <c r="AA4" t="s">
        <v>372</v>
      </c>
      <c r="AB4">
        <v>2</v>
      </c>
    </row>
    <row r="5" spans="1:28" x14ac:dyDescent="0.25">
      <c r="A5" s="19">
        <v>19</v>
      </c>
      <c r="B5" s="19">
        <v>50</v>
      </c>
      <c r="C5" s="19">
        <v>6</v>
      </c>
      <c r="D5" s="19">
        <v>52</v>
      </c>
      <c r="E5" s="19" t="s">
        <v>372</v>
      </c>
      <c r="F5" s="19">
        <v>1</v>
      </c>
      <c r="G5" s="19" t="s">
        <v>372</v>
      </c>
      <c r="H5" s="19">
        <v>1</v>
      </c>
      <c r="I5" s="19" t="s">
        <v>372</v>
      </c>
      <c r="J5" s="19">
        <v>1</v>
      </c>
      <c r="K5" s="19" t="s">
        <v>372</v>
      </c>
      <c r="L5" s="19">
        <v>1</v>
      </c>
      <c r="M5" s="19" t="s">
        <v>372</v>
      </c>
      <c r="N5" s="19">
        <v>1</v>
      </c>
      <c r="O5" s="19" t="s">
        <v>372</v>
      </c>
      <c r="P5" s="19">
        <v>1</v>
      </c>
      <c r="Q5" s="19" t="s">
        <v>372</v>
      </c>
      <c r="R5" s="19">
        <v>1</v>
      </c>
      <c r="S5" s="19">
        <v>2</v>
      </c>
      <c r="T5" s="16">
        <v>3</v>
      </c>
      <c r="U5" s="16" t="s">
        <v>372</v>
      </c>
      <c r="V5" s="16" t="s">
        <v>372</v>
      </c>
      <c r="W5" s="16" t="s">
        <v>372</v>
      </c>
      <c r="X5" s="16" t="s">
        <v>372</v>
      </c>
      <c r="Y5" t="s">
        <v>372</v>
      </c>
      <c r="Z5" t="s">
        <v>372</v>
      </c>
      <c r="AA5" t="s">
        <v>372</v>
      </c>
      <c r="AB5">
        <v>2</v>
      </c>
    </row>
    <row r="6" spans="1:28" x14ac:dyDescent="0.25">
      <c r="A6" s="19">
        <v>2</v>
      </c>
      <c r="B6" s="19">
        <v>20</v>
      </c>
      <c r="C6" s="19">
        <v>9</v>
      </c>
      <c r="D6" s="19">
        <v>19</v>
      </c>
      <c r="E6" s="19" t="s">
        <v>372</v>
      </c>
      <c r="F6" s="19">
        <v>1</v>
      </c>
      <c r="G6" s="19" t="s">
        <v>372</v>
      </c>
      <c r="H6" s="19">
        <v>1</v>
      </c>
      <c r="I6" s="19" t="s">
        <v>372</v>
      </c>
      <c r="J6" s="19">
        <v>1</v>
      </c>
      <c r="K6" s="19" t="s">
        <v>372</v>
      </c>
      <c r="L6" s="19">
        <v>1</v>
      </c>
      <c r="M6" s="19" t="s">
        <v>372</v>
      </c>
      <c r="N6" s="19">
        <v>1</v>
      </c>
      <c r="O6" s="19" t="s">
        <v>372</v>
      </c>
      <c r="P6" s="19">
        <v>1</v>
      </c>
      <c r="Q6" s="19" t="s">
        <v>372</v>
      </c>
      <c r="R6" s="19">
        <v>1</v>
      </c>
      <c r="S6" s="19">
        <v>1</v>
      </c>
      <c r="T6" s="16">
        <v>9</v>
      </c>
      <c r="U6" s="16" t="s">
        <v>372</v>
      </c>
      <c r="V6" s="16" t="s">
        <v>372</v>
      </c>
      <c r="W6" s="16" t="s">
        <v>372</v>
      </c>
      <c r="X6" s="16" t="s">
        <v>372</v>
      </c>
      <c r="Y6" t="s">
        <v>372</v>
      </c>
      <c r="Z6" t="s">
        <v>372</v>
      </c>
      <c r="AA6" t="s">
        <v>372</v>
      </c>
      <c r="AB6">
        <v>2</v>
      </c>
    </row>
    <row r="7" spans="1:28" x14ac:dyDescent="0.25">
      <c r="A7" s="19">
        <v>12</v>
      </c>
      <c r="B7" s="19">
        <v>32</v>
      </c>
      <c r="C7" s="19">
        <v>9</v>
      </c>
      <c r="D7" s="19">
        <v>31</v>
      </c>
      <c r="E7" s="19" t="s">
        <v>372</v>
      </c>
      <c r="F7" s="19">
        <v>1</v>
      </c>
      <c r="G7" s="19" t="s">
        <v>372</v>
      </c>
      <c r="H7" s="19">
        <v>1</v>
      </c>
      <c r="I7" s="19" t="s">
        <v>372</v>
      </c>
      <c r="J7" s="19">
        <v>1</v>
      </c>
      <c r="K7" s="19" t="s">
        <v>372</v>
      </c>
      <c r="L7" s="19">
        <v>1</v>
      </c>
      <c r="M7" s="19" t="s">
        <v>372</v>
      </c>
      <c r="N7" s="19">
        <v>1</v>
      </c>
      <c r="O7" s="19" t="s">
        <v>372</v>
      </c>
      <c r="P7" s="19">
        <v>1</v>
      </c>
      <c r="Q7" s="19" t="s">
        <v>372</v>
      </c>
      <c r="R7" s="19">
        <v>1</v>
      </c>
      <c r="S7" s="19">
        <v>2</v>
      </c>
      <c r="T7" s="16">
        <v>7</v>
      </c>
      <c r="U7" s="16" t="s">
        <v>372</v>
      </c>
      <c r="V7" s="16" t="s">
        <v>372</v>
      </c>
      <c r="W7" s="16" t="s">
        <v>372</v>
      </c>
      <c r="X7" s="16" t="s">
        <v>372</v>
      </c>
      <c r="Y7" t="s">
        <v>372</v>
      </c>
      <c r="Z7" t="s">
        <v>372</v>
      </c>
      <c r="AA7" t="s">
        <v>372</v>
      </c>
      <c r="AB7">
        <v>2</v>
      </c>
    </row>
    <row r="8" spans="1:28" x14ac:dyDescent="0.25">
      <c r="A8" s="19">
        <v>13</v>
      </c>
      <c r="B8" s="19">
        <v>35</v>
      </c>
      <c r="C8" s="19">
        <v>5</v>
      </c>
      <c r="D8" s="19">
        <v>35</v>
      </c>
      <c r="E8" s="19" t="s">
        <v>372</v>
      </c>
      <c r="F8" s="19">
        <v>1</v>
      </c>
      <c r="G8" s="19" t="s">
        <v>372</v>
      </c>
      <c r="H8" s="19">
        <v>1</v>
      </c>
      <c r="I8" s="19" t="s">
        <v>372</v>
      </c>
      <c r="J8" s="19">
        <v>1</v>
      </c>
      <c r="K8" s="19" t="s">
        <v>372</v>
      </c>
      <c r="L8" s="19">
        <v>1</v>
      </c>
      <c r="M8" s="19" t="s">
        <v>372</v>
      </c>
      <c r="N8" s="19">
        <v>1</v>
      </c>
      <c r="O8" s="19" t="s">
        <v>372</v>
      </c>
      <c r="P8" s="19">
        <v>1</v>
      </c>
      <c r="Q8" s="19" t="s">
        <v>372</v>
      </c>
      <c r="R8" s="19">
        <v>1</v>
      </c>
      <c r="S8" s="19">
        <v>2</v>
      </c>
      <c r="T8" s="16">
        <v>5</v>
      </c>
      <c r="U8" s="16" t="s">
        <v>372</v>
      </c>
      <c r="V8" s="16" t="s">
        <v>372</v>
      </c>
      <c r="W8" s="16" t="s">
        <v>372</v>
      </c>
      <c r="X8" s="16" t="s">
        <v>372</v>
      </c>
      <c r="Y8" t="s">
        <v>372</v>
      </c>
      <c r="Z8" t="s">
        <v>372</v>
      </c>
      <c r="AA8" t="s">
        <v>372</v>
      </c>
      <c r="AB8">
        <v>2</v>
      </c>
    </row>
    <row r="9" spans="1:28" x14ac:dyDescent="0.25">
      <c r="A9" s="19">
        <v>17</v>
      </c>
      <c r="B9" s="19">
        <v>69</v>
      </c>
      <c r="C9" s="19">
        <v>14</v>
      </c>
      <c r="D9" s="19">
        <v>71</v>
      </c>
      <c r="E9" s="19" t="s">
        <v>372</v>
      </c>
      <c r="F9" s="19">
        <v>1</v>
      </c>
      <c r="G9" s="19" t="s">
        <v>372</v>
      </c>
      <c r="H9" s="19">
        <v>1</v>
      </c>
      <c r="I9" s="19" t="s">
        <v>372</v>
      </c>
      <c r="J9" s="19">
        <v>1</v>
      </c>
      <c r="K9" s="19" t="s">
        <v>372</v>
      </c>
      <c r="L9" s="19">
        <v>1</v>
      </c>
      <c r="M9" s="19" t="s">
        <v>372</v>
      </c>
      <c r="N9" s="19">
        <v>1</v>
      </c>
      <c r="O9" s="19" t="s">
        <v>372</v>
      </c>
      <c r="P9" s="19">
        <v>1</v>
      </c>
      <c r="Q9" s="19" t="s">
        <v>372</v>
      </c>
      <c r="R9" s="19">
        <v>1</v>
      </c>
      <c r="S9" s="19">
        <v>1</v>
      </c>
      <c r="T9" s="16">
        <v>7</v>
      </c>
      <c r="U9" s="16" t="s">
        <v>372</v>
      </c>
      <c r="V9" s="16" t="s">
        <v>372</v>
      </c>
      <c r="W9" s="16" t="s">
        <v>372</v>
      </c>
      <c r="X9" s="16" t="s">
        <v>372</v>
      </c>
      <c r="Y9" t="s">
        <v>372</v>
      </c>
      <c r="Z9" t="s">
        <v>372</v>
      </c>
      <c r="AA9" t="s">
        <v>372</v>
      </c>
      <c r="AB9">
        <v>2</v>
      </c>
    </row>
    <row r="10" spans="1:28" x14ac:dyDescent="0.25">
      <c r="A10" s="19">
        <v>2</v>
      </c>
      <c r="B10" s="19">
        <v>12</v>
      </c>
      <c r="C10" s="19">
        <v>4</v>
      </c>
      <c r="D10" s="19">
        <v>11</v>
      </c>
      <c r="E10" s="19" t="s">
        <v>372</v>
      </c>
      <c r="F10" s="19">
        <v>1</v>
      </c>
      <c r="G10" s="19" t="s">
        <v>372</v>
      </c>
      <c r="H10" s="19">
        <v>1</v>
      </c>
      <c r="I10" s="19" t="s">
        <v>372</v>
      </c>
      <c r="J10" s="19">
        <v>1</v>
      </c>
      <c r="K10" s="19" t="s">
        <v>372</v>
      </c>
      <c r="L10" s="19">
        <v>1</v>
      </c>
      <c r="M10" s="19" t="s">
        <v>372</v>
      </c>
      <c r="N10" s="19">
        <v>1</v>
      </c>
      <c r="O10" s="19" t="s">
        <v>372</v>
      </c>
      <c r="P10" s="19">
        <v>1</v>
      </c>
      <c r="Q10" s="19" t="s">
        <v>372</v>
      </c>
      <c r="R10" s="19">
        <v>1</v>
      </c>
      <c r="S10" s="19">
        <v>7</v>
      </c>
      <c r="T10" s="16">
        <v>8</v>
      </c>
      <c r="U10" s="16" t="s">
        <v>372</v>
      </c>
      <c r="V10" s="16" t="s">
        <v>372</v>
      </c>
      <c r="W10" s="16" t="s">
        <v>372</v>
      </c>
      <c r="X10" s="16" t="s">
        <v>372</v>
      </c>
      <c r="Y10" t="s">
        <v>372</v>
      </c>
      <c r="Z10" t="s">
        <v>372</v>
      </c>
      <c r="AA10" t="s">
        <v>372</v>
      </c>
      <c r="AB10">
        <v>2</v>
      </c>
    </row>
    <row r="11" spans="1:28" x14ac:dyDescent="0.25">
      <c r="A11" s="19">
        <v>9</v>
      </c>
      <c r="B11" s="19">
        <v>40</v>
      </c>
      <c r="C11" s="19">
        <v>11</v>
      </c>
      <c r="D11" s="19">
        <v>40</v>
      </c>
      <c r="E11" s="19" t="s">
        <v>372</v>
      </c>
      <c r="F11" s="19">
        <v>1</v>
      </c>
      <c r="G11" s="19" t="s">
        <v>372</v>
      </c>
      <c r="H11" s="19">
        <v>1</v>
      </c>
      <c r="I11" s="19" t="s">
        <v>372</v>
      </c>
      <c r="J11" s="19">
        <v>1</v>
      </c>
      <c r="K11" s="19" t="s">
        <v>372</v>
      </c>
      <c r="L11" s="19">
        <v>1</v>
      </c>
      <c r="M11" s="19" t="s">
        <v>372</v>
      </c>
      <c r="N11" s="19">
        <v>1</v>
      </c>
      <c r="O11" s="19" t="s">
        <v>372</v>
      </c>
      <c r="P11" s="19">
        <v>1</v>
      </c>
      <c r="Q11" s="19" t="s">
        <v>372</v>
      </c>
      <c r="R11" s="19">
        <v>1</v>
      </c>
      <c r="S11" s="19">
        <v>3</v>
      </c>
      <c r="T11" s="16">
        <v>4</v>
      </c>
      <c r="U11" s="16" t="s">
        <v>372</v>
      </c>
      <c r="V11" s="16" t="s">
        <v>372</v>
      </c>
      <c r="W11" s="16" t="s">
        <v>372</v>
      </c>
      <c r="X11" s="16" t="s">
        <v>372</v>
      </c>
      <c r="Y11" t="s">
        <v>372</v>
      </c>
      <c r="Z11" t="s">
        <v>372</v>
      </c>
      <c r="AA11" t="s">
        <v>372</v>
      </c>
      <c r="AB11">
        <v>2</v>
      </c>
    </row>
    <row r="12" spans="1:28" x14ac:dyDescent="0.25">
      <c r="A12" s="19">
        <v>3</v>
      </c>
      <c r="B12" s="19">
        <v>20</v>
      </c>
      <c r="C12" s="19">
        <v>4</v>
      </c>
      <c r="D12" s="19">
        <v>20</v>
      </c>
      <c r="E12" s="19" t="s">
        <v>372</v>
      </c>
      <c r="F12" s="19">
        <v>1</v>
      </c>
      <c r="G12" s="19" t="s">
        <v>372</v>
      </c>
      <c r="H12" s="19">
        <v>1</v>
      </c>
      <c r="I12" s="19" t="s">
        <v>372</v>
      </c>
      <c r="J12" s="19">
        <v>1</v>
      </c>
      <c r="K12" s="19" t="s">
        <v>372</v>
      </c>
      <c r="L12" s="19">
        <v>1</v>
      </c>
      <c r="M12" s="19" t="s">
        <v>372</v>
      </c>
      <c r="N12" s="19">
        <v>1</v>
      </c>
      <c r="O12" s="19" t="s">
        <v>372</v>
      </c>
      <c r="P12" s="19">
        <v>1</v>
      </c>
      <c r="Q12" s="19" t="s">
        <v>372</v>
      </c>
      <c r="R12" s="19">
        <v>1</v>
      </c>
      <c r="S12" s="19">
        <v>1</v>
      </c>
      <c r="T12" s="16">
        <v>2</v>
      </c>
      <c r="U12" s="16" t="s">
        <v>372</v>
      </c>
      <c r="V12" s="16" t="s">
        <v>372</v>
      </c>
      <c r="W12" s="16" t="s">
        <v>372</v>
      </c>
      <c r="X12" s="16" t="s">
        <v>372</v>
      </c>
      <c r="Y12" t="s">
        <v>372</v>
      </c>
      <c r="Z12" t="s">
        <v>372</v>
      </c>
      <c r="AA12" t="s">
        <v>372</v>
      </c>
      <c r="AB12">
        <v>2</v>
      </c>
    </row>
    <row r="13" spans="1:28" x14ac:dyDescent="0.25">
      <c r="A13" s="19">
        <v>1</v>
      </c>
      <c r="B13" s="19">
        <v>15</v>
      </c>
      <c r="C13" s="19">
        <v>4</v>
      </c>
      <c r="D13" s="19">
        <v>18</v>
      </c>
      <c r="E13" s="19" t="s">
        <v>372</v>
      </c>
      <c r="F13" s="19">
        <v>1</v>
      </c>
      <c r="G13" s="19" t="s">
        <v>372</v>
      </c>
      <c r="H13" s="19">
        <v>1</v>
      </c>
      <c r="I13" s="19" t="s">
        <v>372</v>
      </c>
      <c r="J13" s="19">
        <v>1</v>
      </c>
      <c r="K13" s="19" t="s">
        <v>372</v>
      </c>
      <c r="L13" s="19">
        <v>1</v>
      </c>
      <c r="M13" s="19" t="s">
        <v>372</v>
      </c>
      <c r="N13" s="19">
        <v>1</v>
      </c>
      <c r="O13" s="19" t="s">
        <v>372</v>
      </c>
      <c r="P13" s="19">
        <v>1</v>
      </c>
      <c r="Q13" s="19" t="s">
        <v>372</v>
      </c>
      <c r="R13" s="19">
        <v>1</v>
      </c>
      <c r="S13" s="19">
        <v>1</v>
      </c>
      <c r="T13" s="16">
        <v>2</v>
      </c>
      <c r="U13" s="16" t="s">
        <v>372</v>
      </c>
      <c r="V13" s="16" t="s">
        <v>372</v>
      </c>
      <c r="W13" s="16" t="s">
        <v>372</v>
      </c>
      <c r="X13" s="16" t="s">
        <v>372</v>
      </c>
      <c r="Y13" t="s">
        <v>372</v>
      </c>
      <c r="Z13" t="s">
        <v>372</v>
      </c>
      <c r="AA13" t="s">
        <v>372</v>
      </c>
      <c r="AB13">
        <v>2</v>
      </c>
    </row>
    <row r="14" spans="1:28" x14ac:dyDescent="0.25">
      <c r="A14" s="19">
        <v>4</v>
      </c>
      <c r="B14" s="19">
        <v>15</v>
      </c>
      <c r="C14" s="19">
        <v>11</v>
      </c>
      <c r="D14" s="19">
        <v>15</v>
      </c>
      <c r="E14" s="19" t="s">
        <v>372</v>
      </c>
      <c r="F14" s="19">
        <v>1</v>
      </c>
      <c r="G14" s="19" t="s">
        <v>372</v>
      </c>
      <c r="H14" s="19">
        <v>1</v>
      </c>
      <c r="I14" s="19" t="s">
        <v>372</v>
      </c>
      <c r="J14" s="19">
        <v>1</v>
      </c>
      <c r="K14" s="19" t="s">
        <v>372</v>
      </c>
      <c r="L14" s="19">
        <v>1</v>
      </c>
      <c r="M14" s="19" t="s">
        <v>372</v>
      </c>
      <c r="N14" s="19">
        <v>1</v>
      </c>
      <c r="O14" s="19" t="s">
        <v>372</v>
      </c>
      <c r="P14" s="19">
        <v>1</v>
      </c>
      <c r="Q14" s="19" t="s">
        <v>372</v>
      </c>
      <c r="R14" s="19">
        <v>1</v>
      </c>
      <c r="S14" s="19">
        <v>7</v>
      </c>
      <c r="T14" s="16">
        <v>8</v>
      </c>
      <c r="U14" s="16" t="s">
        <v>372</v>
      </c>
      <c r="V14" s="16" t="s">
        <v>372</v>
      </c>
      <c r="W14" s="16" t="s">
        <v>372</v>
      </c>
      <c r="X14" s="16" t="s">
        <v>372</v>
      </c>
      <c r="Y14" t="s">
        <v>372</v>
      </c>
      <c r="Z14" t="s">
        <v>372</v>
      </c>
      <c r="AA14" t="s">
        <v>372</v>
      </c>
      <c r="AB14">
        <v>2</v>
      </c>
    </row>
    <row r="15" spans="1:28" x14ac:dyDescent="0.25">
      <c r="A15" s="19">
        <v>9</v>
      </c>
      <c r="B15" s="19">
        <v>54</v>
      </c>
      <c r="C15" s="19">
        <v>24</v>
      </c>
      <c r="D15" s="19">
        <v>51</v>
      </c>
      <c r="E15" s="19" t="s">
        <v>372</v>
      </c>
      <c r="F15" s="19">
        <v>1</v>
      </c>
      <c r="G15" s="19" t="s">
        <v>372</v>
      </c>
      <c r="H15" s="19">
        <v>1</v>
      </c>
      <c r="I15" s="19" t="s">
        <v>372</v>
      </c>
      <c r="J15" s="19">
        <v>1</v>
      </c>
      <c r="K15" s="19" t="s">
        <v>372</v>
      </c>
      <c r="L15" s="19">
        <v>1</v>
      </c>
      <c r="M15" s="19" t="s">
        <v>372</v>
      </c>
      <c r="N15" s="19">
        <v>1</v>
      </c>
      <c r="O15" s="19" t="s">
        <v>372</v>
      </c>
      <c r="P15" s="19">
        <v>1</v>
      </c>
      <c r="Q15" s="19" t="s">
        <v>372</v>
      </c>
      <c r="R15" s="19">
        <v>1</v>
      </c>
      <c r="S15" s="19">
        <v>2</v>
      </c>
      <c r="T15" s="16">
        <v>8</v>
      </c>
      <c r="U15" s="16" t="s">
        <v>372</v>
      </c>
      <c r="V15" s="16" t="s">
        <v>372</v>
      </c>
      <c r="W15" s="16" t="s">
        <v>372</v>
      </c>
      <c r="X15" s="16" t="s">
        <v>372</v>
      </c>
      <c r="Y15" t="s">
        <v>372</v>
      </c>
      <c r="Z15" t="s">
        <v>372</v>
      </c>
      <c r="AA15" t="s">
        <v>372</v>
      </c>
      <c r="AB15">
        <v>2</v>
      </c>
    </row>
    <row r="16" spans="1:28" x14ac:dyDescent="0.25">
      <c r="A16" s="19">
        <v>7</v>
      </c>
      <c r="B16" s="19">
        <v>59</v>
      </c>
      <c r="C16" s="19">
        <v>8</v>
      </c>
      <c r="D16" s="19">
        <v>60</v>
      </c>
      <c r="E16" s="19" t="s">
        <v>372</v>
      </c>
      <c r="F16" s="19">
        <v>1</v>
      </c>
      <c r="G16" s="19" t="s">
        <v>372</v>
      </c>
      <c r="H16" s="19">
        <v>1</v>
      </c>
      <c r="I16" s="19" t="s">
        <v>372</v>
      </c>
      <c r="J16" s="19">
        <v>1</v>
      </c>
      <c r="K16" s="19" t="s">
        <v>372</v>
      </c>
      <c r="L16" s="19">
        <v>1</v>
      </c>
      <c r="M16" s="19" t="s">
        <v>372</v>
      </c>
      <c r="N16" s="19">
        <v>1</v>
      </c>
      <c r="O16" s="19" t="s">
        <v>372</v>
      </c>
      <c r="P16" s="19">
        <v>1</v>
      </c>
      <c r="Q16" s="19" t="s">
        <v>372</v>
      </c>
      <c r="R16" s="19">
        <v>1</v>
      </c>
      <c r="S16" s="19">
        <v>1</v>
      </c>
      <c r="T16" s="16">
        <v>2</v>
      </c>
      <c r="U16" s="16" t="s">
        <v>372</v>
      </c>
      <c r="V16" s="16" t="s">
        <v>372</v>
      </c>
      <c r="W16" s="16" t="s">
        <v>372</v>
      </c>
      <c r="X16" s="16" t="s">
        <v>372</v>
      </c>
      <c r="Y16" t="s">
        <v>372</v>
      </c>
      <c r="Z16" t="s">
        <v>372</v>
      </c>
      <c r="AA16" t="s">
        <v>372</v>
      </c>
      <c r="AB16">
        <v>2</v>
      </c>
    </row>
    <row r="17" spans="1:28" x14ac:dyDescent="0.25">
      <c r="A17" s="19">
        <v>9</v>
      </c>
      <c r="B17" s="19">
        <v>74</v>
      </c>
      <c r="C17" s="19">
        <v>12</v>
      </c>
      <c r="D17" s="19">
        <v>74</v>
      </c>
      <c r="E17" s="19" t="s">
        <v>372</v>
      </c>
      <c r="F17" s="19">
        <v>1</v>
      </c>
      <c r="G17" s="19" t="s">
        <v>372</v>
      </c>
      <c r="H17" s="19">
        <v>1</v>
      </c>
      <c r="I17" s="19" t="s">
        <v>372</v>
      </c>
      <c r="J17" s="19">
        <v>1</v>
      </c>
      <c r="K17" s="19" t="s">
        <v>372</v>
      </c>
      <c r="L17" s="19">
        <v>1</v>
      </c>
      <c r="M17" s="19" t="s">
        <v>372</v>
      </c>
      <c r="N17" s="19">
        <v>1</v>
      </c>
      <c r="O17" s="19" t="s">
        <v>372</v>
      </c>
      <c r="P17" s="19">
        <v>1</v>
      </c>
      <c r="Q17" s="19" t="s">
        <v>372</v>
      </c>
      <c r="R17" s="19">
        <v>1</v>
      </c>
      <c r="S17" s="19">
        <v>1</v>
      </c>
      <c r="T17" s="16">
        <v>2</v>
      </c>
      <c r="U17" s="16" t="s">
        <v>372</v>
      </c>
      <c r="V17" s="16" t="s">
        <v>372</v>
      </c>
      <c r="W17" s="16" t="s">
        <v>372</v>
      </c>
      <c r="X17" s="16" t="s">
        <v>372</v>
      </c>
      <c r="Y17" t="s">
        <v>372</v>
      </c>
      <c r="Z17" t="s">
        <v>372</v>
      </c>
      <c r="AA17" t="s">
        <v>372</v>
      </c>
      <c r="AB17">
        <v>2</v>
      </c>
    </row>
    <row r="18" spans="1:28" x14ac:dyDescent="0.25">
      <c r="A18" s="19">
        <v>32</v>
      </c>
      <c r="B18" s="19">
        <v>48</v>
      </c>
      <c r="C18" s="19">
        <v>20</v>
      </c>
      <c r="D18" s="19">
        <v>35</v>
      </c>
      <c r="E18" s="19" t="s">
        <v>372</v>
      </c>
      <c r="F18" s="19">
        <v>1</v>
      </c>
      <c r="G18" s="19" t="s">
        <v>372</v>
      </c>
      <c r="H18" s="19">
        <v>1</v>
      </c>
      <c r="I18" s="19" t="s">
        <v>372</v>
      </c>
      <c r="J18" s="19">
        <v>1</v>
      </c>
      <c r="K18" s="19" t="s">
        <v>372</v>
      </c>
      <c r="L18" s="19">
        <v>1</v>
      </c>
      <c r="M18" s="19" t="s">
        <v>372</v>
      </c>
      <c r="N18" s="19">
        <v>1</v>
      </c>
      <c r="O18" s="19" t="s">
        <v>372</v>
      </c>
      <c r="P18" s="19">
        <v>1</v>
      </c>
      <c r="Q18" s="19" t="s">
        <v>372</v>
      </c>
      <c r="R18" s="19">
        <v>1</v>
      </c>
      <c r="S18" s="19">
        <v>3</v>
      </c>
      <c r="T18" s="16">
        <v>7</v>
      </c>
      <c r="U18" s="16" t="s">
        <v>372</v>
      </c>
      <c r="V18" s="16" t="s">
        <v>372</v>
      </c>
      <c r="W18" s="16" t="s">
        <v>372</v>
      </c>
      <c r="X18" s="16" t="s">
        <v>372</v>
      </c>
      <c r="Y18" t="s">
        <v>372</v>
      </c>
      <c r="Z18" t="s">
        <v>372</v>
      </c>
      <c r="AA18" t="s">
        <v>372</v>
      </c>
      <c r="AB18">
        <v>2</v>
      </c>
    </row>
    <row r="19" spans="1:28" x14ac:dyDescent="0.25">
      <c r="A19" s="19">
        <v>10</v>
      </c>
      <c r="B19" s="19">
        <v>30</v>
      </c>
      <c r="C19" s="19">
        <v>6</v>
      </c>
      <c r="D19" s="19">
        <v>30</v>
      </c>
      <c r="E19" s="19" t="s">
        <v>372</v>
      </c>
      <c r="F19" s="19">
        <v>1</v>
      </c>
      <c r="G19" s="19" t="s">
        <v>372</v>
      </c>
      <c r="H19" s="19">
        <v>1</v>
      </c>
      <c r="I19" s="19" t="s">
        <v>372</v>
      </c>
      <c r="J19" s="19">
        <v>1</v>
      </c>
      <c r="K19" s="19" t="s">
        <v>372</v>
      </c>
      <c r="L19" s="19">
        <v>1</v>
      </c>
      <c r="M19" s="19" t="s">
        <v>372</v>
      </c>
      <c r="N19" s="19">
        <v>1</v>
      </c>
      <c r="O19" s="19" t="s">
        <v>372</v>
      </c>
      <c r="P19" s="19">
        <v>1</v>
      </c>
      <c r="Q19" s="19" t="s">
        <v>372</v>
      </c>
      <c r="R19" s="19">
        <v>1</v>
      </c>
      <c r="S19" s="19">
        <v>3</v>
      </c>
      <c r="T19" s="16">
        <v>6</v>
      </c>
      <c r="U19" s="16" t="s">
        <v>372</v>
      </c>
      <c r="V19" s="16" t="s">
        <v>372</v>
      </c>
      <c r="W19" s="16" t="s">
        <v>372</v>
      </c>
      <c r="X19" s="16" t="s">
        <v>372</v>
      </c>
      <c r="Y19" t="s">
        <v>372</v>
      </c>
      <c r="Z19" t="s">
        <v>372</v>
      </c>
      <c r="AA19" t="s">
        <v>372</v>
      </c>
      <c r="AB19">
        <v>2</v>
      </c>
    </row>
    <row r="20" spans="1:28" x14ac:dyDescent="0.25">
      <c r="A20" s="19">
        <v>3</v>
      </c>
      <c r="B20" s="19">
        <v>24</v>
      </c>
      <c r="C20" s="19">
        <v>7</v>
      </c>
      <c r="D20" s="19">
        <v>23</v>
      </c>
      <c r="E20" s="19" t="s">
        <v>372</v>
      </c>
      <c r="F20" s="19">
        <v>1</v>
      </c>
      <c r="G20" s="19" t="s">
        <v>372</v>
      </c>
      <c r="H20" s="19">
        <v>1</v>
      </c>
      <c r="I20" s="19" t="s">
        <v>372</v>
      </c>
      <c r="J20" s="19">
        <v>1</v>
      </c>
      <c r="K20" s="19" t="s">
        <v>372</v>
      </c>
      <c r="L20" s="19">
        <v>1</v>
      </c>
      <c r="M20" s="19" t="s">
        <v>372</v>
      </c>
      <c r="N20" s="19">
        <v>1</v>
      </c>
      <c r="O20" s="19" t="s">
        <v>372</v>
      </c>
      <c r="P20" s="19">
        <v>1</v>
      </c>
      <c r="Q20" s="19" t="s">
        <v>372</v>
      </c>
      <c r="R20" s="19">
        <v>1</v>
      </c>
      <c r="S20" s="19">
        <v>1</v>
      </c>
      <c r="T20" s="16">
        <v>2</v>
      </c>
      <c r="U20" s="16" t="s">
        <v>372</v>
      </c>
      <c r="V20" s="16" t="s">
        <v>372</v>
      </c>
      <c r="W20" s="16" t="s">
        <v>372</v>
      </c>
      <c r="X20" s="16" t="s">
        <v>372</v>
      </c>
      <c r="Y20" t="s">
        <v>372</v>
      </c>
      <c r="Z20" t="s">
        <v>372</v>
      </c>
      <c r="AA20" t="s">
        <v>372</v>
      </c>
      <c r="AB20">
        <v>2</v>
      </c>
    </row>
    <row r="21" spans="1:28" x14ac:dyDescent="0.25">
      <c r="A21" s="19">
        <v>2</v>
      </c>
      <c r="B21" s="19">
        <v>18</v>
      </c>
      <c r="C21" s="19">
        <v>1</v>
      </c>
      <c r="D21" s="19">
        <v>16</v>
      </c>
      <c r="E21" s="19" t="s">
        <v>372</v>
      </c>
      <c r="F21" s="19">
        <v>1</v>
      </c>
      <c r="G21" s="19" t="s">
        <v>372</v>
      </c>
      <c r="H21" s="19">
        <v>1</v>
      </c>
      <c r="I21" s="19" t="s">
        <v>372</v>
      </c>
      <c r="J21" s="19">
        <v>1</v>
      </c>
      <c r="K21" s="19" t="s">
        <v>372</v>
      </c>
      <c r="L21" s="19">
        <v>1</v>
      </c>
      <c r="M21" s="19" t="s">
        <v>372</v>
      </c>
      <c r="N21" s="19">
        <v>1</v>
      </c>
      <c r="O21" s="19" t="s">
        <v>372</v>
      </c>
      <c r="P21" s="19">
        <v>1</v>
      </c>
      <c r="Q21" s="19" t="s">
        <v>372</v>
      </c>
      <c r="R21" s="19">
        <v>1</v>
      </c>
      <c r="S21" s="19">
        <v>1</v>
      </c>
      <c r="T21" s="16">
        <v>3</v>
      </c>
      <c r="U21" s="16" t="s">
        <v>372</v>
      </c>
      <c r="V21" s="16" t="s">
        <v>372</v>
      </c>
      <c r="W21" s="16" t="s">
        <v>372</v>
      </c>
      <c r="X21" s="16" t="s">
        <v>372</v>
      </c>
      <c r="Y21" t="s">
        <v>372</v>
      </c>
      <c r="Z21" t="s">
        <v>372</v>
      </c>
      <c r="AA21" t="s">
        <v>372</v>
      </c>
      <c r="AB21">
        <v>2</v>
      </c>
    </row>
    <row r="22" spans="1:28" x14ac:dyDescent="0.25">
      <c r="A22" s="19">
        <v>12</v>
      </c>
      <c r="B22" s="19">
        <v>67</v>
      </c>
      <c r="C22" s="19">
        <v>17</v>
      </c>
      <c r="D22" s="19">
        <v>62</v>
      </c>
      <c r="E22" s="19" t="s">
        <v>372</v>
      </c>
      <c r="F22" s="19">
        <v>1</v>
      </c>
      <c r="G22" s="19" t="s">
        <v>372</v>
      </c>
      <c r="H22" s="19">
        <v>1</v>
      </c>
      <c r="I22" s="19" t="s">
        <v>372</v>
      </c>
      <c r="J22" s="19">
        <v>1</v>
      </c>
      <c r="K22" s="19" t="s">
        <v>372</v>
      </c>
      <c r="L22" s="19">
        <v>1</v>
      </c>
      <c r="M22" s="19" t="s">
        <v>372</v>
      </c>
      <c r="N22" s="19">
        <v>1</v>
      </c>
      <c r="O22" s="19" t="s">
        <v>372</v>
      </c>
      <c r="P22" s="19">
        <v>1</v>
      </c>
      <c r="Q22" s="19" t="s">
        <v>372</v>
      </c>
      <c r="R22" s="19">
        <v>1</v>
      </c>
      <c r="S22" s="19">
        <v>4</v>
      </c>
      <c r="T22" s="16">
        <v>6</v>
      </c>
      <c r="U22" s="16" t="s">
        <v>372</v>
      </c>
      <c r="V22" s="16" t="s">
        <v>372</v>
      </c>
      <c r="W22" s="16" t="s">
        <v>372</v>
      </c>
      <c r="X22" s="16" t="s">
        <v>372</v>
      </c>
      <c r="Y22" t="s">
        <v>372</v>
      </c>
      <c r="Z22" t="s">
        <v>372</v>
      </c>
      <c r="AA22" t="s">
        <v>372</v>
      </c>
      <c r="AB22">
        <v>2</v>
      </c>
    </row>
    <row r="23" spans="1:28" x14ac:dyDescent="0.25">
      <c r="A23" s="19" t="s">
        <v>373</v>
      </c>
      <c r="B23" s="19"/>
      <c r="C23" s="19"/>
      <c r="D23" s="19"/>
      <c r="E23" s="19"/>
      <c r="F23" s="19"/>
      <c r="G23" s="19"/>
      <c r="H23" s="19"/>
      <c r="I23" s="19"/>
      <c r="J23" s="19"/>
      <c r="K23" s="19"/>
      <c r="L23" s="19"/>
      <c r="M23" s="19"/>
      <c r="N23" s="19"/>
      <c r="O23" s="19"/>
      <c r="P23" s="19"/>
      <c r="Q23" s="19"/>
      <c r="R23" s="19"/>
      <c r="S23" s="19"/>
      <c r="T23" s="16"/>
      <c r="U23" s="16"/>
      <c r="V23" s="16"/>
      <c r="W23" s="16"/>
      <c r="X23" s="16"/>
    </row>
    <row r="24" spans="1:28" x14ac:dyDescent="0.25">
      <c r="A24" s="19"/>
      <c r="B24" s="19"/>
      <c r="C24" s="19"/>
      <c r="D24" s="19"/>
      <c r="E24" s="19"/>
      <c r="F24" s="19"/>
      <c r="G24" s="19"/>
      <c r="H24" s="19"/>
      <c r="I24" s="19"/>
      <c r="J24" s="19"/>
      <c r="K24" s="19"/>
      <c r="L24" s="19"/>
      <c r="M24" s="19"/>
      <c r="N24" s="19"/>
      <c r="O24" s="19"/>
      <c r="P24" s="19"/>
      <c r="Q24" s="19"/>
      <c r="R24" s="19"/>
      <c r="S24" s="19"/>
      <c r="T24" s="16"/>
      <c r="U24" s="16"/>
      <c r="V24" s="16"/>
      <c r="W24" s="16"/>
      <c r="X24" s="16"/>
    </row>
    <row r="25" spans="1:28" x14ac:dyDescent="0.25">
      <c r="A25" s="19"/>
      <c r="B25" s="19"/>
      <c r="C25" s="19"/>
      <c r="D25" s="19"/>
      <c r="E25" s="19"/>
      <c r="F25" s="19"/>
      <c r="G25" s="19"/>
      <c r="H25" s="19"/>
      <c r="I25" s="19"/>
      <c r="J25" s="19"/>
      <c r="K25" s="19"/>
      <c r="L25" s="19"/>
      <c r="M25" s="19"/>
      <c r="N25" s="19"/>
      <c r="O25" s="19"/>
      <c r="P25" s="19"/>
      <c r="Q25" s="19"/>
      <c r="R25" s="19"/>
      <c r="S25" s="19"/>
      <c r="T25" s="16"/>
      <c r="U25" s="16"/>
      <c r="V25" s="16"/>
      <c r="W25" s="16"/>
      <c r="X25" s="16"/>
    </row>
    <row r="26" spans="1:28" x14ac:dyDescent="0.25">
      <c r="A26" s="19"/>
      <c r="B26" s="19"/>
      <c r="C26" s="19"/>
      <c r="D26" s="19"/>
      <c r="E26" s="19"/>
      <c r="F26" s="19"/>
      <c r="G26" s="19"/>
      <c r="H26" s="19"/>
      <c r="I26" s="19"/>
      <c r="J26" s="19"/>
      <c r="K26" s="19"/>
      <c r="L26" s="19"/>
      <c r="M26" s="19"/>
      <c r="N26" s="19"/>
      <c r="O26" s="19"/>
      <c r="P26" s="19"/>
      <c r="Q26" s="19"/>
      <c r="R26" s="19"/>
      <c r="S26" s="19"/>
      <c r="T26" s="16"/>
      <c r="U26" s="16"/>
      <c r="V26" s="16"/>
      <c r="W26" s="16"/>
      <c r="X26" s="16"/>
    </row>
    <row r="27" spans="1:28" x14ac:dyDescent="0.25">
      <c r="A27" s="19"/>
      <c r="B27" s="19"/>
      <c r="C27" s="19"/>
      <c r="D27" s="19"/>
      <c r="E27" s="19"/>
      <c r="F27" s="19"/>
      <c r="G27" s="19"/>
      <c r="H27" s="19"/>
      <c r="I27" s="19"/>
      <c r="J27" s="19"/>
      <c r="K27" s="19"/>
      <c r="L27" s="19"/>
      <c r="M27" s="19"/>
      <c r="N27" s="19"/>
      <c r="O27" s="19"/>
      <c r="P27" s="19"/>
      <c r="Q27" s="19"/>
      <c r="R27" s="19"/>
      <c r="S27" s="19"/>
      <c r="T27" s="16"/>
      <c r="U27" s="16"/>
      <c r="V27" s="16"/>
      <c r="W27" s="16"/>
      <c r="X27" s="16"/>
    </row>
    <row r="28" spans="1:28" x14ac:dyDescent="0.25">
      <c r="A28" s="19"/>
      <c r="B28" s="19"/>
      <c r="C28" s="19"/>
      <c r="D28" s="19"/>
      <c r="E28" s="19"/>
      <c r="F28" s="19"/>
      <c r="G28" s="19"/>
      <c r="H28" s="19"/>
      <c r="I28" s="19"/>
      <c r="J28" s="19"/>
      <c r="K28" s="19"/>
      <c r="L28" s="19"/>
      <c r="M28" s="19"/>
      <c r="N28" s="19"/>
      <c r="O28" s="19"/>
      <c r="P28" s="19"/>
      <c r="Q28" s="19"/>
      <c r="R28" s="19"/>
      <c r="S28" s="19"/>
      <c r="T28" s="16"/>
      <c r="U28" s="16"/>
      <c r="V28" s="16"/>
      <c r="W28" s="16"/>
      <c r="X28" s="16"/>
    </row>
    <row r="29" spans="1:28" x14ac:dyDescent="0.25">
      <c r="A29" s="19"/>
      <c r="B29" s="19"/>
      <c r="C29" s="19"/>
      <c r="D29" s="19"/>
      <c r="E29" s="19"/>
      <c r="F29" s="19"/>
      <c r="G29" s="19"/>
      <c r="H29" s="19"/>
      <c r="I29" s="19"/>
      <c r="J29" s="19"/>
      <c r="K29" s="19"/>
      <c r="L29" s="19"/>
      <c r="M29" s="19"/>
      <c r="N29" s="19"/>
      <c r="O29" s="19"/>
      <c r="P29" s="19"/>
      <c r="Q29" s="19"/>
      <c r="R29" s="19"/>
      <c r="S29" s="19"/>
      <c r="T29" s="16"/>
      <c r="U29" s="16"/>
      <c r="V29" s="16"/>
      <c r="W29" s="16"/>
      <c r="X29" s="16"/>
    </row>
    <row r="30" spans="1:28" x14ac:dyDescent="0.25">
      <c r="A30" s="19"/>
      <c r="B30" s="19"/>
      <c r="C30" s="19"/>
      <c r="D30" s="19"/>
      <c r="E30" s="19"/>
      <c r="F30" s="19"/>
      <c r="G30" s="19"/>
      <c r="H30" s="19"/>
      <c r="I30" s="19"/>
      <c r="J30" s="19"/>
      <c r="K30" s="19"/>
      <c r="L30" s="19"/>
      <c r="M30" s="19"/>
      <c r="N30" s="19"/>
      <c r="O30" s="19"/>
      <c r="P30" s="19"/>
      <c r="Q30" s="19"/>
      <c r="R30" s="19"/>
      <c r="S30" s="19"/>
      <c r="T30" s="16"/>
      <c r="U30" s="16"/>
      <c r="V30" s="16"/>
      <c r="W30" s="16"/>
      <c r="X30" s="16"/>
    </row>
    <row r="31" spans="1:28" x14ac:dyDescent="0.25">
      <c r="A31" s="19"/>
      <c r="B31" s="19"/>
      <c r="C31" s="19"/>
      <c r="D31" s="19"/>
      <c r="E31" s="19"/>
      <c r="F31" s="19"/>
      <c r="G31" s="19"/>
      <c r="H31" s="19"/>
      <c r="I31" s="19"/>
      <c r="J31" s="19"/>
      <c r="K31" s="19"/>
      <c r="L31" s="19"/>
      <c r="M31" s="19"/>
      <c r="N31" s="19"/>
      <c r="O31" s="19"/>
      <c r="P31" s="19"/>
      <c r="Q31" s="19"/>
      <c r="R31" s="19"/>
      <c r="S31" s="19"/>
      <c r="T31" s="16"/>
      <c r="U31" s="16"/>
      <c r="V31" s="16"/>
      <c r="W31" s="16"/>
      <c r="X31" s="16"/>
    </row>
    <row r="32" spans="1:28" x14ac:dyDescent="0.25">
      <c r="A32" s="19"/>
      <c r="B32" s="19"/>
      <c r="C32" s="19"/>
      <c r="D32" s="19"/>
      <c r="E32" s="19"/>
      <c r="F32" s="19"/>
      <c r="G32" s="19"/>
      <c r="H32" s="19"/>
      <c r="I32" s="19"/>
      <c r="J32" s="19"/>
      <c r="K32" s="19"/>
      <c r="L32" s="19"/>
      <c r="M32" s="19"/>
      <c r="N32" s="19"/>
      <c r="O32" s="19"/>
      <c r="P32" s="19"/>
      <c r="Q32" s="19"/>
      <c r="R32" s="19"/>
      <c r="S32" s="19"/>
      <c r="T32" s="16"/>
      <c r="U32" s="16"/>
      <c r="V32" s="16"/>
      <c r="W32" s="16"/>
      <c r="X32" s="16"/>
    </row>
    <row r="33" spans="1:24" x14ac:dyDescent="0.25">
      <c r="A33" s="19"/>
      <c r="B33" s="19"/>
      <c r="C33" s="19"/>
      <c r="D33" s="19"/>
      <c r="E33" s="19"/>
      <c r="F33" s="19"/>
      <c r="G33" s="19"/>
      <c r="H33" s="19"/>
      <c r="I33" s="19"/>
      <c r="J33" s="19"/>
      <c r="K33" s="19"/>
      <c r="L33" s="19"/>
      <c r="M33" s="19"/>
      <c r="N33" s="19"/>
      <c r="O33" s="19"/>
      <c r="P33" s="19"/>
      <c r="Q33" s="19"/>
      <c r="R33" s="19"/>
      <c r="S33" s="19"/>
      <c r="T33" s="16"/>
      <c r="U33" s="16"/>
      <c r="V33" s="16"/>
      <c r="W33" s="16"/>
      <c r="X33" s="16"/>
    </row>
    <row r="34" spans="1:24" x14ac:dyDescent="0.25">
      <c r="A34" s="19"/>
      <c r="B34" s="19"/>
      <c r="C34" s="19"/>
      <c r="D34" s="19"/>
      <c r="E34" s="19"/>
      <c r="F34" s="19"/>
      <c r="G34" s="19"/>
      <c r="H34" s="19"/>
      <c r="I34" s="19"/>
      <c r="J34" s="19"/>
      <c r="K34" s="19"/>
      <c r="L34" s="19"/>
      <c r="M34" s="19"/>
      <c r="N34" s="19"/>
      <c r="O34" s="19"/>
      <c r="P34" s="19"/>
      <c r="Q34" s="19"/>
      <c r="R34" s="19"/>
      <c r="S34" s="19"/>
      <c r="T34" s="16"/>
      <c r="U34" s="16"/>
      <c r="V34" s="16"/>
      <c r="W34" s="16"/>
      <c r="X34" s="16"/>
    </row>
    <row r="35" spans="1:24"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4"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4"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4"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4"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4"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4"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4"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4" x14ac:dyDescent="0.25">
      <c r="A43" s="20"/>
      <c r="B43" s="20"/>
      <c r="C43" s="20"/>
      <c r="D43" s="20"/>
      <c r="E43" s="20"/>
      <c r="F43" s="20"/>
      <c r="G43" s="20"/>
      <c r="H43" s="20"/>
      <c r="I43" s="20"/>
      <c r="J43" s="20"/>
      <c r="K43" s="20"/>
      <c r="L43" s="20"/>
      <c r="M43" s="20"/>
      <c r="N43" s="20"/>
      <c r="O43" s="20"/>
      <c r="P43" s="20"/>
      <c r="Q43" s="20"/>
      <c r="R43" s="20"/>
      <c r="S43" s="20"/>
    </row>
    <row r="44" spans="1:24" x14ac:dyDescent="0.25">
      <c r="A44" s="20"/>
      <c r="B44" s="20"/>
      <c r="C44" s="20"/>
      <c r="D44" s="20"/>
      <c r="E44" s="20"/>
      <c r="F44" s="20"/>
      <c r="G44" s="20"/>
      <c r="H44" s="20"/>
      <c r="I44" s="20"/>
      <c r="J44" s="20"/>
      <c r="K44" s="20"/>
      <c r="L44" s="20"/>
      <c r="M44" s="20"/>
      <c r="N44" s="20"/>
      <c r="O44" s="20"/>
      <c r="P44" s="20"/>
      <c r="Q44" s="20"/>
      <c r="R44" s="20"/>
      <c r="S44" s="20"/>
    </row>
    <row r="45" spans="1:24" x14ac:dyDescent="0.25">
      <c r="A45" s="20"/>
      <c r="B45" s="20"/>
      <c r="C45" s="20"/>
      <c r="D45" s="20"/>
      <c r="E45" s="20"/>
      <c r="F45" s="20"/>
      <c r="G45" s="20"/>
      <c r="H45" s="20"/>
      <c r="I45" s="20"/>
      <c r="J45" s="20"/>
      <c r="K45" s="20"/>
      <c r="L45" s="20"/>
      <c r="M45" s="20"/>
      <c r="N45" s="20"/>
      <c r="O45" s="20"/>
      <c r="P45" s="20"/>
      <c r="Q45" s="20"/>
      <c r="R45" s="20"/>
      <c r="S45" s="20"/>
    </row>
    <row r="46" spans="1:24" x14ac:dyDescent="0.25">
      <c r="A46" s="20"/>
      <c r="B46" s="20"/>
      <c r="C46" s="20"/>
      <c r="D46" s="20"/>
      <c r="E46" s="20"/>
      <c r="F46" s="20"/>
      <c r="G46" s="20"/>
      <c r="H46" s="20"/>
      <c r="I46" s="20"/>
      <c r="J46" s="20"/>
      <c r="K46" s="20"/>
      <c r="L46" s="20"/>
      <c r="M46" s="20"/>
      <c r="N46" s="20"/>
      <c r="O46" s="20"/>
      <c r="P46" s="20"/>
      <c r="Q46" s="20"/>
      <c r="R46" s="20"/>
      <c r="S46" s="20"/>
    </row>
    <row r="47" spans="1:24" x14ac:dyDescent="0.25">
      <c r="A47" s="20"/>
      <c r="B47" s="20"/>
      <c r="C47" s="20"/>
      <c r="D47" s="20"/>
      <c r="E47" s="20"/>
      <c r="F47" s="20"/>
      <c r="G47" s="20"/>
      <c r="H47" s="20"/>
      <c r="I47" s="20"/>
      <c r="J47" s="20"/>
      <c r="K47" s="20"/>
      <c r="L47" s="20"/>
      <c r="M47" s="20"/>
      <c r="N47" s="20"/>
      <c r="O47" s="20"/>
      <c r="P47" s="20"/>
      <c r="Q47" s="20"/>
      <c r="R47" s="20"/>
      <c r="S47" s="20"/>
    </row>
    <row r="48" spans="1:24"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2 5 2018 3 56 28 PM.txt')</v>
      </c>
    </row>
    <row r="46" spans="1:1" x14ac:dyDescent="0.25">
      <c r="A46" t="str">
        <f ca="1">IF(auto_run,CONCATENATE("save('",SUBSTITUTE(results_directory,"\","/"),FEresults_name,TEXT(date_time," m d yyyy h mm ss AM/PM"),".odc')"),"")</f>
        <v>save('C:/WinBUGS Results/Fixed Effect Results 2 5 2018 3 56 28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2 5 2018 3 56 28 PM.txt')</v>
      </c>
    </row>
    <row r="46" spans="1:1" x14ac:dyDescent="0.25">
      <c r="A46" t="str">
        <f ca="1">IF(auto_run,CONCATENATE("save('",SUBSTITUTE(results_directory,"\","/"),REresults_name,TEXT(date_time," m d yyyy h mm ss AM/PM"),".odc')"),"")</f>
        <v>save('C:/WinBUGS Results/Random Effect Results (Vague ) 2 5 2018 3 56 28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2 5 2018 3 56 28 PM.txt')</v>
      </c>
    </row>
    <row r="32" spans="1:1" x14ac:dyDescent="0.25">
      <c r="A32" t="str">
        <f ca="1">IF(auto_run,CONCATENATE("save('",SUBSTITUTE(results_directory,"\","/"),"Inconsistency ",FEresults_name,TEXT(date_time," m d yyyy h mm ss AM/PM"),".odc')"),"")</f>
        <v>save('C:/WinBUGS Results/Inconsistency Fixed Effect Results 2 5 2018 3 56 28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2 5 2018 3 56 28 PM.txt')</v>
      </c>
    </row>
    <row r="31" spans="1:1" x14ac:dyDescent="0.25">
      <c r="A31" t="str">
        <f ca="1">IF(auto_run,CONCATENATE("save('",SUBSTITUTE(results_directory,"\","/"),"Inconsistency ",REresults_name,TEXT(date_time," m d yyyy h mm ss AM/PM"),".odc')"),"")</f>
        <v>save('C:/WinBUGS Results/Inconsistency Random Effect Results (Vague ) 2 5 2018 3 56 28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8" t="str">
        <f>"Fixed Effects"</f>
        <v>Fixed Effects</v>
      </c>
      <c r="G3" s="278"/>
      <c r="H3" s="278"/>
      <c r="I3" s="278"/>
      <c r="J3" s="278"/>
      <c r="K3" s="278"/>
      <c r="L3" s="278"/>
      <c r="N3" s="278" t="str">
        <f>"Fixed Effects"</f>
        <v>Fixed Effects</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8"/>
      <c r="G3" s="278"/>
      <c r="H3" s="278"/>
      <c r="I3" s="278"/>
      <c r="J3" s="278"/>
      <c r="K3" s="278"/>
      <c r="L3" s="278"/>
      <c r="N3" s="278"/>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354</v>
      </c>
      <c r="B5" s="54">
        <v>4</v>
      </c>
      <c r="C5" s="54">
        <v>2.3370000000000002</v>
      </c>
      <c r="E5" s="19">
        <v>4</v>
      </c>
      <c r="F5" s="59">
        <v>5</v>
      </c>
      <c r="G5" s="54" t="s">
        <v>689</v>
      </c>
      <c r="H5" s="16">
        <v>0.1999600079984003</v>
      </c>
      <c r="I5" s="16">
        <v>1.0482180293501049</v>
      </c>
      <c r="J5" s="16">
        <v>5.9276822762299943</v>
      </c>
      <c r="K5" s="59" t="str">
        <f>CONCATENATE(TEXT(I5,"0.00")," (",TEXT(H5,"0.00")," – ",TEXT(J5,"0.00"),")")</f>
        <v>1.05 (0.20 – 5.93)</v>
      </c>
      <c r="L5" s="16" t="str">
        <f>CONCATENATE(TEXT(I5,"0.00"),"
(",TEXT(H5,"0.00")," – ",TEXT(J5,"0.00"),")")</f>
        <v>1.05
(0.20 – 5.93)</v>
      </c>
      <c r="N5" s="59" t="s">
        <v>431</v>
      </c>
      <c r="O5" s="104" t="s">
        <v>653</v>
      </c>
      <c r="P5">
        <v>0.97899999999999998</v>
      </c>
      <c r="Q5">
        <v>1.6779999999999999</v>
      </c>
      <c r="R5">
        <v>3.121</v>
      </c>
      <c r="S5">
        <v>2</v>
      </c>
      <c r="T5">
        <v>1</v>
      </c>
    </row>
    <row r="6" spans="1:20" x14ac:dyDescent="0.25">
      <c r="A6" t="s">
        <v>355</v>
      </c>
      <c r="B6" s="19">
        <v>5</v>
      </c>
      <c r="C6" s="19">
        <v>2.629</v>
      </c>
      <c r="E6" s="19">
        <v>4</v>
      </c>
      <c r="F6" s="59">
        <v>6</v>
      </c>
      <c r="G6" s="54" t="s">
        <v>690</v>
      </c>
      <c r="H6" s="16">
        <v>0.33990482664853838</v>
      </c>
      <c r="I6" s="16">
        <v>0.80906148867313921</v>
      </c>
      <c r="J6" s="16">
        <v>2.035002035002035</v>
      </c>
      <c r="K6" s="59" t="str">
        <f t="shared" ref="K6:K69" si="0">CONCATENATE(TEXT(I6,"0.00")," (",TEXT(H6,"0.00")," – ",TEXT(J6,"0.00"),")")</f>
        <v>0.81 (0.34 – 2.04)</v>
      </c>
      <c r="L6" s="16" t="str">
        <f t="shared" ref="L6:L69" si="1">CONCATENATE(TEXT(I6,"0.00"),"
(",TEXT(H6,"0.00")," – ",TEXT(J6,"0.00"),")")</f>
        <v>0.81
(0.34 – 2.04)</v>
      </c>
      <c r="N6" s="59" t="s">
        <v>432</v>
      </c>
      <c r="O6" s="104" t="s">
        <v>654</v>
      </c>
      <c r="P6">
        <v>0.27189999999999998</v>
      </c>
      <c r="Q6">
        <v>0.60870000000000002</v>
      </c>
      <c r="R6">
        <v>1.3779999999999999</v>
      </c>
      <c r="S6">
        <v>3</v>
      </c>
      <c r="T6">
        <v>1</v>
      </c>
    </row>
    <row r="7" spans="1:20" x14ac:dyDescent="0.25">
      <c r="A7" t="s">
        <v>356</v>
      </c>
      <c r="B7" s="54">
        <v>6</v>
      </c>
      <c r="C7" s="54">
        <v>3.3170000000000002</v>
      </c>
      <c r="E7" s="19">
        <v>4</v>
      </c>
      <c r="F7" s="59">
        <v>3</v>
      </c>
      <c r="G7" s="54" t="s">
        <v>668</v>
      </c>
      <c r="H7" s="16">
        <v>0.3795</v>
      </c>
      <c r="I7" s="16">
        <v>0.76880000000000004</v>
      </c>
      <c r="J7" s="16">
        <v>1.5880000000000001</v>
      </c>
      <c r="K7" s="59" t="str">
        <f t="shared" si="0"/>
        <v>0.77 (0.38 – 1.59)</v>
      </c>
      <c r="L7" s="16" t="str">
        <f t="shared" si="1"/>
        <v>0.77
(0.38 – 1.59)</v>
      </c>
      <c r="N7" s="59" t="s">
        <v>433</v>
      </c>
      <c r="O7" s="104" t="s">
        <v>655</v>
      </c>
      <c r="P7">
        <v>0.16550000000000001</v>
      </c>
      <c r="Q7">
        <v>0.47039999999999998</v>
      </c>
      <c r="R7">
        <v>1.341</v>
      </c>
      <c r="S7">
        <v>4</v>
      </c>
      <c r="T7">
        <v>1</v>
      </c>
    </row>
    <row r="8" spans="1:20" x14ac:dyDescent="0.25">
      <c r="A8" t="s">
        <v>353</v>
      </c>
      <c r="B8" s="19">
        <v>3</v>
      </c>
      <c r="C8" s="19">
        <v>3.4550000000000001</v>
      </c>
      <c r="E8" s="19">
        <v>4</v>
      </c>
      <c r="F8" s="59">
        <v>7</v>
      </c>
      <c r="G8" s="54" t="s">
        <v>691</v>
      </c>
      <c r="H8" s="16">
        <v>0.22391401701746527</v>
      </c>
      <c r="I8" s="16">
        <v>0.65530799475753598</v>
      </c>
      <c r="J8" s="16">
        <v>1.7373175816539264</v>
      </c>
      <c r="K8" s="59" t="str">
        <f t="shared" si="0"/>
        <v>0.66 (0.22 – 1.74)</v>
      </c>
      <c r="L8" s="16" t="str">
        <f t="shared" si="1"/>
        <v>0.66
(0.22 – 1.74)</v>
      </c>
      <c r="N8" s="59" t="s">
        <v>434</v>
      </c>
      <c r="O8" s="104" t="s">
        <v>656</v>
      </c>
      <c r="P8">
        <v>9.3369999999999995E-2</v>
      </c>
      <c r="Q8">
        <v>0.45300000000000001</v>
      </c>
      <c r="R8">
        <v>1.92</v>
      </c>
      <c r="S8">
        <v>5</v>
      </c>
      <c r="T8">
        <v>1</v>
      </c>
    </row>
    <row r="9" spans="1:20" x14ac:dyDescent="0.25">
      <c r="A9" t="s">
        <v>357</v>
      </c>
      <c r="B9" s="54">
        <v>7</v>
      </c>
      <c r="C9" s="54">
        <v>4.0590000000000002</v>
      </c>
      <c r="E9" s="19">
        <v>4</v>
      </c>
      <c r="F9" s="59">
        <v>1</v>
      </c>
      <c r="G9" s="54" t="s">
        <v>655</v>
      </c>
      <c r="H9" s="16">
        <v>0.16550000000000001</v>
      </c>
      <c r="I9" s="16">
        <v>0.47039999999999998</v>
      </c>
      <c r="J9" s="16">
        <v>1.341</v>
      </c>
      <c r="K9" s="59" t="str">
        <f t="shared" si="0"/>
        <v>0.47 (0.17 – 1.34)</v>
      </c>
      <c r="L9" s="16" t="str">
        <f t="shared" si="1"/>
        <v>0.47
(0.17 – 1.34)</v>
      </c>
      <c r="N9" s="59" t="s">
        <v>435</v>
      </c>
      <c r="O9" s="104" t="s">
        <v>657</v>
      </c>
      <c r="P9">
        <v>0.1691</v>
      </c>
      <c r="Q9">
        <v>0.5847</v>
      </c>
      <c r="R9">
        <v>1.895</v>
      </c>
      <c r="S9">
        <v>6</v>
      </c>
      <c r="T9">
        <v>1</v>
      </c>
    </row>
    <row r="10" spans="1:20" x14ac:dyDescent="0.25">
      <c r="A10" t="s">
        <v>351</v>
      </c>
      <c r="B10" s="54">
        <v>1</v>
      </c>
      <c r="C10" s="54">
        <v>5.3479999999999999</v>
      </c>
      <c r="E10" s="19">
        <v>4</v>
      </c>
      <c r="F10" s="59">
        <v>2</v>
      </c>
      <c r="G10" s="54" t="s">
        <v>662</v>
      </c>
      <c r="H10" s="16">
        <v>0.1038</v>
      </c>
      <c r="I10" s="16">
        <v>0.27550000000000002</v>
      </c>
      <c r="J10" s="16">
        <v>0.73109999999999997</v>
      </c>
      <c r="K10" s="59" t="str">
        <f t="shared" si="0"/>
        <v>0.28 (0.10 – 0.73)</v>
      </c>
      <c r="L10" s="16" t="str">
        <f t="shared" si="1"/>
        <v>0.28
(0.10 – 0.73)</v>
      </c>
      <c r="N10" s="59" t="s">
        <v>436</v>
      </c>
      <c r="O10" s="104" t="s">
        <v>658</v>
      </c>
      <c r="P10">
        <v>0.35460000000000003</v>
      </c>
      <c r="Q10">
        <v>0.71750000000000003</v>
      </c>
      <c r="R10">
        <v>1.583</v>
      </c>
      <c r="S10">
        <v>7</v>
      </c>
      <c r="T10">
        <v>1</v>
      </c>
    </row>
    <row r="11" spans="1:20" x14ac:dyDescent="0.25">
      <c r="A11" t="s">
        <v>352</v>
      </c>
      <c r="B11" s="19">
        <v>2</v>
      </c>
      <c r="C11" s="19">
        <v>6.9269999999999996</v>
      </c>
      <c r="E11" s="19">
        <v>4</v>
      </c>
      <c r="F11" s="59">
        <v>8</v>
      </c>
      <c r="G11" s="54" t="s">
        <v>692</v>
      </c>
      <c r="H11" s="16">
        <v>2.1496130696474634E-2</v>
      </c>
      <c r="I11" s="16">
        <v>7.4626865671641784E-2</v>
      </c>
      <c r="J11" s="16">
        <v>0.27901785714285715</v>
      </c>
      <c r="K11" s="59" t="str">
        <f t="shared" si="0"/>
        <v>0.07 (0.02 – 0.28)</v>
      </c>
      <c r="L11" s="16" t="str">
        <f t="shared" si="1"/>
        <v>0.07
(0.02 – 0.28)</v>
      </c>
      <c r="N11" s="59" t="s">
        <v>437</v>
      </c>
      <c r="O11" s="104" t="s">
        <v>659</v>
      </c>
      <c r="P11">
        <v>2.2440000000000002</v>
      </c>
      <c r="Q11">
        <v>6.2450000000000001</v>
      </c>
      <c r="R11">
        <v>16.91</v>
      </c>
      <c r="S11">
        <v>8</v>
      </c>
      <c r="T11">
        <v>1</v>
      </c>
    </row>
    <row r="12" spans="1:20" x14ac:dyDescent="0.25">
      <c r="A12" t="s">
        <v>358</v>
      </c>
      <c r="B12" s="19">
        <v>8</v>
      </c>
      <c r="C12" s="19">
        <v>8.3409999999999993</v>
      </c>
      <c r="E12" s="19">
        <v>4</v>
      </c>
      <c r="F12" s="59">
        <v>9</v>
      </c>
      <c r="G12" s="54" t="s">
        <v>693</v>
      </c>
      <c r="H12" s="16">
        <v>4.0453074433656963E-3</v>
      </c>
      <c r="I12" s="16">
        <v>5.1334702258726897E-2</v>
      </c>
      <c r="J12" s="16">
        <v>0.38008361839604715</v>
      </c>
      <c r="K12" s="59" t="str">
        <f t="shared" si="0"/>
        <v>0.05 (0.00 – 0.38)</v>
      </c>
      <c r="L12" s="16" t="str">
        <f t="shared" si="1"/>
        <v>0.05
(0.00 – 0.38)</v>
      </c>
      <c r="N12" s="59" t="s">
        <v>438</v>
      </c>
      <c r="O12" s="104" t="s">
        <v>660</v>
      </c>
      <c r="P12">
        <v>1.724</v>
      </c>
      <c r="Q12">
        <v>9.2089999999999996</v>
      </c>
      <c r="R12">
        <v>91.29</v>
      </c>
      <c r="S12">
        <v>9</v>
      </c>
      <c r="T12">
        <v>1</v>
      </c>
    </row>
    <row r="13" spans="1:20" x14ac:dyDescent="0.25">
      <c r="A13" t="s">
        <v>359</v>
      </c>
      <c r="B13" s="19">
        <v>9</v>
      </c>
      <c r="C13" s="19">
        <v>8.5860000000000003</v>
      </c>
      <c r="E13" s="19">
        <v>5</v>
      </c>
      <c r="F13" s="59">
        <v>6</v>
      </c>
      <c r="G13" s="54" t="s">
        <v>694</v>
      </c>
      <c r="H13" s="16">
        <v>0.1235483073881888</v>
      </c>
      <c r="I13" s="16">
        <v>0.77942322681215903</v>
      </c>
      <c r="J13" s="16">
        <v>4.7080979284369118</v>
      </c>
      <c r="K13" s="59" t="str">
        <f t="shared" si="0"/>
        <v>0.78 (0.12 – 4.71)</v>
      </c>
      <c r="L13" s="16" t="str">
        <f t="shared" si="1"/>
        <v>0.78
(0.12 – 4.71)</v>
      </c>
      <c r="N13" s="59" t="s">
        <v>439</v>
      </c>
      <c r="O13" s="104" t="s">
        <v>661</v>
      </c>
      <c r="P13">
        <v>0.17929999999999999</v>
      </c>
      <c r="Q13">
        <v>0.36180000000000001</v>
      </c>
      <c r="R13">
        <v>0.71870000000000001</v>
      </c>
      <c r="S13">
        <v>3</v>
      </c>
      <c r="T13">
        <v>2</v>
      </c>
    </row>
    <row r="14" spans="1:20" x14ac:dyDescent="0.25">
      <c r="E14" s="19">
        <v>5</v>
      </c>
      <c r="F14" s="59">
        <v>3</v>
      </c>
      <c r="G14" s="54" t="s">
        <v>669</v>
      </c>
      <c r="H14" s="16">
        <v>0.14940000000000001</v>
      </c>
      <c r="I14" s="16">
        <v>0.73509999999999998</v>
      </c>
      <c r="J14" s="16">
        <v>3.327</v>
      </c>
      <c r="K14" s="59" t="str">
        <f t="shared" si="0"/>
        <v>0.74 (0.15 – 3.33)</v>
      </c>
      <c r="L14" s="16" t="str">
        <f t="shared" si="1"/>
        <v>0.74
(0.15 – 3.33)</v>
      </c>
      <c r="N14" s="59" t="s">
        <v>440</v>
      </c>
      <c r="O14" s="104" t="s">
        <v>662</v>
      </c>
      <c r="P14">
        <v>0.1038</v>
      </c>
      <c r="Q14">
        <v>0.27550000000000002</v>
      </c>
      <c r="R14">
        <v>0.73109999999999997</v>
      </c>
      <c r="S14">
        <v>4</v>
      </c>
      <c r="T14">
        <v>2</v>
      </c>
    </row>
    <row r="15" spans="1:20" ht="15" customHeight="1" x14ac:dyDescent="0.25">
      <c r="E15" s="19">
        <v>5</v>
      </c>
      <c r="F15" s="19">
        <v>7</v>
      </c>
      <c r="G15" s="19" t="s">
        <v>695</v>
      </c>
      <c r="H15" s="19">
        <v>0.11534025374855825</v>
      </c>
      <c r="I15" s="19">
        <v>0.62735257214554574</v>
      </c>
      <c r="J15" s="19">
        <v>2.770083102493075</v>
      </c>
      <c r="K15" s="59" t="str">
        <f t="shared" si="0"/>
        <v>0.63 (0.12 – 2.77)</v>
      </c>
      <c r="L15" s="16" t="str">
        <f t="shared" si="1"/>
        <v>0.63
(0.12 – 2.77)</v>
      </c>
      <c r="N15" s="59" t="s">
        <v>441</v>
      </c>
      <c r="O15" s="16" t="s">
        <v>663</v>
      </c>
      <c r="P15">
        <v>6.1089999999999998E-2</v>
      </c>
      <c r="Q15">
        <v>0.26900000000000002</v>
      </c>
      <c r="R15">
        <v>1.004</v>
      </c>
      <c r="S15">
        <v>5</v>
      </c>
      <c r="T15">
        <v>2</v>
      </c>
    </row>
    <row r="16" spans="1:20" ht="15" customHeight="1" x14ac:dyDescent="0.25">
      <c r="E16" s="19">
        <v>5</v>
      </c>
      <c r="F16" s="19">
        <v>1</v>
      </c>
      <c r="G16" s="19" t="s">
        <v>656</v>
      </c>
      <c r="H16" s="19">
        <v>9.3369999999999995E-2</v>
      </c>
      <c r="I16" s="19">
        <v>0.45300000000000001</v>
      </c>
      <c r="J16" s="19">
        <v>1.92</v>
      </c>
      <c r="K16" s="59" t="str">
        <f t="shared" si="0"/>
        <v>0.45 (0.09 – 1.92)</v>
      </c>
      <c r="L16" s="16" t="str">
        <f t="shared" si="1"/>
        <v>0.45
(0.09 – 1.92)</v>
      </c>
      <c r="N16" s="59" t="s">
        <v>442</v>
      </c>
      <c r="O16" s="16" t="s">
        <v>664</v>
      </c>
      <c r="P16">
        <v>0.1046</v>
      </c>
      <c r="Q16">
        <v>0.34329999999999999</v>
      </c>
      <c r="R16">
        <v>1.056</v>
      </c>
      <c r="S16">
        <v>6</v>
      </c>
      <c r="T16">
        <v>2</v>
      </c>
    </row>
    <row r="17" spans="5:20" ht="15" customHeight="1" x14ac:dyDescent="0.25">
      <c r="E17" s="19">
        <v>5</v>
      </c>
      <c r="F17" s="19">
        <v>2</v>
      </c>
      <c r="G17" s="19" t="s">
        <v>663</v>
      </c>
      <c r="H17" s="19">
        <v>6.1089999999999998E-2</v>
      </c>
      <c r="I17" s="19">
        <v>0.26900000000000002</v>
      </c>
      <c r="J17" s="19">
        <v>1.004</v>
      </c>
      <c r="K17" s="59" t="str">
        <f t="shared" si="0"/>
        <v>0.27 (0.06 – 1.00)</v>
      </c>
      <c r="L17" s="16" t="str">
        <f t="shared" si="1"/>
        <v>0.27
(0.06 – 1.00)</v>
      </c>
      <c r="N17" s="59" t="s">
        <v>443</v>
      </c>
      <c r="O17" s="16" t="s">
        <v>665</v>
      </c>
      <c r="P17">
        <v>0.21790000000000001</v>
      </c>
      <c r="Q17">
        <v>0.42699999999999999</v>
      </c>
      <c r="R17">
        <v>0.88919999999999999</v>
      </c>
      <c r="S17">
        <v>7</v>
      </c>
      <c r="T17">
        <v>2</v>
      </c>
    </row>
    <row r="18" spans="5:20" ht="15" customHeight="1" x14ac:dyDescent="0.25">
      <c r="E18" s="19">
        <v>5</v>
      </c>
      <c r="F18" s="19">
        <v>8</v>
      </c>
      <c r="G18" s="19" t="s">
        <v>696</v>
      </c>
      <c r="H18" s="19">
        <v>1.2594458438287152E-2</v>
      </c>
      <c r="I18" s="19">
        <v>7.1890726096333568E-2</v>
      </c>
      <c r="J18" s="19">
        <v>0.37327360955580441</v>
      </c>
      <c r="K18" s="59" t="str">
        <f t="shared" si="0"/>
        <v>0.07 (0.01 – 0.37)</v>
      </c>
      <c r="L18" s="16" t="str">
        <f t="shared" si="1"/>
        <v>0.07
(0.01 – 0.37)</v>
      </c>
      <c r="N18" s="59" t="s">
        <v>444</v>
      </c>
      <c r="O18" s="16" t="s">
        <v>666</v>
      </c>
      <c r="P18">
        <v>1.4670000000000001</v>
      </c>
      <c r="Q18">
        <v>3.6459999999999999</v>
      </c>
      <c r="R18">
        <v>9.1340000000000003</v>
      </c>
      <c r="S18">
        <v>8</v>
      </c>
      <c r="T18">
        <v>2</v>
      </c>
    </row>
    <row r="19" spans="5:20" ht="15" customHeight="1" x14ac:dyDescent="0.25">
      <c r="E19" s="19">
        <v>5</v>
      </c>
      <c r="F19" s="19">
        <v>9</v>
      </c>
      <c r="G19" s="19" t="s">
        <v>697</v>
      </c>
      <c r="H19" s="19">
        <v>3.1806615776081427E-3</v>
      </c>
      <c r="I19" s="19">
        <v>4.780114722753346E-2</v>
      </c>
      <c r="J19" s="19">
        <v>0.4480286738351254</v>
      </c>
      <c r="K19" s="59" t="str">
        <f t="shared" si="0"/>
        <v>0.05 (0.00 – 0.45)</v>
      </c>
      <c r="L19" s="16" t="str">
        <f t="shared" si="1"/>
        <v>0.05
(0.00 – 0.45)</v>
      </c>
      <c r="N19" s="59" t="s">
        <v>445</v>
      </c>
      <c r="O19" s="16" t="s">
        <v>667</v>
      </c>
      <c r="P19">
        <v>0.87570000000000003</v>
      </c>
      <c r="Q19">
        <v>5.4450000000000003</v>
      </c>
      <c r="R19">
        <v>57.41</v>
      </c>
      <c r="S19">
        <v>9</v>
      </c>
      <c r="T19">
        <v>2</v>
      </c>
    </row>
    <row r="20" spans="5:20" ht="15" customHeight="1" x14ac:dyDescent="0.25">
      <c r="E20" s="19">
        <v>6</v>
      </c>
      <c r="F20" s="19">
        <v>3</v>
      </c>
      <c r="G20" s="19" t="s">
        <v>670</v>
      </c>
      <c r="H20" s="19">
        <v>0.36599999999999999</v>
      </c>
      <c r="I20" s="19">
        <v>0.94820000000000004</v>
      </c>
      <c r="J20" s="19">
        <v>2.2949999999999999</v>
      </c>
      <c r="K20" s="59" t="str">
        <f t="shared" si="0"/>
        <v>0.95 (0.37 – 2.30)</v>
      </c>
      <c r="L20" s="16" t="str">
        <f t="shared" si="1"/>
        <v>0.95
(0.37 – 2.30)</v>
      </c>
      <c r="N20" s="59" t="s">
        <v>446</v>
      </c>
      <c r="O20" s="16" t="s">
        <v>668</v>
      </c>
      <c r="P20">
        <v>0.3795</v>
      </c>
      <c r="Q20">
        <v>0.76880000000000004</v>
      </c>
      <c r="R20">
        <v>1.5880000000000001</v>
      </c>
      <c r="S20">
        <v>4</v>
      </c>
      <c r="T20">
        <v>3</v>
      </c>
    </row>
    <row r="21" spans="5:20" ht="15" customHeight="1" x14ac:dyDescent="0.25">
      <c r="E21" s="19">
        <v>6</v>
      </c>
      <c r="F21" s="19">
        <v>7</v>
      </c>
      <c r="G21" s="19" t="s">
        <v>698</v>
      </c>
      <c r="H21" s="19">
        <v>0.22532672374943669</v>
      </c>
      <c r="I21" s="19">
        <v>0.81103000811030002</v>
      </c>
      <c r="J21" s="19">
        <v>2.4764735017335315</v>
      </c>
      <c r="K21" s="59" t="str">
        <f t="shared" si="0"/>
        <v>0.81 (0.23 – 2.48)</v>
      </c>
      <c r="L21" s="16" t="str">
        <f t="shared" si="1"/>
        <v>0.81
(0.23 – 2.48)</v>
      </c>
      <c r="N21" s="59" t="s">
        <v>447</v>
      </c>
      <c r="O21" s="16" t="s">
        <v>669</v>
      </c>
      <c r="P21">
        <v>0.14940000000000001</v>
      </c>
      <c r="Q21">
        <v>0.73509999999999998</v>
      </c>
      <c r="R21">
        <v>3.327</v>
      </c>
      <c r="S21">
        <v>5</v>
      </c>
      <c r="T21">
        <v>3</v>
      </c>
    </row>
    <row r="22" spans="5:20" ht="15" customHeight="1" x14ac:dyDescent="0.25">
      <c r="E22" s="19">
        <v>6</v>
      </c>
      <c r="F22" s="19">
        <v>1</v>
      </c>
      <c r="G22" s="19" t="s">
        <v>657</v>
      </c>
      <c r="H22" s="19">
        <v>0.1691</v>
      </c>
      <c r="I22" s="19">
        <v>0.5847</v>
      </c>
      <c r="J22" s="19">
        <v>1.895</v>
      </c>
      <c r="K22" s="59" t="str">
        <f t="shared" si="0"/>
        <v>0.58 (0.17 – 1.90)</v>
      </c>
      <c r="L22" s="16" t="str">
        <f t="shared" si="1"/>
        <v>0.58
(0.17 – 1.90)</v>
      </c>
      <c r="N22" s="59" t="s">
        <v>448</v>
      </c>
      <c r="O22" s="16" t="s">
        <v>670</v>
      </c>
      <c r="P22">
        <v>0.36599999999999999</v>
      </c>
      <c r="Q22">
        <v>0.94820000000000004</v>
      </c>
      <c r="R22">
        <v>2.2949999999999999</v>
      </c>
      <c r="S22">
        <v>6</v>
      </c>
      <c r="T22">
        <v>3</v>
      </c>
    </row>
    <row r="23" spans="5:20" ht="15" customHeight="1" x14ac:dyDescent="0.25">
      <c r="E23" s="19">
        <v>6</v>
      </c>
      <c r="F23" s="19">
        <v>2</v>
      </c>
      <c r="G23" s="19" t="s">
        <v>664</v>
      </c>
      <c r="H23" s="19">
        <v>0.1046</v>
      </c>
      <c r="I23" s="19">
        <v>0.34329999999999999</v>
      </c>
      <c r="J23" s="19">
        <v>1.056</v>
      </c>
      <c r="K23" s="59" t="str">
        <f t="shared" si="0"/>
        <v>0.34 (0.10 – 1.06)</v>
      </c>
      <c r="L23" s="16" t="str">
        <f t="shared" si="1"/>
        <v>0.34
(0.10 – 1.06)</v>
      </c>
      <c r="N23" s="59" t="s">
        <v>449</v>
      </c>
      <c r="O23" s="16" t="s">
        <v>671</v>
      </c>
      <c r="P23">
        <v>0.55249999999999999</v>
      </c>
      <c r="Q23">
        <v>1.1890000000000001</v>
      </c>
      <c r="R23">
        <v>2.6539999999999999</v>
      </c>
      <c r="S23">
        <v>7</v>
      </c>
      <c r="T23">
        <v>3</v>
      </c>
    </row>
    <row r="24" spans="5:20" ht="15" customHeight="1" x14ac:dyDescent="0.25">
      <c r="E24" s="19">
        <v>6</v>
      </c>
      <c r="F24" s="19">
        <v>8</v>
      </c>
      <c r="G24" s="19" t="s">
        <v>699</v>
      </c>
      <c r="H24" s="19">
        <v>2.3457658925639221E-2</v>
      </c>
      <c r="I24" s="19">
        <v>9.2592592592592587E-2</v>
      </c>
      <c r="J24" s="19">
        <v>0.37411148522259635</v>
      </c>
      <c r="K24" s="59" t="str">
        <f t="shared" si="0"/>
        <v>0.09 (0.02 – 0.37)</v>
      </c>
      <c r="L24" s="16" t="str">
        <f t="shared" si="1"/>
        <v>0.09
(0.02 – 0.37)</v>
      </c>
      <c r="N24" s="59" t="s">
        <v>450</v>
      </c>
      <c r="O24" s="16" t="s">
        <v>672</v>
      </c>
      <c r="P24">
        <v>3.4340000000000002</v>
      </c>
      <c r="Q24">
        <v>10.3</v>
      </c>
      <c r="R24">
        <v>28.14</v>
      </c>
      <c r="S24">
        <v>8</v>
      </c>
      <c r="T24">
        <v>3</v>
      </c>
    </row>
    <row r="25" spans="5:20" ht="15" customHeight="1" x14ac:dyDescent="0.25">
      <c r="E25" s="19">
        <v>6</v>
      </c>
      <c r="F25" s="19">
        <v>9</v>
      </c>
      <c r="G25" s="19" t="s">
        <v>700</v>
      </c>
      <c r="H25" s="19">
        <v>4.9751243781094526E-3</v>
      </c>
      <c r="I25" s="19">
        <v>6.2111801242236017E-2</v>
      </c>
      <c r="J25" s="19">
        <v>0.50761421319796951</v>
      </c>
      <c r="K25" s="59" t="str">
        <f t="shared" si="0"/>
        <v>0.06 (0.00 – 0.51)</v>
      </c>
      <c r="L25" s="16" t="str">
        <f t="shared" si="1"/>
        <v>0.06
(0.00 – 0.51)</v>
      </c>
      <c r="N25" s="59" t="s">
        <v>451</v>
      </c>
      <c r="O25" s="16" t="s">
        <v>673</v>
      </c>
      <c r="P25">
        <v>2.3069999999999999</v>
      </c>
      <c r="Q25">
        <v>15.04</v>
      </c>
      <c r="R25">
        <v>182.4</v>
      </c>
      <c r="S25">
        <v>9</v>
      </c>
      <c r="T25">
        <v>3</v>
      </c>
    </row>
    <row r="26" spans="5:20" ht="15" customHeight="1" x14ac:dyDescent="0.25">
      <c r="E26" s="19">
        <v>3</v>
      </c>
      <c r="F26" s="19">
        <v>7</v>
      </c>
      <c r="G26" s="19" t="s">
        <v>701</v>
      </c>
      <c r="H26" s="19">
        <v>0.37678975131876413</v>
      </c>
      <c r="I26" s="19">
        <v>0.84104289318755254</v>
      </c>
      <c r="J26" s="19">
        <v>1.8099547511312217</v>
      </c>
      <c r="K26" s="59" t="str">
        <f t="shared" si="0"/>
        <v>0.84 (0.38 – 1.81)</v>
      </c>
      <c r="L26" s="16" t="str">
        <f t="shared" si="1"/>
        <v>0.84
(0.38 – 1.81)</v>
      </c>
      <c r="N26" s="59" t="s">
        <v>452</v>
      </c>
      <c r="O26" s="16" t="s">
        <v>674</v>
      </c>
      <c r="P26">
        <v>0.16869999999999999</v>
      </c>
      <c r="Q26">
        <v>0.95399999999999996</v>
      </c>
      <c r="R26">
        <v>5.0010000000000003</v>
      </c>
      <c r="S26">
        <v>5</v>
      </c>
      <c r="T26">
        <v>4</v>
      </c>
    </row>
    <row r="27" spans="5:20" ht="15" customHeight="1" x14ac:dyDescent="0.25">
      <c r="E27" s="19">
        <v>3</v>
      </c>
      <c r="F27" s="19">
        <v>1</v>
      </c>
      <c r="G27" s="19" t="s">
        <v>654</v>
      </c>
      <c r="H27" s="19">
        <v>0.27189999999999998</v>
      </c>
      <c r="I27" s="19">
        <v>0.60870000000000002</v>
      </c>
      <c r="J27" s="19">
        <v>1.3779999999999999</v>
      </c>
      <c r="K27" s="59" t="str">
        <f t="shared" si="0"/>
        <v>0.61 (0.27 – 1.38)</v>
      </c>
      <c r="L27" s="16" t="str">
        <f t="shared" si="1"/>
        <v>0.61
(0.27 – 1.38)</v>
      </c>
      <c r="N27" s="59" t="s">
        <v>453</v>
      </c>
      <c r="O27" s="16" t="s">
        <v>675</v>
      </c>
      <c r="P27">
        <v>0.4914</v>
      </c>
      <c r="Q27">
        <v>1.236</v>
      </c>
      <c r="R27">
        <v>2.9420000000000002</v>
      </c>
      <c r="S27">
        <v>6</v>
      </c>
      <c r="T27">
        <v>4</v>
      </c>
    </row>
    <row r="28" spans="5:20" ht="15" customHeight="1" x14ac:dyDescent="0.25">
      <c r="E28" s="19">
        <v>3</v>
      </c>
      <c r="F28" s="19">
        <v>2</v>
      </c>
      <c r="G28" s="19" t="s">
        <v>661</v>
      </c>
      <c r="H28" s="19">
        <v>0.17929999999999999</v>
      </c>
      <c r="I28" s="19">
        <v>0.36180000000000001</v>
      </c>
      <c r="J28" s="19">
        <v>0.71870000000000001</v>
      </c>
      <c r="K28" s="59" t="str">
        <f t="shared" si="0"/>
        <v>0.36 (0.18 – 0.72)</v>
      </c>
      <c r="L28" s="16" t="str">
        <f t="shared" si="1"/>
        <v>0.36
(0.18 – 0.72)</v>
      </c>
      <c r="N28" s="59" t="s">
        <v>454</v>
      </c>
      <c r="O28" s="16" t="s">
        <v>676</v>
      </c>
      <c r="P28">
        <v>0.5756</v>
      </c>
      <c r="Q28">
        <v>1.526</v>
      </c>
      <c r="R28">
        <v>4.4660000000000002</v>
      </c>
      <c r="S28">
        <v>7</v>
      </c>
      <c r="T28">
        <v>4</v>
      </c>
    </row>
    <row r="29" spans="5:20" ht="15" customHeight="1" x14ac:dyDescent="0.25">
      <c r="E29" s="19">
        <v>3</v>
      </c>
      <c r="F29" s="19">
        <v>8</v>
      </c>
      <c r="G29" s="19" t="s">
        <v>702</v>
      </c>
      <c r="H29" s="19">
        <v>3.5536602700781801E-2</v>
      </c>
      <c r="I29" s="19">
        <v>9.7087378640776698E-2</v>
      </c>
      <c r="J29" s="19">
        <v>0.29120559114735001</v>
      </c>
      <c r="K29" s="59" t="str">
        <f t="shared" si="0"/>
        <v>0.10 (0.04 – 0.29)</v>
      </c>
      <c r="L29" s="16" t="str">
        <f t="shared" si="1"/>
        <v>0.10
(0.04 – 0.29)</v>
      </c>
      <c r="N29" s="59" t="s">
        <v>455</v>
      </c>
      <c r="O29" s="16" t="s">
        <v>677</v>
      </c>
      <c r="P29">
        <v>3.5840000000000001</v>
      </c>
      <c r="Q29">
        <v>13.4</v>
      </c>
      <c r="R29">
        <v>46.52</v>
      </c>
      <c r="S29">
        <v>8</v>
      </c>
      <c r="T29">
        <v>4</v>
      </c>
    </row>
    <row r="30" spans="5:20" ht="15" customHeight="1" x14ac:dyDescent="0.25">
      <c r="E30" s="19">
        <v>3</v>
      </c>
      <c r="F30" s="19">
        <v>9</v>
      </c>
      <c r="G30" s="19" t="s">
        <v>703</v>
      </c>
      <c r="H30" s="19">
        <v>5.4824561403508769E-3</v>
      </c>
      <c r="I30" s="19">
        <v>6.6489361702127658E-2</v>
      </c>
      <c r="J30" s="19">
        <v>0.43346337234503685</v>
      </c>
      <c r="K30" s="59" t="str">
        <f t="shared" si="0"/>
        <v>0.07 (0.01 – 0.43)</v>
      </c>
      <c r="L30" s="16" t="str">
        <f t="shared" si="1"/>
        <v>0.07
(0.01 – 0.43)</v>
      </c>
      <c r="N30" s="59" t="s">
        <v>456</v>
      </c>
      <c r="O30" s="16" t="s">
        <v>678</v>
      </c>
      <c r="P30">
        <v>2.6309999999999998</v>
      </c>
      <c r="Q30">
        <v>19.48</v>
      </c>
      <c r="R30">
        <v>247.2</v>
      </c>
      <c r="S30">
        <v>9</v>
      </c>
      <c r="T30">
        <v>4</v>
      </c>
    </row>
    <row r="31" spans="5:20" ht="15" customHeight="1" x14ac:dyDescent="0.25">
      <c r="E31" s="19">
        <v>7</v>
      </c>
      <c r="F31" s="19">
        <v>1</v>
      </c>
      <c r="G31" s="19" t="s">
        <v>658</v>
      </c>
      <c r="H31" s="19">
        <v>0.35460000000000003</v>
      </c>
      <c r="I31" s="19">
        <v>0.71750000000000003</v>
      </c>
      <c r="J31" s="19">
        <v>1.583</v>
      </c>
      <c r="K31" s="59" t="str">
        <f t="shared" si="0"/>
        <v>0.72 (0.35 – 1.58)</v>
      </c>
      <c r="L31" s="16" t="str">
        <f t="shared" si="1"/>
        <v>0.72
(0.35 – 1.58)</v>
      </c>
      <c r="N31" s="59" t="s">
        <v>457</v>
      </c>
      <c r="O31" s="16" t="s">
        <v>679</v>
      </c>
      <c r="P31">
        <v>0.21240000000000001</v>
      </c>
      <c r="Q31">
        <v>1.2829999999999999</v>
      </c>
      <c r="R31">
        <v>8.0939999999999994</v>
      </c>
      <c r="S31">
        <v>6</v>
      </c>
      <c r="T31">
        <v>5</v>
      </c>
    </row>
    <row r="32" spans="5:20" ht="15" customHeight="1" x14ac:dyDescent="0.25">
      <c r="E32" s="19">
        <v>7</v>
      </c>
      <c r="F32" s="19">
        <v>2</v>
      </c>
      <c r="G32" s="19" t="s">
        <v>665</v>
      </c>
      <c r="H32" s="19">
        <v>0.21790000000000001</v>
      </c>
      <c r="I32" s="19">
        <v>0.42699999999999999</v>
      </c>
      <c r="J32" s="19">
        <v>0.88919999999999999</v>
      </c>
      <c r="K32" s="59" t="str">
        <f t="shared" si="0"/>
        <v>0.43 (0.22 – 0.89)</v>
      </c>
      <c r="L32" s="16" t="str">
        <f t="shared" si="1"/>
        <v>0.43
(0.22 – 0.89)</v>
      </c>
      <c r="N32" s="59" t="s">
        <v>458</v>
      </c>
      <c r="O32" s="16" t="s">
        <v>680</v>
      </c>
      <c r="P32">
        <v>0.36099999999999999</v>
      </c>
      <c r="Q32">
        <v>1.5940000000000001</v>
      </c>
      <c r="R32">
        <v>8.67</v>
      </c>
      <c r="S32">
        <v>7</v>
      </c>
      <c r="T32">
        <v>5</v>
      </c>
    </row>
    <row r="33" spans="3:20" ht="15" customHeight="1" x14ac:dyDescent="0.25">
      <c r="E33" s="19">
        <v>7</v>
      </c>
      <c r="F33" s="19">
        <v>8</v>
      </c>
      <c r="G33" s="19" t="s">
        <v>704</v>
      </c>
      <c r="H33" s="19">
        <v>4.8169556840077066E-2</v>
      </c>
      <c r="I33" s="19">
        <v>0.11578094245687159</v>
      </c>
      <c r="J33" s="19">
        <v>0.31142946122703208</v>
      </c>
      <c r="K33" s="59" t="str">
        <f t="shared" si="0"/>
        <v>0.12 (0.05 – 0.31)</v>
      </c>
      <c r="L33" s="16" t="str">
        <f t="shared" si="1"/>
        <v>0.12
(0.05 – 0.31)</v>
      </c>
      <c r="N33" s="59" t="s">
        <v>459</v>
      </c>
      <c r="O33" s="16" t="s">
        <v>681</v>
      </c>
      <c r="P33">
        <v>2.6789999999999998</v>
      </c>
      <c r="Q33">
        <v>13.91</v>
      </c>
      <c r="R33">
        <v>79.400000000000006</v>
      </c>
      <c r="S33">
        <v>8</v>
      </c>
      <c r="T33">
        <v>5</v>
      </c>
    </row>
    <row r="34" spans="3:20" ht="15" customHeight="1" x14ac:dyDescent="0.25">
      <c r="E34" s="19">
        <v>7</v>
      </c>
      <c r="F34" s="19">
        <v>9</v>
      </c>
      <c r="G34" s="19" t="s">
        <v>705</v>
      </c>
      <c r="H34" s="19">
        <v>7.0028011204481787E-3</v>
      </c>
      <c r="I34" s="19">
        <v>7.7639751552795025E-2</v>
      </c>
      <c r="J34" s="19">
        <v>0.52164840897235265</v>
      </c>
      <c r="K34" s="59" t="str">
        <f t="shared" si="0"/>
        <v>0.08 (0.01 – 0.52)</v>
      </c>
      <c r="L34" s="16" t="str">
        <f t="shared" si="1"/>
        <v>0.08
(0.01 – 0.52)</v>
      </c>
      <c r="N34" s="59" t="s">
        <v>460</v>
      </c>
      <c r="O34" s="16" t="s">
        <v>682</v>
      </c>
      <c r="P34">
        <v>2.2320000000000002</v>
      </c>
      <c r="Q34">
        <v>20.92</v>
      </c>
      <c r="R34">
        <v>314.39999999999998</v>
      </c>
      <c r="S34">
        <v>9</v>
      </c>
      <c r="T34">
        <v>5</v>
      </c>
    </row>
    <row r="35" spans="3:20" ht="15" customHeight="1" x14ac:dyDescent="0.25">
      <c r="E35" s="19">
        <v>1</v>
      </c>
      <c r="F35" s="19">
        <v>2</v>
      </c>
      <c r="G35" s="19" t="s">
        <v>706</v>
      </c>
      <c r="H35" s="19">
        <v>0.32041012495994875</v>
      </c>
      <c r="I35" s="19">
        <v>0.59594755661501786</v>
      </c>
      <c r="J35" s="19">
        <v>1.0214504596527068</v>
      </c>
      <c r="K35" s="59" t="str">
        <f t="shared" si="0"/>
        <v>0.60 (0.32 – 1.02)</v>
      </c>
      <c r="L35" s="16" t="str">
        <f t="shared" si="1"/>
        <v>0.60
(0.32 – 1.02)</v>
      </c>
      <c r="N35" s="59" t="s">
        <v>461</v>
      </c>
      <c r="O35" s="16" t="s">
        <v>683</v>
      </c>
      <c r="P35">
        <v>0.40379999999999999</v>
      </c>
      <c r="Q35">
        <v>1.2330000000000001</v>
      </c>
      <c r="R35">
        <v>4.4379999999999997</v>
      </c>
      <c r="S35">
        <v>7</v>
      </c>
      <c r="T35">
        <v>6</v>
      </c>
    </row>
    <row r="36" spans="3:20" ht="15" customHeight="1" x14ac:dyDescent="0.25">
      <c r="C36" s="56"/>
      <c r="D36" s="57"/>
      <c r="E36" s="57">
        <v>1</v>
      </c>
      <c r="F36" s="57">
        <v>8</v>
      </c>
      <c r="G36" s="57" t="s">
        <v>707</v>
      </c>
      <c r="H36" s="57">
        <v>5.913660555884092E-2</v>
      </c>
      <c r="I36" s="57">
        <v>0.16012810248198558</v>
      </c>
      <c r="J36" s="57">
        <v>0.44563279857397498</v>
      </c>
      <c r="K36" s="59" t="str">
        <f t="shared" si="0"/>
        <v>0.16 (0.06 – 0.45)</v>
      </c>
      <c r="L36" s="16" t="str">
        <f t="shared" si="1"/>
        <v>0.16
(0.06 – 0.45)</v>
      </c>
      <c r="M36" s="57"/>
      <c r="N36" s="59" t="s">
        <v>462</v>
      </c>
      <c r="O36" s="16" t="s">
        <v>684</v>
      </c>
      <c r="P36">
        <v>2.673</v>
      </c>
      <c r="Q36">
        <v>10.8</v>
      </c>
      <c r="R36">
        <v>42.63</v>
      </c>
      <c r="S36">
        <v>8</v>
      </c>
      <c r="T36">
        <v>6</v>
      </c>
    </row>
    <row r="37" spans="3:20" ht="15" customHeight="1" x14ac:dyDescent="0.25">
      <c r="C37" s="56"/>
      <c r="D37" s="57"/>
      <c r="E37" s="57">
        <v>1</v>
      </c>
      <c r="F37" s="57">
        <v>9</v>
      </c>
      <c r="G37" s="57" t="s">
        <v>708</v>
      </c>
      <c r="H37" s="57">
        <v>1.0954102311315586E-2</v>
      </c>
      <c r="I37" s="57">
        <v>0.1085894233901618</v>
      </c>
      <c r="J37" s="57">
        <v>0.58004640371229699</v>
      </c>
      <c r="K37" s="59" t="str">
        <f t="shared" si="0"/>
        <v>0.11 (0.01 – 0.58)</v>
      </c>
      <c r="L37" s="16" t="str">
        <f t="shared" si="1"/>
        <v>0.11
(0.01 – 0.58)</v>
      </c>
      <c r="M37" s="57"/>
      <c r="N37" s="59" t="s">
        <v>463</v>
      </c>
      <c r="O37" s="16" t="s">
        <v>685</v>
      </c>
      <c r="P37">
        <v>1.97</v>
      </c>
      <c r="Q37">
        <v>16.100000000000001</v>
      </c>
      <c r="R37">
        <v>201</v>
      </c>
      <c r="S37">
        <v>9</v>
      </c>
      <c r="T37">
        <v>6</v>
      </c>
    </row>
    <row r="38" spans="3:20" ht="15" customHeight="1" x14ac:dyDescent="0.25">
      <c r="C38" s="56"/>
      <c r="D38" s="57"/>
      <c r="E38" s="57">
        <v>2</v>
      </c>
      <c r="F38" s="57">
        <v>8</v>
      </c>
      <c r="G38" s="57" t="s">
        <v>709</v>
      </c>
      <c r="H38" s="57">
        <v>0.10948105977665863</v>
      </c>
      <c r="I38" s="57">
        <v>0.27427317608337903</v>
      </c>
      <c r="J38" s="57">
        <v>0.68166325835037489</v>
      </c>
      <c r="K38" s="59" t="str">
        <f t="shared" si="0"/>
        <v>0.27 (0.11 – 0.68)</v>
      </c>
      <c r="L38" s="16" t="str">
        <f t="shared" si="1"/>
        <v>0.27
(0.11 – 0.68)</v>
      </c>
      <c r="M38" s="57"/>
      <c r="N38" s="59" t="s">
        <v>464</v>
      </c>
      <c r="O38" s="16" t="s">
        <v>686</v>
      </c>
      <c r="P38">
        <v>3.2109999999999999</v>
      </c>
      <c r="Q38">
        <v>8.6370000000000005</v>
      </c>
      <c r="R38">
        <v>20.76</v>
      </c>
      <c r="S38">
        <v>8</v>
      </c>
      <c r="T38">
        <v>7</v>
      </c>
    </row>
    <row r="39" spans="3:20" ht="15" customHeight="1" x14ac:dyDescent="0.25">
      <c r="C39" s="56"/>
      <c r="D39" s="57"/>
      <c r="E39" s="57">
        <v>2</v>
      </c>
      <c r="F39" s="57">
        <v>9</v>
      </c>
      <c r="G39" s="57" t="s">
        <v>710</v>
      </c>
      <c r="H39" s="57">
        <v>1.7418568193694479E-2</v>
      </c>
      <c r="I39" s="57">
        <v>0.18365472910927455</v>
      </c>
      <c r="J39" s="57">
        <v>1.1419435879867534</v>
      </c>
      <c r="K39" s="59" t="str">
        <f t="shared" si="0"/>
        <v>0.18 (0.02 – 1.14)</v>
      </c>
      <c r="L39" s="16" t="str">
        <f t="shared" si="1"/>
        <v>0.18
(0.02 – 1.14)</v>
      </c>
      <c r="M39" s="57"/>
      <c r="N39" s="59" t="s">
        <v>465</v>
      </c>
      <c r="O39" s="16" t="s">
        <v>687</v>
      </c>
      <c r="P39">
        <v>1.917</v>
      </c>
      <c r="Q39">
        <v>12.88</v>
      </c>
      <c r="R39">
        <v>142.80000000000001</v>
      </c>
      <c r="S39">
        <v>9</v>
      </c>
      <c r="T39">
        <v>7</v>
      </c>
    </row>
    <row r="40" spans="3:20" ht="15" customHeight="1" x14ac:dyDescent="0.25">
      <c r="C40" s="56"/>
      <c r="D40" s="57"/>
      <c r="E40" s="57">
        <v>8</v>
      </c>
      <c r="F40" s="57">
        <v>9</v>
      </c>
      <c r="G40" s="57" t="s">
        <v>711</v>
      </c>
      <c r="H40" s="57">
        <v>5.8105752469494475E-2</v>
      </c>
      <c r="I40" s="57">
        <v>0.66934404283801874</v>
      </c>
      <c r="J40" s="57">
        <v>4.8947626040137049</v>
      </c>
      <c r="K40" s="59" t="str">
        <f t="shared" si="0"/>
        <v>0.67 (0.06 – 4.89)</v>
      </c>
      <c r="L40" s="16" t="str">
        <f t="shared" si="1"/>
        <v>0.67
(0.06 – 4.89)</v>
      </c>
      <c r="M40" s="57"/>
      <c r="N40" s="59" t="s">
        <v>466</v>
      </c>
      <c r="O40" s="16" t="s">
        <v>688</v>
      </c>
      <c r="P40">
        <v>0.20430000000000001</v>
      </c>
      <c r="Q40">
        <v>1.494</v>
      </c>
      <c r="R40">
        <v>17.21</v>
      </c>
      <c r="S40">
        <v>9</v>
      </c>
      <c r="T40">
        <v>8</v>
      </c>
    </row>
    <row r="41" spans="3:20" ht="15" hidden="1" customHeight="1" x14ac:dyDescent="0.25">
      <c r="C41" s="56"/>
      <c r="D41" s="57"/>
      <c r="E41" s="57"/>
      <c r="F41" s="57"/>
      <c r="G41" s="57"/>
      <c r="H41" s="57"/>
      <c r="I41" s="57"/>
      <c r="J41" s="57"/>
      <c r="K41" s="59" t="str">
        <f t="shared" si="0"/>
        <v>0.00 (0.00 – 0.00)</v>
      </c>
      <c r="L41" s="16" t="str">
        <f t="shared" si="1"/>
        <v>0.00
(0.00 – 0.00)</v>
      </c>
      <c r="M41" s="57"/>
      <c r="N41" s="59"/>
      <c r="O41" s="16"/>
    </row>
    <row r="42" spans="3:20" ht="15" hidden="1" customHeight="1" x14ac:dyDescent="0.25">
      <c r="C42" s="56"/>
      <c r="D42" s="57"/>
      <c r="E42" s="57"/>
      <c r="F42" s="57"/>
      <c r="G42" s="57"/>
      <c r="H42" s="57"/>
      <c r="I42" s="57"/>
      <c r="J42" s="57"/>
      <c r="K42" s="59" t="str">
        <f t="shared" si="0"/>
        <v>0.00 (0.00 – 0.00)</v>
      </c>
      <c r="L42" s="16" t="str">
        <f t="shared" si="1"/>
        <v>0.00
(0.00 – 0.00)</v>
      </c>
      <c r="M42" s="57"/>
      <c r="N42" s="59"/>
      <c r="O42" s="16"/>
    </row>
    <row r="43" spans="3:20" ht="15" hidden="1" customHeight="1" x14ac:dyDescent="0.25">
      <c r="C43" s="56"/>
      <c r="D43" s="57"/>
      <c r="E43" s="57"/>
      <c r="F43" s="57"/>
      <c r="G43" s="57"/>
      <c r="H43" s="57"/>
      <c r="I43" s="57"/>
      <c r="J43" s="57"/>
      <c r="K43" s="59" t="str">
        <f t="shared" si="0"/>
        <v>0.00 (0.00 – 0.00)</v>
      </c>
      <c r="L43" s="16" t="str">
        <f t="shared" si="1"/>
        <v>0.00
(0.00 – 0.00)</v>
      </c>
      <c r="M43" s="57"/>
      <c r="N43" s="59"/>
      <c r="O43" s="16"/>
    </row>
    <row r="44" spans="3:20" ht="15" hidden="1" customHeight="1" x14ac:dyDescent="0.25">
      <c r="C44" s="56"/>
      <c r="D44" s="57"/>
      <c r="E44" s="57"/>
      <c r="F44" s="57"/>
      <c r="G44" s="57"/>
      <c r="H44" s="57"/>
      <c r="I44" s="57"/>
      <c r="J44" s="57"/>
      <c r="K44" s="59" t="str">
        <f t="shared" si="0"/>
        <v>0.00 (0.00 – 0.00)</v>
      </c>
      <c r="L44" s="16" t="str">
        <f t="shared" si="1"/>
        <v>0.00
(0.00 – 0.00)</v>
      </c>
      <c r="M44" s="57"/>
      <c r="N44" s="59"/>
      <c r="O44" s="16"/>
    </row>
    <row r="45" spans="3:20" ht="15" hidden="1" customHeight="1" x14ac:dyDescent="0.25">
      <c r="C45" s="56"/>
      <c r="D45" s="57"/>
      <c r="E45" s="57"/>
      <c r="F45" s="57"/>
      <c r="G45" s="57"/>
      <c r="H45" s="57"/>
      <c r="I45" s="57"/>
      <c r="J45" s="57"/>
      <c r="K45" s="59" t="str">
        <f t="shared" si="0"/>
        <v>0.00 (0.00 – 0.00)</v>
      </c>
      <c r="L45" s="16" t="str">
        <f t="shared" si="1"/>
        <v>0.00
(0.00 – 0.00)</v>
      </c>
      <c r="M45" s="57"/>
      <c r="N45" s="59"/>
      <c r="O45" s="16"/>
    </row>
    <row r="46" spans="3:20" ht="15" hidden="1" customHeight="1" x14ac:dyDescent="0.25">
      <c r="C46" s="56"/>
      <c r="D46" s="57"/>
      <c r="E46" s="57"/>
      <c r="F46" s="57"/>
      <c r="G46" s="57"/>
      <c r="H46" s="57"/>
      <c r="I46" s="57"/>
      <c r="J46" s="57"/>
      <c r="K46" s="59" t="str">
        <f t="shared" si="0"/>
        <v>0.00 (0.00 – 0.00)</v>
      </c>
      <c r="L46" s="16" t="str">
        <f t="shared" si="1"/>
        <v>0.00
(0.00 – 0.00)</v>
      </c>
      <c r="M46" s="57"/>
      <c r="N46" s="59"/>
      <c r="O46" s="16"/>
    </row>
    <row r="47" spans="3:20" ht="15" hidden="1" customHeight="1" x14ac:dyDescent="0.25">
      <c r="C47" s="56"/>
      <c r="D47" s="57"/>
      <c r="E47" s="57"/>
      <c r="F47" s="57"/>
      <c r="G47" s="57"/>
      <c r="H47" s="57"/>
      <c r="I47" s="57"/>
      <c r="J47" s="57"/>
      <c r="K47" s="59" t="str">
        <f t="shared" si="0"/>
        <v>0.00 (0.00 – 0.00)</v>
      </c>
      <c r="L47" s="16" t="str">
        <f t="shared" si="1"/>
        <v>0.00
(0.00 – 0.00)</v>
      </c>
      <c r="M47" s="57"/>
      <c r="N47" s="59"/>
      <c r="O47" s="16"/>
    </row>
    <row r="48" spans="3:20" ht="15" hidden="1" customHeight="1" x14ac:dyDescent="0.25">
      <c r="C48" s="56"/>
      <c r="D48" s="57"/>
      <c r="E48" s="57"/>
      <c r="F48" s="57"/>
      <c r="G48" s="57"/>
      <c r="H48" s="57"/>
      <c r="I48" s="57"/>
      <c r="J48" s="57"/>
      <c r="K48" s="59" t="str">
        <f t="shared" si="0"/>
        <v>0.00 (0.00 – 0.00)</v>
      </c>
      <c r="L48" s="16" t="str">
        <f t="shared" si="1"/>
        <v>0.00
(0.00 – 0.00)</v>
      </c>
      <c r="M48" s="57"/>
      <c r="N48" s="59"/>
      <c r="O48" s="16"/>
    </row>
    <row r="49" spans="3:15" ht="15" hidden="1"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0.1212 
95% CrI (0.03888 – 0.3476)</v>
      </c>
      <c r="F2" s="57"/>
      <c r="G2" s="57"/>
      <c r="H2" s="57"/>
      <c r="I2" s="57"/>
      <c r="J2" s="57"/>
      <c r="K2" s="57"/>
      <c r="L2" s="57"/>
      <c r="M2" s="57"/>
    </row>
    <row r="3" spans="1:20" x14ac:dyDescent="0.25">
      <c r="F3" s="278" t="str">
        <f>"Random Effects  (Informative Prior)"</f>
        <v>Random Effects  (Informative Prior)</v>
      </c>
      <c r="G3" s="278"/>
      <c r="H3" s="278"/>
      <c r="I3" s="278"/>
      <c r="J3" s="278"/>
      <c r="K3" s="278"/>
      <c r="L3" s="278"/>
      <c r="N3" s="278" t="str">
        <f>F3</f>
        <v>Random Effects  (Informative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354</v>
      </c>
      <c r="B5" s="19">
        <v>4</v>
      </c>
      <c r="C5" s="19">
        <v>2.2080000000000002</v>
      </c>
      <c r="E5" s="19">
        <v>4</v>
      </c>
      <c r="F5" s="19">
        <v>5</v>
      </c>
      <c r="G5" s="19" t="s">
        <v>689</v>
      </c>
      <c r="H5" s="19">
        <v>0.24497795198432143</v>
      </c>
      <c r="I5" s="19">
        <v>1.0510826150935464</v>
      </c>
      <c r="J5" s="19">
        <v>4.5641259698767689</v>
      </c>
      <c r="K5" s="59" t="str">
        <f t="shared" ref="K5:K40" si="0">CONCATENATE(TEXT(I5,"0.00")," (",TEXT(H5,"0.00")," – ",TEXT(J5,"0.00"),")")</f>
        <v>1.05 (0.24 – 4.56)</v>
      </c>
      <c r="L5" s="16" t="str">
        <f t="shared" ref="L5:L40" si="1">CONCATENATE(TEXT(I5,"0.00"),"
(",TEXT(H5,"0.00")," – ",TEXT(J5,"0.00"),")")</f>
        <v>1.05
(0.24 – 4.56)</v>
      </c>
      <c r="N5" s="59" t="s">
        <v>431</v>
      </c>
      <c r="O5" s="16" t="s">
        <v>653</v>
      </c>
      <c r="P5">
        <v>1.006</v>
      </c>
      <c r="Q5">
        <v>1.6850000000000001</v>
      </c>
      <c r="R5">
        <v>2.911</v>
      </c>
      <c r="S5">
        <v>2</v>
      </c>
      <c r="T5">
        <v>1</v>
      </c>
    </row>
    <row r="6" spans="1:20" x14ac:dyDescent="0.25">
      <c r="A6" t="s">
        <v>355</v>
      </c>
      <c r="B6" s="54">
        <v>5</v>
      </c>
      <c r="C6" s="54">
        <v>2.5</v>
      </c>
      <c r="E6" s="19">
        <v>6</v>
      </c>
      <c r="F6" s="19">
        <v>3</v>
      </c>
      <c r="G6" s="19" t="s">
        <v>670</v>
      </c>
      <c r="H6" s="19">
        <v>0.40760000000000002</v>
      </c>
      <c r="I6" s="19">
        <v>0.89890000000000003</v>
      </c>
      <c r="J6" s="19">
        <v>2.004</v>
      </c>
      <c r="K6" s="59" t="str">
        <f t="shared" si="0"/>
        <v>0.90 (0.41 – 2.00)</v>
      </c>
      <c r="L6" s="16" t="str">
        <f t="shared" si="1"/>
        <v>0.90
(0.41 – 2.00)</v>
      </c>
      <c r="N6" s="59" t="s">
        <v>432</v>
      </c>
      <c r="O6" s="16" t="s">
        <v>654</v>
      </c>
      <c r="P6">
        <v>0.27710000000000001</v>
      </c>
      <c r="Q6">
        <v>0.61429999999999996</v>
      </c>
      <c r="R6">
        <v>1.262</v>
      </c>
      <c r="S6">
        <v>3</v>
      </c>
      <c r="T6">
        <v>1</v>
      </c>
    </row>
    <row r="7" spans="1:20" x14ac:dyDescent="0.25">
      <c r="A7" t="s">
        <v>356</v>
      </c>
      <c r="B7" s="19">
        <v>6</v>
      </c>
      <c r="C7" s="19">
        <v>3.2109999999999999</v>
      </c>
      <c r="E7" s="19">
        <v>3</v>
      </c>
      <c r="F7" s="19">
        <v>7</v>
      </c>
      <c r="G7" s="19" t="s">
        <v>701</v>
      </c>
      <c r="H7" s="19">
        <v>0.41493775933609955</v>
      </c>
      <c r="I7" s="19">
        <v>0.86355785837651133</v>
      </c>
      <c r="J7" s="19">
        <v>1.6911889058007779</v>
      </c>
      <c r="K7" s="59" t="str">
        <f t="shared" si="0"/>
        <v>0.86 (0.41 – 1.69)</v>
      </c>
      <c r="L7" s="16" t="str">
        <f t="shared" si="1"/>
        <v>0.86
(0.41 – 1.69)</v>
      </c>
      <c r="N7" s="59" t="s">
        <v>433</v>
      </c>
      <c r="O7" s="16" t="s">
        <v>655</v>
      </c>
      <c r="P7">
        <v>0.17330000000000001</v>
      </c>
      <c r="Q7">
        <v>0.46250000000000002</v>
      </c>
      <c r="R7">
        <v>1.117</v>
      </c>
      <c r="S7">
        <v>4</v>
      </c>
      <c r="T7">
        <v>1</v>
      </c>
    </row>
    <row r="8" spans="1:20" x14ac:dyDescent="0.25">
      <c r="A8" t="s">
        <v>353</v>
      </c>
      <c r="B8" s="54">
        <v>3</v>
      </c>
      <c r="C8" s="54">
        <v>3.5670000000000002</v>
      </c>
      <c r="E8" s="57">
        <v>4</v>
      </c>
      <c r="F8" s="57">
        <v>6</v>
      </c>
      <c r="G8" s="57" t="s">
        <v>690</v>
      </c>
      <c r="H8" s="57">
        <v>0.38402457757296465</v>
      </c>
      <c r="I8" s="57">
        <v>0.82644628099173556</v>
      </c>
      <c r="J8" s="57">
        <v>1.7711654268508679</v>
      </c>
      <c r="K8" s="59" t="str">
        <f t="shared" si="0"/>
        <v>0.83 (0.38 – 1.77)</v>
      </c>
      <c r="L8" s="16" t="str">
        <f t="shared" si="1"/>
        <v>0.83
(0.38 – 1.77)</v>
      </c>
      <c r="N8" s="59" t="s">
        <v>434</v>
      </c>
      <c r="O8" s="16" t="s">
        <v>656</v>
      </c>
      <c r="P8">
        <v>0.1186</v>
      </c>
      <c r="Q8">
        <v>0.437</v>
      </c>
      <c r="R8">
        <v>1.5409999999999999</v>
      </c>
      <c r="S8">
        <v>5</v>
      </c>
      <c r="T8">
        <v>1</v>
      </c>
    </row>
    <row r="9" spans="1:20" x14ac:dyDescent="0.25">
      <c r="A9" t="s">
        <v>357</v>
      </c>
      <c r="B9" s="19">
        <v>7</v>
      </c>
      <c r="C9" s="19">
        <v>4.0830000000000002</v>
      </c>
      <c r="E9" s="19">
        <v>5</v>
      </c>
      <c r="F9" s="59">
        <v>6</v>
      </c>
      <c r="G9" s="54" t="s">
        <v>694</v>
      </c>
      <c r="H9" s="16">
        <v>0.16482610845557935</v>
      </c>
      <c r="I9" s="16">
        <v>0.78003120124804992</v>
      </c>
      <c r="J9" s="16">
        <v>3.9370078740157481</v>
      </c>
      <c r="K9" s="59" t="str">
        <f t="shared" si="0"/>
        <v>0.78 (0.16 – 3.94)</v>
      </c>
      <c r="L9" s="16" t="str">
        <f t="shared" si="1"/>
        <v>0.78
(0.16 – 3.94)</v>
      </c>
      <c r="N9" s="59" t="s">
        <v>435</v>
      </c>
      <c r="O9" s="16" t="s">
        <v>657</v>
      </c>
      <c r="P9">
        <v>0.1757</v>
      </c>
      <c r="Q9">
        <v>0.55920000000000003</v>
      </c>
      <c r="R9">
        <v>1.5960000000000001</v>
      </c>
      <c r="S9">
        <v>6</v>
      </c>
      <c r="T9">
        <v>1</v>
      </c>
    </row>
    <row r="10" spans="1:20" x14ac:dyDescent="0.25">
      <c r="A10" t="s">
        <v>351</v>
      </c>
      <c r="B10" s="19">
        <v>1</v>
      </c>
      <c r="C10" s="19">
        <v>5.5010000000000003</v>
      </c>
      <c r="E10" s="19">
        <v>6</v>
      </c>
      <c r="F10" s="59">
        <v>7</v>
      </c>
      <c r="G10" s="54" t="s">
        <v>698</v>
      </c>
      <c r="H10" s="16">
        <v>0.25799793601651189</v>
      </c>
      <c r="I10" s="16">
        <v>0.77760497667185069</v>
      </c>
      <c r="J10" s="16">
        <v>2.1710811984368217</v>
      </c>
      <c r="K10" s="59" t="str">
        <f t="shared" si="0"/>
        <v>0.78 (0.26 – 2.17)</v>
      </c>
      <c r="L10" s="16" t="str">
        <f t="shared" si="1"/>
        <v>0.78
(0.26 – 2.17)</v>
      </c>
      <c r="N10" s="59" t="s">
        <v>436</v>
      </c>
      <c r="O10" s="16" t="s">
        <v>658</v>
      </c>
      <c r="P10">
        <v>0.374</v>
      </c>
      <c r="Q10">
        <v>0.70899999999999996</v>
      </c>
      <c r="R10">
        <v>1.3140000000000001</v>
      </c>
      <c r="S10">
        <v>7</v>
      </c>
      <c r="T10">
        <v>1</v>
      </c>
    </row>
    <row r="11" spans="1:20" x14ac:dyDescent="0.25">
      <c r="A11" t="s">
        <v>352</v>
      </c>
      <c r="B11" s="54">
        <v>2</v>
      </c>
      <c r="C11" s="54">
        <v>6.976</v>
      </c>
      <c r="E11" s="19">
        <v>4</v>
      </c>
      <c r="F11" s="19">
        <v>3</v>
      </c>
      <c r="G11" s="19" t="s">
        <v>668</v>
      </c>
      <c r="H11" s="19">
        <v>0.4173</v>
      </c>
      <c r="I11" s="19">
        <v>0.74939999999999996</v>
      </c>
      <c r="J11" s="19">
        <v>1.3109999999999999</v>
      </c>
      <c r="K11" s="59" t="str">
        <f t="shared" si="0"/>
        <v>0.75 (0.42 – 1.31)</v>
      </c>
      <c r="L11" s="16" t="str">
        <f t="shared" si="1"/>
        <v>0.75
(0.42 – 1.31)</v>
      </c>
      <c r="N11" s="59" t="s">
        <v>437</v>
      </c>
      <c r="O11" s="16" t="s">
        <v>659</v>
      </c>
      <c r="P11">
        <v>2.5169999999999999</v>
      </c>
      <c r="Q11">
        <v>6.3090000000000002</v>
      </c>
      <c r="R11">
        <v>16.93</v>
      </c>
      <c r="S11">
        <v>8</v>
      </c>
      <c r="T11">
        <v>1</v>
      </c>
    </row>
    <row r="12" spans="1:20" x14ac:dyDescent="0.25">
      <c r="A12" t="s">
        <v>358</v>
      </c>
      <c r="B12" s="19">
        <v>8</v>
      </c>
      <c r="C12" s="19">
        <v>8.3480000000000008</v>
      </c>
      <c r="E12" s="19">
        <v>5</v>
      </c>
      <c r="F12" s="19">
        <v>3</v>
      </c>
      <c r="G12" s="19" t="s">
        <v>669</v>
      </c>
      <c r="H12" s="19">
        <v>0.17730000000000001</v>
      </c>
      <c r="I12" s="19">
        <v>0.71060000000000001</v>
      </c>
      <c r="J12" s="19">
        <v>2.7839999999999998</v>
      </c>
      <c r="K12" s="59" t="str">
        <f t="shared" si="0"/>
        <v>0.71 (0.18 – 2.78)</v>
      </c>
      <c r="L12" s="16" t="str">
        <f t="shared" si="1"/>
        <v>0.71
(0.18 – 2.78)</v>
      </c>
      <c r="N12" s="59" t="s">
        <v>438</v>
      </c>
      <c r="O12" s="16" t="s">
        <v>660</v>
      </c>
      <c r="P12">
        <v>1.7270000000000001</v>
      </c>
      <c r="Q12">
        <v>9.2799999999999994</v>
      </c>
      <c r="R12">
        <v>79.48</v>
      </c>
      <c r="S12">
        <v>9</v>
      </c>
      <c r="T12">
        <v>1</v>
      </c>
    </row>
    <row r="13" spans="1:20" x14ac:dyDescent="0.25">
      <c r="A13" t="s">
        <v>359</v>
      </c>
      <c r="B13" s="54">
        <v>9</v>
      </c>
      <c r="C13" s="54">
        <v>8.6050000000000004</v>
      </c>
      <c r="E13" s="19">
        <v>7</v>
      </c>
      <c r="F13" s="19">
        <v>1</v>
      </c>
      <c r="G13" s="19" t="s">
        <v>658</v>
      </c>
      <c r="H13" s="19">
        <v>0.374</v>
      </c>
      <c r="I13" s="19">
        <v>0.70899999999999996</v>
      </c>
      <c r="J13" s="19">
        <v>1.3140000000000001</v>
      </c>
      <c r="K13" s="59" t="str">
        <f t="shared" si="0"/>
        <v>0.71 (0.37 – 1.31)</v>
      </c>
      <c r="L13" s="16" t="str">
        <f t="shared" si="1"/>
        <v>0.71
(0.37 – 1.31)</v>
      </c>
      <c r="N13" s="59" t="s">
        <v>439</v>
      </c>
      <c r="O13" s="16" t="s">
        <v>661</v>
      </c>
      <c r="P13">
        <v>0.185</v>
      </c>
      <c r="Q13">
        <v>0.36020000000000002</v>
      </c>
      <c r="R13">
        <v>0.66930000000000001</v>
      </c>
      <c r="S13">
        <v>3</v>
      </c>
      <c r="T13">
        <v>2</v>
      </c>
    </row>
    <row r="14" spans="1:20" x14ac:dyDescent="0.25">
      <c r="E14" s="19">
        <v>8</v>
      </c>
      <c r="F14" s="19">
        <v>9</v>
      </c>
      <c r="G14" s="19" t="s">
        <v>711</v>
      </c>
      <c r="H14" s="19">
        <v>6.3011972274732209E-2</v>
      </c>
      <c r="I14" s="19">
        <v>0.65963060686015829</v>
      </c>
      <c r="J14" s="19">
        <v>4.8100048100048101</v>
      </c>
      <c r="K14" s="59" t="str">
        <f t="shared" si="0"/>
        <v>0.66 (0.06 – 4.81)</v>
      </c>
      <c r="L14" s="16" t="str">
        <f t="shared" si="1"/>
        <v>0.66
(0.06 – 4.81)</v>
      </c>
      <c r="N14" s="59" t="s">
        <v>440</v>
      </c>
      <c r="O14" s="16" t="s">
        <v>662</v>
      </c>
      <c r="P14">
        <v>0.1113</v>
      </c>
      <c r="Q14">
        <v>0.26800000000000002</v>
      </c>
      <c r="R14">
        <v>0.61780000000000002</v>
      </c>
      <c r="S14">
        <v>4</v>
      </c>
      <c r="T14">
        <v>2</v>
      </c>
    </row>
    <row r="15" spans="1:20" ht="15" customHeight="1" x14ac:dyDescent="0.25">
      <c r="E15" s="19">
        <v>4</v>
      </c>
      <c r="F15" s="19">
        <v>7</v>
      </c>
      <c r="G15" s="19" t="s">
        <v>691</v>
      </c>
      <c r="H15" s="19">
        <v>0.25354969574036512</v>
      </c>
      <c r="I15" s="19">
        <v>0.64557779212395094</v>
      </c>
      <c r="J15" s="19">
        <v>1.543448062972681</v>
      </c>
      <c r="K15" s="59" t="str">
        <f t="shared" si="0"/>
        <v>0.65 (0.25 – 1.54)</v>
      </c>
      <c r="L15" s="16" t="str">
        <f t="shared" si="1"/>
        <v>0.65
(0.25 – 1.54)</v>
      </c>
      <c r="N15" s="59" t="s">
        <v>441</v>
      </c>
      <c r="O15" s="16" t="s">
        <v>663</v>
      </c>
      <c r="P15">
        <v>7.4569999999999997E-2</v>
      </c>
      <c r="Q15">
        <v>0.25600000000000001</v>
      </c>
      <c r="R15">
        <v>0.82240000000000002</v>
      </c>
      <c r="S15">
        <v>5</v>
      </c>
      <c r="T15">
        <v>2</v>
      </c>
    </row>
    <row r="16" spans="1:20" ht="15" customHeight="1" x14ac:dyDescent="0.25">
      <c r="E16" s="57">
        <v>3</v>
      </c>
      <c r="F16" s="57">
        <v>1</v>
      </c>
      <c r="G16" s="57" t="s">
        <v>654</v>
      </c>
      <c r="H16" s="57">
        <v>0.27710000000000001</v>
      </c>
      <c r="I16" s="57">
        <v>0.61429999999999996</v>
      </c>
      <c r="J16" s="57">
        <v>1.262</v>
      </c>
      <c r="K16" s="59" t="str">
        <f t="shared" si="0"/>
        <v>0.61 (0.28 – 1.26)</v>
      </c>
      <c r="L16" s="16" t="str">
        <f t="shared" si="1"/>
        <v>0.61
(0.28 – 1.26)</v>
      </c>
      <c r="N16" s="59" t="s">
        <v>442</v>
      </c>
      <c r="O16" s="16" t="s">
        <v>664</v>
      </c>
      <c r="P16">
        <v>0.1163</v>
      </c>
      <c r="Q16">
        <v>0.33069999999999999</v>
      </c>
      <c r="R16">
        <v>0.87960000000000005</v>
      </c>
      <c r="S16">
        <v>6</v>
      </c>
      <c r="T16">
        <v>2</v>
      </c>
    </row>
    <row r="17" spans="5:20" ht="15" customHeight="1" x14ac:dyDescent="0.25">
      <c r="E17" s="19">
        <v>5</v>
      </c>
      <c r="F17" s="19">
        <v>7</v>
      </c>
      <c r="G17" s="19" t="s">
        <v>695</v>
      </c>
      <c r="H17" s="19">
        <v>0.15103458692040475</v>
      </c>
      <c r="I17" s="19">
        <v>0.6116207951070336</v>
      </c>
      <c r="J17" s="19">
        <v>2.3479690068091101</v>
      </c>
      <c r="K17" s="59" t="str">
        <f t="shared" si="0"/>
        <v>0.61 (0.15 – 2.35)</v>
      </c>
      <c r="L17" s="16" t="str">
        <f t="shared" si="1"/>
        <v>0.61
(0.15 – 2.35)</v>
      </c>
      <c r="N17" s="59" t="s">
        <v>443</v>
      </c>
      <c r="O17" s="16" t="s">
        <v>665</v>
      </c>
      <c r="P17">
        <v>0.2253</v>
      </c>
      <c r="Q17">
        <v>0.41760000000000003</v>
      </c>
      <c r="R17">
        <v>0.76890000000000003</v>
      </c>
      <c r="S17">
        <v>7</v>
      </c>
      <c r="T17">
        <v>2</v>
      </c>
    </row>
    <row r="18" spans="5:20" ht="15" customHeight="1" x14ac:dyDescent="0.25">
      <c r="E18" s="57">
        <v>1</v>
      </c>
      <c r="F18" s="57">
        <v>2</v>
      </c>
      <c r="G18" s="57" t="s">
        <v>706</v>
      </c>
      <c r="H18" s="57">
        <v>0.34352456200618342</v>
      </c>
      <c r="I18" s="57">
        <v>0.59347181008902072</v>
      </c>
      <c r="J18" s="57">
        <v>0.99403578528827041</v>
      </c>
      <c r="K18" s="59" t="str">
        <f t="shared" si="0"/>
        <v>0.59 (0.34 – 0.99)</v>
      </c>
      <c r="L18" s="16" t="str">
        <f t="shared" si="1"/>
        <v>0.59
(0.34 – 0.99)</v>
      </c>
      <c r="N18" s="59" t="s">
        <v>444</v>
      </c>
      <c r="O18" s="16" t="s">
        <v>666</v>
      </c>
      <c r="P18">
        <v>1.6619999999999999</v>
      </c>
      <c r="Q18">
        <v>3.7320000000000002</v>
      </c>
      <c r="R18">
        <v>8.5760000000000005</v>
      </c>
      <c r="S18">
        <v>8</v>
      </c>
      <c r="T18">
        <v>2</v>
      </c>
    </row>
    <row r="19" spans="5:20" ht="15" customHeight="1" x14ac:dyDescent="0.25">
      <c r="E19" s="19">
        <v>6</v>
      </c>
      <c r="F19" s="59">
        <v>1</v>
      </c>
      <c r="G19" s="54" t="s">
        <v>657</v>
      </c>
      <c r="H19" s="16">
        <v>0.1757</v>
      </c>
      <c r="I19" s="16">
        <v>0.55920000000000003</v>
      </c>
      <c r="J19" s="16">
        <v>1.5960000000000001</v>
      </c>
      <c r="K19" s="59" t="str">
        <f t="shared" si="0"/>
        <v>0.56 (0.18 – 1.60)</v>
      </c>
      <c r="L19" s="16" t="str">
        <f t="shared" si="1"/>
        <v>0.56
(0.18 – 1.60)</v>
      </c>
      <c r="N19" s="59" t="s">
        <v>445</v>
      </c>
      <c r="O19" s="16" t="s">
        <v>667</v>
      </c>
      <c r="P19">
        <v>0.94</v>
      </c>
      <c r="Q19">
        <v>5.5</v>
      </c>
      <c r="R19">
        <v>50.65</v>
      </c>
      <c r="S19">
        <v>9</v>
      </c>
      <c r="T19">
        <v>2</v>
      </c>
    </row>
    <row r="20" spans="5:20" ht="15" customHeight="1" x14ac:dyDescent="0.25">
      <c r="E20" s="57">
        <v>4</v>
      </c>
      <c r="F20" s="57">
        <v>1</v>
      </c>
      <c r="G20" s="57" t="s">
        <v>655</v>
      </c>
      <c r="H20" s="57">
        <v>0.17330000000000001</v>
      </c>
      <c r="I20" s="57">
        <v>0.46250000000000002</v>
      </c>
      <c r="J20" s="57">
        <v>1.117</v>
      </c>
      <c r="K20" s="59" t="str">
        <f t="shared" si="0"/>
        <v>0.46 (0.17 – 1.12)</v>
      </c>
      <c r="L20" s="16" t="str">
        <f t="shared" si="1"/>
        <v>0.46
(0.17 – 1.12)</v>
      </c>
      <c r="N20" s="59" t="s">
        <v>446</v>
      </c>
      <c r="O20" s="16" t="s">
        <v>668</v>
      </c>
      <c r="P20">
        <v>0.4173</v>
      </c>
      <c r="Q20">
        <v>0.74939999999999996</v>
      </c>
      <c r="R20">
        <v>1.3109999999999999</v>
      </c>
      <c r="S20">
        <v>4</v>
      </c>
      <c r="T20">
        <v>3</v>
      </c>
    </row>
    <row r="21" spans="5:20" ht="15" customHeight="1" x14ac:dyDescent="0.25">
      <c r="E21" s="19">
        <v>5</v>
      </c>
      <c r="F21" s="19">
        <v>1</v>
      </c>
      <c r="G21" s="19" t="s">
        <v>656</v>
      </c>
      <c r="H21" s="19">
        <v>0.1186</v>
      </c>
      <c r="I21" s="19">
        <v>0.437</v>
      </c>
      <c r="J21" s="19">
        <v>1.5409999999999999</v>
      </c>
      <c r="K21" s="59" t="str">
        <f t="shared" si="0"/>
        <v>0.44 (0.12 – 1.54)</v>
      </c>
      <c r="L21" s="16" t="str">
        <f t="shared" si="1"/>
        <v>0.44
(0.12 – 1.54)</v>
      </c>
      <c r="N21" s="59" t="s">
        <v>447</v>
      </c>
      <c r="O21" s="16" t="s">
        <v>669</v>
      </c>
      <c r="P21">
        <v>0.17730000000000001</v>
      </c>
      <c r="Q21">
        <v>0.71060000000000001</v>
      </c>
      <c r="R21">
        <v>2.7839999999999998</v>
      </c>
      <c r="S21">
        <v>5</v>
      </c>
      <c r="T21">
        <v>3</v>
      </c>
    </row>
    <row r="22" spans="5:20" ht="15" customHeight="1" x14ac:dyDescent="0.25">
      <c r="E22" s="19">
        <v>7</v>
      </c>
      <c r="F22" s="19">
        <v>2</v>
      </c>
      <c r="G22" s="19" t="s">
        <v>665</v>
      </c>
      <c r="H22" s="19">
        <v>0.2253</v>
      </c>
      <c r="I22" s="19">
        <v>0.41760000000000003</v>
      </c>
      <c r="J22" s="19">
        <v>0.76890000000000003</v>
      </c>
      <c r="K22" s="59" t="str">
        <f t="shared" si="0"/>
        <v>0.42 (0.23 – 0.77)</v>
      </c>
      <c r="L22" s="16" t="str">
        <f t="shared" si="1"/>
        <v>0.42
(0.23 – 0.77)</v>
      </c>
      <c r="N22" s="59" t="s">
        <v>448</v>
      </c>
      <c r="O22" s="16" t="s">
        <v>670</v>
      </c>
      <c r="P22">
        <v>0.40760000000000002</v>
      </c>
      <c r="Q22">
        <v>0.89890000000000003</v>
      </c>
      <c r="R22">
        <v>2.004</v>
      </c>
      <c r="S22">
        <v>6</v>
      </c>
      <c r="T22">
        <v>3</v>
      </c>
    </row>
    <row r="23" spans="5:20" ht="15" customHeight="1" x14ac:dyDescent="0.25">
      <c r="E23" s="19">
        <v>3</v>
      </c>
      <c r="F23" s="19">
        <v>2</v>
      </c>
      <c r="G23" s="19" t="s">
        <v>661</v>
      </c>
      <c r="H23" s="19">
        <v>0.185</v>
      </c>
      <c r="I23" s="19">
        <v>0.36020000000000002</v>
      </c>
      <c r="J23" s="19">
        <v>0.66930000000000001</v>
      </c>
      <c r="K23" s="59" t="str">
        <f t="shared" si="0"/>
        <v>0.36 (0.19 – 0.67)</v>
      </c>
      <c r="L23" s="16" t="str">
        <f t="shared" si="1"/>
        <v>0.36
(0.19 – 0.67)</v>
      </c>
      <c r="N23" s="59" t="s">
        <v>449</v>
      </c>
      <c r="O23" s="16" t="s">
        <v>671</v>
      </c>
      <c r="P23">
        <v>0.59130000000000005</v>
      </c>
      <c r="Q23">
        <v>1.1579999999999999</v>
      </c>
      <c r="R23">
        <v>2.41</v>
      </c>
      <c r="S23">
        <v>7</v>
      </c>
      <c r="T23">
        <v>3</v>
      </c>
    </row>
    <row r="24" spans="5:20" ht="15" customHeight="1" x14ac:dyDescent="0.25">
      <c r="E24" s="19">
        <v>6</v>
      </c>
      <c r="F24" s="19">
        <v>2</v>
      </c>
      <c r="G24" s="19" t="s">
        <v>664</v>
      </c>
      <c r="H24" s="19">
        <v>0.1163</v>
      </c>
      <c r="I24" s="19">
        <v>0.33069999999999999</v>
      </c>
      <c r="J24" s="19">
        <v>0.87960000000000005</v>
      </c>
      <c r="K24" s="59" t="str">
        <f t="shared" si="0"/>
        <v>0.33 (0.12 – 0.88)</v>
      </c>
      <c r="L24" s="16" t="str">
        <f t="shared" si="1"/>
        <v>0.33
(0.12 – 0.88)</v>
      </c>
      <c r="N24" s="59" t="s">
        <v>450</v>
      </c>
      <c r="O24" s="16" t="s">
        <v>672</v>
      </c>
      <c r="P24">
        <v>3.9489999999999998</v>
      </c>
      <c r="Q24">
        <v>10.49</v>
      </c>
      <c r="R24">
        <v>26.86</v>
      </c>
      <c r="S24">
        <v>8</v>
      </c>
      <c r="T24">
        <v>3</v>
      </c>
    </row>
    <row r="25" spans="5:20" ht="15" customHeight="1" x14ac:dyDescent="0.25">
      <c r="E25" s="57">
        <v>4</v>
      </c>
      <c r="F25" s="57">
        <v>2</v>
      </c>
      <c r="G25" s="57" t="s">
        <v>662</v>
      </c>
      <c r="H25" s="57">
        <v>0.1113</v>
      </c>
      <c r="I25" s="57">
        <v>0.26800000000000002</v>
      </c>
      <c r="J25" s="57">
        <v>0.61780000000000002</v>
      </c>
      <c r="K25" s="59" t="str">
        <f t="shared" si="0"/>
        <v>0.27 (0.11 – 0.62)</v>
      </c>
      <c r="L25" s="16" t="str">
        <f t="shared" si="1"/>
        <v>0.27
(0.11 – 0.62)</v>
      </c>
      <c r="N25" s="59" t="s">
        <v>451</v>
      </c>
      <c r="O25" s="16" t="s">
        <v>673</v>
      </c>
      <c r="P25">
        <v>2.5179999999999998</v>
      </c>
      <c r="Q25">
        <v>15.1</v>
      </c>
      <c r="R25">
        <v>160.5</v>
      </c>
      <c r="S25">
        <v>9</v>
      </c>
      <c r="T25">
        <v>3</v>
      </c>
    </row>
    <row r="26" spans="5:20" ht="15" customHeight="1" x14ac:dyDescent="0.25">
      <c r="E26" s="57">
        <v>2</v>
      </c>
      <c r="F26" s="57">
        <v>8</v>
      </c>
      <c r="G26" s="57" t="s">
        <v>709</v>
      </c>
      <c r="H26" s="57">
        <v>0.11660447761194029</v>
      </c>
      <c r="I26" s="57">
        <v>0.26795284030010719</v>
      </c>
      <c r="J26" s="57">
        <v>0.60168471720818295</v>
      </c>
      <c r="K26" s="59" t="str">
        <f t="shared" si="0"/>
        <v>0.27 (0.12 – 0.60)</v>
      </c>
      <c r="L26" s="16" t="str">
        <f t="shared" si="1"/>
        <v>0.27
(0.12 – 0.60)</v>
      </c>
      <c r="N26" s="59" t="s">
        <v>452</v>
      </c>
      <c r="O26" s="16" t="s">
        <v>674</v>
      </c>
      <c r="P26">
        <v>0.21909999999999999</v>
      </c>
      <c r="Q26">
        <v>0.95140000000000002</v>
      </c>
      <c r="R26">
        <v>4.0819999999999999</v>
      </c>
      <c r="S26">
        <v>5</v>
      </c>
      <c r="T26">
        <v>4</v>
      </c>
    </row>
    <row r="27" spans="5:20" ht="15" customHeight="1" x14ac:dyDescent="0.25">
      <c r="E27" s="19">
        <v>5</v>
      </c>
      <c r="F27" s="59">
        <v>2</v>
      </c>
      <c r="G27" s="54" t="s">
        <v>663</v>
      </c>
      <c r="H27" s="16">
        <v>7.4569999999999997E-2</v>
      </c>
      <c r="I27" s="16">
        <v>0.25600000000000001</v>
      </c>
      <c r="J27" s="16">
        <v>0.82240000000000002</v>
      </c>
      <c r="K27" s="59" t="str">
        <f t="shared" si="0"/>
        <v>0.26 (0.07 – 0.82)</v>
      </c>
      <c r="L27" s="16" t="str">
        <f t="shared" si="1"/>
        <v>0.26
(0.07 – 0.82)</v>
      </c>
      <c r="N27" s="59" t="s">
        <v>453</v>
      </c>
      <c r="O27" s="16" t="s">
        <v>675</v>
      </c>
      <c r="P27">
        <v>0.56459999999999999</v>
      </c>
      <c r="Q27">
        <v>1.21</v>
      </c>
      <c r="R27">
        <v>2.6040000000000001</v>
      </c>
      <c r="S27">
        <v>6</v>
      </c>
      <c r="T27">
        <v>4</v>
      </c>
    </row>
    <row r="28" spans="5:20" ht="15" customHeight="1" x14ac:dyDescent="0.25">
      <c r="E28" s="19">
        <v>2</v>
      </c>
      <c r="F28" s="19">
        <v>9</v>
      </c>
      <c r="G28" s="19" t="s">
        <v>710</v>
      </c>
      <c r="H28" s="19">
        <v>1.9743336623889437E-2</v>
      </c>
      <c r="I28" s="19">
        <v>0.18181818181818182</v>
      </c>
      <c r="J28" s="19">
        <v>1.0638297872340425</v>
      </c>
      <c r="K28" s="59" t="str">
        <f t="shared" si="0"/>
        <v>0.18 (0.02 – 1.06)</v>
      </c>
      <c r="L28" s="16" t="str">
        <f t="shared" si="1"/>
        <v>0.18
(0.02 – 1.06)</v>
      </c>
      <c r="N28" s="59" t="s">
        <v>454</v>
      </c>
      <c r="O28" s="16" t="s">
        <v>676</v>
      </c>
      <c r="P28">
        <v>0.64790000000000003</v>
      </c>
      <c r="Q28">
        <v>1.5489999999999999</v>
      </c>
      <c r="R28">
        <v>3.944</v>
      </c>
      <c r="S28">
        <v>7</v>
      </c>
      <c r="T28">
        <v>4</v>
      </c>
    </row>
    <row r="29" spans="5:20" ht="15" customHeight="1" x14ac:dyDescent="0.25">
      <c r="E29" s="57">
        <v>1</v>
      </c>
      <c r="F29" s="57">
        <v>8</v>
      </c>
      <c r="G29" s="57" t="s">
        <v>707</v>
      </c>
      <c r="H29" s="57">
        <v>5.9066745422327233E-2</v>
      </c>
      <c r="I29" s="57">
        <v>0.15850372483753367</v>
      </c>
      <c r="J29" s="57">
        <v>0.39729837107667859</v>
      </c>
      <c r="K29" s="59" t="str">
        <f t="shared" si="0"/>
        <v>0.16 (0.06 – 0.40)</v>
      </c>
      <c r="L29" s="16" t="str">
        <f t="shared" si="1"/>
        <v>0.16
(0.06 – 0.40)</v>
      </c>
      <c r="N29" s="59" t="s">
        <v>455</v>
      </c>
      <c r="O29" s="16" t="s">
        <v>677</v>
      </c>
      <c r="P29">
        <v>4.6020000000000003</v>
      </c>
      <c r="Q29">
        <v>13.8</v>
      </c>
      <c r="R29">
        <v>43.22</v>
      </c>
      <c r="S29">
        <v>8</v>
      </c>
      <c r="T29">
        <v>4</v>
      </c>
    </row>
    <row r="30" spans="5:20" ht="15" customHeight="1" x14ac:dyDescent="0.25">
      <c r="E30" s="19">
        <v>7</v>
      </c>
      <c r="F30" s="59">
        <v>8</v>
      </c>
      <c r="G30" s="54" t="s">
        <v>704</v>
      </c>
      <c r="H30" s="16">
        <v>4.3898156277436345E-2</v>
      </c>
      <c r="I30" s="16">
        <v>0.11091393078970718</v>
      </c>
      <c r="J30" s="16">
        <v>0.28129395218002812</v>
      </c>
      <c r="K30" s="59" t="str">
        <f t="shared" si="0"/>
        <v>0.11 (0.04 – 0.28)</v>
      </c>
      <c r="L30" s="16" t="str">
        <f t="shared" si="1"/>
        <v>0.11
(0.04 – 0.28)</v>
      </c>
      <c r="N30" s="59" t="s">
        <v>456</v>
      </c>
      <c r="O30" s="16" t="s">
        <v>678</v>
      </c>
      <c r="P30">
        <v>2.948</v>
      </c>
      <c r="Q30">
        <v>20.53</v>
      </c>
      <c r="R30">
        <v>225.8</v>
      </c>
      <c r="S30">
        <v>9</v>
      </c>
      <c r="T30">
        <v>4</v>
      </c>
    </row>
    <row r="31" spans="5:20" ht="15" customHeight="1" x14ac:dyDescent="0.25">
      <c r="E31" s="19">
        <v>1</v>
      </c>
      <c r="F31" s="59">
        <v>9</v>
      </c>
      <c r="G31" s="54" t="s">
        <v>708</v>
      </c>
      <c r="H31" s="16">
        <v>1.2581781580271767E-2</v>
      </c>
      <c r="I31" s="16">
        <v>0.10775862068965518</v>
      </c>
      <c r="J31" s="16">
        <v>0.57903879559930516</v>
      </c>
      <c r="K31" s="59" t="str">
        <f t="shared" si="0"/>
        <v>0.11 (0.01 – 0.58)</v>
      </c>
      <c r="L31" s="16" t="str">
        <f t="shared" si="1"/>
        <v>0.11
(0.01 – 0.58)</v>
      </c>
      <c r="N31" s="59" t="s">
        <v>457</v>
      </c>
      <c r="O31" s="16" t="s">
        <v>679</v>
      </c>
      <c r="P31">
        <v>0.254</v>
      </c>
      <c r="Q31">
        <v>1.282</v>
      </c>
      <c r="R31">
        <v>6.0670000000000002</v>
      </c>
      <c r="S31">
        <v>6</v>
      </c>
      <c r="T31">
        <v>5</v>
      </c>
    </row>
    <row r="32" spans="5:20" ht="15" customHeight="1" x14ac:dyDescent="0.25">
      <c r="E32" s="19">
        <v>3</v>
      </c>
      <c r="F32" s="19">
        <v>8</v>
      </c>
      <c r="G32" s="19" t="s">
        <v>702</v>
      </c>
      <c r="H32" s="19">
        <v>3.7230081906180192E-2</v>
      </c>
      <c r="I32" s="19">
        <v>9.532888465204957E-2</v>
      </c>
      <c r="J32" s="19">
        <v>0.25322866548493289</v>
      </c>
      <c r="K32" s="59" t="str">
        <f t="shared" si="0"/>
        <v>0.10 (0.04 – 0.25)</v>
      </c>
      <c r="L32" s="16" t="str">
        <f t="shared" si="1"/>
        <v>0.10
(0.04 – 0.25)</v>
      </c>
      <c r="N32" s="59" t="s">
        <v>458</v>
      </c>
      <c r="O32" s="16" t="s">
        <v>680</v>
      </c>
      <c r="P32">
        <v>0.4259</v>
      </c>
      <c r="Q32">
        <v>1.635</v>
      </c>
      <c r="R32">
        <v>6.6210000000000004</v>
      </c>
      <c r="S32">
        <v>7</v>
      </c>
      <c r="T32">
        <v>5</v>
      </c>
    </row>
    <row r="33" spans="3:20" ht="15" customHeight="1" x14ac:dyDescent="0.25">
      <c r="E33" s="19">
        <v>6</v>
      </c>
      <c r="F33" s="59">
        <v>8</v>
      </c>
      <c r="G33" s="54" t="s">
        <v>699</v>
      </c>
      <c r="H33" s="16">
        <v>2.4336821611097587E-2</v>
      </c>
      <c r="I33" s="16">
        <v>8.8652482269503549E-2</v>
      </c>
      <c r="J33" s="16">
        <v>0.29507229271171437</v>
      </c>
      <c r="K33" s="59" t="str">
        <f t="shared" si="0"/>
        <v>0.09 (0.02 – 0.30)</v>
      </c>
      <c r="L33" s="16" t="str">
        <f t="shared" si="1"/>
        <v>0.09
(0.02 – 0.30)</v>
      </c>
      <c r="N33" s="59" t="s">
        <v>459</v>
      </c>
      <c r="O33" s="16" t="s">
        <v>681</v>
      </c>
      <c r="P33">
        <v>3.5419999999999998</v>
      </c>
      <c r="Q33">
        <v>14.37</v>
      </c>
      <c r="R33">
        <v>63.26</v>
      </c>
      <c r="S33">
        <v>8</v>
      </c>
      <c r="T33">
        <v>5</v>
      </c>
    </row>
    <row r="34" spans="3:20" ht="15" customHeight="1" x14ac:dyDescent="0.25">
      <c r="E34" s="57">
        <v>7</v>
      </c>
      <c r="F34" s="57">
        <v>9</v>
      </c>
      <c r="G34" s="57" t="s">
        <v>705</v>
      </c>
      <c r="H34" s="57">
        <v>8.0450522928399038E-3</v>
      </c>
      <c r="I34" s="57">
        <v>7.5930144267274111E-2</v>
      </c>
      <c r="J34" s="57">
        <v>0.44583147570218462</v>
      </c>
      <c r="K34" s="59" t="str">
        <f t="shared" si="0"/>
        <v>0.08 (0.01 – 0.45)</v>
      </c>
      <c r="L34" s="16" t="str">
        <f t="shared" si="1"/>
        <v>0.08
(0.01 – 0.45)</v>
      </c>
      <c r="N34" s="59" t="s">
        <v>460</v>
      </c>
      <c r="O34" s="16" t="s">
        <v>682</v>
      </c>
      <c r="P34">
        <v>2.7490000000000001</v>
      </c>
      <c r="Q34">
        <v>21.79</v>
      </c>
      <c r="R34">
        <v>265.60000000000002</v>
      </c>
      <c r="S34">
        <v>9</v>
      </c>
      <c r="T34">
        <v>5</v>
      </c>
    </row>
    <row r="35" spans="3:20" ht="15" customHeight="1" x14ac:dyDescent="0.25">
      <c r="E35" s="19">
        <v>4</v>
      </c>
      <c r="F35" s="59">
        <v>8</v>
      </c>
      <c r="G35" s="54" t="s">
        <v>692</v>
      </c>
      <c r="H35" s="16">
        <v>2.3137436372049978E-2</v>
      </c>
      <c r="I35" s="16">
        <v>7.2463768115942032E-2</v>
      </c>
      <c r="J35" s="16">
        <v>0.21729682746631898</v>
      </c>
      <c r="K35" s="59" t="str">
        <f t="shared" si="0"/>
        <v>0.07 (0.02 – 0.22)</v>
      </c>
      <c r="L35" s="16" t="str">
        <f t="shared" si="1"/>
        <v>0.07
(0.02 – 0.22)</v>
      </c>
      <c r="N35" s="59" t="s">
        <v>461</v>
      </c>
      <c r="O35" s="16" t="s">
        <v>683</v>
      </c>
      <c r="P35">
        <v>0.46060000000000001</v>
      </c>
      <c r="Q35">
        <v>1.286</v>
      </c>
      <c r="R35">
        <v>3.8759999999999999</v>
      </c>
      <c r="S35">
        <v>7</v>
      </c>
      <c r="T35">
        <v>6</v>
      </c>
    </row>
    <row r="36" spans="3:20" ht="15" customHeight="1" x14ac:dyDescent="0.25">
      <c r="C36" s="56"/>
      <c r="D36" s="57"/>
      <c r="E36" s="57">
        <v>5</v>
      </c>
      <c r="F36" s="57">
        <v>8</v>
      </c>
      <c r="G36" s="57" t="s">
        <v>696</v>
      </c>
      <c r="H36" s="57">
        <v>1.5807777426493835E-2</v>
      </c>
      <c r="I36" s="57">
        <v>6.9589422407794019E-2</v>
      </c>
      <c r="J36" s="57">
        <v>0.28232636928289101</v>
      </c>
      <c r="K36" s="59" t="str">
        <f t="shared" si="0"/>
        <v>0.07 (0.02 – 0.28)</v>
      </c>
      <c r="L36" s="16" t="str">
        <f t="shared" si="1"/>
        <v>0.07
(0.02 – 0.28)</v>
      </c>
      <c r="M36" s="57"/>
      <c r="N36" s="59" t="s">
        <v>462</v>
      </c>
      <c r="O36" s="16" t="s">
        <v>684</v>
      </c>
      <c r="P36">
        <v>3.3889999999999998</v>
      </c>
      <c r="Q36">
        <v>11.28</v>
      </c>
      <c r="R36">
        <v>41.09</v>
      </c>
      <c r="S36">
        <v>8</v>
      </c>
      <c r="T36">
        <v>6</v>
      </c>
    </row>
    <row r="37" spans="3:20" ht="15" customHeight="1" x14ac:dyDescent="0.25">
      <c r="C37" s="56"/>
      <c r="D37" s="57"/>
      <c r="E37" s="19">
        <v>3</v>
      </c>
      <c r="F37" s="19">
        <v>9</v>
      </c>
      <c r="G37" s="19" t="s">
        <v>703</v>
      </c>
      <c r="H37" s="19">
        <v>6.2305295950155761E-3</v>
      </c>
      <c r="I37" s="19">
        <v>6.6225165562913912E-2</v>
      </c>
      <c r="J37" s="19">
        <v>0.39714058776806993</v>
      </c>
      <c r="K37" s="59" t="str">
        <f t="shared" si="0"/>
        <v>0.07 (0.01 – 0.40)</v>
      </c>
      <c r="L37" s="16" t="str">
        <f t="shared" si="1"/>
        <v>0.07
(0.01 – 0.40)</v>
      </c>
      <c r="M37" s="57"/>
      <c r="N37" s="59" t="s">
        <v>463</v>
      </c>
      <c r="O37" s="16" t="s">
        <v>685</v>
      </c>
      <c r="P37">
        <v>2.3130000000000002</v>
      </c>
      <c r="Q37">
        <v>16.98</v>
      </c>
      <c r="R37">
        <v>218.3</v>
      </c>
      <c r="S37">
        <v>9</v>
      </c>
      <c r="T37">
        <v>6</v>
      </c>
    </row>
    <row r="38" spans="3:20" ht="15" customHeight="1" x14ac:dyDescent="0.25">
      <c r="C38" s="56"/>
      <c r="D38" s="57"/>
      <c r="E38" s="57">
        <v>6</v>
      </c>
      <c r="F38" s="57">
        <v>9</v>
      </c>
      <c r="G38" s="57" t="s">
        <v>700</v>
      </c>
      <c r="H38" s="57">
        <v>4.5808520384791572E-3</v>
      </c>
      <c r="I38" s="57">
        <v>5.8892815076560655E-2</v>
      </c>
      <c r="J38" s="57">
        <v>0.43233895373973191</v>
      </c>
      <c r="K38" s="59" t="str">
        <f t="shared" si="0"/>
        <v>0.06 (0.00 – 0.43)</v>
      </c>
      <c r="L38" s="16" t="str">
        <f t="shared" si="1"/>
        <v>0.06
(0.00 – 0.43)</v>
      </c>
      <c r="M38" s="57"/>
      <c r="N38" s="59" t="s">
        <v>464</v>
      </c>
      <c r="O38" s="16" t="s">
        <v>686</v>
      </c>
      <c r="P38">
        <v>3.5550000000000002</v>
      </c>
      <c r="Q38">
        <v>9.016</v>
      </c>
      <c r="R38">
        <v>22.78</v>
      </c>
      <c r="S38">
        <v>8</v>
      </c>
      <c r="T38">
        <v>7</v>
      </c>
    </row>
    <row r="39" spans="3:20" ht="15" customHeight="1" x14ac:dyDescent="0.25">
      <c r="C39" s="56"/>
      <c r="D39" s="57"/>
      <c r="E39" s="19">
        <v>4</v>
      </c>
      <c r="F39" s="19">
        <v>9</v>
      </c>
      <c r="G39" s="19" t="s">
        <v>693</v>
      </c>
      <c r="H39" s="19">
        <v>4.4286979627989366E-3</v>
      </c>
      <c r="I39" s="19">
        <v>4.8709206039941548E-2</v>
      </c>
      <c r="J39" s="19">
        <v>0.33921302578018997</v>
      </c>
      <c r="K39" s="59" t="str">
        <f t="shared" si="0"/>
        <v>0.05 (0.00 – 0.34)</v>
      </c>
      <c r="L39" s="16" t="str">
        <f t="shared" si="1"/>
        <v>0.05
(0.00 – 0.34)</v>
      </c>
      <c r="M39" s="57"/>
      <c r="N39" s="59" t="s">
        <v>465</v>
      </c>
      <c r="O39" s="16" t="s">
        <v>687</v>
      </c>
      <c r="P39">
        <v>2.2429999999999999</v>
      </c>
      <c r="Q39">
        <v>13.17</v>
      </c>
      <c r="R39">
        <v>124.3</v>
      </c>
      <c r="S39">
        <v>9</v>
      </c>
      <c r="T39">
        <v>7</v>
      </c>
    </row>
    <row r="40" spans="3:20" ht="15" customHeight="1" x14ac:dyDescent="0.25">
      <c r="C40" s="56"/>
      <c r="D40" s="57"/>
      <c r="E40" s="19">
        <v>5</v>
      </c>
      <c r="F40" s="19">
        <v>9</v>
      </c>
      <c r="G40" s="19" t="s">
        <v>697</v>
      </c>
      <c r="H40" s="19">
        <v>3.765060240963855E-3</v>
      </c>
      <c r="I40" s="19">
        <v>4.5892611289582379E-2</v>
      </c>
      <c r="J40" s="19">
        <v>0.36376864314296103</v>
      </c>
      <c r="K40" s="59" t="str">
        <f t="shared" si="0"/>
        <v>0.05 (0.00 – 0.36)</v>
      </c>
      <c r="L40" s="16" t="str">
        <f t="shared" si="1"/>
        <v>0.05
(0.00 – 0.36)</v>
      </c>
      <c r="M40" s="57"/>
      <c r="N40" s="59" t="s">
        <v>466</v>
      </c>
      <c r="O40" s="16" t="s">
        <v>688</v>
      </c>
      <c r="P40">
        <v>0.2079</v>
      </c>
      <c r="Q40">
        <v>1.516</v>
      </c>
      <c r="R40">
        <v>15.87</v>
      </c>
      <c r="S40">
        <v>9</v>
      </c>
      <c r="T40">
        <v>8</v>
      </c>
    </row>
    <row r="41" spans="3:20" ht="15" hidden="1" customHeight="1" x14ac:dyDescent="0.25">
      <c r="C41" s="56"/>
      <c r="D41" s="57"/>
      <c r="E41" s="57"/>
      <c r="F41" s="57"/>
      <c r="G41" s="57"/>
      <c r="H41" s="57"/>
      <c r="I41" s="57"/>
      <c r="J41" s="57"/>
      <c r="K41" s="59" t="str">
        <f t="shared" ref="K41:K49" si="2">CONCATENATE(TEXT(I41,"0.00")," (",TEXT(H41,"0.00")," – ",TEXT(J41,"0.00"),")")</f>
        <v>0.00 (0.00 – 0.00)</v>
      </c>
      <c r="L41" s="16" t="str">
        <f t="shared" ref="L41:L49" si="3">CONCATENATE(TEXT(I41,"0.00"),"
(",TEXT(H41,"0.00")," – ",TEXT(J41,"0.00"),")")</f>
        <v>0.00
(0.00 – 0.00)</v>
      </c>
      <c r="M41" s="57"/>
      <c r="N41" s="59"/>
      <c r="O41" s="16"/>
    </row>
    <row r="42" spans="3:20" ht="15" hidden="1" customHeight="1" x14ac:dyDescent="0.25">
      <c r="C42" s="56"/>
      <c r="D42" s="57"/>
      <c r="E42" s="57"/>
      <c r="F42" s="57"/>
      <c r="G42" s="57"/>
      <c r="H42" s="57"/>
      <c r="I42" s="57"/>
      <c r="J42" s="57"/>
      <c r="K42" s="59" t="str">
        <f t="shared" si="2"/>
        <v>0.00 (0.00 – 0.00)</v>
      </c>
      <c r="L42" s="16" t="str">
        <f t="shared" si="3"/>
        <v>0.00
(0.00 – 0.00)</v>
      </c>
      <c r="M42" s="57"/>
      <c r="N42" s="59"/>
      <c r="O42" s="16"/>
    </row>
    <row r="43" spans="3:20" ht="15" hidden="1" customHeight="1" x14ac:dyDescent="0.25">
      <c r="C43" s="56"/>
      <c r="D43" s="57"/>
      <c r="K43" s="59" t="str">
        <f t="shared" si="2"/>
        <v>0.00 (0.00 – 0.00)</v>
      </c>
      <c r="L43" s="16" t="str">
        <f t="shared" si="3"/>
        <v>0.00
(0.00 – 0.00)</v>
      </c>
      <c r="M43" s="57"/>
      <c r="N43" s="59"/>
      <c r="O43" s="16"/>
    </row>
    <row r="44" spans="3:20" ht="15" hidden="1" customHeight="1" x14ac:dyDescent="0.25">
      <c r="C44" s="56"/>
      <c r="D44" s="57"/>
      <c r="F44" s="59"/>
      <c r="G44" s="54"/>
      <c r="H44" s="16"/>
      <c r="I44" s="16"/>
      <c r="J44" s="16"/>
      <c r="K44" s="59" t="str">
        <f t="shared" si="2"/>
        <v>0.00 (0.00 – 0.00)</v>
      </c>
      <c r="L44" s="16" t="str">
        <f t="shared" si="3"/>
        <v>0.00
(0.00 – 0.00)</v>
      </c>
      <c r="M44" s="57"/>
      <c r="N44" s="59"/>
      <c r="O44" s="16"/>
    </row>
    <row r="45" spans="3:20" ht="15" hidden="1" customHeight="1" x14ac:dyDescent="0.25">
      <c r="C45" s="56"/>
      <c r="D45" s="57"/>
      <c r="K45" s="59" t="str">
        <f t="shared" si="2"/>
        <v>0.00 (0.00 – 0.00)</v>
      </c>
      <c r="L45" s="16" t="str">
        <f t="shared" si="3"/>
        <v>0.00
(0.00 – 0.00)</v>
      </c>
      <c r="M45" s="57"/>
      <c r="N45" s="59"/>
      <c r="O45" s="16"/>
    </row>
    <row r="46" spans="3:20" ht="15" hidden="1" customHeight="1" x14ac:dyDescent="0.25">
      <c r="C46" s="56"/>
      <c r="D46" s="57"/>
      <c r="E46" s="57"/>
      <c r="F46" s="57"/>
      <c r="G46" s="57"/>
      <c r="H46" s="57"/>
      <c r="I46" s="57"/>
      <c r="J46" s="57"/>
      <c r="K46" s="59" t="str">
        <f t="shared" si="2"/>
        <v>0.00 (0.00 – 0.00)</v>
      </c>
      <c r="L46" s="16" t="str">
        <f t="shared" si="3"/>
        <v>0.00
(0.00 – 0.00)</v>
      </c>
      <c r="M46" s="57"/>
      <c r="N46" s="59"/>
      <c r="O46" s="16"/>
    </row>
    <row r="47" spans="3:20" ht="15" hidden="1" customHeight="1" x14ac:dyDescent="0.25">
      <c r="C47" s="56"/>
      <c r="D47" s="57"/>
      <c r="K47" s="59" t="str">
        <f t="shared" si="2"/>
        <v>0.00 (0.00 – 0.00)</v>
      </c>
      <c r="L47" s="16" t="str">
        <f t="shared" si="3"/>
        <v>0.00
(0.00 – 0.00)</v>
      </c>
      <c r="M47" s="57"/>
      <c r="N47" s="59"/>
      <c r="O47" s="16"/>
    </row>
    <row r="48" spans="3:20" ht="15" hidden="1" customHeight="1" x14ac:dyDescent="0.25">
      <c r="C48" s="56"/>
      <c r="D48" s="57"/>
      <c r="F48" s="59"/>
      <c r="G48" s="54"/>
      <c r="H48" s="16"/>
      <c r="I48" s="16"/>
      <c r="J48" s="16"/>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ref="K50:K68" si="4">CONCATENATE(TEXT(I50,"0.00")," (",TEXT(H50,"0.00")," – ",TEXT(J50,"0.00"),")")</f>
        <v>0.00 (0.00 – 0.00)</v>
      </c>
      <c r="L50" s="16" t="str">
        <f t="shared" ref="L50:L69" si="5">CONCATENATE(TEXT(I50,"0.00"),"
(",TEXT(H50,"0.00")," – ",TEXT(J50,"0.00"),")")</f>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0">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0.2201 
95% CrI (0.0157 – 0.7552)</v>
      </c>
      <c r="F2" s="57"/>
      <c r="G2" s="57"/>
      <c r="H2" s="57"/>
      <c r="I2" s="57"/>
      <c r="J2" s="57"/>
      <c r="K2" s="57"/>
      <c r="L2" s="57"/>
      <c r="M2" s="57"/>
    </row>
    <row r="3" spans="1:20" x14ac:dyDescent="0.25">
      <c r="F3" s="278" t="str">
        <f>"Random Effects (Vague Prior)"</f>
        <v>Random Effects (Vague Prior)</v>
      </c>
      <c r="G3" s="278"/>
      <c r="H3" s="278"/>
      <c r="I3" s="278"/>
      <c r="J3" s="278"/>
      <c r="K3" s="278"/>
      <c r="L3" s="278"/>
      <c r="N3" s="278" t="str">
        <f>F3</f>
        <v>Random Effects (Vague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354</v>
      </c>
      <c r="B5" s="19">
        <v>4</v>
      </c>
      <c r="C5" s="19">
        <v>2.3370000000000002</v>
      </c>
      <c r="E5" s="19">
        <v>4</v>
      </c>
      <c r="F5" s="59">
        <v>5</v>
      </c>
      <c r="G5" s="54" t="s">
        <v>689</v>
      </c>
      <c r="H5" s="16">
        <v>0.1999600079984003</v>
      </c>
      <c r="I5" s="16">
        <v>1.0482180293501049</v>
      </c>
      <c r="J5" s="16">
        <v>5.9276822762299943</v>
      </c>
      <c r="K5" s="59" t="str">
        <f t="shared" ref="K5:K40" si="0">CONCATENATE(TEXT(I5,"0.00")," (",TEXT(H5,"0.00")," – ",TEXT(J5,"0.00"),")")</f>
        <v>1.05 (0.20 – 5.93)</v>
      </c>
      <c r="L5" s="16" t="str">
        <f t="shared" ref="L5:L40" si="1">CONCATENATE(TEXT(I5,"0.00"),"
(",TEXT(H5,"0.00")," – ",TEXT(J5,"0.00"),")")</f>
        <v>1.05
(0.20 – 5.93)</v>
      </c>
      <c r="N5" s="59" t="s">
        <v>431</v>
      </c>
      <c r="O5" s="16" t="s">
        <v>653</v>
      </c>
      <c r="P5">
        <v>0.97899999999999998</v>
      </c>
      <c r="Q5">
        <v>1.6779999999999999</v>
      </c>
      <c r="R5">
        <v>3.121</v>
      </c>
      <c r="S5">
        <v>2</v>
      </c>
      <c r="T5">
        <v>1</v>
      </c>
    </row>
    <row r="6" spans="1:20" x14ac:dyDescent="0.25">
      <c r="A6" t="s">
        <v>355</v>
      </c>
      <c r="B6" s="19">
        <v>5</v>
      </c>
      <c r="C6" s="19">
        <v>2.629</v>
      </c>
      <c r="E6" s="19">
        <v>6</v>
      </c>
      <c r="F6" s="19">
        <v>3</v>
      </c>
      <c r="G6" s="19" t="s">
        <v>670</v>
      </c>
      <c r="H6" s="19">
        <v>0.36599999999999999</v>
      </c>
      <c r="I6" s="19">
        <v>0.94820000000000004</v>
      </c>
      <c r="J6" s="19">
        <v>2.2949999999999999</v>
      </c>
      <c r="K6" s="59" t="str">
        <f t="shared" si="0"/>
        <v>0.95 (0.37 – 2.30)</v>
      </c>
      <c r="L6" s="16" t="str">
        <f t="shared" si="1"/>
        <v>0.95
(0.37 – 2.30)</v>
      </c>
      <c r="N6" s="59" t="s">
        <v>432</v>
      </c>
      <c r="O6" s="16" t="s">
        <v>654</v>
      </c>
      <c r="P6">
        <v>0.27189999999999998</v>
      </c>
      <c r="Q6">
        <v>0.60870000000000002</v>
      </c>
      <c r="R6">
        <v>1.3779999999999999</v>
      </c>
      <c r="S6">
        <v>3</v>
      </c>
      <c r="T6">
        <v>1</v>
      </c>
    </row>
    <row r="7" spans="1:20" x14ac:dyDescent="0.25">
      <c r="A7" t="s">
        <v>356</v>
      </c>
      <c r="B7" s="54">
        <v>6</v>
      </c>
      <c r="C7" s="54">
        <v>3.3170000000000002</v>
      </c>
      <c r="E7" s="19">
        <v>3</v>
      </c>
      <c r="F7" s="59">
        <v>7</v>
      </c>
      <c r="G7" s="54" t="s">
        <v>701</v>
      </c>
      <c r="H7" s="16">
        <v>0.37678975131876413</v>
      </c>
      <c r="I7" s="16">
        <v>0.84104289318755254</v>
      </c>
      <c r="J7" s="16">
        <v>1.8099547511312217</v>
      </c>
      <c r="K7" s="59" t="str">
        <f t="shared" si="0"/>
        <v>0.84 (0.38 – 1.81)</v>
      </c>
      <c r="L7" s="16" t="str">
        <f t="shared" si="1"/>
        <v>0.84
(0.38 – 1.81)</v>
      </c>
      <c r="N7" s="59" t="s">
        <v>433</v>
      </c>
      <c r="O7" s="16" t="s">
        <v>655</v>
      </c>
      <c r="P7">
        <v>0.16550000000000001</v>
      </c>
      <c r="Q7">
        <v>0.47039999999999998</v>
      </c>
      <c r="R7">
        <v>1.341</v>
      </c>
      <c r="S7">
        <v>4</v>
      </c>
      <c r="T7">
        <v>1</v>
      </c>
    </row>
    <row r="8" spans="1:20" x14ac:dyDescent="0.25">
      <c r="A8" t="s">
        <v>353</v>
      </c>
      <c r="B8" s="54">
        <v>3</v>
      </c>
      <c r="C8" s="54">
        <v>3.4550000000000001</v>
      </c>
      <c r="E8" s="19">
        <v>6</v>
      </c>
      <c r="F8" s="59">
        <v>7</v>
      </c>
      <c r="G8" s="54" t="s">
        <v>698</v>
      </c>
      <c r="H8" s="16">
        <v>0.22532672374943669</v>
      </c>
      <c r="I8" s="16">
        <v>0.81103000811030002</v>
      </c>
      <c r="J8" s="16">
        <v>2.4764735017335315</v>
      </c>
      <c r="K8" s="59" t="str">
        <f t="shared" si="0"/>
        <v>0.81 (0.23 – 2.48)</v>
      </c>
      <c r="L8" s="16" t="str">
        <f t="shared" si="1"/>
        <v>0.81
(0.23 – 2.48)</v>
      </c>
      <c r="N8" s="59" t="s">
        <v>434</v>
      </c>
      <c r="O8" s="16" t="s">
        <v>656</v>
      </c>
      <c r="P8">
        <v>9.3369999999999995E-2</v>
      </c>
      <c r="Q8">
        <v>0.45300000000000001</v>
      </c>
      <c r="R8">
        <v>1.92</v>
      </c>
      <c r="S8">
        <v>5</v>
      </c>
      <c r="T8">
        <v>1</v>
      </c>
    </row>
    <row r="9" spans="1:20" x14ac:dyDescent="0.25">
      <c r="A9" t="s">
        <v>357</v>
      </c>
      <c r="B9" s="19">
        <v>7</v>
      </c>
      <c r="C9" s="19">
        <v>4.0590000000000002</v>
      </c>
      <c r="E9" s="57">
        <v>4</v>
      </c>
      <c r="F9" s="57">
        <v>6</v>
      </c>
      <c r="G9" s="57" t="s">
        <v>690</v>
      </c>
      <c r="H9" s="57">
        <v>0.33990482664853838</v>
      </c>
      <c r="I9" s="57">
        <v>0.80906148867313921</v>
      </c>
      <c r="J9" s="57">
        <v>2.035002035002035</v>
      </c>
      <c r="K9" s="59" t="str">
        <f t="shared" si="0"/>
        <v>0.81 (0.34 – 2.04)</v>
      </c>
      <c r="L9" s="16" t="str">
        <f t="shared" si="1"/>
        <v>0.81
(0.34 – 2.04)</v>
      </c>
      <c r="N9" s="59" t="s">
        <v>435</v>
      </c>
      <c r="O9" s="16" t="s">
        <v>657</v>
      </c>
      <c r="P9">
        <v>0.1691</v>
      </c>
      <c r="Q9">
        <v>0.5847</v>
      </c>
      <c r="R9">
        <v>1.895</v>
      </c>
      <c r="S9">
        <v>6</v>
      </c>
      <c r="T9">
        <v>1</v>
      </c>
    </row>
    <row r="10" spans="1:20" x14ac:dyDescent="0.25">
      <c r="A10" t="s">
        <v>351</v>
      </c>
      <c r="B10" s="19">
        <v>1</v>
      </c>
      <c r="C10" s="19">
        <v>5.3479999999999999</v>
      </c>
      <c r="E10" s="57">
        <v>5</v>
      </c>
      <c r="F10" s="57">
        <v>6</v>
      </c>
      <c r="G10" s="57" t="s">
        <v>694</v>
      </c>
      <c r="H10" s="57">
        <v>0.1235483073881888</v>
      </c>
      <c r="I10" s="57">
        <v>0.77942322681215903</v>
      </c>
      <c r="J10" s="57">
        <v>4.7080979284369118</v>
      </c>
      <c r="K10" s="59" t="str">
        <f t="shared" si="0"/>
        <v>0.78 (0.12 – 4.71)</v>
      </c>
      <c r="L10" s="16" t="str">
        <f t="shared" si="1"/>
        <v>0.78
(0.12 – 4.71)</v>
      </c>
      <c r="N10" s="59" t="s">
        <v>436</v>
      </c>
      <c r="O10" s="16" t="s">
        <v>658</v>
      </c>
      <c r="P10">
        <v>0.35460000000000003</v>
      </c>
      <c r="Q10">
        <v>0.71750000000000003</v>
      </c>
      <c r="R10">
        <v>1.583</v>
      </c>
      <c r="S10">
        <v>7</v>
      </c>
      <c r="T10">
        <v>1</v>
      </c>
    </row>
    <row r="11" spans="1:20" x14ac:dyDescent="0.25">
      <c r="A11" t="s">
        <v>352</v>
      </c>
      <c r="B11" s="54">
        <v>2</v>
      </c>
      <c r="C11" s="54">
        <v>6.9269999999999996</v>
      </c>
      <c r="E11" s="19">
        <v>4</v>
      </c>
      <c r="F11" s="19">
        <v>3</v>
      </c>
      <c r="G11" s="19" t="s">
        <v>668</v>
      </c>
      <c r="H11" s="19">
        <v>0.3795</v>
      </c>
      <c r="I11" s="19">
        <v>0.76880000000000004</v>
      </c>
      <c r="J11" s="19">
        <v>1.5880000000000001</v>
      </c>
      <c r="K11" s="59" t="str">
        <f t="shared" si="0"/>
        <v>0.77 (0.38 – 1.59)</v>
      </c>
      <c r="L11" s="16" t="str">
        <f t="shared" si="1"/>
        <v>0.77
(0.38 – 1.59)</v>
      </c>
      <c r="N11" s="59" t="s">
        <v>437</v>
      </c>
      <c r="O11" s="16" t="s">
        <v>659</v>
      </c>
      <c r="P11">
        <v>2.2440000000000002</v>
      </c>
      <c r="Q11">
        <v>6.2450000000000001</v>
      </c>
      <c r="R11">
        <v>16.91</v>
      </c>
      <c r="S11">
        <v>8</v>
      </c>
      <c r="T11">
        <v>1</v>
      </c>
    </row>
    <row r="12" spans="1:20" x14ac:dyDescent="0.25">
      <c r="A12" t="s">
        <v>358</v>
      </c>
      <c r="B12" s="19">
        <v>8</v>
      </c>
      <c r="C12" s="19">
        <v>8.3409999999999993</v>
      </c>
      <c r="E12" s="19">
        <v>5</v>
      </c>
      <c r="F12" s="59">
        <v>3</v>
      </c>
      <c r="G12" s="54" t="s">
        <v>669</v>
      </c>
      <c r="H12" s="16">
        <v>0.14940000000000001</v>
      </c>
      <c r="I12" s="16">
        <v>0.73509999999999998</v>
      </c>
      <c r="J12" s="16">
        <v>3.327</v>
      </c>
      <c r="K12" s="59" t="str">
        <f t="shared" si="0"/>
        <v>0.74 (0.15 – 3.33)</v>
      </c>
      <c r="L12" s="16" t="str">
        <f t="shared" si="1"/>
        <v>0.74
(0.15 – 3.33)</v>
      </c>
      <c r="N12" s="59" t="s">
        <v>438</v>
      </c>
      <c r="O12" s="16" t="s">
        <v>660</v>
      </c>
      <c r="P12">
        <v>1.724</v>
      </c>
      <c r="Q12">
        <v>9.2089999999999996</v>
      </c>
      <c r="R12">
        <v>91.29</v>
      </c>
      <c r="S12">
        <v>9</v>
      </c>
      <c r="T12">
        <v>1</v>
      </c>
    </row>
    <row r="13" spans="1:20" x14ac:dyDescent="0.25">
      <c r="A13" t="s">
        <v>359</v>
      </c>
      <c r="B13" s="54">
        <v>9</v>
      </c>
      <c r="C13" s="54">
        <v>8.5860000000000003</v>
      </c>
      <c r="E13" s="19">
        <v>7</v>
      </c>
      <c r="F13" s="19">
        <v>1</v>
      </c>
      <c r="G13" s="19" t="s">
        <v>658</v>
      </c>
      <c r="H13" s="19">
        <v>0.35460000000000003</v>
      </c>
      <c r="I13" s="19">
        <v>0.71750000000000003</v>
      </c>
      <c r="J13" s="19">
        <v>1.583</v>
      </c>
      <c r="K13" s="59" t="str">
        <f t="shared" si="0"/>
        <v>0.72 (0.35 – 1.58)</v>
      </c>
      <c r="L13" s="16" t="str">
        <f t="shared" si="1"/>
        <v>0.72
(0.35 – 1.58)</v>
      </c>
      <c r="N13" s="59" t="s">
        <v>439</v>
      </c>
      <c r="O13" s="16" t="s">
        <v>661</v>
      </c>
      <c r="P13">
        <v>0.17929999999999999</v>
      </c>
      <c r="Q13">
        <v>0.36180000000000001</v>
      </c>
      <c r="R13">
        <v>0.71870000000000001</v>
      </c>
      <c r="S13">
        <v>3</v>
      </c>
      <c r="T13">
        <v>2</v>
      </c>
    </row>
    <row r="14" spans="1:20" x14ac:dyDescent="0.25">
      <c r="E14" s="19">
        <v>8</v>
      </c>
      <c r="F14" s="19">
        <v>9</v>
      </c>
      <c r="G14" s="19" t="s">
        <v>711</v>
      </c>
      <c r="H14" s="19">
        <v>5.8105752469494475E-2</v>
      </c>
      <c r="I14" s="19">
        <v>0.66934404283801874</v>
      </c>
      <c r="J14" s="19">
        <v>4.8947626040137049</v>
      </c>
      <c r="K14" s="59" t="str">
        <f t="shared" si="0"/>
        <v>0.67 (0.06 – 4.89)</v>
      </c>
      <c r="L14" s="16" t="str">
        <f t="shared" si="1"/>
        <v>0.67
(0.06 – 4.89)</v>
      </c>
      <c r="N14" s="59" t="s">
        <v>440</v>
      </c>
      <c r="O14" s="16" t="s">
        <v>662</v>
      </c>
      <c r="P14">
        <v>0.1038</v>
      </c>
      <c r="Q14">
        <v>0.27550000000000002</v>
      </c>
      <c r="R14">
        <v>0.73109999999999997</v>
      </c>
      <c r="S14">
        <v>4</v>
      </c>
      <c r="T14">
        <v>2</v>
      </c>
    </row>
    <row r="15" spans="1:20" ht="15" customHeight="1" x14ac:dyDescent="0.25">
      <c r="E15" s="19">
        <v>4</v>
      </c>
      <c r="F15" s="19">
        <v>7</v>
      </c>
      <c r="G15" s="19" t="s">
        <v>691</v>
      </c>
      <c r="H15" s="19">
        <v>0.22391401701746527</v>
      </c>
      <c r="I15" s="19">
        <v>0.65530799475753598</v>
      </c>
      <c r="J15" s="19">
        <v>1.7373175816539264</v>
      </c>
      <c r="K15" s="59" t="str">
        <f t="shared" si="0"/>
        <v>0.66 (0.22 – 1.74)</v>
      </c>
      <c r="L15" s="16" t="str">
        <f t="shared" si="1"/>
        <v>0.66
(0.22 – 1.74)</v>
      </c>
      <c r="N15" s="59" t="s">
        <v>441</v>
      </c>
      <c r="O15" s="16" t="s">
        <v>663</v>
      </c>
      <c r="P15">
        <v>6.1089999999999998E-2</v>
      </c>
      <c r="Q15">
        <v>0.26900000000000002</v>
      </c>
      <c r="R15">
        <v>1.004</v>
      </c>
      <c r="S15">
        <v>5</v>
      </c>
      <c r="T15">
        <v>2</v>
      </c>
    </row>
    <row r="16" spans="1:20" ht="15" customHeight="1" x14ac:dyDescent="0.25">
      <c r="E16" s="19">
        <v>5</v>
      </c>
      <c r="F16" s="59">
        <v>7</v>
      </c>
      <c r="G16" s="54" t="s">
        <v>695</v>
      </c>
      <c r="H16" s="16">
        <v>0.11534025374855825</v>
      </c>
      <c r="I16" s="16">
        <v>0.62735257214554574</v>
      </c>
      <c r="J16" s="16">
        <v>2.770083102493075</v>
      </c>
      <c r="K16" s="59" t="str">
        <f t="shared" si="0"/>
        <v>0.63 (0.12 – 2.77)</v>
      </c>
      <c r="L16" s="16" t="str">
        <f t="shared" si="1"/>
        <v>0.63
(0.12 – 2.77)</v>
      </c>
      <c r="N16" s="59" t="s">
        <v>442</v>
      </c>
      <c r="O16" s="16" t="s">
        <v>664</v>
      </c>
      <c r="P16">
        <v>0.1046</v>
      </c>
      <c r="Q16">
        <v>0.34329999999999999</v>
      </c>
      <c r="R16">
        <v>1.056</v>
      </c>
      <c r="S16">
        <v>6</v>
      </c>
      <c r="T16">
        <v>2</v>
      </c>
    </row>
    <row r="17" spans="5:20" ht="15" customHeight="1" x14ac:dyDescent="0.25">
      <c r="E17" s="57">
        <v>3</v>
      </c>
      <c r="F17" s="57">
        <v>1</v>
      </c>
      <c r="G17" s="57" t="s">
        <v>654</v>
      </c>
      <c r="H17" s="57">
        <v>0.27189999999999998</v>
      </c>
      <c r="I17" s="57">
        <v>0.60870000000000002</v>
      </c>
      <c r="J17" s="57">
        <v>1.3779999999999999</v>
      </c>
      <c r="K17" s="59" t="str">
        <f t="shared" si="0"/>
        <v>0.61 (0.27 – 1.38)</v>
      </c>
      <c r="L17" s="16" t="str">
        <f t="shared" si="1"/>
        <v>0.61
(0.27 – 1.38)</v>
      </c>
      <c r="N17" s="59" t="s">
        <v>443</v>
      </c>
      <c r="O17" s="16" t="s">
        <v>665</v>
      </c>
      <c r="P17">
        <v>0.21790000000000001</v>
      </c>
      <c r="Q17">
        <v>0.42699999999999999</v>
      </c>
      <c r="R17">
        <v>0.88919999999999999</v>
      </c>
      <c r="S17">
        <v>7</v>
      </c>
      <c r="T17">
        <v>2</v>
      </c>
    </row>
    <row r="18" spans="5:20" ht="15" customHeight="1" x14ac:dyDescent="0.25">
      <c r="E18" s="19">
        <v>1</v>
      </c>
      <c r="F18" s="19">
        <v>2</v>
      </c>
      <c r="G18" s="19" t="s">
        <v>706</v>
      </c>
      <c r="H18" s="19">
        <v>0.32041012495994875</v>
      </c>
      <c r="I18" s="19">
        <v>0.59594755661501786</v>
      </c>
      <c r="J18" s="19">
        <v>1.0214504596527068</v>
      </c>
      <c r="K18" s="59" t="str">
        <f t="shared" si="0"/>
        <v>0.60 (0.32 – 1.02)</v>
      </c>
      <c r="L18" s="16" t="str">
        <f t="shared" si="1"/>
        <v>0.60
(0.32 – 1.02)</v>
      </c>
      <c r="N18" s="59" t="s">
        <v>444</v>
      </c>
      <c r="O18" s="16" t="s">
        <v>666</v>
      </c>
      <c r="P18">
        <v>1.4670000000000001</v>
      </c>
      <c r="Q18">
        <v>3.6459999999999999</v>
      </c>
      <c r="R18">
        <v>9.1340000000000003</v>
      </c>
      <c r="S18">
        <v>8</v>
      </c>
      <c r="T18">
        <v>2</v>
      </c>
    </row>
    <row r="19" spans="5:20" ht="15" customHeight="1" x14ac:dyDescent="0.25">
      <c r="E19" s="57">
        <v>6</v>
      </c>
      <c r="F19" s="57">
        <v>1</v>
      </c>
      <c r="G19" s="57" t="s">
        <v>657</v>
      </c>
      <c r="H19" s="57">
        <v>0.1691</v>
      </c>
      <c r="I19" s="57">
        <v>0.5847</v>
      </c>
      <c r="J19" s="57">
        <v>1.895</v>
      </c>
      <c r="K19" s="59" t="str">
        <f t="shared" si="0"/>
        <v>0.58 (0.17 – 1.90)</v>
      </c>
      <c r="L19" s="16" t="str">
        <f t="shared" si="1"/>
        <v>0.58
(0.17 – 1.90)</v>
      </c>
      <c r="N19" s="59" t="s">
        <v>445</v>
      </c>
      <c r="O19" s="16" t="s">
        <v>667</v>
      </c>
      <c r="P19">
        <v>0.87570000000000003</v>
      </c>
      <c r="Q19">
        <v>5.4450000000000003</v>
      </c>
      <c r="R19">
        <v>57.41</v>
      </c>
      <c r="S19">
        <v>9</v>
      </c>
      <c r="T19">
        <v>2</v>
      </c>
    </row>
    <row r="20" spans="5:20" ht="15" customHeight="1" x14ac:dyDescent="0.25">
      <c r="E20" s="19">
        <v>4</v>
      </c>
      <c r="F20" s="19">
        <v>1</v>
      </c>
      <c r="G20" s="19" t="s">
        <v>655</v>
      </c>
      <c r="H20" s="19">
        <v>0.16550000000000001</v>
      </c>
      <c r="I20" s="19">
        <v>0.47039999999999998</v>
      </c>
      <c r="J20" s="19">
        <v>1.341</v>
      </c>
      <c r="K20" s="59" t="str">
        <f t="shared" si="0"/>
        <v>0.47 (0.17 – 1.34)</v>
      </c>
      <c r="L20" s="16" t="str">
        <f t="shared" si="1"/>
        <v>0.47
(0.17 – 1.34)</v>
      </c>
      <c r="N20" s="59" t="s">
        <v>446</v>
      </c>
      <c r="O20" s="16" t="s">
        <v>668</v>
      </c>
      <c r="P20">
        <v>0.3795</v>
      </c>
      <c r="Q20">
        <v>0.76880000000000004</v>
      </c>
      <c r="R20">
        <v>1.5880000000000001</v>
      </c>
      <c r="S20">
        <v>4</v>
      </c>
      <c r="T20">
        <v>3</v>
      </c>
    </row>
    <row r="21" spans="5:20" ht="15" customHeight="1" x14ac:dyDescent="0.25">
      <c r="E21" s="57">
        <v>5</v>
      </c>
      <c r="F21" s="57">
        <v>1</v>
      </c>
      <c r="G21" s="57" t="s">
        <v>656</v>
      </c>
      <c r="H21" s="57">
        <v>9.3369999999999995E-2</v>
      </c>
      <c r="I21" s="57">
        <v>0.45300000000000001</v>
      </c>
      <c r="J21" s="57">
        <v>1.92</v>
      </c>
      <c r="K21" s="59" t="str">
        <f t="shared" si="0"/>
        <v>0.45 (0.09 – 1.92)</v>
      </c>
      <c r="L21" s="16" t="str">
        <f t="shared" si="1"/>
        <v>0.45
(0.09 – 1.92)</v>
      </c>
      <c r="N21" s="59" t="s">
        <v>447</v>
      </c>
      <c r="O21" s="16" t="s">
        <v>669</v>
      </c>
      <c r="P21">
        <v>0.14940000000000001</v>
      </c>
      <c r="Q21">
        <v>0.73509999999999998</v>
      </c>
      <c r="R21">
        <v>3.327</v>
      </c>
      <c r="S21">
        <v>5</v>
      </c>
      <c r="T21">
        <v>3</v>
      </c>
    </row>
    <row r="22" spans="5:20" ht="15" customHeight="1" x14ac:dyDescent="0.25">
      <c r="E22" s="19">
        <v>7</v>
      </c>
      <c r="F22" s="19">
        <v>2</v>
      </c>
      <c r="G22" s="19" t="s">
        <v>665</v>
      </c>
      <c r="H22" s="19">
        <v>0.21790000000000001</v>
      </c>
      <c r="I22" s="19">
        <v>0.42699999999999999</v>
      </c>
      <c r="J22" s="19">
        <v>0.88919999999999999</v>
      </c>
      <c r="K22" s="59" t="str">
        <f t="shared" si="0"/>
        <v>0.43 (0.22 – 0.89)</v>
      </c>
      <c r="L22" s="16" t="str">
        <f t="shared" si="1"/>
        <v>0.43
(0.22 – 0.89)</v>
      </c>
      <c r="N22" s="59" t="s">
        <v>448</v>
      </c>
      <c r="O22" s="16" t="s">
        <v>670</v>
      </c>
      <c r="P22">
        <v>0.36599999999999999</v>
      </c>
      <c r="Q22">
        <v>0.94820000000000004</v>
      </c>
      <c r="R22">
        <v>2.2949999999999999</v>
      </c>
      <c r="S22">
        <v>6</v>
      </c>
      <c r="T22">
        <v>3</v>
      </c>
    </row>
    <row r="23" spans="5:20" ht="15" customHeight="1" x14ac:dyDescent="0.25">
      <c r="E23" s="19">
        <v>3</v>
      </c>
      <c r="F23" s="19">
        <v>2</v>
      </c>
      <c r="G23" s="19" t="s">
        <v>661</v>
      </c>
      <c r="H23" s="19">
        <v>0.17929999999999999</v>
      </c>
      <c r="I23" s="19">
        <v>0.36180000000000001</v>
      </c>
      <c r="J23" s="19">
        <v>0.71870000000000001</v>
      </c>
      <c r="K23" s="59" t="str">
        <f t="shared" si="0"/>
        <v>0.36 (0.18 – 0.72)</v>
      </c>
      <c r="L23" s="16" t="str">
        <f t="shared" si="1"/>
        <v>0.36
(0.18 – 0.72)</v>
      </c>
      <c r="N23" s="59" t="s">
        <v>449</v>
      </c>
      <c r="O23" s="16" t="s">
        <v>671</v>
      </c>
      <c r="P23">
        <v>0.55249999999999999</v>
      </c>
      <c r="Q23">
        <v>1.1890000000000001</v>
      </c>
      <c r="R23">
        <v>2.6539999999999999</v>
      </c>
      <c r="S23">
        <v>7</v>
      </c>
      <c r="T23">
        <v>3</v>
      </c>
    </row>
    <row r="24" spans="5:20" ht="15" customHeight="1" x14ac:dyDescent="0.25">
      <c r="E24" s="19">
        <v>6</v>
      </c>
      <c r="F24" s="19">
        <v>2</v>
      </c>
      <c r="G24" s="19" t="s">
        <v>664</v>
      </c>
      <c r="H24" s="19">
        <v>0.1046</v>
      </c>
      <c r="I24" s="19">
        <v>0.34329999999999999</v>
      </c>
      <c r="J24" s="19">
        <v>1.056</v>
      </c>
      <c r="K24" s="59" t="str">
        <f t="shared" si="0"/>
        <v>0.34 (0.10 – 1.06)</v>
      </c>
      <c r="L24" s="16" t="str">
        <f t="shared" si="1"/>
        <v>0.34
(0.10 – 1.06)</v>
      </c>
      <c r="N24" s="59" t="s">
        <v>450</v>
      </c>
      <c r="O24" s="16" t="s">
        <v>672</v>
      </c>
      <c r="P24">
        <v>3.4340000000000002</v>
      </c>
      <c r="Q24">
        <v>10.3</v>
      </c>
      <c r="R24">
        <v>28.14</v>
      </c>
      <c r="S24">
        <v>8</v>
      </c>
      <c r="T24">
        <v>3</v>
      </c>
    </row>
    <row r="25" spans="5:20" ht="15" customHeight="1" x14ac:dyDescent="0.25">
      <c r="E25" s="57">
        <v>4</v>
      </c>
      <c r="F25" s="57">
        <v>2</v>
      </c>
      <c r="G25" s="57" t="s">
        <v>662</v>
      </c>
      <c r="H25" s="57">
        <v>0.1038</v>
      </c>
      <c r="I25" s="57">
        <v>0.27550000000000002</v>
      </c>
      <c r="J25" s="57">
        <v>0.73109999999999997</v>
      </c>
      <c r="K25" s="59" t="str">
        <f t="shared" si="0"/>
        <v>0.28 (0.10 – 0.73)</v>
      </c>
      <c r="L25" s="16" t="str">
        <f t="shared" si="1"/>
        <v>0.28
(0.10 – 0.73)</v>
      </c>
      <c r="N25" s="59" t="s">
        <v>451</v>
      </c>
      <c r="O25" s="16" t="s">
        <v>673</v>
      </c>
      <c r="P25">
        <v>2.3069999999999999</v>
      </c>
      <c r="Q25">
        <v>15.04</v>
      </c>
      <c r="R25">
        <v>182.4</v>
      </c>
      <c r="S25">
        <v>9</v>
      </c>
      <c r="T25">
        <v>3</v>
      </c>
    </row>
    <row r="26" spans="5:20" ht="15" customHeight="1" x14ac:dyDescent="0.25">
      <c r="E26" s="19">
        <v>2</v>
      </c>
      <c r="F26" s="59">
        <v>8</v>
      </c>
      <c r="G26" s="54" t="s">
        <v>709</v>
      </c>
      <c r="H26" s="16">
        <v>0.10948105977665863</v>
      </c>
      <c r="I26" s="16">
        <v>0.27427317608337903</v>
      </c>
      <c r="J26" s="16">
        <v>0.68166325835037489</v>
      </c>
      <c r="K26" s="59" t="str">
        <f t="shared" si="0"/>
        <v>0.27 (0.11 – 0.68)</v>
      </c>
      <c r="L26" s="16" t="str">
        <f t="shared" si="1"/>
        <v>0.27
(0.11 – 0.68)</v>
      </c>
      <c r="N26" s="59" t="s">
        <v>452</v>
      </c>
      <c r="O26" s="16" t="s">
        <v>674</v>
      </c>
      <c r="P26">
        <v>0.16869999999999999</v>
      </c>
      <c r="Q26">
        <v>0.95399999999999996</v>
      </c>
      <c r="R26">
        <v>5.0010000000000003</v>
      </c>
      <c r="S26">
        <v>5</v>
      </c>
      <c r="T26">
        <v>4</v>
      </c>
    </row>
    <row r="27" spans="5:20" ht="15" customHeight="1" x14ac:dyDescent="0.25">
      <c r="E27" s="57">
        <v>5</v>
      </c>
      <c r="F27" s="57">
        <v>2</v>
      </c>
      <c r="G27" s="57" t="s">
        <v>663</v>
      </c>
      <c r="H27" s="57">
        <v>6.1089999999999998E-2</v>
      </c>
      <c r="I27" s="57">
        <v>0.26900000000000002</v>
      </c>
      <c r="J27" s="57">
        <v>1.004</v>
      </c>
      <c r="K27" s="59" t="str">
        <f t="shared" si="0"/>
        <v>0.27 (0.06 – 1.00)</v>
      </c>
      <c r="L27" s="16" t="str">
        <f t="shared" si="1"/>
        <v>0.27
(0.06 – 1.00)</v>
      </c>
      <c r="N27" s="59" t="s">
        <v>453</v>
      </c>
      <c r="O27" s="16" t="s">
        <v>675</v>
      </c>
      <c r="P27">
        <v>0.4914</v>
      </c>
      <c r="Q27">
        <v>1.236</v>
      </c>
      <c r="R27">
        <v>2.9420000000000002</v>
      </c>
      <c r="S27">
        <v>6</v>
      </c>
      <c r="T27">
        <v>4</v>
      </c>
    </row>
    <row r="28" spans="5:20" ht="15" customHeight="1" x14ac:dyDescent="0.25">
      <c r="E28" s="57">
        <v>2</v>
      </c>
      <c r="F28" s="57">
        <v>9</v>
      </c>
      <c r="G28" s="57" t="s">
        <v>710</v>
      </c>
      <c r="H28" s="57">
        <v>1.7418568193694479E-2</v>
      </c>
      <c r="I28" s="57">
        <v>0.18365472910927455</v>
      </c>
      <c r="J28" s="57">
        <v>1.1419435879867534</v>
      </c>
      <c r="K28" s="59" t="str">
        <f t="shared" si="0"/>
        <v>0.18 (0.02 – 1.14)</v>
      </c>
      <c r="L28" s="16" t="str">
        <f t="shared" si="1"/>
        <v>0.18
(0.02 – 1.14)</v>
      </c>
      <c r="N28" s="59" t="s">
        <v>454</v>
      </c>
      <c r="O28" s="16" t="s">
        <v>676</v>
      </c>
      <c r="P28">
        <v>0.5756</v>
      </c>
      <c r="Q28">
        <v>1.526</v>
      </c>
      <c r="R28">
        <v>4.4660000000000002</v>
      </c>
      <c r="S28">
        <v>7</v>
      </c>
      <c r="T28">
        <v>4</v>
      </c>
    </row>
    <row r="29" spans="5:20" ht="15" customHeight="1" x14ac:dyDescent="0.25">
      <c r="E29" s="19">
        <v>1</v>
      </c>
      <c r="F29" s="59">
        <v>8</v>
      </c>
      <c r="G29" s="54" t="s">
        <v>707</v>
      </c>
      <c r="H29" s="16">
        <v>5.913660555884092E-2</v>
      </c>
      <c r="I29" s="16">
        <v>0.16012810248198558</v>
      </c>
      <c r="J29" s="16">
        <v>0.44563279857397498</v>
      </c>
      <c r="K29" s="59" t="str">
        <f t="shared" si="0"/>
        <v>0.16 (0.06 – 0.45)</v>
      </c>
      <c r="L29" s="16" t="str">
        <f t="shared" si="1"/>
        <v>0.16
(0.06 – 0.45)</v>
      </c>
      <c r="N29" s="59" t="s">
        <v>455</v>
      </c>
      <c r="O29" s="16" t="s">
        <v>677</v>
      </c>
      <c r="P29">
        <v>3.5840000000000001</v>
      </c>
      <c r="Q29">
        <v>13.4</v>
      </c>
      <c r="R29">
        <v>46.52</v>
      </c>
      <c r="S29">
        <v>8</v>
      </c>
      <c r="T29">
        <v>4</v>
      </c>
    </row>
    <row r="30" spans="5:20" ht="15" customHeight="1" x14ac:dyDescent="0.25">
      <c r="E30" s="57">
        <v>7</v>
      </c>
      <c r="F30" s="57">
        <v>8</v>
      </c>
      <c r="G30" s="57" t="s">
        <v>704</v>
      </c>
      <c r="H30" s="57">
        <v>4.8169556840077066E-2</v>
      </c>
      <c r="I30" s="57">
        <v>0.11578094245687159</v>
      </c>
      <c r="J30" s="57">
        <v>0.31142946122703208</v>
      </c>
      <c r="K30" s="59" t="str">
        <f t="shared" si="0"/>
        <v>0.12 (0.05 – 0.31)</v>
      </c>
      <c r="L30" s="16" t="str">
        <f t="shared" si="1"/>
        <v>0.12
(0.05 – 0.31)</v>
      </c>
      <c r="N30" s="59" t="s">
        <v>456</v>
      </c>
      <c r="O30" s="16" t="s">
        <v>678</v>
      </c>
      <c r="P30">
        <v>2.6309999999999998</v>
      </c>
      <c r="Q30">
        <v>19.48</v>
      </c>
      <c r="R30">
        <v>247.2</v>
      </c>
      <c r="S30">
        <v>9</v>
      </c>
      <c r="T30">
        <v>4</v>
      </c>
    </row>
    <row r="31" spans="5:20" ht="15" customHeight="1" x14ac:dyDescent="0.25">
      <c r="E31" s="19">
        <v>1</v>
      </c>
      <c r="F31" s="19">
        <v>9</v>
      </c>
      <c r="G31" s="19" t="s">
        <v>708</v>
      </c>
      <c r="H31" s="19">
        <v>1.0954102311315586E-2</v>
      </c>
      <c r="I31" s="19">
        <v>0.1085894233901618</v>
      </c>
      <c r="J31" s="19">
        <v>0.58004640371229699</v>
      </c>
      <c r="K31" s="59" t="str">
        <f t="shared" si="0"/>
        <v>0.11 (0.01 – 0.58)</v>
      </c>
      <c r="L31" s="16" t="str">
        <f t="shared" si="1"/>
        <v>0.11
(0.01 – 0.58)</v>
      </c>
      <c r="N31" s="59" t="s">
        <v>457</v>
      </c>
      <c r="O31" s="16" t="s">
        <v>679</v>
      </c>
      <c r="P31">
        <v>0.21240000000000001</v>
      </c>
      <c r="Q31">
        <v>1.2829999999999999</v>
      </c>
      <c r="R31">
        <v>8.0939999999999994</v>
      </c>
      <c r="S31">
        <v>6</v>
      </c>
      <c r="T31">
        <v>5</v>
      </c>
    </row>
    <row r="32" spans="5:20" ht="15" customHeight="1" x14ac:dyDescent="0.25">
      <c r="E32" s="19">
        <v>3</v>
      </c>
      <c r="F32" s="19">
        <v>8</v>
      </c>
      <c r="G32" s="19" t="s">
        <v>702</v>
      </c>
      <c r="H32" s="19">
        <v>3.5536602700781801E-2</v>
      </c>
      <c r="I32" s="19">
        <v>9.7087378640776698E-2</v>
      </c>
      <c r="J32" s="19">
        <v>0.29120559114735001</v>
      </c>
      <c r="K32" s="59" t="str">
        <f t="shared" si="0"/>
        <v>0.10 (0.04 – 0.29)</v>
      </c>
      <c r="L32" s="16" t="str">
        <f t="shared" si="1"/>
        <v>0.10
(0.04 – 0.29)</v>
      </c>
      <c r="N32" s="59" t="s">
        <v>458</v>
      </c>
      <c r="O32" s="16" t="s">
        <v>680</v>
      </c>
      <c r="P32">
        <v>0.36099999999999999</v>
      </c>
      <c r="Q32">
        <v>1.5940000000000001</v>
      </c>
      <c r="R32">
        <v>8.67</v>
      </c>
      <c r="S32">
        <v>7</v>
      </c>
      <c r="T32">
        <v>5</v>
      </c>
    </row>
    <row r="33" spans="3:20" ht="15" customHeight="1" x14ac:dyDescent="0.25">
      <c r="E33" s="19">
        <v>6</v>
      </c>
      <c r="F33" s="19">
        <v>8</v>
      </c>
      <c r="G33" s="19" t="s">
        <v>699</v>
      </c>
      <c r="H33" s="19">
        <v>2.3457658925639221E-2</v>
      </c>
      <c r="I33" s="19">
        <v>9.2592592592592587E-2</v>
      </c>
      <c r="J33" s="19">
        <v>0.37411148522259635</v>
      </c>
      <c r="K33" s="59" t="str">
        <f t="shared" si="0"/>
        <v>0.09 (0.02 – 0.37)</v>
      </c>
      <c r="L33" s="16" t="str">
        <f t="shared" si="1"/>
        <v>0.09
(0.02 – 0.37)</v>
      </c>
      <c r="N33" s="59" t="s">
        <v>459</v>
      </c>
      <c r="O33" s="16" t="s">
        <v>681</v>
      </c>
      <c r="P33">
        <v>2.6789999999999998</v>
      </c>
      <c r="Q33">
        <v>13.91</v>
      </c>
      <c r="R33">
        <v>79.400000000000006</v>
      </c>
      <c r="S33">
        <v>8</v>
      </c>
      <c r="T33">
        <v>5</v>
      </c>
    </row>
    <row r="34" spans="3:20" ht="15" customHeight="1" x14ac:dyDescent="0.25">
      <c r="E34" s="19">
        <v>7</v>
      </c>
      <c r="F34" s="19">
        <v>9</v>
      </c>
      <c r="G34" s="19" t="s">
        <v>705</v>
      </c>
      <c r="H34" s="19">
        <v>7.0028011204481787E-3</v>
      </c>
      <c r="I34" s="19">
        <v>7.7639751552795025E-2</v>
      </c>
      <c r="J34" s="19">
        <v>0.52164840897235265</v>
      </c>
      <c r="K34" s="59" t="str">
        <f t="shared" si="0"/>
        <v>0.08 (0.01 – 0.52)</v>
      </c>
      <c r="L34" s="16" t="str">
        <f t="shared" si="1"/>
        <v>0.08
(0.01 – 0.52)</v>
      </c>
      <c r="N34" s="59" t="s">
        <v>460</v>
      </c>
      <c r="O34" s="16" t="s">
        <v>682</v>
      </c>
      <c r="P34">
        <v>2.2320000000000002</v>
      </c>
      <c r="Q34">
        <v>20.92</v>
      </c>
      <c r="R34">
        <v>314.39999999999998</v>
      </c>
      <c r="S34">
        <v>9</v>
      </c>
      <c r="T34">
        <v>5</v>
      </c>
    </row>
    <row r="35" spans="3:20" ht="15" customHeight="1" x14ac:dyDescent="0.25">
      <c r="E35" s="19">
        <v>4</v>
      </c>
      <c r="F35" s="19">
        <v>8</v>
      </c>
      <c r="G35" s="19" t="s">
        <v>692</v>
      </c>
      <c r="H35" s="19">
        <v>2.1496130696474634E-2</v>
      </c>
      <c r="I35" s="19">
        <v>7.4626865671641784E-2</v>
      </c>
      <c r="J35" s="19">
        <v>0.27901785714285715</v>
      </c>
      <c r="K35" s="59" t="str">
        <f t="shared" si="0"/>
        <v>0.07 (0.02 – 0.28)</v>
      </c>
      <c r="L35" s="16" t="str">
        <f t="shared" si="1"/>
        <v>0.07
(0.02 – 0.28)</v>
      </c>
      <c r="N35" s="59" t="s">
        <v>461</v>
      </c>
      <c r="O35" s="16" t="s">
        <v>683</v>
      </c>
      <c r="P35">
        <v>0.40379999999999999</v>
      </c>
      <c r="Q35">
        <v>1.2330000000000001</v>
      </c>
      <c r="R35">
        <v>4.4379999999999997</v>
      </c>
      <c r="S35">
        <v>7</v>
      </c>
      <c r="T35">
        <v>6</v>
      </c>
    </row>
    <row r="36" spans="3:20" ht="15" customHeight="1" x14ac:dyDescent="0.25">
      <c r="C36" s="56"/>
      <c r="D36" s="57"/>
      <c r="E36" s="19">
        <v>5</v>
      </c>
      <c r="F36" s="19">
        <v>8</v>
      </c>
      <c r="G36" s="19" t="s">
        <v>696</v>
      </c>
      <c r="H36" s="19">
        <v>1.2594458438287152E-2</v>
      </c>
      <c r="I36" s="19">
        <v>7.1890726096333568E-2</v>
      </c>
      <c r="J36" s="19">
        <v>0.37327360955580441</v>
      </c>
      <c r="K36" s="59" t="str">
        <f t="shared" si="0"/>
        <v>0.07 (0.01 – 0.37)</v>
      </c>
      <c r="L36" s="16" t="str">
        <f t="shared" si="1"/>
        <v>0.07
(0.01 – 0.37)</v>
      </c>
      <c r="M36" s="57"/>
      <c r="N36" s="59" t="s">
        <v>462</v>
      </c>
      <c r="O36" s="16" t="s">
        <v>684</v>
      </c>
      <c r="P36">
        <v>2.673</v>
      </c>
      <c r="Q36">
        <v>10.8</v>
      </c>
      <c r="R36">
        <v>42.63</v>
      </c>
      <c r="S36">
        <v>8</v>
      </c>
      <c r="T36">
        <v>6</v>
      </c>
    </row>
    <row r="37" spans="3:20" ht="15" customHeight="1" x14ac:dyDescent="0.25">
      <c r="C37" s="56"/>
      <c r="D37" s="57"/>
      <c r="E37" s="19">
        <v>3</v>
      </c>
      <c r="F37" s="59">
        <v>9</v>
      </c>
      <c r="G37" s="54" t="s">
        <v>703</v>
      </c>
      <c r="H37" s="16">
        <v>5.4824561403508769E-3</v>
      </c>
      <c r="I37" s="16">
        <v>6.6489361702127658E-2</v>
      </c>
      <c r="J37" s="16">
        <v>0.43346337234503685</v>
      </c>
      <c r="K37" s="59" t="str">
        <f t="shared" si="0"/>
        <v>0.07 (0.01 – 0.43)</v>
      </c>
      <c r="L37" s="16" t="str">
        <f t="shared" si="1"/>
        <v>0.07
(0.01 – 0.43)</v>
      </c>
      <c r="M37" s="57"/>
      <c r="N37" s="59" t="s">
        <v>463</v>
      </c>
      <c r="O37" s="16" t="s">
        <v>685</v>
      </c>
      <c r="P37">
        <v>1.97</v>
      </c>
      <c r="Q37">
        <v>16.100000000000001</v>
      </c>
      <c r="R37">
        <v>201</v>
      </c>
      <c r="S37">
        <v>9</v>
      </c>
      <c r="T37">
        <v>6</v>
      </c>
    </row>
    <row r="38" spans="3:20" ht="15" customHeight="1" x14ac:dyDescent="0.25">
      <c r="C38" s="56"/>
      <c r="D38" s="57"/>
      <c r="E38" s="19">
        <v>6</v>
      </c>
      <c r="F38" s="59">
        <v>9</v>
      </c>
      <c r="G38" s="54" t="s">
        <v>700</v>
      </c>
      <c r="H38" s="16">
        <v>4.9751243781094526E-3</v>
      </c>
      <c r="I38" s="16">
        <v>6.2111801242236017E-2</v>
      </c>
      <c r="J38" s="16">
        <v>0.50761421319796951</v>
      </c>
      <c r="K38" s="59" t="str">
        <f t="shared" si="0"/>
        <v>0.06 (0.00 – 0.51)</v>
      </c>
      <c r="L38" s="16" t="str">
        <f t="shared" si="1"/>
        <v>0.06
(0.00 – 0.51)</v>
      </c>
      <c r="M38" s="57"/>
      <c r="N38" s="59" t="s">
        <v>464</v>
      </c>
      <c r="O38" s="16" t="s">
        <v>686</v>
      </c>
      <c r="P38">
        <v>3.2109999999999999</v>
      </c>
      <c r="Q38">
        <v>8.6370000000000005</v>
      </c>
      <c r="R38">
        <v>20.76</v>
      </c>
      <c r="S38">
        <v>8</v>
      </c>
      <c r="T38">
        <v>7</v>
      </c>
    </row>
    <row r="39" spans="3:20" ht="15" customHeight="1" x14ac:dyDescent="0.25">
      <c r="C39" s="56"/>
      <c r="D39" s="57"/>
      <c r="E39" s="19">
        <v>4</v>
      </c>
      <c r="F39" s="19">
        <v>9</v>
      </c>
      <c r="G39" s="19" t="s">
        <v>693</v>
      </c>
      <c r="H39" s="19">
        <v>4.0453074433656963E-3</v>
      </c>
      <c r="I39" s="19">
        <v>5.1334702258726897E-2</v>
      </c>
      <c r="J39" s="19">
        <v>0.38008361839604715</v>
      </c>
      <c r="K39" s="59" t="str">
        <f t="shared" si="0"/>
        <v>0.05 (0.00 – 0.38)</v>
      </c>
      <c r="L39" s="16" t="str">
        <f t="shared" si="1"/>
        <v>0.05
(0.00 – 0.38)</v>
      </c>
      <c r="M39" s="57"/>
      <c r="N39" s="59" t="s">
        <v>465</v>
      </c>
      <c r="O39" s="16" t="s">
        <v>687</v>
      </c>
      <c r="P39">
        <v>1.917</v>
      </c>
      <c r="Q39">
        <v>12.88</v>
      </c>
      <c r="R39">
        <v>142.80000000000001</v>
      </c>
      <c r="S39">
        <v>9</v>
      </c>
      <c r="T39">
        <v>7</v>
      </c>
    </row>
    <row r="40" spans="3:20" ht="15" customHeight="1" x14ac:dyDescent="0.25">
      <c r="C40" s="56"/>
      <c r="D40" s="57"/>
      <c r="E40" s="19">
        <v>5</v>
      </c>
      <c r="F40" s="19">
        <v>9</v>
      </c>
      <c r="G40" s="19" t="s">
        <v>697</v>
      </c>
      <c r="H40" s="19">
        <v>3.1806615776081427E-3</v>
      </c>
      <c r="I40" s="19">
        <v>4.780114722753346E-2</v>
      </c>
      <c r="J40" s="19">
        <v>0.4480286738351254</v>
      </c>
      <c r="K40" s="59" t="str">
        <f t="shared" si="0"/>
        <v>0.05 (0.00 – 0.45)</v>
      </c>
      <c r="L40" s="16" t="str">
        <f t="shared" si="1"/>
        <v>0.05
(0.00 – 0.45)</v>
      </c>
      <c r="M40" s="57"/>
      <c r="N40" s="59" t="s">
        <v>466</v>
      </c>
      <c r="O40" s="16" t="s">
        <v>688</v>
      </c>
      <c r="P40">
        <v>0.20430000000000001</v>
      </c>
      <c r="Q40">
        <v>1.494</v>
      </c>
      <c r="R40">
        <v>17.21</v>
      </c>
      <c r="S40">
        <v>9</v>
      </c>
      <c r="T40">
        <v>8</v>
      </c>
    </row>
    <row r="41" spans="3:20" ht="15" hidden="1" customHeight="1" x14ac:dyDescent="0.25">
      <c r="C41" s="56"/>
      <c r="D41" s="57"/>
      <c r="K41" s="59" t="str">
        <f t="shared" ref="K41:K49" si="2">CONCATENATE(TEXT(I41,"0.00")," (",TEXT(H41,"0.00")," – ",TEXT(J41,"0.00"),")")</f>
        <v>0.00 (0.00 – 0.00)</v>
      </c>
      <c r="L41" s="16" t="str">
        <f t="shared" ref="L41:L49" si="3">CONCATENATE(TEXT(I41,"0.00"),"
(",TEXT(H41,"0.00")," – ",TEXT(J41,"0.00"),")")</f>
        <v>0.00
(0.00 – 0.00)</v>
      </c>
      <c r="M41" s="57"/>
      <c r="N41" s="59"/>
      <c r="O41" s="16"/>
    </row>
    <row r="42" spans="3:20" ht="15" hidden="1" customHeight="1" x14ac:dyDescent="0.25">
      <c r="C42" s="56"/>
      <c r="D42" s="57"/>
      <c r="E42" s="57"/>
      <c r="F42" s="57"/>
      <c r="G42" s="57"/>
      <c r="H42" s="57"/>
      <c r="I42" s="57"/>
      <c r="J42" s="57"/>
      <c r="K42" s="59" t="str">
        <f t="shared" si="2"/>
        <v>0.00 (0.00 – 0.00)</v>
      </c>
      <c r="L42" s="16" t="str">
        <f t="shared" si="3"/>
        <v>0.00
(0.00 – 0.00)</v>
      </c>
      <c r="M42" s="57"/>
      <c r="N42" s="59"/>
      <c r="O42" s="16"/>
    </row>
    <row r="43" spans="3:20" ht="15" hidden="1" customHeight="1" x14ac:dyDescent="0.25">
      <c r="C43" s="56"/>
      <c r="D43" s="57"/>
      <c r="F43" s="59"/>
      <c r="G43" s="54"/>
      <c r="H43" s="16"/>
      <c r="I43" s="16"/>
      <c r="J43" s="16"/>
      <c r="K43" s="59" t="str">
        <f t="shared" si="2"/>
        <v>0.00 (0.00 – 0.00)</v>
      </c>
      <c r="L43" s="16" t="str">
        <f t="shared" si="3"/>
        <v>0.00
(0.00 – 0.00)</v>
      </c>
      <c r="M43" s="57"/>
      <c r="N43" s="59"/>
      <c r="O43" s="16"/>
    </row>
    <row r="44" spans="3:20" ht="15" hidden="1" customHeight="1" x14ac:dyDescent="0.25">
      <c r="C44" s="56"/>
      <c r="D44" s="57"/>
      <c r="E44" s="57"/>
      <c r="F44" s="57"/>
      <c r="G44" s="57"/>
      <c r="H44" s="57"/>
      <c r="I44" s="57"/>
      <c r="J44" s="57"/>
      <c r="K44" s="59" t="str">
        <f t="shared" si="2"/>
        <v>0.00 (0.00 – 0.00)</v>
      </c>
      <c r="L44" s="16" t="str">
        <f t="shared" si="3"/>
        <v>0.00
(0.00 – 0.00)</v>
      </c>
      <c r="M44" s="57"/>
      <c r="N44" s="59"/>
      <c r="O44" s="16"/>
    </row>
    <row r="45" spans="3:20" ht="15" hidden="1" customHeight="1" x14ac:dyDescent="0.25">
      <c r="C45" s="56"/>
      <c r="D45" s="57"/>
      <c r="E45" s="57"/>
      <c r="F45" s="57"/>
      <c r="G45" s="57"/>
      <c r="H45" s="57"/>
      <c r="I45" s="57"/>
      <c r="J45" s="57"/>
      <c r="K45" s="59" t="str">
        <f t="shared" si="2"/>
        <v>0.00 (0.00 – 0.00)</v>
      </c>
      <c r="L45" s="16" t="str">
        <f t="shared" si="3"/>
        <v>0.00
(0.00 – 0.00)</v>
      </c>
      <c r="M45" s="57"/>
      <c r="N45" s="59"/>
      <c r="O45" s="16"/>
    </row>
    <row r="46" spans="3:20" ht="15" hidden="1" customHeight="1" x14ac:dyDescent="0.25">
      <c r="C46" s="56"/>
      <c r="D46" s="57"/>
      <c r="E46" s="57"/>
      <c r="F46" s="57"/>
      <c r="G46" s="57"/>
      <c r="H46" s="57"/>
      <c r="I46" s="57"/>
      <c r="J46" s="57"/>
      <c r="K46" s="59" t="str">
        <f t="shared" si="2"/>
        <v>0.00 (0.00 – 0.00)</v>
      </c>
      <c r="L46" s="16" t="str">
        <f t="shared" si="3"/>
        <v>0.00
(0.00 – 0.00)</v>
      </c>
      <c r="M46" s="57"/>
      <c r="N46" s="59"/>
      <c r="O46" s="16"/>
    </row>
    <row r="47" spans="3:20" ht="15" hidden="1" customHeight="1" x14ac:dyDescent="0.25">
      <c r="C47" s="56"/>
      <c r="D47" s="57"/>
      <c r="K47" s="59" t="str">
        <f t="shared" si="2"/>
        <v>0.00 (0.00 – 0.00)</v>
      </c>
      <c r="L47" s="16" t="str">
        <f t="shared" si="3"/>
        <v>0.00
(0.00 – 0.00)</v>
      </c>
      <c r="M47" s="57"/>
      <c r="N47" s="59"/>
      <c r="O47" s="16"/>
    </row>
    <row r="48" spans="3:20" ht="15" hidden="1" customHeight="1" x14ac:dyDescent="0.25">
      <c r="C48" s="56"/>
      <c r="D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ref="K50:K68" si="4">CONCATENATE(TEXT(I50,"0.00")," (",TEXT(H50,"0.00")," – ",TEXT(J50,"0.00"),")")</f>
        <v>0.00 (0.00 – 0.00)</v>
      </c>
      <c r="L50" s="16" t="str">
        <f t="shared" ref="L50:L69" si="5">CONCATENATE(TEXT(I50,"0.00"),"
(",TEXT(H50,"0.00")," – ",TEXT(J50,"0.00"),")")</f>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0">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1" width="9.140625" customWidth="1"/>
    <col min="22" max="52" width="9.140625" hidden="1" customWidth="1"/>
  </cols>
  <sheetData>
    <row r="3" spans="2:21" ht="18.75" x14ac:dyDescent="0.3">
      <c r="B3" s="279"/>
      <c r="C3" s="279"/>
      <c r="D3" s="279"/>
      <c r="E3" s="279"/>
      <c r="F3" s="279"/>
      <c r="G3" s="279"/>
      <c r="H3" s="279"/>
      <c r="I3" s="279"/>
      <c r="J3" s="279"/>
    </row>
    <row r="4" spans="2:21" ht="15.75" thickBot="1" x14ac:dyDescent="0.3">
      <c r="B4" s="14"/>
      <c r="C4" s="14"/>
      <c r="D4" s="15"/>
      <c r="E4" s="15"/>
      <c r="F4" s="15"/>
      <c r="G4" s="15"/>
      <c r="H4" s="15"/>
      <c r="I4" s="15"/>
      <c r="J4" s="15"/>
      <c r="M4" t="s">
        <v>351</v>
      </c>
      <c r="N4" t="s">
        <v>352</v>
      </c>
      <c r="O4" t="s">
        <v>353</v>
      </c>
      <c r="P4" t="s">
        <v>354</v>
      </c>
      <c r="Q4" t="s">
        <v>355</v>
      </c>
      <c r="R4" t="s">
        <v>356</v>
      </c>
      <c r="S4" t="s">
        <v>357</v>
      </c>
      <c r="T4" t="s">
        <v>358</v>
      </c>
      <c r="U4" t="s">
        <v>359</v>
      </c>
    </row>
    <row r="5" spans="2:21" x14ac:dyDescent="0.25">
      <c r="B5" t="s">
        <v>527</v>
      </c>
      <c r="C5" s="17" t="s">
        <v>351</v>
      </c>
      <c r="D5" s="17">
        <v>1</v>
      </c>
      <c r="E5">
        <v>5.9329999999999999E-3</v>
      </c>
      <c r="F5">
        <v>7.6799999999999993E-2</v>
      </c>
      <c r="G5">
        <v>1.0430000000000001E-3</v>
      </c>
      <c r="H5">
        <v>0</v>
      </c>
      <c r="I5">
        <v>0</v>
      </c>
      <c r="J5">
        <v>0</v>
      </c>
      <c r="L5">
        <v>1</v>
      </c>
      <c r="M5">
        <v>5.9329999999999999E-3</v>
      </c>
      <c r="N5">
        <v>0</v>
      </c>
      <c r="O5">
        <v>4.8770000000000001E-2</v>
      </c>
      <c r="P5">
        <v>0.28089999999999998</v>
      </c>
      <c r="Q5">
        <v>0.4506</v>
      </c>
      <c r="R5">
        <v>0.16750000000000001</v>
      </c>
      <c r="S5">
        <v>4.5569999999999999E-2</v>
      </c>
      <c r="T5">
        <v>0</v>
      </c>
      <c r="U5">
        <v>7.6670000000000004E-4</v>
      </c>
    </row>
    <row r="6" spans="2:21" x14ac:dyDescent="0.25">
      <c r="B6" t="s">
        <v>528</v>
      </c>
      <c r="C6" s="17" t="s">
        <v>351</v>
      </c>
      <c r="D6" s="17">
        <v>2</v>
      </c>
      <c r="E6">
        <v>2.5069999999999999E-2</v>
      </c>
      <c r="F6">
        <v>0.15629999999999999</v>
      </c>
      <c r="G6">
        <v>2.493E-3</v>
      </c>
      <c r="H6">
        <v>0</v>
      </c>
      <c r="I6">
        <v>0</v>
      </c>
      <c r="J6">
        <v>1</v>
      </c>
      <c r="L6">
        <v>2</v>
      </c>
      <c r="M6">
        <v>2.5069999999999999E-2</v>
      </c>
      <c r="N6">
        <v>1.3329999999999999E-4</v>
      </c>
      <c r="O6">
        <v>0.15540000000000001</v>
      </c>
      <c r="P6">
        <v>0.36780000000000002</v>
      </c>
      <c r="Q6">
        <v>0.1288</v>
      </c>
      <c r="R6">
        <v>0.2104</v>
      </c>
      <c r="S6">
        <v>0.1111</v>
      </c>
      <c r="T6">
        <v>3.3330000000000001E-5</v>
      </c>
      <c r="U6">
        <v>1.2329999999999999E-3</v>
      </c>
    </row>
    <row r="7" spans="2:21" x14ac:dyDescent="0.25">
      <c r="B7" t="s">
        <v>529</v>
      </c>
      <c r="C7" s="17" t="s">
        <v>351</v>
      </c>
      <c r="D7" s="17">
        <v>3</v>
      </c>
      <c r="E7">
        <v>4.6800000000000001E-2</v>
      </c>
      <c r="F7">
        <v>0.2112</v>
      </c>
      <c r="G7">
        <v>3.529E-3</v>
      </c>
      <c r="H7">
        <v>0</v>
      </c>
      <c r="I7">
        <v>0</v>
      </c>
      <c r="J7">
        <v>1</v>
      </c>
      <c r="L7">
        <v>3</v>
      </c>
      <c r="M7">
        <v>4.6800000000000001E-2</v>
      </c>
      <c r="N7">
        <v>5.0000000000000001E-4</v>
      </c>
      <c r="O7">
        <v>0.30470000000000003</v>
      </c>
      <c r="P7">
        <v>0.19</v>
      </c>
      <c r="Q7">
        <v>0.1048</v>
      </c>
      <c r="R7">
        <v>0.18940000000000001</v>
      </c>
      <c r="S7">
        <v>0.16289999999999999</v>
      </c>
      <c r="T7">
        <v>3.3330000000000001E-5</v>
      </c>
      <c r="U7">
        <v>9.3329999999999997E-4</v>
      </c>
    </row>
    <row r="8" spans="2:21" x14ac:dyDescent="0.25">
      <c r="B8" t="s">
        <v>530</v>
      </c>
      <c r="C8" s="17" t="s">
        <v>351</v>
      </c>
      <c r="D8" s="17">
        <v>4</v>
      </c>
      <c r="E8">
        <v>9.7229999999999997E-2</v>
      </c>
      <c r="F8">
        <v>0.29630000000000001</v>
      </c>
      <c r="G8">
        <v>7.3379999999999999E-3</v>
      </c>
      <c r="H8">
        <v>0</v>
      </c>
      <c r="I8">
        <v>0</v>
      </c>
      <c r="J8">
        <v>1</v>
      </c>
      <c r="L8">
        <v>4</v>
      </c>
      <c r="M8">
        <v>9.7229999999999997E-2</v>
      </c>
      <c r="N8">
        <v>2.1329999999999999E-3</v>
      </c>
      <c r="O8">
        <v>0.31540000000000001</v>
      </c>
      <c r="P8">
        <v>8.523E-2</v>
      </c>
      <c r="Q8">
        <v>0.1105</v>
      </c>
      <c r="R8">
        <v>0.15770000000000001</v>
      </c>
      <c r="S8">
        <v>0.23050000000000001</v>
      </c>
      <c r="T8">
        <v>6.6669999999999997E-5</v>
      </c>
      <c r="U8">
        <v>1.2999999999999999E-3</v>
      </c>
    </row>
    <row r="9" spans="2:21" x14ac:dyDescent="0.25">
      <c r="B9" t="s">
        <v>531</v>
      </c>
      <c r="C9" s="17" t="s">
        <v>351</v>
      </c>
      <c r="D9" s="17">
        <v>5</v>
      </c>
      <c r="E9">
        <v>0.21640000000000001</v>
      </c>
      <c r="F9">
        <v>0.4118</v>
      </c>
      <c r="G9">
        <v>7.0390000000000001E-3</v>
      </c>
      <c r="H9">
        <v>0</v>
      </c>
      <c r="I9">
        <v>0</v>
      </c>
      <c r="J9">
        <v>1</v>
      </c>
      <c r="L9">
        <v>5</v>
      </c>
      <c r="M9">
        <v>0.21640000000000001</v>
      </c>
      <c r="N9">
        <v>9.7330000000000003E-3</v>
      </c>
      <c r="O9">
        <v>0.13719999999999999</v>
      </c>
      <c r="P9">
        <v>5.1200000000000002E-2</v>
      </c>
      <c r="Q9">
        <v>9.6629999999999994E-2</v>
      </c>
      <c r="R9">
        <v>0.1535</v>
      </c>
      <c r="S9">
        <v>0.3332</v>
      </c>
      <c r="T9">
        <v>2.6669999999999998E-4</v>
      </c>
      <c r="U9">
        <v>1.867E-3</v>
      </c>
    </row>
    <row r="10" spans="2:21" x14ac:dyDescent="0.25">
      <c r="B10" t="s">
        <v>532</v>
      </c>
      <c r="C10" s="17" t="s">
        <v>351</v>
      </c>
      <c r="D10" s="17">
        <v>6</v>
      </c>
      <c r="E10">
        <v>0.5796</v>
      </c>
      <c r="F10">
        <v>0.49359999999999998</v>
      </c>
      <c r="G10">
        <v>1.3440000000000001E-2</v>
      </c>
      <c r="H10">
        <v>0</v>
      </c>
      <c r="I10">
        <v>1</v>
      </c>
      <c r="J10">
        <v>1</v>
      </c>
      <c r="L10">
        <v>6</v>
      </c>
      <c r="M10">
        <v>0.5796</v>
      </c>
      <c r="N10">
        <v>7.9100000000000004E-2</v>
      </c>
      <c r="O10">
        <v>3.6729999999999999E-2</v>
      </c>
      <c r="P10">
        <v>2.0230000000000001E-2</v>
      </c>
      <c r="Q10">
        <v>8.3169999999999994E-2</v>
      </c>
      <c r="R10">
        <v>9.2100000000000001E-2</v>
      </c>
      <c r="S10">
        <v>0.1028</v>
      </c>
      <c r="T10">
        <v>8.3330000000000003E-4</v>
      </c>
      <c r="U10">
        <v>5.4330000000000003E-3</v>
      </c>
    </row>
    <row r="11" spans="2:21" x14ac:dyDescent="0.25">
      <c r="B11" t="s">
        <v>533</v>
      </c>
      <c r="C11" s="17" t="s">
        <v>351</v>
      </c>
      <c r="D11" s="17">
        <v>7</v>
      </c>
      <c r="E11">
        <v>2.8469999999999999E-2</v>
      </c>
      <c r="F11">
        <v>0.1663</v>
      </c>
      <c r="G11">
        <v>2.297E-3</v>
      </c>
      <c r="H11">
        <v>0</v>
      </c>
      <c r="I11">
        <v>0</v>
      </c>
      <c r="J11">
        <v>1</v>
      </c>
      <c r="L11">
        <v>7</v>
      </c>
      <c r="M11">
        <v>2.8469999999999999E-2</v>
      </c>
      <c r="N11">
        <v>0.87390000000000001</v>
      </c>
      <c r="O11">
        <v>1.7329999999999999E-3</v>
      </c>
      <c r="P11">
        <v>4.2329999999999998E-3</v>
      </c>
      <c r="Q11">
        <v>2.2530000000000001E-2</v>
      </c>
      <c r="R11">
        <v>2.6100000000000002E-2</v>
      </c>
      <c r="S11">
        <v>1.333E-2</v>
      </c>
      <c r="T11">
        <v>5.6670000000000002E-3</v>
      </c>
      <c r="U11">
        <v>2.4E-2</v>
      </c>
    </row>
    <row r="12" spans="2:21" x14ac:dyDescent="0.25">
      <c r="B12" t="s">
        <v>534</v>
      </c>
      <c r="C12" s="17" t="s">
        <v>351</v>
      </c>
      <c r="D12" s="17">
        <v>8</v>
      </c>
      <c r="E12">
        <v>4.3330000000000002E-4</v>
      </c>
      <c r="F12">
        <v>2.0809999999999999E-2</v>
      </c>
      <c r="G12">
        <v>1.273E-4</v>
      </c>
      <c r="H12">
        <v>0</v>
      </c>
      <c r="I12">
        <v>0</v>
      </c>
      <c r="J12">
        <v>0</v>
      </c>
      <c r="L12">
        <v>8</v>
      </c>
      <c r="M12">
        <v>4.3330000000000002E-4</v>
      </c>
      <c r="N12">
        <v>3.4169999999999999E-2</v>
      </c>
      <c r="O12">
        <v>1.3329999999999999E-4</v>
      </c>
      <c r="P12">
        <v>3.3330000000000002E-4</v>
      </c>
      <c r="Q12">
        <v>2.7000000000000001E-3</v>
      </c>
      <c r="R12">
        <v>3.2000000000000002E-3</v>
      </c>
      <c r="S12">
        <v>5.0000000000000001E-4</v>
      </c>
      <c r="T12">
        <v>0.6431</v>
      </c>
      <c r="U12">
        <v>0.31540000000000001</v>
      </c>
    </row>
    <row r="13" spans="2:21" x14ac:dyDescent="0.25">
      <c r="B13" t="s">
        <v>535</v>
      </c>
      <c r="C13" s="17" t="s">
        <v>351</v>
      </c>
      <c r="D13" s="17">
        <v>9</v>
      </c>
      <c r="E13">
        <v>3.3330000000000001E-5</v>
      </c>
      <c r="F13">
        <v>5.7730000000000004E-3</v>
      </c>
      <c r="G13">
        <v>3.345E-5</v>
      </c>
      <c r="H13">
        <v>0</v>
      </c>
      <c r="I13">
        <v>0</v>
      </c>
      <c r="J13">
        <v>0</v>
      </c>
      <c r="L13">
        <v>9</v>
      </c>
      <c r="M13">
        <v>3.3330000000000001E-5</v>
      </c>
      <c r="N13">
        <v>2.9999999999999997E-4</v>
      </c>
      <c r="O13">
        <v>0</v>
      </c>
      <c r="P13">
        <v>3.3330000000000001E-5</v>
      </c>
      <c r="Q13">
        <v>4.0000000000000002E-4</v>
      </c>
      <c r="R13">
        <v>2.0000000000000001E-4</v>
      </c>
      <c r="S13">
        <v>0</v>
      </c>
      <c r="T13">
        <v>0.35</v>
      </c>
      <c r="U13">
        <v>0.64900000000000002</v>
      </c>
    </row>
    <row r="14" spans="2:21" hidden="1" x14ac:dyDescent="0.25">
      <c r="B14" t="s">
        <v>536</v>
      </c>
      <c r="C14" s="17" t="s">
        <v>352</v>
      </c>
      <c r="D14" s="17">
        <v>1</v>
      </c>
      <c r="E14">
        <v>0</v>
      </c>
      <c r="F14">
        <v>0</v>
      </c>
      <c r="G14">
        <v>3.333E-13</v>
      </c>
      <c r="H14">
        <v>0</v>
      </c>
      <c r="I14">
        <v>0</v>
      </c>
      <c r="J14">
        <v>0</v>
      </c>
    </row>
    <row r="15" spans="2:21" hidden="1" x14ac:dyDescent="0.25">
      <c r="B15" t="s">
        <v>537</v>
      </c>
      <c r="C15" s="17" t="s">
        <v>352</v>
      </c>
      <c r="D15" s="17">
        <v>2</v>
      </c>
      <c r="E15">
        <v>1.3329999999999999E-4</v>
      </c>
      <c r="F15">
        <v>1.155E-2</v>
      </c>
      <c r="G15">
        <v>6.6550000000000005E-5</v>
      </c>
      <c r="H15">
        <v>0</v>
      </c>
      <c r="I15">
        <v>0</v>
      </c>
      <c r="J15">
        <v>0</v>
      </c>
    </row>
    <row r="16" spans="2:21" hidden="1" x14ac:dyDescent="0.25">
      <c r="B16" t="s">
        <v>538</v>
      </c>
      <c r="C16" s="17" t="s">
        <v>352</v>
      </c>
      <c r="D16" s="17">
        <v>3</v>
      </c>
      <c r="E16">
        <v>5.0000000000000001E-4</v>
      </c>
      <c r="F16">
        <v>2.2360000000000001E-2</v>
      </c>
      <c r="G16">
        <v>1.35E-4</v>
      </c>
      <c r="H16">
        <v>0</v>
      </c>
      <c r="I16">
        <v>0</v>
      </c>
      <c r="J16">
        <v>0</v>
      </c>
    </row>
    <row r="17" spans="2:10" hidden="1" x14ac:dyDescent="0.25">
      <c r="B17" t="s">
        <v>539</v>
      </c>
      <c r="C17" s="17" t="s">
        <v>352</v>
      </c>
      <c r="D17" s="17">
        <v>4</v>
      </c>
      <c r="E17">
        <v>2.1329999999999999E-3</v>
      </c>
      <c r="F17">
        <v>4.614E-2</v>
      </c>
      <c r="G17">
        <v>3.455E-4</v>
      </c>
      <c r="H17">
        <v>0</v>
      </c>
      <c r="I17">
        <v>0</v>
      </c>
      <c r="J17">
        <v>0</v>
      </c>
    </row>
    <row r="18" spans="2:10" hidden="1" x14ac:dyDescent="0.25">
      <c r="B18" t="s">
        <v>540</v>
      </c>
      <c r="C18" s="17" t="s">
        <v>352</v>
      </c>
      <c r="D18" s="17">
        <v>5</v>
      </c>
      <c r="E18">
        <v>9.7330000000000003E-3</v>
      </c>
      <c r="F18">
        <v>9.8180000000000003E-2</v>
      </c>
      <c r="G18">
        <v>1.0449999999999999E-3</v>
      </c>
      <c r="H18">
        <v>0</v>
      </c>
      <c r="I18">
        <v>0</v>
      </c>
      <c r="J18">
        <v>0</v>
      </c>
    </row>
    <row r="19" spans="2:10" hidden="1" x14ac:dyDescent="0.25">
      <c r="B19" t="s">
        <v>541</v>
      </c>
      <c r="C19" s="17" t="s">
        <v>352</v>
      </c>
      <c r="D19" s="17">
        <v>6</v>
      </c>
      <c r="E19">
        <v>7.9100000000000004E-2</v>
      </c>
      <c r="F19">
        <v>0.26989999999999997</v>
      </c>
      <c r="G19">
        <v>4.8979999999999996E-3</v>
      </c>
      <c r="H19">
        <v>0</v>
      </c>
      <c r="I19">
        <v>0</v>
      </c>
      <c r="J19">
        <v>1</v>
      </c>
    </row>
    <row r="20" spans="2:10" hidden="1" x14ac:dyDescent="0.25">
      <c r="B20" t="s">
        <v>542</v>
      </c>
      <c r="C20" s="17" t="s">
        <v>352</v>
      </c>
      <c r="D20" s="17">
        <v>7</v>
      </c>
      <c r="E20">
        <v>0.87390000000000001</v>
      </c>
      <c r="F20">
        <v>0.33189999999999997</v>
      </c>
      <c r="G20">
        <v>6.6709999999999998E-3</v>
      </c>
      <c r="H20">
        <v>0</v>
      </c>
      <c r="I20">
        <v>1</v>
      </c>
      <c r="J20">
        <v>1</v>
      </c>
    </row>
    <row r="21" spans="2:10" hidden="1" x14ac:dyDescent="0.25">
      <c r="B21" t="s">
        <v>543</v>
      </c>
      <c r="C21" s="17" t="s">
        <v>352</v>
      </c>
      <c r="D21" s="17">
        <v>8</v>
      </c>
      <c r="E21">
        <v>3.4169999999999999E-2</v>
      </c>
      <c r="F21">
        <v>0.1817</v>
      </c>
      <c r="G21">
        <v>3.771E-3</v>
      </c>
      <c r="H21">
        <v>0</v>
      </c>
      <c r="I21">
        <v>0</v>
      </c>
      <c r="J21">
        <v>1</v>
      </c>
    </row>
    <row r="22" spans="2:10" hidden="1" x14ac:dyDescent="0.25">
      <c r="B22" t="s">
        <v>544</v>
      </c>
      <c r="C22" s="17" t="s">
        <v>352</v>
      </c>
      <c r="D22" s="17">
        <v>9</v>
      </c>
      <c r="E22">
        <v>2.9999999999999997E-4</v>
      </c>
      <c r="F22">
        <v>1.7319999999999999E-2</v>
      </c>
      <c r="G22">
        <v>1.37E-4</v>
      </c>
      <c r="H22">
        <v>0</v>
      </c>
      <c r="I22">
        <v>0</v>
      </c>
      <c r="J22">
        <v>0</v>
      </c>
    </row>
    <row r="23" spans="2:10" hidden="1" x14ac:dyDescent="0.25">
      <c r="B23" t="s">
        <v>545</v>
      </c>
      <c r="C23" s="17" t="s">
        <v>353</v>
      </c>
      <c r="D23" s="17">
        <v>1</v>
      </c>
      <c r="E23">
        <v>4.8770000000000001E-2</v>
      </c>
      <c r="F23">
        <v>0.21540000000000001</v>
      </c>
      <c r="G23">
        <v>6.3800000000000003E-3</v>
      </c>
      <c r="H23">
        <v>0</v>
      </c>
      <c r="I23">
        <v>0</v>
      </c>
      <c r="J23">
        <v>1</v>
      </c>
    </row>
    <row r="24" spans="2:10" hidden="1" x14ac:dyDescent="0.25">
      <c r="B24" t="s">
        <v>546</v>
      </c>
      <c r="C24" s="17" t="s">
        <v>353</v>
      </c>
      <c r="D24" s="17">
        <v>2</v>
      </c>
      <c r="E24">
        <v>0.15540000000000001</v>
      </c>
      <c r="F24">
        <v>0.36230000000000001</v>
      </c>
      <c r="G24">
        <v>7.0349999999999996E-3</v>
      </c>
      <c r="H24">
        <v>0</v>
      </c>
      <c r="I24">
        <v>0</v>
      </c>
      <c r="J24">
        <v>1</v>
      </c>
    </row>
    <row r="25" spans="2:10" hidden="1" x14ac:dyDescent="0.25">
      <c r="B25" t="s">
        <v>547</v>
      </c>
      <c r="C25" s="17" t="s">
        <v>353</v>
      </c>
      <c r="D25" s="17">
        <v>3</v>
      </c>
      <c r="E25">
        <v>0.30470000000000003</v>
      </c>
      <c r="F25">
        <v>0.46029999999999999</v>
      </c>
      <c r="G25">
        <v>8.6910000000000008E-3</v>
      </c>
      <c r="H25">
        <v>0</v>
      </c>
      <c r="I25">
        <v>0</v>
      </c>
      <c r="J25">
        <v>1</v>
      </c>
    </row>
    <row r="26" spans="2:10" hidden="1" x14ac:dyDescent="0.25">
      <c r="B26" t="s">
        <v>548</v>
      </c>
      <c r="C26" s="17" t="s">
        <v>353</v>
      </c>
      <c r="D26" s="17">
        <v>4</v>
      </c>
      <c r="E26">
        <v>0.31540000000000001</v>
      </c>
      <c r="F26">
        <v>0.4647</v>
      </c>
      <c r="G26">
        <v>8.6610000000000003E-3</v>
      </c>
      <c r="H26">
        <v>0</v>
      </c>
      <c r="I26">
        <v>0</v>
      </c>
      <c r="J26">
        <v>1</v>
      </c>
    </row>
    <row r="27" spans="2:10" hidden="1" x14ac:dyDescent="0.25">
      <c r="B27" t="s">
        <v>549</v>
      </c>
      <c r="C27" s="17" t="s">
        <v>353</v>
      </c>
      <c r="D27" s="17">
        <v>5</v>
      </c>
      <c r="E27">
        <v>0.13719999999999999</v>
      </c>
      <c r="F27">
        <v>0.34399999999999997</v>
      </c>
      <c r="G27">
        <v>6.9550000000000002E-3</v>
      </c>
      <c r="H27">
        <v>0</v>
      </c>
      <c r="I27">
        <v>0</v>
      </c>
      <c r="J27">
        <v>1</v>
      </c>
    </row>
    <row r="28" spans="2:10" hidden="1" x14ac:dyDescent="0.25">
      <c r="B28" t="s">
        <v>550</v>
      </c>
      <c r="C28" s="17" t="s">
        <v>353</v>
      </c>
      <c r="D28" s="17">
        <v>6</v>
      </c>
      <c r="E28">
        <v>3.6729999999999999E-2</v>
      </c>
      <c r="F28">
        <v>0.18809999999999999</v>
      </c>
      <c r="G28">
        <v>4.2729999999999999E-3</v>
      </c>
      <c r="H28">
        <v>0</v>
      </c>
      <c r="I28">
        <v>0</v>
      </c>
      <c r="J28">
        <v>1</v>
      </c>
    </row>
    <row r="29" spans="2:10" hidden="1" x14ac:dyDescent="0.25">
      <c r="B29" t="s">
        <v>551</v>
      </c>
      <c r="C29" s="17" t="s">
        <v>353</v>
      </c>
      <c r="D29" s="17">
        <v>7</v>
      </c>
      <c r="E29">
        <v>1.7329999999999999E-3</v>
      </c>
      <c r="F29">
        <v>4.1599999999999998E-2</v>
      </c>
      <c r="G29">
        <v>3.1960000000000002E-4</v>
      </c>
      <c r="H29">
        <v>0</v>
      </c>
      <c r="I29">
        <v>0</v>
      </c>
      <c r="J29">
        <v>0</v>
      </c>
    </row>
    <row r="30" spans="2:10" hidden="1" x14ac:dyDescent="0.25">
      <c r="B30" t="s">
        <v>552</v>
      </c>
      <c r="C30" t="s">
        <v>353</v>
      </c>
      <c r="D30">
        <v>8</v>
      </c>
      <c r="E30">
        <v>1.3329999999999999E-4</v>
      </c>
      <c r="F30">
        <v>1.155E-2</v>
      </c>
      <c r="G30">
        <v>6.6550000000000005E-5</v>
      </c>
      <c r="H30">
        <v>0</v>
      </c>
      <c r="I30">
        <v>0</v>
      </c>
      <c r="J30">
        <v>0</v>
      </c>
    </row>
    <row r="31" spans="2:10" hidden="1" x14ac:dyDescent="0.25">
      <c r="B31" t="s">
        <v>553</v>
      </c>
      <c r="C31" t="s">
        <v>353</v>
      </c>
      <c r="D31">
        <v>9</v>
      </c>
      <c r="E31">
        <v>0</v>
      </c>
      <c r="F31">
        <v>0</v>
      </c>
      <c r="G31">
        <v>3.333E-13</v>
      </c>
      <c r="H31">
        <v>0</v>
      </c>
      <c r="I31">
        <v>0</v>
      </c>
      <c r="J31">
        <v>0</v>
      </c>
    </row>
    <row r="32" spans="2:10" hidden="1" x14ac:dyDescent="0.25">
      <c r="B32" t="s">
        <v>554</v>
      </c>
      <c r="C32" t="s">
        <v>354</v>
      </c>
      <c r="D32">
        <v>1</v>
      </c>
      <c r="E32">
        <v>0.28089999999999998</v>
      </c>
      <c r="F32">
        <v>0.44950000000000001</v>
      </c>
      <c r="G32">
        <v>9.7800000000000005E-3</v>
      </c>
      <c r="H32">
        <v>0</v>
      </c>
      <c r="I32">
        <v>0</v>
      </c>
      <c r="J32">
        <v>1</v>
      </c>
    </row>
    <row r="33" spans="2:10" hidden="1" x14ac:dyDescent="0.25">
      <c r="B33" t="s">
        <v>555</v>
      </c>
      <c r="C33" t="s">
        <v>354</v>
      </c>
      <c r="D33">
        <v>2</v>
      </c>
      <c r="E33">
        <v>0.36780000000000002</v>
      </c>
      <c r="F33">
        <v>0.48220000000000002</v>
      </c>
      <c r="G33">
        <v>9.0050000000000009E-3</v>
      </c>
      <c r="H33">
        <v>0</v>
      </c>
      <c r="I33">
        <v>0</v>
      </c>
      <c r="J33">
        <v>1</v>
      </c>
    </row>
    <row r="34" spans="2:10" hidden="1" x14ac:dyDescent="0.25">
      <c r="B34" t="s">
        <v>556</v>
      </c>
      <c r="C34" t="s">
        <v>354</v>
      </c>
      <c r="D34">
        <v>3</v>
      </c>
      <c r="E34">
        <v>0.19</v>
      </c>
      <c r="F34">
        <v>0.39229999999999998</v>
      </c>
      <c r="G34">
        <v>7.2110000000000004E-3</v>
      </c>
      <c r="H34">
        <v>0</v>
      </c>
      <c r="I34">
        <v>0</v>
      </c>
      <c r="J34">
        <v>1</v>
      </c>
    </row>
    <row r="35" spans="2:10" hidden="1" x14ac:dyDescent="0.25">
      <c r="B35" t="s">
        <v>557</v>
      </c>
      <c r="C35" t="s">
        <v>354</v>
      </c>
      <c r="D35">
        <v>4</v>
      </c>
      <c r="E35">
        <v>8.523E-2</v>
      </c>
      <c r="F35">
        <v>0.2792</v>
      </c>
      <c r="G35">
        <v>4.2069999999999998E-3</v>
      </c>
      <c r="H35">
        <v>0</v>
      </c>
      <c r="I35">
        <v>0</v>
      </c>
      <c r="J35">
        <v>1</v>
      </c>
    </row>
    <row r="36" spans="2:10" hidden="1" x14ac:dyDescent="0.25">
      <c r="B36" t="s">
        <v>558</v>
      </c>
      <c r="C36" t="s">
        <v>354</v>
      </c>
      <c r="D36">
        <v>5</v>
      </c>
      <c r="E36">
        <v>5.1200000000000002E-2</v>
      </c>
      <c r="F36">
        <v>0.22040000000000001</v>
      </c>
      <c r="G36">
        <v>4.5469999999999998E-3</v>
      </c>
      <c r="H36">
        <v>0</v>
      </c>
      <c r="I36">
        <v>0</v>
      </c>
      <c r="J36">
        <v>1</v>
      </c>
    </row>
    <row r="37" spans="2:10" hidden="1" x14ac:dyDescent="0.25">
      <c r="B37" t="s">
        <v>559</v>
      </c>
      <c r="C37" t="s">
        <v>354</v>
      </c>
      <c r="D37">
        <v>6</v>
      </c>
      <c r="E37">
        <v>2.0230000000000001E-2</v>
      </c>
      <c r="F37">
        <v>0.14080000000000001</v>
      </c>
      <c r="G37">
        <v>1.9480000000000001E-3</v>
      </c>
      <c r="H37">
        <v>0</v>
      </c>
      <c r="I37">
        <v>0</v>
      </c>
      <c r="J37">
        <v>0</v>
      </c>
    </row>
    <row r="38" spans="2:10" hidden="1" x14ac:dyDescent="0.25">
      <c r="B38" t="s">
        <v>560</v>
      </c>
      <c r="C38" t="s">
        <v>354</v>
      </c>
      <c r="D38">
        <v>7</v>
      </c>
      <c r="E38">
        <v>4.2329999999999998E-3</v>
      </c>
      <c r="F38">
        <v>6.4930000000000002E-2</v>
      </c>
      <c r="G38">
        <v>5.8339999999999998E-4</v>
      </c>
      <c r="H38">
        <v>0</v>
      </c>
      <c r="I38">
        <v>0</v>
      </c>
      <c r="J38">
        <v>0</v>
      </c>
    </row>
    <row r="39" spans="2:10" hidden="1" x14ac:dyDescent="0.25">
      <c r="B39" t="s">
        <v>561</v>
      </c>
      <c r="C39" t="s">
        <v>354</v>
      </c>
      <c r="D39">
        <v>8</v>
      </c>
      <c r="E39">
        <v>3.3330000000000002E-4</v>
      </c>
      <c r="F39">
        <v>1.8249999999999999E-2</v>
      </c>
      <c r="G39">
        <v>1.144E-4</v>
      </c>
      <c r="H39">
        <v>0</v>
      </c>
      <c r="I39">
        <v>0</v>
      </c>
      <c r="J39">
        <v>0</v>
      </c>
    </row>
    <row r="40" spans="2:10" hidden="1" x14ac:dyDescent="0.25">
      <c r="B40" t="s">
        <v>562</v>
      </c>
      <c r="C40" t="s">
        <v>354</v>
      </c>
      <c r="D40">
        <v>9</v>
      </c>
      <c r="E40">
        <v>3.3330000000000001E-5</v>
      </c>
      <c r="F40">
        <v>5.7730000000000004E-3</v>
      </c>
      <c r="G40">
        <v>3.345E-5</v>
      </c>
      <c r="H40">
        <v>0</v>
      </c>
      <c r="I40">
        <v>0</v>
      </c>
      <c r="J40">
        <v>0</v>
      </c>
    </row>
    <row r="41" spans="2:10" hidden="1" x14ac:dyDescent="0.25">
      <c r="B41" t="s">
        <v>563</v>
      </c>
      <c r="C41" t="s">
        <v>355</v>
      </c>
      <c r="D41">
        <v>1</v>
      </c>
      <c r="E41">
        <v>0.4506</v>
      </c>
      <c r="F41">
        <v>0.49759999999999999</v>
      </c>
      <c r="G41">
        <v>1.303E-2</v>
      </c>
      <c r="H41">
        <v>0</v>
      </c>
      <c r="I41">
        <v>0</v>
      </c>
      <c r="J41">
        <v>1</v>
      </c>
    </row>
    <row r="42" spans="2:10" hidden="1" x14ac:dyDescent="0.25">
      <c r="B42" t="s">
        <v>564</v>
      </c>
      <c r="C42" t="s">
        <v>355</v>
      </c>
      <c r="D42">
        <v>2</v>
      </c>
      <c r="E42">
        <v>0.1288</v>
      </c>
      <c r="F42">
        <v>0.33489999999999998</v>
      </c>
      <c r="G42">
        <v>5.8149999999999999E-3</v>
      </c>
      <c r="H42">
        <v>0</v>
      </c>
      <c r="I42">
        <v>0</v>
      </c>
      <c r="J42">
        <v>1</v>
      </c>
    </row>
    <row r="43" spans="2:10" hidden="1" x14ac:dyDescent="0.25">
      <c r="B43" t="s">
        <v>565</v>
      </c>
      <c r="C43" t="s">
        <v>355</v>
      </c>
      <c r="D43">
        <v>3</v>
      </c>
      <c r="E43">
        <v>0.1048</v>
      </c>
      <c r="F43">
        <v>0.30630000000000002</v>
      </c>
      <c r="G43">
        <v>4.1139999999999996E-3</v>
      </c>
      <c r="H43">
        <v>0</v>
      </c>
      <c r="I43">
        <v>0</v>
      </c>
      <c r="J43">
        <v>1</v>
      </c>
    </row>
    <row r="44" spans="2:10" hidden="1" x14ac:dyDescent="0.25">
      <c r="B44" t="s">
        <v>566</v>
      </c>
      <c r="C44" t="s">
        <v>355</v>
      </c>
      <c r="D44">
        <v>4</v>
      </c>
      <c r="E44">
        <v>0.1105</v>
      </c>
      <c r="F44">
        <v>0.3135</v>
      </c>
      <c r="G44">
        <v>5.0720000000000001E-3</v>
      </c>
      <c r="H44">
        <v>0</v>
      </c>
      <c r="I44">
        <v>0</v>
      </c>
      <c r="J44">
        <v>1</v>
      </c>
    </row>
    <row r="45" spans="2:10" hidden="1" x14ac:dyDescent="0.25">
      <c r="B45" t="s">
        <v>567</v>
      </c>
      <c r="C45" t="s">
        <v>355</v>
      </c>
      <c r="D45">
        <v>5</v>
      </c>
      <c r="E45">
        <v>9.6629999999999994E-2</v>
      </c>
      <c r="F45">
        <v>0.29549999999999998</v>
      </c>
      <c r="G45">
        <v>5.4910000000000002E-3</v>
      </c>
      <c r="H45">
        <v>0</v>
      </c>
      <c r="I45">
        <v>0</v>
      </c>
      <c r="J45">
        <v>1</v>
      </c>
    </row>
    <row r="46" spans="2:10" hidden="1" x14ac:dyDescent="0.25">
      <c r="B46" t="s">
        <v>568</v>
      </c>
      <c r="C46" t="s">
        <v>355</v>
      </c>
      <c r="D46">
        <v>6</v>
      </c>
      <c r="E46">
        <v>8.3169999999999994E-2</v>
      </c>
      <c r="F46">
        <v>0.27610000000000001</v>
      </c>
      <c r="G46">
        <v>5.9849999999999999E-3</v>
      </c>
      <c r="H46">
        <v>0</v>
      </c>
      <c r="I46">
        <v>0</v>
      </c>
      <c r="J46">
        <v>1</v>
      </c>
    </row>
    <row r="47" spans="2:10" hidden="1" x14ac:dyDescent="0.25">
      <c r="B47" t="s">
        <v>569</v>
      </c>
      <c r="C47" t="s">
        <v>355</v>
      </c>
      <c r="D47">
        <v>7</v>
      </c>
      <c r="E47">
        <v>2.2530000000000001E-2</v>
      </c>
      <c r="F47">
        <v>0.1484</v>
      </c>
      <c r="G47">
        <v>2.003E-3</v>
      </c>
      <c r="H47">
        <v>0</v>
      </c>
      <c r="I47">
        <v>0</v>
      </c>
      <c r="J47">
        <v>0</v>
      </c>
    </row>
    <row r="48" spans="2:10" hidden="1" x14ac:dyDescent="0.25">
      <c r="B48" t="s">
        <v>570</v>
      </c>
      <c r="C48" t="s">
        <v>355</v>
      </c>
      <c r="D48">
        <v>8</v>
      </c>
      <c r="E48">
        <v>2.7000000000000001E-3</v>
      </c>
      <c r="F48">
        <v>5.1889999999999999E-2</v>
      </c>
      <c r="G48">
        <v>4.484E-4</v>
      </c>
      <c r="H48">
        <v>0</v>
      </c>
      <c r="I48">
        <v>0</v>
      </c>
      <c r="J48">
        <v>0</v>
      </c>
    </row>
    <row r="49" spans="2:10" hidden="1" x14ac:dyDescent="0.25">
      <c r="B49" t="s">
        <v>571</v>
      </c>
      <c r="C49" t="s">
        <v>355</v>
      </c>
      <c r="D49">
        <v>9</v>
      </c>
      <c r="E49">
        <v>4.0000000000000002E-4</v>
      </c>
      <c r="F49">
        <v>0.02</v>
      </c>
      <c r="G49">
        <v>1.2320000000000001E-4</v>
      </c>
      <c r="H49">
        <v>0</v>
      </c>
      <c r="I49">
        <v>0</v>
      </c>
      <c r="J49">
        <v>0</v>
      </c>
    </row>
    <row r="50" spans="2:10" hidden="1" x14ac:dyDescent="0.25">
      <c r="B50" t="s">
        <v>572</v>
      </c>
      <c r="C50" t="s">
        <v>356</v>
      </c>
      <c r="D50">
        <v>1</v>
      </c>
      <c r="E50">
        <v>0.16750000000000001</v>
      </c>
      <c r="F50">
        <v>0.37340000000000001</v>
      </c>
      <c r="G50">
        <v>8.5780000000000006E-3</v>
      </c>
      <c r="H50">
        <v>0</v>
      </c>
      <c r="I50">
        <v>0</v>
      </c>
      <c r="J50">
        <v>1</v>
      </c>
    </row>
    <row r="51" spans="2:10" hidden="1" x14ac:dyDescent="0.25">
      <c r="B51" t="s">
        <v>573</v>
      </c>
      <c r="C51" t="s">
        <v>356</v>
      </c>
      <c r="D51">
        <v>2</v>
      </c>
      <c r="E51">
        <v>0.2104</v>
      </c>
      <c r="F51">
        <v>0.40760000000000002</v>
      </c>
      <c r="G51">
        <v>6.7970000000000001E-3</v>
      </c>
      <c r="H51">
        <v>0</v>
      </c>
      <c r="I51">
        <v>0</v>
      </c>
      <c r="J51">
        <v>1</v>
      </c>
    </row>
    <row r="52" spans="2:10" hidden="1" x14ac:dyDescent="0.25">
      <c r="B52" t="s">
        <v>574</v>
      </c>
      <c r="C52" t="s">
        <v>356</v>
      </c>
      <c r="D52">
        <v>3</v>
      </c>
      <c r="E52">
        <v>0.18940000000000001</v>
      </c>
      <c r="F52">
        <v>0.39179999999999998</v>
      </c>
      <c r="G52">
        <v>6.1130000000000004E-3</v>
      </c>
      <c r="H52">
        <v>0</v>
      </c>
      <c r="I52">
        <v>0</v>
      </c>
      <c r="J52">
        <v>1</v>
      </c>
    </row>
    <row r="53" spans="2:10" hidden="1" x14ac:dyDescent="0.25">
      <c r="B53" t="s">
        <v>575</v>
      </c>
      <c r="C53" t="s">
        <v>356</v>
      </c>
      <c r="D53">
        <v>4</v>
      </c>
      <c r="E53">
        <v>0.15770000000000001</v>
      </c>
      <c r="F53">
        <v>0.3644</v>
      </c>
      <c r="G53">
        <v>6.3169999999999997E-3</v>
      </c>
      <c r="H53">
        <v>0</v>
      </c>
      <c r="I53">
        <v>0</v>
      </c>
      <c r="J53">
        <v>1</v>
      </c>
    </row>
    <row r="54" spans="2:10" hidden="1" x14ac:dyDescent="0.25">
      <c r="B54" t="s">
        <v>576</v>
      </c>
      <c r="C54" t="s">
        <v>356</v>
      </c>
      <c r="D54">
        <v>5</v>
      </c>
      <c r="E54">
        <v>0.1535</v>
      </c>
      <c r="F54">
        <v>0.3604</v>
      </c>
      <c r="G54">
        <v>8.8280000000000008E-3</v>
      </c>
      <c r="H54">
        <v>0</v>
      </c>
      <c r="I54">
        <v>0</v>
      </c>
      <c r="J54">
        <v>1</v>
      </c>
    </row>
    <row r="55" spans="2:10" hidden="1" x14ac:dyDescent="0.25">
      <c r="B55" t="s">
        <v>577</v>
      </c>
      <c r="C55" t="s">
        <v>356</v>
      </c>
      <c r="D55">
        <v>6</v>
      </c>
      <c r="E55">
        <v>9.2100000000000001E-2</v>
      </c>
      <c r="F55">
        <v>0.28920000000000001</v>
      </c>
      <c r="G55">
        <v>6.4070000000000004E-3</v>
      </c>
      <c r="H55">
        <v>0</v>
      </c>
      <c r="I55">
        <v>0</v>
      </c>
      <c r="J55">
        <v>1</v>
      </c>
    </row>
    <row r="56" spans="2:10" hidden="1" x14ac:dyDescent="0.25">
      <c r="B56" t="s">
        <v>578</v>
      </c>
      <c r="C56" t="s">
        <v>356</v>
      </c>
      <c r="D56">
        <v>7</v>
      </c>
      <c r="E56">
        <v>2.6100000000000002E-2</v>
      </c>
      <c r="F56">
        <v>0.15939999999999999</v>
      </c>
      <c r="G56">
        <v>2.5000000000000001E-3</v>
      </c>
      <c r="H56">
        <v>0</v>
      </c>
      <c r="I56">
        <v>0</v>
      </c>
      <c r="J56">
        <v>1</v>
      </c>
    </row>
    <row r="57" spans="2:10" hidden="1" x14ac:dyDescent="0.25">
      <c r="B57" t="s">
        <v>579</v>
      </c>
      <c r="C57" t="s">
        <v>356</v>
      </c>
      <c r="D57">
        <v>8</v>
      </c>
      <c r="E57">
        <v>3.2000000000000002E-3</v>
      </c>
      <c r="F57">
        <v>5.6480000000000002E-2</v>
      </c>
      <c r="G57">
        <v>6.1890000000000003E-4</v>
      </c>
      <c r="H57">
        <v>0</v>
      </c>
      <c r="I57">
        <v>0</v>
      </c>
      <c r="J57">
        <v>0</v>
      </c>
    </row>
    <row r="58" spans="2:10" hidden="1" x14ac:dyDescent="0.25">
      <c r="B58" t="s">
        <v>580</v>
      </c>
      <c r="C58" t="s">
        <v>356</v>
      </c>
      <c r="D58">
        <v>9</v>
      </c>
      <c r="E58">
        <v>2.0000000000000001E-4</v>
      </c>
      <c r="F58">
        <v>1.414E-2</v>
      </c>
      <c r="G58">
        <v>1.053E-4</v>
      </c>
      <c r="H58">
        <v>0</v>
      </c>
      <c r="I58">
        <v>0</v>
      </c>
      <c r="J58">
        <v>0</v>
      </c>
    </row>
    <row r="59" spans="2:10" hidden="1" x14ac:dyDescent="0.25">
      <c r="B59" t="s">
        <v>581</v>
      </c>
      <c r="C59" t="s">
        <v>357</v>
      </c>
      <c r="D59">
        <v>1</v>
      </c>
      <c r="E59">
        <v>4.5569999999999999E-2</v>
      </c>
      <c r="F59">
        <v>0.20849999999999999</v>
      </c>
      <c r="G59">
        <v>4.1989999999999996E-3</v>
      </c>
      <c r="H59">
        <v>0</v>
      </c>
      <c r="I59">
        <v>0</v>
      </c>
      <c r="J59">
        <v>1</v>
      </c>
    </row>
    <row r="60" spans="2:10" hidden="1" x14ac:dyDescent="0.25">
      <c r="B60" t="s">
        <v>582</v>
      </c>
      <c r="C60" t="s">
        <v>357</v>
      </c>
      <c r="D60">
        <v>2</v>
      </c>
      <c r="E60">
        <v>0.1111</v>
      </c>
      <c r="F60">
        <v>0.31430000000000002</v>
      </c>
      <c r="G60">
        <v>6.6709999999999998E-3</v>
      </c>
      <c r="H60">
        <v>0</v>
      </c>
      <c r="I60">
        <v>0</v>
      </c>
      <c r="J60">
        <v>1</v>
      </c>
    </row>
    <row r="61" spans="2:10" hidden="1" x14ac:dyDescent="0.25">
      <c r="B61" t="s">
        <v>583</v>
      </c>
      <c r="C61" t="s">
        <v>357</v>
      </c>
      <c r="D61">
        <v>3</v>
      </c>
      <c r="E61">
        <v>0.16289999999999999</v>
      </c>
      <c r="F61">
        <v>0.36930000000000002</v>
      </c>
      <c r="G61">
        <v>6.9459999999999999E-3</v>
      </c>
      <c r="H61">
        <v>0</v>
      </c>
      <c r="I61">
        <v>0</v>
      </c>
      <c r="J61">
        <v>1</v>
      </c>
    </row>
    <row r="62" spans="2:10" hidden="1" x14ac:dyDescent="0.25">
      <c r="B62" t="s">
        <v>584</v>
      </c>
      <c r="C62" t="s">
        <v>357</v>
      </c>
      <c r="D62">
        <v>4</v>
      </c>
      <c r="E62">
        <v>0.23050000000000001</v>
      </c>
      <c r="F62">
        <v>0.42120000000000002</v>
      </c>
      <c r="G62">
        <v>6.855E-3</v>
      </c>
      <c r="H62">
        <v>0</v>
      </c>
      <c r="I62">
        <v>0</v>
      </c>
      <c r="J62">
        <v>1</v>
      </c>
    </row>
    <row r="63" spans="2:10" hidden="1" x14ac:dyDescent="0.25">
      <c r="B63" t="s">
        <v>585</v>
      </c>
      <c r="C63" t="s">
        <v>357</v>
      </c>
      <c r="D63">
        <v>5</v>
      </c>
      <c r="E63">
        <v>0.3332</v>
      </c>
      <c r="F63">
        <v>0.47139999999999999</v>
      </c>
      <c r="G63">
        <v>9.9760000000000005E-3</v>
      </c>
      <c r="H63">
        <v>0</v>
      </c>
      <c r="I63">
        <v>0</v>
      </c>
      <c r="J63">
        <v>1</v>
      </c>
    </row>
    <row r="64" spans="2:10" hidden="1" x14ac:dyDescent="0.25">
      <c r="B64" t="s">
        <v>586</v>
      </c>
      <c r="C64" t="s">
        <v>357</v>
      </c>
      <c r="D64">
        <v>6</v>
      </c>
      <c r="E64">
        <v>0.1028</v>
      </c>
      <c r="F64">
        <v>0.30370000000000003</v>
      </c>
      <c r="G64">
        <v>5.1200000000000004E-3</v>
      </c>
      <c r="H64">
        <v>0</v>
      </c>
      <c r="I64">
        <v>0</v>
      </c>
      <c r="J64">
        <v>1</v>
      </c>
    </row>
    <row r="65" spans="2:10" hidden="1" x14ac:dyDescent="0.25">
      <c r="B65" t="s">
        <v>587</v>
      </c>
      <c r="C65" t="s">
        <v>357</v>
      </c>
      <c r="D65">
        <v>7</v>
      </c>
      <c r="E65">
        <v>1.333E-2</v>
      </c>
      <c r="F65">
        <v>0.1147</v>
      </c>
      <c r="G65">
        <v>3.6380000000000002E-3</v>
      </c>
      <c r="H65">
        <v>0</v>
      </c>
      <c r="I65">
        <v>0</v>
      </c>
      <c r="J65">
        <v>0</v>
      </c>
    </row>
    <row r="66" spans="2:10" hidden="1" x14ac:dyDescent="0.25">
      <c r="B66" t="s">
        <v>588</v>
      </c>
      <c r="C66" t="s">
        <v>357</v>
      </c>
      <c r="D66">
        <v>8</v>
      </c>
      <c r="E66">
        <v>5.0000000000000001E-4</v>
      </c>
      <c r="F66">
        <v>2.2360000000000001E-2</v>
      </c>
      <c r="G66">
        <v>1.35E-4</v>
      </c>
      <c r="H66">
        <v>0</v>
      </c>
      <c r="I66">
        <v>0</v>
      </c>
      <c r="J66">
        <v>0</v>
      </c>
    </row>
    <row r="67" spans="2:10" hidden="1" x14ac:dyDescent="0.25">
      <c r="B67" t="s">
        <v>589</v>
      </c>
      <c r="C67" t="s">
        <v>357</v>
      </c>
      <c r="D67">
        <v>9</v>
      </c>
      <c r="E67">
        <v>0</v>
      </c>
      <c r="F67">
        <v>0</v>
      </c>
      <c r="G67">
        <v>3.333E-13</v>
      </c>
      <c r="H67">
        <v>0</v>
      </c>
      <c r="I67">
        <v>0</v>
      </c>
      <c r="J67">
        <v>0</v>
      </c>
    </row>
    <row r="68" spans="2:10" hidden="1" x14ac:dyDescent="0.25">
      <c r="B68" t="s">
        <v>590</v>
      </c>
      <c r="C68" t="s">
        <v>358</v>
      </c>
      <c r="D68">
        <v>1</v>
      </c>
      <c r="E68">
        <v>0</v>
      </c>
      <c r="F68">
        <v>0</v>
      </c>
      <c r="G68">
        <v>3.333E-13</v>
      </c>
      <c r="H68">
        <v>0</v>
      </c>
      <c r="I68">
        <v>0</v>
      </c>
      <c r="J68">
        <v>0</v>
      </c>
    </row>
    <row r="69" spans="2:10" hidden="1" x14ac:dyDescent="0.25">
      <c r="B69" t="s">
        <v>591</v>
      </c>
      <c r="C69" t="s">
        <v>358</v>
      </c>
      <c r="D69">
        <v>2</v>
      </c>
      <c r="E69">
        <v>3.3330000000000001E-5</v>
      </c>
      <c r="F69">
        <v>5.7730000000000004E-3</v>
      </c>
      <c r="G69">
        <v>3.345E-5</v>
      </c>
      <c r="H69">
        <v>0</v>
      </c>
      <c r="I69">
        <v>0</v>
      </c>
      <c r="J69">
        <v>0</v>
      </c>
    </row>
    <row r="70" spans="2:10" hidden="1" x14ac:dyDescent="0.25">
      <c r="B70" t="s">
        <v>592</v>
      </c>
      <c r="C70" t="s">
        <v>358</v>
      </c>
      <c r="D70">
        <v>3</v>
      </c>
      <c r="E70">
        <v>3.3330000000000001E-5</v>
      </c>
      <c r="F70">
        <v>5.7730000000000004E-3</v>
      </c>
      <c r="G70">
        <v>3.345E-5</v>
      </c>
      <c r="H70">
        <v>0</v>
      </c>
      <c r="I70">
        <v>0</v>
      </c>
      <c r="J70">
        <v>0</v>
      </c>
    </row>
    <row r="71" spans="2:10" hidden="1" x14ac:dyDescent="0.25">
      <c r="B71" t="s">
        <v>593</v>
      </c>
      <c r="C71" t="s">
        <v>358</v>
      </c>
      <c r="D71">
        <v>4</v>
      </c>
      <c r="E71">
        <v>6.6669999999999997E-5</v>
      </c>
      <c r="F71">
        <v>8.1650000000000004E-3</v>
      </c>
      <c r="G71">
        <v>4.7219999999999999E-5</v>
      </c>
      <c r="H71">
        <v>0</v>
      </c>
      <c r="I71">
        <v>0</v>
      </c>
      <c r="J71">
        <v>0</v>
      </c>
    </row>
    <row r="72" spans="2:10" hidden="1" x14ac:dyDescent="0.25">
      <c r="B72" t="s">
        <v>594</v>
      </c>
      <c r="C72" t="s">
        <v>358</v>
      </c>
      <c r="D72">
        <v>5</v>
      </c>
      <c r="E72">
        <v>2.6669999999999998E-4</v>
      </c>
      <c r="F72">
        <v>1.6330000000000001E-2</v>
      </c>
      <c r="G72">
        <v>9.3480000000000006E-5</v>
      </c>
      <c r="H72">
        <v>0</v>
      </c>
      <c r="I72">
        <v>0</v>
      </c>
      <c r="J72">
        <v>0</v>
      </c>
    </row>
    <row r="73" spans="2:10" hidden="1" x14ac:dyDescent="0.25">
      <c r="B73" t="s">
        <v>595</v>
      </c>
      <c r="C73" t="s">
        <v>358</v>
      </c>
      <c r="D73">
        <v>6</v>
      </c>
      <c r="E73">
        <v>8.3330000000000003E-4</v>
      </c>
      <c r="F73">
        <v>2.886E-2</v>
      </c>
      <c r="G73">
        <v>1.672E-4</v>
      </c>
      <c r="H73">
        <v>0</v>
      </c>
      <c r="I73">
        <v>0</v>
      </c>
      <c r="J73">
        <v>0</v>
      </c>
    </row>
    <row r="74" spans="2:10" hidden="1" x14ac:dyDescent="0.25">
      <c r="B74" t="s">
        <v>596</v>
      </c>
      <c r="C74" t="s">
        <v>358</v>
      </c>
      <c r="D74">
        <v>7</v>
      </c>
      <c r="E74">
        <v>5.6670000000000002E-3</v>
      </c>
      <c r="F74">
        <v>7.5060000000000002E-2</v>
      </c>
      <c r="G74">
        <v>7.2760000000000001E-4</v>
      </c>
      <c r="H74">
        <v>0</v>
      </c>
      <c r="I74">
        <v>0</v>
      </c>
      <c r="J74">
        <v>0</v>
      </c>
    </row>
    <row r="75" spans="2:10" hidden="1" x14ac:dyDescent="0.25">
      <c r="B75" t="s">
        <v>597</v>
      </c>
      <c r="C75" t="s">
        <v>358</v>
      </c>
      <c r="D75">
        <v>8</v>
      </c>
      <c r="E75">
        <v>0.6431</v>
      </c>
      <c r="F75">
        <v>0.47910000000000003</v>
      </c>
      <c r="G75">
        <v>1.376E-2</v>
      </c>
      <c r="H75">
        <v>0</v>
      </c>
      <c r="I75">
        <v>1</v>
      </c>
      <c r="J75">
        <v>1</v>
      </c>
    </row>
    <row r="76" spans="2:10" hidden="1" x14ac:dyDescent="0.25">
      <c r="B76" t="s">
        <v>598</v>
      </c>
      <c r="C76" t="s">
        <v>358</v>
      </c>
      <c r="D76">
        <v>9</v>
      </c>
      <c r="E76">
        <v>0.35</v>
      </c>
      <c r="F76">
        <v>0.47699999999999998</v>
      </c>
      <c r="G76">
        <v>1.374E-2</v>
      </c>
      <c r="H76">
        <v>0</v>
      </c>
      <c r="I76">
        <v>0</v>
      </c>
      <c r="J76">
        <v>1</v>
      </c>
    </row>
    <row r="77" spans="2:10" hidden="1" x14ac:dyDescent="0.25">
      <c r="B77" t="s">
        <v>599</v>
      </c>
      <c r="C77" t="s">
        <v>359</v>
      </c>
      <c r="D77">
        <v>1</v>
      </c>
      <c r="E77">
        <v>7.6670000000000004E-4</v>
      </c>
      <c r="F77">
        <v>2.768E-2</v>
      </c>
      <c r="G77">
        <v>3.2000000000000003E-4</v>
      </c>
      <c r="H77">
        <v>0</v>
      </c>
      <c r="I77">
        <v>0</v>
      </c>
      <c r="J77">
        <v>0</v>
      </c>
    </row>
    <row r="78" spans="2:10" hidden="1" x14ac:dyDescent="0.25">
      <c r="B78" t="s">
        <v>600</v>
      </c>
      <c r="C78" t="s">
        <v>359</v>
      </c>
      <c r="D78">
        <v>2</v>
      </c>
      <c r="E78">
        <v>1.2329999999999999E-3</v>
      </c>
      <c r="F78">
        <v>3.5099999999999999E-2</v>
      </c>
      <c r="G78">
        <v>2.8509999999999999E-4</v>
      </c>
      <c r="H78">
        <v>0</v>
      </c>
      <c r="I78">
        <v>0</v>
      </c>
      <c r="J78">
        <v>0</v>
      </c>
    </row>
    <row r="79" spans="2:10" hidden="1" x14ac:dyDescent="0.25">
      <c r="B79" t="s">
        <v>601</v>
      </c>
      <c r="C79" t="s">
        <v>359</v>
      </c>
      <c r="D79">
        <v>3</v>
      </c>
      <c r="E79">
        <v>9.3329999999999997E-4</v>
      </c>
      <c r="F79">
        <v>3.0540000000000001E-2</v>
      </c>
      <c r="G79">
        <v>2.6249999999999998E-4</v>
      </c>
      <c r="H79">
        <v>0</v>
      </c>
      <c r="I79">
        <v>0</v>
      </c>
      <c r="J79">
        <v>0</v>
      </c>
    </row>
    <row r="80" spans="2:10" hidden="1" x14ac:dyDescent="0.25">
      <c r="B80" t="s">
        <v>602</v>
      </c>
      <c r="C80" t="s">
        <v>359</v>
      </c>
      <c r="D80">
        <v>4</v>
      </c>
      <c r="E80">
        <v>1.2999999999999999E-3</v>
      </c>
      <c r="F80">
        <v>3.603E-2</v>
      </c>
      <c r="G80">
        <v>2.7609999999999999E-4</v>
      </c>
      <c r="H80">
        <v>0</v>
      </c>
      <c r="I80">
        <v>0</v>
      </c>
      <c r="J80">
        <v>0</v>
      </c>
    </row>
    <row r="81" spans="2:10" hidden="1" x14ac:dyDescent="0.25">
      <c r="B81" t="s">
        <v>603</v>
      </c>
      <c r="C81" t="s">
        <v>359</v>
      </c>
      <c r="D81">
        <v>5</v>
      </c>
      <c r="E81">
        <v>1.867E-3</v>
      </c>
      <c r="F81">
        <v>4.3159999999999997E-2</v>
      </c>
      <c r="G81">
        <v>3.4739999999999999E-4</v>
      </c>
      <c r="H81">
        <v>0</v>
      </c>
      <c r="I81">
        <v>0</v>
      </c>
      <c r="J81">
        <v>0</v>
      </c>
    </row>
    <row r="82" spans="2:10" hidden="1" x14ac:dyDescent="0.25">
      <c r="B82" t="s">
        <v>604</v>
      </c>
      <c r="C82" t="s">
        <v>359</v>
      </c>
      <c r="D82">
        <v>6</v>
      </c>
      <c r="E82">
        <v>5.4330000000000003E-3</v>
      </c>
      <c r="F82">
        <v>7.3510000000000006E-2</v>
      </c>
      <c r="G82">
        <v>1.036E-3</v>
      </c>
      <c r="H82">
        <v>0</v>
      </c>
      <c r="I82">
        <v>0</v>
      </c>
      <c r="J82">
        <v>0</v>
      </c>
    </row>
    <row r="83" spans="2:10" hidden="1" x14ac:dyDescent="0.25">
      <c r="B83" t="s">
        <v>605</v>
      </c>
      <c r="C83" t="s">
        <v>359</v>
      </c>
      <c r="D83">
        <v>7</v>
      </c>
      <c r="E83">
        <v>2.4E-2</v>
      </c>
      <c r="F83">
        <v>0.153</v>
      </c>
      <c r="G83">
        <v>2.843E-3</v>
      </c>
      <c r="H83">
        <v>0</v>
      </c>
      <c r="I83">
        <v>0</v>
      </c>
      <c r="J83">
        <v>0</v>
      </c>
    </row>
    <row r="84" spans="2:10" hidden="1" x14ac:dyDescent="0.25">
      <c r="B84" t="s">
        <v>606</v>
      </c>
      <c r="C84" t="s">
        <v>359</v>
      </c>
      <c r="D84">
        <v>8</v>
      </c>
      <c r="E84">
        <v>0.31540000000000001</v>
      </c>
      <c r="F84">
        <v>0.4647</v>
      </c>
      <c r="G84">
        <v>1.2619999999999999E-2</v>
      </c>
      <c r="H84">
        <v>0</v>
      </c>
      <c r="I84">
        <v>0</v>
      </c>
      <c r="J84">
        <v>1</v>
      </c>
    </row>
    <row r="85" spans="2:10" hidden="1" x14ac:dyDescent="0.25">
      <c r="B85" t="s">
        <v>607</v>
      </c>
      <c r="C85" t="s">
        <v>359</v>
      </c>
      <c r="D85">
        <v>9</v>
      </c>
      <c r="E85">
        <v>0.64900000000000002</v>
      </c>
      <c r="F85">
        <v>0.4773</v>
      </c>
      <c r="G85">
        <v>1.375E-2</v>
      </c>
      <c r="H85">
        <v>0</v>
      </c>
      <c r="I85">
        <v>1</v>
      </c>
      <c r="J85">
        <v>1</v>
      </c>
    </row>
    <row r="86" spans="2:10" hidden="1" x14ac:dyDescent="0.25"/>
    <row r="87" spans="2:10" hidden="1" x14ac:dyDescent="0.25"/>
    <row r="88" spans="2:10" hidden="1" x14ac:dyDescent="0.25"/>
    <row r="89" spans="2:10" hidden="1" x14ac:dyDescent="0.25"/>
    <row r="90" spans="2:10" hidden="1" x14ac:dyDescent="0.25"/>
    <row r="91" spans="2:10" hidden="1" x14ac:dyDescent="0.25"/>
    <row r="92" spans="2:10" hidden="1" x14ac:dyDescent="0.25"/>
    <row r="93" spans="2:10" hidden="1" x14ac:dyDescent="0.25"/>
    <row r="94" spans="2:10" hidden="1" x14ac:dyDescent="0.25"/>
    <row r="95" spans="2:10" hidden="1" x14ac:dyDescent="0.25"/>
    <row r="96" spans="2:10"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2 5 2018 3 56 28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2018-02-05T19:57:32Z</dcterms:modified>
</cp:coreProperties>
</file>