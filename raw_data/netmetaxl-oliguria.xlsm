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7_oliguria\"/>
    </mc:Choice>
  </mc:AlternateContent>
  <bookViews>
    <workbookView xWindow="0" yWindow="0" windowWidth="28800" windowHeight="12435" tabRatio="663" firstSheet="7" activeTab="10"/>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state="hidden" r:id="rId13"/>
    <sheet name="FE Results" sheetId="10" state="hidden" r:id="rId14"/>
    <sheet name="RE Results (Vague Prior)" sheetId="11" state="hidden"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40" i="20"/>
  <c r="K40" i="20"/>
  <c r="L39" i="20"/>
  <c r="K39" i="20"/>
  <c r="L38" i="20"/>
  <c r="K38" i="20"/>
  <c r="L37" i="20"/>
  <c r="K37" i="20"/>
  <c r="L36" i="20"/>
  <c r="K36" i="20"/>
  <c r="L35" i="20"/>
  <c r="K35" i="20"/>
  <c r="L34" i="20"/>
  <c r="K34" i="20"/>
  <c r="L33" i="20"/>
  <c r="K33" i="20"/>
  <c r="L32" i="20"/>
  <c r="K32" i="20"/>
  <c r="L31" i="20"/>
  <c r="K31" i="20"/>
  <c r="L30" i="20"/>
  <c r="K30" i="20"/>
  <c r="L29" i="20"/>
  <c r="K29" i="20"/>
  <c r="L28" i="20"/>
  <c r="K28" i="20"/>
  <c r="L27" i="20"/>
  <c r="K27" i="20"/>
  <c r="L26" i="20"/>
  <c r="K26" i="20"/>
  <c r="L5" i="20"/>
  <c r="K5" i="20"/>
  <c r="L13" i="20"/>
  <c r="K13" i="20"/>
  <c r="L11" i="20"/>
  <c r="K11" i="20"/>
  <c r="L17" i="20"/>
  <c r="K17" i="20"/>
  <c r="L24" i="20"/>
  <c r="K24" i="20"/>
  <c r="L20" i="20"/>
  <c r="K20" i="20"/>
  <c r="L10" i="20"/>
  <c r="K10" i="20"/>
  <c r="L23" i="20"/>
  <c r="K23" i="20"/>
  <c r="L18" i="20"/>
  <c r="K18" i="20"/>
  <c r="L9" i="20"/>
  <c r="K9" i="20"/>
  <c r="L16" i="20"/>
  <c r="K16" i="20"/>
  <c r="L6" i="20"/>
  <c r="K6" i="20"/>
  <c r="L7" i="20"/>
  <c r="K7" i="20"/>
  <c r="L8" i="20"/>
  <c r="K8" i="20"/>
  <c r="L22" i="20"/>
  <c r="K22" i="20"/>
  <c r="L25" i="20"/>
  <c r="K25" i="20"/>
  <c r="L15" i="20"/>
  <c r="K15" i="20"/>
  <c r="L14" i="20"/>
  <c r="K14" i="20"/>
  <c r="L19" i="20"/>
  <c r="K19" i="20"/>
  <c r="L12" i="20"/>
  <c r="K12" i="20"/>
  <c r="L21" i="20"/>
  <c r="K21"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16" i="27"/>
  <c r="K16" i="27"/>
  <c r="L19" i="27"/>
  <c r="K19" i="27"/>
  <c r="L45" i="27"/>
  <c r="K45" i="27"/>
  <c r="L6" i="27"/>
  <c r="K6" i="27"/>
  <c r="L10" i="27"/>
  <c r="K10" i="27"/>
  <c r="L11" i="27"/>
  <c r="K11" i="27"/>
  <c r="L26" i="27"/>
  <c r="K26" i="27"/>
  <c r="L5" i="27"/>
  <c r="K5" i="27"/>
  <c r="L48" i="27"/>
  <c r="K48" i="27"/>
  <c r="L38" i="27"/>
  <c r="K38" i="27"/>
  <c r="L7" i="27"/>
  <c r="K7" i="27"/>
  <c r="L41" i="27"/>
  <c r="K41" i="27"/>
  <c r="L36" i="27"/>
  <c r="K36" i="27"/>
  <c r="L44" i="27"/>
  <c r="K44" i="27"/>
  <c r="L27" i="27"/>
  <c r="K27" i="27"/>
  <c r="L12" i="27"/>
  <c r="K12" i="27"/>
  <c r="L46" i="27"/>
  <c r="K46" i="27"/>
  <c r="L42" i="27"/>
  <c r="K42" i="27"/>
  <c r="L21" i="27"/>
  <c r="K21" i="27"/>
  <c r="L13" i="27"/>
  <c r="K13" i="27"/>
  <c r="L20" i="27"/>
  <c r="K20" i="27"/>
  <c r="L34" i="27"/>
  <c r="K34" i="27"/>
  <c r="L18" i="27"/>
  <c r="K18" i="27"/>
  <c r="L29" i="27"/>
  <c r="K29" i="27"/>
  <c r="L39" i="27"/>
  <c r="K39" i="27"/>
  <c r="L8" i="27"/>
  <c r="K8" i="27"/>
  <c r="L35" i="27"/>
  <c r="K35" i="27"/>
  <c r="L31" i="27"/>
  <c r="K31" i="27"/>
  <c r="L30" i="27"/>
  <c r="K30" i="27"/>
  <c r="L43" i="27"/>
  <c r="K43" i="27"/>
  <c r="L28" i="27"/>
  <c r="K28" i="27"/>
  <c r="L47" i="27"/>
  <c r="K47" i="27"/>
  <c r="L15" i="27"/>
  <c r="K15" i="27"/>
  <c r="L22" i="27"/>
  <c r="K22" i="27"/>
  <c r="L37" i="27"/>
  <c r="K37" i="27"/>
  <c r="L25" i="27"/>
  <c r="K25" i="27"/>
  <c r="L33" i="27"/>
  <c r="K33" i="27"/>
  <c r="L9" i="27"/>
  <c r="K9" i="27"/>
  <c r="L40" i="27"/>
  <c r="K40" i="27"/>
  <c r="L49" i="27"/>
  <c r="K49" i="27"/>
  <c r="L23" i="27"/>
  <c r="K23" i="27"/>
  <c r="L32" i="27"/>
  <c r="K32" i="27"/>
  <c r="L14" i="27"/>
  <c r="K14" i="27"/>
  <c r="L17" i="27"/>
  <c r="K17" i="27"/>
  <c r="L24" i="27"/>
  <c r="K24"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J127" i="40"/>
  <c r="K147" i="40"/>
  <c r="I147" i="40"/>
  <c r="J129" i="40"/>
  <c r="I137" i="40"/>
  <c r="K120" i="40"/>
  <c r="K144" i="40"/>
  <c r="K130" i="40"/>
  <c r="J120" i="40"/>
  <c r="K116" i="40"/>
  <c r="I131" i="40"/>
  <c r="J150" i="40"/>
  <c r="K135" i="40"/>
  <c r="J139" i="40"/>
  <c r="I127" i="40"/>
  <c r="K149" i="40"/>
  <c r="K121" i="40"/>
  <c r="I135" i="40"/>
  <c r="J135" i="40"/>
  <c r="K141" i="40"/>
  <c r="J145" i="40"/>
  <c r="K129" i="40"/>
  <c r="I111" i="40"/>
  <c r="I143" i="40"/>
  <c r="J133" i="40"/>
  <c r="K114" i="40"/>
  <c r="K111" i="40"/>
  <c r="J143" i="40"/>
  <c r="J131" i="40"/>
  <c r="I146" i="40"/>
  <c r="I124" i="40"/>
  <c r="I121" i="40"/>
  <c r="I138" i="40"/>
  <c r="K148" i="40"/>
  <c r="K139" i="40"/>
  <c r="I134" i="40"/>
  <c r="K112" i="40"/>
  <c r="K136" i="40"/>
  <c r="J144" i="40"/>
  <c r="I115" i="40"/>
  <c r="J132" i="40"/>
  <c r="J111" i="40"/>
  <c r="I114" i="40"/>
  <c r="I122" i="40"/>
  <c r="K145" i="40"/>
  <c r="J118" i="40"/>
  <c r="J126" i="40"/>
  <c r="J113" i="40"/>
  <c r="I148" i="40"/>
  <c r="K134" i="40"/>
  <c r="K137" i="40"/>
  <c r="I129" i="40"/>
  <c r="K150" i="40"/>
  <c r="J142" i="40"/>
  <c r="I126" i="40"/>
  <c r="I136" i="40"/>
  <c r="K132" i="40"/>
  <c r="I119" i="40"/>
  <c r="K117" i="40"/>
  <c r="I113" i="40"/>
  <c r="K123" i="40"/>
  <c r="I116" i="40"/>
  <c r="I140" i="40"/>
  <c r="J123" i="40"/>
  <c r="I117" i="40"/>
  <c r="I120" i="40"/>
  <c r="K115" i="40"/>
  <c r="J134" i="40"/>
  <c r="J121" i="40"/>
  <c r="J116" i="40"/>
  <c r="J112" i="40"/>
  <c r="J114" i="40"/>
  <c r="J115" i="40"/>
  <c r="J130" i="40"/>
  <c r="J148" i="40"/>
  <c r="K119" i="40"/>
  <c r="K113" i="40"/>
  <c r="K125" i="40"/>
  <c r="J137" i="40"/>
  <c r="I130" i="40"/>
  <c r="J124" i="40"/>
  <c r="K143" i="40"/>
  <c r="I125" i="40"/>
  <c r="K140" i="40"/>
  <c r="I139" i="40"/>
  <c r="K126" i="40"/>
  <c r="K118" i="40"/>
  <c r="I142" i="40"/>
  <c r="J117" i="40"/>
  <c r="K146" i="40"/>
  <c r="I133" i="40"/>
  <c r="K133" i="40"/>
  <c r="I123" i="40"/>
  <c r="I145" i="40"/>
  <c r="J146" i="40"/>
  <c r="I112" i="40"/>
  <c r="J141" i="40"/>
  <c r="J147" i="40"/>
  <c r="K128" i="40"/>
  <c r="I144" i="40"/>
  <c r="J125" i="40"/>
  <c r="K127" i="40"/>
  <c r="J149" i="40"/>
  <c r="I149" i="40"/>
  <c r="I128" i="40"/>
  <c r="I118" i="40"/>
  <c r="J138" i="40"/>
  <c r="K131" i="40"/>
  <c r="J128" i="40"/>
  <c r="I150" i="40"/>
  <c r="J119" i="40"/>
  <c r="K142" i="40"/>
  <c r="K122" i="40"/>
  <c r="K124" i="40"/>
  <c r="I132" i="40"/>
  <c r="J136" i="40"/>
  <c r="K138" i="40"/>
  <c r="J122" i="40"/>
  <c r="J140" i="40"/>
  <c r="I14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I32" i="40"/>
  <c r="I25" i="40"/>
  <c r="K103" i="40"/>
  <c r="J38" i="40"/>
  <c r="K72" i="40"/>
  <c r="I15" i="40"/>
  <c r="K81" i="40"/>
  <c r="K96" i="40"/>
  <c r="J44" i="40"/>
  <c r="I24" i="40"/>
  <c r="K63" i="40"/>
  <c r="J8" i="40"/>
  <c r="K73" i="40"/>
  <c r="I60" i="40"/>
  <c r="J83" i="40"/>
  <c r="J72" i="40"/>
  <c r="K10" i="40"/>
  <c r="K11" i="40"/>
  <c r="K42" i="40"/>
  <c r="K71" i="40"/>
  <c r="J42" i="40"/>
  <c r="K47" i="40"/>
  <c r="I6" i="40"/>
  <c r="I108" i="40"/>
  <c r="J110" i="40"/>
  <c r="I36" i="40"/>
  <c r="J27" i="40"/>
  <c r="J23" i="40"/>
  <c r="I21" i="40"/>
  <c r="I83" i="40"/>
  <c r="J28" i="40"/>
  <c r="I64" i="40"/>
  <c r="K102" i="40"/>
  <c r="I105" i="40"/>
  <c r="I89" i="40"/>
  <c r="K88" i="40"/>
  <c r="K70" i="40"/>
  <c r="I30" i="40"/>
  <c r="I84" i="40"/>
  <c r="K82" i="40"/>
  <c r="J106" i="40"/>
  <c r="K93" i="40"/>
  <c r="K9" i="40"/>
  <c r="J61" i="40"/>
  <c r="J95" i="40"/>
  <c r="J46" i="40"/>
  <c r="J17" i="40"/>
  <c r="J43" i="40"/>
  <c r="K97" i="40"/>
  <c r="K89" i="40"/>
  <c r="I73" i="40"/>
  <c r="J22" i="40"/>
  <c r="K56" i="40"/>
  <c r="K60" i="40"/>
  <c r="I35" i="40"/>
  <c r="I29" i="40"/>
  <c r="K45" i="40"/>
  <c r="J100" i="40"/>
  <c r="K83" i="40"/>
  <c r="K76" i="40"/>
  <c r="J85" i="40"/>
  <c r="J78" i="40"/>
  <c r="K33" i="40"/>
  <c r="J10" i="40"/>
  <c r="K53" i="40"/>
  <c r="J7" i="40"/>
  <c r="I101" i="40"/>
  <c r="J101" i="40"/>
  <c r="I46" i="40"/>
  <c r="J25" i="40"/>
  <c r="I91" i="40"/>
  <c r="J13" i="40"/>
  <c r="K12" i="40"/>
  <c r="K30" i="40"/>
  <c r="K100" i="40"/>
  <c r="K7" i="40"/>
  <c r="J108" i="40"/>
  <c r="K26" i="40"/>
  <c r="I17" i="40"/>
  <c r="J53" i="40"/>
  <c r="K18" i="40"/>
  <c r="I27" i="40"/>
  <c r="I57" i="40"/>
  <c r="J87" i="40"/>
  <c r="K48" i="40"/>
  <c r="J102" i="40"/>
  <c r="J93" i="40"/>
  <c r="J74" i="40"/>
  <c r="I59" i="40"/>
  <c r="J18" i="40"/>
  <c r="I41" i="40"/>
  <c r="K110" i="40"/>
  <c r="I71" i="40"/>
  <c r="I78" i="40"/>
  <c r="I5" i="40"/>
  <c r="J70" i="40"/>
  <c r="J48" i="40"/>
  <c r="K94" i="40"/>
  <c r="J96" i="40"/>
  <c r="J11" i="40"/>
  <c r="I103" i="40"/>
  <c r="I62" i="40"/>
  <c r="K13" i="40"/>
  <c r="I39" i="40"/>
  <c r="I98" i="40"/>
  <c r="I79" i="40"/>
  <c r="I99" i="40"/>
  <c r="J76" i="40"/>
  <c r="I95" i="40"/>
  <c r="J35" i="40"/>
  <c r="K31" i="40"/>
  <c r="K58" i="40"/>
  <c r="I23" i="40"/>
  <c r="I77" i="40"/>
  <c r="I56" i="40"/>
  <c r="K50" i="40"/>
  <c r="I47" i="40"/>
  <c r="I65" i="40"/>
  <c r="K55" i="40"/>
  <c r="I13" i="40"/>
  <c r="J62" i="40"/>
  <c r="I82" i="40"/>
  <c r="J64" i="40"/>
  <c r="J36" i="40"/>
  <c r="K14" i="40"/>
  <c r="K24" i="40"/>
  <c r="J49" i="40"/>
  <c r="K16" i="40"/>
  <c r="I58" i="40"/>
  <c r="K101" i="40"/>
  <c r="J82" i="40"/>
  <c r="I76" i="40"/>
  <c r="I75" i="40"/>
  <c r="J33" i="40"/>
  <c r="K92" i="40"/>
  <c r="K75" i="40"/>
  <c r="J86" i="40"/>
  <c r="I63" i="40"/>
  <c r="I69" i="40"/>
  <c r="I106" i="40"/>
  <c r="J84" i="40"/>
  <c r="J55" i="40"/>
  <c r="J19" i="40"/>
  <c r="J91" i="40"/>
  <c r="K65" i="40"/>
  <c r="K79" i="40"/>
  <c r="I110" i="40"/>
  <c r="K19" i="40"/>
  <c r="J45" i="40"/>
  <c r="K38" i="40"/>
  <c r="K98" i="40"/>
  <c r="I52" i="40"/>
  <c r="I67" i="40"/>
  <c r="J88" i="40"/>
  <c r="K21" i="40"/>
  <c r="K108" i="40"/>
  <c r="K95" i="40"/>
  <c r="J97" i="40"/>
  <c r="J26" i="40"/>
  <c r="I94" i="40"/>
  <c r="K106" i="40"/>
  <c r="K86" i="40"/>
  <c r="I38" i="40"/>
  <c r="J105" i="40"/>
  <c r="J21" i="40"/>
  <c r="K57" i="40"/>
  <c r="I55" i="40"/>
  <c r="K15" i="40"/>
  <c r="I104" i="40"/>
  <c r="J103" i="40"/>
  <c r="J39" i="40"/>
  <c r="J58" i="40"/>
  <c r="I85" i="40"/>
  <c r="I22" i="40"/>
  <c r="J47" i="40"/>
  <c r="K91" i="40"/>
  <c r="J73" i="40"/>
  <c r="I68" i="40"/>
  <c r="I18" i="40"/>
  <c r="J63" i="40"/>
  <c r="K32" i="40"/>
  <c r="K109" i="40"/>
  <c r="J40" i="40"/>
  <c r="J66" i="40"/>
  <c r="K49" i="40"/>
  <c r="K40" i="40"/>
  <c r="I9" i="40"/>
  <c r="J81" i="40"/>
  <c r="K34" i="40"/>
  <c r="I97" i="40"/>
  <c r="I8" i="40"/>
  <c r="K62" i="40"/>
  <c r="K51" i="40"/>
  <c r="I107" i="40"/>
  <c r="J77" i="40"/>
  <c r="I81" i="40"/>
  <c r="K5" i="40"/>
  <c r="J59" i="40"/>
  <c r="J65" i="40"/>
  <c r="I109" i="40"/>
  <c r="I70" i="40"/>
  <c r="K22" i="40"/>
  <c r="K77" i="40"/>
  <c r="K35" i="40"/>
  <c r="I93" i="40"/>
  <c r="K20" i="40"/>
  <c r="J15" i="40"/>
  <c r="J52" i="40"/>
  <c r="I100" i="40"/>
  <c r="I50" i="40"/>
  <c r="J20" i="40"/>
  <c r="I12" i="40"/>
  <c r="J109" i="40"/>
  <c r="I53" i="40"/>
  <c r="I90" i="40"/>
  <c r="K99" i="40"/>
  <c r="J56" i="40"/>
  <c r="J37" i="40"/>
  <c r="K61" i="40"/>
  <c r="K59" i="40"/>
  <c r="J92" i="40"/>
  <c r="J75" i="40"/>
  <c r="J60" i="40"/>
  <c r="J12" i="40"/>
  <c r="J24" i="40"/>
  <c r="J30" i="40"/>
  <c r="K17" i="40"/>
  <c r="K25" i="40"/>
  <c r="J9" i="40"/>
  <c r="J107" i="40"/>
  <c r="J68" i="40"/>
  <c r="I51" i="40"/>
  <c r="K8" i="40"/>
  <c r="K78" i="40"/>
  <c r="K66" i="40"/>
  <c r="I44" i="40"/>
  <c r="K6" i="40"/>
  <c r="J16" i="40"/>
  <c r="J54" i="40"/>
  <c r="I7" i="40"/>
  <c r="J98" i="40"/>
  <c r="I26" i="40"/>
  <c r="J90" i="40"/>
  <c r="J51" i="40"/>
  <c r="J104" i="40"/>
  <c r="I31" i="40"/>
  <c r="I20" i="40"/>
  <c r="J14" i="40"/>
  <c r="K29" i="40"/>
  <c r="I16" i="40"/>
  <c r="J50" i="40"/>
  <c r="J99" i="40"/>
  <c r="I61" i="40"/>
  <c r="K43" i="40"/>
  <c r="J79" i="40"/>
  <c r="I28" i="40"/>
  <c r="J31" i="40"/>
  <c r="J41" i="40"/>
  <c r="J69" i="40"/>
  <c r="J71" i="40"/>
  <c r="I92" i="40"/>
  <c r="J80" i="40"/>
  <c r="I48" i="40"/>
  <c r="K107" i="40"/>
  <c r="I33" i="40"/>
  <c r="J32" i="40"/>
  <c r="J57" i="40"/>
  <c r="I88" i="40"/>
  <c r="K67" i="40"/>
  <c r="I40" i="40"/>
  <c r="I80" i="40"/>
  <c r="I86" i="40"/>
  <c r="K68" i="40"/>
  <c r="I102" i="40"/>
  <c r="K80" i="40"/>
  <c r="K90" i="40"/>
  <c r="K27" i="40"/>
  <c r="I54" i="40"/>
  <c r="I10" i="40"/>
  <c r="I49" i="40"/>
  <c r="I66" i="40"/>
  <c r="K87" i="40"/>
  <c r="K69" i="40"/>
  <c r="J34" i="40"/>
  <c r="K64" i="40"/>
  <c r="K36" i="40"/>
  <c r="K104" i="40"/>
  <c r="I96" i="40"/>
  <c r="I43" i="40"/>
  <c r="K39" i="40"/>
  <c r="J5" i="40"/>
  <c r="I72" i="40"/>
  <c r="K74" i="40"/>
  <c r="J67" i="40"/>
  <c r="K28" i="40"/>
  <c r="I34" i="40"/>
  <c r="I45" i="40"/>
  <c r="I87" i="40"/>
  <c r="I42" i="40"/>
  <c r="K46" i="40"/>
  <c r="K52" i="40"/>
  <c r="I14" i="40"/>
  <c r="K23" i="40"/>
  <c r="J6" i="40"/>
  <c r="J89" i="40"/>
  <c r="I37" i="40"/>
  <c r="K54" i="40"/>
  <c r="K41" i="40"/>
  <c r="I74" i="40"/>
  <c r="K37" i="40"/>
  <c r="K85" i="40"/>
  <c r="J94" i="40"/>
  <c r="J29" i="40"/>
  <c r="K44" i="40"/>
  <c r="K105" i="40"/>
  <c r="K84" i="40"/>
  <c r="I11" i="40"/>
  <c r="I19" i="40"/>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31" i="48"/>
  <c r="I29" i="48"/>
  <c r="I27" i="48"/>
  <c r="J25" i="48"/>
  <c r="J29" i="48"/>
  <c r="I28" i="48"/>
  <c r="I35" i="48"/>
  <c r="I31" i="48"/>
  <c r="J32" i="48"/>
  <c r="I37" i="48"/>
  <c r="I34" i="48"/>
  <c r="J36" i="48"/>
  <c r="J27" i="48"/>
  <c r="J37" i="48"/>
  <c r="J34" i="48"/>
  <c r="I33" i="48"/>
  <c r="I30" i="48"/>
  <c r="I32" i="48"/>
  <c r="I36" i="48"/>
  <c r="J33" i="48"/>
  <c r="J24" i="48"/>
  <c r="J30" i="48"/>
  <c r="J28" i="48"/>
  <c r="J38" i="48"/>
  <c r="I38" i="48"/>
  <c r="I24" i="48"/>
  <c r="I25" i="48"/>
  <c r="J35" i="48"/>
  <c r="E17" i="48"/>
  <c r="J26" i="48"/>
  <c r="E15" i="48"/>
  <c r="I2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<sst xmlns="http://schemas.openxmlformats.org/spreadsheetml/2006/main" count="2315" uniqueCount="802">
  <si>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</si>
  <si>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</si>
  <si>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</si>
  <si>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</si>
  <si>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</si>
  <si>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</si>
  <si>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</si>
  <si>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</si>
  <si>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</si>
  <si>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</si>
  <si>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</si>
  <si>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</si>
  <si>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</si>
  <si>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</si>
  <si>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</si>
  <si>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</si>
  <si>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</si>
  <si>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</si>
  <si>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</si>
  <si>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</si>
  <si>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</si>
  <si>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</si>
  <si>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</si>
  <si>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</si>
  <si>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</si>
  <si>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</si>
  <si>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</si>
  <si>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</si>
  <si>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</si>
  <si>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</si>
  <si>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</si>
  <si>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</si>
  <si>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</si>
  <si>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</si>
  <si>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</si>
  <si>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</si>
  <si>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</si>
  <si>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</si>
  <si>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</si>
  <si>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</si>
  <si>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</si>
  <si>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</si>
  <si>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</si>
  <si>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</si>
  <si>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</si>
  <si>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</si>
  <si>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</si>
  <si>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</si>
  <si>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</si>
  <si>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</si>
  <si>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</si>
  <si>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</si>
  <si>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</si>
  <si>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</si>
  <si>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</si>
  <si>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</si>
  <si>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</si>
  <si>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</si>
  <si>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</si>
  <si>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</si>
  <si>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</si>
  <si>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</si>
  <si>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</si>
  <si>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</si>
  <si>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</si>
  <si>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</si>
  <si>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</si>
  <si>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</si>
  <si>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</si>
  <si>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</si>
  <si>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</si>
  <si>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</si>
  <si>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</si>
  <si>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</si>
  <si>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</si>
  <si>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</si>
  <si>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</si>
  <si>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</si>
  <si>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</si>
  <si>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</si>
  <si>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</si>
  <si>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</si>
  <si>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</si>
  <si>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</si>
  <si>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</si>
  <si>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</si>
  <si>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</si>
  <si>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</si>
  <si>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</si>
  <si>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</si>
  <si>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</si>
  <si>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</si>
  <si>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</si>
  <si>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</si>
  <si>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</si>
  <si>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</si>
  <si>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</si>
  <si>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</si>
  <si>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</si>
  <si>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</si>
  <si>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</si>
  <si>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</si>
  <si>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</si>
  <si>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</si>
  <si>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</si>
  <si>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</si>
  <si>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</si>
  <si>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</si>
  <si>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</si>
  <si>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</si>
  <si>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</si>
  <si>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</si>
  <si>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</si>
  <si>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</si>
  <si>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</si>
  <si>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</si>
  <si>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</si>
  <si>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</si>
  <si>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</si>
  <si>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</si>
  <si>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</si>
  <si>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</si>
  <si>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</si>
  <si>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</si>
  <si>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</si>
  <si>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</si>
  <si>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</si>
  <si>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</si>
  <si>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</si>
  <si>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</si>
  <si>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</si>
  <si>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</si>
  <si>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</si>
  <si>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</si>
  <si>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</si>
  <si>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</si>
  <si>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</si>
  <si>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</si>
  <si>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</si>
  <si>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</si>
  <si>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</si>
  <si>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</si>
  <si>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</si>
  <si>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</si>
  <si>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</si>
  <si>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</si>
  <si>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</si>
  <si>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</si>
  <si>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</si>
  <si>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</si>
  <si>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</si>
  <si>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</si>
  <si>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</si>
  <si>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</si>
  <si>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</si>
  <si>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</si>
  <si>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</si>
  <si>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</si>
  <si>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</si>
  <si>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</si>
  <si>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</si>
  <si>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</si>
  <si>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</si>
  <si>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</si>
  <si>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</si>
  <si>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</si>
  <si>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</si>
  <si>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</si>
  <si>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</si>
  <si>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</si>
  <si>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</si>
  <si>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</si>
  <si>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</si>
  <si>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</si>
  <si>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</si>
  <si>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</si>
  <si>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</si>
  <si>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</si>
  <si>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</si>
  <si>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</si>
  <si>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</si>
  <si>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</si>
  <si>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</si>
  <si>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</si>
  <si>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</si>
  <si>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</si>
  <si>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</si>
  <si>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</si>
  <si>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</si>
  <si>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</si>
  <si>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</si>
  <si>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</si>
  <si>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</si>
  <si>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</si>
  <si>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</si>
  <si>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</si>
  <si>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</si>
  <si>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</si>
  <si>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</si>
  <si>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</si>
  <si>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</si>
  <si>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</si>
  <si>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</si>
  <si>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</si>
  <si>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</si>
  <si>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</si>
  <si>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</si>
  <si>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</si>
  <si>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</si>
  <si>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</si>
  <si>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</si>
  <si>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</si>
  <si>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</si>
  <si>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</si>
  <si>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</si>
  <si>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</si>
  <si>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</si>
  <si>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</si>
  <si>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</si>
  <si>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</si>
  <si>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</si>
  <si>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</si>
  <si>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</si>
  <si>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</si>
  <si>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</si>
  <si>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</si>
  <si>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</si>
  <si>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</si>
  <si>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</si>
  <si>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</si>
  <si>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</si>
  <si>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</si>
  <si>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</si>
  <si>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</si>
  <si>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</si>
  <si>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</si>
  <si>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</si>
  <si>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</si>
  <si>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</si>
  <si>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</si>
  <si>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</si>
  <si>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</si>
  <si>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</si>
  <si>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</si>
  <si>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</si>
  <si>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</si>
  <si>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</si>
  <si>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</si>
  <si>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</si>
  <si>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</si>
  <si>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</si>
  <si>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</si>
  <si>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</si>
  <si>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</si>
  <si>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</si>
  <si>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</si>
  <si>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</si>
  <si>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</si>
  <si>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</si>
  <si>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</si>
  <si>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</si>
  <si>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</si>
  <si>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</si>
  <si>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Random Effects  (Informative)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</si>
  <si>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</si>
  <si>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</si>
  <si>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</si>
  <si>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</si>
  <si>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</si>
  <si>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</si>
  <si>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</si>
  <si>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</si>
  <si>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</si>
  <si>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</si>
  <si>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</si>
  <si>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</si>
  <si>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</si>
  <si>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</si>
  <si>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</si>
  <si>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</si>
  <si>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</si>
  <si>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</si>
  <si>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</si>
  <si>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</si>
  <si>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</si>
  <si>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</si>
  <si>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</si>
  <si>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</si>
  <si>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</si>
  <si>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</si>
  <si>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</si>
  <si>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</si>
  <si>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</si>
  <si>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</si>
  <si>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</si>
  <si>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</si>
  <si>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</si>
  <si>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</si>
  <si>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</si>
  <si>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</si>
  <si>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</si>
  <si>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</si>
  <si>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</si>
  <si>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</si>
  <si>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</si>
  <si>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</si>
  <si>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</si>
  <si>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</si>
  <si>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</si>
  <si>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</si>
  <si>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</si>
  <si>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</si>
  <si>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</si>
  <si>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</si>
  <si>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</si>
  <si>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</si>
  <si>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</si>
  <si>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</si>
  <si>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</si>
  <si>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</si>
  <si>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</si>
  <si>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</si>
  <si>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</si>
  <si>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</si>
  <si>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</si>
  <si>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</si>
  <si>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</si>
  <si>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</si>
  <si>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</si>
  <si>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</si>
  <si>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</si>
  <si>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</si>
  <si>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</si>
  <si>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</si>
  <si>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</si>
  <si>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</si>
  <si>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</si>
  <si>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</si>
  <si>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</si>
  <si>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</si>
  <si>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</si>
  <si>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</si>
  <si>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</si>
  <si>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</si>
  <si>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</si>
  <si>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</si>
  <si>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</si>
  <si>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</si>
  <si>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</si>
  <si>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</si>
  <si>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</si>
  <si>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</si>
  <si>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</si>
  <si>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</si>
  <si>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</si>
  <si>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</si>
  <si>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</si>
  <si>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</si>
  <si>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</si>
  <si>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</si>
  <si>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</si>
  <si>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r[,6]</t>
  </si>
  <si>
    <t>n[,6]</t>
  </si>
  <si>
    <t>r[,7]</t>
  </si>
  <si>
    <t>n[,7]</t>
  </si>
  <si>
    <t>r[,8]</t>
  </si>
  <si>
    <t>n[,8]</t>
  </si>
  <si>
    <t>r[,9]</t>
  </si>
  <si>
    <t>n[,9]</t>
  </si>
  <si>
    <t>t[,6]</t>
  </si>
  <si>
    <t>t[,7]</t>
  </si>
  <si>
    <t>t[,8]</t>
  </si>
  <si>
    <t>t[,9]</t>
  </si>
  <si>
    <t>NA</t>
  </si>
  <si>
    <t>END</t>
  </si>
  <si>
    <t>INDOIV vs. INDOTHERS</t>
  </si>
  <si>
    <t>INDOIV vs. PARAPO</t>
  </si>
  <si>
    <t>IBUPO vs. PARAPO</t>
  </si>
  <si>
    <t>IBUIV vs. IBUPO</t>
  </si>
  <si>
    <t>IBUIV vs. INDOIVCONT</t>
  </si>
  <si>
    <t>IBUIV vs. IBUIVHIGHDOSE</t>
  </si>
  <si>
    <t>IBUPO vs. INDOTHERS</t>
  </si>
  <si>
    <t>INDOIV vs. IBUIV</t>
  </si>
  <si>
    <t>IBUIV vs. IBUIVCONT</t>
  </si>
  <si>
    <t>IBUPO vs. IBUPOHIGHDOSE</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</si>
  <si>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</si>
  <si>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</si>
  <si>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</si>
  <si>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</si>
  <si>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</si>
  <si>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</si>
  <si>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</si>
  <si>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</si>
  <si>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</si>
  <si>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</si>
  <si>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</si>
  <si>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</si>
  <si>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</si>
  <si>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</si>
  <si>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</si>
  <si>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</si>
  <si>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</si>
  <si>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</si>
  <si>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</si>
  <si>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</si>
  <si>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</si>
  <si>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</si>
  <si>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</si>
  <si>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</si>
  <si>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</si>
  <si>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</si>
  <si>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</si>
  <si>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</si>
  <si>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</si>
  <si>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</si>
  <si>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OR[2,3]</t>
  </si>
  <si>
    <t>OR[2,4]</t>
  </si>
  <si>
    <t>OR[2,5]</t>
  </si>
  <si>
    <t>OR[2,6]</t>
  </si>
  <si>
    <t>OR[2,7]</t>
  </si>
  <si>
    <t>OR[2,8]</t>
  </si>
  <si>
    <t>OR[2,9]</t>
  </si>
  <si>
    <t>OR[3,4]</t>
  </si>
  <si>
    <t>OR[3,5]</t>
  </si>
  <si>
    <t>OR[3,6]</t>
  </si>
  <si>
    <t>OR[3,7]</t>
  </si>
  <si>
    <t>OR[3,8]</t>
  </si>
  <si>
    <t>OR[3,9]</t>
  </si>
  <si>
    <t>OR[4,5]</t>
  </si>
  <si>
    <t>OR[4,6]</t>
  </si>
  <si>
    <t>OR[4,7]</t>
  </si>
  <si>
    <t>OR[4,8]</t>
  </si>
  <si>
    <t>OR[4,9]</t>
  </si>
  <si>
    <t>OR[5,6]</t>
  </si>
  <si>
    <t>OR[5,7]</t>
  </si>
  <si>
    <t>OR[5,8]</t>
  </si>
  <si>
    <t>OR[5,9]</t>
  </si>
  <si>
    <t>OR[6,7]</t>
  </si>
  <si>
    <t>OR[6,8]</t>
  </si>
  <si>
    <t>OR[6,9]</t>
  </si>
  <si>
    <t>OR[7,8]</t>
  </si>
  <si>
    <t>OR[7,9]</t>
  </si>
  <si>
    <t>OR[8,9]</t>
  </si>
  <si>
    <t>SUCRA[1]</t>
  </si>
  <si>
    <t>SUCRA[2]</t>
  </si>
  <si>
    <t>SUCRA[3]</t>
  </si>
  <si>
    <t>SUCRA[4]</t>
  </si>
  <si>
    <t>SUCRA[5]</t>
  </si>
  <si>
    <t>SUCRA[6]</t>
  </si>
  <si>
    <t>SUCRA[7]</t>
  </si>
  <si>
    <t>SUCRA[8]</t>
  </si>
  <si>
    <t>SUCRA[9]</t>
  </si>
  <si>
    <t>best[1]</t>
  </si>
  <si>
    <t>best[2]</t>
  </si>
  <si>
    <t>best[3]</t>
  </si>
  <si>
    <t>best[4]</t>
  </si>
  <si>
    <t>best[5]</t>
  </si>
  <si>
    <t>best[6]</t>
  </si>
  <si>
    <t>best[7]</t>
  </si>
  <si>
    <t>best[8]</t>
  </si>
  <si>
    <t>best[9]</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</si>
  <si>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</si>
  <si>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</si>
  <si>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</si>
  <si>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</si>
  <si>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</si>
  <si>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</si>
  <si>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</si>
  <si>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</si>
  <si>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</si>
  <si>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</si>
  <si>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</si>
  <si>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</si>
  <si>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</si>
  <si>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</si>
  <si>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</si>
  <si>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</si>
  <si>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</si>
  <si>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</si>
  <si>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</si>
  <si>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</si>
  <si>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</si>
  <si>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</si>
  <si>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</si>
  <si>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</si>
  <si>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</si>
  <si>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</si>
  <si>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</si>
  <si>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</si>
  <si>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</si>
  <si>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</si>
  <si>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</si>
  <si>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</si>
  <si>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</si>
  <si>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</si>
  <si>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</si>
  <si>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</si>
  <si>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</si>
  <si>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</si>
  <si>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</si>
  <si>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</si>
  <si>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</si>
  <si>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</si>
  <si>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</si>
  <si>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</si>
  <si>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</si>
  <si>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</si>
  <si>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</si>
  <si>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</si>
  <si>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</si>
  <si>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</si>
  <si>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</si>
  <si>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</si>
  <si>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</si>
  <si>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</si>
  <si>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</si>
  <si>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</si>
  <si>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prob[1,1]</t>
  </si>
  <si>
    <t>prob[1,2]</t>
  </si>
  <si>
    <t>prob[1,3]</t>
  </si>
  <si>
    <t>prob[1,4]</t>
  </si>
  <si>
    <t>prob[1,5]</t>
  </si>
  <si>
    <t>prob[1,6]</t>
  </si>
  <si>
    <t>prob[1,7]</t>
  </si>
  <si>
    <t>prob[1,8]</t>
  </si>
  <si>
    <t>prob[1,9]</t>
  </si>
  <si>
    <t>prob[2,1]</t>
  </si>
  <si>
    <t>prob[2,2]</t>
  </si>
  <si>
    <t>prob[2,3]</t>
  </si>
  <si>
    <t>prob[2,4]</t>
  </si>
  <si>
    <t>prob[2,5]</t>
  </si>
  <si>
    <t>prob[2,6]</t>
  </si>
  <si>
    <t>prob[2,7]</t>
  </si>
  <si>
    <t>prob[2,8]</t>
  </si>
  <si>
    <t>prob[2,9]</t>
  </si>
  <si>
    <t>prob[3,1]</t>
  </si>
  <si>
    <t>prob[3,2]</t>
  </si>
  <si>
    <t>prob[3,3]</t>
  </si>
  <si>
    <t>prob[3,4]</t>
  </si>
  <si>
    <t>prob[3,5]</t>
  </si>
  <si>
    <t>prob[3,6]</t>
  </si>
  <si>
    <t>prob[3,7]</t>
  </si>
  <si>
    <t>prob[3,8]</t>
  </si>
  <si>
    <t>prob[3,9]</t>
  </si>
  <si>
    <t>prob[4,1]</t>
  </si>
  <si>
    <t>prob[4,2]</t>
  </si>
  <si>
    <t>prob[4,3]</t>
  </si>
  <si>
    <t>prob[4,4]</t>
  </si>
  <si>
    <t>prob[4,5]</t>
  </si>
  <si>
    <t>prob[4,6]</t>
  </si>
  <si>
    <t>prob[4,7]</t>
  </si>
  <si>
    <t>prob[4,8]</t>
  </si>
  <si>
    <t>prob[4,9]</t>
  </si>
  <si>
    <t>prob[5,1]</t>
  </si>
  <si>
    <t>prob[5,2]</t>
  </si>
  <si>
    <t>prob[5,3]</t>
  </si>
  <si>
    <t>prob[5,4]</t>
  </si>
  <si>
    <t>prob[5,5]</t>
  </si>
  <si>
    <t>prob[5,6]</t>
  </si>
  <si>
    <t>prob[5,7]</t>
  </si>
  <si>
    <t>prob[5,8]</t>
  </si>
  <si>
    <t>prob[5,9]</t>
  </si>
  <si>
    <t>prob[6,1]</t>
  </si>
  <si>
    <t>prob[6,2]</t>
  </si>
  <si>
    <t>prob[6,3]</t>
  </si>
  <si>
    <t>prob[6,4]</t>
  </si>
  <si>
    <t>prob[6,5]</t>
  </si>
  <si>
    <t>prob[6,6]</t>
  </si>
  <si>
    <t>prob[6,7]</t>
  </si>
  <si>
    <t>prob[6,8]</t>
  </si>
  <si>
    <t>prob[6,9]</t>
  </si>
  <si>
    <t>prob[7,1]</t>
  </si>
  <si>
    <t>prob[7,2]</t>
  </si>
  <si>
    <t>prob[7,3]</t>
  </si>
  <si>
    <t>prob[7,4]</t>
  </si>
  <si>
    <t>prob[7,5]</t>
  </si>
  <si>
    <t>prob[7,6]</t>
  </si>
  <si>
    <t>prob[7,7]</t>
  </si>
  <si>
    <t>prob[7,8]</t>
  </si>
  <si>
    <t>prob[7,9]</t>
  </si>
  <si>
    <t>prob[8,1]</t>
  </si>
  <si>
    <t>prob[8,2]</t>
  </si>
  <si>
    <t>prob[8,3]</t>
  </si>
  <si>
    <t>prob[8,4]</t>
  </si>
  <si>
    <t>prob[8,5]</t>
  </si>
  <si>
    <t>prob[8,6]</t>
  </si>
  <si>
    <t>prob[8,7]</t>
  </si>
  <si>
    <t>prob[8,8]</t>
  </si>
  <si>
    <t>prob[8,9]</t>
  </si>
  <si>
    <t>prob[9,1]</t>
  </si>
  <si>
    <t>prob[9,2]</t>
  </si>
  <si>
    <t>prob[9,3]</t>
  </si>
  <si>
    <t>prob[9,4]</t>
  </si>
  <si>
    <t>prob[9,5]</t>
  </si>
  <si>
    <t>prob[9,6]</t>
  </si>
  <si>
    <t>prob[9,7]</t>
  </si>
  <si>
    <t>prob[9,8]</t>
  </si>
  <si>
    <t>prob[9,9]</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</si>
  <si>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</si>
  <si>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</si>
  <si>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</si>
  <si>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</si>
  <si>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</si>
  <si>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</si>
  <si>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</si>
  <si>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</si>
  <si>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</si>
  <si>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</si>
  <si>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</si>
  <si>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</si>
  <si>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</si>
  <si>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</si>
  <si>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</si>
  <si>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</si>
  <si>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</si>
  <si>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</si>
  <si>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</si>
  <si>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</si>
  <si>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</si>
  <si>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</si>
  <si>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</si>
  <si>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</si>
  <si>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</si>
  <si>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</si>
  <si>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</si>
  <si>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</si>
  <si>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rk[1]</t>
  </si>
  <si>
    <t>rk[2]</t>
  </si>
  <si>
    <t>rk[3]</t>
  </si>
  <si>
    <t>rk[4]</t>
  </si>
  <si>
    <t>rk[5]</t>
  </si>
  <si>
    <t>rk[6]</t>
  </si>
  <si>
    <t>rk[7]</t>
  </si>
  <si>
    <t>rk[8]</t>
  </si>
  <si>
    <t>rk[9]</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</si>
  <si>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</si>
  <si>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</si>
  <si>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</si>
  <si>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</si>
  <si>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</si>
  <si>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</si>
  <si>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</si>
  <si>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</si>
  <si>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</si>
  <si>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</si>
  <si>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</si>
  <si>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</si>
  <si>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</si>
  <si>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</si>
  <si>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</si>
  <si>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</si>
  <si>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</si>
  <si>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</si>
  <si>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</si>
  <si>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</si>
  <si>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</si>
  <si>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IBUPO versus IBUIV</t>
  </si>
  <si>
    <t>PARAPO versus IBUIV</t>
  </si>
  <si>
    <t>IBUIVHIGHDOSE versus IBUIV</t>
  </si>
  <si>
    <t>IBUPOHIGHDOSE versus IBUIV</t>
  </si>
  <si>
    <t>IBUIVCONT versus IBUIV</t>
  </si>
  <si>
    <t>INDOIVCONT versus IBUIV</t>
  </si>
  <si>
    <t>INDOTHERS versus IBUIV</t>
  </si>
  <si>
    <t>PARAPO versus IBUPO</t>
  </si>
  <si>
    <t>IBUIVHIGHDOSE versus IBUPO</t>
  </si>
  <si>
    <t>IBUPOHIGHDOSE versus IBUPO</t>
  </si>
  <si>
    <t>IBUIVCONT versus IBUPO</t>
  </si>
  <si>
    <t>INDOIVCONT versus IBUPO</t>
  </si>
  <si>
    <t>INDOTHERS versus IBUPO</t>
  </si>
  <si>
    <t>IBUIVHIGHDOSE versus PARAPO</t>
  </si>
  <si>
    <t>IBUPOHIGHDOSE versus PARAPO</t>
  </si>
  <si>
    <t>IBUIVCONT versus PARAPO</t>
  </si>
  <si>
    <t>INDOIVCONT versus PARAPO</t>
  </si>
  <si>
    <t>INDOTHERS versus PARAPO</t>
  </si>
  <si>
    <t>IBUPOHIGHDOSE versus IBUIVHIGHDOSE</t>
  </si>
  <si>
    <t>IBUIVCONT versus IBUIVHIGHDOSE</t>
  </si>
  <si>
    <t>INDOIVCONT versus IBUIVHIGHDOSE</t>
  </si>
  <si>
    <t>INDOTHERS versus IBUIVHIGHDOSE</t>
  </si>
  <si>
    <t>IBUIVCONT versus IBUPOHIGHDOSE</t>
  </si>
  <si>
    <t>INDOIVCONT versus IBUPOHIGHDOSE</t>
  </si>
  <si>
    <t>INDOTHERS versus IBUPOHIGHDOSE</t>
  </si>
  <si>
    <t>INDOIVCONT versus IBUIVCONT</t>
  </si>
  <si>
    <t>INDOTHERS versus IBUIVCONT</t>
  </si>
  <si>
    <t>INDOTHERS versus INDOIVCONT</t>
  </si>
  <si>
    <t>PARAPO versus INDOTHERS</t>
  </si>
  <si>
    <t>PARAPO versus INDOIVCONT</t>
  </si>
  <si>
    <t>IBUPO versus INDOIVCONT</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</si>
  <si>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</si>
  <si>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</si>
  <si>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</si>
  <si>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</si>
  <si>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</si>
  <si>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</si>
  <si>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</si>
  <si>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</si>
  <si>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</si>
  <si>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</si>
  <si>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list(NS=28, NT=9)</t>
  </si>
  <si>
    <t>list(d=c(NA,1.5,0.5,0,1.5,1.5,2,2,2), sd=1, mu=c(1.5,1.5,2,1.5,1,1.5,0,0.5,1,2,0.5,1,0.5,0.5,1,1.5,2,1,1.5,0,1,1,1,0.5,1,0.5,1.5,2))</t>
  </si>
  <si>
    <t>list(d=c(NA,1,0.5,1.5,0,1.5,1.5,0.5,1.5), sd=1.5, mu=c(0.5,1.5,2,2,0,0,0,0,0.5,1,0.5,1,1.5,1,2,1,1.5,0,2,1,1.5,1,0.5,2,0.5,1,1,1.5))</t>
  </si>
  <si>
    <t>list(d=c(NA,1,1.5,1.5,1,0.5,0,1,1.5), sd=1.5, mu=c(0.5,1,0.5,0.5,2,1,1.5,0.5,2,0.5,1.5,1.5,0.5,0,0.5,0.5,1.5,1,1.5,2,1,0.5,0,0,1,0.5,0.5,1))</t>
  </si>
  <si>
    <t>list(d=c(NA,1,1,1.5,0,0.5,1.5,0,1.5), var=1.5, mu=c(0,1,0.5,0.5,1,1.5,0.5,0.5,0.5,0.5,0.5,1.5,1,1,2,0.5,2,0.5,1,1.5,2,1,1,1,0.5,1.5,0.5,1))</t>
  </si>
  <si>
    <t>list(d=c(NA,0,1.5,0,0,0,1,0.5,1), var=1.5, mu=c(1.5,1,0,2,0.5,0.5,0,1.5,1,0,1.5,2,0,2,1,1,0.5,1,1,1.5,0.5,1.5,1,1,1,2,0.5,0.5))</t>
  </si>
  <si>
    <t>list(d=c(NA,1.5,1,0.5,0.5,1,1.5,1.5,2), var=1.5, mu=c(1,0.5,1,0,1.5,1.5,0,0.5,0.5,1,1,0.5,1.5,0,0.5,0.5,0,2,1.5,1.5,1,0.5,1.5,1,1,0.5,0.5,1))</t>
  </si>
  <si>
    <t>list(d=c(NA,0.5,0.5,1,1.5,0,1,0,1.5), mu=c(0.5,1.5,1.5,1.5,1,1.5,1.5,1,1.5,0.5,2,2,1,0.5,1,1,1.5,0.5,1.5,1.5,2,2,0,1.5,0.5,1,1.5,0.5))</t>
  </si>
  <si>
    <t>list(d=c(NA,2,1.5,1.5,0.5,0,1,0.5,1), mu=c(1,1,0,0,0.5,1.5,0.5,2,0.5,0,1,0.5,0.5,1,2,1.5,1.5,0.5,0,1.5,1.5,2,2,1,0.5,0,1.5,2))</t>
  </si>
  <si>
    <t>list(d=c(NA,1,1.5,0.5,2,1.5,0,0,1), mu=c(1.5,2,1.5,1,2,1,0.5,0,0,1,1,1,1,2,1.5,0,1,0.5,1,0.5,1.5,1,1.5,0,1,0.5,1,0.5))</t>
  </si>
  <si>
    <t>update(10000)</t>
  </si>
  <si>
    <t>IBUIVCONT versus INDOTHERS</t>
  </si>
  <si>
    <t>IBUIVCONT versus INDOIVCONT</t>
  </si>
  <si>
    <t>PARAPO versus IBUIVHIGHDOSE</t>
  </si>
  <si>
    <t>PARAPO versus IBUPOHIGHDOSE</t>
  </si>
  <si>
    <t>IBUPO versus IBUIVHIGHDOSE</t>
  </si>
  <si>
    <t>IBUPO versus IBUPOHIGHDOSE</t>
  </si>
  <si>
    <t>IBUIV versus IBUIVHIGHDOSE</t>
  </si>
  <si>
    <t>IBUIV versus IBUPOHIGHDOSE</t>
  </si>
  <si>
    <t>IBUIVHIGHDOSE versus IBUPOHIGHDOSE</t>
  </si>
  <si>
    <t>INDOIV versus IBUPOHIGHDOSE</t>
  </si>
  <si>
    <t>OR &lt;1 Means the Treatment in Top Left is Better</t>
  </si>
  <si>
    <t>0.18
(0.00 – 9.97)</t>
  </si>
  <si>
    <t>0.09
(0.00 – 2.50)</t>
  </si>
  <si>
    <t>0.10
(0.00 – 5.12)</t>
  </si>
  <si>
    <t>0.06
(0.00 – 47.46)</t>
  </si>
  <si>
    <t>0.07
(0.00 – 1.84)</t>
  </si>
  <si>
    <t>0.04
(0.00 – 1.92)</t>
  </si>
  <si>
    <t>0.02
(0.00 – 0.52)</t>
  </si>
  <si>
    <t>0.00
(0.00 – 0.02)</t>
  </si>
  <si>
    <t>0.48
(0.08 – 2.93)</t>
  </si>
  <si>
    <t>0.55
(0.22 – 1.27)</t>
  </si>
  <si>
    <t>0.29
(0.00 – 91.66)</t>
  </si>
  <si>
    <t>0.35
(0.07 – 1.98)</t>
  </si>
  <si>
    <t>0.21
(0.01 – 3.29)</t>
  </si>
  <si>
    <t>0.10
(0.02 – 0.58)</t>
  </si>
  <si>
    <t>0.00
(0.00 – 0.15)</t>
  </si>
  <si>
    <t>1.12
(0.21 – 6.15)</t>
  </si>
  <si>
    <t>0.59
(0.00 – 248.40)</t>
  </si>
  <si>
    <t>0.76
(0.37 – 1.55)</t>
  </si>
  <si>
    <t>0.46
(0.06 – 3.44)</t>
  </si>
  <si>
    <t>0.22
(0.12 – 0.38)</t>
  </si>
  <si>
    <t>0.00
(0.00 – 0.45)</t>
  </si>
  <si>
    <t>0.53
(0.00 – 166.25)</t>
  </si>
  <si>
    <t>0.68
(0.15 – 2.99)</t>
  </si>
  <si>
    <t>0.41
(0.03 – 5.15)</t>
  </si>
  <si>
    <t>0.20
(0.04 – 0.92)</t>
  </si>
  <si>
    <t>0.00
(0.00 – 0.29)</t>
  </si>
  <si>
    <t>1.28
(0.00 – 226.60)</t>
  </si>
  <si>
    <t>0.83
(0.00 – 205.20)</t>
  </si>
  <si>
    <t>0.37
(0.00 – 67.96)</t>
  </si>
  <si>
    <t>0.00
(0.00 – 0.37)</t>
  </si>
  <si>
    <t>0.61
(0.08 – 4.23)</t>
  </si>
  <si>
    <t>0.29
(0.18 – 0.46)</t>
  </si>
  <si>
    <t>0.00
(0.00 – 0.50)</t>
  </si>
  <si>
    <t>0.47
(0.06 – 3.88)</t>
  </si>
  <si>
    <t>0.00
(0.00 – 0.71)</t>
  </si>
  <si>
    <t>0.00
(0.00 – 1.60)</t>
  </si>
  <si>
    <t>save(C:/WinBUGS Results/Random Effect Results (Informative) 8 4 2017 2 21 35 PM.txt)</t>
  </si>
  <si>
    <t>list(mu=c(1.5,0.5,0,1.5,1.5,2,2,1.5,1,1.5,1.5,2,1.5,1,1.5,0,0.5,1,2,0.5,1,0.5,0.5,1,1.5,2,1,1.5), sd=2, d= structure(.Data = c(NA,1,1,1,0.5,1,0.5,1.5,2, NA,NA,1,1,1.5,0,0.5,1.5,0, NA,NA,NA,1,1.5,0,1,0.5,0.5, NA,NA,NA,NA,1,1.5,0.5,0.5,0.5, NA,NA,NA,NA,NA,0.5,0.5,1.5,1, NA,NA,NA,NA,NA,NA,1,2,0.5, NA,NA,NA,NA,NA,NA,NA,2,0.5, NA,NA,NA,NA,NA,NA,NA,NA,1), .Dim =c(8, 9)))</t>
  </si>
  <si>
    <t>list(mu=c(1,0.5,1.5,0,1.5,1.5,0.5,0,0.5,0.5,1.5,2,2,0,0,0,0,0.5,1,0.5,1,1.5,1,2,1,1.5,0,2), sd=1, d= structure(.Data = c(NA,1.5,1,0.5,2,0.5,1,1,1.5, NA,NA,0,1.5,0,0,0,1,0.5, NA,NA,NA,0.5,2,1.5,1,0,2, NA,NA,NA,NA,0.5,0.5,0,1.5,1, NA,NA,NA,NA,NA,0,1.5,2,0, NA,NA,NA,NA,NA,NA,2,1,1, NA,NA,NA,NA,NA,NA,NA,0.5,1, NA,NA,NA,NA,NA,NA,NA,NA,1), .Dim =c(8, 9)))</t>
  </si>
  <si>
    <t>list(mu=c(1,1.5,1.5,1,0.5,0,1,1,1,0.5,1,0.5,0.5,2,1,1.5,0.5,2,0.5,1.5,1.5,0.5,0,0.5,0.5,1.5,1,1.5), sd=2, d= structure(.Data = c(NA,1,0.5,0,0,1,0.5,0.5,1, NA,NA,1.5,1,0.5,0.5,1,1.5,1.5, NA,NA,NA,0.5,1,1,0.5,1,0, NA,NA,NA,NA,1.5,1.5,0,0.5,0.5, NA,NA,NA,NA,NA,1,1,0.5,1.5, NA,NA,NA,NA,NA,NA,0,0.5,0.5, NA,NA,NA,NA,NA,NA,NA,0,2, NA,NA,NA,NA,NA,NA,NA,NA,1.5), .Dim =c(8, 9)))</t>
  </si>
  <si>
    <t>check(C:/WinBUGS data/Inconsistency Random Effect Model (Vague).txt)</t>
  </si>
  <si>
    <t>data(C:/WinBUGS data/Inconsistency Data List.txt)</t>
  </si>
  <si>
    <t>data(C:/WinBUGS data/Inconsistency Data Table.txt)</t>
  </si>
  <si>
    <t>inits(1,C:/WinBUGS data/Inconsistency Random Effect Inits (Vague)1.txt)</t>
  </si>
  <si>
    <t>inits(2,C:/WinBUGS data/Inconsistency Random Effect Inits (Vague)2.txt)</t>
  </si>
  <si>
    <t>inits(3,C:/WinBUGS data/Inconsistency Random Effect Inits (Vague)3.txt)</t>
  </si>
  <si>
    <t>d[1,2]</t>
  </si>
  <si>
    <t>d[1,3]</t>
  </si>
  <si>
    <t>d[1,4]</t>
  </si>
  <si>
    <t>d[1,5]</t>
  </si>
  <si>
    <t>d[1,6]</t>
  </si>
  <si>
    <t>d[1,7]</t>
  </si>
  <si>
    <t>d[1,8]</t>
  </si>
  <si>
    <t>d[1,9]</t>
  </si>
  <si>
    <t>d[2,3]</t>
  </si>
  <si>
    <t>d[2,4]</t>
  </si>
  <si>
    <t>d[2,5]</t>
  </si>
  <si>
    <t>d[2,6]</t>
  </si>
  <si>
    <t>d[2,7]</t>
  </si>
  <si>
    <t>d[2,8]</t>
  </si>
  <si>
    <t>d[2,9]</t>
  </si>
  <si>
    <t>d[3,4]</t>
  </si>
  <si>
    <t>d[3,5]</t>
  </si>
  <si>
    <t>d[3,6]</t>
  </si>
  <si>
    <t>d[3,7]</t>
  </si>
  <si>
    <t>d[3,8]</t>
  </si>
  <si>
    <t>d[3,9]</t>
  </si>
  <si>
    <t>d[4,5]</t>
  </si>
  <si>
    <t>d[4,6]</t>
  </si>
  <si>
    <t>d[4,7]</t>
  </si>
  <si>
    <t>d[4,8]</t>
  </si>
  <si>
    <t>d[4,9]</t>
  </si>
  <si>
    <t>d[5,6]</t>
  </si>
  <si>
    <t>d[5,7]</t>
  </si>
  <si>
    <t>d[5,8]</t>
  </si>
  <si>
    <t>d[5,9]</t>
  </si>
  <si>
    <t>d[6,7]</t>
  </si>
  <si>
    <t>d[6,8]</t>
  </si>
  <si>
    <t>d[6,9]</t>
  </si>
  <si>
    <t>d[7,8]</t>
  </si>
  <si>
    <t>d[7,9]</t>
  </si>
  <si>
    <t>d[8,9]</t>
  </si>
  <si>
    <t>save(C:/WinBUGS Results/Inconsistency Random Effect Results (Vague ) 8 4 2017 2 22 35 PM.txt)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</si>
</sst>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711340206185567E-2"/>
          <c:w val="0.45767847166118031"/>
          <c:h val="0.92783505154639179"/>
        </c:manualLayout>
      </c:layout>
      <c:scatterChart>
        <c:scatterStyle val="lineMarker"/>
        <c:varyColors val="0"/>
        <c:ser>
          <c:idx val="0"/>
          <c:order val="0"/>
          <c:tx>
            <c:v>INDOIVCONT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225.31799999999998</c:v>
                </c:pt>
              </c:numLit>
            </c:plus>
            <c:minus>
              <c:numLit>
                <c:formatCode>General</c:formatCode>
                <c:ptCount val="1"/>
                <c:pt idx="0">
                  <c:v>1.2782560000000001</c:v>
                </c:pt>
              </c:numLit>
            </c:minus>
          </c:errBars>
          <c:xVal>
            <c:numRef>
              <c:f>'Random Effects  (Informative)'!$I$5</c:f>
              <c:numCache>
                <c:formatCode>0.0000</c:formatCode>
                <c:ptCount val="1"/>
                <c:pt idx="0">
                  <c:v>1.282</c:v>
                </c:pt>
              </c:numCache>
            </c:numRef>
          </c:xVal>
          <c:yVal>
            <c:numLit>
              <c:formatCode>General</c:formatCode>
              <c:ptCount val="1"/>
              <c:pt idx="0">
                <c:v>1.5</c:v>
              </c:pt>
            </c:numLit>
          </c:yVal>
          <c:smooth val="0"/>
        </c:ser>
        <c:ser>
          <c:idx val="1"/>
          <c:order val="1"/>
          <c:tx>
            <c:v>INDOTHERS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5.032</c:v>
                </c:pt>
              </c:numLit>
            </c:plus>
            <c:minus>
              <c:numLit>
                <c:formatCode>General</c:formatCode>
                <c:ptCount val="1"/>
                <c:pt idx="0">
                  <c:v>0.90459999999999996</c:v>
                </c:pt>
              </c:numLit>
            </c:minus>
          </c:errBars>
          <c:xVal>
            <c:numRef>
              <c:f>'Random Effects  (Informative)'!$I$6</c:f>
              <c:numCache>
                <c:formatCode>0.0000</c:formatCode>
                <c:ptCount val="1"/>
                <c:pt idx="0">
                  <c:v>1.119</c:v>
                </c:pt>
              </c:numCache>
            </c:numRef>
          </c:xVal>
          <c:yVal>
            <c:numLit>
              <c:formatCode>General</c:formatCode>
              <c:ptCount val="1"/>
              <c:pt idx="0">
                <c:v>3.5</c:v>
              </c:pt>
            </c:numLit>
          </c:yVal>
          <c:smooth val="0"/>
        </c:ser>
        <c:ser>
          <c:idx val="2"/>
          <c:order val="2"/>
          <c:tx>
            <c:v>INDOIVCONT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204.3716</c:v>
                </c:pt>
              </c:numLit>
            </c:plus>
            <c:minus>
              <c:numLit>
                <c:formatCode>General</c:formatCode>
                <c:ptCount val="1"/>
                <c:pt idx="0">
                  <c:v>0.82700800000000008</c:v>
                </c:pt>
              </c:numLit>
            </c:minus>
          </c:errBars>
          <c:xVal>
            <c:numRef>
              <c:f>'Random Effects  (Informative)'!$I$7</c:f>
              <c:numCache>
                <c:formatCode>0.0000</c:formatCode>
                <c:ptCount val="1"/>
                <c:pt idx="0">
                  <c:v>0.82840000000000003</c:v>
                </c:pt>
              </c:numCache>
            </c:numRef>
          </c:xVal>
          <c:yVal>
            <c:numLit>
              <c:formatCode>General</c:formatCode>
              <c:ptCount val="1"/>
              <c:pt idx="0">
                <c:v>5.5</c:v>
              </c:pt>
            </c:numLit>
          </c:yVal>
          <c:smooth val="0"/>
        </c:ser>
        <c:ser>
          <c:idx val="3"/>
          <c:order val="3"/>
          <c:tx>
            <c:v>INDOTHERS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0.79270000000000007</c:v>
                </c:pt>
              </c:numLit>
            </c:plus>
            <c:minus>
              <c:numLit>
                <c:formatCode>General</c:formatCode>
                <c:ptCount val="1"/>
                <c:pt idx="0">
                  <c:v>0.39389999999999997</c:v>
                </c:pt>
              </c:numLit>
            </c:minus>
          </c:errBars>
          <c:xVal>
            <c:numRef>
              <c:f>'Random Effects  (Informative)'!$I$8</c:f>
              <c:numCache>
                <c:formatCode>General</c:formatCode>
                <c:ptCount val="1"/>
                <c:pt idx="0">
                  <c:v>0.76129999999999998</c:v>
                </c:pt>
              </c:numCache>
            </c:numRef>
          </c:xVal>
          <c:yVal>
            <c:numLit>
              <c:formatCode>General</c:formatCode>
              <c:ptCount val="1"/>
              <c:pt idx="0">
                <c:v>7.5</c:v>
              </c:pt>
            </c:numLit>
          </c:yVal>
          <c:smooth val="0"/>
        </c:ser>
        <c:ser>
          <c:idx val="4"/>
          <c:order val="4"/>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2.3094000000000001</c:v>
                </c:pt>
              </c:numLit>
            </c:plus>
            <c:minus>
              <c:numLit>
                <c:formatCode>General</c:formatCode>
                <c:ptCount val="1"/>
                <c:pt idx="0">
                  <c:v>0.52929999999999999</c:v>
                </c:pt>
              </c:numLit>
            </c:minus>
          </c:errBars>
          <c:xVal>
            <c:numRef>
              <c:f>'Random Effects  (Informative)'!$I$9</c:f>
              <c:numCache>
                <c:formatCode>General</c:formatCode>
                <c:ptCount val="1"/>
                <c:pt idx="0">
                  <c:v>0.68159999999999998</c:v>
                </c:pt>
              </c:numCache>
            </c:numRef>
          </c:xVal>
          <c:yVal>
            <c:numLit>
              <c:formatCode>General</c:formatCode>
              <c:ptCount val="1"/>
              <c:pt idx="0">
                <c:v>9.5</c:v>
              </c:pt>
            </c:numLit>
          </c:yVal>
          <c:smooth val="0"/>
        </c:ser>
        <c:ser>
          <c:idx val="5"/>
          <c:order val="5"/>
          <c:tx>
            <c:v>IBUIV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3.621845937233688</c:v>
                </c:pt>
              </c:numLit>
            </c:plus>
            <c:minus>
              <c:numLit>
                <c:formatCode>General</c:formatCode>
                <c:ptCount val="1"/>
                <c:pt idx="0">
                  <c:v>0.52388432042871669</c:v>
                </c:pt>
              </c:numLit>
            </c:minus>
          </c:errBars>
          <c:xVal>
            <c:numRef>
              <c:f>'Random Effects  (Informative)'!$I$10</c:f>
              <c:numCache>
                <c:formatCode>0.0000</c:formatCode>
                <c:ptCount val="1"/>
                <c:pt idx="0">
                  <c:v>0.6082725060827251</c:v>
                </c:pt>
              </c:numCache>
            </c:numRef>
          </c:xVal>
          <c:yVal>
            <c:numLit>
              <c:formatCode>General</c:formatCode>
              <c:ptCount val="1"/>
              <c:pt idx="0">
                <c:v>11.5</c:v>
              </c:pt>
            </c:numLit>
          </c:yVal>
          <c:smooth val="0"/>
        </c:ser>
        <c:ser>
          <c:idx val="6"/>
          <c:order val="6"/>
          <c:tx>
            <c:v>INDOTHERS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247.81210000000002</c:v>
                </c:pt>
              </c:numLit>
            </c:plus>
            <c:minus>
              <c:numLit>
                <c:formatCode>General</c:formatCode>
                <c:ptCount val="1"/>
                <c:pt idx="0">
                  <c:v>0.58480999999999994</c:v>
                </c:pt>
              </c:numLit>
            </c:minus>
          </c:errBars>
          <c:xVal>
            <c:numRef>
              <c:f>'Random Effects  (Informative)'!$I$11</c:f>
              <c:numCache>
                <c:formatCode>0.0000</c:formatCode>
                <c:ptCount val="1"/>
                <c:pt idx="0">
                  <c:v>0.58789999999999998</c:v>
                </c:pt>
              </c:numCache>
            </c:numRef>
          </c:xVal>
          <c:yVal>
            <c:numLit>
              <c:formatCode>General</c:formatCode>
              <c:ptCount val="1"/>
              <c:pt idx="0">
                <c:v>13.5</c:v>
              </c:pt>
            </c:numLit>
          </c:yVal>
          <c:smooth val="0"/>
        </c:ser>
        <c:ser>
          <c:idx val="7"/>
          <c:order val="7"/>
          <c:tx>
            <c:v>PARAPO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0.71730000000000005</c:v>
                </c:pt>
              </c:numLit>
            </c:plus>
            <c:minus>
              <c:numLit>
                <c:formatCode>General</c:formatCode>
                <c:ptCount val="1"/>
                <c:pt idx="0">
                  <c:v>0.33019999999999994</c:v>
                </c:pt>
              </c:numLit>
            </c:minus>
          </c:errBars>
          <c:xVal>
            <c:numRef>
              <c:f>'Random Effects  (Informative)'!$I$12</c:f>
              <c:numCache>
                <c:formatCode>General</c:formatCode>
                <c:ptCount val="1"/>
                <c:pt idx="0">
                  <c:v>0.54869999999999997</c:v>
                </c:pt>
              </c:numCache>
            </c:numRef>
          </c:xVal>
          <c:yVal>
            <c:numLit>
              <c:formatCode>General</c:formatCode>
              <c:ptCount val="1"/>
              <c:pt idx="0">
                <c:v>15.5</c:v>
              </c:pt>
            </c:numLit>
          </c:yVal>
          <c:smooth val="0"/>
        </c:ser>
        <c:ser>
          <c:idx val="8"/>
          <c:order val="8"/>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165.71742113943174</c:v>
                </c:pt>
              </c:numLit>
            </c:plus>
            <c:minus>
              <c:numLit>
                <c:formatCode>General</c:formatCode>
                <c:ptCount val="1"/>
                <c:pt idx="0">
                  <c:v>0.53121292715743085</c:v>
                </c:pt>
              </c:numLit>
            </c:minus>
          </c:errBars>
          <c:xVal>
            <c:numRef>
              <c:f>'Random Effects  (Informative)'!$I$13</c:f>
              <c:numCache>
                <c:formatCode>General</c:formatCode>
                <c:ptCount val="1"/>
                <c:pt idx="0">
                  <c:v>0.53361792956243326</c:v>
                </c:pt>
              </c:numCache>
            </c:numRef>
          </c:xVal>
          <c:yVal>
            <c:numLit>
              <c:formatCode>General</c:formatCode>
              <c:ptCount val="1"/>
              <c:pt idx="0">
                <c:v>17.5</c:v>
              </c:pt>
            </c:numLit>
          </c:yVal>
          <c:smooth val="0"/>
        </c:ser>
        <c:ser>
          <c:idx val="9"/>
          <c:order val="9"/>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2.4552742444539137</c:v>
                </c:pt>
              </c:numLit>
            </c:plus>
            <c:minus>
              <c:numLit>
                <c:formatCode>General</c:formatCode>
                <c:ptCount val="1"/>
                <c:pt idx="0">
                  <c:v>0.39978898910081245</c:v>
                </c:pt>
              </c:numLit>
            </c:minus>
          </c:errBars>
          <c:xVal>
            <c:numRef>
              <c:f>'Random Effects  (Informative)'!$I$14</c:f>
              <c:numCache>
                <c:formatCode>General</c:formatCode>
                <c:ptCount val="1"/>
                <c:pt idx="0">
                  <c:v>0.47641734159123389</c:v>
                </c:pt>
              </c:numCache>
            </c:numRef>
          </c:xVal>
          <c:yVal>
            <c:numLit>
              <c:formatCode>General</c:formatCode>
              <c:ptCount val="1"/>
              <c:pt idx="0">
                <c:v>19.5</c:v>
              </c:pt>
            </c:numLit>
          </c:yVal>
          <c:smooth val="0"/>
        </c:ser>
        <c:ser>
          <c:idx val="10"/>
          <c:order val="10"/>
          <c:tx>
            <c:v>IBUIVHIGHDOSE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3.4032</c:v>
                </c:pt>
              </c:numLit>
            </c:plus>
            <c:minus>
              <c:numLit>
                <c:formatCode>General</c:formatCode>
                <c:ptCount val="1"/>
                <c:pt idx="0">
                  <c:v>0.40811999999999998</c:v>
                </c:pt>
              </c:numLit>
            </c:minus>
          </c:errBars>
          <c:xVal>
            <c:numRef>
              <c:f>'Random Effects  (Informative)'!$I$15</c:f>
              <c:numCache>
                <c:formatCode>General</c:formatCode>
                <c:ptCount val="1"/>
                <c:pt idx="0">
                  <c:v>0.4718</c:v>
                </c:pt>
              </c:numCache>
            </c:numRef>
          </c:xVal>
          <c:yVal>
            <c:numLit>
              <c:formatCode>General</c:formatCode>
              <c:ptCount val="1"/>
              <c:pt idx="0">
                <c:v>21.5</c:v>
              </c:pt>
            </c:numLit>
          </c:yVal>
          <c:smooth val="0"/>
        </c:ser>
        <c:ser>
          <c:idx val="11"/>
          <c:order val="11"/>
          <c:tx>
            <c:v>INDOTHERS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2.9750999999999999</c:v>
                </c:pt>
              </c:numLit>
            </c:plus>
            <c:minus>
              <c:numLit>
                <c:formatCode>General</c:formatCode>
                <c:ptCount val="1"/>
                <c:pt idx="0">
                  <c:v>0.40592999999999996</c:v>
                </c:pt>
              </c:numLit>
            </c:minus>
          </c:errBars>
          <c:xVal>
            <c:numRef>
              <c:f>'Random Effects  (Informative)'!$I$16</c:f>
              <c:numCache>
                <c:formatCode>0.0000</c:formatCode>
                <c:ptCount val="1"/>
                <c:pt idx="0">
                  <c:v>0.46189999999999998</c:v>
                </c:pt>
              </c:numCache>
            </c:numRef>
          </c:xVal>
          <c:yVal>
            <c:numLit>
              <c:formatCode>General</c:formatCode>
              <c:ptCount val="1"/>
              <c:pt idx="0">
                <c:v>23.5</c:v>
              </c:pt>
            </c:numLit>
          </c:yVal>
          <c:smooth val="0"/>
        </c:ser>
        <c:ser>
          <c:idx val="12"/>
          <c:order val="12"/>
          <c:tx>
            <c:v>IBUPO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4.7391824286375224</c:v>
                </c:pt>
              </c:numLit>
            </c:plus>
            <c:minus>
              <c:numLit>
                <c:formatCode>General</c:formatCode>
                <c:ptCount val="1"/>
                <c:pt idx="0">
                  <c:v>0.37782437200573638</c:v>
                </c:pt>
              </c:numLit>
            </c:minus>
          </c:errBars>
          <c:xVal>
            <c:numRef>
              <c:f>'Random Effects  (Informative)'!$I$17</c:f>
              <c:numCache>
                <c:formatCode>General</c:formatCode>
                <c:ptCount val="1"/>
                <c:pt idx="0">
                  <c:v>0.40749796251018744</c:v>
                </c:pt>
              </c:numCache>
            </c:numRef>
          </c:xVal>
          <c:yVal>
            <c:numLit>
              <c:formatCode>General</c:formatCode>
              <c:ptCount val="1"/>
              <c:pt idx="0">
                <c:v>25.5</c:v>
              </c:pt>
            </c:numLit>
          </c:yVal>
          <c:smooth val="0"/>
        </c:ser>
        <c:ser>
          <c:idx val="13"/>
          <c:order val="13"/>
          <c:tx>
            <c:v>INDOIVCONT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67.588399999999993</c:v>
                </c:pt>
              </c:numLit>
            </c:plus>
            <c:minus>
              <c:numLit>
                <c:formatCode>General</c:formatCode>
                <c:ptCount val="1"/>
                <c:pt idx="0">
                  <c:v>0.37060989999999999</c:v>
                </c:pt>
              </c:numLit>
            </c:minus>
          </c:errBars>
          <c:xVal>
            <c:numRef>
              <c:f>'Random Effects  (Informative)'!$I$18</c:f>
              <c:numCache>
                <c:formatCode>General</c:formatCode>
                <c:ptCount val="1"/>
                <c:pt idx="0">
                  <c:v>0.37159999999999999</c:v>
                </c:pt>
              </c:numCache>
            </c:numRef>
          </c:xVal>
          <c:yVal>
            <c:numLit>
              <c:formatCode>General</c:formatCode>
              <c:ptCount val="1"/>
              <c:pt idx="0">
                <c:v>27.5</c:v>
              </c:pt>
            </c:numLit>
          </c:yVal>
          <c:smooth val="0"/>
        </c:ser>
        <c:ser>
          <c:idx val="14"/>
          <c:order val="14"/>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1.6205000000000001</c:v>
                </c:pt>
              </c:numLit>
            </c:plus>
            <c:minus>
              <c:numLit>
                <c:formatCode>General</c:formatCode>
                <c:ptCount val="1"/>
                <c:pt idx="0">
                  <c:v>0.28275</c:v>
                </c:pt>
              </c:numLit>
            </c:minus>
          </c:errBars>
          <c:xVal>
            <c:numRef>
              <c:f>'Random Effects  (Informative)'!$I$19</c:f>
              <c:numCache>
                <c:formatCode>0.0000</c:formatCode>
                <c:ptCount val="1"/>
                <c:pt idx="0">
                  <c:v>0.35449999999999998</c:v>
                </c:pt>
              </c:numCache>
            </c:numRef>
          </c:xVal>
          <c:yVal>
            <c:numLit>
              <c:formatCode>General</c:formatCode>
              <c:ptCount val="1"/>
              <c:pt idx="0">
                <c:v>29.5</c:v>
              </c:pt>
            </c:numLit>
          </c:yVal>
          <c:smooth val="0"/>
        </c:ser>
        <c:ser>
          <c:idx val="15"/>
          <c:order val="15"/>
          <c:tx>
            <c:v>IBUIV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0.17100000000000004</c:v>
                </c:pt>
              </c:numLit>
            </c:plus>
            <c:minus>
              <c:numLit>
                <c:formatCode>General</c:formatCode>
                <c:ptCount val="1"/>
                <c:pt idx="0">
                  <c:v>0.11589999999999998</c:v>
                </c:pt>
              </c:numLit>
            </c:minus>
          </c:errBars>
          <c:xVal>
            <c:numRef>
              <c:f>'Random Effects  (Informative)'!$I$20</c:f>
              <c:numCache>
                <c:formatCode>General</c:formatCode>
                <c:ptCount val="1"/>
                <c:pt idx="0">
                  <c:v>0.29199999999999998</c:v>
                </c:pt>
              </c:numCache>
            </c:numRef>
          </c:xVal>
          <c:yVal>
            <c:numLit>
              <c:formatCode>General</c:formatCode>
              <c:ptCount val="1"/>
              <c:pt idx="0">
                <c:v>31.5</c:v>
              </c:pt>
            </c:numLit>
          </c:yVal>
          <c:smooth val="0"/>
        </c:ser>
        <c:ser>
          <c:idx val="16"/>
          <c:order val="16"/>
          <c:tx>
            <c:v>PARAPO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91.367822823151471</c:v>
                </c:pt>
              </c:numLit>
            </c:plus>
            <c:minus>
              <c:numLit>
                <c:formatCode>General</c:formatCode>
                <c:ptCount val="1"/>
                <c:pt idx="0">
                  <c:v>0.29005138985464457</c:v>
                </c:pt>
              </c:numLit>
            </c:minus>
          </c:errBars>
          <c:xVal>
            <c:numRef>
              <c:f>'Random Effects  (Informative)'!$I$21</c:f>
              <c:numCache>
                <c:formatCode>General</c:formatCode>
                <c:ptCount val="1"/>
                <c:pt idx="0">
                  <c:v>0.29120559114735001</c:v>
                </c:pt>
              </c:numCache>
            </c:numRef>
          </c:xVal>
          <c:yVal>
            <c:numLit>
              <c:formatCode>General</c:formatCode>
              <c:ptCount val="1"/>
              <c:pt idx="0">
                <c:v>33.5</c:v>
              </c:pt>
            </c:numLit>
          </c:yVal>
          <c:smooth val="0"/>
        </c:ser>
        <c:ser>
          <c:idx val="17"/>
          <c:order val="17"/>
          <c:tx>
            <c:v>INDOTHERS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0.16090000000000002</c:v>
                </c:pt>
              </c:numLit>
            </c:plus>
            <c:minus>
              <c:numLit>
                <c:formatCode>General</c:formatCode>
                <c:ptCount val="1"/>
                <c:pt idx="0">
                  <c:v>9.5900000000000013E-2</c:v>
                </c:pt>
              </c:numLit>
            </c:minus>
          </c:errBars>
          <c:xVal>
            <c:numRef>
              <c:f>'Random Effects  (Informative)'!$I$22</c:f>
              <c:numCache>
                <c:formatCode>General</c:formatCode>
                <c:ptCount val="1"/>
                <c:pt idx="0">
                  <c:v>0.21940000000000001</c:v>
                </c:pt>
              </c:numCache>
            </c:numRef>
          </c:xVal>
          <c:yVal>
            <c:numLit>
              <c:formatCode>General</c:formatCode>
              <c:ptCount val="1"/>
              <c:pt idx="0">
                <c:v>35.5</c:v>
              </c:pt>
            </c:numLit>
          </c:yVal>
          <c:smooth val="0"/>
        </c:ser>
        <c:ser>
          <c:idx val="18"/>
          <c:order val="18"/>
          <c:tx>
            <c:v>PARAPO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3.0814032236218343</c:v>
                </c:pt>
              </c:numLit>
            </c:plus>
            <c:minus>
              <c:numLit>
                <c:formatCode>General</c:formatCode>
                <c:ptCount val="1"/>
                <c:pt idx="0">
                  <c:v>0.19841644766639177</c:v>
                </c:pt>
              </c:numLit>
            </c:minus>
          </c:errBars>
          <c:xVal>
            <c:numRef>
              <c:f>'Random Effects  (Informative)'!$I$23</c:f>
              <c:numCache>
                <c:formatCode>General</c:formatCode>
                <c:ptCount val="1"/>
                <c:pt idx="0">
                  <c:v>0.21240441801189464</c:v>
                </c:pt>
              </c:numCache>
            </c:numRef>
          </c:xVal>
          <c:yVal>
            <c:numLit>
              <c:formatCode>General</c:formatCode>
              <c:ptCount val="1"/>
              <c:pt idx="0">
                <c:v>37.5</c:v>
              </c:pt>
            </c:numLit>
          </c:yVal>
          <c:smooth val="0"/>
        </c:ser>
        <c:ser>
          <c:idx val="19"/>
          <c:order val="19"/>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0.7248</c:v>
                </c:pt>
              </c:numLit>
            </c:plus>
            <c:minus>
              <c:numLit>
                <c:formatCode>General</c:formatCode>
                <c:ptCount val="1"/>
                <c:pt idx="0">
                  <c:v>0.15373999999999999</c:v>
                </c:pt>
              </c:numLit>
            </c:minus>
          </c:errBars>
          <c:xVal>
            <c:numRef>
              <c:f>'Random Effects  (Informative)'!$I$24</c:f>
              <c:numCache>
                <c:formatCode>General</c:formatCode>
                <c:ptCount val="1"/>
                <c:pt idx="0">
                  <c:v>0.1968</c:v>
                </c:pt>
              </c:numCache>
            </c:numRef>
          </c:xVal>
          <c:yVal>
            <c:numLit>
              <c:formatCode>General</c:formatCode>
              <c:ptCount val="1"/>
              <c:pt idx="0">
                <c:v>39.5</c:v>
              </c:pt>
            </c:numLit>
          </c:yVal>
          <c:smooth val="0"/>
        </c:ser>
        <c:ser>
          <c:idx val="20"/>
          <c:order val="20"/>
          <c:tx>
            <c:v>IBUIVCONT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9.7868000000000013</c:v>
                </c:pt>
              </c:numLit>
            </c:plus>
            <c:minus>
              <c:numLit>
                <c:formatCode>General</c:formatCode>
                <c:ptCount val="1"/>
                <c:pt idx="0">
                  <c:v>0.179176</c:v>
                </c:pt>
              </c:numLit>
            </c:minus>
          </c:errBars>
          <c:xVal>
            <c:numRef>
              <c:f>'Random Effects  (Informative)'!$I$25</c:f>
              <c:numCache>
                <c:formatCode>General</c:formatCode>
                <c:ptCount val="1"/>
                <c:pt idx="0">
                  <c:v>0.1802</c:v>
                </c:pt>
              </c:numCache>
            </c:numRef>
          </c:xVal>
          <c:yVal>
            <c:numLit>
              <c:formatCode>General</c:formatCode>
              <c:ptCount val="1"/>
              <c:pt idx="0">
                <c:v>41.5</c:v>
              </c:pt>
            </c:numLit>
          </c:yVal>
          <c:smooth val="0"/>
        </c:ser>
        <c:ser>
          <c:idx val="21"/>
          <c:order val="21"/>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0.47259999999999996</c:v>
                </c:pt>
              </c:numLit>
            </c:plus>
            <c:minus>
              <c:numLit>
                <c:formatCode>General</c:formatCode>
                <c:ptCount val="1"/>
                <c:pt idx="0">
                  <c:v>8.5140000000000007E-2</c:v>
                </c:pt>
              </c:numLit>
            </c:minus>
          </c:errBars>
          <c:xVal>
            <c:numRef>
              <c:f>'Random Effects  (Informative)'!$I$26</c:f>
              <c:numCache>
                <c:formatCode>0.0000</c:formatCode>
                <c:ptCount val="1"/>
                <c:pt idx="0">
                  <c:v>0.10440000000000001</c:v>
                </c:pt>
              </c:numCache>
            </c:numRef>
          </c:xVal>
          <c:yVal>
            <c:numLit>
              <c:formatCode>General</c:formatCode>
              <c:ptCount val="1"/>
              <c:pt idx="0">
                <c:v>43.5</c:v>
              </c:pt>
            </c:numLit>
          </c:yVal>
          <c:smooth val="0"/>
        </c:ser>
        <c:ser>
          <c:idx val="22"/>
          <c:order val="22"/>
          <c:tx>
            <c:v>IBUIVCONT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5.0249000000000006</c:v>
                </c:pt>
              </c:numLit>
            </c:plus>
            <c:minus>
              <c:numLit>
                <c:formatCode>General</c:formatCode>
                <c:ptCount val="1"/>
                <c:pt idx="0">
                  <c:v>9.5441700000000004E-2</c:v>
                </c:pt>
              </c:numLit>
            </c:minus>
          </c:errBars>
          <c:xVal>
            <c:numRef>
              <c:f>'Random Effects  (Informative)'!$I$27</c:f>
              <c:numCache>
                <c:formatCode>General</c:formatCode>
                <c:ptCount val="1"/>
                <c:pt idx="0">
                  <c:v>9.6100000000000005E-2</c:v>
                </c:pt>
              </c:numCache>
            </c:numRef>
          </c:xVal>
          <c:yVal>
            <c:numLit>
              <c:formatCode>General</c:formatCode>
              <c:ptCount val="1"/>
              <c:pt idx="0">
                <c:v>45.5</c:v>
              </c:pt>
            </c:numLit>
          </c:yVal>
          <c:smooth val="0"/>
        </c:ser>
        <c:ser>
          <c:idx val="23"/>
          <c:order val="23"/>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2.4057853832163887</c:v>
                </c:pt>
              </c:numLit>
            </c:plus>
            <c:minus>
              <c:numLit>
                <c:formatCode>General</c:formatCode>
                <c:ptCount val="1"/>
                <c:pt idx="0">
                  <c:v>8.9256592204357138E-2</c:v>
                </c:pt>
              </c:numLit>
            </c:minus>
          </c:errBars>
          <c:xVal>
            <c:numRef>
              <c:f>'Random Effects  (Informative)'!$I$28</c:f>
              <c:numCache>
                <c:formatCode>General</c:formatCode>
                <c:ptCount val="1"/>
                <c:pt idx="0">
                  <c:v>8.9847259658580411E-2</c:v>
                </c:pt>
              </c:numCache>
            </c:numRef>
          </c:xVal>
          <c:yVal>
            <c:numLit>
              <c:formatCode>General</c:formatCode>
              <c:ptCount val="1"/>
              <c:pt idx="0">
                <c:v>47.5</c:v>
              </c:pt>
            </c:numLit>
          </c:yVal>
          <c:smooth val="0"/>
        </c:ser>
        <c:ser>
          <c:idx val="24"/>
          <c:order val="24"/>
          <c:tx>
            <c:v>IBUIVCONT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1.7673300000000001</c:v>
                </c:pt>
              </c:numLit>
            </c:plus>
            <c:minus>
              <c:numLit>
                <c:formatCode>General</c:formatCode>
                <c:ptCount val="1"/>
                <c:pt idx="0">
                  <c:v>7.0148199999999994E-2</c:v>
                </c:pt>
              </c:numLit>
            </c:minus>
          </c:errBars>
          <c:xVal>
            <c:numRef>
              <c:f>'Random Effects  (Informative)'!$I$29</c:f>
              <c:numCache>
                <c:formatCode>General</c:formatCode>
                <c:ptCount val="1"/>
                <c:pt idx="0">
                  <c:v>7.0669999999999997E-2</c:v>
                </c:pt>
              </c:numCache>
            </c:numRef>
          </c:xVal>
          <c:yVal>
            <c:numLit>
              <c:formatCode>General</c:formatCode>
              <c:ptCount val="1"/>
              <c:pt idx="0">
                <c:v>49.5</c:v>
              </c:pt>
            </c:numLit>
          </c:yVal>
          <c:smooth val="0"/>
        </c:ser>
        <c:ser>
          <c:idx val="25"/>
          <c:order val="25"/>
          <c:tx>
            <c:v>IBUIVCONT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47.403505353496215</c:v>
                </c:pt>
              </c:numLit>
            </c:plus>
            <c:minus>
              <c:numLit>
                <c:formatCode>General</c:formatCode>
                <c:ptCount val="1"/>
                <c:pt idx="0">
                  <c:v>5.7311886145474035E-2</c:v>
                </c:pt>
              </c:numLit>
            </c:minus>
          </c:errBars>
          <c:xVal>
            <c:numRef>
              <c:f>'Random Effects  (Informative)'!$I$30</c:f>
              <c:numCache>
                <c:formatCode>General</c:formatCode>
                <c:ptCount val="1"/>
                <c:pt idx="0">
                  <c:v>5.73394495412844E-2</c:v>
                </c:pt>
              </c:numCache>
            </c:numRef>
          </c:xVal>
          <c:yVal>
            <c:numLit>
              <c:formatCode>General</c:formatCode>
              <c:ptCount val="1"/>
              <c:pt idx="0">
                <c:v>51.5</c:v>
              </c:pt>
            </c:numLit>
          </c:yVal>
          <c:smooth val="0"/>
        </c:ser>
        <c:ser>
          <c:idx val="26"/>
          <c:order val="26"/>
          <c:tx>
            <c:v>IBUIVCONT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1.8802299999999998</c:v>
                </c:pt>
              </c:numLit>
            </c:plus>
            <c:minus>
              <c:numLit>
                <c:formatCode>General</c:formatCode>
                <c:ptCount val="1"/>
                <c:pt idx="0">
                  <c:v>3.75669E-2</c:v>
                </c:pt>
              </c:numLit>
            </c:minus>
          </c:errBars>
          <c:xVal>
            <c:numRef>
              <c:f>'Random Effects  (Informative)'!$I$31</c:f>
              <c:numCache>
                <c:formatCode>General</c:formatCode>
                <c:ptCount val="1"/>
                <c:pt idx="0">
                  <c:v>3.7769999999999998E-2</c:v>
                </c:pt>
              </c:numCache>
            </c:numRef>
          </c:xVal>
          <c:yVal>
            <c:numLit>
              <c:formatCode>General</c:formatCode>
              <c:ptCount val="1"/>
              <c:pt idx="0">
                <c:v>53.5</c:v>
              </c:pt>
            </c:numLit>
          </c:yVal>
          <c:smooth val="0"/>
        </c:ser>
        <c:ser>
          <c:idx val="27"/>
          <c:order val="27"/>
          <c:tx>
            <c:v>IBUIVCONT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0.49721000000000004</c:v>
                </c:pt>
              </c:numLit>
            </c:plus>
            <c:minus>
              <c:numLit>
                <c:formatCode>General</c:formatCode>
                <c:ptCount val="1"/>
                <c:pt idx="0">
                  <c:v>2.0656600000000001E-2</c:v>
                </c:pt>
              </c:numLit>
            </c:minus>
          </c:errBars>
          <c:xVal>
            <c:numRef>
              <c:f>'Random Effects  (Informative)'!$I$32</c:f>
              <c:numCache>
                <c:formatCode>General</c:formatCode>
                <c:ptCount val="1"/>
                <c:pt idx="0">
                  <c:v>2.0789999999999999E-2</c:v>
                </c:pt>
              </c:numCache>
            </c:numRef>
          </c:xVal>
          <c:yVal>
            <c:numLit>
              <c:formatCode>General</c:formatCode>
              <c:ptCount val="1"/>
              <c:pt idx="0">
                <c:v>55.5</c:v>
              </c:pt>
            </c:numLit>
          </c:yVal>
          <c:smooth val="0"/>
        </c:ser>
        <c:ser>
          <c:idx val="28"/>
          <c:order val="28"/>
          <c:tx>
            <c:v>INDOIV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1.6025641024771462</c:v>
                </c:pt>
              </c:numLit>
            </c:plus>
            <c:minus>
              <c:numLit>
                <c:formatCode>General</c:formatCode>
                <c:ptCount val="1"/>
                <c:pt idx="0">
                  <c:v>8.6956519433389136E-11</c:v>
                </c:pt>
              </c:numLit>
            </c:minus>
          </c:errBars>
          <c:xVal>
            <c:numRef>
              <c:f>'Random Effects  (Informative)'!$I$33</c:f>
              <c:numCache>
                <c:formatCode>General</c:formatCode>
                <c:ptCount val="1"/>
                <c:pt idx="0">
                  <c:v>8.6956521739130433E-11</c:v>
                </c:pt>
              </c:numCache>
            </c:numRef>
          </c:xVal>
          <c:yVal>
            <c:numLit>
              <c:formatCode>General</c:formatCode>
              <c:ptCount val="1"/>
              <c:pt idx="0">
                <c:v>57.5</c:v>
              </c:pt>
            </c:numLit>
          </c:yVal>
          <c:smooth val="0"/>
        </c:ser>
        <c:ser>
          <c:idx val="29"/>
          <c:order val="29"/>
          <c:tx>
            <c:v>IBUIVHIGHDOSE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0.71479628301810794</c:v>
                </c:pt>
              </c:numLit>
            </c:plus>
            <c:minus>
              <c:numLit>
                <c:formatCode>General</c:formatCode>
                <c:ptCount val="1"/>
                <c:pt idx="0">
                  <c:v>4.1220114090239093E-11</c:v>
                </c:pt>
              </c:numLit>
            </c:minus>
          </c:errBars>
          <c:xVal>
            <c:numRef>
              <c:f>'Random Effects  (Informative)'!$I$34</c:f>
              <c:numCache>
                <c:formatCode>General</c:formatCode>
                <c:ptCount val="1"/>
                <c:pt idx="0">
                  <c:v>4.1220115416323165E-11</c:v>
                </c:pt>
              </c:numCache>
            </c:numRef>
          </c:xVal>
          <c:yVal>
            <c:numLit>
              <c:formatCode>General</c:formatCode>
              <c:ptCount val="1"/>
              <c:pt idx="0">
                <c:v>59.5</c:v>
              </c:pt>
            </c:numLit>
          </c:yVal>
          <c:smooth val="0"/>
        </c:ser>
        <c:ser>
          <c:idx val="30"/>
          <c:order val="30"/>
          <c:tx>
            <c:v>IBUIV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0.50352467268687795</c:v>
                </c:pt>
              </c:numLit>
            </c:plus>
            <c:minus>
              <c:numLit>
                <c:formatCode>General</c:formatCode>
                <c:ptCount val="1"/>
                <c:pt idx="0">
                  <c:v>2.2084804925908209E-11</c:v>
                </c:pt>
              </c:numLit>
            </c:minus>
          </c:errBars>
          <c:xVal>
            <c:numRef>
              <c:f>'Random Effects  (Informative)'!$I$35</c:f>
              <c:numCache>
                <c:formatCode>General</c:formatCode>
                <c:ptCount val="1"/>
                <c:pt idx="0">
                  <c:v>2.2084805653710247E-11</c:v>
                </c:pt>
              </c:numCache>
            </c:numRef>
          </c:xVal>
          <c:yVal>
            <c:numLit>
              <c:formatCode>General</c:formatCode>
              <c:ptCount val="1"/>
              <c:pt idx="0">
                <c:v>61.5</c:v>
              </c:pt>
            </c:numLit>
          </c:yVal>
          <c:smooth val="0"/>
        </c:ser>
        <c:ser>
          <c:idx val="31"/>
          <c:order val="31"/>
          <c:tx>
            <c:v>INDOTHERS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0.45379999998027998</c:v>
                </c:pt>
              </c:numLit>
            </c:plus>
            <c:minus>
              <c:numLit>
                <c:formatCode>General</c:formatCode>
                <c:ptCount val="1"/>
                <c:pt idx="0">
                  <c:v>1.9719999496600001E-11</c:v>
                </c:pt>
              </c:numLit>
            </c:minus>
          </c:errBars>
          <c:xVal>
            <c:numRef>
              <c:f>'Random Effects  (Informative)'!$I$36</c:f>
              <c:numCache>
                <c:formatCode>0.0000</c:formatCode>
                <c:ptCount val="1"/>
                <c:pt idx="0">
                  <c:v>1.9720000000000001E-11</c:v>
                </c:pt>
              </c:numCache>
            </c:numRef>
          </c:xVal>
          <c:yVal>
            <c:numLit>
              <c:formatCode>General</c:formatCode>
              <c:ptCount val="1"/>
              <c:pt idx="0">
                <c:v>63.5</c:v>
              </c:pt>
            </c:numLit>
          </c:yVal>
          <c:smooth val="0"/>
        </c:ser>
        <c:ser>
          <c:idx val="32"/>
          <c:order val="32"/>
          <c:tx>
            <c:v>IBUPO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0.28760425652546839</c:v>
                </c:pt>
              </c:numLit>
            </c:plus>
            <c:minus>
              <c:numLit>
                <c:formatCode>General</c:formatCode>
                <c:ptCount val="1"/>
                <c:pt idx="0">
                  <c:v>1.7528483331607046E-11</c:v>
                </c:pt>
              </c:numLit>
            </c:minus>
          </c:errBars>
          <c:xVal>
            <c:numRef>
              <c:f>'Random Effects  (Informative)'!$I$37</c:f>
              <c:numCache>
                <c:formatCode>General</c:formatCode>
                <c:ptCount val="1"/>
                <c:pt idx="0">
                  <c:v>1.7528483786152499E-11</c:v>
                </c:pt>
              </c:numCache>
            </c:numRef>
          </c:xVal>
          <c:yVal>
            <c:numLit>
              <c:formatCode>General</c:formatCode>
              <c:ptCount val="1"/>
              <c:pt idx="0">
                <c:v>65.5</c:v>
              </c:pt>
            </c:numLit>
          </c:yVal>
          <c:smooth val="0"/>
        </c:ser>
        <c:ser>
          <c:idx val="33"/>
          <c:order val="33"/>
          <c:tx>
            <c:v>INDOIVCONT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0.37169999998867997</c:v>
                </c:pt>
              </c:numLit>
            </c:plus>
            <c:minus>
              <c:numLit>
                <c:formatCode>General</c:formatCode>
                <c:ptCount val="1"/>
                <c:pt idx="0">
                  <c:v>1.1319999494799999E-11</c:v>
                </c:pt>
              </c:numLit>
            </c:minus>
          </c:errBars>
          <c:xVal>
            <c:numRef>
              <c:f>'Random Effects  (Informative)'!$I$38</c:f>
              <c:numCache>
                <c:formatCode>0.0000</c:formatCode>
                <c:ptCount val="1"/>
                <c:pt idx="0">
                  <c:v>1.1319999999999999E-11</c:v>
                </c:pt>
              </c:numCache>
            </c:numRef>
          </c:xVal>
          <c:yVal>
            <c:numLit>
              <c:formatCode>General</c:formatCode>
              <c:ptCount val="1"/>
              <c:pt idx="0">
                <c:v>67.5</c:v>
              </c:pt>
            </c:numLit>
          </c:yVal>
          <c:smooth val="0"/>
        </c:ser>
        <c:ser>
          <c:idx val="34"/>
          <c:order val="34"/>
          <c:tx>
            <c:v>PARAPO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0.15363343062556153</c:v>
                </c:pt>
              </c:numLit>
            </c:plus>
            <c:minus>
              <c:numLit>
                <c:formatCode>General</c:formatCode>
                <c:ptCount val="1"/>
                <c:pt idx="0">
                  <c:v>8.9445435820806113E-12</c:v>
                </c:pt>
              </c:numLit>
            </c:minus>
          </c:errBars>
          <c:xVal>
            <c:numRef>
              <c:f>'Random Effects  (Informative)'!$I$39</c:f>
              <c:numCache>
                <c:formatCode>General</c:formatCode>
                <c:ptCount val="1"/>
                <c:pt idx="0">
                  <c:v>8.9445438282647578E-12</c:v>
                </c:pt>
              </c:numCache>
            </c:numRef>
          </c:xVal>
          <c:yVal>
            <c:numLit>
              <c:formatCode>General</c:formatCode>
              <c:ptCount val="1"/>
              <c:pt idx="0">
                <c:v>69.5</c:v>
              </c:pt>
            </c:numLit>
          </c:yVal>
          <c:smooth val="0"/>
        </c:ser>
        <c:ser>
          <c:idx val="35"/>
          <c:order val="35"/>
          <c:tx>
            <c:v>IBUIVCONT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1.5039999997933E-2</c:v>
                </c:pt>
              </c:numLit>
            </c:plus>
            <c:minus>
              <c:numLit>
                <c:formatCode>General</c:formatCode>
                <c:ptCount val="1"/>
                <c:pt idx="0">
                  <c:v>2.066999996532E-12</c:v>
                </c:pt>
              </c:numLit>
            </c:minus>
          </c:errBars>
          <c:xVal>
            <c:numRef>
              <c:f>'Random Effects  (Informative)'!$I$40</c:f>
              <c:numCache>
                <c:formatCode>General</c:formatCode>
                <c:ptCount val="1"/>
                <c:pt idx="0">
                  <c:v>2.067E-12</c:v>
                </c:pt>
              </c:numCache>
            </c:numRef>
          </c:xVal>
          <c:yVal>
            <c:numLit>
              <c:formatCode>General</c:formatCode>
              <c:ptCount val="1"/>
              <c:pt idx="0">
                <c:v>71.5</c:v>
              </c:pt>
            </c:numLit>
          </c:yVal>
          <c:smooth val="0"/>
        </c:ser>
        <c:dLbls>
          <c:showLegendKey val="0"/>
          <c:showVal val="0"/>
          <c:showCatName val="0"/>
          <c:showSerName val="0"/>
          <c:showPercent val="0"/>
          <c:showBubbleSize val="0"/>
        </c:dLbls>
        <c:axId val="304661048"/>
        <c:axId val="662305200"/>
      </c:scatterChart>
      <c:valAx>
        <c:axId val="304661048"/>
        <c:scaling>
          <c:logBase val="10"/>
          <c:orientation val="minMax"/>
        </c:scaling>
        <c:delete val="0"/>
        <c:axPos val="b"/>
        <c:numFmt formatCode="0.0000" sourceLinked="1"/>
        <c:majorTickMark val="out"/>
        <c:minorTickMark val="out"/>
        <c:tickLblPos val="nextTo"/>
        <c:crossAx val="662305200"/>
        <c:crossesAt val="0"/>
        <c:crossBetween val="midCat"/>
      </c:valAx>
      <c:valAx>
        <c:axId val="662305200"/>
        <c:scaling>
          <c:orientation val="minMax"/>
          <c:max val="72"/>
          <c:min val="0"/>
        </c:scaling>
        <c:delete val="0"/>
        <c:axPos val="l"/>
        <c:numFmt formatCode="General" sourceLinked="1"/>
        <c:majorTickMark val="none"/>
        <c:minorTickMark val="none"/>
        <c:tickLblPos val="none"/>
        <c:crossAx val="304661048"/>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9318450578293087"/>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Data'!$M$5:$M$100</c:f>
              <c:numCache>
                <c:formatCode>General</c:formatCode>
                <c:ptCount val="9"/>
                <c:pt idx="0">
                  <c:v>0</c:v>
                </c:pt>
                <c:pt idx="1">
                  <c:v>0</c:v>
                </c:pt>
                <c:pt idx="2">
                  <c:v>0</c:v>
                </c:pt>
                <c:pt idx="3">
                  <c:v>4.6670000000000001E-4</c:v>
                </c:pt>
                <c:pt idx="4">
                  <c:v>7.3670000000000003E-3</c:v>
                </c:pt>
                <c:pt idx="5">
                  <c:v>9.7670000000000007E-2</c:v>
                </c:pt>
                <c:pt idx="6">
                  <c:v>0.3831</c:v>
                </c:pt>
                <c:pt idx="7">
                  <c:v>0.49559999999999998</c:v>
                </c:pt>
                <c:pt idx="8">
                  <c:v>1.5869999999999999E-2</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Data'!$N$5:$N$100</c:f>
              <c:numCache>
                <c:formatCode>General</c:formatCode>
                <c:ptCount val="9"/>
                <c:pt idx="0">
                  <c:v>8.3330000000000003E-4</c:v>
                </c:pt>
                <c:pt idx="1">
                  <c:v>1.1299999999999999E-2</c:v>
                </c:pt>
                <c:pt idx="2">
                  <c:v>7.0900000000000005E-2</c:v>
                </c:pt>
                <c:pt idx="3">
                  <c:v>0.1908</c:v>
                </c:pt>
                <c:pt idx="4">
                  <c:v>0.3725</c:v>
                </c:pt>
                <c:pt idx="5">
                  <c:v>0.27689999999999998</c:v>
                </c:pt>
                <c:pt idx="6">
                  <c:v>7.6270000000000004E-2</c:v>
                </c:pt>
                <c:pt idx="7">
                  <c:v>5.3330000000000001E-4</c:v>
                </c:pt>
                <c:pt idx="8">
                  <c:v>0</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Data'!$O$5:$O$100</c:f>
              <c:numCache>
                <c:formatCode>General</c:formatCode>
                <c:ptCount val="9"/>
                <c:pt idx="0">
                  <c:v>9.8670000000000008E-3</c:v>
                </c:pt>
                <c:pt idx="1">
                  <c:v>8.4070000000000006E-2</c:v>
                </c:pt>
                <c:pt idx="2">
                  <c:v>0.2918</c:v>
                </c:pt>
                <c:pt idx="3">
                  <c:v>0.23350000000000001</c:v>
                </c:pt>
                <c:pt idx="4">
                  <c:v>0.14319999999999999</c:v>
                </c:pt>
                <c:pt idx="5">
                  <c:v>0.155</c:v>
                </c:pt>
                <c:pt idx="6">
                  <c:v>7.4499999999999997E-2</c:v>
                </c:pt>
                <c:pt idx="7">
                  <c:v>8.0669999999999995E-3</c:v>
                </c:pt>
                <c:pt idx="8">
                  <c:v>0</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Data'!$P$5:$P$100</c:f>
              <c:numCache>
                <c:formatCode>General</c:formatCode>
                <c:ptCount val="9"/>
                <c:pt idx="0">
                  <c:v>0.14349999999999999</c:v>
                </c:pt>
                <c:pt idx="1">
                  <c:v>0.41720000000000002</c:v>
                </c:pt>
                <c:pt idx="2">
                  <c:v>0.23619999999999999</c:v>
                </c:pt>
                <c:pt idx="3">
                  <c:v>9.8799999999999999E-2</c:v>
                </c:pt>
                <c:pt idx="4">
                  <c:v>6.13E-2</c:v>
                </c:pt>
                <c:pt idx="5">
                  <c:v>3.3770000000000001E-2</c:v>
                </c:pt>
                <c:pt idx="6">
                  <c:v>8.5000000000000006E-3</c:v>
                </c:pt>
                <c:pt idx="7">
                  <c:v>6.667E-4</c:v>
                </c:pt>
                <c:pt idx="8">
                  <c:v>0</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Data'!$Q$5:$Q$100</c:f>
              <c:numCache>
                <c:formatCode>General</c:formatCode>
                <c:ptCount val="9"/>
                <c:pt idx="0">
                  <c:v>1.0630000000000001E-2</c:v>
                </c:pt>
                <c:pt idx="1">
                  <c:v>6.0069999999999998E-2</c:v>
                </c:pt>
                <c:pt idx="2">
                  <c:v>7.5800000000000006E-2</c:v>
                </c:pt>
                <c:pt idx="3">
                  <c:v>8.5000000000000006E-2</c:v>
                </c:pt>
                <c:pt idx="4">
                  <c:v>0.1033</c:v>
                </c:pt>
                <c:pt idx="5">
                  <c:v>0.21240000000000001</c:v>
                </c:pt>
                <c:pt idx="6">
                  <c:v>0.27929999999999999</c:v>
                </c:pt>
                <c:pt idx="7">
                  <c:v>0.16669999999999999</c:v>
                </c:pt>
                <c:pt idx="8">
                  <c:v>6.7000000000000002E-3</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Data'!$R$5:$R$100</c:f>
              <c:numCache>
                <c:formatCode>General</c:formatCode>
                <c:ptCount val="9"/>
                <c:pt idx="0">
                  <c:v>2.3E-3</c:v>
                </c:pt>
                <c:pt idx="1">
                  <c:v>3.8E-3</c:v>
                </c:pt>
                <c:pt idx="2">
                  <c:v>2.1670000000000001E-3</c:v>
                </c:pt>
                <c:pt idx="3">
                  <c:v>8.0330000000000002E-3</c:v>
                </c:pt>
                <c:pt idx="4">
                  <c:v>1.833E-3</c:v>
                </c:pt>
                <c:pt idx="5">
                  <c:v>1.6329999999999999E-3</c:v>
                </c:pt>
                <c:pt idx="6">
                  <c:v>4.0000000000000001E-3</c:v>
                </c:pt>
                <c:pt idx="7">
                  <c:v>4.8329999999999996E-3</c:v>
                </c:pt>
                <c:pt idx="8">
                  <c:v>0.97140000000000004</c:v>
                </c:pt>
              </c:numCache>
            </c:numRef>
          </c:val>
          <c:smooth val="0"/>
        </c:ser>
        <c:ser>
          <c:idx val="6"/>
          <c:order val="6"/>
          <c:tx>
            <c:strRef>
              <c:f>'Rankogram Data'!$S$4</c:f>
              <c:strCache>
                <c:ptCount val="1"/>
                <c:pt idx="0">
                  <c:v>IBUIVCONT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Data'!$S$5:$S$100</c:f>
              <c:numCache>
                <c:formatCode>General</c:formatCode>
                <c:ptCount val="9"/>
                <c:pt idx="0">
                  <c:v>0.67879999999999996</c:v>
                </c:pt>
                <c:pt idx="1">
                  <c:v>0.13869999999999999</c:v>
                </c:pt>
                <c:pt idx="2">
                  <c:v>6.0670000000000002E-2</c:v>
                </c:pt>
                <c:pt idx="3">
                  <c:v>4.5330000000000002E-2</c:v>
                </c:pt>
                <c:pt idx="4">
                  <c:v>2.8029999999999999E-2</c:v>
                </c:pt>
                <c:pt idx="5">
                  <c:v>2.63E-2</c:v>
                </c:pt>
                <c:pt idx="6">
                  <c:v>1.917E-2</c:v>
                </c:pt>
                <c:pt idx="7">
                  <c:v>3.0330000000000001E-3</c:v>
                </c:pt>
                <c:pt idx="8">
                  <c:v>0</c:v>
                </c:pt>
              </c:numCache>
            </c:numRef>
          </c:val>
          <c:smooth val="0"/>
        </c:ser>
        <c:ser>
          <c:idx val="7"/>
          <c:order val="7"/>
          <c:tx>
            <c:strRef>
              <c:f>'Rankogram Data'!$T$4</c:f>
              <c:strCache>
                <c:ptCount val="1"/>
                <c:pt idx="0">
                  <c:v>INDOIVCONT</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Data'!$T$5:$T$100</c:f>
              <c:numCache>
                <c:formatCode>General</c:formatCode>
                <c:ptCount val="9"/>
                <c:pt idx="0">
                  <c:v>0.14000000000000001</c:v>
                </c:pt>
                <c:pt idx="1">
                  <c:v>0.17280000000000001</c:v>
                </c:pt>
                <c:pt idx="2">
                  <c:v>6.3070000000000001E-2</c:v>
                </c:pt>
                <c:pt idx="3">
                  <c:v>6.3270000000000007E-2</c:v>
                </c:pt>
                <c:pt idx="4">
                  <c:v>4.1070000000000002E-2</c:v>
                </c:pt>
                <c:pt idx="5">
                  <c:v>7.4300000000000005E-2</c:v>
                </c:pt>
                <c:pt idx="6">
                  <c:v>0.11890000000000001</c:v>
                </c:pt>
                <c:pt idx="7">
                  <c:v>0.3206</c:v>
                </c:pt>
                <c:pt idx="8">
                  <c:v>6.0330000000000002E-3</c:v>
                </c:pt>
              </c:numCache>
            </c:numRef>
          </c:val>
          <c:smooth val="0"/>
        </c:ser>
        <c:ser>
          <c:idx val="8"/>
          <c:order val="8"/>
          <c:tx>
            <c:strRef>
              <c:f>'Rankogram Data'!$U$4</c:f>
              <c:strCache>
                <c:ptCount val="1"/>
                <c:pt idx="0">
                  <c:v>INDOTHERS</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Data'!$U$5:$U$100</c:f>
              <c:numCache>
                <c:formatCode>General</c:formatCode>
                <c:ptCount val="9"/>
                <c:pt idx="0">
                  <c:v>1.41E-2</c:v>
                </c:pt>
                <c:pt idx="1">
                  <c:v>0.112</c:v>
                </c:pt>
                <c:pt idx="2">
                  <c:v>0.19939999999999999</c:v>
                </c:pt>
                <c:pt idx="3">
                  <c:v>0.27479999999999999</c:v>
                </c:pt>
                <c:pt idx="4">
                  <c:v>0.24129999999999999</c:v>
                </c:pt>
                <c:pt idx="5">
                  <c:v>0.1221</c:v>
                </c:pt>
                <c:pt idx="6">
                  <c:v>3.6229999999999998E-2</c:v>
                </c:pt>
                <c:pt idx="7">
                  <c:v>0</c:v>
                </c:pt>
                <c:pt idx="8">
                  <c:v>0</c:v>
                </c:pt>
              </c:numCache>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Data'!$AA$5:$AA$100</c:f>
            </c:numRef>
          </c:val>
          <c:smooth val="0"/>
        </c:ser>
        <c:dLbls>
          <c:showLegendKey val="0"/>
          <c:showVal val="0"/>
          <c:showCatName val="0"/>
          <c:showSerName val="0"/>
          <c:showPercent val="0"/>
          <c:showBubbleSize val="0"/>
        </c:dLbls>
        <c:marker val="1"/>
        <c:smooth val="0"/>
        <c:axId val="662305592"/>
        <c:axId val="662304416"/>
      </c:lineChart>
      <c:catAx>
        <c:axId val="662305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62304416"/>
        <c:crosses val="autoZero"/>
        <c:auto val="1"/>
        <c:lblAlgn val="ctr"/>
        <c:lblOffset val="100"/>
        <c:noMultiLvlLbl val="0"/>
      </c:catAx>
      <c:valAx>
        <c:axId val="662304416"/>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305592"/>
        <c:crosses val="autoZero"/>
        <c:crossBetween val="between"/>
        <c:majorUnit val="0.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62303632"/>
        <c:axId val="662303240"/>
      </c:scatterChart>
      <c:valAx>
        <c:axId val="66230363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62303240"/>
        <c:crosses val="autoZero"/>
        <c:crossBetween val="midCat"/>
        <c:majorUnit val="0.5"/>
        <c:minorUnit val="0.25"/>
      </c:valAx>
      <c:valAx>
        <c:axId val="66230324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6230363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numCache>
            </c:numRef>
          </c:xVal>
          <c:yVal>
            <c:numRef>
              <c:f>'Inconsistency Data'!$J$6:$J$105</c:f>
              <c:numCache>
                <c:formatCode>General</c:formatCode>
                <c:ptCount val="26"/>
                <c:pt idx="0">
                  <c:v>1.8589999999999999E-2</c:v>
                </c:pt>
                <c:pt idx="1">
                  <c:v>1.167</c:v>
                </c:pt>
                <c:pt idx="2">
                  <c:v>0.94179999999999997</c:v>
                </c:pt>
                <c:pt idx="3">
                  <c:v>1.1160000000000001</c:v>
                </c:pt>
                <c:pt idx="4">
                  <c:v>0.70720000000000005</c:v>
                </c:pt>
                <c:pt idx="5">
                  <c:v>1.0900000000000001</c:v>
                </c:pt>
                <c:pt idx="6">
                  <c:v>0.71089999999999998</c:v>
                </c:pt>
                <c:pt idx="7">
                  <c:v>1.089</c:v>
                </c:pt>
                <c:pt idx="8">
                  <c:v>1.4590000000000001</c:v>
                </c:pt>
                <c:pt idx="9">
                  <c:v>1.456</c:v>
                </c:pt>
                <c:pt idx="10">
                  <c:v>1.1539999999999999</c:v>
                </c:pt>
                <c:pt idx="11">
                  <c:v>1.302</c:v>
                </c:pt>
                <c:pt idx="12">
                  <c:v>1.0349999999999999</c:v>
                </c:pt>
                <c:pt idx="13">
                  <c:v>1.0129999999999999</c:v>
                </c:pt>
                <c:pt idx="14">
                  <c:v>1.1579999999999999</c:v>
                </c:pt>
                <c:pt idx="15">
                  <c:v>1.1859999999999999</c:v>
                </c:pt>
                <c:pt idx="16">
                  <c:v>0.79079999999999995</c:v>
                </c:pt>
                <c:pt idx="17">
                  <c:v>1.1890000000000001</c:v>
                </c:pt>
                <c:pt idx="18">
                  <c:v>1.3660000000000001</c:v>
                </c:pt>
                <c:pt idx="19">
                  <c:v>1.8069999999999999</c:v>
                </c:pt>
                <c:pt idx="20">
                  <c:v>1.141</c:v>
                </c:pt>
                <c:pt idx="21">
                  <c:v>1.1870000000000001</c:v>
                </c:pt>
                <c:pt idx="22">
                  <c:v>0.88719999999999999</c:v>
                </c:pt>
                <c:pt idx="23">
                  <c:v>0.66139999999999999</c:v>
                </c:pt>
                <c:pt idx="24">
                  <c:v>1.635</c:v>
                </c:pt>
                <c:pt idx="25">
                  <c:v>2.5779999999999998</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62302456"/>
        <c:axId val="662302064"/>
      </c:scatterChart>
      <c:valAx>
        <c:axId val="662302456"/>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62302064"/>
        <c:crosses val="autoZero"/>
        <c:crossBetween val="midCat"/>
        <c:majorUnit val="0.5"/>
        <c:minorUnit val="0.25"/>
      </c:valAx>
      <c:valAx>
        <c:axId val="66230206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62302456"/>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9</xdr:col>
      <xdr:colOff>594415</xdr:colOff>
      <xdr:row>32</xdr:row>
      <xdr:rowOff>64190</xdr:rowOff>
    </xdr:from>
    <xdr:to>
      <xdr:col>13</xdr:col>
      <xdr:colOff>40585</xdr:colOff>
      <xdr:row>42</xdr:row>
      <xdr:rowOff>34235</xdr:rowOff>
    </xdr:to>
    <xdr:sp macro="" textlink="">
      <xdr:nvSpPr>
        <xdr:cNvPr id="72" name="A"/>
        <xdr:cNvSpPr/>
      </xdr:nvSpPr>
      <xdr:spPr>
        <a:xfrm>
          <a:off x="8290615" y="6245915"/>
          <a:ext cx="1884570" cy="188457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A</a:t>
          </a:r>
        </a:p>
      </xdr:txBody>
    </xdr:sp>
    <xdr:clientData/>
  </xdr:twoCellAnchor>
  <xdr:twoCellAnchor>
    <xdr:from>
      <xdr:col>12</xdr:col>
      <xdr:colOff>405267</xdr:colOff>
      <xdr:row>55</xdr:row>
      <xdr:rowOff>106817</xdr:rowOff>
    </xdr:from>
    <xdr:to>
      <xdr:col>15</xdr:col>
      <xdr:colOff>356733</xdr:colOff>
      <xdr:row>64</xdr:row>
      <xdr:rowOff>172583</xdr:rowOff>
    </xdr:to>
    <xdr:sp macro="" textlink="">
      <xdr:nvSpPr>
        <xdr:cNvPr id="73" name="B"/>
        <xdr:cNvSpPr/>
      </xdr:nvSpPr>
      <xdr:spPr>
        <a:xfrm>
          <a:off x="9930267" y="10679567"/>
          <a:ext cx="1780266" cy="178026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B</a:t>
          </a:r>
        </a:p>
      </xdr:txBody>
    </xdr:sp>
    <xdr:clientData/>
  </xdr:twoCellAnchor>
  <xdr:twoCellAnchor>
    <xdr:from>
      <xdr:col>19</xdr:col>
      <xdr:colOff>400504</xdr:colOff>
      <xdr:row>68</xdr:row>
      <xdr:rowOff>178254</xdr:rowOff>
    </xdr:from>
    <xdr:to>
      <xdr:col>21</xdr:col>
      <xdr:colOff>513897</xdr:colOff>
      <xdr:row>75</xdr:row>
      <xdr:rowOff>177347</xdr:rowOff>
    </xdr:to>
    <xdr:sp macro="" textlink="">
      <xdr:nvSpPr>
        <xdr:cNvPr id="74" name="C"/>
        <xdr:cNvSpPr/>
      </xdr:nvSpPr>
      <xdr:spPr>
        <a:xfrm>
          <a:off x="14192704" y="13227504"/>
          <a:ext cx="1332593" cy="1332593"/>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C</a:t>
          </a:r>
        </a:p>
      </xdr:txBody>
    </xdr:sp>
    <xdr:clientData/>
  </xdr:twoCellAnchor>
  <xdr:twoCellAnchor>
    <xdr:from>
      <xdr:col>27</xdr:col>
      <xdr:colOff>280378</xdr:colOff>
      <xdr:row>65</xdr:row>
      <xdr:rowOff>108928</xdr:rowOff>
    </xdr:from>
    <xdr:to>
      <xdr:col>29</xdr:col>
      <xdr:colOff>49822</xdr:colOff>
      <xdr:row>70</xdr:row>
      <xdr:rowOff>145072</xdr:rowOff>
    </xdr:to>
    <xdr:sp macro="" textlink="">
      <xdr:nvSpPr>
        <xdr:cNvPr id="75" name="D"/>
        <xdr:cNvSpPr/>
      </xdr:nvSpPr>
      <xdr:spPr>
        <a:xfrm>
          <a:off x="18949378" y="12586678"/>
          <a:ext cx="988644" cy="98864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D</a:t>
          </a:r>
        </a:p>
      </xdr:txBody>
    </xdr:sp>
    <xdr:clientData/>
  </xdr:twoCellAnchor>
  <xdr:twoCellAnchor>
    <xdr:from>
      <xdr:col>32</xdr:col>
      <xdr:colOff>518136</xdr:colOff>
      <xdr:row>48</xdr:row>
      <xdr:rowOff>67287</xdr:rowOff>
    </xdr:from>
    <xdr:to>
      <xdr:col>33</xdr:col>
      <xdr:colOff>320063</xdr:colOff>
      <xdr:row>50</xdr:row>
      <xdr:rowOff>97813</xdr:rowOff>
    </xdr:to>
    <xdr:sp macro="" textlink="">
      <xdr:nvSpPr>
        <xdr:cNvPr id="76" name="E"/>
        <xdr:cNvSpPr/>
      </xdr:nvSpPr>
      <xdr:spPr>
        <a:xfrm>
          <a:off x="22235136" y="9306537"/>
          <a:ext cx="411527" cy="4115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E</a:t>
          </a:r>
        </a:p>
      </xdr:txBody>
    </xdr:sp>
    <xdr:clientData/>
  </xdr:twoCellAnchor>
  <xdr:twoCellAnchor>
    <xdr:from>
      <xdr:col>32</xdr:col>
      <xdr:colOff>533400</xdr:colOff>
      <xdr:row>24</xdr:row>
      <xdr:rowOff>15875</xdr:rowOff>
    </xdr:from>
    <xdr:to>
      <xdr:col>33</xdr:col>
      <xdr:colOff>304800</xdr:colOff>
      <xdr:row>26</xdr:row>
      <xdr:rowOff>15875</xdr:rowOff>
    </xdr:to>
    <xdr:sp macro="" textlink="">
      <xdr:nvSpPr>
        <xdr:cNvPr id="77" name="F"/>
        <xdr:cNvSpPr/>
      </xdr:nvSpPr>
      <xdr:spPr>
        <a:xfrm>
          <a:off x="22250400" y="46736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F</a:t>
          </a:r>
        </a:p>
      </xdr:txBody>
    </xdr:sp>
    <xdr:clientData/>
  </xdr:twoCellAnchor>
  <xdr:twoCellAnchor>
    <xdr:from>
      <xdr:col>27</xdr:col>
      <xdr:colOff>516762</xdr:colOff>
      <xdr:row>5</xdr:row>
      <xdr:rowOff>84962</xdr:rowOff>
    </xdr:from>
    <xdr:to>
      <xdr:col>28</xdr:col>
      <xdr:colOff>423039</xdr:colOff>
      <xdr:row>8</xdr:row>
      <xdr:rowOff>29338</xdr:rowOff>
    </xdr:to>
    <xdr:sp macro="" textlink="">
      <xdr:nvSpPr>
        <xdr:cNvPr id="78" name="G"/>
        <xdr:cNvSpPr/>
      </xdr:nvSpPr>
      <xdr:spPr>
        <a:xfrm>
          <a:off x="19185762" y="1037462"/>
          <a:ext cx="515877" cy="51587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G</a:t>
          </a:r>
        </a:p>
      </xdr:txBody>
    </xdr:sp>
    <xdr:clientData/>
  </xdr:twoCellAnchor>
  <xdr:twoCellAnchor>
    <xdr:from>
      <xdr:col>20</xdr:col>
      <xdr:colOff>263551</xdr:colOff>
      <xdr:row>1</xdr:row>
      <xdr:rowOff>98451</xdr:rowOff>
    </xdr:from>
    <xdr:to>
      <xdr:col>21</xdr:col>
      <xdr:colOff>41249</xdr:colOff>
      <xdr:row>3</xdr:row>
      <xdr:rowOff>104749</xdr:rowOff>
    </xdr:to>
    <xdr:sp macro="" textlink="">
      <xdr:nvSpPr>
        <xdr:cNvPr id="79" name="H"/>
        <xdr:cNvSpPr/>
      </xdr:nvSpPr>
      <xdr:spPr>
        <a:xfrm>
          <a:off x="14665351" y="288951"/>
          <a:ext cx="387298" cy="38729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H</a:t>
          </a:r>
        </a:p>
      </xdr:txBody>
    </xdr:sp>
    <xdr:clientData/>
  </xdr:twoCellAnchor>
  <xdr:twoCellAnchor>
    <xdr:from>
      <xdr:col>13</xdr:col>
      <xdr:colOff>41658</xdr:colOff>
      <xdr:row>11</xdr:row>
      <xdr:rowOff>67058</xdr:rowOff>
    </xdr:from>
    <xdr:to>
      <xdr:col>15</xdr:col>
      <xdr:colOff>110741</xdr:colOff>
      <xdr:row>18</xdr:row>
      <xdr:rowOff>21842</xdr:rowOff>
    </xdr:to>
    <xdr:sp macro="" textlink="">
      <xdr:nvSpPr>
        <xdr:cNvPr id="80" name="I"/>
        <xdr:cNvSpPr/>
      </xdr:nvSpPr>
      <xdr:spPr>
        <a:xfrm>
          <a:off x="10176258" y="2162558"/>
          <a:ext cx="1288283" cy="128828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I</a:t>
          </a:r>
        </a:p>
      </xdr:txBody>
    </xdr:sp>
    <xdr:clientData/>
  </xdr:twoCellAnchor>
  <xdr:twoCellAnchor>
    <xdr:from>
      <xdr:col>12</xdr:col>
      <xdr:colOff>374196</xdr:colOff>
      <xdr:row>40</xdr:row>
      <xdr:rowOff>139246</xdr:rowOff>
    </xdr:from>
    <xdr:to>
      <xdr:col>27</xdr:col>
      <xdr:colOff>425162</xdr:colOff>
      <xdr:row>66</xdr:row>
      <xdr:rowOff>63212</xdr:rowOff>
    </xdr:to>
    <xdr:cxnSp macro="">
      <xdr:nvCxnSpPr>
        <xdr:cNvPr id="81" name="Straight Arrow Connector 80"/>
        <xdr:cNvCxnSpPr>
          <a:stCxn id="72" idx="5"/>
          <a:endCxn id="75" idx="1"/>
        </xdr:cNvCxnSpPr>
      </xdr:nvCxnSpPr>
      <xdr:spPr>
        <a:xfrm>
          <a:off x="9899196" y="7854496"/>
          <a:ext cx="9194966" cy="487696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513897</xdr:colOff>
      <xdr:row>68</xdr:row>
      <xdr:rowOff>31750</xdr:rowOff>
    </xdr:from>
    <xdr:to>
      <xdr:col>27</xdr:col>
      <xdr:colOff>280378</xdr:colOff>
      <xdr:row>72</xdr:row>
      <xdr:rowOff>82551</xdr:rowOff>
    </xdr:to>
    <xdr:cxnSp macro="">
      <xdr:nvCxnSpPr>
        <xdr:cNvPr id="82" name="Straight Arrow Connector 81"/>
        <xdr:cNvCxnSpPr>
          <a:stCxn id="74" idx="6"/>
          <a:endCxn id="75" idx="2"/>
        </xdr:cNvCxnSpPr>
      </xdr:nvCxnSpPr>
      <xdr:spPr>
        <a:xfrm flipV="1">
          <a:off x="15525297" y="13081000"/>
          <a:ext cx="3424081" cy="812801"/>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96019</xdr:colOff>
      <xdr:row>63</xdr:row>
      <xdr:rowOff>102369</xdr:rowOff>
    </xdr:from>
    <xdr:to>
      <xdr:col>19</xdr:col>
      <xdr:colOff>595658</xdr:colOff>
      <xdr:row>69</xdr:row>
      <xdr:rowOff>182908</xdr:rowOff>
    </xdr:to>
    <xdr:cxnSp macro="">
      <xdr:nvCxnSpPr>
        <xdr:cNvPr id="83" name="Straight Arrow Connector 82"/>
        <xdr:cNvCxnSpPr>
          <a:stCxn id="73" idx="5"/>
          <a:endCxn id="74" idx="1"/>
        </xdr:cNvCxnSpPr>
      </xdr:nvCxnSpPr>
      <xdr:spPr>
        <a:xfrm>
          <a:off x="11449819" y="12199119"/>
          <a:ext cx="2938039" cy="1223539"/>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3</xdr:row>
      <xdr:rowOff>104749</xdr:rowOff>
    </xdr:from>
    <xdr:to>
      <xdr:col>20</xdr:col>
      <xdr:colOff>457200</xdr:colOff>
      <xdr:row>55</xdr:row>
      <xdr:rowOff>106817</xdr:rowOff>
    </xdr:to>
    <xdr:cxnSp macro="">
      <xdr:nvCxnSpPr>
        <xdr:cNvPr id="84" name="Straight Arrow Connector 83"/>
        <xdr:cNvCxnSpPr>
          <a:stCxn id="73" idx="0"/>
          <a:endCxn id="79" idx="4"/>
        </xdr:cNvCxnSpPr>
      </xdr:nvCxnSpPr>
      <xdr:spPr>
        <a:xfrm flipV="1">
          <a:off x="10820400" y="676249"/>
          <a:ext cx="4038600" cy="10003318"/>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356733</xdr:colOff>
      <xdr:row>49</xdr:row>
      <xdr:rowOff>82550</xdr:rowOff>
    </xdr:from>
    <xdr:to>
      <xdr:col>32</xdr:col>
      <xdr:colOff>518136</xdr:colOff>
      <xdr:row>60</xdr:row>
      <xdr:rowOff>44450</xdr:rowOff>
    </xdr:to>
    <xdr:cxnSp macro="">
      <xdr:nvCxnSpPr>
        <xdr:cNvPr id="85" name="Straight Arrow Connector 84"/>
        <xdr:cNvCxnSpPr>
          <a:stCxn id="73" idx="6"/>
          <a:endCxn id="76" idx="2"/>
        </xdr:cNvCxnSpPr>
      </xdr:nvCxnSpPr>
      <xdr:spPr>
        <a:xfrm flipV="1">
          <a:off x="11710533" y="9512300"/>
          <a:ext cx="10524603" cy="205740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xdr:row>
      <xdr:rowOff>21842</xdr:rowOff>
    </xdr:from>
    <xdr:to>
      <xdr:col>20</xdr:col>
      <xdr:colOff>457201</xdr:colOff>
      <xdr:row>68</xdr:row>
      <xdr:rowOff>178254</xdr:rowOff>
    </xdr:to>
    <xdr:cxnSp macro="">
      <xdr:nvCxnSpPr>
        <xdr:cNvPr id="86" name="Straight Arrow Connector 85"/>
        <xdr:cNvCxnSpPr>
          <a:stCxn id="74" idx="0"/>
          <a:endCxn id="80" idx="4"/>
        </xdr:cNvCxnSpPr>
      </xdr:nvCxnSpPr>
      <xdr:spPr>
        <a:xfrm flipH="1" flipV="1">
          <a:off x="10820400" y="3450842"/>
          <a:ext cx="4038601" cy="9776662"/>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317500</xdr:colOff>
      <xdr:row>17</xdr:row>
      <xdr:rowOff>23677</xdr:rowOff>
    </xdr:from>
    <xdr:to>
      <xdr:col>13</xdr:col>
      <xdr:colOff>230323</xdr:colOff>
      <xdr:row>32</xdr:row>
      <xdr:rowOff>64190</xdr:rowOff>
    </xdr:to>
    <xdr:cxnSp macro="">
      <xdr:nvCxnSpPr>
        <xdr:cNvPr id="87" name="Straight Arrow Connector 86"/>
        <xdr:cNvCxnSpPr>
          <a:stCxn id="72" idx="0"/>
          <a:endCxn id="80" idx="3"/>
        </xdr:cNvCxnSpPr>
      </xdr:nvCxnSpPr>
      <xdr:spPr>
        <a:xfrm flipV="1">
          <a:off x="9232900" y="3262177"/>
          <a:ext cx="1132023" cy="2983738"/>
        </a:xfrm>
        <a:prstGeom prst="straightConnector1">
          <a:avLst/>
        </a:prstGeom>
        <a:ln w="889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317500</xdr:colOff>
      <xdr:row>42</xdr:row>
      <xdr:rowOff>34235</xdr:rowOff>
    </xdr:from>
    <xdr:to>
      <xdr:col>13</xdr:col>
      <xdr:colOff>56381</xdr:colOff>
      <xdr:row>56</xdr:row>
      <xdr:rowOff>177031</xdr:rowOff>
    </xdr:to>
    <xdr:cxnSp macro="">
      <xdr:nvCxnSpPr>
        <xdr:cNvPr id="88" name="Straight Arrow Connector 87"/>
        <xdr:cNvCxnSpPr>
          <a:stCxn id="72" idx="4"/>
          <a:endCxn id="73" idx="1"/>
        </xdr:cNvCxnSpPr>
      </xdr:nvCxnSpPr>
      <xdr:spPr>
        <a:xfrm>
          <a:off x="9232900" y="8130485"/>
          <a:ext cx="958081" cy="2809796"/>
        </a:xfrm>
        <a:prstGeom prst="straightConnector1">
          <a:avLst/>
        </a:prstGeom>
        <a:ln w="1270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96019</xdr:colOff>
      <xdr:row>7</xdr:row>
      <xdr:rowOff>144290</xdr:rowOff>
    </xdr:from>
    <xdr:to>
      <xdr:col>27</xdr:col>
      <xdr:colOff>592310</xdr:colOff>
      <xdr:row>56</xdr:row>
      <xdr:rowOff>177031</xdr:rowOff>
    </xdr:to>
    <xdr:cxnSp macro="">
      <xdr:nvCxnSpPr>
        <xdr:cNvPr id="89" name="Straight Arrow Connector 88"/>
        <xdr:cNvCxnSpPr>
          <a:stCxn id="73" idx="7"/>
          <a:endCxn id="78" idx="3"/>
        </xdr:cNvCxnSpPr>
      </xdr:nvCxnSpPr>
      <xdr:spPr>
        <a:xfrm flipV="1">
          <a:off x="11449819" y="1477790"/>
          <a:ext cx="7811491" cy="946249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318743</xdr:colOff>
      <xdr:row>25</xdr:row>
      <xdr:rowOff>150579</xdr:rowOff>
    </xdr:from>
    <xdr:to>
      <xdr:col>32</xdr:col>
      <xdr:colOff>589196</xdr:colOff>
      <xdr:row>69</xdr:row>
      <xdr:rowOff>182908</xdr:rowOff>
    </xdr:to>
    <xdr:cxnSp macro="">
      <xdr:nvCxnSpPr>
        <xdr:cNvPr id="90" name="Straight Arrow Connector 89"/>
        <xdr:cNvCxnSpPr>
          <a:stCxn id="74" idx="7"/>
          <a:endCxn id="77" idx="3"/>
        </xdr:cNvCxnSpPr>
      </xdr:nvCxnSpPr>
      <xdr:spPr>
        <a:xfrm flipV="1">
          <a:off x="15330143" y="4998804"/>
          <a:ext cx="6976053" cy="8423854"/>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18478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0.9811</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18129250"/>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0.92715</cdr:y>
    </cdr:from>
    <cdr:to>
      <cdr:x>0.31649</cdr:x>
      <cdr:y>0.95464</cdr:y>
    </cdr:to>
    <cdr:sp macro="" textlink="">
      <cdr:nvSpPr>
        <cdr:cNvPr id="2" name="TextBox 1"/>
        <cdr:cNvSpPr txBox="1"/>
      </cdr:nvSpPr>
      <cdr:spPr>
        <a:xfrm xmlns:a="http://schemas.openxmlformats.org/drawingml/2006/main">
          <a:off x="63500" y="1713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a:t>
          </a:r>
        </a:p>
      </cdr:txBody>
    </cdr:sp>
  </cdr:relSizeAnchor>
  <cdr:relSizeAnchor xmlns:cdr="http://schemas.openxmlformats.org/drawingml/2006/chartDrawing">
    <cdr:from>
      <cdr:x>0.75498</cdr:x>
      <cdr:y>0.92715</cdr:y>
    </cdr:from>
    <cdr:to>
      <cdr:x>1</cdr:x>
      <cdr:y>0.94089</cdr:y>
    </cdr:to>
    <cdr:sp macro="" textlink="">
      <cdr:nvSpPr>
        <cdr:cNvPr id="3" name="TextBox 2"/>
        <cdr:cNvSpPr txBox="1"/>
      </cdr:nvSpPr>
      <cdr:spPr>
        <a:xfrm xmlns:a="http://schemas.openxmlformats.org/drawingml/2006/main">
          <a:off x="4815044" y="1713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1.28 (0.00 – 226.60)</a:t>
          </a:r>
        </a:p>
      </cdr:txBody>
    </cdr:sp>
  </cdr:relSizeAnchor>
  <cdr:relSizeAnchor xmlns:cdr="http://schemas.openxmlformats.org/drawingml/2006/chartDrawing">
    <cdr:from>
      <cdr:x>0.01021</cdr:x>
      <cdr:y>0.90172</cdr:y>
    </cdr:from>
    <cdr:to>
      <cdr:x>0.31649</cdr:x>
      <cdr:y>0.92921</cdr:y>
    </cdr:to>
    <cdr:sp macro="" textlink="">
      <cdr:nvSpPr>
        <cdr:cNvPr id="4" name="TextBox 3"/>
        <cdr:cNvSpPr txBox="1"/>
      </cdr:nvSpPr>
      <cdr:spPr>
        <a:xfrm xmlns:a="http://schemas.openxmlformats.org/drawingml/2006/main">
          <a:off x="63500" y="1666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IBUPO</a:t>
          </a:r>
        </a:p>
      </cdr:txBody>
    </cdr:sp>
  </cdr:relSizeAnchor>
  <cdr:relSizeAnchor xmlns:cdr="http://schemas.openxmlformats.org/drawingml/2006/chartDrawing">
    <cdr:from>
      <cdr:x>0.75498</cdr:x>
      <cdr:y>0.90172</cdr:y>
    </cdr:from>
    <cdr:to>
      <cdr:x>1</cdr:x>
      <cdr:y>0.91546</cdr:y>
    </cdr:to>
    <cdr:sp macro="" textlink="">
      <cdr:nvSpPr>
        <cdr:cNvPr id="5" name="TextBox 4"/>
        <cdr:cNvSpPr txBox="1"/>
      </cdr:nvSpPr>
      <cdr:spPr>
        <a:xfrm xmlns:a="http://schemas.openxmlformats.org/drawingml/2006/main">
          <a:off x="4815044" y="1666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1.12 (0.21 – 6.15)</a:t>
          </a:r>
        </a:p>
      </cdr:txBody>
    </cdr:sp>
  </cdr:relSizeAnchor>
  <cdr:relSizeAnchor xmlns:cdr="http://schemas.openxmlformats.org/drawingml/2006/chartDrawing">
    <cdr:from>
      <cdr:x>0.01021</cdr:x>
      <cdr:y>0.87629</cdr:y>
    </cdr:from>
    <cdr:to>
      <cdr:x>0.31649</cdr:x>
      <cdr:y>0.90378</cdr:y>
    </cdr:to>
    <cdr:sp macro="" textlink="">
      <cdr:nvSpPr>
        <cdr:cNvPr id="6" name="TextBox 5"/>
        <cdr:cNvSpPr txBox="1"/>
      </cdr:nvSpPr>
      <cdr:spPr>
        <a:xfrm xmlns:a="http://schemas.openxmlformats.org/drawingml/2006/main">
          <a:off x="63500" y="1619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IBUIVHIGHDOSE</a:t>
          </a:r>
        </a:p>
      </cdr:txBody>
    </cdr:sp>
  </cdr:relSizeAnchor>
  <cdr:relSizeAnchor xmlns:cdr="http://schemas.openxmlformats.org/drawingml/2006/chartDrawing">
    <cdr:from>
      <cdr:x>0.75498</cdr:x>
      <cdr:y>0.87629</cdr:y>
    </cdr:from>
    <cdr:to>
      <cdr:x>1</cdr:x>
      <cdr:y>0.89003</cdr:y>
    </cdr:to>
    <cdr:sp macro="" textlink="">
      <cdr:nvSpPr>
        <cdr:cNvPr id="7" name="TextBox 6"/>
        <cdr:cNvSpPr txBox="1"/>
      </cdr:nvSpPr>
      <cdr:spPr>
        <a:xfrm xmlns:a="http://schemas.openxmlformats.org/drawingml/2006/main">
          <a:off x="4815044" y="1619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0.83 (0.00 – 205.20)</a:t>
          </a:r>
        </a:p>
      </cdr:txBody>
    </cdr:sp>
  </cdr:relSizeAnchor>
  <cdr:relSizeAnchor xmlns:cdr="http://schemas.openxmlformats.org/drawingml/2006/chartDrawing">
    <cdr:from>
      <cdr:x>0.01021</cdr:x>
      <cdr:y>0.85086</cdr:y>
    </cdr:from>
    <cdr:to>
      <cdr:x>0.31649</cdr:x>
      <cdr:y>0.87835</cdr:y>
    </cdr:to>
    <cdr:sp macro="" textlink="">
      <cdr:nvSpPr>
        <cdr:cNvPr id="8" name="TextBox 7"/>
        <cdr:cNvSpPr txBox="1"/>
      </cdr:nvSpPr>
      <cdr:spPr>
        <a:xfrm xmlns:a="http://schemas.openxmlformats.org/drawingml/2006/main">
          <a:off x="63500" y="1572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a:t>
          </a:r>
        </a:p>
      </cdr:txBody>
    </cdr:sp>
  </cdr:relSizeAnchor>
  <cdr:relSizeAnchor xmlns:cdr="http://schemas.openxmlformats.org/drawingml/2006/chartDrawing">
    <cdr:from>
      <cdr:x>0.75498</cdr:x>
      <cdr:y>0.85086</cdr:y>
    </cdr:from>
    <cdr:to>
      <cdr:x>1</cdr:x>
      <cdr:y>0.8646</cdr:y>
    </cdr:to>
    <cdr:sp macro="" textlink="">
      <cdr:nvSpPr>
        <cdr:cNvPr id="9" name="TextBox 8"/>
        <cdr:cNvSpPr txBox="1"/>
      </cdr:nvSpPr>
      <cdr:spPr>
        <a:xfrm xmlns:a="http://schemas.openxmlformats.org/drawingml/2006/main">
          <a:off x="4815044" y="1572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0.76 (0.37 – 1.55)</a:t>
          </a:r>
        </a:p>
      </cdr:txBody>
    </cdr:sp>
  </cdr:relSizeAnchor>
  <cdr:relSizeAnchor xmlns:cdr="http://schemas.openxmlformats.org/drawingml/2006/chartDrawing">
    <cdr:from>
      <cdr:x>0.01021</cdr:x>
      <cdr:y>0.82543</cdr:y>
    </cdr:from>
    <cdr:to>
      <cdr:x>0.31649</cdr:x>
      <cdr:y>0.85292</cdr:y>
    </cdr:to>
    <cdr:sp macro="" textlink="">
      <cdr:nvSpPr>
        <cdr:cNvPr id="10" name="TextBox 9"/>
        <cdr:cNvSpPr txBox="1"/>
      </cdr:nvSpPr>
      <cdr:spPr>
        <a:xfrm xmlns:a="http://schemas.openxmlformats.org/drawingml/2006/main">
          <a:off x="63500" y="1525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0.82543</cdr:y>
    </cdr:from>
    <cdr:to>
      <cdr:x>1</cdr:x>
      <cdr:y>0.83918</cdr:y>
    </cdr:to>
    <cdr:sp macro="" textlink="">
      <cdr:nvSpPr>
        <cdr:cNvPr id="11" name="TextBox 10"/>
        <cdr:cNvSpPr txBox="1"/>
      </cdr:nvSpPr>
      <cdr:spPr>
        <a:xfrm xmlns:a="http://schemas.openxmlformats.org/drawingml/2006/main">
          <a:off x="4815044" y="1525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(0.15 – 2.99)</a:t>
          </a:r>
        </a:p>
      </cdr:txBody>
    </cdr:sp>
  </cdr:relSizeAnchor>
  <cdr:relSizeAnchor xmlns:cdr="http://schemas.openxmlformats.org/drawingml/2006/chartDrawing">
    <cdr:from>
      <cdr:x>0.01021</cdr:x>
      <cdr:y>0.8</cdr:y>
    </cdr:from>
    <cdr:to>
      <cdr:x>0.31649</cdr:x>
      <cdr:y>0.82749</cdr:y>
    </cdr:to>
    <cdr:sp macro="" textlink="">
      <cdr:nvSpPr>
        <cdr:cNvPr id="12" name="TextBox 11"/>
        <cdr:cNvSpPr txBox="1"/>
      </cdr:nvSpPr>
      <cdr:spPr>
        <a:xfrm xmlns:a="http://schemas.openxmlformats.org/drawingml/2006/main">
          <a:off x="63500" y="1478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IBUIVHIGHDOSE</a:t>
          </a:r>
        </a:p>
      </cdr:txBody>
    </cdr:sp>
  </cdr:relSizeAnchor>
  <cdr:relSizeAnchor xmlns:cdr="http://schemas.openxmlformats.org/drawingml/2006/chartDrawing">
    <cdr:from>
      <cdr:x>0.75498</cdr:x>
      <cdr:y>0.8</cdr:y>
    </cdr:from>
    <cdr:to>
      <cdr:x>1</cdr:x>
      <cdr:y>0.81375</cdr:y>
    </cdr:to>
    <cdr:sp macro="" textlink="">
      <cdr:nvSpPr>
        <cdr:cNvPr id="13" name="TextBox 12"/>
        <cdr:cNvSpPr txBox="1"/>
      </cdr:nvSpPr>
      <cdr:spPr>
        <a:xfrm xmlns:a="http://schemas.openxmlformats.org/drawingml/2006/main">
          <a:off x="4815044" y="1478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0.61 (0.08 – 4.23)</a:t>
          </a:r>
        </a:p>
      </cdr:txBody>
    </cdr:sp>
  </cdr:relSizeAnchor>
  <cdr:relSizeAnchor xmlns:cdr="http://schemas.openxmlformats.org/drawingml/2006/chartDrawing">
    <cdr:from>
      <cdr:x>0.01021</cdr:x>
      <cdr:y>0.77457</cdr:y>
    </cdr:from>
    <cdr:to>
      <cdr:x>0.31649</cdr:x>
      <cdr:y>0.80206</cdr:y>
    </cdr:to>
    <cdr:sp macro="" textlink="">
      <cdr:nvSpPr>
        <cdr:cNvPr id="14" name="TextBox 13"/>
        <cdr:cNvSpPr txBox="1"/>
      </cdr:nvSpPr>
      <cdr:spPr>
        <a:xfrm xmlns:a="http://schemas.openxmlformats.org/drawingml/2006/main">
          <a:off x="63500" y="1431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INDOIVCONT</a:t>
          </a:r>
        </a:p>
      </cdr:txBody>
    </cdr:sp>
  </cdr:relSizeAnchor>
  <cdr:relSizeAnchor xmlns:cdr="http://schemas.openxmlformats.org/drawingml/2006/chartDrawing">
    <cdr:from>
      <cdr:x>0.75498</cdr:x>
      <cdr:y>0.77457</cdr:y>
    </cdr:from>
    <cdr:to>
      <cdr:x>1</cdr:x>
      <cdr:y>0.78832</cdr:y>
    </cdr:to>
    <cdr:sp macro="" textlink="">
      <cdr:nvSpPr>
        <cdr:cNvPr id="15" name="TextBox 14"/>
        <cdr:cNvSpPr txBox="1"/>
      </cdr:nvSpPr>
      <cdr:spPr>
        <a:xfrm xmlns:a="http://schemas.openxmlformats.org/drawingml/2006/main">
          <a:off x="4815044" y="1431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0.59 (0.00 – 248.40)</a:t>
          </a:r>
        </a:p>
      </cdr:txBody>
    </cdr:sp>
  </cdr:relSizeAnchor>
  <cdr:relSizeAnchor xmlns:cdr="http://schemas.openxmlformats.org/drawingml/2006/chartDrawing">
    <cdr:from>
      <cdr:x>0.01021</cdr:x>
      <cdr:y>0.74914</cdr:y>
    </cdr:from>
    <cdr:to>
      <cdr:x>0.31649</cdr:x>
      <cdr:y>0.77663</cdr:y>
    </cdr:to>
    <cdr:sp macro="" textlink="">
      <cdr:nvSpPr>
        <cdr:cNvPr id="16" name="TextBox 15"/>
        <cdr:cNvSpPr txBox="1"/>
      </cdr:nvSpPr>
      <cdr:spPr>
        <a:xfrm xmlns:a="http://schemas.openxmlformats.org/drawingml/2006/main">
          <a:off x="63500" y="1384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a:t>
          </a:r>
        </a:p>
      </cdr:txBody>
    </cdr:sp>
  </cdr:relSizeAnchor>
  <cdr:relSizeAnchor xmlns:cdr="http://schemas.openxmlformats.org/drawingml/2006/chartDrawing">
    <cdr:from>
      <cdr:x>0.75498</cdr:x>
      <cdr:y>0.74914</cdr:y>
    </cdr:from>
    <cdr:to>
      <cdr:x>1</cdr:x>
      <cdr:y>0.76289</cdr:y>
    </cdr:to>
    <cdr:sp macro="" textlink="">
      <cdr:nvSpPr>
        <cdr:cNvPr id="17" name="TextBox 16"/>
        <cdr:cNvSpPr txBox="1"/>
      </cdr:nvSpPr>
      <cdr:spPr>
        <a:xfrm xmlns:a="http://schemas.openxmlformats.org/drawingml/2006/main">
          <a:off x="4815044" y="1384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0.55 (0.22 – 1.27)</a:t>
          </a:r>
        </a:p>
      </cdr:txBody>
    </cdr:sp>
  </cdr:relSizeAnchor>
  <cdr:relSizeAnchor xmlns:cdr="http://schemas.openxmlformats.org/drawingml/2006/chartDrawing">
    <cdr:from>
      <cdr:x>0.01021</cdr:x>
      <cdr:y>0.72371</cdr:y>
    </cdr:from>
    <cdr:to>
      <cdr:x>0.31649</cdr:x>
      <cdr:y>0.7512</cdr:y>
    </cdr:to>
    <cdr:sp macro="" textlink="">
      <cdr:nvSpPr>
        <cdr:cNvPr id="18" name="TextBox 17"/>
        <cdr:cNvSpPr txBox="1"/>
      </cdr:nvSpPr>
      <cdr:spPr>
        <a:xfrm xmlns:a="http://schemas.openxmlformats.org/drawingml/2006/main">
          <a:off x="63500" y="1337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0.72371</cdr:y>
    </cdr:from>
    <cdr:to>
      <cdr:x>1</cdr:x>
      <cdr:y>0.73746</cdr:y>
    </cdr:to>
    <cdr:sp macro="" textlink="">
      <cdr:nvSpPr>
        <cdr:cNvPr id="19" name="TextBox 18"/>
        <cdr:cNvSpPr txBox="1"/>
      </cdr:nvSpPr>
      <cdr:spPr>
        <a:xfrm xmlns:a="http://schemas.openxmlformats.org/drawingml/2006/main">
          <a:off x="4815044" y="1337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(0.00 – 166.25)</a:t>
          </a:r>
        </a:p>
      </cdr:txBody>
    </cdr:sp>
  </cdr:relSizeAnchor>
  <cdr:relSizeAnchor xmlns:cdr="http://schemas.openxmlformats.org/drawingml/2006/chartDrawing">
    <cdr:from>
      <cdr:x>0.01021</cdr:x>
      <cdr:y>0.69828</cdr:y>
    </cdr:from>
    <cdr:to>
      <cdr:x>0.31649</cdr:x>
      <cdr:y>0.72577</cdr:y>
    </cdr:to>
    <cdr:sp macro="" textlink="">
      <cdr:nvSpPr>
        <cdr:cNvPr id="20" name="TextBox 19"/>
        <cdr:cNvSpPr txBox="1"/>
      </cdr:nvSpPr>
      <cdr:spPr>
        <a:xfrm xmlns:a="http://schemas.openxmlformats.org/drawingml/2006/main">
          <a:off x="63500" y="1290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0.69828</cdr:y>
    </cdr:from>
    <cdr:to>
      <cdr:x>1</cdr:x>
      <cdr:y>0.71203</cdr:y>
    </cdr:to>
    <cdr:sp macro="" textlink="">
      <cdr:nvSpPr>
        <cdr:cNvPr id="21" name="TextBox 20"/>
        <cdr:cNvSpPr txBox="1"/>
      </cdr:nvSpPr>
      <cdr:spPr>
        <a:xfrm xmlns:a="http://schemas.openxmlformats.org/drawingml/2006/main">
          <a:off x="4815044" y="1290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0.48 (0.08 – 2.93)</a:t>
          </a:r>
        </a:p>
      </cdr:txBody>
    </cdr:sp>
  </cdr:relSizeAnchor>
  <cdr:relSizeAnchor xmlns:cdr="http://schemas.openxmlformats.org/drawingml/2006/chartDrawing">
    <cdr:from>
      <cdr:x>0.01021</cdr:x>
      <cdr:y>0.67285</cdr:y>
    </cdr:from>
    <cdr:to>
      <cdr:x>0.31649</cdr:x>
      <cdr:y>0.70034</cdr:y>
    </cdr:to>
    <cdr:sp macro="" textlink="">
      <cdr:nvSpPr>
        <cdr:cNvPr id="22" name="TextBox 21"/>
        <cdr:cNvSpPr txBox="1"/>
      </cdr:nvSpPr>
      <cdr:spPr>
        <a:xfrm xmlns:a="http://schemas.openxmlformats.org/drawingml/2006/main">
          <a:off x="63500" y="12433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a:t>
          </a:r>
        </a:p>
      </cdr:txBody>
    </cdr:sp>
  </cdr:relSizeAnchor>
  <cdr:relSizeAnchor xmlns:cdr="http://schemas.openxmlformats.org/drawingml/2006/chartDrawing">
    <cdr:from>
      <cdr:x>0.75498</cdr:x>
      <cdr:y>0.67285</cdr:y>
    </cdr:from>
    <cdr:to>
      <cdr:x>1</cdr:x>
      <cdr:y>0.6866</cdr:y>
    </cdr:to>
    <cdr:sp macro="" textlink="">
      <cdr:nvSpPr>
        <cdr:cNvPr id="23" name="TextBox 22"/>
        <cdr:cNvSpPr txBox="1"/>
      </cdr:nvSpPr>
      <cdr:spPr>
        <a:xfrm xmlns:a="http://schemas.openxmlformats.org/drawingml/2006/main">
          <a:off x="4815044" y="12433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0.47 (0.06 – 3.88)</a:t>
          </a:r>
        </a:p>
      </cdr:txBody>
    </cdr:sp>
  </cdr:relSizeAnchor>
  <cdr:relSizeAnchor xmlns:cdr="http://schemas.openxmlformats.org/drawingml/2006/chartDrawing">
    <cdr:from>
      <cdr:x>0.01021</cdr:x>
      <cdr:y>0.64742</cdr:y>
    </cdr:from>
    <cdr:to>
      <cdr:x>0.31649</cdr:x>
      <cdr:y>0.67491</cdr:y>
    </cdr:to>
    <cdr:sp macro="" textlink="">
      <cdr:nvSpPr>
        <cdr:cNvPr id="24" name="TextBox 23"/>
        <cdr:cNvSpPr txBox="1"/>
      </cdr:nvSpPr>
      <cdr:spPr>
        <a:xfrm xmlns:a="http://schemas.openxmlformats.org/drawingml/2006/main">
          <a:off x="63500" y="11963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IBUIVHIGHDOSE</a:t>
          </a:r>
        </a:p>
      </cdr:txBody>
    </cdr:sp>
  </cdr:relSizeAnchor>
  <cdr:relSizeAnchor xmlns:cdr="http://schemas.openxmlformats.org/drawingml/2006/chartDrawing">
    <cdr:from>
      <cdr:x>0.75498</cdr:x>
      <cdr:y>0.64742</cdr:y>
    </cdr:from>
    <cdr:to>
      <cdr:x>1</cdr:x>
      <cdr:y>0.66117</cdr:y>
    </cdr:to>
    <cdr:sp macro="" textlink="">
      <cdr:nvSpPr>
        <cdr:cNvPr id="25" name="TextBox 24"/>
        <cdr:cNvSpPr txBox="1"/>
      </cdr:nvSpPr>
      <cdr:spPr>
        <a:xfrm xmlns:a="http://schemas.openxmlformats.org/drawingml/2006/main">
          <a:off x="4815044" y="11963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(0.06 – 3.44)</a:t>
          </a:r>
        </a:p>
      </cdr:txBody>
    </cdr:sp>
  </cdr:relSizeAnchor>
  <cdr:relSizeAnchor xmlns:cdr="http://schemas.openxmlformats.org/drawingml/2006/chartDrawing">
    <cdr:from>
      <cdr:x>0.01021</cdr:x>
      <cdr:y>0.62199</cdr:y>
    </cdr:from>
    <cdr:to>
      <cdr:x>0.31649</cdr:x>
      <cdr:y>0.64948</cdr:y>
    </cdr:to>
    <cdr:sp macro="" textlink="">
      <cdr:nvSpPr>
        <cdr:cNvPr id="26" name="TextBox 25"/>
        <cdr:cNvSpPr txBox="1"/>
      </cdr:nvSpPr>
      <cdr:spPr>
        <a:xfrm xmlns:a="http://schemas.openxmlformats.org/drawingml/2006/main">
          <a:off x="63500" y="11493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IBUIVHIGHDOSE</a:t>
          </a:r>
        </a:p>
      </cdr:txBody>
    </cdr:sp>
  </cdr:relSizeAnchor>
  <cdr:relSizeAnchor xmlns:cdr="http://schemas.openxmlformats.org/drawingml/2006/chartDrawing">
    <cdr:from>
      <cdr:x>0.75498</cdr:x>
      <cdr:y>0.62199</cdr:y>
    </cdr:from>
    <cdr:to>
      <cdr:x>1</cdr:x>
      <cdr:y>0.63574</cdr:y>
    </cdr:to>
    <cdr:sp macro="" textlink="">
      <cdr:nvSpPr>
        <cdr:cNvPr id="27" name="TextBox 26"/>
        <cdr:cNvSpPr txBox="1"/>
      </cdr:nvSpPr>
      <cdr:spPr>
        <a:xfrm xmlns:a="http://schemas.openxmlformats.org/drawingml/2006/main">
          <a:off x="4815044" y="11493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0.41 (0.03 – 5.15)</a:t>
          </a:r>
        </a:p>
      </cdr:txBody>
    </cdr:sp>
  </cdr:relSizeAnchor>
  <cdr:relSizeAnchor xmlns:cdr="http://schemas.openxmlformats.org/drawingml/2006/chartDrawing">
    <cdr:from>
      <cdr:x>0.01021</cdr:x>
      <cdr:y>0.59656</cdr:y>
    </cdr:from>
    <cdr:to>
      <cdr:x>0.31649</cdr:x>
      <cdr:y>0.62405</cdr:y>
    </cdr:to>
    <cdr:sp macro="" textlink="">
      <cdr:nvSpPr>
        <cdr:cNvPr id="28" name="TextBox 27"/>
        <cdr:cNvSpPr txBox="1"/>
      </cdr:nvSpPr>
      <cdr:spPr>
        <a:xfrm xmlns:a="http://schemas.openxmlformats.org/drawingml/2006/main">
          <a:off x="63500" y="11023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INDOIV</a:t>
          </a:r>
        </a:p>
      </cdr:txBody>
    </cdr:sp>
  </cdr:relSizeAnchor>
  <cdr:relSizeAnchor xmlns:cdr="http://schemas.openxmlformats.org/drawingml/2006/chartDrawing">
    <cdr:from>
      <cdr:x>0.75498</cdr:x>
      <cdr:y>0.59656</cdr:y>
    </cdr:from>
    <cdr:to>
      <cdr:x>1</cdr:x>
      <cdr:y>0.61031</cdr:y>
    </cdr:to>
    <cdr:sp macro="" textlink="">
      <cdr:nvSpPr>
        <cdr:cNvPr id="29" name="TextBox 28"/>
        <cdr:cNvSpPr txBox="1"/>
      </cdr:nvSpPr>
      <cdr:spPr>
        <a:xfrm xmlns:a="http://schemas.openxmlformats.org/drawingml/2006/main">
          <a:off x="4815044" y="11023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0.37 (0.00 – 67.96)</a:t>
          </a:r>
        </a:p>
      </cdr:txBody>
    </cdr:sp>
  </cdr:relSizeAnchor>
  <cdr:relSizeAnchor xmlns:cdr="http://schemas.openxmlformats.org/drawingml/2006/chartDrawing">
    <cdr:from>
      <cdr:x>0.01021</cdr:x>
      <cdr:y>0.57113</cdr:y>
    </cdr:from>
    <cdr:to>
      <cdr:x>0.31649</cdr:x>
      <cdr:y>0.59863</cdr:y>
    </cdr:to>
    <cdr:sp macro="" textlink="">
      <cdr:nvSpPr>
        <cdr:cNvPr id="30" name="TextBox 29"/>
        <cdr:cNvSpPr txBox="1"/>
      </cdr:nvSpPr>
      <cdr:spPr>
        <a:xfrm xmlns:a="http://schemas.openxmlformats.org/drawingml/2006/main">
          <a:off x="63500" y="10553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0.57113</cdr:y>
    </cdr:from>
    <cdr:to>
      <cdr:x>1</cdr:x>
      <cdr:y>0.58488</cdr:y>
    </cdr:to>
    <cdr:sp macro="" textlink="">
      <cdr:nvSpPr>
        <cdr:cNvPr id="31" name="TextBox 30"/>
        <cdr:cNvSpPr txBox="1"/>
      </cdr:nvSpPr>
      <cdr:spPr>
        <a:xfrm xmlns:a="http://schemas.openxmlformats.org/drawingml/2006/main">
          <a:off x="4815044" y="10553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0.35 (0.07 – 1.98)</a:t>
          </a:r>
        </a:p>
      </cdr:txBody>
    </cdr:sp>
  </cdr:relSizeAnchor>
  <cdr:relSizeAnchor xmlns:cdr="http://schemas.openxmlformats.org/drawingml/2006/chartDrawing">
    <cdr:from>
      <cdr:x>0.01021</cdr:x>
      <cdr:y>0.5457</cdr:y>
    </cdr:from>
    <cdr:to>
      <cdr:x>0.31649</cdr:x>
      <cdr:y>0.5732</cdr:y>
    </cdr:to>
    <cdr:sp macro="" textlink="">
      <cdr:nvSpPr>
        <cdr:cNvPr id="192" name="TextBox 191"/>
        <cdr:cNvSpPr txBox="1"/>
      </cdr:nvSpPr>
      <cdr:spPr>
        <a:xfrm xmlns:a="http://schemas.openxmlformats.org/drawingml/2006/main">
          <a:off x="63500" y="10083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a:t>
          </a:r>
        </a:p>
      </cdr:txBody>
    </cdr:sp>
  </cdr:relSizeAnchor>
  <cdr:relSizeAnchor xmlns:cdr="http://schemas.openxmlformats.org/drawingml/2006/chartDrawing">
    <cdr:from>
      <cdr:x>0.75498</cdr:x>
      <cdr:y>0.5457</cdr:y>
    </cdr:from>
    <cdr:to>
      <cdr:x>1</cdr:x>
      <cdr:y>0.55945</cdr:y>
    </cdr:to>
    <cdr:sp macro="" textlink="">
      <cdr:nvSpPr>
        <cdr:cNvPr id="193" name="TextBox 192"/>
        <cdr:cNvSpPr txBox="1"/>
      </cdr:nvSpPr>
      <cdr:spPr>
        <a:xfrm xmlns:a="http://schemas.openxmlformats.org/drawingml/2006/main">
          <a:off x="4815044" y="10083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0.29 (0.18 – 0.46)</a:t>
          </a:r>
        </a:p>
      </cdr:txBody>
    </cdr:sp>
  </cdr:relSizeAnchor>
  <cdr:relSizeAnchor xmlns:cdr="http://schemas.openxmlformats.org/drawingml/2006/chartDrawing">
    <cdr:from>
      <cdr:x>0.01021</cdr:x>
      <cdr:y>0.52096</cdr:y>
    </cdr:from>
    <cdr:to>
      <cdr:x>0.31649</cdr:x>
      <cdr:y>0.54845</cdr:y>
    </cdr:to>
    <cdr:sp macro="" textlink="">
      <cdr:nvSpPr>
        <cdr:cNvPr id="194" name="TextBox 193"/>
        <cdr:cNvSpPr txBox="1"/>
      </cdr:nvSpPr>
      <cdr:spPr>
        <a:xfrm xmlns:a="http://schemas.openxmlformats.org/drawingml/2006/main">
          <a:off x="63500" y="9626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INDOIVCONT</a:t>
          </a:r>
        </a:p>
      </cdr:txBody>
    </cdr:sp>
  </cdr:relSizeAnchor>
  <cdr:relSizeAnchor xmlns:cdr="http://schemas.openxmlformats.org/drawingml/2006/chartDrawing">
    <cdr:from>
      <cdr:x>0.75498</cdr:x>
      <cdr:y>0.52096</cdr:y>
    </cdr:from>
    <cdr:to>
      <cdr:x>1</cdr:x>
      <cdr:y>0.53471</cdr:y>
    </cdr:to>
    <cdr:sp macro="" textlink="">
      <cdr:nvSpPr>
        <cdr:cNvPr id="195" name="TextBox 194"/>
        <cdr:cNvSpPr txBox="1"/>
      </cdr:nvSpPr>
      <cdr:spPr>
        <a:xfrm xmlns:a="http://schemas.openxmlformats.org/drawingml/2006/main">
          <a:off x="4815044" y="9626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0.29 (0.00 – 91.66)</a:t>
          </a:r>
        </a:p>
      </cdr:txBody>
    </cdr:sp>
  </cdr:relSizeAnchor>
  <cdr:relSizeAnchor xmlns:cdr="http://schemas.openxmlformats.org/drawingml/2006/chartDrawing">
    <cdr:from>
      <cdr:x>0.01021</cdr:x>
      <cdr:y>0.49553</cdr:y>
    </cdr:from>
    <cdr:to>
      <cdr:x>0.31649</cdr:x>
      <cdr:y>0.52302</cdr:y>
    </cdr:to>
    <cdr:sp macro="" textlink="">
      <cdr:nvSpPr>
        <cdr:cNvPr id="196" name="TextBox 195"/>
        <cdr:cNvSpPr txBox="1"/>
      </cdr:nvSpPr>
      <cdr:spPr>
        <a:xfrm xmlns:a="http://schemas.openxmlformats.org/drawingml/2006/main">
          <a:off x="63500" y="9156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a:t>
          </a:r>
        </a:p>
      </cdr:txBody>
    </cdr:sp>
  </cdr:relSizeAnchor>
  <cdr:relSizeAnchor xmlns:cdr="http://schemas.openxmlformats.org/drawingml/2006/chartDrawing">
    <cdr:from>
      <cdr:x>0.75498</cdr:x>
      <cdr:y>0.49553</cdr:y>
    </cdr:from>
    <cdr:to>
      <cdr:x>1</cdr:x>
      <cdr:y>0.50928</cdr:y>
    </cdr:to>
    <cdr:sp macro="" textlink="">
      <cdr:nvSpPr>
        <cdr:cNvPr id="197" name="TextBox 196"/>
        <cdr:cNvSpPr txBox="1"/>
      </cdr:nvSpPr>
      <cdr:spPr>
        <a:xfrm xmlns:a="http://schemas.openxmlformats.org/drawingml/2006/main">
          <a:off x="4815044" y="9156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0.22 (0.12 – 0.38)</a:t>
          </a:r>
        </a:p>
      </cdr:txBody>
    </cdr:sp>
  </cdr:relSizeAnchor>
  <cdr:relSizeAnchor xmlns:cdr="http://schemas.openxmlformats.org/drawingml/2006/chartDrawing">
    <cdr:from>
      <cdr:x>0.01021</cdr:x>
      <cdr:y>0.4701</cdr:y>
    </cdr:from>
    <cdr:to>
      <cdr:x>0.31649</cdr:x>
      <cdr:y>0.49759</cdr:y>
    </cdr:to>
    <cdr:sp macro="" textlink="">
      <cdr:nvSpPr>
        <cdr:cNvPr id="198" name="TextBox 197"/>
        <cdr:cNvSpPr txBox="1"/>
      </cdr:nvSpPr>
      <cdr:spPr>
        <a:xfrm xmlns:a="http://schemas.openxmlformats.org/drawingml/2006/main">
          <a:off x="63500" y="8686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IBUIVHIGHDOSE</a:t>
          </a:r>
        </a:p>
      </cdr:txBody>
    </cdr:sp>
  </cdr:relSizeAnchor>
  <cdr:relSizeAnchor xmlns:cdr="http://schemas.openxmlformats.org/drawingml/2006/chartDrawing">
    <cdr:from>
      <cdr:x>0.75498</cdr:x>
      <cdr:y>0.4701</cdr:y>
    </cdr:from>
    <cdr:to>
      <cdr:x>1</cdr:x>
      <cdr:y>0.48385</cdr:y>
    </cdr:to>
    <cdr:sp macro="" textlink="">
      <cdr:nvSpPr>
        <cdr:cNvPr id="199" name="TextBox 198"/>
        <cdr:cNvSpPr txBox="1"/>
      </cdr:nvSpPr>
      <cdr:spPr>
        <a:xfrm xmlns:a="http://schemas.openxmlformats.org/drawingml/2006/main">
          <a:off x="4815044" y="8686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0.21 (0.01 – 3.29)</a:t>
          </a:r>
        </a:p>
      </cdr:txBody>
    </cdr:sp>
  </cdr:relSizeAnchor>
  <cdr:relSizeAnchor xmlns:cdr="http://schemas.openxmlformats.org/drawingml/2006/chartDrawing">
    <cdr:from>
      <cdr:x>0.01021</cdr:x>
      <cdr:y>0.44467</cdr:y>
    </cdr:from>
    <cdr:to>
      <cdr:x>0.31649</cdr:x>
      <cdr:y>0.47216</cdr:y>
    </cdr:to>
    <cdr:sp macro="" textlink="">
      <cdr:nvSpPr>
        <cdr:cNvPr id="200" name="TextBox 199"/>
        <cdr:cNvSpPr txBox="1"/>
      </cdr:nvSpPr>
      <cdr:spPr>
        <a:xfrm xmlns:a="http://schemas.openxmlformats.org/drawingml/2006/main">
          <a:off x="63500" y="8216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0.44467</cdr:y>
    </cdr:from>
    <cdr:to>
      <cdr:x>1</cdr:x>
      <cdr:y>0.45842</cdr:y>
    </cdr:to>
    <cdr:sp macro="" textlink="">
      <cdr:nvSpPr>
        <cdr:cNvPr id="201" name="TextBox 200"/>
        <cdr:cNvSpPr txBox="1"/>
      </cdr:nvSpPr>
      <cdr:spPr>
        <a:xfrm xmlns:a="http://schemas.openxmlformats.org/drawingml/2006/main">
          <a:off x="4815044" y="8216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0.20 (0.04 – 0.92)</a:t>
          </a:r>
        </a:p>
      </cdr:txBody>
    </cdr:sp>
  </cdr:relSizeAnchor>
  <cdr:relSizeAnchor xmlns:cdr="http://schemas.openxmlformats.org/drawingml/2006/chartDrawing">
    <cdr:from>
      <cdr:x>0.01021</cdr:x>
      <cdr:y>0.41924</cdr:y>
    </cdr:from>
    <cdr:to>
      <cdr:x>0.31649</cdr:x>
      <cdr:y>0.44674</cdr:y>
    </cdr:to>
    <cdr:sp macro="" textlink="">
      <cdr:nvSpPr>
        <cdr:cNvPr id="202" name="TextBox 201"/>
        <cdr:cNvSpPr txBox="1"/>
      </cdr:nvSpPr>
      <cdr:spPr>
        <a:xfrm xmlns:a="http://schemas.openxmlformats.org/drawingml/2006/main">
          <a:off x="63500" y="7747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PARAPO</a:t>
          </a:r>
        </a:p>
      </cdr:txBody>
    </cdr:sp>
  </cdr:relSizeAnchor>
  <cdr:relSizeAnchor xmlns:cdr="http://schemas.openxmlformats.org/drawingml/2006/chartDrawing">
    <cdr:from>
      <cdr:x>0.75498</cdr:x>
      <cdr:y>0.41924</cdr:y>
    </cdr:from>
    <cdr:to>
      <cdr:x>1</cdr:x>
      <cdr:y>0.43299</cdr:y>
    </cdr:to>
    <cdr:sp macro="" textlink="">
      <cdr:nvSpPr>
        <cdr:cNvPr id="203" name="TextBox 202"/>
        <cdr:cNvSpPr txBox="1"/>
      </cdr:nvSpPr>
      <cdr:spPr>
        <a:xfrm xmlns:a="http://schemas.openxmlformats.org/drawingml/2006/main">
          <a:off x="4815044" y="7747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0.18 (0.00 – 9.97)</a:t>
          </a:r>
        </a:p>
      </cdr:txBody>
    </cdr:sp>
  </cdr:relSizeAnchor>
  <cdr:relSizeAnchor xmlns:cdr="http://schemas.openxmlformats.org/drawingml/2006/chartDrawing">
    <cdr:from>
      <cdr:x>0.01021</cdr:x>
      <cdr:y>0.39381</cdr:y>
    </cdr:from>
    <cdr:to>
      <cdr:x>0.31649</cdr:x>
      <cdr:y>0.42131</cdr:y>
    </cdr:to>
    <cdr:sp macro="" textlink="">
      <cdr:nvSpPr>
        <cdr:cNvPr id="204" name="TextBox 203"/>
        <cdr:cNvSpPr txBox="1"/>
      </cdr:nvSpPr>
      <cdr:spPr>
        <a:xfrm xmlns:a="http://schemas.openxmlformats.org/drawingml/2006/main">
          <a:off x="63500" y="7277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0.39381</cdr:y>
    </cdr:from>
    <cdr:to>
      <cdr:x>1</cdr:x>
      <cdr:y>0.40756</cdr:y>
    </cdr:to>
    <cdr:sp macro="" textlink="">
      <cdr:nvSpPr>
        <cdr:cNvPr id="205" name="TextBox 204"/>
        <cdr:cNvSpPr txBox="1"/>
      </cdr:nvSpPr>
      <cdr:spPr>
        <a:xfrm xmlns:a="http://schemas.openxmlformats.org/drawingml/2006/main">
          <a:off x="4815044" y="7277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0.10 (0.02 – 0.58)</a:t>
          </a:r>
        </a:p>
      </cdr:txBody>
    </cdr:sp>
  </cdr:relSizeAnchor>
  <cdr:relSizeAnchor xmlns:cdr="http://schemas.openxmlformats.org/drawingml/2006/chartDrawing">
    <cdr:from>
      <cdr:x>0.01021</cdr:x>
      <cdr:y>0.36838</cdr:y>
    </cdr:from>
    <cdr:to>
      <cdr:x>0.31649</cdr:x>
      <cdr:y>0.39588</cdr:y>
    </cdr:to>
    <cdr:sp macro="" textlink="">
      <cdr:nvSpPr>
        <cdr:cNvPr id="206" name="TextBox 205"/>
        <cdr:cNvSpPr txBox="1"/>
      </cdr:nvSpPr>
      <cdr:spPr>
        <a:xfrm xmlns:a="http://schemas.openxmlformats.org/drawingml/2006/main">
          <a:off x="63500" y="6807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a:t>
          </a:r>
        </a:p>
      </cdr:txBody>
    </cdr:sp>
  </cdr:relSizeAnchor>
  <cdr:relSizeAnchor xmlns:cdr="http://schemas.openxmlformats.org/drawingml/2006/chartDrawing">
    <cdr:from>
      <cdr:x>0.75498</cdr:x>
      <cdr:y>0.36838</cdr:y>
    </cdr:from>
    <cdr:to>
      <cdr:x>1</cdr:x>
      <cdr:y>0.38213</cdr:y>
    </cdr:to>
    <cdr:sp macro="" textlink="">
      <cdr:nvSpPr>
        <cdr:cNvPr id="207" name="TextBox 206"/>
        <cdr:cNvSpPr txBox="1"/>
      </cdr:nvSpPr>
      <cdr:spPr>
        <a:xfrm xmlns:a="http://schemas.openxmlformats.org/drawingml/2006/main">
          <a:off x="4815044" y="6807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0.10 (0.00 – 5.12)</a:t>
          </a:r>
        </a:p>
      </cdr:txBody>
    </cdr:sp>
  </cdr:relSizeAnchor>
  <cdr:relSizeAnchor xmlns:cdr="http://schemas.openxmlformats.org/drawingml/2006/chartDrawing">
    <cdr:from>
      <cdr:x>0.01021</cdr:x>
      <cdr:y>0.34296</cdr:y>
    </cdr:from>
    <cdr:to>
      <cdr:x>0.31649</cdr:x>
      <cdr:y>0.37045</cdr:y>
    </cdr:to>
    <cdr:sp macro="" textlink="">
      <cdr:nvSpPr>
        <cdr:cNvPr id="208" name="TextBox 207"/>
        <cdr:cNvSpPr txBox="1"/>
      </cdr:nvSpPr>
      <cdr:spPr>
        <a:xfrm xmlns:a="http://schemas.openxmlformats.org/drawingml/2006/main">
          <a:off x="63500" y="6337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0.34296</cdr:y>
    </cdr:from>
    <cdr:to>
      <cdr:x>1</cdr:x>
      <cdr:y>0.3567</cdr:y>
    </cdr:to>
    <cdr:sp macro="" textlink="">
      <cdr:nvSpPr>
        <cdr:cNvPr id="209" name="TextBox 208"/>
        <cdr:cNvSpPr txBox="1"/>
      </cdr:nvSpPr>
      <cdr:spPr>
        <a:xfrm xmlns:a="http://schemas.openxmlformats.org/drawingml/2006/main">
          <a:off x="4815044" y="6337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0.09 (0.00 – 2.50)</a:t>
          </a:r>
        </a:p>
      </cdr:txBody>
    </cdr:sp>
  </cdr:relSizeAnchor>
  <cdr:relSizeAnchor xmlns:cdr="http://schemas.openxmlformats.org/drawingml/2006/chartDrawing">
    <cdr:from>
      <cdr:x>0.01021</cdr:x>
      <cdr:y>0.31753</cdr:y>
    </cdr:from>
    <cdr:to>
      <cdr:x>0.31649</cdr:x>
      <cdr:y>0.34502</cdr:y>
    </cdr:to>
    <cdr:sp macro="" textlink="">
      <cdr:nvSpPr>
        <cdr:cNvPr id="210" name="TextBox 209"/>
        <cdr:cNvSpPr txBox="1"/>
      </cdr:nvSpPr>
      <cdr:spPr>
        <a:xfrm xmlns:a="http://schemas.openxmlformats.org/drawingml/2006/main">
          <a:off x="63500" y="5867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a:t>
          </a:r>
        </a:p>
      </cdr:txBody>
    </cdr:sp>
  </cdr:relSizeAnchor>
  <cdr:relSizeAnchor xmlns:cdr="http://schemas.openxmlformats.org/drawingml/2006/chartDrawing">
    <cdr:from>
      <cdr:x>0.75498</cdr:x>
      <cdr:y>0.31753</cdr:y>
    </cdr:from>
    <cdr:to>
      <cdr:x>1</cdr:x>
      <cdr:y>0.33127</cdr:y>
    </cdr:to>
    <cdr:sp macro="" textlink="">
      <cdr:nvSpPr>
        <cdr:cNvPr id="213" name="TextBox 212"/>
        <cdr:cNvSpPr txBox="1"/>
      </cdr:nvSpPr>
      <cdr:spPr>
        <a:xfrm xmlns:a="http://schemas.openxmlformats.org/drawingml/2006/main">
          <a:off x="4815044" y="5867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0.07 (0.00 – 1.84)</a:t>
          </a:r>
        </a:p>
      </cdr:txBody>
    </cdr:sp>
  </cdr:relSizeAnchor>
  <cdr:relSizeAnchor xmlns:cdr="http://schemas.openxmlformats.org/drawingml/2006/chartDrawing">
    <cdr:from>
      <cdr:x>0.01021</cdr:x>
      <cdr:y>0.2921</cdr:y>
    </cdr:from>
    <cdr:to>
      <cdr:x>0.31649</cdr:x>
      <cdr:y>0.31959</cdr:y>
    </cdr:to>
    <cdr:sp macro="" textlink="">
      <cdr:nvSpPr>
        <cdr:cNvPr id="214" name="TextBox 213"/>
        <cdr:cNvSpPr txBox="1"/>
      </cdr:nvSpPr>
      <cdr:spPr>
        <a:xfrm xmlns:a="http://schemas.openxmlformats.org/drawingml/2006/main">
          <a:off x="63500" y="5397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INDOIVCONT</a:t>
          </a:r>
        </a:p>
      </cdr:txBody>
    </cdr:sp>
  </cdr:relSizeAnchor>
  <cdr:relSizeAnchor xmlns:cdr="http://schemas.openxmlformats.org/drawingml/2006/chartDrawing">
    <cdr:from>
      <cdr:x>0.75498</cdr:x>
      <cdr:y>0.2921</cdr:y>
    </cdr:from>
    <cdr:to>
      <cdr:x>1</cdr:x>
      <cdr:y>0.30584</cdr:y>
    </cdr:to>
    <cdr:sp macro="" textlink="">
      <cdr:nvSpPr>
        <cdr:cNvPr id="215" name="TextBox 214"/>
        <cdr:cNvSpPr txBox="1"/>
      </cdr:nvSpPr>
      <cdr:spPr>
        <a:xfrm xmlns:a="http://schemas.openxmlformats.org/drawingml/2006/main">
          <a:off x="4815044" y="5397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0.06 (0.00 – 47.46)</a:t>
          </a:r>
        </a:p>
      </cdr:txBody>
    </cdr:sp>
  </cdr:relSizeAnchor>
  <cdr:relSizeAnchor xmlns:cdr="http://schemas.openxmlformats.org/drawingml/2006/chartDrawing">
    <cdr:from>
      <cdr:x>0.01021</cdr:x>
      <cdr:y>0.26667</cdr:y>
    </cdr:from>
    <cdr:to>
      <cdr:x>0.31649</cdr:x>
      <cdr:y>0.29416</cdr:y>
    </cdr:to>
    <cdr:sp macro="" textlink="">
      <cdr:nvSpPr>
        <cdr:cNvPr id="216" name="TextBox 215"/>
        <cdr:cNvSpPr txBox="1"/>
      </cdr:nvSpPr>
      <cdr:spPr>
        <a:xfrm xmlns:a="http://schemas.openxmlformats.org/drawingml/2006/main">
          <a:off x="63500" y="4927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IBUIVHIGHDOSE</a:t>
          </a:r>
        </a:p>
      </cdr:txBody>
    </cdr:sp>
  </cdr:relSizeAnchor>
  <cdr:relSizeAnchor xmlns:cdr="http://schemas.openxmlformats.org/drawingml/2006/chartDrawing">
    <cdr:from>
      <cdr:x>0.75498</cdr:x>
      <cdr:y>0.26667</cdr:y>
    </cdr:from>
    <cdr:to>
      <cdr:x>1</cdr:x>
      <cdr:y>0.28041</cdr:y>
    </cdr:to>
    <cdr:sp macro="" textlink="">
      <cdr:nvSpPr>
        <cdr:cNvPr id="217" name="TextBox 216"/>
        <cdr:cNvSpPr txBox="1"/>
      </cdr:nvSpPr>
      <cdr:spPr>
        <a:xfrm xmlns:a="http://schemas.openxmlformats.org/drawingml/2006/main">
          <a:off x="4815044" y="4927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0.04 (0.00 – 1.92)</a:t>
          </a:r>
        </a:p>
      </cdr:txBody>
    </cdr:sp>
  </cdr:relSizeAnchor>
  <cdr:relSizeAnchor xmlns:cdr="http://schemas.openxmlformats.org/drawingml/2006/chartDrawing">
    <cdr:from>
      <cdr:x>0.01021</cdr:x>
      <cdr:y>0.24124</cdr:y>
    </cdr:from>
    <cdr:to>
      <cdr:x>0.31649</cdr:x>
      <cdr:y>0.26873</cdr:y>
    </cdr:to>
    <cdr:sp macro="" textlink="">
      <cdr:nvSpPr>
        <cdr:cNvPr id="218" name="TextBox 217"/>
        <cdr:cNvSpPr txBox="1"/>
      </cdr:nvSpPr>
      <cdr:spPr>
        <a:xfrm xmlns:a="http://schemas.openxmlformats.org/drawingml/2006/main">
          <a:off x="63500" y="4457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a:t>
          </a:r>
        </a:p>
      </cdr:txBody>
    </cdr:sp>
  </cdr:relSizeAnchor>
  <cdr:relSizeAnchor xmlns:cdr="http://schemas.openxmlformats.org/drawingml/2006/chartDrawing">
    <cdr:from>
      <cdr:x>0.75498</cdr:x>
      <cdr:y>0.24124</cdr:y>
    </cdr:from>
    <cdr:to>
      <cdr:x>1</cdr:x>
      <cdr:y>0.25498</cdr:y>
    </cdr:to>
    <cdr:sp macro="" textlink="">
      <cdr:nvSpPr>
        <cdr:cNvPr id="219" name="TextBox 218"/>
        <cdr:cNvSpPr txBox="1"/>
      </cdr:nvSpPr>
      <cdr:spPr>
        <a:xfrm xmlns:a="http://schemas.openxmlformats.org/drawingml/2006/main">
          <a:off x="4815044" y="4457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0.02 (0.00 – 0.52)</a:t>
          </a:r>
        </a:p>
      </cdr:txBody>
    </cdr:sp>
  </cdr:relSizeAnchor>
  <cdr:relSizeAnchor xmlns:cdr="http://schemas.openxmlformats.org/drawingml/2006/chartDrawing">
    <cdr:from>
      <cdr:x>0.01021</cdr:x>
      <cdr:y>0.21581</cdr:y>
    </cdr:from>
    <cdr:to>
      <cdr:x>0.31649</cdr:x>
      <cdr:y>0.2433</cdr:y>
    </cdr:to>
    <cdr:sp macro="" textlink="">
      <cdr:nvSpPr>
        <cdr:cNvPr id="220" name="TextBox 219"/>
        <cdr:cNvSpPr txBox="1"/>
      </cdr:nvSpPr>
      <cdr:spPr>
        <a:xfrm xmlns:a="http://schemas.openxmlformats.org/drawingml/2006/main">
          <a:off x="63500" y="3987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IBUPOHIGHDOSE</a:t>
          </a:r>
        </a:p>
      </cdr:txBody>
    </cdr:sp>
  </cdr:relSizeAnchor>
  <cdr:relSizeAnchor xmlns:cdr="http://schemas.openxmlformats.org/drawingml/2006/chartDrawing">
    <cdr:from>
      <cdr:x>0.75498</cdr:x>
      <cdr:y>0.21581</cdr:y>
    </cdr:from>
    <cdr:to>
      <cdr:x>1</cdr:x>
      <cdr:y>0.22955</cdr:y>
    </cdr:to>
    <cdr:sp macro="" textlink="">
      <cdr:nvSpPr>
        <cdr:cNvPr id="221" name="TextBox 220"/>
        <cdr:cNvSpPr txBox="1"/>
      </cdr:nvSpPr>
      <cdr:spPr>
        <a:xfrm xmlns:a="http://schemas.openxmlformats.org/drawingml/2006/main">
          <a:off x="4815044" y="3987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1.60)</a:t>
          </a:r>
        </a:p>
      </cdr:txBody>
    </cdr:sp>
  </cdr:relSizeAnchor>
  <cdr:relSizeAnchor xmlns:cdr="http://schemas.openxmlformats.org/drawingml/2006/chartDrawing">
    <cdr:from>
      <cdr:x>0.01021</cdr:x>
      <cdr:y>0.19038</cdr:y>
    </cdr:from>
    <cdr:to>
      <cdr:x>0.31649</cdr:x>
      <cdr:y>0.21787</cdr:y>
    </cdr:to>
    <cdr:sp macro="" textlink="">
      <cdr:nvSpPr>
        <cdr:cNvPr id="222" name="TextBox 221"/>
        <cdr:cNvSpPr txBox="1"/>
      </cdr:nvSpPr>
      <cdr:spPr>
        <a:xfrm xmlns:a="http://schemas.openxmlformats.org/drawingml/2006/main">
          <a:off x="63500" y="3517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IBUPOHIGHDOSE</a:t>
          </a:r>
        </a:p>
      </cdr:txBody>
    </cdr:sp>
  </cdr:relSizeAnchor>
  <cdr:relSizeAnchor xmlns:cdr="http://schemas.openxmlformats.org/drawingml/2006/chartDrawing">
    <cdr:from>
      <cdr:x>0.75498</cdr:x>
      <cdr:y>0.19038</cdr:y>
    </cdr:from>
    <cdr:to>
      <cdr:x>1</cdr:x>
      <cdr:y>0.20412</cdr:y>
    </cdr:to>
    <cdr:sp macro="" textlink="">
      <cdr:nvSpPr>
        <cdr:cNvPr id="223" name="TextBox 222"/>
        <cdr:cNvSpPr txBox="1"/>
      </cdr:nvSpPr>
      <cdr:spPr>
        <a:xfrm xmlns:a="http://schemas.openxmlformats.org/drawingml/2006/main">
          <a:off x="4815044" y="3517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0.71)</a:t>
          </a:r>
        </a:p>
      </cdr:txBody>
    </cdr:sp>
  </cdr:relSizeAnchor>
  <cdr:relSizeAnchor xmlns:cdr="http://schemas.openxmlformats.org/drawingml/2006/chartDrawing">
    <cdr:from>
      <cdr:x>0.01021</cdr:x>
      <cdr:y>0.16495</cdr:y>
    </cdr:from>
    <cdr:to>
      <cdr:x>0.31649</cdr:x>
      <cdr:y>0.19244</cdr:y>
    </cdr:to>
    <cdr:sp macro="" textlink="">
      <cdr:nvSpPr>
        <cdr:cNvPr id="224" name="TextBox 223"/>
        <cdr:cNvSpPr txBox="1"/>
      </cdr:nvSpPr>
      <cdr:spPr>
        <a:xfrm xmlns:a="http://schemas.openxmlformats.org/drawingml/2006/main">
          <a:off x="63500" y="3048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IBUPOHIGHDOSE</a:t>
          </a:r>
        </a:p>
      </cdr:txBody>
    </cdr:sp>
  </cdr:relSizeAnchor>
  <cdr:relSizeAnchor xmlns:cdr="http://schemas.openxmlformats.org/drawingml/2006/chartDrawing">
    <cdr:from>
      <cdr:x>0.75498</cdr:x>
      <cdr:y>0.16495</cdr:y>
    </cdr:from>
    <cdr:to>
      <cdr:x>1</cdr:x>
      <cdr:y>0.17869</cdr:y>
    </cdr:to>
    <cdr:sp macro="" textlink="">
      <cdr:nvSpPr>
        <cdr:cNvPr id="225" name="TextBox 224"/>
        <cdr:cNvSpPr txBox="1"/>
      </cdr:nvSpPr>
      <cdr:spPr>
        <a:xfrm xmlns:a="http://schemas.openxmlformats.org/drawingml/2006/main">
          <a:off x="4815044" y="3048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0.50)</a:t>
          </a:r>
        </a:p>
      </cdr:txBody>
    </cdr:sp>
  </cdr:relSizeAnchor>
  <cdr:relSizeAnchor xmlns:cdr="http://schemas.openxmlformats.org/drawingml/2006/chartDrawing">
    <cdr:from>
      <cdr:x>0.01021</cdr:x>
      <cdr:y>0.13952</cdr:y>
    </cdr:from>
    <cdr:to>
      <cdr:x>0.31649</cdr:x>
      <cdr:y>0.16701</cdr:y>
    </cdr:to>
    <cdr:sp macro="" textlink="">
      <cdr:nvSpPr>
        <cdr:cNvPr id="226" name="TextBox 225"/>
        <cdr:cNvSpPr txBox="1"/>
      </cdr:nvSpPr>
      <cdr:spPr>
        <a:xfrm xmlns:a="http://schemas.openxmlformats.org/drawingml/2006/main">
          <a:off x="63500" y="2578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IBUPOHIGHDOSE</a:t>
          </a:r>
        </a:p>
      </cdr:txBody>
    </cdr:sp>
  </cdr:relSizeAnchor>
  <cdr:relSizeAnchor xmlns:cdr="http://schemas.openxmlformats.org/drawingml/2006/chartDrawing">
    <cdr:from>
      <cdr:x>0.75498</cdr:x>
      <cdr:y>0.13952</cdr:y>
    </cdr:from>
    <cdr:to>
      <cdr:x>1</cdr:x>
      <cdr:y>0.15326</cdr:y>
    </cdr:to>
    <cdr:sp macro="" textlink="">
      <cdr:nvSpPr>
        <cdr:cNvPr id="227" name="TextBox 226"/>
        <cdr:cNvSpPr txBox="1"/>
      </cdr:nvSpPr>
      <cdr:spPr>
        <a:xfrm xmlns:a="http://schemas.openxmlformats.org/drawingml/2006/main">
          <a:off x="4815044" y="2578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0.45)</a:t>
          </a:r>
        </a:p>
      </cdr:txBody>
    </cdr:sp>
  </cdr:relSizeAnchor>
  <cdr:relSizeAnchor xmlns:cdr="http://schemas.openxmlformats.org/drawingml/2006/chartDrawing">
    <cdr:from>
      <cdr:x>0.01021</cdr:x>
      <cdr:y>0.11409</cdr:y>
    </cdr:from>
    <cdr:to>
      <cdr:x>0.31649</cdr:x>
      <cdr:y>0.14158</cdr:y>
    </cdr:to>
    <cdr:sp macro="" textlink="">
      <cdr:nvSpPr>
        <cdr:cNvPr id="228" name="TextBox 227"/>
        <cdr:cNvSpPr txBox="1"/>
      </cdr:nvSpPr>
      <cdr:spPr>
        <a:xfrm xmlns:a="http://schemas.openxmlformats.org/drawingml/2006/main">
          <a:off x="63500" y="2108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IBUPOHIGHDOSE</a:t>
          </a:r>
        </a:p>
      </cdr:txBody>
    </cdr:sp>
  </cdr:relSizeAnchor>
  <cdr:relSizeAnchor xmlns:cdr="http://schemas.openxmlformats.org/drawingml/2006/chartDrawing">
    <cdr:from>
      <cdr:x>0.75498</cdr:x>
      <cdr:y>0.11409</cdr:y>
    </cdr:from>
    <cdr:to>
      <cdr:x>1</cdr:x>
      <cdr:y>0.12784</cdr:y>
    </cdr:to>
    <cdr:sp macro="" textlink="">
      <cdr:nvSpPr>
        <cdr:cNvPr id="229" name="TextBox 228"/>
        <cdr:cNvSpPr txBox="1"/>
      </cdr:nvSpPr>
      <cdr:spPr>
        <a:xfrm xmlns:a="http://schemas.openxmlformats.org/drawingml/2006/main">
          <a:off x="4815044" y="2108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0.29)</a:t>
          </a:r>
        </a:p>
      </cdr:txBody>
    </cdr:sp>
  </cdr:relSizeAnchor>
  <cdr:relSizeAnchor xmlns:cdr="http://schemas.openxmlformats.org/drawingml/2006/chartDrawing">
    <cdr:from>
      <cdr:x>0.01021</cdr:x>
      <cdr:y>0.08935</cdr:y>
    </cdr:from>
    <cdr:to>
      <cdr:x>0.31649</cdr:x>
      <cdr:y>0.11684</cdr:y>
    </cdr:to>
    <cdr:sp macro="" textlink="">
      <cdr:nvSpPr>
        <cdr:cNvPr id="230" name="TextBox 229"/>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IBUPOHIGHDOSE</a:t>
          </a:r>
        </a:p>
      </cdr:txBody>
    </cdr:sp>
  </cdr:relSizeAnchor>
  <cdr:relSizeAnchor xmlns:cdr="http://schemas.openxmlformats.org/drawingml/2006/chartDrawing">
    <cdr:from>
      <cdr:x>0.75498</cdr:x>
      <cdr:y>0.08935</cdr:y>
    </cdr:from>
    <cdr:to>
      <cdr:x>1</cdr:x>
      <cdr:y>0.10309</cdr:y>
    </cdr:to>
    <cdr:sp macro="" textlink="">
      <cdr:nvSpPr>
        <cdr:cNvPr id="231" name="TextBox 230"/>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0.37)</a:t>
          </a:r>
        </a:p>
      </cdr:txBody>
    </cdr:sp>
  </cdr:relSizeAnchor>
  <cdr:relSizeAnchor xmlns:cdr="http://schemas.openxmlformats.org/drawingml/2006/chartDrawing">
    <cdr:from>
      <cdr:x>0.01021</cdr:x>
      <cdr:y>0.06392</cdr:y>
    </cdr:from>
    <cdr:to>
      <cdr:x>0.31649</cdr:x>
      <cdr:y>0.09141</cdr:y>
    </cdr:to>
    <cdr:sp macro="" textlink="">
      <cdr:nvSpPr>
        <cdr:cNvPr id="232" name="TextBox 231"/>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IBUPOHIGHDOSE</a:t>
          </a:r>
        </a:p>
      </cdr:txBody>
    </cdr:sp>
  </cdr:relSizeAnchor>
  <cdr:relSizeAnchor xmlns:cdr="http://schemas.openxmlformats.org/drawingml/2006/chartDrawing">
    <cdr:from>
      <cdr:x>0.75498</cdr:x>
      <cdr:y>0.06392</cdr:y>
    </cdr:from>
    <cdr:to>
      <cdr:x>1</cdr:x>
      <cdr:y>0.07766</cdr:y>
    </cdr:to>
    <cdr:sp macro="" textlink="">
      <cdr:nvSpPr>
        <cdr:cNvPr id="233" name="TextBox 232"/>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0.15)</a:t>
          </a:r>
        </a:p>
      </cdr:txBody>
    </cdr:sp>
  </cdr:relSizeAnchor>
  <cdr:relSizeAnchor xmlns:cdr="http://schemas.openxmlformats.org/drawingml/2006/chartDrawing">
    <cdr:from>
      <cdr:x>0.01021</cdr:x>
      <cdr:y>0.03849</cdr:y>
    </cdr:from>
    <cdr:to>
      <cdr:x>0.31649</cdr:x>
      <cdr:y>0.06598</cdr:y>
    </cdr:to>
    <cdr:sp macro="" textlink="">
      <cdr:nvSpPr>
        <cdr:cNvPr id="234" name="TextBox 233"/>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IBUPOHIGHDOSE</a:t>
          </a:r>
        </a:p>
      </cdr:txBody>
    </cdr:sp>
  </cdr:relSizeAnchor>
  <cdr:relSizeAnchor xmlns:cdr="http://schemas.openxmlformats.org/drawingml/2006/chartDrawing">
    <cdr:from>
      <cdr:x>0.75498</cdr:x>
      <cdr:y>0.03849</cdr:y>
    </cdr:from>
    <cdr:to>
      <cdr:x>1</cdr:x>
      <cdr:y>0.05223</cdr:y>
    </cdr:to>
    <cdr:sp macro="" textlink="">
      <cdr:nvSpPr>
        <cdr:cNvPr id="235" name="TextBox 234"/>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0.00 (0.00 – 0.02)</a:t>
          </a:r>
        </a:p>
      </cdr:txBody>
    </cdr:sp>
  </cdr:relSizeAnchor>
  <cdr:relSizeAnchor xmlns:cdr="http://schemas.openxmlformats.org/drawingml/2006/chartDrawing">
    <cdr:from>
      <cdr:x>0.01021</cdr:x>
      <cdr:y>0.00344</cdr:y>
    </cdr:from>
    <cdr:to>
      <cdr:x>0.41858</cdr:x>
      <cdr:y>0.03093</cdr:y>
    </cdr:to>
    <cdr:sp macro="" textlink="">
      <cdr:nvSpPr>
        <cdr:cNvPr id="236" name="TextBox 235"/>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0.00344</cdr:y>
    </cdr:from>
    <cdr:to>
      <cdr:x>1</cdr:x>
      <cdr:y>0.03093</cdr:y>
    </cdr:to>
    <cdr:sp macro="" textlink="">
      <cdr:nvSpPr>
        <cdr:cNvPr id="237" name="TextBox 236"/>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0.96495</cdr:y>
    </cdr:from>
    <cdr:to>
      <cdr:x>0.60233</cdr:x>
      <cdr:y>0.97869</cdr:y>
    </cdr:to>
    <cdr:sp macro="" textlink="">
      <cdr:nvSpPr>
        <cdr:cNvPr id="238" name="TextBox 237"/>
        <cdr:cNvSpPr txBox="1"/>
      </cdr:nvSpPr>
      <cdr:spPr>
        <a:xfrm xmlns:a="http://schemas.openxmlformats.org/drawingml/2006/main">
          <a:off x="2222364" y="1783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0.96495</cdr:y>
    </cdr:from>
    <cdr:to>
      <cdr:x>0.81498</cdr:x>
      <cdr:y>0.97869</cdr:y>
    </cdr:to>
    <cdr:sp macro="" textlink="">
      <cdr:nvSpPr>
        <cdr:cNvPr id="239" name="TextBox 238"/>
        <cdr:cNvSpPr txBox="1"/>
      </cdr:nvSpPr>
      <cdr:spPr>
        <a:xfrm xmlns:a="http://schemas.openxmlformats.org/drawingml/2006/main">
          <a:off x="3545044" y="1783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0.97869</cdr:y>
    </cdr:from>
    <cdr:to>
      <cdr:x>0.81844</cdr:x>
      <cdr:y>0.99244</cdr:y>
    </cdr:to>
    <cdr:sp macro="" textlink="">
      <cdr:nvSpPr>
        <cdr:cNvPr id="240" name="TextBox 239"/>
        <cdr:cNvSpPr txBox="1"/>
      </cdr:nvSpPr>
      <cdr:spPr>
        <a:xfrm xmlns:a="http://schemas.openxmlformats.org/drawingml/2006/main">
          <a:off x="2984364" y="18084800"/>
          <a:ext cx="210622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0.9512</cdr:y>
    </cdr:from>
    <cdr:to>
      <cdr:x>0.32227</cdr:x>
      <cdr:y>0.97182</cdr:y>
    </cdr:to>
    <cdr:sp macro="" textlink="">
      <cdr:nvSpPr>
        <cdr:cNvPr id="241" name="TextBox 240"/>
        <cdr:cNvSpPr txBox="1"/>
      </cdr:nvSpPr>
      <cdr:spPr>
        <a:xfrm xmlns:a="http://schemas.openxmlformats.org/drawingml/2006/main">
          <a:off x="63500" y="17576800"/>
          <a:ext cx="1940984"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0.1208 
95% CrI (0.03924 – 0.361)</a:t>
          </a:r>
        </a:p>
      </cdr:txBody>
    </cdr:sp>
  </cdr:relSizeAnchor>
  <cdr:relSizeAnchor xmlns:cdr="http://schemas.openxmlformats.org/drawingml/2006/chartDrawing">
    <cdr:from>
      <cdr:x>0.01021</cdr:x>
      <cdr:y>0.96495</cdr:y>
    </cdr:from>
    <cdr:to>
      <cdr:x>0.29607</cdr:x>
      <cdr:y>0.98557</cdr:y>
    </cdr:to>
    <cdr:sp macro="" textlink="">
      <cdr:nvSpPr>
        <cdr:cNvPr id="242" name="TextBox 241"/>
        <cdr:cNvSpPr txBox="1"/>
      </cdr:nvSpPr>
      <cdr:spPr>
        <a:xfrm xmlns:a="http://schemas.openxmlformats.org/drawingml/2006/main">
          <a:off x="63500" y="1783080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zoomScale="120" zoomScaleNormal="120" workbookViewId="0">
      <selection activeCell="F7" sqref="F7"/>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1" t="s">
        <v>118</v>
      </c>
      <c r="G9" s="232"/>
      <c r="H9" s="233"/>
    </row>
    <row r="10" spans="2:16" ht="15.75" thickBot="1" x14ac:dyDescent="0.3">
      <c r="B10" s="20"/>
      <c r="C10" s="18" t="s">
        <v>36</v>
      </c>
      <c r="D10" s="174">
        <v>10000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270</v>
      </c>
      <c r="D16" s="168">
        <v>1</v>
      </c>
      <c r="F16" s="240"/>
      <c r="G16" s="241"/>
      <c r="H16" s="242"/>
    </row>
    <row r="17" spans="2:8" ht="15.75" customHeight="1" thickBot="1" x14ac:dyDescent="0.3">
      <c r="B17" s="20"/>
      <c r="C17" s="18" t="s">
        <v>271</v>
      </c>
      <c r="D17" s="169">
        <v>2</v>
      </c>
      <c r="F17" s="234"/>
      <c r="G17" s="235"/>
      <c r="H17" s="236"/>
    </row>
    <row r="18" spans="2:8" ht="33.75" customHeight="1" thickTop="1" thickBot="1" x14ac:dyDescent="0.3">
      <c r="B18" s="21" t="s">
        <v>115</v>
      </c>
    </row>
    <row r="19" spans="2:8" ht="35.25" customHeight="1" thickTop="1" thickBot="1" x14ac:dyDescent="0.3">
      <c r="C19" s="24" t="s">
        <v>34</v>
      </c>
      <c r="D19" s="170" t="s">
        <v>298</v>
      </c>
      <c r="E19" t="s">
        <v>82</v>
      </c>
      <c r="F19" s="237" t="s">
        <v>133</v>
      </c>
      <c r="G19" s="238"/>
      <c r="H19" s="239"/>
    </row>
    <row r="20" spans="2:8" ht="33" customHeight="1" thickTop="1" x14ac:dyDescent="0.25">
      <c r="C20" s="25" t="s">
        <v>48</v>
      </c>
      <c r="D20" s="170" t="s">
        <v>314</v>
      </c>
      <c r="F20" s="231" t="s">
        <v>138</v>
      </c>
      <c r="G20" s="232"/>
      <c r="H20" s="233"/>
    </row>
    <row r="21" spans="2:8" ht="33" customHeight="1" thickBot="1" x14ac:dyDescent="0.3">
      <c r="C21" s="24" t="s">
        <v>49</v>
      </c>
      <c r="D21" s="170" t="s">
        <v>315</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273</v>
      </c>
      <c r="D30" s="176" t="b">
        <v>1</v>
      </c>
      <c r="F30" s="237" t="s">
        <v>274</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I14" sqref="I14:V14"/>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28</v>
      </c>
      <c r="D2" s="142" t="s">
        <v>14</v>
      </c>
      <c r="G2" s="60"/>
      <c r="H2" s="60"/>
    </row>
    <row r="3" spans="3:34" ht="19.5" thickBot="1" x14ac:dyDescent="0.35">
      <c r="C3" s="143">
        <f>COUNTIF(E5:AH5,"&lt;&gt;")</f>
        <v>9</v>
      </c>
      <c r="D3" s="142" t="s">
        <v>15</v>
      </c>
      <c r="E3" s="245" t="s">
        <v>231</v>
      </c>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7"/>
    </row>
    <row r="4" spans="3:34" ht="15.75" thickBot="1" x14ac:dyDescent="0.3">
      <c r="C4" s="143">
        <f>COUNTIF(F7:F56,"&lt;&gt;")</f>
        <v>16</v>
      </c>
      <c r="D4" s="142" t="s">
        <v>114</v>
      </c>
      <c r="E4" s="243">
        <v>1</v>
      </c>
      <c r="F4" s="244"/>
      <c r="G4" s="243">
        <f>E4+1</f>
        <v>2</v>
      </c>
      <c r="H4" s="244"/>
      <c r="I4" s="243">
        <f>G4+1</f>
        <v>3</v>
      </c>
      <c r="J4" s="244"/>
      <c r="K4" s="243">
        <f>I4+1</f>
        <v>4</v>
      </c>
      <c r="L4" s="244"/>
      <c r="M4" s="243">
        <f>K4+1</f>
        <v>5</v>
      </c>
      <c r="N4" s="244"/>
      <c r="O4" s="243">
        <f>M4+1</f>
        <v>6</v>
      </c>
      <c r="P4" s="244"/>
      <c r="Q4" s="243">
        <f>O4+1</f>
        <v>7</v>
      </c>
      <c r="R4" s="244"/>
      <c r="S4" s="243">
        <f>Q4+1</f>
        <v>8</v>
      </c>
      <c r="T4" s="244"/>
      <c r="U4" s="243">
        <f>S4+1</f>
        <v>9</v>
      </c>
      <c r="V4" s="244"/>
      <c r="W4" s="243">
        <f>U4+1</f>
        <v>10</v>
      </c>
      <c r="X4" s="244"/>
      <c r="Y4" s="243">
        <f>W4+1</f>
        <v>11</v>
      </c>
      <c r="Z4" s="244"/>
      <c r="AA4" s="243">
        <f>Y4+1</f>
        <v>12</v>
      </c>
      <c r="AB4" s="244"/>
      <c r="AC4" s="243">
        <f>AA4+1</f>
        <v>13</v>
      </c>
      <c r="AD4" s="244"/>
      <c r="AE4" s="243">
        <f>AC4+1</f>
        <v>14</v>
      </c>
      <c r="AF4" s="244"/>
      <c r="AG4" s="243">
        <f>AE4+1</f>
        <v>15</v>
      </c>
      <c r="AH4" s="244"/>
    </row>
    <row r="5" spans="3:34" ht="19.5" customHeight="1" thickBot="1" x14ac:dyDescent="0.3">
      <c r="C5" s="255" t="s">
        <v>9</v>
      </c>
      <c r="D5" s="140" t="s">
        <v>241</v>
      </c>
      <c r="E5" s="253" t="s">
        <v>352</v>
      </c>
      <c r="F5" s="254"/>
      <c r="G5" s="251" t="s">
        <v>353</v>
      </c>
      <c r="H5" s="252"/>
      <c r="I5" s="251" t="s">
        <v>354</v>
      </c>
      <c r="J5" s="252"/>
      <c r="K5" s="251" t="s">
        <v>355</v>
      </c>
      <c r="L5" s="252"/>
      <c r="M5" s="251" t="s">
        <v>356</v>
      </c>
      <c r="N5" s="252"/>
      <c r="O5" s="251" t="s">
        <v>357</v>
      </c>
      <c r="P5" s="252"/>
      <c r="Q5" s="251" t="s">
        <v>358</v>
      </c>
      <c r="R5" s="252"/>
      <c r="S5" s="251" t="s">
        <v>359</v>
      </c>
      <c r="T5" s="252"/>
      <c r="U5" s="251" t="s">
        <v>360</v>
      </c>
      <c r="V5" s="252"/>
      <c r="W5" s="251"/>
      <c r="X5" s="252"/>
      <c r="Y5" s="251"/>
      <c r="Z5" s="252"/>
      <c r="AA5" s="251"/>
      <c r="AB5" s="252"/>
      <c r="AC5" s="251"/>
      <c r="AD5" s="252"/>
      <c r="AE5" s="251"/>
      <c r="AF5" s="252"/>
      <c r="AG5" s="251"/>
      <c r="AH5" s="252"/>
    </row>
    <row r="6" spans="3:34" ht="32.25" customHeight="1" thickBot="1" x14ac:dyDescent="0.3">
      <c r="C6" s="256"/>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4</v>
      </c>
      <c r="E7" s="62">
        <v>0</v>
      </c>
      <c r="F7" s="63">
        <v>39</v>
      </c>
      <c r="G7" s="62"/>
      <c r="H7" s="63"/>
      <c r="I7" s="62"/>
      <c r="J7" s="63"/>
      <c r="K7" s="62">
        <v>1</v>
      </c>
      <c r="L7" s="63">
        <v>38</v>
      </c>
      <c r="M7" s="62"/>
      <c r="N7" s="63"/>
      <c r="O7" s="62"/>
      <c r="P7" s="63"/>
      <c r="Q7" s="62"/>
      <c r="R7" s="63"/>
      <c r="S7" s="62"/>
      <c r="T7" s="63"/>
      <c r="U7" s="62"/>
      <c r="V7" s="63"/>
      <c r="W7" s="62"/>
      <c r="X7" s="63"/>
      <c r="Y7" s="62"/>
      <c r="Z7" s="63"/>
      <c r="AA7" s="62"/>
      <c r="AB7" s="63"/>
      <c r="AC7" s="62"/>
      <c r="AD7" s="63"/>
      <c r="AE7" s="62"/>
      <c r="AF7" s="63"/>
      <c r="AG7" s="62"/>
      <c r="AH7" s="63"/>
    </row>
    <row r="8" spans="3:34" x14ac:dyDescent="0.25">
      <c r="C8" s="79">
        <v>2</v>
      </c>
      <c r="D8" s="61">
        <v>7</v>
      </c>
      <c r="E8" s="62"/>
      <c r="F8" s="63"/>
      <c r="G8" s="62"/>
      <c r="H8" s="63"/>
      <c r="I8" s="62">
        <v>9</v>
      </c>
      <c r="J8" s="63">
        <v>80</v>
      </c>
      <c r="K8" s="62">
        <v>6</v>
      </c>
      <c r="L8" s="63">
        <v>80</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0</v>
      </c>
      <c r="H9" s="63">
        <v>34</v>
      </c>
      <c r="I9" s="62">
        <v>0</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0</v>
      </c>
      <c r="H10" s="63">
        <v>50</v>
      </c>
      <c r="I10" s="62">
        <v>0</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11</v>
      </c>
      <c r="E11" s="62"/>
      <c r="F11" s="63"/>
      <c r="G11" s="62">
        <v>3</v>
      </c>
      <c r="H11" s="63">
        <v>32</v>
      </c>
      <c r="I11" s="62">
        <v>0</v>
      </c>
      <c r="J11" s="63">
        <v>32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17</v>
      </c>
      <c r="E12" s="62"/>
      <c r="F12" s="63"/>
      <c r="G12" s="62">
        <v>0</v>
      </c>
      <c r="H12" s="63">
        <v>32</v>
      </c>
      <c r="I12" s="62"/>
      <c r="J12" s="63"/>
      <c r="K12" s="62"/>
      <c r="L12" s="63"/>
      <c r="M12" s="62"/>
      <c r="N12" s="63"/>
      <c r="O12" s="62"/>
      <c r="P12" s="63"/>
      <c r="Q12" s="62"/>
      <c r="R12" s="63"/>
      <c r="S12" s="62">
        <v>0</v>
      </c>
      <c r="T12" s="63">
        <v>31</v>
      </c>
      <c r="U12" s="62"/>
      <c r="V12" s="63"/>
      <c r="W12" s="62"/>
      <c r="X12" s="63"/>
      <c r="Y12" s="62"/>
      <c r="Z12" s="63"/>
      <c r="AA12" s="62"/>
      <c r="AB12" s="63"/>
      <c r="AC12" s="62"/>
      <c r="AD12" s="63"/>
      <c r="AE12" s="62"/>
      <c r="AF12" s="63"/>
      <c r="AG12" s="62"/>
      <c r="AH12" s="63"/>
    </row>
    <row r="13" spans="3:34" x14ac:dyDescent="0.25">
      <c r="C13" s="79">
        <v>7</v>
      </c>
      <c r="D13" s="61">
        <v>18</v>
      </c>
      <c r="E13" s="62"/>
      <c r="F13" s="63"/>
      <c r="G13" s="62">
        <v>2</v>
      </c>
      <c r="H13" s="63">
        <v>35</v>
      </c>
      <c r="I13" s="62"/>
      <c r="J13" s="63"/>
      <c r="K13" s="62"/>
      <c r="L13" s="63"/>
      <c r="M13" s="62">
        <v>3</v>
      </c>
      <c r="N13" s="63">
        <v>35</v>
      </c>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19</v>
      </c>
      <c r="E14" s="62"/>
      <c r="F14" s="63"/>
      <c r="G14" s="62"/>
      <c r="H14" s="63"/>
      <c r="I14" s="62">
        <v>0</v>
      </c>
      <c r="J14" s="63">
        <v>18</v>
      </c>
      <c r="K14" s="62"/>
      <c r="L14" s="63"/>
      <c r="M14" s="62"/>
      <c r="N14" s="63"/>
      <c r="O14" s="62"/>
      <c r="P14" s="63"/>
      <c r="Q14" s="62"/>
      <c r="R14" s="63"/>
      <c r="S14" s="62"/>
      <c r="T14" s="63"/>
      <c r="U14" s="62">
        <v>0</v>
      </c>
      <c r="V14" s="63">
        <v>18</v>
      </c>
      <c r="W14" s="62"/>
      <c r="X14" s="63"/>
      <c r="Y14" s="62"/>
      <c r="Z14" s="63"/>
      <c r="AA14" s="62"/>
      <c r="AB14" s="63"/>
      <c r="AC14" s="62"/>
      <c r="AD14" s="63"/>
      <c r="AE14" s="62"/>
      <c r="AF14" s="63"/>
      <c r="AG14" s="62"/>
      <c r="AH14" s="63"/>
    </row>
    <row r="15" spans="3:34" x14ac:dyDescent="0.25">
      <c r="C15" s="79">
        <v>9</v>
      </c>
      <c r="D15" s="61">
        <v>21</v>
      </c>
      <c r="E15" s="62">
        <v>1</v>
      </c>
      <c r="F15" s="63">
        <v>50</v>
      </c>
      <c r="G15" s="62"/>
      <c r="H15" s="63"/>
      <c r="I15" s="62"/>
      <c r="J15" s="63"/>
      <c r="K15" s="62"/>
      <c r="L15" s="63"/>
      <c r="M15" s="62"/>
      <c r="N15" s="63"/>
      <c r="O15" s="62"/>
      <c r="P15" s="63"/>
      <c r="Q15" s="62"/>
      <c r="R15" s="63"/>
      <c r="S15" s="62"/>
      <c r="T15" s="63"/>
      <c r="U15" s="62">
        <v>1</v>
      </c>
      <c r="V15" s="63">
        <v>55</v>
      </c>
      <c r="W15" s="62"/>
      <c r="X15" s="63"/>
      <c r="Y15" s="62"/>
      <c r="Z15" s="63"/>
      <c r="AA15" s="62"/>
      <c r="AB15" s="63"/>
      <c r="AC15" s="62"/>
      <c r="AD15" s="63"/>
      <c r="AE15" s="62"/>
      <c r="AF15" s="63"/>
      <c r="AG15" s="62"/>
      <c r="AH15" s="63"/>
    </row>
    <row r="16" spans="3:34" x14ac:dyDescent="0.25">
      <c r="C16" s="79">
        <v>10</v>
      </c>
      <c r="D16" s="61">
        <v>24</v>
      </c>
      <c r="E16" s="62">
        <v>12</v>
      </c>
      <c r="F16" s="63">
        <v>81</v>
      </c>
      <c r="G16" s="62">
        <v>1</v>
      </c>
      <c r="H16" s="63">
        <v>94</v>
      </c>
      <c r="I16" s="62"/>
      <c r="J16" s="63"/>
      <c r="K16" s="62"/>
      <c r="L16" s="63"/>
      <c r="M16" s="62"/>
      <c r="N16" s="63"/>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25</v>
      </c>
      <c r="E17" s="62"/>
      <c r="F17" s="63"/>
      <c r="G17" s="62">
        <v>2</v>
      </c>
      <c r="H17" s="63">
        <v>56</v>
      </c>
      <c r="I17" s="62"/>
      <c r="J17" s="63"/>
      <c r="K17" s="62"/>
      <c r="L17" s="63"/>
      <c r="M17" s="62"/>
      <c r="N17" s="63"/>
      <c r="O17" s="62"/>
      <c r="P17" s="63"/>
      <c r="Q17" s="62">
        <v>0</v>
      </c>
      <c r="R17" s="63">
        <v>55</v>
      </c>
      <c r="S17" s="62"/>
      <c r="T17" s="63"/>
      <c r="U17" s="62"/>
      <c r="V17" s="63"/>
      <c r="W17" s="62"/>
      <c r="X17" s="63"/>
      <c r="Y17" s="62"/>
      <c r="Z17" s="63"/>
      <c r="AA17" s="62"/>
      <c r="AB17" s="63"/>
      <c r="AC17" s="62"/>
      <c r="AD17" s="63"/>
      <c r="AE17" s="62"/>
      <c r="AF17" s="63"/>
      <c r="AG17" s="62"/>
      <c r="AH17" s="63"/>
    </row>
    <row r="18" spans="3:34" x14ac:dyDescent="0.25">
      <c r="C18" s="79">
        <v>12</v>
      </c>
      <c r="D18" s="61">
        <v>26</v>
      </c>
      <c r="E18" s="62">
        <v>21</v>
      </c>
      <c r="F18" s="63">
        <v>69</v>
      </c>
      <c r="G18" s="62"/>
      <c r="H18" s="63"/>
      <c r="I18" s="62"/>
      <c r="J18" s="63"/>
      <c r="K18" s="62"/>
      <c r="L18" s="63"/>
      <c r="M18" s="62"/>
      <c r="N18" s="63"/>
      <c r="O18" s="62"/>
      <c r="P18" s="63"/>
      <c r="Q18" s="62"/>
      <c r="R18" s="63"/>
      <c r="S18" s="62"/>
      <c r="T18" s="63"/>
      <c r="U18" s="62">
        <v>6</v>
      </c>
      <c r="V18" s="63">
        <v>71</v>
      </c>
      <c r="W18" s="62"/>
      <c r="X18" s="63"/>
      <c r="Y18" s="62"/>
      <c r="Z18" s="63"/>
      <c r="AA18" s="62"/>
      <c r="AB18" s="63"/>
      <c r="AC18" s="62"/>
      <c r="AD18" s="63"/>
      <c r="AE18" s="62"/>
      <c r="AF18" s="63"/>
      <c r="AG18" s="62"/>
      <c r="AH18" s="63"/>
    </row>
    <row r="19" spans="3:34" x14ac:dyDescent="0.25">
      <c r="C19" s="79">
        <v>13</v>
      </c>
      <c r="D19" s="61">
        <v>28</v>
      </c>
      <c r="E19" s="62">
        <v>0</v>
      </c>
      <c r="F19" s="63">
        <v>8</v>
      </c>
      <c r="G19" s="62">
        <v>1</v>
      </c>
      <c r="H19" s="63">
        <v>8</v>
      </c>
      <c r="I19" s="62"/>
      <c r="J19" s="63"/>
      <c r="K19" s="62"/>
      <c r="L19" s="63"/>
      <c r="M19" s="62"/>
      <c r="N19" s="63"/>
      <c r="O19" s="62"/>
      <c r="P19" s="63"/>
      <c r="Q19" s="62"/>
      <c r="R19" s="63"/>
      <c r="S19" s="62"/>
      <c r="T19" s="63"/>
      <c r="U19" s="62"/>
      <c r="V19" s="63"/>
      <c r="W19" s="62"/>
      <c r="X19" s="63"/>
      <c r="Y19" s="62"/>
      <c r="Z19" s="63"/>
      <c r="AA19" s="62"/>
      <c r="AB19" s="63"/>
      <c r="AC19" s="62"/>
      <c r="AD19" s="63"/>
      <c r="AE19" s="62"/>
      <c r="AF19" s="63"/>
      <c r="AG19" s="62"/>
      <c r="AH19" s="63"/>
    </row>
    <row r="20" spans="3:34" x14ac:dyDescent="0.25">
      <c r="C20" s="79">
        <v>14</v>
      </c>
      <c r="D20" s="61">
        <v>32</v>
      </c>
      <c r="E20" s="62"/>
      <c r="F20" s="63"/>
      <c r="G20" s="62"/>
      <c r="H20" s="63"/>
      <c r="I20" s="62">
        <v>0</v>
      </c>
      <c r="J20" s="63">
        <v>40</v>
      </c>
      <c r="K20" s="62">
        <v>0</v>
      </c>
      <c r="L20" s="63">
        <v>40</v>
      </c>
      <c r="M20" s="62"/>
      <c r="N20" s="63"/>
      <c r="O20" s="62"/>
      <c r="P20" s="63"/>
      <c r="Q20" s="62"/>
      <c r="R20" s="63"/>
      <c r="S20" s="62"/>
      <c r="T20" s="63"/>
      <c r="U20" s="62"/>
      <c r="V20" s="63"/>
      <c r="W20" s="62"/>
      <c r="X20" s="63"/>
      <c r="Y20" s="62"/>
      <c r="Z20" s="63"/>
      <c r="AA20" s="62"/>
      <c r="AB20" s="63"/>
      <c r="AC20" s="62"/>
      <c r="AD20" s="63"/>
      <c r="AE20" s="62"/>
      <c r="AF20" s="63"/>
      <c r="AG20" s="62"/>
      <c r="AH20" s="63"/>
    </row>
    <row r="21" spans="3:34" x14ac:dyDescent="0.25">
      <c r="C21" s="79">
        <v>15</v>
      </c>
      <c r="D21" s="61">
        <v>35</v>
      </c>
      <c r="E21" s="62">
        <v>8</v>
      </c>
      <c r="F21" s="63">
        <v>20</v>
      </c>
      <c r="G21" s="62">
        <v>1</v>
      </c>
      <c r="H21" s="63">
        <v>20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36</v>
      </c>
      <c r="E22" s="62">
        <v>14</v>
      </c>
      <c r="F22" s="63">
        <v>64</v>
      </c>
      <c r="G22" s="62"/>
      <c r="H22" s="63"/>
      <c r="I22" s="62"/>
      <c r="J22" s="63"/>
      <c r="K22" s="62"/>
      <c r="L22" s="63"/>
      <c r="M22" s="62"/>
      <c r="N22" s="63"/>
      <c r="O22" s="62"/>
      <c r="P22" s="63"/>
      <c r="Q22" s="62"/>
      <c r="R22" s="63"/>
      <c r="S22" s="62"/>
      <c r="T22" s="63"/>
      <c r="U22" s="62">
        <v>3</v>
      </c>
      <c r="V22" s="63">
        <v>63</v>
      </c>
      <c r="W22" s="62"/>
      <c r="X22" s="63"/>
      <c r="Y22" s="62"/>
      <c r="Z22" s="63"/>
      <c r="AA22" s="62"/>
      <c r="AB22" s="63"/>
      <c r="AC22" s="62"/>
      <c r="AD22" s="63"/>
      <c r="AE22" s="62"/>
      <c r="AF22" s="63"/>
      <c r="AG22" s="62"/>
      <c r="AH22" s="63"/>
    </row>
    <row r="23" spans="3:34" x14ac:dyDescent="0.25">
      <c r="C23" s="79">
        <v>17</v>
      </c>
      <c r="D23" s="61">
        <v>37</v>
      </c>
      <c r="E23" s="62">
        <v>1</v>
      </c>
      <c r="F23" s="63">
        <v>15</v>
      </c>
      <c r="G23" s="62">
        <v>0</v>
      </c>
      <c r="H23" s="63">
        <v>18</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39</v>
      </c>
      <c r="E24" s="62"/>
      <c r="F24" s="63"/>
      <c r="G24" s="62">
        <v>0</v>
      </c>
      <c r="H24" s="63">
        <v>32</v>
      </c>
      <c r="I24" s="62">
        <v>0</v>
      </c>
      <c r="J24" s="63">
        <v>36</v>
      </c>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v>41</v>
      </c>
      <c r="E25" s="62"/>
      <c r="F25" s="63"/>
      <c r="G25" s="62"/>
      <c r="H25" s="63"/>
      <c r="I25" s="62">
        <v>0</v>
      </c>
      <c r="J25" s="63">
        <v>30</v>
      </c>
      <c r="K25" s="62"/>
      <c r="L25" s="63"/>
      <c r="M25" s="62"/>
      <c r="N25" s="63"/>
      <c r="O25" s="62">
        <v>1</v>
      </c>
      <c r="P25" s="63">
        <v>30</v>
      </c>
      <c r="Q25" s="62"/>
      <c r="R25" s="63"/>
      <c r="S25" s="62"/>
      <c r="T25" s="63"/>
      <c r="U25" s="62"/>
      <c r="V25" s="63"/>
      <c r="W25" s="62"/>
      <c r="X25" s="63"/>
      <c r="Y25" s="62"/>
      <c r="Z25" s="63"/>
      <c r="AA25" s="62"/>
      <c r="AB25" s="63"/>
      <c r="AC25" s="62"/>
      <c r="AD25" s="63"/>
      <c r="AE25" s="62"/>
      <c r="AF25" s="63"/>
      <c r="AG25" s="62"/>
      <c r="AH25" s="63"/>
    </row>
    <row r="26" spans="3:34" x14ac:dyDescent="0.25">
      <c r="C26" s="79">
        <v>20</v>
      </c>
      <c r="D26" s="61">
        <v>42</v>
      </c>
      <c r="E26" s="62">
        <v>2</v>
      </c>
      <c r="F26" s="63">
        <v>62</v>
      </c>
      <c r="G26" s="62"/>
      <c r="H26" s="63"/>
      <c r="I26" s="62"/>
      <c r="J26" s="63"/>
      <c r="K26" s="62"/>
      <c r="L26" s="63"/>
      <c r="M26" s="62"/>
      <c r="N26" s="63"/>
      <c r="O26" s="62"/>
      <c r="P26" s="63"/>
      <c r="Q26" s="62"/>
      <c r="R26" s="63"/>
      <c r="S26" s="62"/>
      <c r="T26" s="63"/>
      <c r="U26" s="62">
        <v>0</v>
      </c>
      <c r="V26" s="63">
        <v>59</v>
      </c>
      <c r="W26" s="62"/>
      <c r="X26" s="63"/>
      <c r="Y26" s="62"/>
      <c r="Z26" s="63"/>
      <c r="AA26" s="62"/>
      <c r="AB26" s="63"/>
      <c r="AC26" s="62"/>
      <c r="AD26" s="63"/>
      <c r="AE26" s="62"/>
      <c r="AF26" s="63"/>
      <c r="AG26" s="62"/>
      <c r="AH26" s="63"/>
    </row>
    <row r="27" spans="3:34" x14ac:dyDescent="0.25">
      <c r="C27" s="79">
        <v>21</v>
      </c>
      <c r="D27" s="61">
        <v>48</v>
      </c>
      <c r="E27" s="62">
        <v>26</v>
      </c>
      <c r="F27" s="63">
        <v>46</v>
      </c>
      <c r="G27" s="62"/>
      <c r="H27" s="63"/>
      <c r="I27" s="62"/>
      <c r="J27" s="63"/>
      <c r="K27" s="62"/>
      <c r="L27" s="63"/>
      <c r="M27" s="62"/>
      <c r="N27" s="63"/>
      <c r="O27" s="62"/>
      <c r="P27" s="63"/>
      <c r="Q27" s="62"/>
      <c r="R27" s="63"/>
      <c r="S27" s="62"/>
      <c r="T27" s="63"/>
      <c r="U27" s="62">
        <v>12</v>
      </c>
      <c r="V27" s="63">
        <v>47</v>
      </c>
      <c r="W27" s="62"/>
      <c r="X27" s="63"/>
      <c r="Y27" s="62"/>
      <c r="Z27" s="63"/>
      <c r="AA27" s="62"/>
      <c r="AB27" s="63"/>
      <c r="AC27" s="62"/>
      <c r="AD27" s="63"/>
      <c r="AE27" s="62"/>
      <c r="AF27" s="63"/>
      <c r="AG27" s="62"/>
      <c r="AH27" s="63"/>
    </row>
    <row r="28" spans="3:34" x14ac:dyDescent="0.25">
      <c r="C28" s="79">
        <v>22</v>
      </c>
      <c r="D28" s="61">
        <v>49</v>
      </c>
      <c r="E28" s="62">
        <v>9</v>
      </c>
      <c r="F28" s="63">
        <v>59</v>
      </c>
      <c r="G28" s="62">
        <v>4</v>
      </c>
      <c r="H28" s="63">
        <v>60</v>
      </c>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v>52</v>
      </c>
      <c r="E29" s="62">
        <v>4</v>
      </c>
      <c r="F29" s="63">
        <v>31</v>
      </c>
      <c r="G29" s="62"/>
      <c r="H29" s="63"/>
      <c r="I29" s="62"/>
      <c r="J29" s="63"/>
      <c r="K29" s="62"/>
      <c r="L29" s="63"/>
      <c r="M29" s="62"/>
      <c r="N29" s="63"/>
      <c r="O29" s="62"/>
      <c r="P29" s="63"/>
      <c r="Q29" s="62"/>
      <c r="R29" s="63"/>
      <c r="S29" s="62"/>
      <c r="T29" s="63"/>
      <c r="U29" s="62">
        <v>1</v>
      </c>
      <c r="V29" s="63">
        <v>30</v>
      </c>
      <c r="W29" s="62"/>
      <c r="X29" s="63"/>
      <c r="Y29" s="62"/>
      <c r="Z29" s="63"/>
      <c r="AA29" s="62"/>
      <c r="AB29" s="63"/>
      <c r="AC29" s="62"/>
      <c r="AD29" s="63"/>
      <c r="AE29" s="62"/>
      <c r="AF29" s="63"/>
      <c r="AG29" s="62"/>
      <c r="AH29" s="63"/>
    </row>
    <row r="30" spans="3:34" x14ac:dyDescent="0.25">
      <c r="C30" s="79">
        <v>24</v>
      </c>
      <c r="D30" s="61">
        <v>53</v>
      </c>
      <c r="E30" s="62">
        <v>14</v>
      </c>
      <c r="F30" s="63">
        <v>74</v>
      </c>
      <c r="G30" s="62">
        <v>5</v>
      </c>
      <c r="H30" s="63">
        <v>74</v>
      </c>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v>62</v>
      </c>
      <c r="E31" s="62">
        <v>1</v>
      </c>
      <c r="F31" s="63">
        <v>24</v>
      </c>
      <c r="G31" s="62">
        <v>0</v>
      </c>
      <c r="H31" s="63">
        <v>23</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63</v>
      </c>
      <c r="E32" s="62">
        <v>0</v>
      </c>
      <c r="F32" s="63">
        <v>19</v>
      </c>
      <c r="G32" s="62">
        <v>0</v>
      </c>
      <c r="H32" s="63">
        <v>16</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66</v>
      </c>
      <c r="E33" s="62">
        <v>30</v>
      </c>
      <c r="F33" s="63">
        <v>73</v>
      </c>
      <c r="G33" s="62">
        <v>15</v>
      </c>
      <c r="H33" s="63">
        <v>71</v>
      </c>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v>68</v>
      </c>
      <c r="E34" s="62"/>
      <c r="F34" s="63"/>
      <c r="G34" s="62"/>
      <c r="H34" s="63"/>
      <c r="I34" s="62">
        <v>6</v>
      </c>
      <c r="J34" s="63">
        <v>43</v>
      </c>
      <c r="K34" s="62">
        <v>1</v>
      </c>
      <c r="L34" s="63">
        <v>44</v>
      </c>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2452</v>
      </c>
      <c r="E57" s="248">
        <f>IF(SUM(F7:F56)=0,"",SUM(F7:F56))</f>
        <v>734</v>
      </c>
      <c r="F57" s="249"/>
      <c r="G57" s="248">
        <f>IF(SUM(H7:H56)=0,"",SUM(H7:H56))</f>
        <v>655</v>
      </c>
      <c r="H57" s="249"/>
      <c r="I57" s="248">
        <f>IF(SUM(J7:J56)=0,"",SUM(J7:J56))</f>
        <v>367</v>
      </c>
      <c r="J57" s="249"/>
      <c r="K57" s="248">
        <f>IF(SUM(L7:L56)=0,"",SUM(L7:L56))</f>
        <v>202</v>
      </c>
      <c r="L57" s="249"/>
      <c r="M57" s="248">
        <f>IF(SUM(N7:N56)=0,"",SUM(N7:N56))</f>
        <v>35</v>
      </c>
      <c r="N57" s="249"/>
      <c r="O57" s="248">
        <f>IF(SUM(P7:P56)=0,"",SUM(P7:P56))</f>
        <v>30</v>
      </c>
      <c r="P57" s="249"/>
      <c r="Q57" s="248">
        <f>IF(SUM(R7:R56)=0,"",SUM(R7:R56))</f>
        <v>55</v>
      </c>
      <c r="R57" s="249"/>
      <c r="S57" s="248">
        <f>IF(SUM(T7:T56)=0,"",SUM(T7:T56))</f>
        <v>31</v>
      </c>
      <c r="T57" s="249"/>
      <c r="U57" s="248">
        <f>IF(SUM(V7:V56)=0,"",SUM(V7:V56))</f>
        <v>343</v>
      </c>
      <c r="V57" s="249"/>
      <c r="W57" s="248" t="str">
        <f>IF(SUM(X7:X56)=0,"",SUM(X7:X56))</f>
        <v/>
      </c>
      <c r="X57" s="249"/>
      <c r="Y57" s="248" t="str">
        <f>IF(SUM(Z7:Z56)=0,"",SUM(Z7:Z56))</f>
        <v/>
      </c>
      <c r="Z57" s="249"/>
      <c r="AA57" s="248" t="str">
        <f>IF(SUM(AB7:AB56)=0,"",SUM(AB7:AB56))</f>
        <v/>
      </c>
      <c r="AB57" s="249"/>
      <c r="AC57" s="248" t="str">
        <f>IF(SUM(AD7:AD56)=0,"",SUM(AD7:AD56))</f>
        <v/>
      </c>
      <c r="AD57" s="249"/>
      <c r="AE57" s="248" t="str">
        <f>IF(SUM(AF7:AF56)=0,"",SUM(AF7:AF56))</f>
        <v/>
      </c>
      <c r="AF57" s="249"/>
      <c r="AG57" s="250" t="str">
        <f>IF(SUM(AH7:AH56)=0,"",SUM(AH7:AH56))</f>
        <v/>
      </c>
      <c r="AH57" s="249"/>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272</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1,4</v>
      </c>
      <c r="F5" s="31">
        <f>IFERROR(INDEX('WINBUGS data'!$F$17:$ZZ$65,MATCH($C5,'WINBUGS data'!$F$17:$F$65,0),MATCH("t[,"&amp;F$4 &amp;"]",'WINBUGS data'!$F$16:$ZZ$16,0)),"")</f>
        <v>1</v>
      </c>
      <c r="G5" s="31">
        <f>IFERROR(INDEX('WINBUGS data'!$F$17:$ZZ$65,MATCH($C5,'WINBUGS data'!$F$17:$F$65,0),MATCH("t[,"&amp;G$4 &amp;"]",'WINBUGS data'!$F$16:$ZZ$16,0)),"")</f>
        <v>4</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3,4</v>
      </c>
      <c r="F6" s="31">
        <f>IFERROR(INDEX('WINBUGS data'!$F$17:$ZZ$65,MATCH($C6,'WINBUGS data'!$F$17:$F$65,0),MATCH("t[,"&amp;F$4 &amp;"]",'WINBUGS data'!$F$16:$ZZ$16,0)),"")</f>
        <v>3</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2,8</v>
      </c>
      <c r="F10" s="31">
        <f>IFERROR(INDEX('WINBUGS data'!$F$17:$ZZ$65,MATCH($C10,'WINBUGS data'!$F$17:$F$65,0),MATCH("t[,"&amp;F$4 &amp;"]",'WINBUGS data'!$F$16:$ZZ$16,0)),"")</f>
        <v>2</v>
      </c>
      <c r="G10" s="31">
        <f>IFERROR(INDEX('WINBUGS data'!$F$17:$ZZ$65,MATCH($C10,'WINBUGS data'!$F$17:$F$65,0),MATCH("t[,"&amp;G$4 &amp;"]",'WINBUGS data'!$F$16:$ZZ$16,0)),"")</f>
        <v>8</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2,5</v>
      </c>
      <c r="F11" s="31">
        <f>IFERROR(INDEX('WINBUGS data'!$F$17:$ZZ$65,MATCH($C11,'WINBUGS data'!$F$17:$F$65,0),MATCH("t[,"&amp;F$4 &amp;"]",'WINBUGS data'!$F$16:$ZZ$16,0)),"")</f>
        <v>2</v>
      </c>
      <c r="G11" s="31">
        <f>IFERROR(INDEX('WINBUGS data'!$F$17:$ZZ$65,MATCH($C11,'WINBUGS data'!$F$17:$F$65,0),MATCH("t[,"&amp;G$4 &amp;"]",'WINBUGS data'!$F$16:$ZZ$16,0)),"")</f>
        <v>5</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3,9</v>
      </c>
      <c r="F12" s="31">
        <f>IFERROR(INDEX('WINBUGS data'!$F$17:$ZZ$65,MATCH($C12,'WINBUGS data'!$F$17:$F$65,0),MATCH("t[,"&amp;F$4 &amp;"]",'WINBUGS data'!$F$16:$ZZ$16,0)),"")</f>
        <v>3</v>
      </c>
      <c r="G12" s="31">
        <f>IFERROR(INDEX('WINBUGS data'!$F$17:$ZZ$65,MATCH($C12,'WINBUGS data'!$F$17:$F$65,0),MATCH("t[,"&amp;G$4 &amp;"]",'WINBUGS data'!$F$16:$ZZ$16,0)),"")</f>
        <v>9</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1,9</v>
      </c>
      <c r="F13" s="31">
        <f>IFERROR(INDEX('WINBUGS data'!$F$17:$ZZ$65,MATCH($C13,'WINBUGS data'!$F$17:$F$65,0),MATCH("t[,"&amp;F$4 &amp;"]",'WINBUGS data'!$F$16:$ZZ$16,0)),"")</f>
        <v>1</v>
      </c>
      <c r="G13" s="31">
        <f>IFERROR(INDEX('WINBUGS data'!$F$17:$ZZ$65,MATCH($C13,'WINBUGS data'!$F$17:$F$65,0),MATCH("t[,"&amp;G$4 &amp;"]",'WINBUGS data'!$F$16:$ZZ$16,0)),"")</f>
        <v>9</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1,2</v>
      </c>
      <c r="F14" s="31">
        <f>IFERROR(INDEX('WINBUGS data'!$F$17:$ZZ$65,MATCH($C14,'WINBUGS data'!$F$17:$F$65,0),MATCH("t[,"&amp;F$4 &amp;"]",'WINBUGS data'!$F$16:$ZZ$16,0)),"")</f>
        <v>1</v>
      </c>
      <c r="G14" s="31">
        <f>IFERROR(INDEX('WINBUGS data'!$F$17:$ZZ$65,MATCH($C14,'WINBUGS data'!$F$17:$F$65,0),MATCH("t[,"&amp;G$4 &amp;"]",'WINBUGS data'!$F$16:$ZZ$16,0)),"")</f>
        <v>2</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2,7</v>
      </c>
      <c r="F15" s="31">
        <f>IFERROR(INDEX('WINBUGS data'!$F$17:$ZZ$65,MATCH($C15,'WINBUGS data'!$F$17:$F$65,0),MATCH("t[,"&amp;F$4 &amp;"]",'WINBUGS data'!$F$16:$ZZ$16,0)),"")</f>
        <v>2</v>
      </c>
      <c r="G15" s="31">
        <f>IFERROR(INDEX('WINBUGS data'!$F$17:$ZZ$65,MATCH($C15,'WINBUGS data'!$F$17:$F$65,0),MATCH("t[,"&amp;G$4 &amp;"]",'WINBUGS data'!$F$16:$ZZ$16,0)),"")</f>
        <v>7</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1,9</v>
      </c>
      <c r="F16" s="31">
        <f>IFERROR(INDEX('WINBUGS data'!$F$17:$ZZ$65,MATCH($C16,'WINBUGS data'!$F$17:$F$65,0),MATCH("t[,"&amp;F$4 &amp;"]",'WINBUGS data'!$F$16:$ZZ$16,0)),"")</f>
        <v>1</v>
      </c>
      <c r="G16" s="31">
        <f>IFERROR(INDEX('WINBUGS data'!$F$17:$ZZ$65,MATCH($C16,'WINBUGS data'!$F$17:$F$65,0),MATCH("t[,"&amp;G$4 &amp;"]",'WINBUGS data'!$F$16:$ZZ$16,0)),"")</f>
        <v>9</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1,2</v>
      </c>
      <c r="F17" s="31">
        <f>IFERROR(INDEX('WINBUGS data'!$F$17:$ZZ$65,MATCH($C17,'WINBUGS data'!$F$17:$F$65,0),MATCH("t[,"&amp;F$4 &amp;"]",'WINBUGS data'!$F$16:$ZZ$16,0)),"")</f>
        <v>1</v>
      </c>
      <c r="G17" s="31">
        <f>IFERROR(INDEX('WINBUGS data'!$F$17:$ZZ$65,MATCH($C17,'WINBUGS data'!$F$17:$F$65,0),MATCH("t[,"&amp;G$4 &amp;"]",'WINBUGS data'!$F$16:$ZZ$16,0)),"")</f>
        <v>2</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3,4</v>
      </c>
      <c r="F18" s="31">
        <f>IFERROR(INDEX('WINBUGS data'!$F$17:$ZZ$65,MATCH($C18,'WINBUGS data'!$F$17:$F$65,0),MATCH("t[,"&amp;F$4 &amp;"]",'WINBUGS data'!$F$16:$ZZ$16,0)),"")</f>
        <v>3</v>
      </c>
      <c r="G18" s="31">
        <f>IFERROR(INDEX('WINBUGS data'!$F$17:$ZZ$65,MATCH($C18,'WINBUGS data'!$F$17:$F$65,0),MATCH("t[,"&amp;G$4 &amp;"]",'WINBUGS data'!$F$16:$ZZ$16,0)),"")</f>
        <v>4</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1,9</v>
      </c>
      <c r="F20" s="31">
        <f>IFERROR(INDEX('WINBUGS data'!$F$17:$ZZ$65,MATCH($C20,'WINBUGS data'!$F$17:$F$65,0),MATCH("t[,"&amp;F$4 &amp;"]",'WINBUGS data'!$F$16:$ZZ$16,0)),"")</f>
        <v>1</v>
      </c>
      <c r="G20" s="31">
        <f>IFERROR(INDEX('WINBUGS data'!$F$17:$ZZ$65,MATCH($C20,'WINBUGS data'!$F$17:$F$65,0),MATCH("t[,"&amp;G$4 &amp;"]",'WINBUGS data'!$F$16:$ZZ$16,0)),"")</f>
        <v>9</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2,3</v>
      </c>
      <c r="F22" s="31">
        <f>IFERROR(INDEX('WINBUGS data'!$F$17:$ZZ$65,MATCH($C22,'WINBUGS data'!$F$17:$F$65,0),MATCH("t[,"&amp;F$4 &amp;"]",'WINBUGS data'!$F$16:$ZZ$16,0)),"")</f>
        <v>2</v>
      </c>
      <c r="G22" s="31">
        <f>IFERROR(INDEX('WINBUGS data'!$F$17:$ZZ$65,MATCH($C22,'WINBUGS data'!$F$17:$F$65,0),MATCH("t[,"&amp;G$4 &amp;"]",'WINBUGS data'!$F$16:$ZZ$16,0)),"")</f>
        <v>3</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3,6</v>
      </c>
      <c r="F23" s="31">
        <f>IFERROR(INDEX('WINBUGS data'!$F$17:$ZZ$65,MATCH($C23,'WINBUGS data'!$F$17:$F$65,0),MATCH("t[,"&amp;F$4 &amp;"]",'WINBUGS data'!$F$16:$ZZ$16,0)),"")</f>
        <v>3</v>
      </c>
      <c r="G23" s="31">
        <f>IFERROR(INDEX('WINBUGS data'!$F$17:$ZZ$65,MATCH($C23,'WINBUGS data'!$F$17:$F$65,0),MATCH("t[,"&amp;G$4 &amp;"]",'WINBUGS data'!$F$16:$ZZ$16,0)),"")</f>
        <v>6</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1,9</v>
      </c>
      <c r="F24" s="31">
        <f>IFERROR(INDEX('WINBUGS data'!$F$17:$ZZ$65,MATCH($C24,'WINBUGS data'!$F$17:$F$65,0),MATCH("t[,"&amp;F$4 &amp;"]",'WINBUGS data'!$F$16:$ZZ$16,0)),"")</f>
        <v>1</v>
      </c>
      <c r="G24" s="31">
        <f>IFERROR(INDEX('WINBUGS data'!$F$17:$ZZ$65,MATCH($C24,'WINBUGS data'!$F$17:$F$65,0),MATCH("t[,"&amp;G$4 &amp;"]",'WINBUGS data'!$F$16:$ZZ$16,0)),"")</f>
        <v>9</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1,9</v>
      </c>
      <c r="F25" s="31">
        <f>IFERROR(INDEX('WINBUGS data'!$F$17:$ZZ$65,MATCH($C25,'WINBUGS data'!$F$17:$F$65,0),MATCH("t[,"&amp;F$4 &amp;"]",'WINBUGS data'!$F$16:$ZZ$16,0)),"")</f>
        <v>1</v>
      </c>
      <c r="G25" s="31">
        <f>IFERROR(INDEX('WINBUGS data'!$F$17:$ZZ$65,MATCH($C25,'WINBUGS data'!$F$17:$F$65,0),MATCH("t[,"&amp;G$4 &amp;"]",'WINBUGS data'!$F$16:$ZZ$16,0)),"")</f>
        <v>9</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1,2</v>
      </c>
      <c r="F26" s="31">
        <f>IFERROR(INDEX('WINBUGS data'!$F$17:$ZZ$65,MATCH($C26,'WINBUGS data'!$F$17:$F$65,0),MATCH("t[,"&amp;F$4 &amp;"]",'WINBUGS data'!$F$16:$ZZ$16,0)),"")</f>
        <v>1</v>
      </c>
      <c r="G26" s="31">
        <f>IFERROR(INDEX('WINBUGS data'!$F$17:$ZZ$65,MATCH($C26,'WINBUGS data'!$F$17:$F$65,0),MATCH("t[,"&amp;G$4 &amp;"]",'WINBUGS data'!$F$16:$ZZ$16,0)),"")</f>
        <v>2</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1,9</v>
      </c>
      <c r="F27" s="31">
        <f>IFERROR(INDEX('WINBUGS data'!$F$17:$ZZ$65,MATCH($C27,'WINBUGS data'!$F$17:$F$65,0),MATCH("t[,"&amp;F$4 &amp;"]",'WINBUGS data'!$F$16:$ZZ$16,0)),"")</f>
        <v>1</v>
      </c>
      <c r="G27" s="31">
        <f>IFERROR(INDEX('WINBUGS data'!$F$17:$ZZ$65,MATCH($C27,'WINBUGS data'!$F$17:$F$65,0),MATCH("t[,"&amp;G$4 &amp;"]",'WINBUGS data'!$F$16:$ZZ$16,0)),"")</f>
        <v>9</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1,2</v>
      </c>
      <c r="F28" s="31">
        <f>IFERROR(INDEX('WINBUGS data'!$F$17:$ZZ$65,MATCH($C28,'WINBUGS data'!$F$17:$F$65,0),MATCH("t[,"&amp;F$4 &amp;"]",'WINBUGS data'!$F$16:$ZZ$16,0)),"")</f>
        <v>1</v>
      </c>
      <c r="G28" s="31">
        <f>IFERROR(INDEX('WINBUGS data'!$F$17:$ZZ$65,MATCH($C28,'WINBUGS data'!$F$17:$F$65,0),MATCH("t[,"&amp;G$4 &amp;"]",'WINBUGS data'!$F$16:$ZZ$16,0)),"")</f>
        <v>2</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1,2</v>
      </c>
      <c r="F31" s="31">
        <f>IFERROR(INDEX('WINBUGS data'!$F$17:$ZZ$65,MATCH($C31,'WINBUGS data'!$F$17:$F$65,0),MATCH("t[,"&amp;F$4 &amp;"]",'WINBUGS data'!$F$16:$ZZ$16,0)),"")</f>
        <v>1</v>
      </c>
      <c r="G31" s="31">
        <f>IFERROR(INDEX('WINBUGS data'!$F$17:$ZZ$65,MATCH($C31,'WINBUGS data'!$F$17:$F$65,0),MATCH("t[,"&amp;G$4 &amp;"]",'WINBUGS data'!$F$16:$ZZ$16,0)),"")</f>
        <v>2</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3,4</v>
      </c>
      <c r="F32" s="31">
        <f>IFERROR(INDEX('WINBUGS data'!$F$17:$ZZ$65,MATCH($C32,'WINBUGS data'!$F$17:$F$65,0),MATCH("t[,"&amp;F$4 &amp;"]",'WINBUGS data'!$F$16:$ZZ$16,0)),"")</f>
        <v>3</v>
      </c>
      <c r="G32" s="31">
        <f>IFERROR(INDEX('WINBUGS data'!$F$17:$ZZ$65,MATCH($C32,'WINBUGS data'!$F$17:$F$65,0),MATCH("t[,"&amp;G$4 &amp;"]",'WINBUGS data'!$F$16:$ZZ$16,0)),"")</f>
        <v>4</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I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5" ht="87" customHeight="1" thickBot="1" x14ac:dyDescent="0.3">
      <c r="J1" s="22" t="s">
        <v>121</v>
      </c>
    </row>
    <row r="2" spans="2:35" ht="19.5" thickBot="1" x14ac:dyDescent="0.35">
      <c r="B2" s="257" t="s">
        <v>13</v>
      </c>
      <c r="C2" s="258"/>
      <c r="H2" s="9" t="s">
        <v>264</v>
      </c>
      <c r="I2" s="10"/>
      <c r="J2" s="10"/>
      <c r="K2" s="10"/>
      <c r="L2" s="10"/>
      <c r="M2" s="10"/>
      <c r="N2" s="10"/>
      <c r="O2" s="10"/>
      <c r="P2" s="10"/>
      <c r="Q2" s="10"/>
      <c r="R2" s="10"/>
      <c r="S2" s="10"/>
      <c r="T2" s="10"/>
    </row>
    <row r="3" spans="2:35" ht="15.75" thickBot="1" x14ac:dyDescent="0.3">
      <c r="B3" s="4" t="s">
        <v>8</v>
      </c>
      <c r="C3" s="3" t="s">
        <v>7</v>
      </c>
      <c r="H3" t="s">
        <v>698</v>
      </c>
    </row>
    <row r="4" spans="2:35" x14ac:dyDescent="0.25">
      <c r="B4" s="5" t="str">
        <f>IF('DATA Input'!E5="","",'DATA Input'!E5)</f>
        <v>INDOIV</v>
      </c>
      <c r="C4" s="1">
        <f>IF(B4="","",1)</f>
        <v>1</v>
      </c>
      <c r="H4" t="s">
        <v>699</v>
      </c>
    </row>
    <row r="5" spans="2:35" x14ac:dyDescent="0.25">
      <c r="B5" s="5" t="str">
        <f>IF('DATA Input'!G5="","",'DATA Input'!G5)</f>
        <v>IBUIV</v>
      </c>
      <c r="C5" s="1">
        <f>IF(B5="","",C4+1)</f>
        <v>2</v>
      </c>
      <c r="H5" t="s">
        <v>700</v>
      </c>
    </row>
    <row r="6" spans="2:35" ht="15.75" x14ac:dyDescent="0.25">
      <c r="B6" s="5" t="str">
        <f>IF('DATA Input'!I5="","",'DATA Input'!I5)</f>
        <v>IBUPO</v>
      </c>
      <c r="C6" s="1">
        <f t="shared" ref="C6:C18" si="0">IF(B6="","",C5+1)</f>
        <v>3</v>
      </c>
      <c r="H6" s="9" t="s">
        <v>265</v>
      </c>
      <c r="I6" s="10"/>
      <c r="J6" s="10"/>
      <c r="K6" s="10"/>
      <c r="L6" s="10"/>
      <c r="M6" s="10"/>
      <c r="N6" s="10"/>
      <c r="O6" s="10"/>
      <c r="P6" s="10"/>
      <c r="Q6" s="10"/>
      <c r="R6" s="10"/>
      <c r="S6" s="10"/>
      <c r="T6" s="10"/>
    </row>
    <row r="7" spans="2:35" x14ac:dyDescent="0.25">
      <c r="B7" s="5" t="str">
        <f>IF('DATA Input'!K$5="","",'DATA Input'!K$5)</f>
        <v>PARAPO</v>
      </c>
      <c r="C7" s="1">
        <f t="shared" si="0"/>
        <v>4</v>
      </c>
      <c r="H7" t="s">
        <v>701</v>
      </c>
    </row>
    <row r="8" spans="2:35" x14ac:dyDescent="0.25">
      <c r="B8" s="5" t="str">
        <f>IF('DATA Input'!M$5="","",'DATA Input'!M$5)</f>
        <v>IBUIVHIGHDOSE</v>
      </c>
      <c r="C8" s="1">
        <f t="shared" si="0"/>
        <v>5</v>
      </c>
      <c r="H8" t="s">
        <v>702</v>
      </c>
    </row>
    <row r="9" spans="2:35" x14ac:dyDescent="0.25">
      <c r="B9" s="5" t="str">
        <f>IF('DATA Input'!O$5="","",'DATA Input'!O$5)</f>
        <v>IBUPOHIGHDOSE</v>
      </c>
      <c r="C9" s="1">
        <f t="shared" si="0"/>
        <v>6</v>
      </c>
      <c r="H9" t="s">
        <v>703</v>
      </c>
    </row>
    <row r="10" spans="2:35" ht="15.75" x14ac:dyDescent="0.25">
      <c r="B10" s="5" t="str">
        <f>IF('DATA Input'!Q$5="","",'DATA Input'!Q$5)</f>
        <v>IBUIVCONT</v>
      </c>
      <c r="C10" s="1">
        <f t="shared" si="0"/>
        <v>7</v>
      </c>
      <c r="H10" s="9" t="s">
        <v>266</v>
      </c>
      <c r="I10" s="10"/>
      <c r="J10" s="10"/>
      <c r="K10" s="10"/>
      <c r="L10" s="10"/>
      <c r="M10" s="10"/>
      <c r="N10" s="10"/>
      <c r="O10" s="10"/>
      <c r="P10" s="10"/>
      <c r="Q10" s="10"/>
      <c r="R10" s="10"/>
      <c r="S10" s="10"/>
      <c r="T10" s="10"/>
    </row>
    <row r="11" spans="2:35" x14ac:dyDescent="0.25">
      <c r="B11" s="5" t="str">
        <f>IF('DATA Input'!S$5="","",'DATA Input'!S$5)</f>
        <v>INDOIVCONT</v>
      </c>
      <c r="C11" s="1">
        <f t="shared" si="0"/>
        <v>8</v>
      </c>
      <c r="H11" t="s">
        <v>704</v>
      </c>
    </row>
    <row r="12" spans="2:35" x14ac:dyDescent="0.25">
      <c r="B12" s="5" t="str">
        <f>IF('DATA Input'!U$5="","",'DATA Input'!U$5)</f>
        <v>INDOTHERS</v>
      </c>
      <c r="C12" s="1">
        <f t="shared" si="0"/>
        <v>9</v>
      </c>
      <c r="F12" s="172" t="s">
        <v>269</v>
      </c>
      <c r="G12" s="146"/>
      <c r="H12" s="54" t="s">
        <v>705</v>
      </c>
      <c r="I12" s="19"/>
      <c r="J12" s="19"/>
      <c r="K12" s="19"/>
      <c r="L12" s="19"/>
      <c r="M12" s="19"/>
      <c r="N12" s="19"/>
      <c r="O12" s="19"/>
      <c r="P12" s="19"/>
      <c r="Q12" s="19"/>
      <c r="R12" s="19"/>
      <c r="S12" s="19"/>
      <c r="T12" s="19"/>
      <c r="U12" s="19"/>
      <c r="V12" s="19"/>
      <c r="W12" s="19"/>
      <c r="X12" s="19"/>
    </row>
    <row r="13" spans="2:35" x14ac:dyDescent="0.25">
      <c r="B13" s="5" t="str">
        <f>IF('DATA Input'!W$5="","",'DATA Input'!W$5)</f>
        <v/>
      </c>
      <c r="C13" s="1" t="str">
        <f t="shared" si="0"/>
        <v/>
      </c>
      <c r="F13" s="8"/>
      <c r="G13" s="16"/>
      <c r="H13" s="54" t="s">
        <v>706</v>
      </c>
      <c r="I13" s="19"/>
      <c r="J13" s="19"/>
      <c r="K13" s="19"/>
      <c r="L13" s="19"/>
      <c r="M13" s="19"/>
      <c r="N13" s="19"/>
      <c r="O13" s="19"/>
      <c r="P13" s="19"/>
      <c r="Q13" s="19"/>
      <c r="R13" s="19"/>
      <c r="S13" s="19"/>
      <c r="T13" s="19"/>
      <c r="U13" s="19"/>
      <c r="V13" s="19"/>
      <c r="W13" s="19"/>
      <c r="X13" s="19"/>
    </row>
    <row r="14" spans="2:35"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5" x14ac:dyDescent="0.25">
      <c r="B15" s="5" t="str">
        <f>IF('DATA Input'!AA$5="","",'DATA Input'!AA$5)</f>
        <v/>
      </c>
      <c r="C15" s="1" t="str">
        <f t="shared" si="0"/>
        <v/>
      </c>
      <c r="F15" s="8"/>
      <c r="G15" s="16"/>
      <c r="H15" s="148" t="s">
        <v>697</v>
      </c>
      <c r="I15" s="19">
        <v>34.485714285714288</v>
      </c>
      <c r="J15" s="19">
        <v>0.51428571428571423</v>
      </c>
      <c r="K15" s="19">
        <v>36.514285714285712</v>
      </c>
      <c r="L15" s="19"/>
      <c r="M15" s="19"/>
      <c r="N15" s="19"/>
      <c r="O15" s="19"/>
      <c r="P15" s="19"/>
      <c r="Q15" s="19"/>
      <c r="R15" s="19"/>
      <c r="S15" s="19"/>
      <c r="T15" s="19"/>
      <c r="U15" s="19"/>
      <c r="V15" s="19"/>
      <c r="W15" s="19"/>
      <c r="X15" s="19"/>
    </row>
    <row r="16" spans="2:35" x14ac:dyDescent="0.25">
      <c r="B16" s="5" t="str">
        <f>IF('DATA Input'!AC$5="","",'DATA Input'!AC$5)</f>
        <v/>
      </c>
      <c r="C16" s="1" t="str">
        <f t="shared" si="0"/>
        <v/>
      </c>
      <c r="F16" s="220" t="s">
        <v>267</v>
      </c>
      <c r="G16" s="220" t="s">
        <v>10</v>
      </c>
      <c r="H16" s="16">
        <v>0.49019607843137253</v>
      </c>
      <c r="I16" s="16">
        <v>50.490196078431374</v>
      </c>
      <c r="J16" s="16">
        <v>0.50980392156862742</v>
      </c>
      <c r="K16" s="16">
        <v>52.509803921568626</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4</v>
      </c>
      <c r="AA16" t="s">
        <v>5</v>
      </c>
      <c r="AB16" t="s">
        <v>46</v>
      </c>
      <c r="AC16" t="s">
        <v>47</v>
      </c>
      <c r="AD16" t="s">
        <v>253</v>
      </c>
      <c r="AE16" t="s">
        <v>369</v>
      </c>
      <c r="AF16" t="s">
        <v>370</v>
      </c>
      <c r="AG16" t="s">
        <v>371</v>
      </c>
      <c r="AH16" t="s">
        <v>372</v>
      </c>
      <c r="AI16" t="s">
        <v>6</v>
      </c>
    </row>
    <row r="17" spans="2:35" x14ac:dyDescent="0.25">
      <c r="B17" s="5" t="str">
        <f>IF('DATA Input'!AE$5="","",'DATA Input'!AE$5)</f>
        <v/>
      </c>
      <c r="C17" s="1" t="str">
        <f t="shared" si="0"/>
        <v/>
      </c>
      <c r="F17" s="16">
        <v>1</v>
      </c>
      <c r="G17" s="104">
        <v>4</v>
      </c>
      <c r="H17" s="144">
        <v>0</v>
      </c>
      <c r="I17" s="144">
        <v>39</v>
      </c>
      <c r="J17" s="144">
        <v>1</v>
      </c>
      <c r="K17" s="144">
        <v>38</v>
      </c>
      <c r="L17" s="144" t="s">
        <v>373</v>
      </c>
      <c r="M17" s="144">
        <v>1</v>
      </c>
      <c r="N17" s="19" t="s">
        <v>373</v>
      </c>
      <c r="O17" s="19">
        <v>1</v>
      </c>
      <c r="P17" s="19" t="s">
        <v>373</v>
      </c>
      <c r="Q17" s="19">
        <v>1</v>
      </c>
      <c r="R17" s="19" t="s">
        <v>373</v>
      </c>
      <c r="S17" s="19">
        <v>1</v>
      </c>
      <c r="T17" s="19" t="s">
        <v>373</v>
      </c>
      <c r="U17" s="19">
        <v>1</v>
      </c>
      <c r="V17" s="19" t="s">
        <v>373</v>
      </c>
      <c r="W17" s="19">
        <v>1</v>
      </c>
      <c r="X17" s="19" t="s">
        <v>373</v>
      </c>
      <c r="Y17">
        <v>1</v>
      </c>
      <c r="Z17">
        <v>1</v>
      </c>
      <c r="AA17">
        <v>4</v>
      </c>
      <c r="AB17" t="s">
        <v>373</v>
      </c>
      <c r="AC17" t="s">
        <v>373</v>
      </c>
      <c r="AD17" t="s">
        <v>373</v>
      </c>
      <c r="AE17" t="s">
        <v>373</v>
      </c>
      <c r="AF17" t="s">
        <v>373</v>
      </c>
      <c r="AG17" t="s">
        <v>373</v>
      </c>
      <c r="AH17" t="s">
        <v>373</v>
      </c>
      <c r="AI17">
        <v>2</v>
      </c>
    </row>
    <row r="18" spans="2:35" ht="15.75" thickBot="1" x14ac:dyDescent="0.3">
      <c r="B18" s="6" t="str">
        <f>IF('DATA Input'!AG$5="","",'DATA Input'!AG$5)</f>
        <v/>
      </c>
      <c r="C18" s="2" t="str">
        <f t="shared" si="0"/>
        <v/>
      </c>
      <c r="F18" s="16">
        <v>2</v>
      </c>
      <c r="G18" s="104">
        <v>7</v>
      </c>
      <c r="H18" s="19">
        <v>0.50793650793650791</v>
      </c>
      <c r="I18" s="19">
        <v>32.507936507936506</v>
      </c>
      <c r="J18" s="19">
        <v>0.49206349206349204</v>
      </c>
      <c r="K18" s="19">
        <v>31.49206349206349</v>
      </c>
      <c r="L18" s="19" t="s">
        <v>373</v>
      </c>
      <c r="M18" s="19">
        <v>1</v>
      </c>
      <c r="N18" s="19" t="s">
        <v>373</v>
      </c>
      <c r="O18" s="19">
        <v>1</v>
      </c>
      <c r="P18" s="19" t="s">
        <v>373</v>
      </c>
      <c r="Q18" s="19">
        <v>1</v>
      </c>
      <c r="R18" s="19" t="s">
        <v>373</v>
      </c>
      <c r="S18" s="19">
        <v>1</v>
      </c>
      <c r="T18" s="19" t="s">
        <v>373</v>
      </c>
      <c r="U18" s="19">
        <v>1</v>
      </c>
      <c r="V18" s="19" t="s">
        <v>373</v>
      </c>
      <c r="W18" s="19">
        <v>1</v>
      </c>
      <c r="X18" s="19" t="s">
        <v>373</v>
      </c>
      <c r="Y18">
        <v>1</v>
      </c>
      <c r="Z18">
        <v>3</v>
      </c>
      <c r="AA18">
        <v>4</v>
      </c>
      <c r="AB18" t="s">
        <v>373</v>
      </c>
      <c r="AC18" t="s">
        <v>373</v>
      </c>
      <c r="AD18" t="s">
        <v>373</v>
      </c>
      <c r="AE18" t="s">
        <v>373</v>
      </c>
      <c r="AF18" t="s">
        <v>373</v>
      </c>
      <c r="AG18" t="s">
        <v>373</v>
      </c>
      <c r="AH18" t="s">
        <v>373</v>
      </c>
      <c r="AI18">
        <v>2</v>
      </c>
    </row>
    <row r="19" spans="2:35" x14ac:dyDescent="0.25">
      <c r="F19" s="16">
        <v>3</v>
      </c>
      <c r="G19" s="104">
        <v>8</v>
      </c>
      <c r="H19" s="19">
        <v>0</v>
      </c>
      <c r="I19" s="19">
        <v>34</v>
      </c>
      <c r="J19" s="19">
        <v>0</v>
      </c>
      <c r="K19" s="19">
        <v>36</v>
      </c>
      <c r="L19" s="19" t="s">
        <v>373</v>
      </c>
      <c r="M19" s="19">
        <v>1</v>
      </c>
      <c r="N19" s="19" t="s">
        <v>373</v>
      </c>
      <c r="O19" s="19">
        <v>1</v>
      </c>
      <c r="P19" s="19" t="s">
        <v>373</v>
      </c>
      <c r="Q19" s="19">
        <v>1</v>
      </c>
      <c r="R19" s="19" t="s">
        <v>373</v>
      </c>
      <c r="S19" s="19">
        <v>1</v>
      </c>
      <c r="T19" s="19" t="s">
        <v>373</v>
      </c>
      <c r="U19" s="19">
        <v>1</v>
      </c>
      <c r="V19" s="19" t="s">
        <v>373</v>
      </c>
      <c r="W19" s="19">
        <v>1</v>
      </c>
      <c r="X19" s="19" t="s">
        <v>373</v>
      </c>
      <c r="Y19">
        <v>1</v>
      </c>
      <c r="Z19">
        <v>2</v>
      </c>
      <c r="AA19">
        <v>3</v>
      </c>
      <c r="AB19" t="s">
        <v>373</v>
      </c>
      <c r="AC19" t="s">
        <v>373</v>
      </c>
      <c r="AD19" t="s">
        <v>373</v>
      </c>
      <c r="AE19" t="s">
        <v>373</v>
      </c>
      <c r="AF19" t="s">
        <v>373</v>
      </c>
      <c r="AG19" t="s">
        <v>373</v>
      </c>
      <c r="AH19" t="s">
        <v>373</v>
      </c>
      <c r="AI19">
        <v>2</v>
      </c>
    </row>
    <row r="20" spans="2:35" x14ac:dyDescent="0.25">
      <c r="F20" s="16">
        <v>4</v>
      </c>
      <c r="G20" s="104">
        <v>9</v>
      </c>
      <c r="H20" s="19">
        <v>0.5</v>
      </c>
      <c r="I20" s="19">
        <v>18.5</v>
      </c>
      <c r="J20" s="19">
        <v>0.5</v>
      </c>
      <c r="K20" s="19">
        <v>18.5</v>
      </c>
      <c r="L20" s="19" t="s">
        <v>373</v>
      </c>
      <c r="M20" s="19">
        <v>1</v>
      </c>
      <c r="N20" s="19" t="s">
        <v>373</v>
      </c>
      <c r="O20" s="19">
        <v>1</v>
      </c>
      <c r="P20" s="19" t="s">
        <v>373</v>
      </c>
      <c r="Q20" s="19">
        <v>1</v>
      </c>
      <c r="R20" s="19" t="s">
        <v>373</v>
      </c>
      <c r="S20" s="19">
        <v>1</v>
      </c>
      <c r="T20" s="19" t="s">
        <v>373</v>
      </c>
      <c r="U20" s="19">
        <v>1</v>
      </c>
      <c r="V20" s="19" t="s">
        <v>373</v>
      </c>
      <c r="W20" s="19">
        <v>1</v>
      </c>
      <c r="X20" s="19" t="s">
        <v>373</v>
      </c>
      <c r="Y20">
        <v>1</v>
      </c>
      <c r="Z20">
        <v>2</v>
      </c>
      <c r="AA20">
        <v>3</v>
      </c>
      <c r="AB20" t="s">
        <v>373</v>
      </c>
      <c r="AC20" t="s">
        <v>373</v>
      </c>
      <c r="AD20" t="s">
        <v>373</v>
      </c>
      <c r="AE20" t="s">
        <v>373</v>
      </c>
      <c r="AF20" t="s">
        <v>373</v>
      </c>
      <c r="AG20" t="s">
        <v>373</v>
      </c>
      <c r="AH20" t="s">
        <v>373</v>
      </c>
      <c r="AI20">
        <v>2</v>
      </c>
    </row>
    <row r="21" spans="2:35" x14ac:dyDescent="0.25">
      <c r="F21" s="16">
        <v>5</v>
      </c>
      <c r="G21" s="104">
        <v>11</v>
      </c>
      <c r="H21" s="19">
        <v>3</v>
      </c>
      <c r="I21" s="19">
        <v>32</v>
      </c>
      <c r="J21" s="19">
        <v>0</v>
      </c>
      <c r="K21" s="19">
        <v>32</v>
      </c>
      <c r="L21" s="19" t="s">
        <v>373</v>
      </c>
      <c r="M21" s="19">
        <v>1</v>
      </c>
      <c r="N21" s="19" t="s">
        <v>373</v>
      </c>
      <c r="O21" s="19">
        <v>1</v>
      </c>
      <c r="P21" s="19" t="s">
        <v>373</v>
      </c>
      <c r="Q21" s="19">
        <v>1</v>
      </c>
      <c r="R21" s="19" t="s">
        <v>373</v>
      </c>
      <c r="S21" s="19">
        <v>1</v>
      </c>
      <c r="T21" s="19" t="s">
        <v>373</v>
      </c>
      <c r="U21" s="19">
        <v>1</v>
      </c>
      <c r="V21" s="19" t="s">
        <v>373</v>
      </c>
      <c r="W21" s="19">
        <v>1</v>
      </c>
      <c r="X21" s="19" t="s">
        <v>373</v>
      </c>
      <c r="Y21">
        <v>1</v>
      </c>
      <c r="Z21">
        <v>2</v>
      </c>
      <c r="AA21">
        <v>3</v>
      </c>
      <c r="AB21" t="s">
        <v>373</v>
      </c>
      <c r="AC21" t="s">
        <v>373</v>
      </c>
      <c r="AD21" t="s">
        <v>373</v>
      </c>
      <c r="AE21" t="s">
        <v>373</v>
      </c>
      <c r="AF21" t="s">
        <v>373</v>
      </c>
      <c r="AG21" t="s">
        <v>373</v>
      </c>
      <c r="AH21" t="s">
        <v>373</v>
      </c>
      <c r="AI21">
        <v>2</v>
      </c>
    </row>
    <row r="22" spans="2:35" x14ac:dyDescent="0.25">
      <c r="F22" s="16">
        <v>6</v>
      </c>
      <c r="G22" s="104">
        <v>17</v>
      </c>
      <c r="H22" s="19">
        <v>0</v>
      </c>
      <c r="I22" s="19">
        <v>32</v>
      </c>
      <c r="J22" s="19">
        <v>0</v>
      </c>
      <c r="K22" s="19">
        <v>31</v>
      </c>
      <c r="L22" s="19" t="s">
        <v>373</v>
      </c>
      <c r="M22" s="19">
        <v>1</v>
      </c>
      <c r="N22" s="19" t="s">
        <v>373</v>
      </c>
      <c r="O22" s="19">
        <v>1</v>
      </c>
      <c r="P22" s="19" t="s">
        <v>373</v>
      </c>
      <c r="Q22" s="19">
        <v>1</v>
      </c>
      <c r="R22" s="19" t="s">
        <v>373</v>
      </c>
      <c r="S22" s="19">
        <v>1</v>
      </c>
      <c r="T22" s="19" t="s">
        <v>373</v>
      </c>
      <c r="U22" s="19">
        <v>1</v>
      </c>
      <c r="V22" s="19" t="s">
        <v>373</v>
      </c>
      <c r="W22" s="19">
        <v>1</v>
      </c>
      <c r="X22" s="19" t="s">
        <v>373</v>
      </c>
      <c r="Y22">
        <v>1</v>
      </c>
      <c r="Z22">
        <v>2</v>
      </c>
      <c r="AA22">
        <v>8</v>
      </c>
      <c r="AB22" t="s">
        <v>373</v>
      </c>
      <c r="AC22" t="s">
        <v>373</v>
      </c>
      <c r="AD22" t="s">
        <v>373</v>
      </c>
      <c r="AE22" t="s">
        <v>373</v>
      </c>
      <c r="AF22" t="s">
        <v>373</v>
      </c>
      <c r="AG22" t="s">
        <v>373</v>
      </c>
      <c r="AH22" t="s">
        <v>373</v>
      </c>
      <c r="AI22">
        <v>2</v>
      </c>
    </row>
    <row r="23" spans="2:35" x14ac:dyDescent="0.25">
      <c r="F23" s="16">
        <v>7</v>
      </c>
      <c r="G23" s="104">
        <v>18</v>
      </c>
      <c r="H23" s="19">
        <v>2.5045045045045047</v>
      </c>
      <c r="I23" s="19">
        <v>56.504504504504503</v>
      </c>
      <c r="J23" s="19">
        <v>0.49549549549549549</v>
      </c>
      <c r="K23" s="19">
        <v>55.495495495495497</v>
      </c>
      <c r="L23" s="19" t="s">
        <v>373</v>
      </c>
      <c r="M23" s="19">
        <v>1</v>
      </c>
      <c r="N23" s="19" t="s">
        <v>373</v>
      </c>
      <c r="O23" s="19">
        <v>1</v>
      </c>
      <c r="P23" s="19" t="s">
        <v>373</v>
      </c>
      <c r="Q23" s="19">
        <v>1</v>
      </c>
      <c r="R23" s="19" t="s">
        <v>373</v>
      </c>
      <c r="S23" s="19">
        <v>1</v>
      </c>
      <c r="T23" s="19" t="s">
        <v>373</v>
      </c>
      <c r="U23" s="19">
        <v>1</v>
      </c>
      <c r="V23" s="19" t="s">
        <v>373</v>
      </c>
      <c r="W23" s="19">
        <v>1</v>
      </c>
      <c r="X23" s="19" t="s">
        <v>373</v>
      </c>
      <c r="Y23">
        <v>1</v>
      </c>
      <c r="Z23">
        <v>2</v>
      </c>
      <c r="AA23">
        <v>5</v>
      </c>
      <c r="AB23" t="s">
        <v>373</v>
      </c>
      <c r="AC23" t="s">
        <v>373</v>
      </c>
      <c r="AD23" t="s">
        <v>373</v>
      </c>
      <c r="AE23" t="s">
        <v>373</v>
      </c>
      <c r="AF23" t="s">
        <v>373</v>
      </c>
      <c r="AG23" t="s">
        <v>373</v>
      </c>
      <c r="AH23" t="s">
        <v>373</v>
      </c>
      <c r="AI23">
        <v>2</v>
      </c>
    </row>
    <row r="24" spans="2:35" x14ac:dyDescent="0.25">
      <c r="F24" s="16">
        <v>8</v>
      </c>
      <c r="G24" s="104">
        <v>19</v>
      </c>
      <c r="H24" s="19">
        <v>0</v>
      </c>
      <c r="I24" s="19">
        <v>18</v>
      </c>
      <c r="J24" s="19">
        <v>0</v>
      </c>
      <c r="K24" s="19">
        <v>18</v>
      </c>
      <c r="L24" s="19" t="s">
        <v>373</v>
      </c>
      <c r="M24" s="19">
        <v>1</v>
      </c>
      <c r="N24" s="19" t="s">
        <v>373</v>
      </c>
      <c r="O24" s="19">
        <v>1</v>
      </c>
      <c r="P24" s="19" t="s">
        <v>373</v>
      </c>
      <c r="Q24" s="19">
        <v>1</v>
      </c>
      <c r="R24" s="19" t="s">
        <v>373</v>
      </c>
      <c r="S24" s="19">
        <v>1</v>
      </c>
      <c r="T24" s="19" t="s">
        <v>373</v>
      </c>
      <c r="U24" s="19">
        <v>1</v>
      </c>
      <c r="V24" s="19" t="s">
        <v>373</v>
      </c>
      <c r="W24" s="19">
        <v>1</v>
      </c>
      <c r="X24" s="19" t="s">
        <v>373</v>
      </c>
      <c r="Y24">
        <v>1</v>
      </c>
      <c r="Z24">
        <v>3</v>
      </c>
      <c r="AA24">
        <v>9</v>
      </c>
      <c r="AB24" t="s">
        <v>373</v>
      </c>
      <c r="AC24" t="s">
        <v>373</v>
      </c>
      <c r="AD24" t="s">
        <v>373</v>
      </c>
      <c r="AE24" t="s">
        <v>373</v>
      </c>
      <c r="AF24" t="s">
        <v>373</v>
      </c>
      <c r="AG24" t="s">
        <v>373</v>
      </c>
      <c r="AH24" t="s">
        <v>373</v>
      </c>
      <c r="AI24">
        <v>2</v>
      </c>
    </row>
    <row r="25" spans="2:35" x14ac:dyDescent="0.25">
      <c r="F25" s="16">
        <v>9</v>
      </c>
      <c r="G25" s="104">
        <v>21</v>
      </c>
      <c r="H25" s="19">
        <v>1</v>
      </c>
      <c r="I25" s="19">
        <v>50</v>
      </c>
      <c r="J25" s="19">
        <v>1</v>
      </c>
      <c r="K25" s="19">
        <v>55</v>
      </c>
      <c r="L25" s="19" t="s">
        <v>373</v>
      </c>
      <c r="M25" s="19">
        <v>1</v>
      </c>
      <c r="N25" s="19" t="s">
        <v>373</v>
      </c>
      <c r="O25" s="19">
        <v>1</v>
      </c>
      <c r="P25" s="19" t="s">
        <v>373</v>
      </c>
      <c r="Q25" s="19">
        <v>1</v>
      </c>
      <c r="R25" s="19" t="s">
        <v>373</v>
      </c>
      <c r="S25" s="19">
        <v>1</v>
      </c>
      <c r="T25" s="19" t="s">
        <v>373</v>
      </c>
      <c r="U25" s="19">
        <v>1</v>
      </c>
      <c r="V25" s="19" t="s">
        <v>373</v>
      </c>
      <c r="W25" s="19">
        <v>1</v>
      </c>
      <c r="X25" s="19" t="s">
        <v>373</v>
      </c>
      <c r="Y25">
        <v>1</v>
      </c>
      <c r="Z25">
        <v>1</v>
      </c>
      <c r="AA25">
        <v>9</v>
      </c>
      <c r="AB25" t="s">
        <v>373</v>
      </c>
      <c r="AC25" t="s">
        <v>373</v>
      </c>
      <c r="AD25" t="s">
        <v>373</v>
      </c>
      <c r="AE25" t="s">
        <v>373</v>
      </c>
      <c r="AF25" t="s">
        <v>373</v>
      </c>
      <c r="AG25" t="s">
        <v>373</v>
      </c>
      <c r="AH25" t="s">
        <v>373</v>
      </c>
      <c r="AI25">
        <v>2</v>
      </c>
    </row>
    <row r="26" spans="2:35" x14ac:dyDescent="0.25">
      <c r="F26" s="16">
        <v>10</v>
      </c>
      <c r="G26" s="104">
        <v>24</v>
      </c>
      <c r="H26" s="19">
        <v>0.5</v>
      </c>
      <c r="I26" s="19">
        <v>40.5</v>
      </c>
      <c r="J26" s="19">
        <v>0.5</v>
      </c>
      <c r="K26" s="19">
        <v>40.5</v>
      </c>
      <c r="L26" s="19" t="s">
        <v>373</v>
      </c>
      <c r="M26" s="19">
        <v>1</v>
      </c>
      <c r="N26" s="19" t="s">
        <v>373</v>
      </c>
      <c r="O26" s="19">
        <v>1</v>
      </c>
      <c r="P26" s="19" t="s">
        <v>373</v>
      </c>
      <c r="Q26" s="19">
        <v>1</v>
      </c>
      <c r="R26" s="19" t="s">
        <v>373</v>
      </c>
      <c r="S26" s="19">
        <v>1</v>
      </c>
      <c r="T26" s="19" t="s">
        <v>373</v>
      </c>
      <c r="U26" s="19">
        <v>1</v>
      </c>
      <c r="V26" s="19" t="s">
        <v>373</v>
      </c>
      <c r="W26" s="19">
        <v>1</v>
      </c>
      <c r="X26" s="19" t="s">
        <v>373</v>
      </c>
      <c r="Y26">
        <v>1</v>
      </c>
      <c r="Z26">
        <v>1</v>
      </c>
      <c r="AA26">
        <v>2</v>
      </c>
      <c r="AB26" t="s">
        <v>373</v>
      </c>
      <c r="AC26" t="s">
        <v>373</v>
      </c>
      <c r="AD26" t="s">
        <v>373</v>
      </c>
      <c r="AE26" t="s">
        <v>373</v>
      </c>
      <c r="AF26" t="s">
        <v>373</v>
      </c>
      <c r="AG26" t="s">
        <v>373</v>
      </c>
      <c r="AH26" t="s">
        <v>373</v>
      </c>
      <c r="AI26">
        <v>2</v>
      </c>
    </row>
    <row r="27" spans="2:35" x14ac:dyDescent="0.25">
      <c r="F27" s="16">
        <v>11</v>
      </c>
      <c r="G27" s="104">
        <v>25</v>
      </c>
      <c r="H27" s="19">
        <v>2</v>
      </c>
      <c r="I27" s="16">
        <v>56</v>
      </c>
      <c r="J27" s="16">
        <v>0</v>
      </c>
      <c r="K27" s="16">
        <v>55</v>
      </c>
      <c r="L27" s="16" t="s">
        <v>373</v>
      </c>
      <c r="M27" s="16">
        <v>1</v>
      </c>
      <c r="N27" s="16" t="s">
        <v>373</v>
      </c>
      <c r="O27" s="16">
        <v>1</v>
      </c>
      <c r="P27" s="16" t="s">
        <v>373</v>
      </c>
      <c r="Q27" s="16">
        <v>1</v>
      </c>
      <c r="R27" s="16" t="s">
        <v>373</v>
      </c>
      <c r="S27" s="16">
        <v>1</v>
      </c>
      <c r="T27" s="16" t="s">
        <v>373</v>
      </c>
      <c r="U27" s="16">
        <v>1</v>
      </c>
      <c r="V27" s="16" t="s">
        <v>373</v>
      </c>
      <c r="W27" s="16">
        <v>1</v>
      </c>
      <c r="X27" s="16" t="s">
        <v>373</v>
      </c>
      <c r="Y27">
        <v>1</v>
      </c>
      <c r="Z27">
        <v>2</v>
      </c>
      <c r="AA27">
        <v>7</v>
      </c>
      <c r="AB27" t="s">
        <v>373</v>
      </c>
      <c r="AC27" t="s">
        <v>373</v>
      </c>
      <c r="AD27" t="s">
        <v>373</v>
      </c>
      <c r="AE27" t="s">
        <v>373</v>
      </c>
      <c r="AF27" t="s">
        <v>373</v>
      </c>
      <c r="AG27" t="s">
        <v>373</v>
      </c>
      <c r="AH27" t="s">
        <v>373</v>
      </c>
      <c r="AI27">
        <v>2</v>
      </c>
    </row>
    <row r="28" spans="2:35" x14ac:dyDescent="0.25">
      <c r="F28" s="16">
        <v>12</v>
      </c>
      <c r="G28" s="104">
        <v>26</v>
      </c>
      <c r="H28" s="16">
        <v>21</v>
      </c>
      <c r="I28" s="16">
        <v>69</v>
      </c>
      <c r="J28" s="16">
        <v>6</v>
      </c>
      <c r="K28" s="16">
        <v>71</v>
      </c>
      <c r="L28" s="16" t="s">
        <v>373</v>
      </c>
      <c r="M28" s="16">
        <v>1</v>
      </c>
      <c r="N28" s="16" t="s">
        <v>373</v>
      </c>
      <c r="O28" s="16">
        <v>1</v>
      </c>
      <c r="P28" s="16" t="s">
        <v>373</v>
      </c>
      <c r="Q28" s="16">
        <v>1</v>
      </c>
      <c r="R28" s="16" t="s">
        <v>373</v>
      </c>
      <c r="S28" s="16">
        <v>1</v>
      </c>
      <c r="T28" s="16" t="s">
        <v>373</v>
      </c>
      <c r="U28" s="16">
        <v>1</v>
      </c>
      <c r="V28" s="16" t="s">
        <v>373</v>
      </c>
      <c r="W28" s="16">
        <v>1</v>
      </c>
      <c r="X28" s="16" t="s">
        <v>373</v>
      </c>
      <c r="Y28">
        <v>1</v>
      </c>
      <c r="Z28">
        <v>1</v>
      </c>
      <c r="AA28">
        <v>9</v>
      </c>
      <c r="AB28" t="s">
        <v>373</v>
      </c>
      <c r="AC28" t="s">
        <v>373</v>
      </c>
      <c r="AD28" t="s">
        <v>373</v>
      </c>
      <c r="AE28" t="s">
        <v>373</v>
      </c>
      <c r="AF28" t="s">
        <v>373</v>
      </c>
      <c r="AG28" t="s">
        <v>373</v>
      </c>
      <c r="AH28" t="s">
        <v>373</v>
      </c>
      <c r="AI28">
        <v>2</v>
      </c>
    </row>
    <row r="29" spans="2:35" x14ac:dyDescent="0.25">
      <c r="F29" s="16">
        <v>13</v>
      </c>
      <c r="G29" s="104">
        <v>28</v>
      </c>
      <c r="H29" s="16">
        <v>0</v>
      </c>
      <c r="I29" s="16">
        <v>8</v>
      </c>
      <c r="J29" s="16">
        <v>1</v>
      </c>
      <c r="K29" s="16">
        <v>8</v>
      </c>
      <c r="L29" s="16" t="s">
        <v>373</v>
      </c>
      <c r="M29" s="16">
        <v>1</v>
      </c>
      <c r="N29" s="16" t="s">
        <v>373</v>
      </c>
      <c r="O29" s="16">
        <v>1</v>
      </c>
      <c r="P29" s="16" t="s">
        <v>373</v>
      </c>
      <c r="Q29" s="16">
        <v>1</v>
      </c>
      <c r="R29" s="16" t="s">
        <v>373</v>
      </c>
      <c r="S29" s="16">
        <v>1</v>
      </c>
      <c r="T29" s="16" t="s">
        <v>373</v>
      </c>
      <c r="U29" s="16">
        <v>1</v>
      </c>
      <c r="V29" s="16" t="s">
        <v>373</v>
      </c>
      <c r="W29" s="16">
        <v>1</v>
      </c>
      <c r="X29" s="16" t="s">
        <v>373</v>
      </c>
      <c r="Y29">
        <v>1</v>
      </c>
      <c r="Z29">
        <v>1</v>
      </c>
      <c r="AA29">
        <v>2</v>
      </c>
      <c r="AB29" t="s">
        <v>373</v>
      </c>
      <c r="AC29" t="s">
        <v>373</v>
      </c>
      <c r="AD29" t="s">
        <v>373</v>
      </c>
      <c r="AE29" t="s">
        <v>373</v>
      </c>
      <c r="AF29" t="s">
        <v>373</v>
      </c>
      <c r="AG29" t="s">
        <v>373</v>
      </c>
      <c r="AH29" t="s">
        <v>373</v>
      </c>
      <c r="AI29">
        <v>2</v>
      </c>
    </row>
    <row r="30" spans="2:35" x14ac:dyDescent="0.25">
      <c r="F30" s="16">
        <v>14</v>
      </c>
      <c r="G30" s="104">
        <v>32</v>
      </c>
      <c r="H30" s="16">
        <v>0.47058823529411764</v>
      </c>
      <c r="I30" s="16">
        <v>32.470588235294116</v>
      </c>
      <c r="J30" s="16">
        <v>0.52941176470588236</v>
      </c>
      <c r="K30" s="16">
        <v>36.529411764705884</v>
      </c>
      <c r="L30" s="16" t="s">
        <v>373</v>
      </c>
      <c r="M30" s="16">
        <v>1</v>
      </c>
      <c r="N30" s="16" t="s">
        <v>373</v>
      </c>
      <c r="O30" s="16">
        <v>1</v>
      </c>
      <c r="P30" s="16" t="s">
        <v>373</v>
      </c>
      <c r="Q30" s="16">
        <v>1</v>
      </c>
      <c r="R30" s="16" t="s">
        <v>373</v>
      </c>
      <c r="S30" s="16">
        <v>1</v>
      </c>
      <c r="T30" s="16" t="s">
        <v>373</v>
      </c>
      <c r="U30" s="16">
        <v>1</v>
      </c>
      <c r="V30" s="16" t="s">
        <v>373</v>
      </c>
      <c r="W30" s="16">
        <v>1</v>
      </c>
      <c r="X30" s="16" t="s">
        <v>373</v>
      </c>
      <c r="Y30">
        <v>1</v>
      </c>
      <c r="Z30">
        <v>3</v>
      </c>
      <c r="AA30">
        <v>4</v>
      </c>
      <c r="AB30" t="s">
        <v>373</v>
      </c>
      <c r="AC30" t="s">
        <v>373</v>
      </c>
      <c r="AD30" t="s">
        <v>373</v>
      </c>
      <c r="AE30" t="s">
        <v>373</v>
      </c>
      <c r="AF30" t="s">
        <v>373</v>
      </c>
      <c r="AG30" t="s">
        <v>373</v>
      </c>
      <c r="AH30" t="s">
        <v>373</v>
      </c>
      <c r="AI30">
        <v>2</v>
      </c>
    </row>
    <row r="31" spans="2:35" x14ac:dyDescent="0.25">
      <c r="F31" s="16">
        <v>15</v>
      </c>
      <c r="G31" s="104">
        <v>35</v>
      </c>
      <c r="H31" s="16">
        <v>8</v>
      </c>
      <c r="I31" s="16">
        <v>20</v>
      </c>
      <c r="J31" s="16">
        <v>1</v>
      </c>
      <c r="K31" s="16">
        <v>20</v>
      </c>
      <c r="L31" s="16" t="s">
        <v>373</v>
      </c>
      <c r="M31" s="16">
        <v>1</v>
      </c>
      <c r="N31" s="16" t="s">
        <v>373</v>
      </c>
      <c r="O31" s="16">
        <v>1</v>
      </c>
      <c r="P31" s="16" t="s">
        <v>373</v>
      </c>
      <c r="Q31" s="16">
        <v>1</v>
      </c>
      <c r="R31" s="16" t="s">
        <v>373</v>
      </c>
      <c r="S31" s="16">
        <v>1</v>
      </c>
      <c r="T31" s="16" t="s">
        <v>373</v>
      </c>
      <c r="U31" s="16">
        <v>1</v>
      </c>
      <c r="V31" s="16" t="s">
        <v>373</v>
      </c>
      <c r="W31" s="16">
        <v>1</v>
      </c>
      <c r="X31" s="16" t="s">
        <v>373</v>
      </c>
      <c r="Y31">
        <v>1</v>
      </c>
      <c r="Z31">
        <v>1</v>
      </c>
      <c r="AA31">
        <v>2</v>
      </c>
      <c r="AB31" t="s">
        <v>373</v>
      </c>
      <c r="AC31" t="s">
        <v>373</v>
      </c>
      <c r="AD31" t="s">
        <v>373</v>
      </c>
      <c r="AE31" t="s">
        <v>373</v>
      </c>
      <c r="AF31" t="s">
        <v>373</v>
      </c>
      <c r="AG31" t="s">
        <v>373</v>
      </c>
      <c r="AH31" t="s">
        <v>373</v>
      </c>
      <c r="AI31">
        <v>2</v>
      </c>
    </row>
    <row r="32" spans="2:35" x14ac:dyDescent="0.25">
      <c r="F32" s="16">
        <v>16</v>
      </c>
      <c r="G32" s="104">
        <v>36</v>
      </c>
      <c r="H32" s="16">
        <v>14</v>
      </c>
      <c r="I32" s="16">
        <v>64</v>
      </c>
      <c r="J32" s="16">
        <v>3</v>
      </c>
      <c r="K32" s="16">
        <v>63</v>
      </c>
      <c r="L32" s="16" t="s">
        <v>373</v>
      </c>
      <c r="M32" s="16">
        <v>1</v>
      </c>
      <c r="N32" s="16" t="s">
        <v>373</v>
      </c>
      <c r="O32" s="16">
        <v>1</v>
      </c>
      <c r="P32" s="16" t="s">
        <v>373</v>
      </c>
      <c r="Q32" s="16">
        <v>1</v>
      </c>
      <c r="R32" s="16" t="s">
        <v>373</v>
      </c>
      <c r="S32" s="16">
        <v>1</v>
      </c>
      <c r="T32" s="16" t="s">
        <v>373</v>
      </c>
      <c r="U32" s="16">
        <v>1</v>
      </c>
      <c r="V32" s="16" t="s">
        <v>373</v>
      </c>
      <c r="W32" s="16">
        <v>1</v>
      </c>
      <c r="X32" s="16" t="s">
        <v>373</v>
      </c>
      <c r="Y32">
        <v>1</v>
      </c>
      <c r="Z32">
        <v>1</v>
      </c>
      <c r="AA32">
        <v>9</v>
      </c>
      <c r="AB32" t="s">
        <v>373</v>
      </c>
      <c r="AC32" t="s">
        <v>373</v>
      </c>
      <c r="AD32" t="s">
        <v>373</v>
      </c>
      <c r="AE32" t="s">
        <v>373</v>
      </c>
      <c r="AF32" t="s">
        <v>373</v>
      </c>
      <c r="AG32" t="s">
        <v>373</v>
      </c>
      <c r="AH32" t="s">
        <v>373</v>
      </c>
      <c r="AI32">
        <v>2</v>
      </c>
    </row>
    <row r="33" spans="6:35" x14ac:dyDescent="0.25">
      <c r="F33" s="16">
        <v>17</v>
      </c>
      <c r="G33" s="104">
        <v>37</v>
      </c>
      <c r="H33" s="16">
        <v>1</v>
      </c>
      <c r="I33" s="16">
        <v>15</v>
      </c>
      <c r="J33" s="16">
        <v>0</v>
      </c>
      <c r="K33" s="16">
        <v>18</v>
      </c>
      <c r="L33" s="16" t="s">
        <v>373</v>
      </c>
      <c r="M33" s="16">
        <v>1</v>
      </c>
      <c r="N33" s="16" t="s">
        <v>373</v>
      </c>
      <c r="O33" s="16">
        <v>1</v>
      </c>
      <c r="P33" s="16" t="s">
        <v>373</v>
      </c>
      <c r="Q33" s="16">
        <v>1</v>
      </c>
      <c r="R33" s="16" t="s">
        <v>373</v>
      </c>
      <c r="S33" s="16">
        <v>1</v>
      </c>
      <c r="T33" s="16" t="s">
        <v>373</v>
      </c>
      <c r="U33" s="16">
        <v>1</v>
      </c>
      <c r="V33" s="16" t="s">
        <v>373</v>
      </c>
      <c r="W33" s="16">
        <v>1</v>
      </c>
      <c r="X33" s="16" t="s">
        <v>373</v>
      </c>
      <c r="Y33">
        <v>1</v>
      </c>
      <c r="Z33">
        <v>1</v>
      </c>
      <c r="AA33">
        <v>2</v>
      </c>
      <c r="AB33" t="s">
        <v>373</v>
      </c>
      <c r="AC33" t="s">
        <v>373</v>
      </c>
      <c r="AD33" t="s">
        <v>373</v>
      </c>
      <c r="AE33" t="s">
        <v>373</v>
      </c>
      <c r="AF33" t="s">
        <v>373</v>
      </c>
      <c r="AG33" t="s">
        <v>373</v>
      </c>
      <c r="AH33" t="s">
        <v>373</v>
      </c>
      <c r="AI33">
        <v>2</v>
      </c>
    </row>
    <row r="34" spans="6:35" x14ac:dyDescent="0.25">
      <c r="F34" s="16">
        <v>18</v>
      </c>
      <c r="G34" s="104">
        <v>39</v>
      </c>
      <c r="H34" s="16">
        <v>0</v>
      </c>
      <c r="I34" s="16">
        <v>32</v>
      </c>
      <c r="J34" s="16">
        <v>0</v>
      </c>
      <c r="K34" s="16">
        <v>36</v>
      </c>
      <c r="L34" s="16" t="s">
        <v>373</v>
      </c>
      <c r="M34" s="16">
        <v>1</v>
      </c>
      <c r="N34" s="16" t="s">
        <v>373</v>
      </c>
      <c r="O34" s="16">
        <v>1</v>
      </c>
      <c r="P34" s="16" t="s">
        <v>373</v>
      </c>
      <c r="Q34" s="16">
        <v>1</v>
      </c>
      <c r="R34" s="16" t="s">
        <v>373</v>
      </c>
      <c r="S34" s="16">
        <v>1</v>
      </c>
      <c r="T34" s="16" t="s">
        <v>373</v>
      </c>
      <c r="U34" s="16">
        <v>1</v>
      </c>
      <c r="V34" s="16" t="s">
        <v>373</v>
      </c>
      <c r="W34" s="16">
        <v>1</v>
      </c>
      <c r="X34" s="16" t="s">
        <v>373</v>
      </c>
      <c r="Y34">
        <v>1</v>
      </c>
      <c r="Z34">
        <v>2</v>
      </c>
      <c r="AA34">
        <v>3</v>
      </c>
      <c r="AB34" t="s">
        <v>373</v>
      </c>
      <c r="AC34" t="s">
        <v>373</v>
      </c>
      <c r="AD34" t="s">
        <v>373</v>
      </c>
      <c r="AE34" t="s">
        <v>373</v>
      </c>
      <c r="AF34" t="s">
        <v>373</v>
      </c>
      <c r="AG34" t="s">
        <v>373</v>
      </c>
      <c r="AH34" t="s">
        <v>373</v>
      </c>
      <c r="AI34">
        <v>2</v>
      </c>
    </row>
    <row r="35" spans="6:35" x14ac:dyDescent="0.25">
      <c r="F35" s="16">
        <v>19</v>
      </c>
      <c r="G35" s="104">
        <v>41</v>
      </c>
      <c r="H35" s="16">
        <v>0</v>
      </c>
      <c r="I35" s="16">
        <v>30</v>
      </c>
      <c r="J35" s="16">
        <v>1</v>
      </c>
      <c r="K35" s="16">
        <v>30</v>
      </c>
      <c r="L35" s="16" t="s">
        <v>373</v>
      </c>
      <c r="M35" s="16">
        <v>1</v>
      </c>
      <c r="N35" s="16" t="s">
        <v>373</v>
      </c>
      <c r="O35" s="16">
        <v>1</v>
      </c>
      <c r="P35" s="16" t="s">
        <v>373</v>
      </c>
      <c r="Q35" s="16">
        <v>1</v>
      </c>
      <c r="R35" s="16" t="s">
        <v>373</v>
      </c>
      <c r="S35" s="16">
        <v>1</v>
      </c>
      <c r="T35" s="16" t="s">
        <v>373</v>
      </c>
      <c r="U35" s="16">
        <v>1</v>
      </c>
      <c r="V35" s="16" t="s">
        <v>373</v>
      </c>
      <c r="W35" s="16">
        <v>1</v>
      </c>
      <c r="X35" s="16" t="s">
        <v>373</v>
      </c>
      <c r="Y35">
        <v>1</v>
      </c>
      <c r="Z35">
        <v>3</v>
      </c>
      <c r="AA35">
        <v>6</v>
      </c>
      <c r="AB35" t="s">
        <v>373</v>
      </c>
      <c r="AC35" t="s">
        <v>373</v>
      </c>
      <c r="AD35" t="s">
        <v>373</v>
      </c>
      <c r="AE35" t="s">
        <v>373</v>
      </c>
      <c r="AF35" t="s">
        <v>373</v>
      </c>
      <c r="AG35" t="s">
        <v>373</v>
      </c>
      <c r="AH35" t="s">
        <v>373</v>
      </c>
      <c r="AI35">
        <v>2</v>
      </c>
    </row>
    <row r="36" spans="6:35" x14ac:dyDescent="0.25">
      <c r="F36" s="16">
        <v>20</v>
      </c>
      <c r="G36" s="104">
        <v>42</v>
      </c>
      <c r="H36" s="16">
        <v>2</v>
      </c>
      <c r="I36" s="16">
        <v>62</v>
      </c>
      <c r="J36" s="16">
        <v>0</v>
      </c>
      <c r="K36" s="16">
        <v>59</v>
      </c>
      <c r="L36" s="16" t="s">
        <v>373</v>
      </c>
      <c r="M36" s="16">
        <v>1</v>
      </c>
      <c r="N36" s="16" t="s">
        <v>373</v>
      </c>
      <c r="O36" s="16">
        <v>1</v>
      </c>
      <c r="P36" s="16" t="s">
        <v>373</v>
      </c>
      <c r="Q36" s="16">
        <v>1</v>
      </c>
      <c r="R36" s="16" t="s">
        <v>373</v>
      </c>
      <c r="S36" s="16">
        <v>1</v>
      </c>
      <c r="T36" s="16" t="s">
        <v>373</v>
      </c>
      <c r="U36" s="16">
        <v>1</v>
      </c>
      <c r="V36" s="16" t="s">
        <v>373</v>
      </c>
      <c r="W36" s="16">
        <v>1</v>
      </c>
      <c r="X36" s="16" t="s">
        <v>373</v>
      </c>
      <c r="Y36">
        <v>1</v>
      </c>
      <c r="Z36">
        <v>1</v>
      </c>
      <c r="AA36">
        <v>9</v>
      </c>
      <c r="AB36" t="s">
        <v>373</v>
      </c>
      <c r="AC36" t="s">
        <v>373</v>
      </c>
      <c r="AD36" t="s">
        <v>373</v>
      </c>
      <c r="AE36" t="s">
        <v>373</v>
      </c>
      <c r="AF36" t="s">
        <v>373</v>
      </c>
      <c r="AG36" t="s">
        <v>373</v>
      </c>
      <c r="AH36" t="s">
        <v>373</v>
      </c>
      <c r="AI36">
        <v>2</v>
      </c>
    </row>
    <row r="37" spans="6:35" x14ac:dyDescent="0.25">
      <c r="F37" s="16">
        <v>21</v>
      </c>
      <c r="G37" s="104">
        <v>48</v>
      </c>
      <c r="H37" s="16">
        <v>26</v>
      </c>
      <c r="I37" s="16">
        <v>46</v>
      </c>
      <c r="J37" s="16">
        <v>12</v>
      </c>
      <c r="K37" s="16">
        <v>47</v>
      </c>
      <c r="L37" s="16" t="s">
        <v>373</v>
      </c>
      <c r="M37" s="16">
        <v>1</v>
      </c>
      <c r="N37" s="16" t="s">
        <v>373</v>
      </c>
      <c r="O37" s="16">
        <v>1</v>
      </c>
      <c r="P37" s="16" t="s">
        <v>373</v>
      </c>
      <c r="Q37" s="16">
        <v>1</v>
      </c>
      <c r="R37" s="16" t="s">
        <v>373</v>
      </c>
      <c r="S37" s="16">
        <v>1</v>
      </c>
      <c r="T37" s="16" t="s">
        <v>373</v>
      </c>
      <c r="U37" s="16">
        <v>1</v>
      </c>
      <c r="V37" s="16" t="s">
        <v>373</v>
      </c>
      <c r="W37" s="16">
        <v>1</v>
      </c>
      <c r="X37" s="16" t="s">
        <v>373</v>
      </c>
      <c r="Y37">
        <v>1</v>
      </c>
      <c r="Z37">
        <v>1</v>
      </c>
      <c r="AA37">
        <v>9</v>
      </c>
      <c r="AB37" t="s">
        <v>373</v>
      </c>
      <c r="AC37" t="s">
        <v>373</v>
      </c>
      <c r="AD37" t="s">
        <v>373</v>
      </c>
      <c r="AE37" t="s">
        <v>373</v>
      </c>
      <c r="AF37" t="s">
        <v>373</v>
      </c>
      <c r="AG37" t="s">
        <v>373</v>
      </c>
      <c r="AH37" t="s">
        <v>373</v>
      </c>
      <c r="AI37">
        <v>2</v>
      </c>
    </row>
    <row r="38" spans="6:35" x14ac:dyDescent="0.25">
      <c r="F38" s="16">
        <v>22</v>
      </c>
      <c r="G38" s="104">
        <v>49</v>
      </c>
      <c r="H38" s="16">
        <v>0.54285714285714282</v>
      </c>
      <c r="I38" s="16">
        <v>19.542857142857144</v>
      </c>
      <c r="J38" s="16">
        <v>0.45714285714285713</v>
      </c>
      <c r="K38" s="16">
        <v>16.457142857142856</v>
      </c>
      <c r="L38" s="16" t="s">
        <v>373</v>
      </c>
      <c r="M38" s="16">
        <v>1</v>
      </c>
      <c r="N38" s="16" t="s">
        <v>373</v>
      </c>
      <c r="O38" s="16">
        <v>1</v>
      </c>
      <c r="P38" s="16" t="s">
        <v>373</v>
      </c>
      <c r="Q38" s="16">
        <v>1</v>
      </c>
      <c r="R38" s="16" t="s">
        <v>373</v>
      </c>
      <c r="S38" s="16">
        <v>1</v>
      </c>
      <c r="T38" s="16" t="s">
        <v>373</v>
      </c>
      <c r="U38" s="16">
        <v>1</v>
      </c>
      <c r="V38" s="16" t="s">
        <v>373</v>
      </c>
      <c r="W38" s="16">
        <v>1</v>
      </c>
      <c r="X38" s="16" t="s">
        <v>373</v>
      </c>
      <c r="Y38">
        <v>1</v>
      </c>
      <c r="Z38">
        <v>1</v>
      </c>
      <c r="AA38">
        <v>2</v>
      </c>
      <c r="AB38" t="s">
        <v>373</v>
      </c>
      <c r="AC38" t="s">
        <v>373</v>
      </c>
      <c r="AD38" t="s">
        <v>373</v>
      </c>
      <c r="AE38" t="s">
        <v>373</v>
      </c>
      <c r="AF38" t="s">
        <v>373</v>
      </c>
      <c r="AG38" t="s">
        <v>373</v>
      </c>
      <c r="AH38" t="s">
        <v>373</v>
      </c>
      <c r="AI38">
        <v>2</v>
      </c>
    </row>
    <row r="39" spans="6:35" x14ac:dyDescent="0.25">
      <c r="F39" s="16">
        <v>23</v>
      </c>
      <c r="G39" s="104">
        <v>52</v>
      </c>
      <c r="H39" s="16">
        <v>4</v>
      </c>
      <c r="I39" s="16">
        <v>31</v>
      </c>
      <c r="J39" s="16">
        <v>1</v>
      </c>
      <c r="K39" s="16">
        <v>30</v>
      </c>
      <c r="L39" s="16" t="s">
        <v>373</v>
      </c>
      <c r="M39" s="16">
        <v>1</v>
      </c>
      <c r="N39" s="16" t="s">
        <v>373</v>
      </c>
      <c r="O39" s="16">
        <v>1</v>
      </c>
      <c r="P39" s="16" t="s">
        <v>373</v>
      </c>
      <c r="Q39" s="16">
        <v>1</v>
      </c>
      <c r="R39" s="16" t="s">
        <v>373</v>
      </c>
      <c r="S39" s="16">
        <v>1</v>
      </c>
      <c r="T39" s="16" t="s">
        <v>373</v>
      </c>
      <c r="U39" s="16">
        <v>1</v>
      </c>
      <c r="V39" s="16" t="s">
        <v>373</v>
      </c>
      <c r="W39" s="16">
        <v>1</v>
      </c>
      <c r="X39" s="16" t="s">
        <v>373</v>
      </c>
      <c r="Y39">
        <v>1</v>
      </c>
      <c r="Z39">
        <v>1</v>
      </c>
      <c r="AA39">
        <v>9</v>
      </c>
      <c r="AB39" t="s">
        <v>373</v>
      </c>
      <c r="AC39" t="s">
        <v>373</v>
      </c>
      <c r="AD39" t="s">
        <v>373</v>
      </c>
      <c r="AE39" t="s">
        <v>373</v>
      </c>
      <c r="AF39" t="s">
        <v>373</v>
      </c>
      <c r="AG39" t="s">
        <v>373</v>
      </c>
      <c r="AH39" t="s">
        <v>373</v>
      </c>
      <c r="AI39">
        <v>2</v>
      </c>
    </row>
    <row r="40" spans="6:35" x14ac:dyDescent="0.25">
      <c r="F40" s="16">
        <v>24</v>
      </c>
      <c r="G40" s="104">
        <v>53</v>
      </c>
      <c r="H40" s="16">
        <v>14</v>
      </c>
      <c r="I40" s="16">
        <v>74</v>
      </c>
      <c r="J40" s="16">
        <v>5</v>
      </c>
      <c r="K40" s="16">
        <v>74</v>
      </c>
      <c r="L40" s="16" t="s">
        <v>373</v>
      </c>
      <c r="M40" s="16">
        <v>1</v>
      </c>
      <c r="N40" s="16" t="s">
        <v>373</v>
      </c>
      <c r="O40" s="16">
        <v>1</v>
      </c>
      <c r="P40" s="16" t="s">
        <v>373</v>
      </c>
      <c r="Q40" s="16">
        <v>1</v>
      </c>
      <c r="R40" s="16" t="s">
        <v>373</v>
      </c>
      <c r="S40" s="16">
        <v>1</v>
      </c>
      <c r="T40" s="16" t="s">
        <v>373</v>
      </c>
      <c r="U40" s="16">
        <v>1</v>
      </c>
      <c r="V40" s="16" t="s">
        <v>373</v>
      </c>
      <c r="W40" s="16">
        <v>1</v>
      </c>
      <c r="X40" t="s">
        <v>373</v>
      </c>
      <c r="Y40">
        <v>1</v>
      </c>
      <c r="Z40">
        <v>1</v>
      </c>
      <c r="AA40">
        <v>2</v>
      </c>
      <c r="AB40" t="s">
        <v>373</v>
      </c>
      <c r="AC40" t="s">
        <v>373</v>
      </c>
      <c r="AD40" t="s">
        <v>373</v>
      </c>
      <c r="AE40" t="s">
        <v>373</v>
      </c>
      <c r="AF40" t="s">
        <v>373</v>
      </c>
      <c r="AG40" t="s">
        <v>373</v>
      </c>
      <c r="AH40" t="s">
        <v>373</v>
      </c>
      <c r="AI40">
        <v>2</v>
      </c>
    </row>
    <row r="41" spans="6:35" x14ac:dyDescent="0.25">
      <c r="F41" s="16">
        <v>25</v>
      </c>
      <c r="G41" s="104">
        <v>62</v>
      </c>
      <c r="H41" s="16">
        <v>1</v>
      </c>
      <c r="I41" s="16">
        <v>24</v>
      </c>
      <c r="J41" s="16">
        <v>0</v>
      </c>
      <c r="K41" s="16">
        <v>23</v>
      </c>
      <c r="L41" s="16" t="s">
        <v>373</v>
      </c>
      <c r="M41" s="16">
        <v>1</v>
      </c>
      <c r="N41" s="16" t="s">
        <v>373</v>
      </c>
      <c r="O41" s="16">
        <v>1</v>
      </c>
      <c r="P41" s="16" t="s">
        <v>373</v>
      </c>
      <c r="Q41" s="16">
        <v>1</v>
      </c>
      <c r="R41" s="16" t="s">
        <v>373</v>
      </c>
      <c r="S41" s="16">
        <v>1</v>
      </c>
      <c r="T41" s="16" t="s">
        <v>373</v>
      </c>
      <c r="U41" s="16">
        <v>1</v>
      </c>
      <c r="V41" s="16" t="s">
        <v>373</v>
      </c>
      <c r="W41" s="16">
        <v>1</v>
      </c>
      <c r="X41" t="s">
        <v>373</v>
      </c>
      <c r="Y41">
        <v>1</v>
      </c>
      <c r="Z41">
        <v>1</v>
      </c>
      <c r="AA41">
        <v>2</v>
      </c>
      <c r="AB41" t="s">
        <v>373</v>
      </c>
      <c r="AC41" t="s">
        <v>373</v>
      </c>
      <c r="AD41" t="s">
        <v>373</v>
      </c>
      <c r="AE41" t="s">
        <v>373</v>
      </c>
      <c r="AF41" t="s">
        <v>373</v>
      </c>
      <c r="AG41" t="s">
        <v>373</v>
      </c>
      <c r="AH41" t="s">
        <v>373</v>
      </c>
      <c r="AI41">
        <v>2</v>
      </c>
    </row>
    <row r="42" spans="6:35" x14ac:dyDescent="0.25">
      <c r="F42" s="16">
        <v>26</v>
      </c>
      <c r="G42" s="104">
        <v>63</v>
      </c>
      <c r="H42" s="16">
        <v>0</v>
      </c>
      <c r="I42" s="16">
        <v>19</v>
      </c>
      <c r="J42" s="16">
        <v>0</v>
      </c>
      <c r="K42" s="16">
        <v>16</v>
      </c>
      <c r="L42" s="16" t="s">
        <v>373</v>
      </c>
      <c r="M42" s="16">
        <v>1</v>
      </c>
      <c r="N42" s="16" t="s">
        <v>373</v>
      </c>
      <c r="O42" s="16">
        <v>1</v>
      </c>
      <c r="P42" s="16" t="s">
        <v>373</v>
      </c>
      <c r="Q42" s="16">
        <v>1</v>
      </c>
      <c r="R42" s="16" t="s">
        <v>373</v>
      </c>
      <c r="S42" s="16">
        <v>1</v>
      </c>
      <c r="T42" s="16" t="s">
        <v>373</v>
      </c>
      <c r="U42" s="16">
        <v>1</v>
      </c>
      <c r="V42" s="16" t="s">
        <v>373</v>
      </c>
      <c r="W42" s="16">
        <v>1</v>
      </c>
      <c r="X42" t="s">
        <v>373</v>
      </c>
      <c r="Y42">
        <v>1</v>
      </c>
      <c r="Z42">
        <v>1</v>
      </c>
      <c r="AA42">
        <v>2</v>
      </c>
      <c r="AB42" t="s">
        <v>373</v>
      </c>
      <c r="AC42" t="s">
        <v>373</v>
      </c>
      <c r="AD42" t="s">
        <v>373</v>
      </c>
      <c r="AE42" t="s">
        <v>373</v>
      </c>
      <c r="AF42" t="s">
        <v>373</v>
      </c>
      <c r="AG42" t="s">
        <v>373</v>
      </c>
      <c r="AH42" t="s">
        <v>373</v>
      </c>
      <c r="AI42">
        <v>2</v>
      </c>
    </row>
    <row r="43" spans="6:35" x14ac:dyDescent="0.25">
      <c r="F43" s="16">
        <v>27</v>
      </c>
      <c r="G43" s="104">
        <v>66</v>
      </c>
      <c r="H43" s="16">
        <v>30</v>
      </c>
      <c r="I43" s="16">
        <v>73</v>
      </c>
      <c r="J43" s="16">
        <v>15</v>
      </c>
      <c r="K43" s="16">
        <v>71</v>
      </c>
      <c r="L43" s="16" t="s">
        <v>373</v>
      </c>
      <c r="M43" s="16">
        <v>1</v>
      </c>
      <c r="N43" s="16" t="s">
        <v>373</v>
      </c>
      <c r="O43" s="16">
        <v>1</v>
      </c>
      <c r="P43" s="16" t="s">
        <v>373</v>
      </c>
      <c r="Q43" s="16">
        <v>1</v>
      </c>
      <c r="R43" s="16" t="s">
        <v>373</v>
      </c>
      <c r="S43" s="16">
        <v>1</v>
      </c>
      <c r="T43" s="16" t="s">
        <v>373</v>
      </c>
      <c r="U43" s="16">
        <v>1</v>
      </c>
      <c r="V43" s="16" t="s">
        <v>373</v>
      </c>
      <c r="W43" s="16">
        <v>1</v>
      </c>
      <c r="X43" t="s">
        <v>373</v>
      </c>
      <c r="Y43">
        <v>1</v>
      </c>
      <c r="Z43">
        <v>1</v>
      </c>
      <c r="AA43">
        <v>2</v>
      </c>
      <c r="AB43" t="s">
        <v>373</v>
      </c>
      <c r="AC43" t="s">
        <v>373</v>
      </c>
      <c r="AD43" t="s">
        <v>373</v>
      </c>
      <c r="AE43" t="s">
        <v>373</v>
      </c>
      <c r="AF43" t="s">
        <v>373</v>
      </c>
      <c r="AG43" t="s">
        <v>373</v>
      </c>
      <c r="AH43" t="s">
        <v>373</v>
      </c>
      <c r="AI43">
        <v>2</v>
      </c>
    </row>
    <row r="44" spans="6:35" x14ac:dyDescent="0.25">
      <c r="F44" s="16">
        <v>28</v>
      </c>
      <c r="G44" s="104">
        <v>68</v>
      </c>
      <c r="H44" s="16">
        <v>6</v>
      </c>
      <c r="I44" s="16">
        <v>43</v>
      </c>
      <c r="J44" s="16">
        <v>1</v>
      </c>
      <c r="K44" s="16">
        <v>44</v>
      </c>
      <c r="L44" s="16" t="s">
        <v>373</v>
      </c>
      <c r="M44" s="16">
        <v>1</v>
      </c>
      <c r="N44" s="16" t="s">
        <v>373</v>
      </c>
      <c r="O44" s="16">
        <v>1</v>
      </c>
      <c r="P44" s="16" t="s">
        <v>373</v>
      </c>
      <c r="Q44" s="16">
        <v>1</v>
      </c>
      <c r="R44" s="16" t="s">
        <v>373</v>
      </c>
      <c r="S44" s="16">
        <v>1</v>
      </c>
      <c r="T44" s="16" t="s">
        <v>373</v>
      </c>
      <c r="U44" s="16">
        <v>1</v>
      </c>
      <c r="V44" s="16" t="s">
        <v>373</v>
      </c>
      <c r="W44" s="16">
        <v>1</v>
      </c>
      <c r="X44" t="s">
        <v>373</v>
      </c>
      <c r="Y44">
        <v>1</v>
      </c>
      <c r="Z44">
        <v>3</v>
      </c>
      <c r="AA44">
        <v>4</v>
      </c>
      <c r="AB44" t="s">
        <v>373</v>
      </c>
      <c r="AC44" t="s">
        <v>373</v>
      </c>
      <c r="AD44" t="s">
        <v>373</v>
      </c>
      <c r="AE44" t="s">
        <v>373</v>
      </c>
      <c r="AF44" t="s">
        <v>373</v>
      </c>
      <c r="AG44" t="s">
        <v>373</v>
      </c>
      <c r="AH44" t="s">
        <v>373</v>
      </c>
      <c r="AI44">
        <v>2</v>
      </c>
    </row>
    <row r="45" spans="6:35" x14ac:dyDescent="0.25">
      <c r="F45" s="16"/>
      <c r="G45" s="104"/>
      <c r="H45" s="16" t="s">
        <v>374</v>
      </c>
      <c r="I45" s="16"/>
      <c r="J45" s="16"/>
      <c r="K45" s="16"/>
      <c r="L45" s="16"/>
      <c r="M45" s="16"/>
      <c r="N45" s="16"/>
      <c r="O45" s="16"/>
      <c r="P45" s="16"/>
      <c r="Q45" s="16"/>
      <c r="R45" s="16"/>
      <c r="S45" s="16"/>
      <c r="T45" s="16"/>
      <c r="U45" s="16"/>
      <c r="V45" s="16"/>
      <c r="W45" s="16"/>
    </row>
    <row r="46" spans="6:35" x14ac:dyDescent="0.25">
      <c r="F46" s="16"/>
      <c r="G46" s="104"/>
    </row>
    <row r="47" spans="6:35" x14ac:dyDescent="0.25">
      <c r="F47" s="16"/>
      <c r="G47" s="104"/>
    </row>
    <row r="48" spans="6:35"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756</v>
      </c>
    </row>
    <row r="4" spans="2:26" x14ac:dyDescent="0.25">
      <c r="B4" s="5" t="str">
        <f>IF('DATA Input'!E5="","",'DATA Input'!E5)</f>
        <v>INDOIV</v>
      </c>
      <c r="C4" s="1">
        <f>IF(B4="","",1)</f>
        <v>1</v>
      </c>
      <c r="H4" t="s">
        <v>757</v>
      </c>
    </row>
    <row r="5" spans="2:26" x14ac:dyDescent="0.25">
      <c r="B5" s="5" t="str">
        <f>IF('DATA Input'!G5="","",'DATA Input'!G5)</f>
        <v>IBUIV</v>
      </c>
      <c r="C5" s="1">
        <f>IF(B5="","",C4+1)</f>
        <v>2</v>
      </c>
      <c r="H5" t="s">
        <v>758</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694</v>
      </c>
    </row>
    <row r="8" spans="2:26" x14ac:dyDescent="0.25">
      <c r="B8" s="5" t="str">
        <f>IF('DATA Input'!M$5="","",'DATA Input'!M$5)</f>
        <v>IBUIVHIGHDOSE</v>
      </c>
      <c r="C8" s="1">
        <f t="shared" si="0"/>
        <v>5</v>
      </c>
      <c r="H8" t="s">
        <v>695</v>
      </c>
    </row>
    <row r="9" spans="2:26" x14ac:dyDescent="0.25">
      <c r="B9" s="5" t="str">
        <f>IF('DATA Input'!O$5="","",'DATA Input'!O$5)</f>
        <v>IBUPOHIGHDOSE</v>
      </c>
      <c r="C9" s="1">
        <f t="shared" si="0"/>
        <v>6</v>
      </c>
      <c r="H9" t="s">
        <v>696</v>
      </c>
    </row>
    <row r="10" spans="2:26" x14ac:dyDescent="0.25">
      <c r="B10" s="5" t="str">
        <f>IF('DATA Input'!Q$5="","",'DATA Input'!Q$5)</f>
        <v>IBUIVCONT</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INDOIVCONT</v>
      </c>
      <c r="C11" s="1">
        <f t="shared" si="0"/>
        <v>8</v>
      </c>
      <c r="H11" t="s">
        <v>697</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opLeftCell="A4" workbookViewId="0">
      <selection activeCell="P31" sqref="P31"/>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281</v>
      </c>
    </row>
    <row r="6" spans="4:5" ht="15.75" thickBot="1" x14ac:dyDescent="0.3">
      <c r="D6" s="207" t="s">
        <v>275</v>
      </c>
      <c r="E6" s="208" t="s">
        <v>276</v>
      </c>
    </row>
    <row r="7" spans="4:5" x14ac:dyDescent="0.25">
      <c r="D7" s="205" t="s">
        <v>288</v>
      </c>
      <c r="E7" s="206">
        <f>num_treatments</f>
        <v>9</v>
      </c>
    </row>
    <row r="8" spans="4:5" x14ac:dyDescent="0.25">
      <c r="D8" s="179" t="s">
        <v>14</v>
      </c>
      <c r="E8" s="181">
        <f>num_studies</f>
        <v>28</v>
      </c>
    </row>
    <row r="9" spans="4:5" x14ac:dyDescent="0.25">
      <c r="D9" s="179" t="s">
        <v>289</v>
      </c>
      <c r="E9" s="182">
        <f>max_total</f>
        <v>2452</v>
      </c>
    </row>
    <row r="10" spans="4:5" x14ac:dyDescent="0.25">
      <c r="D10" s="179" t="s">
        <v>290</v>
      </c>
      <c r="E10" s="182">
        <f>SUM('DATA Input'!E7:E55,'DATA Input'!G7:G56,'DATA Input'!I7:I56,'DATA Input'!K7:K56,'DATA Input'!M7:M56,'DATA Input'!O7:O56,'DATA Input'!Q7:Q56,'DATA Input'!S7:S56,'DATA Input'!U7:U56,'DATA Input'!W7:W56,'DATA Input'!Y7:Y56,'DATA Input'!AA7:AA56,'DATA Input'!AC7:AC56,'DATA Input'!AE7:AE56,'DATA Input'!AG7:AG56)</f>
        <v>227</v>
      </c>
    </row>
    <row r="11" spans="4:5" x14ac:dyDescent="0.25">
      <c r="D11" s="179" t="s">
        <v>291</v>
      </c>
      <c r="E11" s="181">
        <f>COMBIN(E7,2)</f>
        <v>36</v>
      </c>
    </row>
    <row r="12" spans="4:5" x14ac:dyDescent="0.25">
      <c r="D12" s="179" t="s">
        <v>292</v>
      </c>
      <c r="E12" s="181">
        <f>Unique_connections(list)</f>
        <v>10</v>
      </c>
    </row>
    <row r="13" spans="4:5" x14ac:dyDescent="0.25">
      <c r="D13" s="179" t="s">
        <v>293</v>
      </c>
      <c r="E13" s="181">
        <f ca="1">COUNTIF(OFFSET('WINBUGS data'!G17:G66,0,MATCH("na[]",'WINBUGS data'!H16:BE16,0)),"2")</f>
        <v>28</v>
      </c>
    </row>
    <row r="14" spans="4:5" x14ac:dyDescent="0.25">
      <c r="D14" s="179" t="s">
        <v>294</v>
      </c>
      <c r="E14" s="181">
        <f ca="1">COUNTIF(OFFSET('WINBUGS data'!G17:G66,0,MATCH("na[]",'WINBUGS data'!H16:BE16,0)),"&gt;2")</f>
        <v>0</v>
      </c>
    </row>
    <row r="15" spans="4:5" x14ac:dyDescent="0.25">
      <c r="D15" s="179" t="s">
        <v>297</v>
      </c>
      <c r="E15" s="181">
        <f>No_zero('DATA Input'!E7:AH56)</f>
        <v>13</v>
      </c>
    </row>
    <row r="16" spans="4:5" x14ac:dyDescent="0.25">
      <c r="D16" s="179" t="s">
        <v>295</v>
      </c>
      <c r="E16" s="181">
        <f>num_studies-E15</f>
        <v>15</v>
      </c>
    </row>
    <row r="17" spans="4:11" ht="15.75" thickBot="1" x14ac:dyDescent="0.3">
      <c r="D17" s="180" t="s">
        <v>296</v>
      </c>
      <c r="E17" s="183">
        <f>All_zero('DATA Input'!E7:AH56)</f>
        <v>7</v>
      </c>
    </row>
    <row r="18" spans="4:11" x14ac:dyDescent="0.25">
      <c r="D18" s="177"/>
    </row>
    <row r="19" spans="4:11" hidden="1" x14ac:dyDescent="0.25">
      <c r="D19" s="177"/>
    </row>
    <row r="20" spans="4:11" x14ac:dyDescent="0.25">
      <c r="D20" s="177"/>
    </row>
    <row r="21" spans="4:11" ht="16.5" thickBot="1" x14ac:dyDescent="0.3">
      <c r="D21" s="260" t="s">
        <v>287</v>
      </c>
      <c r="E21" s="260"/>
      <c r="F21" s="260"/>
    </row>
    <row r="22" spans="4:11" ht="8.25" hidden="1" customHeight="1" thickBot="1" x14ac:dyDescent="0.3">
      <c r="D22" s="194" t="s">
        <v>278</v>
      </c>
      <c r="E22" s="194"/>
      <c r="F22" s="194"/>
      <c r="G22" s="194"/>
      <c r="H22" s="194"/>
      <c r="I22" s="194"/>
      <c r="J22" s="194"/>
      <c r="K22" s="47"/>
    </row>
    <row r="23" spans="4:11" ht="15.75" thickBot="1" x14ac:dyDescent="0.3">
      <c r="D23" s="212" t="s">
        <v>278</v>
      </c>
      <c r="E23" s="213" t="s">
        <v>284</v>
      </c>
      <c r="F23" s="213" t="s">
        <v>279</v>
      </c>
      <c r="G23" s="213" t="s">
        <v>280</v>
      </c>
      <c r="H23" s="213" t="s">
        <v>285</v>
      </c>
      <c r="I23" s="213" t="s">
        <v>282</v>
      </c>
      <c r="J23" s="208" t="s">
        <v>283</v>
      </c>
    </row>
    <row r="24" spans="4:11" x14ac:dyDescent="0.25">
      <c r="D24" s="205" t="str">
        <f>IF('DATA Input'!$E$5="","",'DATA Input'!$E$5)</f>
        <v>INDOIV</v>
      </c>
      <c r="E24" s="209">
        <f>COUNTIF('DATA Input'!$F$7:$F$56,"&lt;&gt;")</f>
        <v>16</v>
      </c>
      <c r="F24" s="209">
        <f>SUM('DATA Input'!$E$7:$E$56)</f>
        <v>143</v>
      </c>
      <c r="G24" s="209">
        <f>SUM('DATA Input'!$F$7:$F$56)</f>
        <v>734</v>
      </c>
      <c r="H24" s="210">
        <f>F24/G24</f>
        <v>0.19482288828337874</v>
      </c>
      <c r="I24" s="210">
        <f>MinRate(1,'DATA Input'!$E$7:$AH$56)</f>
        <v>1.9999999552965164E-2</v>
      </c>
      <c r="J24" s="211">
        <f>MaxRate(1,'DATA Input'!$E$7:$AH$56)</f>
        <v>0.56521737575531006</v>
      </c>
    </row>
    <row r="25" spans="4:11" x14ac:dyDescent="0.25">
      <c r="D25" s="179" t="str">
        <f>IF('DATA Input'!$G$5="","",'DATA Input'!$G$5)</f>
        <v>IBUIV</v>
      </c>
      <c r="E25" s="185">
        <f>COUNTIF('DATA Input'!$H$7:$H$56,"&lt;&gt;")</f>
        <v>16</v>
      </c>
      <c r="F25" s="184">
        <f>SUM('DATA Input'!$G$7:$G$56)</f>
        <v>34</v>
      </c>
      <c r="G25" s="185">
        <f>SUM('DATA Input'!$H$7:$H$56)</f>
        <v>655</v>
      </c>
      <c r="H25" s="188">
        <f t="shared" ref="H25:H38" si="0">F25/G25</f>
        <v>5.1908396946564885E-2</v>
      </c>
      <c r="I25" s="188">
        <f>MinRate(2,'DATA Input'!$E$7:$AH$56)</f>
        <v>1.0638297535479069E-2</v>
      </c>
      <c r="J25" s="190">
        <f>MaxRate(2,'DATA Input'!$E$7:$AH$56)</f>
        <v>0.21126760542392731</v>
      </c>
    </row>
    <row r="26" spans="4:11" x14ac:dyDescent="0.25">
      <c r="D26" s="179" t="str">
        <f>IF('DATA Input'!$I$5="","",'DATA Input'!$I$5)</f>
        <v>IBUPO</v>
      </c>
      <c r="E26" s="185">
        <f>COUNTIF('DATA Input'!$J$7:$J$56,"&lt;&gt;")</f>
        <v>9</v>
      </c>
      <c r="F26" s="184">
        <f>SUM('DATA Input'!$I$7:$I$56)</f>
        <v>15</v>
      </c>
      <c r="G26" s="185">
        <f>SUM('DATA Input'!$J$7:$J$56)</f>
        <v>367</v>
      </c>
      <c r="H26" s="188">
        <f t="shared" si="0"/>
        <v>4.0871934604904632E-2</v>
      </c>
      <c r="I26" s="188">
        <f>MinRate(3,'DATA Input'!$E$7:$AH$56)</f>
        <v>0.11249999701976776</v>
      </c>
      <c r="J26" s="190">
        <f>MaxRate(3,'DATA Input'!$E$7:$AH$56)</f>
        <v>0.13953489065170288</v>
      </c>
    </row>
    <row r="27" spans="4:11" x14ac:dyDescent="0.25">
      <c r="D27" s="179" t="str">
        <f>IF('DATA Input'!$K$5="","",'DATA Input'!$K$5)</f>
        <v>PARAPO</v>
      </c>
      <c r="E27" s="184">
        <f>COUNTIF('DATA Input'!$L$7:$L$56,"&lt;&gt;")</f>
        <v>4</v>
      </c>
      <c r="F27" s="184">
        <f>SUM('DATA Input'!$K$7:$K$56)</f>
        <v>8</v>
      </c>
      <c r="G27" s="184">
        <f>SUM('DATA Input'!$L$7:$L$56)</f>
        <v>202</v>
      </c>
      <c r="H27" s="188">
        <f t="shared" si="0"/>
        <v>3.9603960396039604E-2</v>
      </c>
      <c r="I27" s="188">
        <f>MinRate(4,'DATA Input'!$E$7:$AH$56)</f>
        <v>2.2727273404598236E-2</v>
      </c>
      <c r="J27" s="190">
        <f>MaxRate(4,'DATA Input'!$E$7:$AH$56)</f>
        <v>7.5000002980232239E-2</v>
      </c>
    </row>
    <row r="28" spans="4:11" x14ac:dyDescent="0.25">
      <c r="D28" s="179" t="str">
        <f>IF('DATA Input'!$M$5="","",'DATA Input'!$M$5)</f>
        <v>IBUIVHIGHDOSE</v>
      </c>
      <c r="E28" s="184">
        <f>COUNTIF('DATA Input'!$N$7:$N$56,"&lt;&gt;")</f>
        <v>1</v>
      </c>
      <c r="F28" s="184">
        <f>SUM('DATA Input'!$M$7:$M$56)</f>
        <v>3</v>
      </c>
      <c r="G28" s="184">
        <f>SUM('DATA Input'!$N$7:$N$56)</f>
        <v>35</v>
      </c>
      <c r="H28" s="188">
        <f t="shared" si="0"/>
        <v>8.5714285714285715E-2</v>
      </c>
      <c r="I28" s="188">
        <f>MinRate(5,'DATA Input'!$E$7:$AH$56)</f>
        <v>8.5714288055896759E-2</v>
      </c>
      <c r="J28" s="190">
        <f>MaxRate(5,'DATA Input'!$E$7:$AH$56)</f>
        <v>8.5714288055896759E-2</v>
      </c>
    </row>
    <row r="29" spans="4:11" x14ac:dyDescent="0.25">
      <c r="D29" s="179" t="str">
        <f>IF('DATA Input'!$O$5="","",'DATA Input'!$O$5)</f>
        <v>IBUPOHIGHDOSE</v>
      </c>
      <c r="E29" s="184">
        <f>COUNTIF('DATA Input'!$P$7:$P$56,"&lt;&gt;")</f>
        <v>1</v>
      </c>
      <c r="F29" s="184">
        <f>SUM('DATA Input'!$O$7:$O$56)</f>
        <v>1</v>
      </c>
      <c r="G29" s="184">
        <f>SUM('DATA Input'!$P$7:$P$56)</f>
        <v>30</v>
      </c>
      <c r="H29" s="188">
        <f t="shared" si="0"/>
        <v>3.3333333333333333E-2</v>
      </c>
      <c r="I29" s="188">
        <f>MinRate(6,'DATA Input'!$E$7:$AH$56)</f>
        <v>3.3333335071802139E-2</v>
      </c>
      <c r="J29" s="190">
        <f>MaxRate(6,'DATA Input'!$E$7:$AH$56)</f>
        <v>3.3333335071802139E-2</v>
      </c>
    </row>
    <row r="30" spans="4:11" x14ac:dyDescent="0.25">
      <c r="D30" s="179" t="str">
        <f>IF('DATA Input'!$Q$5="","",'DATA Input'!$Q$5)</f>
        <v>IBUIVCONT</v>
      </c>
      <c r="E30" s="184">
        <f>COUNTIF('DATA Input'!$R$7:$R$56,"&lt;&gt;")</f>
        <v>1</v>
      </c>
      <c r="F30" s="184">
        <f>SUM('DATA Input'!$Q$7:$Q$56)</f>
        <v>0</v>
      </c>
      <c r="G30" s="184">
        <f>SUM('DATA Input'!$R$7:$R$56)</f>
        <v>55</v>
      </c>
      <c r="H30" s="188">
        <f t="shared" si="0"/>
        <v>0</v>
      </c>
      <c r="I30" s="188">
        <f>MinRate(7,'DATA Input'!$E$7:$AH$56)</f>
        <v>1</v>
      </c>
      <c r="J30" s="190">
        <f>MaxRate(7,'DATA Input'!$E$7:$AH$56)</f>
        <v>0</v>
      </c>
    </row>
    <row r="31" spans="4:11" x14ac:dyDescent="0.25">
      <c r="D31" s="179" t="str">
        <f>IF('DATA Input'!$S$5="","",'DATA Input'!$S$5)</f>
        <v>INDOIVCONT</v>
      </c>
      <c r="E31" s="184">
        <f>COUNTIF('DATA Input'!$T$7:$T$56,"&lt;&gt;")</f>
        <v>1</v>
      </c>
      <c r="F31" s="184">
        <f>SUM('DATA Input'!$S$7:$S$56)</f>
        <v>0</v>
      </c>
      <c r="G31" s="184">
        <f>SUM('DATA Input'!$T$7:$T$56)</f>
        <v>31</v>
      </c>
      <c r="H31" s="188">
        <f t="shared" si="0"/>
        <v>0</v>
      </c>
      <c r="I31" s="188">
        <f>MinRate(8,'DATA Input'!$E$7:$AH$56)</f>
        <v>1</v>
      </c>
      <c r="J31" s="190">
        <f>MaxRate(8,'DATA Input'!$E$7:$AH$56)</f>
        <v>0</v>
      </c>
    </row>
    <row r="32" spans="4:11" ht="15.75" thickBot="1" x14ac:dyDescent="0.3">
      <c r="D32" s="179" t="str">
        <f>IF('DATA Input'!$U$5="","",'DATA Input'!$U$5)</f>
        <v>INDOTHERS</v>
      </c>
      <c r="E32" s="184">
        <f>COUNTIF('DATA Input'!$V$7:$V$56,"&lt;&gt;")</f>
        <v>7</v>
      </c>
      <c r="F32" s="184">
        <f>SUM('DATA Input'!$U$7:$U$56)</f>
        <v>23</v>
      </c>
      <c r="G32" s="184">
        <f>SUM('DATA Input'!$V$7:$V$56)</f>
        <v>343</v>
      </c>
      <c r="H32" s="188">
        <f t="shared" si="0"/>
        <v>6.7055393586005832E-2</v>
      </c>
      <c r="I32" s="188">
        <f>MinRate(9,'DATA Input'!$E$7:$AH$56)</f>
        <v>1.8181817606091499E-2</v>
      </c>
      <c r="J32" s="190">
        <f>MaxRate(9,'DATA Input'!$E$7:$AH$56)</f>
        <v>0.25531914830207825</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286</v>
      </c>
      <c r="E41" s="260"/>
      <c r="F41" s="260"/>
    </row>
    <row r="42" spans="4:10" ht="15.75" thickBot="1" x14ac:dyDescent="0.3">
      <c r="D42" s="214" t="s">
        <v>277</v>
      </c>
      <c r="E42" s="213" t="s">
        <v>284</v>
      </c>
      <c r="F42" s="213" t="s">
        <v>280</v>
      </c>
      <c r="G42" s="208" t="s">
        <v>279</v>
      </c>
    </row>
    <row r="43" spans="4:10" x14ac:dyDescent="0.25">
      <c r="D43" s="216" t="s">
        <v>376</v>
      </c>
      <c r="E43" s="195">
        <v>1</v>
      </c>
      <c r="F43" s="196">
        <v>77</v>
      </c>
      <c r="G43" s="197">
        <v>1</v>
      </c>
    </row>
    <row r="44" spans="4:10" x14ac:dyDescent="0.25">
      <c r="D44" s="179" t="s">
        <v>377</v>
      </c>
      <c r="E44" s="184">
        <v>3</v>
      </c>
      <c r="F44" s="185">
        <v>327</v>
      </c>
      <c r="G44" s="182">
        <v>22</v>
      </c>
    </row>
    <row r="45" spans="4:10" x14ac:dyDescent="0.25">
      <c r="D45" s="179" t="s">
        <v>378</v>
      </c>
      <c r="E45" s="184">
        <v>4</v>
      </c>
      <c r="F45" s="185">
        <v>304</v>
      </c>
      <c r="G45" s="182">
        <v>3</v>
      </c>
    </row>
    <row r="46" spans="4:10" x14ac:dyDescent="0.25">
      <c r="D46" s="179" t="s">
        <v>379</v>
      </c>
      <c r="E46" s="184">
        <v>1</v>
      </c>
      <c r="F46" s="185">
        <v>63</v>
      </c>
      <c r="G46" s="182">
        <v>0</v>
      </c>
    </row>
    <row r="47" spans="4:10" x14ac:dyDescent="0.25">
      <c r="D47" s="179" t="s">
        <v>380</v>
      </c>
      <c r="E47" s="184">
        <v>1</v>
      </c>
      <c r="F47" s="185">
        <v>70</v>
      </c>
      <c r="G47" s="182">
        <v>5</v>
      </c>
    </row>
    <row r="48" spans="4:10" x14ac:dyDescent="0.25">
      <c r="D48" s="179" t="s">
        <v>381</v>
      </c>
      <c r="E48" s="184">
        <v>1</v>
      </c>
      <c r="F48" s="185">
        <v>36</v>
      </c>
      <c r="G48" s="182">
        <v>0</v>
      </c>
    </row>
    <row r="49" spans="4:7" x14ac:dyDescent="0.25">
      <c r="D49" s="179" t="s">
        <v>375</v>
      </c>
      <c r="E49" s="184">
        <v>6</v>
      </c>
      <c r="F49" s="185">
        <v>647</v>
      </c>
      <c r="G49" s="182">
        <v>91</v>
      </c>
    </row>
    <row r="50" spans="4:7" x14ac:dyDescent="0.25">
      <c r="D50" s="178" t="s">
        <v>382</v>
      </c>
      <c r="E50" s="184">
        <v>9</v>
      </c>
      <c r="F50" s="185">
        <v>757</v>
      </c>
      <c r="G50" s="182">
        <v>102</v>
      </c>
    </row>
    <row r="51" spans="4:7" x14ac:dyDescent="0.25">
      <c r="D51" s="217" t="s">
        <v>383</v>
      </c>
      <c r="E51" s="198">
        <v>1</v>
      </c>
      <c r="F51" s="200">
        <v>111</v>
      </c>
      <c r="G51" s="201">
        <v>2</v>
      </c>
    </row>
    <row r="52" spans="4:7" ht="15.75" thickBot="1" x14ac:dyDescent="0.3">
      <c r="D52" s="217" t="s">
        <v>384</v>
      </c>
      <c r="E52" s="198">
        <v>1</v>
      </c>
      <c r="F52" s="200">
        <v>60</v>
      </c>
      <c r="G52" s="201">
        <v>1</v>
      </c>
    </row>
    <row r="53" spans="4:7" hidden="1" x14ac:dyDescent="0.25">
      <c r="D53" s="217"/>
      <c r="E53" s="198"/>
      <c r="F53" s="200"/>
      <c r="G53" s="201"/>
    </row>
    <row r="54" spans="4:7" hidden="1" x14ac:dyDescent="0.25">
      <c r="D54" s="217"/>
      <c r="E54" s="198"/>
      <c r="F54" s="200"/>
      <c r="G54" s="201"/>
    </row>
    <row r="55" spans="4:7" hidden="1" x14ac:dyDescent="0.25">
      <c r="D55" s="217"/>
      <c r="E55" s="198"/>
      <c r="F55" s="200"/>
      <c r="G55" s="201"/>
    </row>
    <row r="56" spans="4:7" hidden="1" x14ac:dyDescent="0.25">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7" zoomScaleNormal="57" workbookViewId="0">
      <selection activeCell="H32" sqref="H32"/>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5" t="s">
        <v>13</v>
      </c>
      <c r="C23" s="247"/>
    </row>
    <row r="24" spans="2:3" ht="15.75" thickBot="1" x14ac:dyDescent="0.3">
      <c r="B24" s="99" t="s">
        <v>8</v>
      </c>
      <c r="C24" s="95" t="s">
        <v>234</v>
      </c>
    </row>
    <row r="25" spans="2:3" x14ac:dyDescent="0.25">
      <c r="B25" s="100" t="str">
        <f>'WINBUGS data'!B4</f>
        <v>INDOIV</v>
      </c>
      <c r="C25" s="96" t="s">
        <v>299</v>
      </c>
    </row>
    <row r="26" spans="2:3" x14ac:dyDescent="0.25">
      <c r="B26" s="101" t="str">
        <f>'WINBUGS data'!B5</f>
        <v>IBUIV</v>
      </c>
      <c r="C26" s="97" t="s">
        <v>300</v>
      </c>
    </row>
    <row r="27" spans="2:3" x14ac:dyDescent="0.25">
      <c r="B27" s="101" t="str">
        <f>'WINBUGS data'!B6</f>
        <v>IBUPO</v>
      </c>
      <c r="C27" s="97" t="s">
        <v>301</v>
      </c>
    </row>
    <row r="28" spans="2:3" x14ac:dyDescent="0.25">
      <c r="B28" s="101" t="str">
        <f>'WINBUGS data'!B7</f>
        <v>PARAPO</v>
      </c>
      <c r="C28" s="97" t="s">
        <v>302</v>
      </c>
    </row>
    <row r="29" spans="2:3" x14ac:dyDescent="0.25">
      <c r="B29" s="101" t="str">
        <f>'WINBUGS data'!B8</f>
        <v>IBUIVHIGHDOSE</v>
      </c>
      <c r="C29" s="97" t="s">
        <v>303</v>
      </c>
    </row>
    <row r="30" spans="2:3" x14ac:dyDescent="0.25">
      <c r="B30" s="101" t="str">
        <f>'WINBUGS data'!B9</f>
        <v>IBUPOHIGHDOSE</v>
      </c>
      <c r="C30" s="97" t="s">
        <v>304</v>
      </c>
    </row>
    <row r="31" spans="2:3" x14ac:dyDescent="0.25">
      <c r="B31" s="101" t="str">
        <f>'WINBUGS data'!B10</f>
        <v>IBUIVCONT</v>
      </c>
      <c r="C31" s="97" t="s">
        <v>305</v>
      </c>
    </row>
    <row r="32" spans="2:3" x14ac:dyDescent="0.25">
      <c r="B32" s="101" t="str">
        <f>'WINBUGS data'!B11</f>
        <v>INDOIVCONT</v>
      </c>
      <c r="C32" s="97" t="s">
        <v>306</v>
      </c>
    </row>
    <row r="33" spans="2:3" x14ac:dyDescent="0.25">
      <c r="B33" s="101" t="str">
        <f>'WINBUGS data'!B12</f>
        <v>INDOTHERS</v>
      </c>
      <c r="C33" s="97" t="s">
        <v>307</v>
      </c>
    </row>
    <row r="34" spans="2:3" x14ac:dyDescent="0.25">
      <c r="B34" s="101" t="str">
        <f>'WINBUGS data'!B13</f>
        <v/>
      </c>
      <c r="C34" s="97" t="s">
        <v>308</v>
      </c>
    </row>
    <row r="35" spans="2:3" x14ac:dyDescent="0.25">
      <c r="B35" s="101" t="str">
        <f>'WINBUGS data'!B14</f>
        <v/>
      </c>
      <c r="C35" s="97" t="s">
        <v>309</v>
      </c>
    </row>
    <row r="36" spans="2:3" x14ac:dyDescent="0.25">
      <c r="B36" s="101" t="str">
        <f>'WINBUGS data'!B15</f>
        <v/>
      </c>
      <c r="C36" s="97" t="s">
        <v>310</v>
      </c>
    </row>
    <row r="37" spans="2:3" x14ac:dyDescent="0.25">
      <c r="B37" s="101" t="str">
        <f>'WINBUGS data'!B16</f>
        <v/>
      </c>
      <c r="C37" s="97" t="s">
        <v>311</v>
      </c>
    </row>
    <row r="38" spans="2:3" x14ac:dyDescent="0.25">
      <c r="B38" s="101" t="str">
        <f>'WINBUGS data'!B17</f>
        <v/>
      </c>
      <c r="C38" s="97" t="s">
        <v>312</v>
      </c>
    </row>
    <row r="39" spans="2:3" ht="15.75" thickBot="1" x14ac:dyDescent="0.3">
      <c r="B39" s="102" t="str">
        <f>'WINBUGS data'!B18</f>
        <v/>
      </c>
      <c r="C39" s="98" t="s">
        <v>313</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R6" sqref="R6"/>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223</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D9" sqref="D9"/>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223</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358</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719</v>
      </c>
      <c r="G6" s="223" t="s">
        <v>355</v>
      </c>
      <c r="H6" s="70"/>
      <c r="I6" s="70"/>
      <c r="J6" s="70"/>
      <c r="K6" s="70"/>
      <c r="L6" s="70"/>
      <c r="M6" s="70"/>
      <c r="N6" s="70"/>
      <c r="O6" s="70"/>
      <c r="P6" s="70"/>
      <c r="Q6" s="70"/>
      <c r="R6" s="70"/>
      <c r="S6" s="70"/>
      <c r="Y6" t="s">
        <v>718</v>
      </c>
    </row>
    <row r="7" spans="2:26" ht="39.950000000000003" customHeight="1" thickBot="1" x14ac:dyDescent="0.3">
      <c r="E7" s="69"/>
      <c r="F7" s="225" t="s">
        <v>720</v>
      </c>
      <c r="G7" s="224" t="s">
        <v>727</v>
      </c>
      <c r="H7" s="223" t="s">
        <v>360</v>
      </c>
      <c r="I7" s="70"/>
      <c r="J7" s="70"/>
      <c r="K7" s="70"/>
      <c r="L7" s="70"/>
      <c r="M7" s="70"/>
      <c r="N7" s="70"/>
      <c r="O7" s="70"/>
      <c r="P7" s="70"/>
      <c r="Q7" s="70"/>
      <c r="R7" s="70"/>
      <c r="S7" s="70"/>
    </row>
    <row r="8" spans="2:26" ht="39.950000000000003" customHeight="1" thickBot="1" x14ac:dyDescent="0.3">
      <c r="E8" s="69"/>
      <c r="F8" s="225" t="s">
        <v>721</v>
      </c>
      <c r="G8" s="221" t="s">
        <v>728</v>
      </c>
      <c r="H8" s="224" t="s">
        <v>734</v>
      </c>
      <c r="I8" s="223" t="s">
        <v>354</v>
      </c>
      <c r="J8" s="70"/>
      <c r="K8" s="70"/>
      <c r="L8" s="70"/>
      <c r="M8" s="70"/>
      <c r="N8" s="70"/>
      <c r="O8" s="70"/>
      <c r="P8" s="70"/>
      <c r="Q8" s="70"/>
      <c r="R8" s="70"/>
      <c r="S8" s="70"/>
    </row>
    <row r="9" spans="2:26" ht="39.950000000000003" customHeight="1" thickBot="1" x14ac:dyDescent="0.3">
      <c r="E9" s="69"/>
      <c r="F9" s="225" t="s">
        <v>722</v>
      </c>
      <c r="G9" s="221" t="s">
        <v>729</v>
      </c>
      <c r="H9" s="221" t="s">
        <v>735</v>
      </c>
      <c r="I9" s="224" t="s">
        <v>740</v>
      </c>
      <c r="J9" s="223" t="s">
        <v>359</v>
      </c>
      <c r="K9" s="70"/>
      <c r="L9" s="70"/>
      <c r="M9" s="70"/>
      <c r="N9" s="70"/>
      <c r="O9" s="70"/>
      <c r="P9" s="70"/>
      <c r="Q9" s="70"/>
      <c r="R9" s="70"/>
      <c r="S9" s="70"/>
    </row>
    <row r="10" spans="2:26" ht="39.950000000000003" customHeight="1" thickBot="1" x14ac:dyDescent="0.3">
      <c r="E10" s="69"/>
      <c r="F10" s="225" t="s">
        <v>723</v>
      </c>
      <c r="G10" s="221" t="s">
        <v>730</v>
      </c>
      <c r="H10" s="221" t="s">
        <v>736</v>
      </c>
      <c r="I10" s="221" t="s">
        <v>741</v>
      </c>
      <c r="J10" s="224" t="s">
        <v>745</v>
      </c>
      <c r="K10" s="223" t="s">
        <v>353</v>
      </c>
      <c r="L10" s="70"/>
      <c r="M10" s="70"/>
      <c r="N10" s="70"/>
      <c r="O10" s="70"/>
      <c r="P10" s="70"/>
      <c r="Q10" s="70"/>
      <c r="R10" s="70"/>
      <c r="S10" s="70"/>
    </row>
    <row r="11" spans="2:26" ht="39.950000000000003" customHeight="1" thickBot="1" x14ac:dyDescent="0.3">
      <c r="E11" s="69"/>
      <c r="F11" s="225" t="s">
        <v>724</v>
      </c>
      <c r="G11" s="221" t="s">
        <v>731</v>
      </c>
      <c r="H11" s="221" t="s">
        <v>737</v>
      </c>
      <c r="I11" s="221" t="s">
        <v>742</v>
      </c>
      <c r="J11" s="221" t="s">
        <v>746</v>
      </c>
      <c r="K11" s="224" t="s">
        <v>749</v>
      </c>
      <c r="L11" s="223" t="s">
        <v>356</v>
      </c>
      <c r="M11" s="70"/>
      <c r="N11" s="70"/>
      <c r="O11" s="70"/>
      <c r="P11" s="70"/>
      <c r="Q11" s="70"/>
      <c r="R11" s="70"/>
      <c r="S11" s="70"/>
    </row>
    <row r="12" spans="2:26" ht="39.950000000000003" customHeight="1" thickBot="1" x14ac:dyDescent="0.3">
      <c r="E12" s="69"/>
      <c r="F12" s="225" t="s">
        <v>725</v>
      </c>
      <c r="G12" s="221" t="s">
        <v>732</v>
      </c>
      <c r="H12" s="221" t="s">
        <v>738</v>
      </c>
      <c r="I12" s="221" t="s">
        <v>743</v>
      </c>
      <c r="J12" s="221" t="s">
        <v>747</v>
      </c>
      <c r="K12" s="221" t="s">
        <v>750</v>
      </c>
      <c r="L12" s="224" t="s">
        <v>752</v>
      </c>
      <c r="M12" s="223" t="s">
        <v>352</v>
      </c>
      <c r="N12" s="70"/>
      <c r="O12" s="70"/>
      <c r="P12" s="70"/>
      <c r="Q12" s="70"/>
      <c r="R12" s="70"/>
      <c r="S12" s="70"/>
    </row>
    <row r="13" spans="2:26" ht="39.950000000000003" customHeight="1" thickBot="1" x14ac:dyDescent="0.3">
      <c r="E13" s="69"/>
      <c r="F13" s="226" t="s">
        <v>726</v>
      </c>
      <c r="G13" s="222" t="s">
        <v>733</v>
      </c>
      <c r="H13" s="222" t="s">
        <v>739</v>
      </c>
      <c r="I13" s="222" t="s">
        <v>744</v>
      </c>
      <c r="J13" s="222" t="s">
        <v>748</v>
      </c>
      <c r="K13" s="222" t="s">
        <v>751</v>
      </c>
      <c r="L13" s="222" t="s">
        <v>753</v>
      </c>
      <c r="M13" s="228" t="s">
        <v>754</v>
      </c>
      <c r="N13" s="223" t="s">
        <v>357</v>
      </c>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tabSelected="1" workbookViewId="0">
      <selection activeCell="W16" sqref="W16"/>
    </sheetView>
  </sheetViews>
  <sheetFormatPr defaultRowHeight="15" x14ac:dyDescent="0.25"/>
  <cols>
    <col min="2" max="2" width="11.85546875" customWidth="1"/>
    <col min="3" max="3" width="33" customWidth="1"/>
    <col min="13" max="27" width="9.140625" customWidth="1"/>
  </cols>
  <sheetData>
    <row r="2" spans="2:30" hidden="1" x14ac:dyDescent="0.25">
      <c r="B2" t="s">
        <v>263</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223</v>
      </c>
    </row>
    <row r="8" spans="2:30" ht="15.75" thickBot="1" x14ac:dyDescent="0.3">
      <c r="B8" s="67" t="s">
        <v>260</v>
      </c>
      <c r="C8" s="84" t="s">
        <v>258</v>
      </c>
    </row>
    <row r="9" spans="2:30" ht="15.75" hidden="1" thickBot="1" x14ac:dyDescent="0.3">
      <c r="B9" s="67" t="s">
        <v>208</v>
      </c>
      <c r="C9" s="84" t="s">
        <v>357</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358</v>
      </c>
      <c r="D15" s="107">
        <v>0.90300000000000002</v>
      </c>
    </row>
    <row r="16" spans="2:30" x14ac:dyDescent="0.25">
      <c r="C16" s="108" t="s">
        <v>355</v>
      </c>
      <c r="D16" s="109">
        <v>0.79300000000000004</v>
      </c>
    </row>
    <row r="17" spans="2:5" x14ac:dyDescent="0.25">
      <c r="C17" s="108" t="s">
        <v>360</v>
      </c>
      <c r="D17" s="109">
        <v>0.6089</v>
      </c>
    </row>
    <row r="18" spans="2:5" x14ac:dyDescent="0.25">
      <c r="C18" s="108" t="s">
        <v>354</v>
      </c>
      <c r="D18" s="109">
        <v>0.59760000000000002</v>
      </c>
    </row>
    <row r="19" spans="2:5" x14ac:dyDescent="0.25">
      <c r="C19" s="108" t="s">
        <v>359</v>
      </c>
      <c r="D19" s="109">
        <v>0.49619999999999997</v>
      </c>
    </row>
    <row r="20" spans="2:5" x14ac:dyDescent="0.25">
      <c r="C20" s="108" t="s">
        <v>353</v>
      </c>
      <c r="D20" s="109">
        <v>0.4924</v>
      </c>
    </row>
    <row r="21" spans="2:5" x14ac:dyDescent="0.25">
      <c r="C21" s="108" t="s">
        <v>356</v>
      </c>
      <c r="D21" s="109">
        <v>0.3952</v>
      </c>
    </row>
    <row r="22" spans="2:5" x14ac:dyDescent="0.25">
      <c r="C22" s="108" t="s">
        <v>352</v>
      </c>
      <c r="D22" s="109">
        <v>0.1983</v>
      </c>
    </row>
    <row r="23" spans="2:5" x14ac:dyDescent="0.25">
      <c r="C23" s="108" t="s">
        <v>357</v>
      </c>
      <c r="D23" s="109">
        <v>1.54E-2</v>
      </c>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461</v>
      </c>
      <c r="J6" s="31">
        <v>1.8589999999999999E-2</v>
      </c>
      <c r="K6" s="31"/>
      <c r="L6" s="31"/>
      <c r="M6" s="1">
        <f>IF(I6="","",L6-J6)</f>
        <v>-1.8589999999999999E-2</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462</v>
      </c>
      <c r="J7" s="31">
        <v>1.167</v>
      </c>
      <c r="K7" s="31"/>
      <c r="L7" s="31"/>
      <c r="M7" s="1">
        <f t="shared" ref="M7:M70" si="5">IF(I7="","",L7-J7)</f>
        <v>-1.167</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463</v>
      </c>
      <c r="J8" s="31">
        <v>0.94179999999999997</v>
      </c>
      <c r="K8" s="31"/>
      <c r="L8" s="31"/>
      <c r="M8" s="1">
        <f t="shared" si="5"/>
        <v>-0.94179999999999997</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464</v>
      </c>
      <c r="J9" s="31">
        <v>1.1160000000000001</v>
      </c>
      <c r="K9" s="31"/>
      <c r="L9" s="31"/>
      <c r="M9" s="1">
        <f t="shared" si="5"/>
        <v>-1.1160000000000001</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465</v>
      </c>
      <c r="J10" s="31">
        <v>0.70720000000000005</v>
      </c>
      <c r="K10" s="31"/>
      <c r="L10" s="31"/>
      <c r="M10" s="1">
        <f t="shared" si="5"/>
        <v>-0.70720000000000005</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466</v>
      </c>
      <c r="J11" s="31">
        <v>1.0900000000000001</v>
      </c>
      <c r="K11" s="31"/>
      <c r="L11" s="31"/>
      <c r="M11" s="1">
        <f t="shared" si="5"/>
        <v>-1.0900000000000001</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467</v>
      </c>
      <c r="J12" s="31">
        <v>0.71089999999999998</v>
      </c>
      <c r="K12" s="31"/>
      <c r="L12" s="31"/>
      <c r="M12" s="1">
        <f t="shared" si="5"/>
        <v>-0.71089999999999998</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468</v>
      </c>
      <c r="J13" s="31">
        <v>1.089</v>
      </c>
      <c r="K13" s="31"/>
      <c r="L13" s="31"/>
      <c r="M13" s="1">
        <f t="shared" si="5"/>
        <v>-1.089</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469</v>
      </c>
      <c r="J14" s="31">
        <v>1.4590000000000001</v>
      </c>
      <c r="K14" s="31"/>
      <c r="L14" s="31"/>
      <c r="M14" s="1">
        <f t="shared" si="5"/>
        <v>-1.4590000000000001</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470</v>
      </c>
      <c r="J15" s="31">
        <v>1.456</v>
      </c>
      <c r="K15" s="31"/>
      <c r="L15" s="31"/>
      <c r="M15" s="1">
        <f t="shared" si="5"/>
        <v>-1.456</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471</v>
      </c>
      <c r="J16" s="31">
        <v>1.1539999999999999</v>
      </c>
      <c r="K16" s="31"/>
      <c r="L16" s="31"/>
      <c r="M16" s="1">
        <f t="shared" si="5"/>
        <v>-1.1539999999999999</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472</v>
      </c>
      <c r="J17" s="31">
        <v>1.302</v>
      </c>
      <c r="K17" s="31"/>
      <c r="L17" s="31"/>
      <c r="M17" s="1">
        <f t="shared" si="5"/>
        <v>-1.302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473</v>
      </c>
      <c r="J18" s="31">
        <v>1.0349999999999999</v>
      </c>
      <c r="K18" s="31"/>
      <c r="L18" s="31"/>
      <c r="M18" s="1">
        <f t="shared" si="5"/>
        <v>-1.0349999999999999</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474</v>
      </c>
      <c r="J19" s="31">
        <v>1.0129999999999999</v>
      </c>
      <c r="K19" s="31"/>
      <c r="L19" s="31"/>
      <c r="M19" s="1">
        <f t="shared" si="5"/>
        <v>-1.0129999999999999</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475</v>
      </c>
      <c r="J20" s="31">
        <v>1.1579999999999999</v>
      </c>
      <c r="K20" s="31"/>
      <c r="L20" s="31"/>
      <c r="M20" s="1">
        <f t="shared" si="5"/>
        <v>-1.1579999999999999</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476</v>
      </c>
      <c r="J21" s="31">
        <v>1.1859999999999999</v>
      </c>
      <c r="K21" s="31"/>
      <c r="L21" s="31"/>
      <c r="M21" s="1">
        <f t="shared" si="5"/>
        <v>-1.1859999999999999</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477</v>
      </c>
      <c r="J22" s="31">
        <v>0.79079999999999995</v>
      </c>
      <c r="K22" s="31"/>
      <c r="L22" s="31"/>
      <c r="M22" s="1">
        <f t="shared" si="5"/>
        <v>-0.79079999999999995</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478</v>
      </c>
      <c r="J23" s="31">
        <v>1.1890000000000001</v>
      </c>
      <c r="K23" s="31"/>
      <c r="L23" s="31"/>
      <c r="M23" s="1">
        <f t="shared" si="5"/>
        <v>-1.1890000000000001</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479</v>
      </c>
      <c r="J24" s="31">
        <v>1.3660000000000001</v>
      </c>
      <c r="K24" s="31"/>
      <c r="L24" s="31"/>
      <c r="M24" s="1">
        <f t="shared" si="5"/>
        <v>-1.3660000000000001</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480</v>
      </c>
      <c r="J25" s="31">
        <v>1.8069999999999999</v>
      </c>
      <c r="K25" s="31"/>
      <c r="L25" s="31"/>
      <c r="M25" s="1">
        <f t="shared" si="5"/>
        <v>-1.8069999999999999</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481</v>
      </c>
      <c r="J26" s="39">
        <v>1.141</v>
      </c>
      <c r="K26" s="39"/>
      <c r="L26" s="39"/>
      <c r="M26" s="52">
        <f t="shared" si="5"/>
        <v>-1.141</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482</v>
      </c>
      <c r="J27" s="39">
        <v>1.1870000000000001</v>
      </c>
      <c r="K27" s="39"/>
      <c r="L27" s="39"/>
      <c r="M27" s="52">
        <f t="shared" si="5"/>
        <v>-1.1870000000000001</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483</v>
      </c>
      <c r="J28" s="39">
        <v>0.88719999999999999</v>
      </c>
      <c r="K28" s="39"/>
      <c r="L28" s="39"/>
      <c r="M28" s="52">
        <f t="shared" si="5"/>
        <v>-0.88719999999999999</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484</v>
      </c>
      <c r="J29" s="39">
        <v>0.66139999999999999</v>
      </c>
      <c r="K29" s="39"/>
      <c r="L29" s="39"/>
      <c r="M29" s="52">
        <f t="shared" si="5"/>
        <v>-0.66139999999999999</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485</v>
      </c>
      <c r="J30" s="39">
        <v>1.635</v>
      </c>
      <c r="K30" s="39"/>
      <c r="L30" s="39"/>
      <c r="M30" s="52">
        <f t="shared" si="5"/>
        <v>-1.635</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486</v>
      </c>
      <c r="J31" s="39">
        <v>2.5779999999999998</v>
      </c>
      <c r="K31" s="39"/>
      <c r="L31" s="39"/>
      <c r="M31" s="52">
        <f t="shared" si="5"/>
        <v>-2.5779999999999998</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487</v>
      </c>
      <c r="J32" s="39">
        <v>0.65629999999999999</v>
      </c>
      <c r="K32" s="39"/>
      <c r="L32" s="39"/>
      <c r="M32" s="52">
        <f t="shared" si="5"/>
        <v>-0.65629999999999999</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488</v>
      </c>
      <c r="J33" s="39">
        <v>0.77610000000000001</v>
      </c>
      <c r="K33" s="39"/>
      <c r="L33" s="39"/>
      <c r="M33" s="52">
        <f t="shared" si="5"/>
        <v>-0.77610000000000001</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489</v>
      </c>
      <c r="J34" s="39">
        <v>1.1559999999999999</v>
      </c>
      <c r="K34" s="39"/>
      <c r="L34" s="39"/>
      <c r="M34" s="52">
        <f t="shared" si="5"/>
        <v>-1.1559999999999999</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490</v>
      </c>
      <c r="J35" s="39">
        <v>1.127</v>
      </c>
      <c r="K35" s="39"/>
      <c r="L35" s="39"/>
      <c r="M35" s="52">
        <f t="shared" si="5"/>
        <v>-1.127</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491</v>
      </c>
      <c r="J36" s="39">
        <v>0.91100000000000003</v>
      </c>
      <c r="K36" s="39"/>
      <c r="L36" s="39"/>
      <c r="M36" s="52">
        <f t="shared" si="5"/>
        <v>-0.91100000000000003</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492</v>
      </c>
      <c r="J37" s="39">
        <v>0.56610000000000005</v>
      </c>
      <c r="K37" s="39"/>
      <c r="L37" s="39"/>
      <c r="M37" s="52">
        <f t="shared" si="5"/>
        <v>-0.56610000000000005</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493</v>
      </c>
      <c r="J38" s="39">
        <v>1.2310000000000001</v>
      </c>
      <c r="K38" s="39"/>
      <c r="L38" s="39"/>
      <c r="M38" s="52">
        <f t="shared" si="5"/>
        <v>-1.2310000000000001</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494</v>
      </c>
      <c r="J39" s="39">
        <v>0.50960000000000005</v>
      </c>
      <c r="K39" s="39"/>
      <c r="L39" s="39"/>
      <c r="M39" s="52">
        <f t="shared" si="5"/>
        <v>-0.50960000000000005</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495</v>
      </c>
      <c r="J40" s="39">
        <v>0.69840000000000002</v>
      </c>
      <c r="K40" s="39"/>
      <c r="L40" s="39"/>
      <c r="M40" s="52">
        <f t="shared" si="5"/>
        <v>-0.69840000000000002</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496</v>
      </c>
      <c r="J41" s="39">
        <v>1.119</v>
      </c>
      <c r="K41" s="39"/>
      <c r="L41" s="39"/>
      <c r="M41" s="52">
        <f t="shared" si="5"/>
        <v>-1.119</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497</v>
      </c>
      <c r="J42" s="39">
        <v>4.6439999999999997E-3</v>
      </c>
      <c r="K42" s="39"/>
      <c r="L42" s="39"/>
      <c r="M42" s="52">
        <f t="shared" si="5"/>
        <v>-4.6439999999999997E-3</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498</v>
      </c>
      <c r="J43" s="39">
        <v>1.147</v>
      </c>
      <c r="K43" s="39"/>
      <c r="L43" s="39"/>
      <c r="M43" s="52">
        <f t="shared" si="5"/>
        <v>-1.147</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499</v>
      </c>
      <c r="J44" s="39">
        <v>1.1599999999999999</v>
      </c>
      <c r="K44" s="39"/>
      <c r="L44" s="39"/>
      <c r="M44" s="52">
        <f t="shared" si="5"/>
        <v>-1.1599999999999999</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500</v>
      </c>
      <c r="J45" s="39">
        <v>0.71589999999999998</v>
      </c>
      <c r="K45" s="39"/>
      <c r="L45" s="39"/>
      <c r="M45" s="52">
        <f t="shared" si="5"/>
        <v>-0.71589999999999998</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501</v>
      </c>
      <c r="J46" s="39">
        <v>0.85589999999999999</v>
      </c>
      <c r="K46" s="39"/>
      <c r="L46" s="39"/>
      <c r="M46" s="52">
        <f t="shared" si="5"/>
        <v>-0.85589999999999999</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502</v>
      </c>
      <c r="J47" s="39">
        <v>0.82809999999999995</v>
      </c>
      <c r="K47" s="39"/>
      <c r="L47" s="39"/>
      <c r="M47" s="52">
        <f t="shared" si="5"/>
        <v>-0.82809999999999995</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503</v>
      </c>
      <c r="J48" s="39">
        <v>0.85570000000000002</v>
      </c>
      <c r="K48" s="39"/>
      <c r="L48" s="39"/>
      <c r="M48" s="52">
        <f t="shared" si="5"/>
        <v>-0.85570000000000002</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504</v>
      </c>
      <c r="J49" s="39">
        <v>0.78610000000000002</v>
      </c>
      <c r="K49" s="39"/>
      <c r="L49" s="39"/>
      <c r="M49" s="52">
        <f t="shared" si="5"/>
        <v>-0.78610000000000002</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505</v>
      </c>
      <c r="J50" s="39">
        <v>0.8488</v>
      </c>
      <c r="K50" s="39"/>
      <c r="L50" s="39"/>
      <c r="M50" s="52">
        <f t="shared" si="5"/>
        <v>-0.8488</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506</v>
      </c>
      <c r="J51" s="39">
        <v>0.36080000000000001</v>
      </c>
      <c r="K51" s="39"/>
      <c r="L51" s="39"/>
      <c r="M51" s="52">
        <f t="shared" si="5"/>
        <v>-0.36080000000000001</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507</v>
      </c>
      <c r="J52" s="39">
        <v>0.84370000000000001</v>
      </c>
      <c r="K52" s="39"/>
      <c r="L52" s="39"/>
      <c r="M52" s="52">
        <f t="shared" si="5"/>
        <v>-0.84370000000000001</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508</v>
      </c>
      <c r="J53" s="39">
        <v>0.65280000000000005</v>
      </c>
      <c r="K53" s="39"/>
      <c r="L53" s="39"/>
      <c r="M53" s="52">
        <f t="shared" si="5"/>
        <v>-0.65280000000000005</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509</v>
      </c>
      <c r="J54" s="39">
        <v>1.1990000000000001</v>
      </c>
      <c r="K54" s="39"/>
      <c r="L54" s="39"/>
      <c r="M54" s="52">
        <f t="shared" si="5"/>
        <v>-1.1990000000000001</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510</v>
      </c>
      <c r="J55" s="39">
        <v>0.4249</v>
      </c>
      <c r="K55" s="39"/>
      <c r="L55" s="39"/>
      <c r="M55" s="52">
        <f t="shared" si="5"/>
        <v>-0.4249</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511</v>
      </c>
      <c r="J56" s="39">
        <v>0.71940000000000004</v>
      </c>
      <c r="K56" s="39"/>
      <c r="L56" s="39"/>
      <c r="M56" s="52">
        <f t="shared" si="5"/>
        <v>-0.71940000000000004</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512</v>
      </c>
      <c r="J57" s="39">
        <v>0.84940000000000004</v>
      </c>
      <c r="K57" s="39"/>
      <c r="L57" s="39"/>
      <c r="M57" s="52">
        <f t="shared" si="5"/>
        <v>-0.84940000000000004</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513</v>
      </c>
      <c r="J58" s="39">
        <v>1.0009999999999999</v>
      </c>
      <c r="K58" s="39"/>
      <c r="L58" s="39"/>
      <c r="M58" s="52">
        <f t="shared" si="5"/>
        <v>-1.0009999999999999</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514</v>
      </c>
      <c r="J59" s="39">
        <v>1.0960000000000001</v>
      </c>
      <c r="K59" s="39"/>
      <c r="L59" s="39"/>
      <c r="M59" s="52">
        <f t="shared" si="5"/>
        <v>-1.0960000000000001</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515</v>
      </c>
      <c r="J60" s="39">
        <v>1.26</v>
      </c>
      <c r="K60" s="39"/>
      <c r="L60" s="39"/>
      <c r="M60" s="52">
        <f t="shared" si="5"/>
        <v>-1.26</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516</v>
      </c>
      <c r="J61" s="39">
        <v>1.04</v>
      </c>
      <c r="K61" s="39"/>
      <c r="L61" s="39"/>
      <c r="M61" s="52">
        <f t="shared" si="5"/>
        <v>-1.04</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
      </c>
      <c r="J5" s="122" t="str">
        <f ca="1">IF(INDIRECT(CONCATENATE("'",'Inconsistency Data'!$I$4,"'!O5"))="","",INDIRECT(CONCATENATE("'",'Inconsistency Data'!$I$4,"'!O5")))</f>
        <v/>
      </c>
      <c r="K5" s="123" t="str">
        <f ca="1">IF(INDIRECT(CONCATENATE("'",'Inconsistency Data'!$I$4,"'!Q5"))="","",INDIRECT(CONCATENATE("'",'Inconsistency Data'!$I$4,"'!Q5")))</f>
        <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
      </c>
      <c r="J6" s="126" t="str">
        <f ca="1">IF(INDIRECT(CONCATENATE("'",'Inconsistency Data'!$I$4,"'!O6"))="","",INDIRECT(CONCATENATE("'",'Inconsistency Data'!$I$4,"'!O6")))</f>
        <v/>
      </c>
      <c r="K6" s="127" t="str">
        <f ca="1">IF(INDIRECT(CONCATENATE("'",'Inconsistency Data'!$I$4,"'!Q6"))="","",INDIRECT(CONCATENATE("'",'Inconsistency Data'!$I$4,"'!Q6")))</f>
        <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
      </c>
      <c r="J7" s="126" t="str">
        <f ca="1">IF(INDIRECT(CONCATENATE("'",'Inconsistency Data'!$I$4,"'!O7"))="","",INDIRECT(CONCATENATE("'",'Inconsistency Data'!$I$4,"'!O7")))</f>
        <v/>
      </c>
      <c r="K7" s="127" t="str">
        <f ca="1">IF(INDIRECT(CONCATENATE("'",'Inconsistency Data'!$I$4,"'!Q7"))="","",INDIRECT(CONCATENATE("'",'Inconsistency Data'!$I$4,"'!Q7")))</f>
        <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
      </c>
      <c r="J8" s="126" t="str">
        <f ca="1">IF(INDIRECT(CONCATENATE("'",'Inconsistency Data'!$I$4,"'!O8"))="","",INDIRECT(CONCATENATE("'",'Inconsistency Data'!$I$4,"'!O8")))</f>
        <v/>
      </c>
      <c r="K8" s="127" t="str">
        <f ca="1">IF(INDIRECT(CONCATENATE("'",'Inconsistency Data'!$I$4,"'!Q8"))="","",INDIRECT(CONCATENATE("'",'Inconsistency Data'!$I$4,"'!Q8")))</f>
        <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
      </c>
      <c r="J9" s="126" t="str">
        <f ca="1">IF(INDIRECT(CONCATENATE("'",'Inconsistency Data'!$I$4,"'!O9"))="","",INDIRECT(CONCATENATE("'",'Inconsistency Data'!$I$4,"'!O9")))</f>
        <v/>
      </c>
      <c r="K9" s="127" t="str">
        <f ca="1">IF(INDIRECT(CONCATENATE("'",'Inconsistency Data'!$I$4,"'!Q9"))="","",INDIRECT(CONCATENATE("'",'Inconsistency Data'!$I$4,"'!Q9")))</f>
        <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
      </c>
      <c r="J10" s="126" t="str">
        <f ca="1">IF(INDIRECT(CONCATENATE("'",'Inconsistency Data'!$I$4,"'!O10"))="","",INDIRECT(CONCATENATE("'",'Inconsistency Data'!$I$4,"'!O10")))</f>
        <v/>
      </c>
      <c r="K10" s="127" t="str">
        <f ca="1">IF(INDIRECT(CONCATENATE("'",'Inconsistency Data'!$I$4,"'!Q10"))="","",INDIRECT(CONCATENATE("'",'Inconsistency Data'!$I$4,"'!Q10")))</f>
        <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
      </c>
      <c r="J11" s="126" t="str">
        <f ca="1">IF(INDIRECT(CONCATENATE("'",'Inconsistency Data'!$I$4,"'!O11"))="","",INDIRECT(CONCATENATE("'",'Inconsistency Data'!$I$4,"'!O11")))</f>
        <v/>
      </c>
      <c r="K11" s="127" t="str">
        <f ca="1">IF(INDIRECT(CONCATENATE("'",'Inconsistency Data'!$I$4,"'!Q11"))="","",INDIRECT(CONCATENATE("'",'Inconsistency Data'!$I$4,"'!Q11")))</f>
        <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
      </c>
      <c r="J12" s="126" t="str">
        <f ca="1">IF(INDIRECT(CONCATENATE("'",'Inconsistency Data'!$I$4,"'!O12"))="","",INDIRECT(CONCATENATE("'",'Inconsistency Data'!$I$4,"'!O12")))</f>
        <v/>
      </c>
      <c r="K12" s="127" t="str">
        <f ca="1">IF(INDIRECT(CONCATENATE("'",'Inconsistency Data'!$I$4,"'!Q12"))="","",INDIRECT(CONCATENATE("'",'Inconsistency Data'!$I$4,"'!Q12")))</f>
        <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
      </c>
      <c r="J13" s="126" t="str">
        <f ca="1">IF(INDIRECT(CONCATENATE("'",'Inconsistency Data'!$I$4,"'!O13"))="","",INDIRECT(CONCATENATE("'",'Inconsistency Data'!$I$4,"'!O13")))</f>
        <v/>
      </c>
      <c r="K13" s="127" t="str">
        <f ca="1">IF(INDIRECT(CONCATENATE("'",'Inconsistency Data'!$I$4,"'!Q13"))="","",INDIRECT(CONCATENATE("'",'Inconsistency Data'!$I$4,"'!Q13")))</f>
        <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
      </c>
      <c r="J14" s="126" t="str">
        <f ca="1">IF(INDIRECT(CONCATENATE("'",'Inconsistency Data'!$I$4,"'!O14"))="","",INDIRECT(CONCATENATE("'",'Inconsistency Data'!$I$4,"'!O14")))</f>
        <v/>
      </c>
      <c r="K14" s="127" t="str">
        <f ca="1">IF(INDIRECT(CONCATENATE("'",'Inconsistency Data'!$I$4,"'!Q14"))="","",INDIRECT(CONCATENATE("'",'Inconsistency Data'!$I$4,"'!Q14")))</f>
        <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
      </c>
      <c r="J15" s="126" t="str">
        <f ca="1">IF(INDIRECT(CONCATENATE("'",'Inconsistency Data'!$I$4,"'!O15"))="","",INDIRECT(CONCATENATE("'",'Inconsistency Data'!$I$4,"'!O15")))</f>
        <v/>
      </c>
      <c r="K15" s="127" t="str">
        <f ca="1">IF(INDIRECT(CONCATENATE("'",'Inconsistency Data'!$I$4,"'!Q15"))="","",INDIRECT(CONCATENATE("'",'Inconsistency Data'!$I$4,"'!Q15")))</f>
        <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
      </c>
      <c r="J16" s="126" t="str">
        <f ca="1">IF(INDIRECT(CONCATENATE("'",'Inconsistency Data'!$I$4,"'!O16"))="","",INDIRECT(CONCATENATE("'",'Inconsistency Data'!$I$4,"'!O16")))</f>
        <v/>
      </c>
      <c r="K16" s="127" t="str">
        <f ca="1">IF(INDIRECT(CONCATENATE("'",'Inconsistency Data'!$I$4,"'!Q16"))="","",INDIRECT(CONCATENATE("'",'Inconsistency Data'!$I$4,"'!Q16")))</f>
        <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
      </c>
      <c r="J17" s="126" t="str">
        <f ca="1">IF(INDIRECT(CONCATENATE("'",'Inconsistency Data'!$I$4,"'!O17"))="","",INDIRECT(CONCATENATE("'",'Inconsistency Data'!$I$4,"'!O17")))</f>
        <v/>
      </c>
      <c r="K17" s="127" t="str">
        <f ca="1">IF(INDIRECT(CONCATENATE("'",'Inconsistency Data'!$I$4,"'!Q17"))="","",INDIRECT(CONCATENATE("'",'Inconsistency Data'!$I$4,"'!Q17")))</f>
        <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
      </c>
      <c r="J18" s="126" t="str">
        <f ca="1">IF(INDIRECT(CONCATENATE("'",'Inconsistency Data'!$I$4,"'!O18"))="","",INDIRECT(CONCATENATE("'",'Inconsistency Data'!$I$4,"'!O18")))</f>
        <v/>
      </c>
      <c r="K18" s="127" t="str">
        <f ca="1">IF(INDIRECT(CONCATENATE("'",'Inconsistency Data'!$I$4,"'!Q18"))="","",INDIRECT(CONCATENATE("'",'Inconsistency Data'!$I$4,"'!Q18")))</f>
        <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
      </c>
      <c r="J19" s="126" t="str">
        <f ca="1">IF(INDIRECT(CONCATENATE("'",'Inconsistency Data'!$I$4,"'!O19"))="","",INDIRECT(CONCATENATE("'",'Inconsistency Data'!$I$4,"'!O19")))</f>
        <v/>
      </c>
      <c r="K19" s="127" t="str">
        <f ca="1">IF(INDIRECT(CONCATENATE("'",'Inconsistency Data'!$I$4,"'!Q19"))="","",INDIRECT(CONCATENATE("'",'Inconsistency Data'!$I$4,"'!Q19")))</f>
        <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
      </c>
      <c r="J20" s="126" t="str">
        <f ca="1">IF(INDIRECT(CONCATENATE("'",'Inconsistency Data'!$I$4,"'!O20"))="","",INDIRECT(CONCATENATE("'",'Inconsistency Data'!$I$4,"'!O20")))</f>
        <v/>
      </c>
      <c r="K20" s="127" t="str">
        <f ca="1">IF(INDIRECT(CONCATENATE("'",'Inconsistency Data'!$I$4,"'!Q20"))="","",INDIRECT(CONCATENATE("'",'Inconsistency Data'!$I$4,"'!Q20")))</f>
        <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
      </c>
      <c r="J21" s="126" t="str">
        <f ca="1">IF(INDIRECT(CONCATENATE("'",'Inconsistency Data'!$I$4,"'!O21"))="","",INDIRECT(CONCATENATE("'",'Inconsistency Data'!$I$4,"'!O21")))</f>
        <v/>
      </c>
      <c r="K21" s="127" t="str">
        <f ca="1">IF(INDIRECT(CONCATENATE("'",'Inconsistency Data'!$I$4,"'!Q21"))="","",INDIRECT(CONCATENATE("'",'Inconsistency Data'!$I$4,"'!Q21")))</f>
        <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
      </c>
      <c r="J22" s="126" t="str">
        <f ca="1">IF(INDIRECT(CONCATENATE("'",'Inconsistency Data'!$I$4,"'!O22"))="","",INDIRECT(CONCATENATE("'",'Inconsistency Data'!$I$4,"'!O22")))</f>
        <v/>
      </c>
      <c r="K22" s="127" t="str">
        <f ca="1">IF(INDIRECT(CONCATENATE("'",'Inconsistency Data'!$I$4,"'!Q22"))="","",INDIRECT(CONCATENATE("'",'Inconsistency Data'!$I$4,"'!Q22")))</f>
        <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
      </c>
      <c r="J23" s="126" t="str">
        <f ca="1">IF(INDIRECT(CONCATENATE("'",'Inconsistency Data'!$I$4,"'!O23"))="","",INDIRECT(CONCATENATE("'",'Inconsistency Data'!$I$4,"'!O23")))</f>
        <v/>
      </c>
      <c r="K23" s="127" t="str">
        <f ca="1">IF(INDIRECT(CONCATENATE("'",'Inconsistency Data'!$I$4,"'!Q23"))="","",INDIRECT(CONCATENATE("'",'Inconsistency Data'!$I$4,"'!Q23")))</f>
        <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
      </c>
      <c r="J24" s="126" t="str">
        <f ca="1">IF(INDIRECT(CONCATENATE("'",'Inconsistency Data'!$I$4,"'!O24"))="","",INDIRECT(CONCATENATE("'",'Inconsistency Data'!$I$4,"'!O24")))</f>
        <v/>
      </c>
      <c r="K24" s="127" t="str">
        <f ca="1">IF(INDIRECT(CONCATENATE("'",'Inconsistency Data'!$I$4,"'!Q24"))="","",INDIRECT(CONCATENATE("'",'Inconsistency Data'!$I$4,"'!Q24")))</f>
        <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
      </c>
      <c r="J25" s="126" t="str">
        <f ca="1">IF(INDIRECT(CONCATENATE("'",'Inconsistency Data'!$I$4,"'!O25"))="","",INDIRECT(CONCATENATE("'",'Inconsistency Data'!$I$4,"'!O25")))</f>
        <v/>
      </c>
      <c r="K25" s="127" t="str">
        <f ca="1">IF(INDIRECT(CONCATENATE("'",'Inconsistency Data'!$I$4,"'!Q25"))="","",INDIRECT(CONCATENATE("'",'Inconsistency Data'!$I$4,"'!Q25")))</f>
        <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
      </c>
      <c r="J26" s="126" t="str">
        <f ca="1">IF(INDIRECT(CONCATENATE("'",'Inconsistency Data'!$I$4,"'!O26"))="","",INDIRECT(CONCATENATE("'",'Inconsistency Data'!$I$4,"'!O26")))</f>
        <v/>
      </c>
      <c r="K26" s="127" t="str">
        <f ca="1">IF(INDIRECT(CONCATENATE("'",'Inconsistency Data'!$I$4,"'!Q26"))="","",INDIRECT(CONCATENATE("'",'Inconsistency Data'!$I$4,"'!Q26")))</f>
        <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
      </c>
      <c r="J27" s="126" t="str">
        <f ca="1">IF(INDIRECT(CONCATENATE("'",'Inconsistency Data'!$I$4,"'!O27"))="","",INDIRECT(CONCATENATE("'",'Inconsistency Data'!$I$4,"'!O27")))</f>
        <v/>
      </c>
      <c r="K27" s="127" t="str">
        <f ca="1">IF(INDIRECT(CONCATENATE("'",'Inconsistency Data'!$I$4,"'!Q27"))="","",INDIRECT(CONCATENATE("'",'Inconsistency Data'!$I$4,"'!Q27")))</f>
        <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
      </c>
      <c r="J28" s="126" t="str">
        <f ca="1">IF(INDIRECT(CONCATENATE("'",'Inconsistency Data'!$I$4,"'!O28"))="","",INDIRECT(CONCATENATE("'",'Inconsistency Data'!$I$4,"'!O28")))</f>
        <v/>
      </c>
      <c r="K28" s="127" t="str">
        <f ca="1">IF(INDIRECT(CONCATENATE("'",'Inconsistency Data'!$I$4,"'!Q28"))="","",INDIRECT(CONCATENATE("'",'Inconsistency Data'!$I$4,"'!Q28")))</f>
        <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
      </c>
      <c r="J29" s="126" t="str">
        <f ca="1">IF(INDIRECT(CONCATENATE("'",'Inconsistency Data'!$I$4,"'!O29"))="","",INDIRECT(CONCATENATE("'",'Inconsistency Data'!$I$4,"'!O29")))</f>
        <v/>
      </c>
      <c r="K29" s="127" t="str">
        <f ca="1">IF(INDIRECT(CONCATENATE("'",'Inconsistency Data'!$I$4,"'!Q29"))="","",INDIRECT(CONCATENATE("'",'Inconsistency Data'!$I$4,"'!Q29")))</f>
        <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
      </c>
      <c r="J30" s="126" t="str">
        <f ca="1">IF(INDIRECT(CONCATENATE("'",'Inconsistency Data'!$I$4,"'!O30"))="","",INDIRECT(CONCATENATE("'",'Inconsistency Data'!$I$4,"'!O30")))</f>
        <v/>
      </c>
      <c r="K30" s="127" t="str">
        <f ca="1">IF(INDIRECT(CONCATENATE("'",'Inconsistency Data'!$I$4,"'!Q30"))="","",INDIRECT(CONCATENATE("'",'Inconsistency Data'!$I$4,"'!Q30")))</f>
        <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
      </c>
      <c r="J31" s="126" t="str">
        <f ca="1">IF(INDIRECT(CONCATENATE("'",'Inconsistency Data'!$I$4,"'!O31"))="","",INDIRECT(CONCATENATE("'",'Inconsistency Data'!$I$4,"'!O31")))</f>
        <v/>
      </c>
      <c r="K31" s="127" t="str">
        <f ca="1">IF(INDIRECT(CONCATENATE("'",'Inconsistency Data'!$I$4,"'!Q31"))="","",INDIRECT(CONCATENATE("'",'Inconsistency Data'!$I$4,"'!Q31")))</f>
        <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
      </c>
      <c r="J32" s="126" t="str">
        <f ca="1">IF(INDIRECT(CONCATENATE("'",'Inconsistency Data'!$I$4,"'!O32"))="","",INDIRECT(CONCATENATE("'",'Inconsistency Data'!$I$4,"'!O32")))</f>
        <v/>
      </c>
      <c r="K32" s="127" t="str">
        <f ca="1">IF(INDIRECT(CONCATENATE("'",'Inconsistency Data'!$I$4,"'!Q32"))="","",INDIRECT(CONCATENATE("'",'Inconsistency Data'!$I$4,"'!Q32")))</f>
        <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
      </c>
      <c r="J33" s="126" t="str">
        <f ca="1">IF(INDIRECT(CONCATENATE("'",'Inconsistency Data'!$I$4,"'!O33"))="","",INDIRECT(CONCATENATE("'",'Inconsistency Data'!$I$4,"'!O33")))</f>
        <v/>
      </c>
      <c r="K33" s="127" t="str">
        <f ca="1">IF(INDIRECT(CONCATENATE("'",'Inconsistency Data'!$I$4,"'!Q33"))="","",INDIRECT(CONCATENATE("'",'Inconsistency Data'!$I$4,"'!Q33")))</f>
        <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
      </c>
      <c r="J34" s="126" t="str">
        <f ca="1">IF(INDIRECT(CONCATENATE("'",'Inconsistency Data'!$I$4,"'!O34"))="","",INDIRECT(CONCATENATE("'",'Inconsistency Data'!$I$4,"'!O34")))</f>
        <v/>
      </c>
      <c r="K34" s="127" t="str">
        <f ca="1">IF(INDIRECT(CONCATENATE("'",'Inconsistency Data'!$I$4,"'!Q34"))="","",INDIRECT(CONCATENATE("'",'Inconsistency Data'!$I$4,"'!Q34")))</f>
        <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
      </c>
      <c r="J35" s="126" t="str">
        <f ca="1">IF(INDIRECT(CONCATENATE("'",'Inconsistency Data'!$I$4,"'!O35"))="","",INDIRECT(CONCATENATE("'",'Inconsistency Data'!$I$4,"'!O35")))</f>
        <v/>
      </c>
      <c r="K35" s="127" t="str">
        <f ca="1">IF(INDIRECT(CONCATENATE("'",'Inconsistency Data'!$I$4,"'!Q35"))="","",INDIRECT(CONCATENATE("'",'Inconsistency Data'!$I$4,"'!Q35")))</f>
        <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
      </c>
      <c r="J36" s="126" t="str">
        <f ca="1">IF(INDIRECT(CONCATENATE("'",'Inconsistency Data'!$I$4,"'!O36"))="","",INDIRECT(CONCATENATE("'",'Inconsistency Data'!$I$4,"'!O36")))</f>
        <v/>
      </c>
      <c r="K36" s="127" t="str">
        <f ca="1">IF(INDIRECT(CONCATENATE("'",'Inconsistency Data'!$I$4,"'!Q36"))="","",INDIRECT(CONCATENATE("'",'Inconsistency Data'!$I$4,"'!Q36")))</f>
        <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
      </c>
      <c r="J37" s="126" t="str">
        <f ca="1">IF(INDIRECT(CONCATENATE("'",'Inconsistency Data'!$I$4,"'!O37"))="","",INDIRECT(CONCATENATE("'",'Inconsistency Data'!$I$4,"'!O37")))</f>
        <v/>
      </c>
      <c r="K37" s="127" t="str">
        <f ca="1">IF(INDIRECT(CONCATENATE("'",'Inconsistency Data'!$I$4,"'!Q37"))="","",INDIRECT(CONCATENATE("'",'Inconsistency Data'!$I$4,"'!Q37")))</f>
        <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
      </c>
      <c r="J38" s="126" t="str">
        <f ca="1">IF(INDIRECT(CONCATENATE("'",'Inconsistency Data'!$I$4,"'!O38"))="","",INDIRECT(CONCATENATE("'",'Inconsistency Data'!$I$4,"'!O38")))</f>
        <v/>
      </c>
      <c r="K38" s="127" t="str">
        <f ca="1">IF(INDIRECT(CONCATENATE("'",'Inconsistency Data'!$I$4,"'!Q38"))="","",INDIRECT(CONCATENATE("'",'Inconsistency Data'!$I$4,"'!Q38")))</f>
        <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
      </c>
      <c r="J39" s="126" t="str">
        <f ca="1">IF(INDIRECT(CONCATENATE("'",'Inconsistency Data'!$I$4,"'!O39"))="","",INDIRECT(CONCATENATE("'",'Inconsistency Data'!$I$4,"'!O39")))</f>
        <v/>
      </c>
      <c r="K39" s="127" t="str">
        <f ca="1">IF(INDIRECT(CONCATENATE("'",'Inconsistency Data'!$I$4,"'!Q39"))="","",INDIRECT(CONCATENATE("'",'Inconsistency Data'!$I$4,"'!Q39")))</f>
        <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
      </c>
      <c r="J40" s="126" t="str">
        <f ca="1">IF(INDIRECT(CONCATENATE("'",'Inconsistency Data'!$I$4,"'!O40"))="","",INDIRECT(CONCATENATE("'",'Inconsistency Data'!$I$4,"'!O40")))</f>
        <v/>
      </c>
      <c r="K40" s="127" t="str">
        <f ca="1">IF(INDIRECT(CONCATENATE("'",'Inconsistency Data'!$I$4,"'!Q40"))="","",INDIRECT(CONCATENATE("'",'Inconsistency Data'!$I$4,"'!Q40")))</f>
        <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32:H348"/>
  <sheetViews>
    <sheetView showGridLines="0" topLeftCell="A79" workbookViewId="0">
      <selection activeCell="B34" sqref="B34:D43"/>
    </sheetView>
  </sheetViews>
  <sheetFormatPr defaultRowHeight="15" x14ac:dyDescent="0.25"/>
  <sheetData>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E33:H94"/>
  <sheetViews>
    <sheetView showGridLines="0" topLeftCell="A79" workbookViewId="0">
      <selection activeCell="J91" sqref="J91"/>
    </sheetView>
  </sheetViews>
  <sheetFormatPr defaultRowHeight="15" x14ac:dyDescent="0.25"/>
  <sheetData>
    <row r="33" spans="6:8" x14ac:dyDescent="0.25">
      <c r="F33" s="12"/>
      <c r="H33" s="12"/>
    </row>
    <row r="49" spans="5:6" x14ac:dyDescent="0.25">
      <c r="E49" s="13"/>
    </row>
    <row r="54" spans="5:6" x14ac:dyDescent="0.25">
      <c r="F54" s="13"/>
    </row>
    <row r="58" spans="5:6" x14ac:dyDescent="0.25">
      <c r="F58" s="13"/>
    </row>
    <row r="59" spans="5:6" x14ac:dyDescent="0.25">
      <c r="F59" s="13"/>
    </row>
    <row r="60" spans="5:6" x14ac:dyDescent="0.25">
      <c r="F60" s="13"/>
    </row>
    <row r="63" spans="5:6" x14ac:dyDescent="0.25">
      <c r="F63" s="13"/>
    </row>
    <row r="66" spans="5:6" x14ac:dyDescent="0.25">
      <c r="F66" s="13"/>
    </row>
    <row r="67" spans="5:6" x14ac:dyDescent="0.25">
      <c r="F67" s="13"/>
    </row>
    <row r="69" spans="5:6" x14ac:dyDescent="0.25">
      <c r="F69" s="13"/>
    </row>
    <row r="70" spans="5:6" x14ac:dyDescent="0.25">
      <c r="F70" s="13"/>
    </row>
    <row r="71" spans="5:6" x14ac:dyDescent="0.25">
      <c r="F71" s="13"/>
    </row>
    <row r="72" spans="5:6" x14ac:dyDescent="0.25">
      <c r="F72" s="13"/>
    </row>
    <row r="73" spans="5:6" x14ac:dyDescent="0.25">
      <c r="F73" s="13"/>
    </row>
    <row r="74" spans="5:6" x14ac:dyDescent="0.25">
      <c r="F74" s="13"/>
    </row>
    <row r="75" spans="5:6" x14ac:dyDescent="0.25">
      <c r="F75" s="13"/>
    </row>
    <row r="76" spans="5:6" x14ac:dyDescent="0.25">
      <c r="F76" s="13"/>
    </row>
    <row r="77" spans="5:6" x14ac:dyDescent="0.25">
      <c r="F77" s="13"/>
    </row>
    <row r="78" spans="5:6" x14ac:dyDescent="0.25">
      <c r="F78" s="13"/>
    </row>
    <row r="79" spans="5:6" x14ac:dyDescent="0.25">
      <c r="F79" s="13"/>
    </row>
    <row r="80" spans="5:6" x14ac:dyDescent="0.25">
      <c r="E80" s="13"/>
    </row>
    <row r="94" spans="5:5" x14ac:dyDescent="0.25">
      <c r="E94" s="13"/>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79"/>
  <sheetViews>
    <sheetView showGridLines="0" topLeftCell="A31" workbookViewId="0">
      <selection activeCell="P48" sqref="P48"/>
    </sheetView>
  </sheetViews>
  <sheetFormatPr defaultRowHeight="15" x14ac:dyDescent="0.25"/>
  <sheetData>
    <row r="1" spans="1:1" hidden="1" x14ac:dyDescent="0.25">
      <c r="A1" t="s">
        <v>385</v>
      </c>
    </row>
    <row r="2" spans="1:1" hidden="1" x14ac:dyDescent="0.25">
      <c r="A2" t="s">
        <v>687</v>
      </c>
    </row>
    <row r="3" spans="1:1" hidden="1" x14ac:dyDescent="0.25">
      <c r="A3" t="s">
        <v>387</v>
      </c>
    </row>
    <row r="4" spans="1:1" hidden="1" x14ac:dyDescent="0.25">
      <c r="A4" t="s">
        <v>388</v>
      </c>
    </row>
    <row r="5" spans="1:1" hidden="1" x14ac:dyDescent="0.25">
      <c r="A5" t="s">
        <v>389</v>
      </c>
    </row>
    <row r="6" spans="1:1" hidden="1" x14ac:dyDescent="0.25">
      <c r="A6" t="s">
        <v>390</v>
      </c>
    </row>
    <row r="7" spans="1:1" hidden="1" x14ac:dyDescent="0.25">
      <c r="A7" t="s">
        <v>389</v>
      </c>
    </row>
    <row r="8" spans="1:1" hidden="1" x14ac:dyDescent="0.25">
      <c r="A8" t="s">
        <v>21</v>
      </c>
    </row>
    <row r="9" spans="1:1" hidden="1" x14ac:dyDescent="0.25">
      <c r="A9" t="s">
        <v>391</v>
      </c>
    </row>
    <row r="10" spans="1:1" hidden="1" x14ac:dyDescent="0.25">
      <c r="A10" t="s">
        <v>688</v>
      </c>
    </row>
    <row r="11" spans="1:1" hidden="1" x14ac:dyDescent="0.25">
      <c r="A11" t="s">
        <v>689</v>
      </c>
    </row>
    <row r="12" spans="1:1" hidden="1" x14ac:dyDescent="0.25">
      <c r="A12" t="s">
        <v>690</v>
      </c>
    </row>
    <row r="13" spans="1:1" hidden="1" x14ac:dyDescent="0.25">
      <c r="A13" t="s">
        <v>689</v>
      </c>
    </row>
    <row r="14" spans="1:1" hidden="1" x14ac:dyDescent="0.25">
      <c r="A14" t="s">
        <v>691</v>
      </c>
    </row>
    <row r="15" spans="1:1" hidden="1" x14ac:dyDescent="0.25">
      <c r="A15" t="s">
        <v>689</v>
      </c>
    </row>
    <row r="16" spans="1:1" hidden="1" x14ac:dyDescent="0.25">
      <c r="A16" t="s">
        <v>23</v>
      </c>
    </row>
    <row r="17" spans="1:1" hidden="1" x14ac:dyDescent="0.25">
      <c r="A17" t="s">
        <v>692</v>
      </c>
    </row>
    <row r="18" spans="1:1" hidden="1" x14ac:dyDescent="0.25">
      <c r="A18" t="s">
        <v>707</v>
      </c>
    </row>
    <row r="19" spans="1:1" hidden="1" x14ac:dyDescent="0.25">
      <c r="A19" t="s">
        <v>392</v>
      </c>
    </row>
    <row r="20" spans="1:1" hidden="1" x14ac:dyDescent="0.25">
      <c r="A20" t="s">
        <v>393</v>
      </c>
    </row>
    <row r="21" spans="1:1" hidden="1" x14ac:dyDescent="0.25">
      <c r="A21" t="s">
        <v>394</v>
      </c>
    </row>
    <row r="22" spans="1:1" hidden="1" x14ac:dyDescent="0.25">
      <c r="A22" t="s">
        <v>395</v>
      </c>
    </row>
    <row r="23" spans="1:1" hidden="1" x14ac:dyDescent="0.25">
      <c r="A23" t="s">
        <v>396</v>
      </c>
    </row>
    <row r="24" spans="1:1" hidden="1" x14ac:dyDescent="0.25">
      <c r="A24" t="s">
        <v>397</v>
      </c>
    </row>
    <row r="25" spans="1:1" hidden="1" x14ac:dyDescent="0.25">
      <c r="A25" t="s">
        <v>398</v>
      </c>
    </row>
    <row r="26" spans="1:1" hidden="1" x14ac:dyDescent="0.25">
      <c r="A26" t="s">
        <v>197</v>
      </c>
    </row>
    <row r="27" spans="1:1" hidden="1" x14ac:dyDescent="0.25">
      <c r="A27" t="s">
        <v>199</v>
      </c>
    </row>
    <row r="28" spans="1:1" hidden="1" x14ac:dyDescent="0.25">
      <c r="A28" t="s">
        <v>261</v>
      </c>
    </row>
    <row r="29" spans="1:1" hidden="1" x14ac:dyDescent="0.25">
      <c r="A29" t="s">
        <v>707</v>
      </c>
    </row>
    <row r="30" spans="1:1" hidden="1" x14ac:dyDescent="0.25">
      <c r="A30" t="s">
        <v>386</v>
      </c>
    </row>
    <row r="32" spans="1:1" x14ac:dyDescent="0.25">
      <c r="A32" t="s">
        <v>399</v>
      </c>
    </row>
    <row r="33" spans="2:10" x14ac:dyDescent="0.25">
      <c r="B33" t="s">
        <v>400</v>
      </c>
      <c r="C33" t="s">
        <v>401</v>
      </c>
      <c r="D33" t="s">
        <v>402</v>
      </c>
      <c r="E33" t="s">
        <v>403</v>
      </c>
      <c r="F33" s="12">
        <v>2.5000000000000001E-2</v>
      </c>
      <c r="G33" t="s">
        <v>404</v>
      </c>
      <c r="H33" s="12">
        <v>0.97499999999999998</v>
      </c>
      <c r="I33" t="s">
        <v>405</v>
      </c>
      <c r="J33" t="s">
        <v>406</v>
      </c>
    </row>
    <row r="34" spans="2:10" x14ac:dyDescent="0.25">
      <c r="B34" t="s">
        <v>407</v>
      </c>
      <c r="C34">
        <v>0.2979</v>
      </c>
      <c r="D34">
        <v>7.3330000000000006E-2</v>
      </c>
      <c r="E34">
        <v>2.9840000000000001E-3</v>
      </c>
      <c r="F34">
        <v>0.17610000000000001</v>
      </c>
      <c r="G34">
        <v>0.29199999999999998</v>
      </c>
      <c r="H34">
        <v>0.46300000000000002</v>
      </c>
      <c r="I34">
        <v>10001</v>
      </c>
      <c r="J34">
        <v>30000</v>
      </c>
    </row>
    <row r="35" spans="2:10" x14ac:dyDescent="0.25">
      <c r="B35" t="s">
        <v>408</v>
      </c>
      <c r="C35">
        <v>0.27060000000000001</v>
      </c>
      <c r="D35">
        <v>0.28270000000000001</v>
      </c>
      <c r="E35">
        <v>1.417E-2</v>
      </c>
      <c r="F35">
        <v>4.3060000000000001E-2</v>
      </c>
      <c r="G35">
        <v>0.1968</v>
      </c>
      <c r="H35">
        <v>0.92159999999999997</v>
      </c>
      <c r="I35">
        <v>10001</v>
      </c>
      <c r="J35">
        <v>30000</v>
      </c>
    </row>
    <row r="36" spans="2:10" x14ac:dyDescent="0.25">
      <c r="B36" t="s">
        <v>409</v>
      </c>
      <c r="C36">
        <v>0.15579999999999999</v>
      </c>
      <c r="D36">
        <v>0.1867</v>
      </c>
      <c r="E36">
        <v>8.6949999999999996E-3</v>
      </c>
      <c r="F36">
        <v>1.9259999999999999E-2</v>
      </c>
      <c r="G36">
        <v>0.10440000000000001</v>
      </c>
      <c r="H36">
        <v>0.57699999999999996</v>
      </c>
      <c r="I36">
        <v>10001</v>
      </c>
      <c r="J36">
        <v>30000</v>
      </c>
    </row>
    <row r="37" spans="2:10" x14ac:dyDescent="0.25">
      <c r="B37" t="s">
        <v>410</v>
      </c>
      <c r="C37">
        <v>0.86529999999999996</v>
      </c>
      <c r="D37">
        <v>1.4930000000000001</v>
      </c>
      <c r="E37">
        <v>0.06</v>
      </c>
      <c r="F37">
        <v>6.368E-2</v>
      </c>
      <c r="G37">
        <v>0.4718</v>
      </c>
      <c r="H37">
        <v>3.875</v>
      </c>
      <c r="I37">
        <v>10001</v>
      </c>
      <c r="J37">
        <v>30000</v>
      </c>
    </row>
    <row r="38" spans="2:10" x14ac:dyDescent="0.25">
      <c r="B38" t="s">
        <v>411</v>
      </c>
      <c r="C38" s="13">
        <v>4.674E+16</v>
      </c>
      <c r="D38" s="13">
        <v>3.607E+17</v>
      </c>
      <c r="E38" s="13">
        <v>1.486E+16</v>
      </c>
      <c r="F38">
        <v>0.624</v>
      </c>
      <c r="G38" s="13">
        <v>11500000000</v>
      </c>
      <c r="H38" s="13">
        <v>4.337E+17</v>
      </c>
      <c r="I38">
        <v>10001</v>
      </c>
      <c r="J38">
        <v>30000</v>
      </c>
    </row>
    <row r="39" spans="2:10" x14ac:dyDescent="0.25">
      <c r="B39" t="s">
        <v>412</v>
      </c>
      <c r="C39">
        <v>8.0030000000000004E-2</v>
      </c>
      <c r="D39">
        <v>0.16189999999999999</v>
      </c>
      <c r="E39">
        <v>7.2719999999999998E-3</v>
      </c>
      <c r="F39" s="13">
        <v>1.3339999999999999E-4</v>
      </c>
      <c r="G39">
        <v>2.0789999999999999E-2</v>
      </c>
      <c r="H39">
        <v>0.51800000000000002</v>
      </c>
      <c r="I39">
        <v>10001</v>
      </c>
      <c r="J39">
        <v>30000</v>
      </c>
    </row>
    <row r="40" spans="2:10" x14ac:dyDescent="0.25">
      <c r="B40" t="s">
        <v>413</v>
      </c>
      <c r="C40">
        <v>7.73</v>
      </c>
      <c r="D40">
        <v>41.26</v>
      </c>
      <c r="E40">
        <v>1.681</v>
      </c>
      <c r="F40" s="13">
        <v>9.9010000000000005E-4</v>
      </c>
      <c r="G40">
        <v>0.37159999999999999</v>
      </c>
      <c r="H40">
        <v>67.959999999999994</v>
      </c>
      <c r="I40">
        <v>10001</v>
      </c>
      <c r="J40">
        <v>30000</v>
      </c>
    </row>
    <row r="41" spans="2:10" x14ac:dyDescent="0.25">
      <c r="B41" t="s">
        <v>414</v>
      </c>
      <c r="C41">
        <v>0.22819999999999999</v>
      </c>
      <c r="D41">
        <v>6.5790000000000001E-2</v>
      </c>
      <c r="E41">
        <v>2.5569999999999998E-3</v>
      </c>
      <c r="F41">
        <v>0.1235</v>
      </c>
      <c r="G41">
        <v>0.21940000000000001</v>
      </c>
      <c r="H41">
        <v>0.38030000000000003</v>
      </c>
      <c r="I41">
        <v>10001</v>
      </c>
      <c r="J41">
        <v>30000</v>
      </c>
    </row>
    <row r="42" spans="2:10" x14ac:dyDescent="0.25">
      <c r="B42" t="s">
        <v>415</v>
      </c>
      <c r="C42">
        <v>0.92230000000000001</v>
      </c>
      <c r="D42">
        <v>0.90720000000000001</v>
      </c>
      <c r="E42">
        <v>4.4560000000000002E-2</v>
      </c>
      <c r="F42">
        <v>0.15229999999999999</v>
      </c>
      <c r="G42">
        <v>0.68159999999999998</v>
      </c>
      <c r="H42">
        <v>2.9910000000000001</v>
      </c>
      <c r="I42">
        <v>10001</v>
      </c>
      <c r="J42">
        <v>30000</v>
      </c>
    </row>
    <row r="43" spans="2:10" x14ac:dyDescent="0.25">
      <c r="B43" t="s">
        <v>416</v>
      </c>
      <c r="C43">
        <v>0.53190000000000004</v>
      </c>
      <c r="D43">
        <v>0.6018</v>
      </c>
      <c r="E43">
        <v>2.7449999999999999E-2</v>
      </c>
      <c r="F43">
        <v>7.1749999999999994E-2</v>
      </c>
      <c r="G43">
        <v>0.35449999999999998</v>
      </c>
      <c r="H43">
        <v>1.9750000000000001</v>
      </c>
      <c r="I43">
        <v>10001</v>
      </c>
      <c r="J43">
        <v>30000</v>
      </c>
    </row>
    <row r="44" spans="2:10" x14ac:dyDescent="0.25">
      <c r="B44" t="s">
        <v>417</v>
      </c>
      <c r="C44">
        <v>2.895</v>
      </c>
      <c r="D44">
        <v>5.0279999999999996</v>
      </c>
      <c r="E44">
        <v>0.20169999999999999</v>
      </c>
      <c r="F44">
        <v>0.2364</v>
      </c>
      <c r="G44">
        <v>1.6439999999999999</v>
      </c>
      <c r="H44">
        <v>11.85</v>
      </c>
      <c r="I44">
        <v>10001</v>
      </c>
      <c r="J44">
        <v>30000</v>
      </c>
    </row>
    <row r="45" spans="2:10" x14ac:dyDescent="0.25">
      <c r="B45" t="s">
        <v>418</v>
      </c>
      <c r="C45" s="13">
        <v>1.655E+17</v>
      </c>
      <c r="D45" s="13">
        <v>1.278E+18</v>
      </c>
      <c r="E45" s="13">
        <v>5.252E+16</v>
      </c>
      <c r="F45">
        <v>1.986</v>
      </c>
      <c r="G45" s="13">
        <v>45280000000</v>
      </c>
      <c r="H45" s="13">
        <v>1.374E+18</v>
      </c>
      <c r="I45">
        <v>10001</v>
      </c>
      <c r="J45">
        <v>30000</v>
      </c>
    </row>
    <row r="46" spans="2:10" x14ac:dyDescent="0.25">
      <c r="B46" t="s">
        <v>419</v>
      </c>
      <c r="C46">
        <v>0.27260000000000001</v>
      </c>
      <c r="D46">
        <v>0.5706</v>
      </c>
      <c r="E46">
        <v>2.4969999999999999E-2</v>
      </c>
      <c r="F46" s="13">
        <v>5.218E-4</v>
      </c>
      <c r="G46">
        <v>7.0669999999999997E-2</v>
      </c>
      <c r="H46">
        <v>1.8380000000000001</v>
      </c>
      <c r="I46">
        <v>10001</v>
      </c>
      <c r="J46">
        <v>30000</v>
      </c>
    </row>
    <row r="47" spans="2:10" x14ac:dyDescent="0.25">
      <c r="B47" t="s">
        <v>420</v>
      </c>
      <c r="C47">
        <v>26.32</v>
      </c>
      <c r="D47">
        <v>136.80000000000001</v>
      </c>
      <c r="E47">
        <v>5.6779999999999999</v>
      </c>
      <c r="F47">
        <v>3.7439999999999999E-3</v>
      </c>
      <c r="G47">
        <v>1.282</v>
      </c>
      <c r="H47">
        <v>226.6</v>
      </c>
      <c r="I47">
        <v>10001</v>
      </c>
      <c r="J47">
        <v>30000</v>
      </c>
    </row>
    <row r="48" spans="2:10" x14ac:dyDescent="0.25">
      <c r="B48" t="s">
        <v>421</v>
      </c>
      <c r="C48">
        <v>0.81240000000000001</v>
      </c>
      <c r="D48">
        <v>0.31130000000000002</v>
      </c>
      <c r="E48">
        <v>1.1990000000000001E-2</v>
      </c>
      <c r="F48">
        <v>0.3674</v>
      </c>
      <c r="G48">
        <v>0.76129999999999998</v>
      </c>
      <c r="H48">
        <v>1.554</v>
      </c>
      <c r="I48">
        <v>10001</v>
      </c>
      <c r="J48">
        <v>30000</v>
      </c>
    </row>
    <row r="49" spans="2:10" x14ac:dyDescent="0.25">
      <c r="B49" t="s">
        <v>422</v>
      </c>
      <c r="C49">
        <v>0.59389999999999998</v>
      </c>
      <c r="D49">
        <v>0.2697</v>
      </c>
      <c r="E49">
        <v>1.0829999999999999E-2</v>
      </c>
      <c r="F49">
        <v>0.2185</v>
      </c>
      <c r="G49">
        <v>0.54869999999999997</v>
      </c>
      <c r="H49">
        <v>1.266</v>
      </c>
      <c r="I49">
        <v>10001</v>
      </c>
      <c r="J49">
        <v>30000</v>
      </c>
    </row>
    <row r="50" spans="2:10" x14ac:dyDescent="0.25">
      <c r="B50" t="s">
        <v>423</v>
      </c>
      <c r="C50">
        <v>6.4889999999999999</v>
      </c>
      <c r="D50">
        <v>17.39</v>
      </c>
      <c r="E50">
        <v>0.67569999999999997</v>
      </c>
      <c r="F50">
        <v>0.1943</v>
      </c>
      <c r="G50">
        <v>2.4540000000000002</v>
      </c>
      <c r="H50">
        <v>33.700000000000003</v>
      </c>
      <c r="I50">
        <v>10001</v>
      </c>
      <c r="J50">
        <v>30000</v>
      </c>
    </row>
    <row r="51" spans="2:10" x14ac:dyDescent="0.25">
      <c r="B51" t="s">
        <v>424</v>
      </c>
      <c r="C51" s="13">
        <v>2.385E+17</v>
      </c>
      <c r="D51" s="13">
        <v>2.198E+18</v>
      </c>
      <c r="E51" s="13">
        <v>8.722E+16</v>
      </c>
      <c r="F51">
        <v>3.4769999999999999</v>
      </c>
      <c r="G51" s="13">
        <v>57050000000</v>
      </c>
      <c r="H51" s="13">
        <v>2.2E+18</v>
      </c>
      <c r="I51">
        <v>10001</v>
      </c>
      <c r="J51">
        <v>30000</v>
      </c>
    </row>
    <row r="52" spans="2:10" x14ac:dyDescent="0.25">
      <c r="B52" t="s">
        <v>425</v>
      </c>
      <c r="C52">
        <v>0.61799999999999999</v>
      </c>
      <c r="D52">
        <v>1.7569999999999999</v>
      </c>
      <c r="E52">
        <v>7.9049999999999995E-2</v>
      </c>
      <c r="F52" s="13">
        <v>6.5830000000000001E-4</v>
      </c>
      <c r="G52">
        <v>9.6100000000000005E-2</v>
      </c>
      <c r="H52">
        <v>5.1210000000000004</v>
      </c>
      <c r="I52">
        <v>10001</v>
      </c>
      <c r="J52">
        <v>30000</v>
      </c>
    </row>
    <row r="53" spans="2:10" x14ac:dyDescent="0.25">
      <c r="B53" t="s">
        <v>426</v>
      </c>
      <c r="C53">
        <v>48.01</v>
      </c>
      <c r="D53">
        <v>264.7</v>
      </c>
      <c r="E53">
        <v>10.82</v>
      </c>
      <c r="F53">
        <v>6.0150000000000004E-3</v>
      </c>
      <c r="G53">
        <v>1.8740000000000001</v>
      </c>
      <c r="H53">
        <v>415.8</v>
      </c>
      <c r="I53">
        <v>10001</v>
      </c>
      <c r="J53">
        <v>30000</v>
      </c>
    </row>
    <row r="54" spans="2:10" x14ac:dyDescent="0.25">
      <c r="B54" t="s">
        <v>427</v>
      </c>
      <c r="C54">
        <v>1.631</v>
      </c>
      <c r="D54">
        <v>1.583</v>
      </c>
      <c r="E54">
        <v>7.7579999999999996E-2</v>
      </c>
      <c r="F54">
        <v>0.21440000000000001</v>
      </c>
      <c r="G54">
        <v>1.119</v>
      </c>
      <c r="H54">
        <v>6.1509999999999998</v>
      </c>
      <c r="I54">
        <v>10001</v>
      </c>
      <c r="J54">
        <v>30000</v>
      </c>
    </row>
    <row r="55" spans="2:10" x14ac:dyDescent="0.25">
      <c r="B55" t="s">
        <v>428</v>
      </c>
      <c r="C55">
        <v>12.41</v>
      </c>
      <c r="D55">
        <v>32.56</v>
      </c>
      <c r="E55">
        <v>1.234</v>
      </c>
      <c r="F55">
        <v>0.30359999999999998</v>
      </c>
      <c r="G55">
        <v>4.7080000000000002</v>
      </c>
      <c r="H55">
        <v>71.489999999999995</v>
      </c>
      <c r="I55">
        <v>10001</v>
      </c>
      <c r="J55">
        <v>30000</v>
      </c>
    </row>
    <row r="56" spans="2:10" x14ac:dyDescent="0.25">
      <c r="B56" t="s">
        <v>429</v>
      </c>
      <c r="C56" s="13">
        <v>4.807E+17</v>
      </c>
      <c r="D56" s="13">
        <v>4.588E+18</v>
      </c>
      <c r="E56" s="13">
        <v>1.569E+17</v>
      </c>
      <c r="F56">
        <v>6.5090000000000003</v>
      </c>
      <c r="G56" s="13">
        <v>111800000000</v>
      </c>
      <c r="H56" s="13">
        <v>4.062E+18</v>
      </c>
      <c r="I56">
        <v>10001</v>
      </c>
      <c r="J56">
        <v>30000</v>
      </c>
    </row>
    <row r="57" spans="2:10" x14ac:dyDescent="0.25">
      <c r="B57" t="s">
        <v>430</v>
      </c>
      <c r="C57">
        <v>1.2529999999999999</v>
      </c>
      <c r="D57">
        <v>4.1449999999999996</v>
      </c>
      <c r="E57">
        <v>0.17119999999999999</v>
      </c>
      <c r="F57">
        <v>1.024E-3</v>
      </c>
      <c r="G57">
        <v>0.1802</v>
      </c>
      <c r="H57">
        <v>9.9670000000000005</v>
      </c>
      <c r="I57">
        <v>10001</v>
      </c>
      <c r="J57">
        <v>30000</v>
      </c>
    </row>
    <row r="58" spans="2:10" x14ac:dyDescent="0.25">
      <c r="B58" t="s">
        <v>431</v>
      </c>
      <c r="C58">
        <v>91.51</v>
      </c>
      <c r="D58">
        <v>457.5</v>
      </c>
      <c r="E58">
        <v>18.190000000000001</v>
      </c>
      <c r="F58">
        <v>1.091E-2</v>
      </c>
      <c r="G58">
        <v>3.4340000000000002</v>
      </c>
      <c r="H58">
        <v>866.4</v>
      </c>
      <c r="I58">
        <v>10001</v>
      </c>
      <c r="J58">
        <v>30000</v>
      </c>
    </row>
    <row r="59" spans="2:10" x14ac:dyDescent="0.25">
      <c r="B59" t="s">
        <v>432</v>
      </c>
      <c r="C59">
        <v>3.2469999999999999</v>
      </c>
      <c r="D59">
        <v>3.589</v>
      </c>
      <c r="E59">
        <v>0.16819999999999999</v>
      </c>
      <c r="F59">
        <v>0.34110000000000001</v>
      </c>
      <c r="G59">
        <v>2.0990000000000002</v>
      </c>
      <c r="H59">
        <v>13.05</v>
      </c>
      <c r="I59">
        <v>10001</v>
      </c>
      <c r="J59">
        <v>30000</v>
      </c>
    </row>
    <row r="60" spans="2:10" x14ac:dyDescent="0.25">
      <c r="B60" t="s">
        <v>433</v>
      </c>
      <c r="C60" s="13">
        <v>8.242E+16</v>
      </c>
      <c r="D60" s="13">
        <v>5.718E+17</v>
      </c>
      <c r="E60" s="13">
        <v>2.583E+16</v>
      </c>
      <c r="F60">
        <v>1.399</v>
      </c>
      <c r="G60" s="13">
        <v>24260000000</v>
      </c>
      <c r="H60" s="13">
        <v>7.541E+17</v>
      </c>
      <c r="I60">
        <v>10001</v>
      </c>
      <c r="J60">
        <v>30000</v>
      </c>
    </row>
    <row r="61" spans="2:10" x14ac:dyDescent="0.25">
      <c r="B61" t="s">
        <v>434</v>
      </c>
      <c r="C61">
        <v>0.24010000000000001</v>
      </c>
      <c r="D61">
        <v>0.65900000000000003</v>
      </c>
      <c r="E61">
        <v>2.418E-2</v>
      </c>
      <c r="F61" s="13">
        <v>2.031E-4</v>
      </c>
      <c r="G61">
        <v>3.7769999999999998E-2</v>
      </c>
      <c r="H61">
        <v>1.9179999999999999</v>
      </c>
      <c r="I61">
        <v>10001</v>
      </c>
      <c r="J61">
        <v>30000</v>
      </c>
    </row>
    <row r="62" spans="2:10" x14ac:dyDescent="0.25">
      <c r="B62" t="s">
        <v>435</v>
      </c>
      <c r="C62">
        <v>21.27</v>
      </c>
      <c r="D62">
        <v>128.1</v>
      </c>
      <c r="E62">
        <v>4.7089999999999996</v>
      </c>
      <c r="F62">
        <v>1.392E-3</v>
      </c>
      <c r="G62">
        <v>0.82840000000000003</v>
      </c>
      <c r="H62">
        <v>205.2</v>
      </c>
      <c r="I62">
        <v>10001</v>
      </c>
      <c r="J62">
        <v>30000</v>
      </c>
    </row>
    <row r="63" spans="2:10" x14ac:dyDescent="0.25">
      <c r="B63" t="s">
        <v>436</v>
      </c>
      <c r="C63">
        <v>0.76980000000000004</v>
      </c>
      <c r="D63">
        <v>1.054</v>
      </c>
      <c r="E63">
        <v>3.8219999999999997E-2</v>
      </c>
      <c r="F63">
        <v>5.5969999999999999E-2</v>
      </c>
      <c r="G63">
        <v>0.46189999999999998</v>
      </c>
      <c r="H63">
        <v>3.4369999999999998</v>
      </c>
      <c r="I63">
        <v>10001</v>
      </c>
      <c r="J63">
        <v>30000</v>
      </c>
    </row>
    <row r="64" spans="2:10" x14ac:dyDescent="0.25">
      <c r="B64" t="s">
        <v>437</v>
      </c>
      <c r="C64">
        <v>1.558E-2</v>
      </c>
      <c r="D64">
        <v>0.2021</v>
      </c>
      <c r="E64">
        <v>9.5259999999999997E-3</v>
      </c>
      <c r="F64" s="13">
        <v>3.4679999999999998E-21</v>
      </c>
      <c r="G64" s="13">
        <v>2.067E-12</v>
      </c>
      <c r="H64">
        <v>1.504E-2</v>
      </c>
      <c r="I64">
        <v>10001</v>
      </c>
      <c r="J64">
        <v>30000</v>
      </c>
    </row>
    <row r="65" spans="2:10" x14ac:dyDescent="0.25">
      <c r="B65" t="s">
        <v>438</v>
      </c>
      <c r="C65">
        <v>0.26519999999999999</v>
      </c>
      <c r="D65">
        <v>2.98</v>
      </c>
      <c r="E65">
        <v>0.14380000000000001</v>
      </c>
      <c r="F65" s="13">
        <v>5.0520000000000002E-19</v>
      </c>
      <c r="G65" s="13">
        <v>1.1319999999999999E-11</v>
      </c>
      <c r="H65">
        <v>0.37169999999999997</v>
      </c>
      <c r="I65">
        <v>10001</v>
      </c>
      <c r="J65">
        <v>30000</v>
      </c>
    </row>
    <row r="66" spans="2:10" x14ac:dyDescent="0.25">
      <c r="B66" t="s">
        <v>439</v>
      </c>
      <c r="C66">
        <v>7.2340000000000002E-2</v>
      </c>
      <c r="D66">
        <v>0.67510000000000003</v>
      </c>
      <c r="E66">
        <v>3.3239999999999999E-2</v>
      </c>
      <c r="F66" s="13">
        <v>5.0339999999999996E-19</v>
      </c>
      <c r="G66" s="13">
        <v>1.9720000000000001E-11</v>
      </c>
      <c r="H66">
        <v>0.45379999999999998</v>
      </c>
      <c r="I66">
        <v>10001</v>
      </c>
      <c r="J66">
        <v>30000</v>
      </c>
    </row>
    <row r="67" spans="2:10" x14ac:dyDescent="0.25">
      <c r="B67" t="s">
        <v>440</v>
      </c>
      <c r="C67">
        <v>14940</v>
      </c>
      <c r="D67">
        <v>259700</v>
      </c>
      <c r="E67">
        <v>9095</v>
      </c>
      <c r="F67">
        <v>2.1069999999999998E-2</v>
      </c>
      <c r="G67">
        <v>17.440000000000001</v>
      </c>
      <c r="H67">
        <v>36280</v>
      </c>
      <c r="I67">
        <v>10001</v>
      </c>
      <c r="J67">
        <v>30000</v>
      </c>
    </row>
    <row r="68" spans="2:10" x14ac:dyDescent="0.25">
      <c r="B68" t="s">
        <v>441</v>
      </c>
      <c r="C68">
        <v>211</v>
      </c>
      <c r="D68">
        <v>1245</v>
      </c>
      <c r="E68">
        <v>59.72</v>
      </c>
      <c r="F68">
        <v>0.4007</v>
      </c>
      <c r="G68">
        <v>11.13</v>
      </c>
      <c r="H68">
        <v>1693</v>
      </c>
      <c r="I68">
        <v>10001</v>
      </c>
      <c r="J68">
        <v>30000</v>
      </c>
    </row>
    <row r="69" spans="2:10" x14ac:dyDescent="0.25">
      <c r="B69" t="s">
        <v>442</v>
      </c>
      <c r="C69">
        <v>33.36</v>
      </c>
      <c r="D69">
        <v>265.5</v>
      </c>
      <c r="E69">
        <v>12.89</v>
      </c>
      <c r="F69">
        <v>3.0899999999999999E-3</v>
      </c>
      <c r="G69">
        <v>0.58789999999999998</v>
      </c>
      <c r="H69">
        <v>248.4</v>
      </c>
      <c r="I69">
        <v>10001</v>
      </c>
      <c r="J69">
        <v>30000</v>
      </c>
    </row>
    <row r="70" spans="2:10" x14ac:dyDescent="0.25">
      <c r="B70" t="s">
        <v>443</v>
      </c>
      <c r="C70">
        <v>0.1983</v>
      </c>
      <c r="D70">
        <v>9.0090000000000003E-2</v>
      </c>
      <c r="E70">
        <v>4.0800000000000003E-3</v>
      </c>
      <c r="F70">
        <v>0.125</v>
      </c>
      <c r="G70">
        <v>0.125</v>
      </c>
      <c r="H70">
        <v>0.375</v>
      </c>
      <c r="I70">
        <v>10001</v>
      </c>
      <c r="J70">
        <v>30000</v>
      </c>
    </row>
    <row r="71" spans="2:10" x14ac:dyDescent="0.25">
      <c r="B71" t="s">
        <v>444</v>
      </c>
      <c r="C71">
        <v>0.4924</v>
      </c>
      <c r="D71">
        <v>0.1353</v>
      </c>
      <c r="E71">
        <v>5.7730000000000004E-3</v>
      </c>
      <c r="F71">
        <v>0.25</v>
      </c>
      <c r="G71">
        <v>0.5</v>
      </c>
      <c r="H71">
        <v>0.75</v>
      </c>
      <c r="I71">
        <v>10001</v>
      </c>
      <c r="J71">
        <v>30000</v>
      </c>
    </row>
    <row r="72" spans="2:10" x14ac:dyDescent="0.25">
      <c r="B72" t="s">
        <v>445</v>
      </c>
      <c r="C72">
        <v>0.59760000000000002</v>
      </c>
      <c r="D72">
        <v>0.1867</v>
      </c>
      <c r="E72">
        <v>9.1579999999999995E-3</v>
      </c>
      <c r="F72">
        <v>0.25</v>
      </c>
      <c r="G72">
        <v>0.625</v>
      </c>
      <c r="H72">
        <v>0.875</v>
      </c>
      <c r="I72">
        <v>10001</v>
      </c>
      <c r="J72">
        <v>30000</v>
      </c>
    </row>
    <row r="73" spans="2:10" x14ac:dyDescent="0.25">
      <c r="B73" t="s">
        <v>446</v>
      </c>
      <c r="C73">
        <v>0.79300000000000004</v>
      </c>
      <c r="D73">
        <v>0.16170000000000001</v>
      </c>
      <c r="E73">
        <v>7.3220000000000004E-3</v>
      </c>
      <c r="F73">
        <v>0.375</v>
      </c>
      <c r="G73">
        <v>0.875</v>
      </c>
      <c r="H73">
        <v>1</v>
      </c>
      <c r="I73">
        <v>10001</v>
      </c>
      <c r="J73">
        <v>30000</v>
      </c>
    </row>
    <row r="74" spans="2:10" x14ac:dyDescent="0.25">
      <c r="B74" t="s">
        <v>447</v>
      </c>
      <c r="C74">
        <v>0.3952</v>
      </c>
      <c r="D74">
        <v>0.22819999999999999</v>
      </c>
      <c r="E74">
        <v>9.6439999999999998E-3</v>
      </c>
      <c r="F74">
        <v>0.125</v>
      </c>
      <c r="G74">
        <v>0.375</v>
      </c>
      <c r="H74">
        <v>0.875</v>
      </c>
      <c r="I74">
        <v>10001</v>
      </c>
      <c r="J74">
        <v>30000</v>
      </c>
    </row>
    <row r="75" spans="2:10" x14ac:dyDescent="0.25">
      <c r="B75" t="s">
        <v>448</v>
      </c>
      <c r="C75">
        <v>1.54E-2</v>
      </c>
      <c r="D75">
        <v>0.1017</v>
      </c>
      <c r="E75">
        <v>5.5180000000000003E-3</v>
      </c>
      <c r="F75">
        <v>0</v>
      </c>
      <c r="G75">
        <v>0</v>
      </c>
      <c r="H75">
        <v>0.125</v>
      </c>
      <c r="I75">
        <v>10001</v>
      </c>
      <c r="J75">
        <v>30000</v>
      </c>
    </row>
    <row r="76" spans="2:10" x14ac:dyDescent="0.25">
      <c r="B76" t="s">
        <v>449</v>
      </c>
      <c r="C76">
        <v>0.90300000000000002</v>
      </c>
      <c r="D76">
        <v>0.1825</v>
      </c>
      <c r="E76">
        <v>8.7139999999999995E-3</v>
      </c>
      <c r="F76">
        <v>0.375</v>
      </c>
      <c r="G76">
        <v>1</v>
      </c>
      <c r="H76">
        <v>1</v>
      </c>
      <c r="I76">
        <v>10001</v>
      </c>
      <c r="J76">
        <v>30000</v>
      </c>
    </row>
    <row r="77" spans="2:10" x14ac:dyDescent="0.25">
      <c r="B77" t="s">
        <v>450</v>
      </c>
      <c r="C77">
        <v>0.49619999999999997</v>
      </c>
      <c r="D77">
        <v>0.34549999999999997</v>
      </c>
      <c r="E77">
        <v>1.8089999999999998E-2</v>
      </c>
      <c r="F77">
        <v>0.125</v>
      </c>
      <c r="G77">
        <v>0.375</v>
      </c>
      <c r="H77">
        <v>1</v>
      </c>
      <c r="I77">
        <v>10001</v>
      </c>
      <c r="J77">
        <v>30000</v>
      </c>
    </row>
    <row r="78" spans="2:10" x14ac:dyDescent="0.25">
      <c r="B78" t="s">
        <v>451</v>
      </c>
      <c r="C78">
        <v>0.6089</v>
      </c>
      <c r="D78">
        <v>0.16830000000000001</v>
      </c>
      <c r="E78">
        <v>7.5170000000000002E-3</v>
      </c>
      <c r="F78">
        <v>0.25</v>
      </c>
      <c r="G78">
        <v>0.625</v>
      </c>
      <c r="H78">
        <v>0.875</v>
      </c>
      <c r="I78">
        <v>10001</v>
      </c>
      <c r="J78">
        <v>30000</v>
      </c>
    </row>
    <row r="79" spans="2:10" x14ac:dyDescent="0.25">
      <c r="B79" t="s">
        <v>452</v>
      </c>
      <c r="C79">
        <v>0</v>
      </c>
      <c r="D79">
        <v>0</v>
      </c>
      <c r="E79" s="13">
        <v>3.333E-13</v>
      </c>
      <c r="F79">
        <v>0</v>
      </c>
      <c r="G79">
        <v>0</v>
      </c>
      <c r="H79">
        <v>0</v>
      </c>
      <c r="I79">
        <v>10001</v>
      </c>
      <c r="J79">
        <v>30000</v>
      </c>
    </row>
    <row r="80" spans="2:10" x14ac:dyDescent="0.25">
      <c r="B80" t="s">
        <v>453</v>
      </c>
      <c r="C80" s="13">
        <v>8.3330000000000003E-4</v>
      </c>
      <c r="D80">
        <v>2.886E-2</v>
      </c>
      <c r="E80" s="13">
        <v>4.9569999999999996E-4</v>
      </c>
      <c r="F80">
        <v>0</v>
      </c>
      <c r="G80">
        <v>0</v>
      </c>
      <c r="H80">
        <v>0</v>
      </c>
      <c r="I80">
        <v>10001</v>
      </c>
      <c r="J80">
        <v>30000</v>
      </c>
    </row>
    <row r="81" spans="2:10" x14ac:dyDescent="0.25">
      <c r="B81" t="s">
        <v>454</v>
      </c>
      <c r="C81">
        <v>9.8670000000000008E-3</v>
      </c>
      <c r="D81">
        <v>9.8839999999999997E-2</v>
      </c>
      <c r="E81">
        <v>3.643E-3</v>
      </c>
      <c r="F81">
        <v>0</v>
      </c>
      <c r="G81">
        <v>0</v>
      </c>
      <c r="H81">
        <v>0</v>
      </c>
      <c r="I81">
        <v>10001</v>
      </c>
      <c r="J81">
        <v>30000</v>
      </c>
    </row>
    <row r="82" spans="2:10" x14ac:dyDescent="0.25">
      <c r="B82" t="s">
        <v>455</v>
      </c>
      <c r="C82">
        <v>0.14349999999999999</v>
      </c>
      <c r="D82">
        <v>0.35060000000000002</v>
      </c>
      <c r="E82">
        <v>1.5429999999999999E-2</v>
      </c>
      <c r="F82">
        <v>0</v>
      </c>
      <c r="G82">
        <v>0</v>
      </c>
      <c r="H82">
        <v>1</v>
      </c>
      <c r="I82">
        <v>10001</v>
      </c>
      <c r="J82">
        <v>30000</v>
      </c>
    </row>
    <row r="83" spans="2:10" x14ac:dyDescent="0.25">
      <c r="B83" t="s">
        <v>456</v>
      </c>
      <c r="C83">
        <v>1.0630000000000001E-2</v>
      </c>
      <c r="D83">
        <v>0.1026</v>
      </c>
      <c r="E83">
        <v>2.8739999999999998E-3</v>
      </c>
      <c r="F83">
        <v>0</v>
      </c>
      <c r="G83">
        <v>0</v>
      </c>
      <c r="H83">
        <v>0</v>
      </c>
      <c r="I83">
        <v>10001</v>
      </c>
      <c r="J83">
        <v>30000</v>
      </c>
    </row>
    <row r="84" spans="2:10" x14ac:dyDescent="0.25">
      <c r="B84" t="s">
        <v>457</v>
      </c>
      <c r="C84">
        <v>2.3E-3</v>
      </c>
      <c r="D84">
        <v>4.7899999999999998E-2</v>
      </c>
      <c r="E84">
        <v>1.75E-3</v>
      </c>
      <c r="F84">
        <v>0</v>
      </c>
      <c r="G84">
        <v>0</v>
      </c>
      <c r="H84">
        <v>0</v>
      </c>
      <c r="I84">
        <v>10001</v>
      </c>
      <c r="J84">
        <v>30000</v>
      </c>
    </row>
    <row r="85" spans="2:10" x14ac:dyDescent="0.25">
      <c r="B85" t="s">
        <v>458</v>
      </c>
      <c r="C85">
        <v>0.67879999999999996</v>
      </c>
      <c r="D85">
        <v>0.46700000000000003</v>
      </c>
      <c r="E85">
        <v>2.181E-2</v>
      </c>
      <c r="F85">
        <v>0</v>
      </c>
      <c r="G85">
        <v>1</v>
      </c>
      <c r="H85">
        <v>1</v>
      </c>
      <c r="I85">
        <v>10001</v>
      </c>
      <c r="J85">
        <v>30000</v>
      </c>
    </row>
    <row r="86" spans="2:10" x14ac:dyDescent="0.25">
      <c r="B86" t="s">
        <v>459</v>
      </c>
      <c r="C86">
        <v>0.14000000000000001</v>
      </c>
      <c r="D86">
        <v>0.34699999999999998</v>
      </c>
      <c r="E86">
        <v>1.6310000000000002E-2</v>
      </c>
      <c r="F86">
        <v>0</v>
      </c>
      <c r="G86">
        <v>0</v>
      </c>
      <c r="H86">
        <v>1</v>
      </c>
      <c r="I86">
        <v>10001</v>
      </c>
      <c r="J86">
        <v>30000</v>
      </c>
    </row>
    <row r="87" spans="2:10" x14ac:dyDescent="0.25">
      <c r="B87" t="s">
        <v>460</v>
      </c>
      <c r="C87">
        <v>1.41E-2</v>
      </c>
      <c r="D87">
        <v>0.1179</v>
      </c>
      <c r="E87">
        <v>3.4619999999999998E-3</v>
      </c>
      <c r="F87">
        <v>0</v>
      </c>
      <c r="G87">
        <v>0</v>
      </c>
      <c r="H87">
        <v>0</v>
      </c>
      <c r="I87">
        <v>10001</v>
      </c>
      <c r="J87">
        <v>30000</v>
      </c>
    </row>
    <row r="88" spans="2:10" x14ac:dyDescent="0.25">
      <c r="B88" t="s">
        <v>461</v>
      </c>
      <c r="C88">
        <v>1.792</v>
      </c>
      <c r="D88">
        <v>1.82</v>
      </c>
      <c r="E88">
        <v>1.4619999999999999E-2</v>
      </c>
      <c r="F88">
        <v>4.5039999999999997E-2</v>
      </c>
      <c r="G88">
        <v>1.2230000000000001</v>
      </c>
      <c r="H88">
        <v>6.7039999999999997</v>
      </c>
      <c r="I88">
        <v>10001</v>
      </c>
      <c r="J88">
        <v>30000</v>
      </c>
    </row>
    <row r="89" spans="2:10" x14ac:dyDescent="0.25">
      <c r="B89" t="s">
        <v>462</v>
      </c>
      <c r="C89">
        <v>4.1660000000000004</v>
      </c>
      <c r="D89">
        <v>2.762</v>
      </c>
      <c r="E89">
        <v>7.0370000000000002E-2</v>
      </c>
      <c r="F89">
        <v>0.218</v>
      </c>
      <c r="G89">
        <v>3.75</v>
      </c>
      <c r="H89">
        <v>10.71</v>
      </c>
      <c r="I89">
        <v>10001</v>
      </c>
      <c r="J89">
        <v>30000</v>
      </c>
    </row>
    <row r="90" spans="2:10" x14ac:dyDescent="0.25">
      <c r="B90" t="s">
        <v>463</v>
      </c>
      <c r="C90">
        <v>0.84899999999999998</v>
      </c>
      <c r="D90">
        <v>1.2030000000000001</v>
      </c>
      <c r="E90">
        <v>1.221E-2</v>
      </c>
      <c r="F90" s="13">
        <v>9.1949999999999996E-4</v>
      </c>
      <c r="G90">
        <v>0.38200000000000001</v>
      </c>
      <c r="H90">
        <v>4.2240000000000002</v>
      </c>
      <c r="I90">
        <v>10001</v>
      </c>
      <c r="J90">
        <v>30000</v>
      </c>
    </row>
    <row r="91" spans="2:10" x14ac:dyDescent="0.25">
      <c r="B91" t="s">
        <v>464</v>
      </c>
      <c r="C91">
        <v>0.87</v>
      </c>
      <c r="D91">
        <v>1.19</v>
      </c>
      <c r="E91">
        <v>2.5340000000000001E-2</v>
      </c>
      <c r="F91" s="13">
        <v>8.3540000000000003E-4</v>
      </c>
      <c r="G91">
        <v>0.41170000000000001</v>
      </c>
      <c r="H91">
        <v>4.234</v>
      </c>
      <c r="I91">
        <v>10001</v>
      </c>
      <c r="J91">
        <v>30000</v>
      </c>
    </row>
    <row r="92" spans="2:10" x14ac:dyDescent="0.25">
      <c r="B92" t="s">
        <v>465</v>
      </c>
      <c r="C92">
        <v>0.62829999999999997</v>
      </c>
      <c r="D92">
        <v>0.87560000000000004</v>
      </c>
      <c r="E92">
        <v>6.3299999999999997E-3</v>
      </c>
      <c r="F92" s="13">
        <v>6.2149999999999998E-4</v>
      </c>
      <c r="G92">
        <v>0.29449999999999998</v>
      </c>
      <c r="H92">
        <v>3.0819999999999999</v>
      </c>
      <c r="I92">
        <v>10001</v>
      </c>
      <c r="J92">
        <v>30000</v>
      </c>
    </row>
    <row r="93" spans="2:10" x14ac:dyDescent="0.25">
      <c r="B93" t="s">
        <v>466</v>
      </c>
      <c r="C93">
        <v>0.70269999999999999</v>
      </c>
      <c r="D93">
        <v>0.91620000000000001</v>
      </c>
      <c r="E93">
        <v>9.7160000000000007E-3</v>
      </c>
      <c r="F93" s="13">
        <v>7.9589999999999999E-4</v>
      </c>
      <c r="G93">
        <v>0.35489999999999999</v>
      </c>
      <c r="H93">
        <v>3.2759999999999998</v>
      </c>
      <c r="I93">
        <v>10001</v>
      </c>
      <c r="J93">
        <v>30000</v>
      </c>
    </row>
    <row r="94" spans="2:10" x14ac:dyDescent="0.25">
      <c r="B94" t="s">
        <v>467</v>
      </c>
      <c r="C94">
        <v>0.63400000000000001</v>
      </c>
      <c r="D94">
        <v>0.88380000000000003</v>
      </c>
      <c r="E94">
        <v>6.5890000000000002E-3</v>
      </c>
      <c r="F94" s="13">
        <v>6.2140000000000003E-4</v>
      </c>
      <c r="G94">
        <v>0.29260000000000003</v>
      </c>
      <c r="H94">
        <v>3.0880000000000001</v>
      </c>
      <c r="I94">
        <v>10001</v>
      </c>
      <c r="J94">
        <v>30000</v>
      </c>
    </row>
    <row r="95" spans="2:10" x14ac:dyDescent="0.25">
      <c r="B95" t="s">
        <v>468</v>
      </c>
      <c r="C95">
        <v>0.69510000000000005</v>
      </c>
      <c r="D95">
        <v>0.91320000000000001</v>
      </c>
      <c r="E95">
        <v>9.5549999999999993E-3</v>
      </c>
      <c r="F95" s="13">
        <v>7.7019999999999996E-4</v>
      </c>
      <c r="G95">
        <v>0.34470000000000001</v>
      </c>
      <c r="H95">
        <v>3.266</v>
      </c>
      <c r="I95">
        <v>10001</v>
      </c>
      <c r="J95">
        <v>30000</v>
      </c>
    </row>
    <row r="96" spans="2:10" x14ac:dyDescent="0.25">
      <c r="B96" t="s">
        <v>469</v>
      </c>
      <c r="C96">
        <v>2.073</v>
      </c>
      <c r="D96">
        <v>2.3980000000000001</v>
      </c>
      <c r="E96">
        <v>5.5030000000000003E-2</v>
      </c>
      <c r="F96">
        <v>3.238E-3</v>
      </c>
      <c r="G96">
        <v>1.2330000000000001</v>
      </c>
      <c r="H96">
        <v>8.6080000000000005</v>
      </c>
      <c r="I96">
        <v>10001</v>
      </c>
      <c r="J96">
        <v>30000</v>
      </c>
    </row>
    <row r="97" spans="2:10" x14ac:dyDescent="0.25">
      <c r="B97" t="s">
        <v>470</v>
      </c>
      <c r="C97">
        <v>2.5339999999999998</v>
      </c>
      <c r="D97">
        <v>1.89</v>
      </c>
      <c r="E97">
        <v>5.4100000000000002E-2</v>
      </c>
      <c r="F97">
        <v>0.34</v>
      </c>
      <c r="G97">
        <v>2.0590000000000002</v>
      </c>
      <c r="H97">
        <v>7.4580000000000002</v>
      </c>
      <c r="I97">
        <v>10001</v>
      </c>
      <c r="J97">
        <v>30000</v>
      </c>
    </row>
    <row r="98" spans="2:10" x14ac:dyDescent="0.25">
      <c r="B98" t="s">
        <v>471</v>
      </c>
      <c r="C98">
        <v>1.2110000000000001</v>
      </c>
      <c r="D98">
        <v>1.4650000000000001</v>
      </c>
      <c r="E98">
        <v>5.28E-2</v>
      </c>
      <c r="F98">
        <v>1.439E-3</v>
      </c>
      <c r="G98">
        <v>0.64800000000000002</v>
      </c>
      <c r="H98">
        <v>5.2539999999999996</v>
      </c>
      <c r="I98">
        <v>10001</v>
      </c>
      <c r="J98">
        <v>30000</v>
      </c>
    </row>
    <row r="99" spans="2:10" x14ac:dyDescent="0.25">
      <c r="B99" t="s">
        <v>472</v>
      </c>
      <c r="C99">
        <v>1.121</v>
      </c>
      <c r="D99">
        <v>1.4379999999999999</v>
      </c>
      <c r="E99">
        <v>5.321E-2</v>
      </c>
      <c r="F99">
        <v>1.2769999999999999E-3</v>
      </c>
      <c r="G99">
        <v>0.55679999999999996</v>
      </c>
      <c r="H99">
        <v>5.2729999999999997</v>
      </c>
      <c r="I99">
        <v>10001</v>
      </c>
      <c r="J99">
        <v>30000</v>
      </c>
    </row>
    <row r="100" spans="2:10" x14ac:dyDescent="0.25">
      <c r="B100" t="s">
        <v>473</v>
      </c>
      <c r="C100">
        <v>1.01</v>
      </c>
      <c r="D100">
        <v>1.4</v>
      </c>
      <c r="E100">
        <v>3.7870000000000001E-2</v>
      </c>
      <c r="F100">
        <v>1.1119999999999999E-3</v>
      </c>
      <c r="G100">
        <v>0.47249999999999998</v>
      </c>
      <c r="H100">
        <v>4.992</v>
      </c>
      <c r="I100">
        <v>10001</v>
      </c>
      <c r="J100">
        <v>30000</v>
      </c>
    </row>
    <row r="101" spans="2:10" x14ac:dyDescent="0.25">
      <c r="B101" t="s">
        <v>474</v>
      </c>
      <c r="C101">
        <v>1.0149999999999999</v>
      </c>
      <c r="D101">
        <v>1.4139999999999999</v>
      </c>
      <c r="E101">
        <v>2.596E-2</v>
      </c>
      <c r="F101">
        <v>1.042E-3</v>
      </c>
      <c r="G101">
        <v>0.4632</v>
      </c>
      <c r="H101">
        <v>5.1470000000000002</v>
      </c>
      <c r="I101">
        <v>10001</v>
      </c>
      <c r="J101">
        <v>30000</v>
      </c>
    </row>
    <row r="102" spans="2:10" x14ac:dyDescent="0.25">
      <c r="B102" t="s">
        <v>475</v>
      </c>
      <c r="C102">
        <v>0.67100000000000004</v>
      </c>
      <c r="D102">
        <v>0.89190000000000003</v>
      </c>
      <c r="E102">
        <v>8.064E-3</v>
      </c>
      <c r="F102" s="13">
        <v>6.6649999999999999E-4</v>
      </c>
      <c r="G102">
        <v>0.33329999999999999</v>
      </c>
      <c r="H102">
        <v>3.2160000000000002</v>
      </c>
      <c r="I102">
        <v>10001</v>
      </c>
      <c r="J102">
        <v>30000</v>
      </c>
    </row>
    <row r="103" spans="2:10" x14ac:dyDescent="0.25">
      <c r="B103" t="s">
        <v>476</v>
      </c>
      <c r="C103">
        <v>0.66180000000000005</v>
      </c>
      <c r="D103">
        <v>0.89270000000000005</v>
      </c>
      <c r="E103">
        <v>7.6080000000000002E-3</v>
      </c>
      <c r="F103" s="13">
        <v>7.2009999999999999E-4</v>
      </c>
      <c r="G103">
        <v>0.31790000000000002</v>
      </c>
      <c r="H103">
        <v>3.2370000000000001</v>
      </c>
      <c r="I103">
        <v>10001</v>
      </c>
      <c r="J103">
        <v>30000</v>
      </c>
    </row>
    <row r="104" spans="2:10" x14ac:dyDescent="0.25">
      <c r="B104" t="s">
        <v>477</v>
      </c>
      <c r="C104">
        <v>0.81879999999999997</v>
      </c>
      <c r="D104">
        <v>1.1599999999999999</v>
      </c>
      <c r="E104">
        <v>8.1510000000000003E-3</v>
      </c>
      <c r="F104" s="13">
        <v>8.4170000000000002E-4</v>
      </c>
      <c r="G104">
        <v>0.36620000000000003</v>
      </c>
      <c r="H104">
        <v>4.0940000000000003</v>
      </c>
      <c r="I104">
        <v>10001</v>
      </c>
      <c r="J104">
        <v>30000</v>
      </c>
    </row>
    <row r="105" spans="2:10" x14ac:dyDescent="0.25">
      <c r="B105" t="s">
        <v>478</v>
      </c>
      <c r="C105">
        <v>1.21</v>
      </c>
      <c r="D105">
        <v>1.1990000000000001</v>
      </c>
      <c r="E105">
        <v>1.3129999999999999E-2</v>
      </c>
      <c r="F105">
        <v>5.0229999999999997E-3</v>
      </c>
      <c r="G105">
        <v>0.87590000000000001</v>
      </c>
      <c r="H105">
        <v>4.3140000000000001</v>
      </c>
      <c r="I105">
        <v>10001</v>
      </c>
      <c r="J105">
        <v>30000</v>
      </c>
    </row>
    <row r="106" spans="2:10" x14ac:dyDescent="0.25">
      <c r="B106" t="s">
        <v>479</v>
      </c>
      <c r="C106">
        <v>1.5960000000000001</v>
      </c>
      <c r="D106">
        <v>1.984</v>
      </c>
      <c r="E106">
        <v>1.8339999999999999E-2</v>
      </c>
      <c r="F106">
        <v>1.9220000000000001E-3</v>
      </c>
      <c r="G106">
        <v>0.85819999999999996</v>
      </c>
      <c r="H106">
        <v>7.1989999999999998</v>
      </c>
      <c r="I106">
        <v>10001</v>
      </c>
      <c r="J106">
        <v>30000</v>
      </c>
    </row>
    <row r="107" spans="2:10" x14ac:dyDescent="0.25">
      <c r="B107" t="s">
        <v>480</v>
      </c>
      <c r="C107">
        <v>2.544</v>
      </c>
      <c r="D107">
        <v>1.7390000000000001</v>
      </c>
      <c r="E107">
        <v>3.4540000000000001E-2</v>
      </c>
      <c r="F107">
        <v>0.21529999999999999</v>
      </c>
      <c r="G107">
        <v>2.2050000000000001</v>
      </c>
      <c r="H107">
        <v>6.8849999999999998</v>
      </c>
      <c r="I107">
        <v>10001</v>
      </c>
      <c r="J107">
        <v>30000</v>
      </c>
    </row>
    <row r="108" spans="2:10" x14ac:dyDescent="0.25">
      <c r="B108" t="s">
        <v>481</v>
      </c>
      <c r="C108">
        <v>1.0429999999999999</v>
      </c>
      <c r="D108">
        <v>1.4319999999999999</v>
      </c>
      <c r="E108">
        <v>1.9040000000000001E-2</v>
      </c>
      <c r="F108">
        <v>1.059E-3</v>
      </c>
      <c r="G108">
        <v>0.48559999999999998</v>
      </c>
      <c r="H108">
        <v>5.1529999999999996</v>
      </c>
      <c r="I108">
        <v>10001</v>
      </c>
      <c r="J108">
        <v>30000</v>
      </c>
    </row>
    <row r="109" spans="2:10" x14ac:dyDescent="0.25">
      <c r="B109" t="s">
        <v>482</v>
      </c>
      <c r="C109">
        <v>1.337</v>
      </c>
      <c r="D109">
        <v>1.482</v>
      </c>
      <c r="E109">
        <v>6.9360000000000005E-2</v>
      </c>
      <c r="F109">
        <v>1.66E-3</v>
      </c>
      <c r="G109">
        <v>0.78710000000000002</v>
      </c>
      <c r="H109">
        <v>5.157</v>
      </c>
      <c r="I109">
        <v>10001</v>
      </c>
      <c r="J109">
        <v>30000</v>
      </c>
    </row>
    <row r="110" spans="2:10" x14ac:dyDescent="0.25">
      <c r="B110" t="s">
        <v>483</v>
      </c>
      <c r="C110">
        <v>0.83560000000000001</v>
      </c>
      <c r="D110">
        <v>1.18</v>
      </c>
      <c r="E110">
        <v>8.2179999999999996E-3</v>
      </c>
      <c r="F110" s="13">
        <v>8.2209999999999998E-4</v>
      </c>
      <c r="G110">
        <v>0.37859999999999999</v>
      </c>
      <c r="H110">
        <v>4.1660000000000004</v>
      </c>
      <c r="I110">
        <v>10001</v>
      </c>
      <c r="J110">
        <v>30000</v>
      </c>
    </row>
    <row r="111" spans="2:10" x14ac:dyDescent="0.25">
      <c r="B111" t="s">
        <v>484</v>
      </c>
      <c r="C111">
        <v>0.53120000000000001</v>
      </c>
      <c r="D111">
        <v>0.7581</v>
      </c>
      <c r="E111">
        <v>1.136E-2</v>
      </c>
      <c r="F111" s="13">
        <v>5.4080000000000003E-4</v>
      </c>
      <c r="G111">
        <v>0.24030000000000001</v>
      </c>
      <c r="H111">
        <v>2.6880000000000002</v>
      </c>
      <c r="I111">
        <v>10001</v>
      </c>
      <c r="J111">
        <v>30000</v>
      </c>
    </row>
    <row r="112" spans="2:10" x14ac:dyDescent="0.25">
      <c r="B112" t="s">
        <v>485</v>
      </c>
      <c r="C112">
        <v>1.6419999999999999</v>
      </c>
      <c r="D112">
        <v>1.6160000000000001</v>
      </c>
      <c r="E112">
        <v>1.039E-2</v>
      </c>
      <c r="F112">
        <v>4.3090000000000003E-2</v>
      </c>
      <c r="G112">
        <v>1.151</v>
      </c>
      <c r="H112">
        <v>5.9660000000000002</v>
      </c>
      <c r="I112">
        <v>10001</v>
      </c>
      <c r="J112">
        <v>30000</v>
      </c>
    </row>
    <row r="113" spans="2:10" x14ac:dyDescent="0.25">
      <c r="B113" t="s">
        <v>486</v>
      </c>
      <c r="C113">
        <v>2.528</v>
      </c>
      <c r="D113">
        <v>2.2570000000000001</v>
      </c>
      <c r="E113">
        <v>1.6670000000000001E-2</v>
      </c>
      <c r="F113">
        <v>2.4809999999999999E-2</v>
      </c>
      <c r="G113">
        <v>1.9570000000000001</v>
      </c>
      <c r="H113">
        <v>8.34</v>
      </c>
      <c r="I113">
        <v>10001</v>
      </c>
      <c r="J113">
        <v>30000</v>
      </c>
    </row>
    <row r="114" spans="2:10" x14ac:dyDescent="0.25">
      <c r="B114" t="s">
        <v>487</v>
      </c>
      <c r="C114">
        <v>0.62050000000000005</v>
      </c>
      <c r="D114">
        <v>0.86109999999999998</v>
      </c>
      <c r="E114">
        <v>5.1960000000000001E-3</v>
      </c>
      <c r="F114" s="13">
        <v>6.6980000000000002E-4</v>
      </c>
      <c r="G114">
        <v>0.28770000000000001</v>
      </c>
      <c r="H114">
        <v>3.077</v>
      </c>
      <c r="I114">
        <v>10001</v>
      </c>
      <c r="J114">
        <v>30000</v>
      </c>
    </row>
    <row r="115" spans="2:10" x14ac:dyDescent="0.25">
      <c r="B115" t="s">
        <v>488</v>
      </c>
      <c r="C115">
        <v>0.66549999999999998</v>
      </c>
      <c r="D115">
        <v>0.87480000000000002</v>
      </c>
      <c r="E115">
        <v>6.5589999999999997E-3</v>
      </c>
      <c r="F115" s="13">
        <v>7.2059999999999995E-4</v>
      </c>
      <c r="G115">
        <v>0.32890000000000003</v>
      </c>
      <c r="H115">
        <v>3.17</v>
      </c>
      <c r="I115">
        <v>10001</v>
      </c>
      <c r="J115">
        <v>30000</v>
      </c>
    </row>
    <row r="116" spans="2:10" x14ac:dyDescent="0.25">
      <c r="B116" t="s">
        <v>489</v>
      </c>
      <c r="C116">
        <v>1.2849999999999999</v>
      </c>
      <c r="D116">
        <v>1.6870000000000001</v>
      </c>
      <c r="E116">
        <v>1.3339999999999999E-2</v>
      </c>
      <c r="F116">
        <v>1.6479999999999999E-3</v>
      </c>
      <c r="G116">
        <v>0.64990000000000003</v>
      </c>
      <c r="H116">
        <v>6.0449999999999999</v>
      </c>
      <c r="I116">
        <v>10001</v>
      </c>
      <c r="J116">
        <v>30000</v>
      </c>
    </row>
    <row r="117" spans="2:10" x14ac:dyDescent="0.25">
      <c r="B117" t="s">
        <v>490</v>
      </c>
      <c r="C117">
        <v>1.4590000000000001</v>
      </c>
      <c r="D117">
        <v>1.355</v>
      </c>
      <c r="E117">
        <v>1.9980000000000001E-2</v>
      </c>
      <c r="F117">
        <v>1.108E-2</v>
      </c>
      <c r="G117">
        <v>1.0900000000000001</v>
      </c>
      <c r="H117">
        <v>5.0039999999999996</v>
      </c>
      <c r="I117">
        <v>10001</v>
      </c>
      <c r="J117">
        <v>30000</v>
      </c>
    </row>
    <row r="118" spans="2:10" x14ac:dyDescent="0.25">
      <c r="B118" t="s">
        <v>491</v>
      </c>
      <c r="C118">
        <v>0.86919999999999997</v>
      </c>
      <c r="D118">
        <v>1.228</v>
      </c>
      <c r="E118">
        <v>7.9179999999999997E-3</v>
      </c>
      <c r="F118" s="13">
        <v>8.2589999999999996E-4</v>
      </c>
      <c r="G118">
        <v>0.39369999999999999</v>
      </c>
      <c r="H118">
        <v>4.3620000000000001</v>
      </c>
      <c r="I118">
        <v>10001</v>
      </c>
      <c r="J118">
        <v>30000</v>
      </c>
    </row>
    <row r="119" spans="2:10" x14ac:dyDescent="0.25">
      <c r="B119" t="s">
        <v>492</v>
      </c>
      <c r="C119">
        <v>0.45140000000000002</v>
      </c>
      <c r="D119">
        <v>0.67769999999999997</v>
      </c>
      <c r="E119">
        <v>1.0359999999999999E-2</v>
      </c>
      <c r="F119" s="13">
        <v>3.4600000000000001E-4</v>
      </c>
      <c r="G119">
        <v>0.19289999999999999</v>
      </c>
      <c r="H119">
        <v>2.34</v>
      </c>
      <c r="I119">
        <v>10001</v>
      </c>
      <c r="J119">
        <v>30000</v>
      </c>
    </row>
    <row r="120" spans="2:10" x14ac:dyDescent="0.25">
      <c r="B120" t="s">
        <v>493</v>
      </c>
      <c r="C120">
        <v>1.2310000000000001</v>
      </c>
      <c r="D120">
        <v>1.6739999999999999</v>
      </c>
      <c r="E120">
        <v>1.043E-2</v>
      </c>
      <c r="F120">
        <v>1.248E-3</v>
      </c>
      <c r="G120">
        <v>0.59119999999999995</v>
      </c>
      <c r="H120">
        <v>5.9640000000000004</v>
      </c>
      <c r="I120">
        <v>10001</v>
      </c>
      <c r="J120">
        <v>30000</v>
      </c>
    </row>
    <row r="121" spans="2:10" x14ac:dyDescent="0.25">
      <c r="B121" t="s">
        <v>494</v>
      </c>
      <c r="C121">
        <v>0.55689999999999995</v>
      </c>
      <c r="D121">
        <v>0.59209999999999996</v>
      </c>
      <c r="E121">
        <v>5.5729999999999998E-3</v>
      </c>
      <c r="F121">
        <v>1.2919999999999999E-2</v>
      </c>
      <c r="G121">
        <v>0.36890000000000001</v>
      </c>
      <c r="H121">
        <v>2.1619999999999999</v>
      </c>
      <c r="I121">
        <v>10001</v>
      </c>
      <c r="J121">
        <v>30000</v>
      </c>
    </row>
    <row r="122" spans="2:10" x14ac:dyDescent="0.25">
      <c r="B122" t="s">
        <v>495</v>
      </c>
      <c r="C122">
        <v>0.61709999999999998</v>
      </c>
      <c r="D122">
        <v>0.86170000000000002</v>
      </c>
      <c r="E122">
        <v>6.0639999999999999E-3</v>
      </c>
      <c r="F122" s="13">
        <v>6.7409999999999996E-4</v>
      </c>
      <c r="G122">
        <v>0.28560000000000002</v>
      </c>
      <c r="H122">
        <v>3.0430000000000001</v>
      </c>
      <c r="I122">
        <v>10001</v>
      </c>
      <c r="J122">
        <v>30000</v>
      </c>
    </row>
    <row r="123" spans="2:10" x14ac:dyDescent="0.25">
      <c r="B123" t="s">
        <v>496</v>
      </c>
      <c r="C123">
        <v>0.72189999999999999</v>
      </c>
      <c r="D123">
        <v>0.95020000000000004</v>
      </c>
      <c r="E123">
        <v>9.6279999999999994E-3</v>
      </c>
      <c r="F123" s="13">
        <v>8.4880000000000003E-4</v>
      </c>
      <c r="G123">
        <v>0.3614</v>
      </c>
      <c r="H123">
        <v>3.399</v>
      </c>
      <c r="I123">
        <v>10001</v>
      </c>
      <c r="J123">
        <v>30000</v>
      </c>
    </row>
    <row r="124" spans="2:10" x14ac:dyDescent="0.25">
      <c r="B124" t="s">
        <v>497</v>
      </c>
      <c r="C124">
        <v>2.7990000000000001E-2</v>
      </c>
      <c r="D124">
        <v>0.21490000000000001</v>
      </c>
      <c r="E124">
        <v>8.5019999999999991E-3</v>
      </c>
      <c r="F124">
        <v>0</v>
      </c>
      <c r="G124" s="13">
        <v>1.9320000000000001E-11</v>
      </c>
      <c r="H124">
        <v>0.2132</v>
      </c>
      <c r="I124">
        <v>10001</v>
      </c>
      <c r="J124">
        <v>30000</v>
      </c>
    </row>
    <row r="125" spans="2:10" x14ac:dyDescent="0.25">
      <c r="B125" t="s">
        <v>498</v>
      </c>
      <c r="C125">
        <v>1.163</v>
      </c>
      <c r="D125">
        <v>1.6379999999999999</v>
      </c>
      <c r="E125">
        <v>9.8670000000000008E-3</v>
      </c>
      <c r="F125">
        <v>1.0839999999999999E-3</v>
      </c>
      <c r="G125">
        <v>0.53490000000000004</v>
      </c>
      <c r="H125">
        <v>5.85</v>
      </c>
      <c r="I125">
        <v>10001</v>
      </c>
      <c r="J125">
        <v>30000</v>
      </c>
    </row>
    <row r="126" spans="2:10" x14ac:dyDescent="0.25">
      <c r="B126" t="s">
        <v>499</v>
      </c>
      <c r="C126">
        <v>1.1519999999999999</v>
      </c>
      <c r="D126">
        <v>1.613</v>
      </c>
      <c r="E126">
        <v>1.014E-2</v>
      </c>
      <c r="F126">
        <v>1.1640000000000001E-3</v>
      </c>
      <c r="G126">
        <v>0.52490000000000003</v>
      </c>
      <c r="H126">
        <v>5.7389999999999999</v>
      </c>
      <c r="I126">
        <v>10001</v>
      </c>
      <c r="J126">
        <v>30000</v>
      </c>
    </row>
    <row r="127" spans="2:10" x14ac:dyDescent="0.25">
      <c r="B127" t="s">
        <v>500</v>
      </c>
      <c r="C127">
        <v>0.72760000000000002</v>
      </c>
      <c r="D127">
        <v>0.57120000000000004</v>
      </c>
      <c r="E127">
        <v>7.4089999999999998E-3</v>
      </c>
      <c r="F127">
        <v>7.8119999999999995E-2</v>
      </c>
      <c r="G127">
        <v>0.58279999999999998</v>
      </c>
      <c r="H127">
        <v>2.1819999999999999</v>
      </c>
      <c r="I127">
        <v>10001</v>
      </c>
      <c r="J127">
        <v>30000</v>
      </c>
    </row>
    <row r="128" spans="2:10" x14ac:dyDescent="0.25">
      <c r="B128" t="s">
        <v>501</v>
      </c>
      <c r="C128">
        <v>0.80479999999999996</v>
      </c>
      <c r="D128">
        <v>1.1220000000000001</v>
      </c>
      <c r="E128">
        <v>1.332E-2</v>
      </c>
      <c r="F128" s="13">
        <v>8.1349999999999999E-4</v>
      </c>
      <c r="G128">
        <v>0.3735</v>
      </c>
      <c r="H128">
        <v>4.024</v>
      </c>
      <c r="I128">
        <v>10001</v>
      </c>
      <c r="J128">
        <v>30000</v>
      </c>
    </row>
    <row r="129" spans="2:10" x14ac:dyDescent="0.25">
      <c r="B129" t="s">
        <v>502</v>
      </c>
      <c r="C129">
        <v>0.75609999999999999</v>
      </c>
      <c r="D129">
        <v>1.0469999999999999</v>
      </c>
      <c r="E129">
        <v>1.668E-2</v>
      </c>
      <c r="F129" s="13">
        <v>7.5619999999999995E-4</v>
      </c>
      <c r="G129">
        <v>0.34910000000000002</v>
      </c>
      <c r="H129">
        <v>3.698</v>
      </c>
      <c r="I129">
        <v>10001</v>
      </c>
      <c r="J129">
        <v>30000</v>
      </c>
    </row>
    <row r="130" spans="2:10" x14ac:dyDescent="0.25">
      <c r="B130" t="s">
        <v>503</v>
      </c>
      <c r="C130">
        <v>0.79449999999999998</v>
      </c>
      <c r="D130">
        <v>1.1180000000000001</v>
      </c>
      <c r="E130">
        <v>7.3889999999999997E-3</v>
      </c>
      <c r="F130" s="13">
        <v>7.6650000000000004E-4</v>
      </c>
      <c r="G130">
        <v>0.3599</v>
      </c>
      <c r="H130">
        <v>4.0810000000000004</v>
      </c>
      <c r="I130">
        <v>10001</v>
      </c>
      <c r="J130">
        <v>30000</v>
      </c>
    </row>
    <row r="131" spans="2:10" x14ac:dyDescent="0.25">
      <c r="B131" t="s">
        <v>504</v>
      </c>
      <c r="C131">
        <v>0.61719999999999997</v>
      </c>
      <c r="D131">
        <v>0.80069999999999997</v>
      </c>
      <c r="E131">
        <v>1.268E-2</v>
      </c>
      <c r="F131" s="13">
        <v>6.8570000000000002E-4</v>
      </c>
      <c r="G131">
        <v>0.31059999999999999</v>
      </c>
      <c r="H131">
        <v>2.8639999999999999</v>
      </c>
      <c r="I131">
        <v>10001</v>
      </c>
      <c r="J131">
        <v>30000</v>
      </c>
    </row>
    <row r="132" spans="2:10" x14ac:dyDescent="0.25">
      <c r="B132" t="s">
        <v>505</v>
      </c>
      <c r="C132">
        <v>0.82840000000000003</v>
      </c>
      <c r="D132">
        <v>1.167</v>
      </c>
      <c r="E132">
        <v>6.9170000000000004E-3</v>
      </c>
      <c r="F132" s="13">
        <v>7.9960000000000003E-4</v>
      </c>
      <c r="G132">
        <v>0.38009999999999999</v>
      </c>
      <c r="H132">
        <v>4.1420000000000003</v>
      </c>
      <c r="I132">
        <v>10001</v>
      </c>
      <c r="J132">
        <v>30000</v>
      </c>
    </row>
    <row r="133" spans="2:10" x14ac:dyDescent="0.25">
      <c r="B133" t="s">
        <v>506</v>
      </c>
      <c r="C133">
        <v>0.28570000000000001</v>
      </c>
      <c r="D133">
        <v>0.40160000000000001</v>
      </c>
      <c r="E133">
        <v>3.2290000000000001E-3</v>
      </c>
      <c r="F133" s="13">
        <v>2.6489999999999999E-4</v>
      </c>
      <c r="G133">
        <v>0.13200000000000001</v>
      </c>
      <c r="H133">
        <v>1.409</v>
      </c>
      <c r="I133">
        <v>10001</v>
      </c>
      <c r="J133">
        <v>30000</v>
      </c>
    </row>
    <row r="134" spans="2:10" x14ac:dyDescent="0.25">
      <c r="B134" t="s">
        <v>507</v>
      </c>
      <c r="C134">
        <v>0.7833</v>
      </c>
      <c r="D134">
        <v>1.1020000000000001</v>
      </c>
      <c r="E134">
        <v>7.038E-3</v>
      </c>
      <c r="F134" s="13">
        <v>7.0450000000000005E-4</v>
      </c>
      <c r="G134">
        <v>0.3543</v>
      </c>
      <c r="H134">
        <v>3.8719999999999999</v>
      </c>
      <c r="I134">
        <v>10001</v>
      </c>
      <c r="J134">
        <v>30000</v>
      </c>
    </row>
    <row r="135" spans="2:10" x14ac:dyDescent="0.25">
      <c r="B135" t="s">
        <v>508</v>
      </c>
      <c r="C135">
        <v>0.4768</v>
      </c>
      <c r="D135">
        <v>0.67049999999999998</v>
      </c>
      <c r="E135">
        <v>8.4150000000000006E-3</v>
      </c>
      <c r="F135" s="13">
        <v>4.6860000000000001E-4</v>
      </c>
      <c r="G135">
        <v>0.2205</v>
      </c>
      <c r="H135">
        <v>2.37</v>
      </c>
      <c r="I135">
        <v>10001</v>
      </c>
      <c r="J135">
        <v>30000</v>
      </c>
    </row>
    <row r="136" spans="2:10" x14ac:dyDescent="0.25">
      <c r="B136" t="s">
        <v>509</v>
      </c>
      <c r="C136">
        <v>1.19</v>
      </c>
      <c r="D136">
        <v>1.631</v>
      </c>
      <c r="E136">
        <v>0.01</v>
      </c>
      <c r="F136">
        <v>1.2409999999999999E-3</v>
      </c>
      <c r="G136">
        <v>0.55740000000000001</v>
      </c>
      <c r="H136">
        <v>5.8680000000000003</v>
      </c>
      <c r="I136">
        <v>10001</v>
      </c>
      <c r="J136">
        <v>30000</v>
      </c>
    </row>
    <row r="137" spans="2:10" x14ac:dyDescent="0.25">
      <c r="B137" t="s">
        <v>510</v>
      </c>
      <c r="C137">
        <v>0.46010000000000001</v>
      </c>
      <c r="D137">
        <v>0.4849</v>
      </c>
      <c r="E137">
        <v>4.4869999999999997E-3</v>
      </c>
      <c r="F137">
        <v>1.1440000000000001E-2</v>
      </c>
      <c r="G137">
        <v>0.30640000000000001</v>
      </c>
      <c r="H137">
        <v>1.776</v>
      </c>
      <c r="I137">
        <v>10001</v>
      </c>
      <c r="J137">
        <v>30000</v>
      </c>
    </row>
    <row r="138" spans="2:10" x14ac:dyDescent="0.25">
      <c r="B138" t="s">
        <v>511</v>
      </c>
      <c r="C138">
        <v>0.72940000000000005</v>
      </c>
      <c r="D138">
        <v>1.036</v>
      </c>
      <c r="E138">
        <v>6.1180000000000002E-3</v>
      </c>
      <c r="F138" s="13">
        <v>6.6540000000000002E-4</v>
      </c>
      <c r="G138">
        <v>0.3347</v>
      </c>
      <c r="H138">
        <v>3.58</v>
      </c>
      <c r="I138">
        <v>10001</v>
      </c>
      <c r="J138">
        <v>30000</v>
      </c>
    </row>
    <row r="139" spans="2:10" x14ac:dyDescent="0.25">
      <c r="B139" t="s">
        <v>512</v>
      </c>
      <c r="C139">
        <v>0.77549999999999997</v>
      </c>
      <c r="D139">
        <v>0.89449999999999996</v>
      </c>
      <c r="E139">
        <v>6.6660000000000001E-3</v>
      </c>
      <c r="F139">
        <v>1.3240000000000001E-3</v>
      </c>
      <c r="G139">
        <v>0.47399999999999998</v>
      </c>
      <c r="H139">
        <v>3.2149999999999999</v>
      </c>
      <c r="I139">
        <v>10001</v>
      </c>
      <c r="J139">
        <v>30000</v>
      </c>
    </row>
    <row r="140" spans="2:10" x14ac:dyDescent="0.25">
      <c r="B140" t="s">
        <v>513</v>
      </c>
      <c r="C140">
        <v>0.92579999999999996</v>
      </c>
      <c r="D140">
        <v>1.296</v>
      </c>
      <c r="E140">
        <v>1.533E-2</v>
      </c>
      <c r="F140" s="13">
        <v>9.1129999999999998E-4</v>
      </c>
      <c r="G140">
        <v>0.42709999999999998</v>
      </c>
      <c r="H140">
        <v>4.5709999999999997</v>
      </c>
      <c r="I140">
        <v>10001</v>
      </c>
      <c r="J140">
        <v>30000</v>
      </c>
    </row>
    <row r="141" spans="2:10" x14ac:dyDescent="0.25">
      <c r="B141" t="s">
        <v>514</v>
      </c>
      <c r="C141">
        <v>0.94630000000000003</v>
      </c>
      <c r="D141">
        <v>1.2909999999999999</v>
      </c>
      <c r="E141">
        <v>2.503E-2</v>
      </c>
      <c r="F141" s="13">
        <v>8.8340000000000001E-4</v>
      </c>
      <c r="G141">
        <v>0.4501</v>
      </c>
      <c r="H141">
        <v>4.6189999999999998</v>
      </c>
      <c r="I141">
        <v>10001</v>
      </c>
      <c r="J141">
        <v>30000</v>
      </c>
    </row>
    <row r="142" spans="2:10" x14ac:dyDescent="0.25">
      <c r="B142" t="s">
        <v>515</v>
      </c>
      <c r="C142">
        <v>1.544</v>
      </c>
      <c r="D142">
        <v>1.911</v>
      </c>
      <c r="E142">
        <v>2.6200000000000001E-2</v>
      </c>
      <c r="F142">
        <v>2.5439999999999998E-3</v>
      </c>
      <c r="G142">
        <v>0.82640000000000002</v>
      </c>
      <c r="H142">
        <v>6.7960000000000003</v>
      </c>
      <c r="I142">
        <v>10001</v>
      </c>
      <c r="J142">
        <v>30000</v>
      </c>
    </row>
    <row r="143" spans="2:10" x14ac:dyDescent="0.25">
      <c r="B143" t="s">
        <v>516</v>
      </c>
      <c r="C143">
        <v>1.5309999999999999</v>
      </c>
      <c r="D143">
        <v>1.5860000000000001</v>
      </c>
      <c r="E143">
        <v>3.3660000000000002E-2</v>
      </c>
      <c r="F143">
        <v>4.9040000000000004E-3</v>
      </c>
      <c r="G143">
        <v>1.0429999999999999</v>
      </c>
      <c r="H143">
        <v>5.81</v>
      </c>
      <c r="I143">
        <v>10001</v>
      </c>
      <c r="J143">
        <v>30000</v>
      </c>
    </row>
    <row r="144" spans="2:10" x14ac:dyDescent="0.25">
      <c r="B144" t="s">
        <v>517</v>
      </c>
      <c r="C144">
        <v>0</v>
      </c>
      <c r="D144">
        <v>0</v>
      </c>
      <c r="E144" s="13">
        <v>3.333E-13</v>
      </c>
      <c r="F144">
        <v>0</v>
      </c>
      <c r="G144">
        <v>0</v>
      </c>
      <c r="H144">
        <v>0</v>
      </c>
      <c r="I144">
        <v>10001</v>
      </c>
      <c r="J144">
        <v>30000</v>
      </c>
    </row>
    <row r="145" spans="2:10" x14ac:dyDescent="0.25">
      <c r="B145" t="s">
        <v>518</v>
      </c>
      <c r="C145">
        <v>0</v>
      </c>
      <c r="D145">
        <v>0</v>
      </c>
      <c r="E145" s="13">
        <v>3.333E-13</v>
      </c>
      <c r="F145">
        <v>0</v>
      </c>
      <c r="G145">
        <v>0</v>
      </c>
      <c r="H145">
        <v>0</v>
      </c>
      <c r="I145">
        <v>10001</v>
      </c>
      <c r="J145">
        <v>30000</v>
      </c>
    </row>
    <row r="146" spans="2:10" x14ac:dyDescent="0.25">
      <c r="B146" t="s">
        <v>519</v>
      </c>
      <c r="C146">
        <v>0</v>
      </c>
      <c r="D146">
        <v>0</v>
      </c>
      <c r="E146" s="13">
        <v>3.333E-13</v>
      </c>
      <c r="F146">
        <v>0</v>
      </c>
      <c r="G146">
        <v>0</v>
      </c>
      <c r="H146">
        <v>0</v>
      </c>
      <c r="I146">
        <v>10001</v>
      </c>
      <c r="J146">
        <v>30000</v>
      </c>
    </row>
    <row r="147" spans="2:10" x14ac:dyDescent="0.25">
      <c r="B147" t="s">
        <v>520</v>
      </c>
      <c r="C147" s="13">
        <v>4.6670000000000001E-4</v>
      </c>
      <c r="D147">
        <v>2.1600000000000001E-2</v>
      </c>
      <c r="E147" s="13">
        <v>4.682E-4</v>
      </c>
      <c r="F147">
        <v>0</v>
      </c>
      <c r="G147">
        <v>0</v>
      </c>
      <c r="H147">
        <v>0</v>
      </c>
      <c r="I147">
        <v>10001</v>
      </c>
      <c r="J147">
        <v>30000</v>
      </c>
    </row>
    <row r="148" spans="2:10" x14ac:dyDescent="0.25">
      <c r="B148" t="s">
        <v>521</v>
      </c>
      <c r="C148">
        <v>7.3670000000000003E-3</v>
      </c>
      <c r="D148">
        <v>8.5510000000000003E-2</v>
      </c>
      <c r="E148">
        <v>2.6419999999999998E-3</v>
      </c>
      <c r="F148">
        <v>0</v>
      </c>
      <c r="G148">
        <v>0</v>
      </c>
      <c r="H148">
        <v>0</v>
      </c>
      <c r="I148">
        <v>10001</v>
      </c>
      <c r="J148">
        <v>30000</v>
      </c>
    </row>
    <row r="149" spans="2:10" x14ac:dyDescent="0.25">
      <c r="B149" t="s">
        <v>522</v>
      </c>
      <c r="C149">
        <v>9.7670000000000007E-2</v>
      </c>
      <c r="D149">
        <v>0.2969</v>
      </c>
      <c r="E149">
        <v>1.1469999999999999E-2</v>
      </c>
      <c r="F149">
        <v>0</v>
      </c>
      <c r="G149">
        <v>0</v>
      </c>
      <c r="H149">
        <v>1</v>
      </c>
      <c r="I149">
        <v>10001</v>
      </c>
      <c r="J149">
        <v>30000</v>
      </c>
    </row>
    <row r="150" spans="2:10" x14ac:dyDescent="0.25">
      <c r="B150" t="s">
        <v>523</v>
      </c>
      <c r="C150">
        <v>0.3831</v>
      </c>
      <c r="D150">
        <v>0.48609999999999998</v>
      </c>
      <c r="E150">
        <v>1.8409999999999999E-2</v>
      </c>
      <c r="F150">
        <v>0</v>
      </c>
      <c r="G150">
        <v>0</v>
      </c>
      <c r="H150">
        <v>1</v>
      </c>
      <c r="I150">
        <v>10001</v>
      </c>
      <c r="J150">
        <v>30000</v>
      </c>
    </row>
    <row r="151" spans="2:10" x14ac:dyDescent="0.25">
      <c r="B151" t="s">
        <v>524</v>
      </c>
      <c r="C151">
        <v>0.49559999999999998</v>
      </c>
      <c r="D151">
        <v>0.5</v>
      </c>
      <c r="E151">
        <v>2.1389999999999999E-2</v>
      </c>
      <c r="F151">
        <v>0</v>
      </c>
      <c r="G151">
        <v>0</v>
      </c>
      <c r="H151">
        <v>1</v>
      </c>
      <c r="I151">
        <v>10001</v>
      </c>
      <c r="J151">
        <v>30000</v>
      </c>
    </row>
    <row r="152" spans="2:10" x14ac:dyDescent="0.25">
      <c r="B152" t="s">
        <v>525</v>
      </c>
      <c r="C152">
        <v>1.5869999999999999E-2</v>
      </c>
      <c r="D152">
        <v>0.125</v>
      </c>
      <c r="E152">
        <v>5.836E-3</v>
      </c>
      <c r="F152">
        <v>0</v>
      </c>
      <c r="G152">
        <v>0</v>
      </c>
      <c r="H152">
        <v>0</v>
      </c>
      <c r="I152">
        <v>10001</v>
      </c>
      <c r="J152">
        <v>30000</v>
      </c>
    </row>
    <row r="153" spans="2:10" x14ac:dyDescent="0.25">
      <c r="B153" t="s">
        <v>526</v>
      </c>
      <c r="C153" s="13">
        <v>8.3330000000000003E-4</v>
      </c>
      <c r="D153">
        <v>2.886E-2</v>
      </c>
      <c r="E153" s="13">
        <v>4.9569999999999996E-4</v>
      </c>
      <c r="F153">
        <v>0</v>
      </c>
      <c r="G153">
        <v>0</v>
      </c>
      <c r="H153">
        <v>0</v>
      </c>
      <c r="I153">
        <v>10001</v>
      </c>
      <c r="J153">
        <v>30000</v>
      </c>
    </row>
    <row r="154" spans="2:10" x14ac:dyDescent="0.25">
      <c r="B154" t="s">
        <v>527</v>
      </c>
      <c r="C154">
        <v>1.1299999999999999E-2</v>
      </c>
      <c r="D154">
        <v>0.1057</v>
      </c>
      <c r="E154">
        <v>1.8749999999999999E-3</v>
      </c>
      <c r="F154">
        <v>0</v>
      </c>
      <c r="G154">
        <v>0</v>
      </c>
      <c r="H154">
        <v>0</v>
      </c>
      <c r="I154">
        <v>10001</v>
      </c>
      <c r="J154">
        <v>30000</v>
      </c>
    </row>
    <row r="155" spans="2:10" x14ac:dyDescent="0.25">
      <c r="B155" t="s">
        <v>528</v>
      </c>
      <c r="C155">
        <v>7.0900000000000005E-2</v>
      </c>
      <c r="D155">
        <v>0.25669999999999998</v>
      </c>
      <c r="E155">
        <v>8.5260000000000006E-3</v>
      </c>
      <c r="F155">
        <v>0</v>
      </c>
      <c r="G155">
        <v>0</v>
      </c>
      <c r="H155">
        <v>1</v>
      </c>
      <c r="I155">
        <v>10001</v>
      </c>
      <c r="J155">
        <v>30000</v>
      </c>
    </row>
    <row r="156" spans="2:10" x14ac:dyDescent="0.25">
      <c r="B156" t="s">
        <v>529</v>
      </c>
      <c r="C156">
        <v>0.1908</v>
      </c>
      <c r="D156">
        <v>0.39290000000000003</v>
      </c>
      <c r="E156">
        <v>1.226E-2</v>
      </c>
      <c r="F156">
        <v>0</v>
      </c>
      <c r="G156">
        <v>0</v>
      </c>
      <c r="H156">
        <v>1</v>
      </c>
      <c r="I156">
        <v>10001</v>
      </c>
      <c r="J156">
        <v>30000</v>
      </c>
    </row>
    <row r="157" spans="2:10" x14ac:dyDescent="0.25">
      <c r="B157" t="s">
        <v>530</v>
      </c>
      <c r="C157">
        <v>0.3725</v>
      </c>
      <c r="D157">
        <v>0.48349999999999999</v>
      </c>
      <c r="E157">
        <v>1.4630000000000001E-2</v>
      </c>
      <c r="F157">
        <v>0</v>
      </c>
      <c r="G157">
        <v>0</v>
      </c>
      <c r="H157">
        <v>1</v>
      </c>
      <c r="I157">
        <v>10001</v>
      </c>
      <c r="J157">
        <v>30000</v>
      </c>
    </row>
    <row r="158" spans="2:10" x14ac:dyDescent="0.25">
      <c r="B158" t="s">
        <v>531</v>
      </c>
      <c r="C158">
        <v>0.27689999999999998</v>
      </c>
      <c r="D158">
        <v>0.44750000000000001</v>
      </c>
      <c r="E158">
        <v>1.469E-2</v>
      </c>
      <c r="F158">
        <v>0</v>
      </c>
      <c r="G158">
        <v>0</v>
      </c>
      <c r="H158">
        <v>1</v>
      </c>
      <c r="I158">
        <v>10001</v>
      </c>
      <c r="J158">
        <v>30000</v>
      </c>
    </row>
    <row r="159" spans="2:10" x14ac:dyDescent="0.25">
      <c r="B159" t="s">
        <v>532</v>
      </c>
      <c r="C159">
        <v>7.6270000000000004E-2</v>
      </c>
      <c r="D159">
        <v>0.26540000000000002</v>
      </c>
      <c r="E159">
        <v>9.4090000000000007E-3</v>
      </c>
      <c r="F159">
        <v>0</v>
      </c>
      <c r="G159">
        <v>0</v>
      </c>
      <c r="H159">
        <v>1</v>
      </c>
      <c r="I159">
        <v>10001</v>
      </c>
      <c r="J159">
        <v>30000</v>
      </c>
    </row>
    <row r="160" spans="2:10" x14ac:dyDescent="0.25">
      <c r="B160" t="s">
        <v>533</v>
      </c>
      <c r="C160" s="13">
        <v>5.3330000000000001E-4</v>
      </c>
      <c r="D160">
        <v>2.3089999999999999E-2</v>
      </c>
      <c r="E160" s="13">
        <v>4.1189999999999998E-4</v>
      </c>
      <c r="F160">
        <v>0</v>
      </c>
      <c r="G160">
        <v>0</v>
      </c>
      <c r="H160">
        <v>0</v>
      </c>
      <c r="I160">
        <v>10001</v>
      </c>
      <c r="J160">
        <v>30000</v>
      </c>
    </row>
    <row r="161" spans="2:10" x14ac:dyDescent="0.25">
      <c r="B161" t="s">
        <v>534</v>
      </c>
      <c r="C161">
        <v>0</v>
      </c>
      <c r="D161">
        <v>0</v>
      </c>
      <c r="E161" s="13">
        <v>3.333E-13</v>
      </c>
      <c r="F161">
        <v>0</v>
      </c>
      <c r="G161">
        <v>0</v>
      </c>
      <c r="H161">
        <v>0</v>
      </c>
      <c r="I161">
        <v>10001</v>
      </c>
      <c r="J161">
        <v>30000</v>
      </c>
    </row>
    <row r="162" spans="2:10" x14ac:dyDescent="0.25">
      <c r="B162" t="s">
        <v>535</v>
      </c>
      <c r="C162">
        <v>9.8670000000000008E-3</v>
      </c>
      <c r="D162">
        <v>9.8839999999999997E-2</v>
      </c>
      <c r="E162">
        <v>3.643E-3</v>
      </c>
      <c r="F162">
        <v>0</v>
      </c>
      <c r="G162">
        <v>0</v>
      </c>
      <c r="H162">
        <v>0</v>
      </c>
      <c r="I162">
        <v>10001</v>
      </c>
      <c r="J162">
        <v>30000</v>
      </c>
    </row>
    <row r="163" spans="2:10" x14ac:dyDescent="0.25">
      <c r="B163" t="s">
        <v>536</v>
      </c>
      <c r="C163">
        <v>8.4070000000000006E-2</v>
      </c>
      <c r="D163">
        <v>0.27750000000000002</v>
      </c>
      <c r="E163">
        <v>1.0500000000000001E-2</v>
      </c>
      <c r="F163">
        <v>0</v>
      </c>
      <c r="G163">
        <v>0</v>
      </c>
      <c r="H163">
        <v>1</v>
      </c>
      <c r="I163">
        <v>10001</v>
      </c>
      <c r="J163">
        <v>30000</v>
      </c>
    </row>
    <row r="164" spans="2:10" x14ac:dyDescent="0.25">
      <c r="B164" t="s">
        <v>537</v>
      </c>
      <c r="C164">
        <v>0.2918</v>
      </c>
      <c r="D164">
        <v>0.4546</v>
      </c>
      <c r="E164">
        <v>1.8030000000000001E-2</v>
      </c>
      <c r="F164">
        <v>0</v>
      </c>
      <c r="G164">
        <v>0</v>
      </c>
      <c r="H164">
        <v>1</v>
      </c>
      <c r="I164">
        <v>10001</v>
      </c>
      <c r="J164">
        <v>30000</v>
      </c>
    </row>
    <row r="165" spans="2:10" x14ac:dyDescent="0.25">
      <c r="B165" t="s">
        <v>538</v>
      </c>
      <c r="C165">
        <v>0.23350000000000001</v>
      </c>
      <c r="D165">
        <v>0.42309999999999998</v>
      </c>
      <c r="E165">
        <v>1.422E-2</v>
      </c>
      <c r="F165">
        <v>0</v>
      </c>
      <c r="G165">
        <v>0</v>
      </c>
      <c r="H165">
        <v>1</v>
      </c>
      <c r="I165">
        <v>10001</v>
      </c>
      <c r="J165">
        <v>30000</v>
      </c>
    </row>
    <row r="166" spans="2:10" x14ac:dyDescent="0.25">
      <c r="B166" t="s">
        <v>539</v>
      </c>
      <c r="C166">
        <v>0.14319999999999999</v>
      </c>
      <c r="D166">
        <v>0.3503</v>
      </c>
      <c r="E166">
        <v>9.6450000000000008E-3</v>
      </c>
      <c r="F166">
        <v>0</v>
      </c>
      <c r="G166">
        <v>0</v>
      </c>
      <c r="H166">
        <v>1</v>
      </c>
      <c r="I166">
        <v>10001</v>
      </c>
      <c r="J166">
        <v>30000</v>
      </c>
    </row>
    <row r="167" spans="2:10" x14ac:dyDescent="0.25">
      <c r="B167" t="s">
        <v>540</v>
      </c>
      <c r="C167">
        <v>0.155</v>
      </c>
      <c r="D167">
        <v>0.3619</v>
      </c>
      <c r="E167">
        <v>1.3089999999999999E-2</v>
      </c>
      <c r="F167">
        <v>0</v>
      </c>
      <c r="G167">
        <v>0</v>
      </c>
      <c r="H167">
        <v>1</v>
      </c>
      <c r="I167">
        <v>10001</v>
      </c>
      <c r="J167">
        <v>30000</v>
      </c>
    </row>
    <row r="168" spans="2:10" x14ac:dyDescent="0.25">
      <c r="B168" t="s">
        <v>541</v>
      </c>
      <c r="C168">
        <v>7.4499999999999997E-2</v>
      </c>
      <c r="D168">
        <v>0.2626</v>
      </c>
      <c r="E168">
        <v>1.025E-2</v>
      </c>
      <c r="F168">
        <v>0</v>
      </c>
      <c r="G168">
        <v>0</v>
      </c>
      <c r="H168">
        <v>1</v>
      </c>
      <c r="I168">
        <v>10001</v>
      </c>
      <c r="J168">
        <v>30000</v>
      </c>
    </row>
    <row r="169" spans="2:10" x14ac:dyDescent="0.25">
      <c r="B169" t="s">
        <v>542</v>
      </c>
      <c r="C169">
        <v>8.0669999999999995E-3</v>
      </c>
      <c r="D169">
        <v>8.9450000000000002E-2</v>
      </c>
      <c r="E169">
        <v>3.0899999999999999E-3</v>
      </c>
      <c r="F169">
        <v>0</v>
      </c>
      <c r="G169">
        <v>0</v>
      </c>
      <c r="H169">
        <v>0</v>
      </c>
      <c r="I169">
        <v>10001</v>
      </c>
      <c r="J169">
        <v>30000</v>
      </c>
    </row>
    <row r="170" spans="2:10" x14ac:dyDescent="0.25">
      <c r="B170" t="s">
        <v>543</v>
      </c>
      <c r="C170">
        <v>0</v>
      </c>
      <c r="D170">
        <v>0</v>
      </c>
      <c r="E170" s="13">
        <v>3.333E-13</v>
      </c>
      <c r="F170">
        <v>0</v>
      </c>
      <c r="G170">
        <v>0</v>
      </c>
      <c r="H170">
        <v>0</v>
      </c>
      <c r="I170">
        <v>10001</v>
      </c>
      <c r="J170">
        <v>30000</v>
      </c>
    </row>
    <row r="171" spans="2:10" x14ac:dyDescent="0.25">
      <c r="B171" t="s">
        <v>544</v>
      </c>
      <c r="C171">
        <v>0.14349999999999999</v>
      </c>
      <c r="D171">
        <v>0.35060000000000002</v>
      </c>
      <c r="E171">
        <v>1.5429999999999999E-2</v>
      </c>
      <c r="F171">
        <v>0</v>
      </c>
      <c r="G171">
        <v>0</v>
      </c>
      <c r="H171">
        <v>1</v>
      </c>
      <c r="I171">
        <v>10001</v>
      </c>
      <c r="J171">
        <v>30000</v>
      </c>
    </row>
    <row r="172" spans="2:10" x14ac:dyDescent="0.25">
      <c r="B172" t="s">
        <v>545</v>
      </c>
      <c r="C172">
        <v>0.41720000000000002</v>
      </c>
      <c r="D172">
        <v>0.49309999999999998</v>
      </c>
      <c r="E172">
        <v>1.968E-2</v>
      </c>
      <c r="F172">
        <v>0</v>
      </c>
      <c r="G172">
        <v>0</v>
      </c>
      <c r="H172">
        <v>1</v>
      </c>
      <c r="I172">
        <v>10001</v>
      </c>
      <c r="J172">
        <v>30000</v>
      </c>
    </row>
    <row r="173" spans="2:10" x14ac:dyDescent="0.25">
      <c r="B173" t="s">
        <v>546</v>
      </c>
      <c r="C173">
        <v>0.23619999999999999</v>
      </c>
      <c r="D173">
        <v>0.42470000000000002</v>
      </c>
      <c r="E173">
        <v>1.4659999999999999E-2</v>
      </c>
      <c r="F173">
        <v>0</v>
      </c>
      <c r="G173">
        <v>0</v>
      </c>
      <c r="H173">
        <v>1</v>
      </c>
      <c r="I173">
        <v>10001</v>
      </c>
      <c r="J173">
        <v>30000</v>
      </c>
    </row>
    <row r="174" spans="2:10" x14ac:dyDescent="0.25">
      <c r="B174" t="s">
        <v>547</v>
      </c>
      <c r="C174">
        <v>9.8799999999999999E-2</v>
      </c>
      <c r="D174">
        <v>0.2984</v>
      </c>
      <c r="E174">
        <v>8.4440000000000001E-3</v>
      </c>
      <c r="F174">
        <v>0</v>
      </c>
      <c r="G174">
        <v>0</v>
      </c>
      <c r="H174">
        <v>1</v>
      </c>
      <c r="I174">
        <v>10001</v>
      </c>
      <c r="J174">
        <v>30000</v>
      </c>
    </row>
    <row r="175" spans="2:10" x14ac:dyDescent="0.25">
      <c r="B175" t="s">
        <v>548</v>
      </c>
      <c r="C175">
        <v>6.13E-2</v>
      </c>
      <c r="D175">
        <v>0.2399</v>
      </c>
      <c r="E175">
        <v>6.8630000000000002E-3</v>
      </c>
      <c r="F175">
        <v>0</v>
      </c>
      <c r="G175">
        <v>0</v>
      </c>
      <c r="H175">
        <v>1</v>
      </c>
      <c r="I175">
        <v>10001</v>
      </c>
      <c r="J175">
        <v>30000</v>
      </c>
    </row>
    <row r="176" spans="2:10" x14ac:dyDescent="0.25">
      <c r="B176" t="s">
        <v>549</v>
      </c>
      <c r="C176">
        <v>3.3770000000000001E-2</v>
      </c>
      <c r="D176">
        <v>0.18060000000000001</v>
      </c>
      <c r="E176">
        <v>5.8180000000000003E-3</v>
      </c>
      <c r="F176">
        <v>0</v>
      </c>
      <c r="G176">
        <v>0</v>
      </c>
      <c r="H176">
        <v>1</v>
      </c>
      <c r="I176">
        <v>10001</v>
      </c>
      <c r="J176">
        <v>30000</v>
      </c>
    </row>
    <row r="177" spans="2:10" x14ac:dyDescent="0.25">
      <c r="B177" t="s">
        <v>550</v>
      </c>
      <c r="C177">
        <v>8.5000000000000006E-3</v>
      </c>
      <c r="D177">
        <v>9.1800000000000007E-2</v>
      </c>
      <c r="E177">
        <v>1.9810000000000001E-3</v>
      </c>
      <c r="F177">
        <v>0</v>
      </c>
      <c r="G177">
        <v>0</v>
      </c>
      <c r="H177">
        <v>0</v>
      </c>
      <c r="I177">
        <v>10001</v>
      </c>
      <c r="J177">
        <v>30000</v>
      </c>
    </row>
    <row r="178" spans="2:10" x14ac:dyDescent="0.25">
      <c r="B178" t="s">
        <v>551</v>
      </c>
      <c r="C178" s="13">
        <v>6.667E-4</v>
      </c>
      <c r="D178">
        <v>2.581E-2</v>
      </c>
      <c r="E178" s="13">
        <v>4.2460000000000002E-4</v>
      </c>
      <c r="F178">
        <v>0</v>
      </c>
      <c r="G178">
        <v>0</v>
      </c>
      <c r="H178">
        <v>0</v>
      </c>
      <c r="I178">
        <v>10001</v>
      </c>
      <c r="J178">
        <v>30000</v>
      </c>
    </row>
    <row r="179" spans="2:10" x14ac:dyDescent="0.25">
      <c r="B179" t="s">
        <v>552</v>
      </c>
      <c r="C179">
        <v>0</v>
      </c>
      <c r="D179">
        <v>0</v>
      </c>
      <c r="E179" s="13">
        <v>3.333E-13</v>
      </c>
      <c r="F179">
        <v>0</v>
      </c>
      <c r="G179">
        <v>0</v>
      </c>
      <c r="H179">
        <v>0</v>
      </c>
      <c r="I179">
        <v>10001</v>
      </c>
      <c r="J179">
        <v>30000</v>
      </c>
    </row>
    <row r="180" spans="2:10" x14ac:dyDescent="0.25">
      <c r="B180" t="s">
        <v>553</v>
      </c>
      <c r="C180">
        <v>1.0630000000000001E-2</v>
      </c>
      <c r="D180">
        <v>0.1026</v>
      </c>
      <c r="E180">
        <v>2.8739999999999998E-3</v>
      </c>
      <c r="F180">
        <v>0</v>
      </c>
      <c r="G180">
        <v>0</v>
      </c>
      <c r="H180">
        <v>0</v>
      </c>
      <c r="I180">
        <v>10001</v>
      </c>
      <c r="J180">
        <v>30000</v>
      </c>
    </row>
    <row r="181" spans="2:10" x14ac:dyDescent="0.25">
      <c r="B181" t="s">
        <v>554</v>
      </c>
      <c r="C181">
        <v>6.0069999999999998E-2</v>
      </c>
      <c r="D181">
        <v>0.23760000000000001</v>
      </c>
      <c r="E181">
        <v>7.4380000000000002E-3</v>
      </c>
      <c r="F181">
        <v>0</v>
      </c>
      <c r="G181">
        <v>0</v>
      </c>
      <c r="H181">
        <v>1</v>
      </c>
      <c r="I181">
        <v>10001</v>
      </c>
      <c r="J181">
        <v>30000</v>
      </c>
    </row>
    <row r="182" spans="2:10" x14ac:dyDescent="0.25">
      <c r="B182" t="s">
        <v>555</v>
      </c>
      <c r="C182">
        <v>7.5800000000000006E-2</v>
      </c>
      <c r="D182">
        <v>0.26469999999999999</v>
      </c>
      <c r="E182">
        <v>6.77E-3</v>
      </c>
      <c r="F182">
        <v>0</v>
      </c>
      <c r="G182">
        <v>0</v>
      </c>
      <c r="H182">
        <v>1</v>
      </c>
      <c r="I182">
        <v>10001</v>
      </c>
      <c r="J182">
        <v>30000</v>
      </c>
    </row>
    <row r="183" spans="2:10" x14ac:dyDescent="0.25">
      <c r="B183" t="s">
        <v>556</v>
      </c>
      <c r="C183">
        <v>8.5000000000000006E-2</v>
      </c>
      <c r="D183">
        <v>0.27889999999999998</v>
      </c>
      <c r="E183">
        <v>6.2839999999999997E-3</v>
      </c>
      <c r="F183">
        <v>0</v>
      </c>
      <c r="G183">
        <v>0</v>
      </c>
      <c r="H183">
        <v>1</v>
      </c>
      <c r="I183">
        <v>10001</v>
      </c>
      <c r="J183">
        <v>30000</v>
      </c>
    </row>
    <row r="184" spans="2:10" x14ac:dyDescent="0.25">
      <c r="B184" t="s">
        <v>557</v>
      </c>
      <c r="C184">
        <v>0.1033</v>
      </c>
      <c r="D184">
        <v>0.3044</v>
      </c>
      <c r="E184">
        <v>6.2919999999999998E-3</v>
      </c>
      <c r="F184">
        <v>0</v>
      </c>
      <c r="G184">
        <v>0</v>
      </c>
      <c r="H184">
        <v>1</v>
      </c>
      <c r="I184">
        <v>10001</v>
      </c>
      <c r="J184">
        <v>30000</v>
      </c>
    </row>
    <row r="185" spans="2:10" x14ac:dyDescent="0.25">
      <c r="B185" t="s">
        <v>558</v>
      </c>
      <c r="C185">
        <v>0.21240000000000001</v>
      </c>
      <c r="D185">
        <v>0.40899999999999997</v>
      </c>
      <c r="E185">
        <v>1.205E-2</v>
      </c>
      <c r="F185">
        <v>0</v>
      </c>
      <c r="G185">
        <v>0</v>
      </c>
      <c r="H185">
        <v>1</v>
      </c>
      <c r="I185">
        <v>10001</v>
      </c>
      <c r="J185">
        <v>30000</v>
      </c>
    </row>
    <row r="186" spans="2:10" x14ac:dyDescent="0.25">
      <c r="B186" t="s">
        <v>559</v>
      </c>
      <c r="C186">
        <v>0.27929999999999999</v>
      </c>
      <c r="D186">
        <v>0.44869999999999999</v>
      </c>
      <c r="E186">
        <v>1.4409999999999999E-2</v>
      </c>
      <c r="F186">
        <v>0</v>
      </c>
      <c r="G186">
        <v>0</v>
      </c>
      <c r="H186">
        <v>1</v>
      </c>
      <c r="I186">
        <v>10001</v>
      </c>
      <c r="J186">
        <v>30000</v>
      </c>
    </row>
    <row r="187" spans="2:10" x14ac:dyDescent="0.25">
      <c r="B187" t="s">
        <v>560</v>
      </c>
      <c r="C187">
        <v>0.16669999999999999</v>
      </c>
      <c r="D187">
        <v>0.37269999999999998</v>
      </c>
      <c r="E187">
        <v>1.4080000000000001E-2</v>
      </c>
      <c r="F187">
        <v>0</v>
      </c>
      <c r="G187">
        <v>0</v>
      </c>
      <c r="H187">
        <v>1</v>
      </c>
      <c r="I187">
        <v>10001</v>
      </c>
      <c r="J187">
        <v>30000</v>
      </c>
    </row>
    <row r="188" spans="2:10" x14ac:dyDescent="0.25">
      <c r="B188" t="s">
        <v>561</v>
      </c>
      <c r="C188">
        <v>6.7000000000000002E-3</v>
      </c>
      <c r="D188">
        <v>8.158E-2</v>
      </c>
      <c r="E188">
        <v>3.0620000000000001E-3</v>
      </c>
      <c r="F188">
        <v>0</v>
      </c>
      <c r="G188">
        <v>0</v>
      </c>
      <c r="H188">
        <v>0</v>
      </c>
      <c r="I188">
        <v>10001</v>
      </c>
      <c r="J188">
        <v>30000</v>
      </c>
    </row>
    <row r="189" spans="2:10" x14ac:dyDescent="0.25">
      <c r="B189" t="s">
        <v>562</v>
      </c>
      <c r="C189">
        <v>2.3E-3</v>
      </c>
      <c r="D189">
        <v>4.7899999999999998E-2</v>
      </c>
      <c r="E189">
        <v>1.75E-3</v>
      </c>
      <c r="F189">
        <v>0</v>
      </c>
      <c r="G189">
        <v>0</v>
      </c>
      <c r="H189">
        <v>0</v>
      </c>
      <c r="I189">
        <v>10001</v>
      </c>
      <c r="J189">
        <v>30000</v>
      </c>
    </row>
    <row r="190" spans="2:10" x14ac:dyDescent="0.25">
      <c r="B190" t="s">
        <v>563</v>
      </c>
      <c r="C190">
        <v>3.8E-3</v>
      </c>
      <c r="D190">
        <v>6.1530000000000001E-2</v>
      </c>
      <c r="E190">
        <v>2.2539999999999999E-3</v>
      </c>
      <c r="F190">
        <v>0</v>
      </c>
      <c r="G190">
        <v>0</v>
      </c>
      <c r="H190">
        <v>0</v>
      </c>
      <c r="I190">
        <v>10001</v>
      </c>
      <c r="J190">
        <v>30000</v>
      </c>
    </row>
    <row r="191" spans="2:10" x14ac:dyDescent="0.25">
      <c r="B191" t="s">
        <v>564</v>
      </c>
      <c r="C191">
        <v>2.1670000000000001E-3</v>
      </c>
      <c r="D191">
        <v>4.65E-2</v>
      </c>
      <c r="E191">
        <v>1.1310000000000001E-3</v>
      </c>
      <c r="F191">
        <v>0</v>
      </c>
      <c r="G191">
        <v>0</v>
      </c>
      <c r="H191">
        <v>0</v>
      </c>
      <c r="I191">
        <v>10001</v>
      </c>
      <c r="J191">
        <v>30000</v>
      </c>
    </row>
    <row r="192" spans="2:10" x14ac:dyDescent="0.25">
      <c r="B192" t="s">
        <v>565</v>
      </c>
      <c r="C192">
        <v>8.0330000000000002E-3</v>
      </c>
      <c r="D192">
        <v>8.9270000000000002E-2</v>
      </c>
      <c r="E192">
        <v>3.8470000000000002E-3</v>
      </c>
      <c r="F192">
        <v>0</v>
      </c>
      <c r="G192">
        <v>0</v>
      </c>
      <c r="H192">
        <v>0</v>
      </c>
      <c r="I192">
        <v>10001</v>
      </c>
      <c r="J192">
        <v>30000</v>
      </c>
    </row>
    <row r="193" spans="2:10" x14ac:dyDescent="0.25">
      <c r="B193" t="s">
        <v>566</v>
      </c>
      <c r="C193">
        <v>1.833E-3</v>
      </c>
      <c r="D193">
        <v>4.2779999999999999E-2</v>
      </c>
      <c r="E193" s="13">
        <v>9.3860000000000005E-4</v>
      </c>
      <c r="F193">
        <v>0</v>
      </c>
      <c r="G193">
        <v>0</v>
      </c>
      <c r="H193">
        <v>0</v>
      </c>
      <c r="I193">
        <v>10001</v>
      </c>
      <c r="J193">
        <v>30000</v>
      </c>
    </row>
    <row r="194" spans="2:10" x14ac:dyDescent="0.25">
      <c r="B194" t="s">
        <v>567</v>
      </c>
      <c r="C194">
        <v>1.6329999999999999E-3</v>
      </c>
      <c r="D194">
        <v>4.0379999999999999E-2</v>
      </c>
      <c r="E194" s="13">
        <v>7.3169999999999995E-4</v>
      </c>
      <c r="F194">
        <v>0</v>
      </c>
      <c r="G194">
        <v>0</v>
      </c>
      <c r="H194">
        <v>0</v>
      </c>
      <c r="I194">
        <v>10001</v>
      </c>
      <c r="J194">
        <v>30000</v>
      </c>
    </row>
    <row r="195" spans="2:10" x14ac:dyDescent="0.25">
      <c r="B195" t="s">
        <v>568</v>
      </c>
      <c r="C195">
        <v>4.0000000000000001E-3</v>
      </c>
      <c r="D195">
        <v>6.3119999999999996E-2</v>
      </c>
      <c r="E195">
        <v>1.9550000000000001E-3</v>
      </c>
      <c r="F195">
        <v>0</v>
      </c>
      <c r="G195">
        <v>0</v>
      </c>
      <c r="H195">
        <v>0</v>
      </c>
      <c r="I195">
        <v>10001</v>
      </c>
      <c r="J195">
        <v>30000</v>
      </c>
    </row>
    <row r="196" spans="2:10" x14ac:dyDescent="0.25">
      <c r="B196" t="s">
        <v>569</v>
      </c>
      <c r="C196">
        <v>4.8329999999999996E-3</v>
      </c>
      <c r="D196">
        <v>6.9349999999999995E-2</v>
      </c>
      <c r="E196">
        <v>2.1670000000000001E-3</v>
      </c>
      <c r="F196">
        <v>0</v>
      </c>
      <c r="G196">
        <v>0</v>
      </c>
      <c r="H196">
        <v>0</v>
      </c>
      <c r="I196">
        <v>10001</v>
      </c>
      <c r="J196">
        <v>30000</v>
      </c>
    </row>
    <row r="197" spans="2:10" x14ac:dyDescent="0.25">
      <c r="B197" t="s">
        <v>570</v>
      </c>
      <c r="C197">
        <v>0.97140000000000004</v>
      </c>
      <c r="D197">
        <v>0.16669999999999999</v>
      </c>
      <c r="E197">
        <v>9.3509999999999999E-3</v>
      </c>
      <c r="F197">
        <v>0</v>
      </c>
      <c r="G197">
        <v>1</v>
      </c>
      <c r="H197">
        <v>1</v>
      </c>
      <c r="I197">
        <v>10001</v>
      </c>
      <c r="J197">
        <v>30000</v>
      </c>
    </row>
    <row r="198" spans="2:10" x14ac:dyDescent="0.25">
      <c r="B198" t="s">
        <v>571</v>
      </c>
      <c r="C198">
        <v>0.67879999999999996</v>
      </c>
      <c r="D198">
        <v>0.46700000000000003</v>
      </c>
      <c r="E198">
        <v>2.181E-2</v>
      </c>
      <c r="F198">
        <v>0</v>
      </c>
      <c r="G198">
        <v>1</v>
      </c>
      <c r="H198">
        <v>1</v>
      </c>
      <c r="I198">
        <v>10001</v>
      </c>
      <c r="J198">
        <v>30000</v>
      </c>
    </row>
    <row r="199" spans="2:10" x14ac:dyDescent="0.25">
      <c r="B199" t="s">
        <v>572</v>
      </c>
      <c r="C199">
        <v>0.13869999999999999</v>
      </c>
      <c r="D199">
        <v>0.34560000000000002</v>
      </c>
      <c r="E199">
        <v>1.2529999999999999E-2</v>
      </c>
      <c r="F199">
        <v>0</v>
      </c>
      <c r="G199">
        <v>0</v>
      </c>
      <c r="H199">
        <v>1</v>
      </c>
      <c r="I199">
        <v>10001</v>
      </c>
      <c r="J199">
        <v>30000</v>
      </c>
    </row>
    <row r="200" spans="2:10" x14ac:dyDescent="0.25">
      <c r="B200" t="s">
        <v>573</v>
      </c>
      <c r="C200">
        <v>6.0670000000000002E-2</v>
      </c>
      <c r="D200">
        <v>0.2387</v>
      </c>
      <c r="E200">
        <v>6.326E-3</v>
      </c>
      <c r="F200">
        <v>0</v>
      </c>
      <c r="G200">
        <v>0</v>
      </c>
      <c r="H200">
        <v>1</v>
      </c>
      <c r="I200">
        <v>10001</v>
      </c>
      <c r="J200">
        <v>30000</v>
      </c>
    </row>
    <row r="201" spans="2:10" x14ac:dyDescent="0.25">
      <c r="B201" t="s">
        <v>574</v>
      </c>
      <c r="C201">
        <v>4.5330000000000002E-2</v>
      </c>
      <c r="D201">
        <v>0.20799999999999999</v>
      </c>
      <c r="E201">
        <v>6.4130000000000003E-3</v>
      </c>
      <c r="F201">
        <v>0</v>
      </c>
      <c r="G201">
        <v>0</v>
      </c>
      <c r="H201">
        <v>1</v>
      </c>
      <c r="I201">
        <v>10001</v>
      </c>
      <c r="J201">
        <v>30000</v>
      </c>
    </row>
    <row r="202" spans="2:10" x14ac:dyDescent="0.25">
      <c r="B202" t="s">
        <v>575</v>
      </c>
      <c r="C202">
        <v>2.8029999999999999E-2</v>
      </c>
      <c r="D202">
        <v>0.1651</v>
      </c>
      <c r="E202">
        <v>4.8469999999999997E-3</v>
      </c>
      <c r="F202">
        <v>0</v>
      </c>
      <c r="G202">
        <v>0</v>
      </c>
      <c r="H202">
        <v>1</v>
      </c>
      <c r="I202">
        <v>10001</v>
      </c>
      <c r="J202">
        <v>30000</v>
      </c>
    </row>
    <row r="203" spans="2:10" x14ac:dyDescent="0.25">
      <c r="B203" t="s">
        <v>576</v>
      </c>
      <c r="C203">
        <v>2.63E-2</v>
      </c>
      <c r="D203">
        <v>0.16</v>
      </c>
      <c r="E203">
        <v>4.7099999999999998E-3</v>
      </c>
      <c r="F203">
        <v>0</v>
      </c>
      <c r="G203">
        <v>0</v>
      </c>
      <c r="H203">
        <v>1</v>
      </c>
      <c r="I203">
        <v>10001</v>
      </c>
      <c r="J203">
        <v>30000</v>
      </c>
    </row>
    <row r="204" spans="2:10" x14ac:dyDescent="0.25">
      <c r="B204" t="s">
        <v>577</v>
      </c>
      <c r="C204">
        <v>1.917E-2</v>
      </c>
      <c r="D204">
        <v>0.1371</v>
      </c>
      <c r="E204">
        <v>4.9909999999999998E-3</v>
      </c>
      <c r="F204">
        <v>0</v>
      </c>
      <c r="G204">
        <v>0</v>
      </c>
      <c r="H204">
        <v>0</v>
      </c>
      <c r="I204">
        <v>10001</v>
      </c>
      <c r="J204">
        <v>30000</v>
      </c>
    </row>
    <row r="205" spans="2:10" x14ac:dyDescent="0.25">
      <c r="B205" t="s">
        <v>578</v>
      </c>
      <c r="C205">
        <v>3.0330000000000001E-3</v>
      </c>
      <c r="D205">
        <v>5.4989999999999997E-2</v>
      </c>
      <c r="E205">
        <v>1.1620000000000001E-3</v>
      </c>
      <c r="F205">
        <v>0</v>
      </c>
      <c r="G205">
        <v>0</v>
      </c>
      <c r="H205">
        <v>0</v>
      </c>
      <c r="I205">
        <v>10001</v>
      </c>
      <c r="J205">
        <v>30000</v>
      </c>
    </row>
    <row r="206" spans="2:10" x14ac:dyDescent="0.25">
      <c r="B206" t="s">
        <v>579</v>
      </c>
      <c r="C206">
        <v>0</v>
      </c>
      <c r="D206">
        <v>0</v>
      </c>
      <c r="E206" s="13">
        <v>3.333E-13</v>
      </c>
      <c r="F206">
        <v>0</v>
      </c>
      <c r="G206">
        <v>0</v>
      </c>
      <c r="H206">
        <v>0</v>
      </c>
      <c r="I206">
        <v>10001</v>
      </c>
      <c r="J206">
        <v>30000</v>
      </c>
    </row>
    <row r="207" spans="2:10" x14ac:dyDescent="0.25">
      <c r="B207" t="s">
        <v>580</v>
      </c>
      <c r="C207">
        <v>0.14000000000000001</v>
      </c>
      <c r="D207">
        <v>0.34699999999999998</v>
      </c>
      <c r="E207">
        <v>1.6310000000000002E-2</v>
      </c>
      <c r="F207">
        <v>0</v>
      </c>
      <c r="G207">
        <v>0</v>
      </c>
      <c r="H207">
        <v>1</v>
      </c>
      <c r="I207">
        <v>10001</v>
      </c>
      <c r="J207">
        <v>30000</v>
      </c>
    </row>
    <row r="208" spans="2:10" x14ac:dyDescent="0.25">
      <c r="B208" t="s">
        <v>581</v>
      </c>
      <c r="C208">
        <v>0.17280000000000001</v>
      </c>
      <c r="D208">
        <v>0.37809999999999999</v>
      </c>
      <c r="E208">
        <v>1.529E-2</v>
      </c>
      <c r="F208">
        <v>0</v>
      </c>
      <c r="G208">
        <v>0</v>
      </c>
      <c r="H208">
        <v>1</v>
      </c>
      <c r="I208">
        <v>10001</v>
      </c>
      <c r="J208">
        <v>30000</v>
      </c>
    </row>
    <row r="209" spans="2:10" x14ac:dyDescent="0.25">
      <c r="B209" t="s">
        <v>582</v>
      </c>
      <c r="C209">
        <v>6.3070000000000001E-2</v>
      </c>
      <c r="D209">
        <v>0.24310000000000001</v>
      </c>
      <c r="E209">
        <v>6.2830000000000004E-3</v>
      </c>
      <c r="F209">
        <v>0</v>
      </c>
      <c r="G209">
        <v>0</v>
      </c>
      <c r="H209">
        <v>1</v>
      </c>
      <c r="I209">
        <v>10001</v>
      </c>
      <c r="J209">
        <v>30000</v>
      </c>
    </row>
    <row r="210" spans="2:10" x14ac:dyDescent="0.25">
      <c r="B210" t="s">
        <v>583</v>
      </c>
      <c r="C210">
        <v>6.3270000000000007E-2</v>
      </c>
      <c r="D210">
        <v>0.24340000000000001</v>
      </c>
      <c r="E210">
        <v>7.2290000000000002E-3</v>
      </c>
      <c r="F210">
        <v>0</v>
      </c>
      <c r="G210">
        <v>0</v>
      </c>
      <c r="H210">
        <v>1</v>
      </c>
      <c r="I210">
        <v>10001</v>
      </c>
      <c r="J210">
        <v>30000</v>
      </c>
    </row>
    <row r="211" spans="2:10" x14ac:dyDescent="0.25">
      <c r="B211" t="s">
        <v>584</v>
      </c>
      <c r="C211">
        <v>4.1070000000000002E-2</v>
      </c>
      <c r="D211">
        <v>0.19839999999999999</v>
      </c>
      <c r="E211">
        <v>3.8040000000000001E-3</v>
      </c>
      <c r="F211">
        <v>0</v>
      </c>
      <c r="G211">
        <v>0</v>
      </c>
      <c r="H211">
        <v>1</v>
      </c>
      <c r="I211">
        <v>10001</v>
      </c>
      <c r="J211">
        <v>30000</v>
      </c>
    </row>
    <row r="212" spans="2:10" x14ac:dyDescent="0.25">
      <c r="B212" t="s">
        <v>585</v>
      </c>
      <c r="C212">
        <v>7.4300000000000005E-2</v>
      </c>
      <c r="D212">
        <v>0.26229999999999998</v>
      </c>
      <c r="E212">
        <v>6.8950000000000001E-3</v>
      </c>
      <c r="F212">
        <v>0</v>
      </c>
      <c r="G212">
        <v>0</v>
      </c>
      <c r="H212">
        <v>1</v>
      </c>
      <c r="I212">
        <v>10001</v>
      </c>
      <c r="J212">
        <v>30000</v>
      </c>
    </row>
    <row r="213" spans="2:10" x14ac:dyDescent="0.25">
      <c r="B213" t="s">
        <v>586</v>
      </c>
      <c r="C213">
        <v>0.11890000000000001</v>
      </c>
      <c r="D213">
        <v>0.32369999999999999</v>
      </c>
      <c r="E213">
        <v>1.04E-2</v>
      </c>
      <c r="F213">
        <v>0</v>
      </c>
      <c r="G213">
        <v>0</v>
      </c>
      <c r="H213">
        <v>1</v>
      </c>
      <c r="I213">
        <v>10001</v>
      </c>
      <c r="J213">
        <v>30000</v>
      </c>
    </row>
    <row r="214" spans="2:10" x14ac:dyDescent="0.25">
      <c r="B214" t="s">
        <v>587</v>
      </c>
      <c r="C214">
        <v>0.3206</v>
      </c>
      <c r="D214">
        <v>0.4667</v>
      </c>
      <c r="E214">
        <v>2.265E-2</v>
      </c>
      <c r="F214">
        <v>0</v>
      </c>
      <c r="G214">
        <v>0</v>
      </c>
      <c r="H214">
        <v>1</v>
      </c>
      <c r="I214">
        <v>10001</v>
      </c>
      <c r="J214">
        <v>30000</v>
      </c>
    </row>
    <row r="215" spans="2:10" x14ac:dyDescent="0.25">
      <c r="B215" t="s">
        <v>588</v>
      </c>
      <c r="C215">
        <v>6.0330000000000002E-3</v>
      </c>
      <c r="D215">
        <v>7.7439999999999995E-2</v>
      </c>
      <c r="E215">
        <v>3.7880000000000001E-3</v>
      </c>
      <c r="F215">
        <v>0</v>
      </c>
      <c r="G215">
        <v>0</v>
      </c>
      <c r="H215">
        <v>0</v>
      </c>
      <c r="I215">
        <v>10001</v>
      </c>
      <c r="J215">
        <v>30000</v>
      </c>
    </row>
    <row r="216" spans="2:10" x14ac:dyDescent="0.25">
      <c r="B216" t="s">
        <v>589</v>
      </c>
      <c r="C216">
        <v>1.41E-2</v>
      </c>
      <c r="D216">
        <v>0.1179</v>
      </c>
      <c r="E216">
        <v>3.4619999999999998E-3</v>
      </c>
      <c r="F216">
        <v>0</v>
      </c>
      <c r="G216">
        <v>0</v>
      </c>
      <c r="H216">
        <v>0</v>
      </c>
      <c r="I216">
        <v>10001</v>
      </c>
      <c r="J216">
        <v>30000</v>
      </c>
    </row>
    <row r="217" spans="2:10" x14ac:dyDescent="0.25">
      <c r="B217" t="s">
        <v>590</v>
      </c>
      <c r="C217">
        <v>0.112</v>
      </c>
      <c r="D217">
        <v>0.31540000000000001</v>
      </c>
      <c r="E217">
        <v>1.1270000000000001E-2</v>
      </c>
      <c r="F217">
        <v>0</v>
      </c>
      <c r="G217">
        <v>0</v>
      </c>
      <c r="H217">
        <v>1</v>
      </c>
      <c r="I217">
        <v>10001</v>
      </c>
      <c r="J217">
        <v>30000</v>
      </c>
    </row>
    <row r="218" spans="2:10" x14ac:dyDescent="0.25">
      <c r="B218" t="s">
        <v>591</v>
      </c>
      <c r="C218">
        <v>0.19939999999999999</v>
      </c>
      <c r="D218">
        <v>0.39950000000000002</v>
      </c>
      <c r="E218">
        <v>1.3100000000000001E-2</v>
      </c>
      <c r="F218">
        <v>0</v>
      </c>
      <c r="G218">
        <v>0</v>
      </c>
      <c r="H218">
        <v>1</v>
      </c>
      <c r="I218">
        <v>10001</v>
      </c>
      <c r="J218">
        <v>30000</v>
      </c>
    </row>
    <row r="219" spans="2:10" x14ac:dyDescent="0.25">
      <c r="B219" t="s">
        <v>592</v>
      </c>
      <c r="C219">
        <v>0.27479999999999999</v>
      </c>
      <c r="D219">
        <v>0.44640000000000002</v>
      </c>
      <c r="E219">
        <v>1.338E-2</v>
      </c>
      <c r="F219">
        <v>0</v>
      </c>
      <c r="G219">
        <v>0</v>
      </c>
      <c r="H219">
        <v>1</v>
      </c>
      <c r="I219">
        <v>10001</v>
      </c>
      <c r="J219">
        <v>30000</v>
      </c>
    </row>
    <row r="220" spans="2:10" x14ac:dyDescent="0.25">
      <c r="B220" t="s">
        <v>593</v>
      </c>
      <c r="C220">
        <v>0.24129999999999999</v>
      </c>
      <c r="D220">
        <v>0.4279</v>
      </c>
      <c r="E220">
        <v>1.2529999999999999E-2</v>
      </c>
      <c r="F220">
        <v>0</v>
      </c>
      <c r="G220">
        <v>0</v>
      </c>
      <c r="H220">
        <v>1</v>
      </c>
      <c r="I220">
        <v>10001</v>
      </c>
      <c r="J220">
        <v>30000</v>
      </c>
    </row>
    <row r="221" spans="2:10" x14ac:dyDescent="0.25">
      <c r="B221" t="s">
        <v>594</v>
      </c>
      <c r="C221">
        <v>0.1221</v>
      </c>
      <c r="D221">
        <v>0.32740000000000002</v>
      </c>
      <c r="E221">
        <v>1.0030000000000001E-2</v>
      </c>
      <c r="F221">
        <v>0</v>
      </c>
      <c r="G221">
        <v>0</v>
      </c>
      <c r="H221">
        <v>1</v>
      </c>
      <c r="I221">
        <v>10001</v>
      </c>
      <c r="J221">
        <v>30000</v>
      </c>
    </row>
    <row r="222" spans="2:10" x14ac:dyDescent="0.25">
      <c r="B222" t="s">
        <v>595</v>
      </c>
      <c r="C222">
        <v>3.6229999999999998E-2</v>
      </c>
      <c r="D222">
        <v>0.18690000000000001</v>
      </c>
      <c r="E222">
        <v>5.849E-3</v>
      </c>
      <c r="F222">
        <v>0</v>
      </c>
      <c r="G222">
        <v>0</v>
      </c>
      <c r="H222">
        <v>1</v>
      </c>
      <c r="I222">
        <v>10001</v>
      </c>
      <c r="J222">
        <v>30000</v>
      </c>
    </row>
    <row r="223" spans="2:10" x14ac:dyDescent="0.25">
      <c r="B223" t="s">
        <v>596</v>
      </c>
      <c r="C223">
        <v>0</v>
      </c>
      <c r="D223">
        <v>0</v>
      </c>
      <c r="E223" s="13">
        <v>3.333E-13</v>
      </c>
      <c r="F223">
        <v>0</v>
      </c>
      <c r="G223">
        <v>0</v>
      </c>
      <c r="H223">
        <v>0</v>
      </c>
      <c r="I223">
        <v>10001</v>
      </c>
      <c r="J223">
        <v>30000</v>
      </c>
    </row>
    <row r="224" spans="2:10" x14ac:dyDescent="0.25">
      <c r="B224" t="s">
        <v>597</v>
      </c>
      <c r="C224">
        <v>0</v>
      </c>
      <c r="D224">
        <v>0</v>
      </c>
      <c r="E224" s="13">
        <v>3.333E-13</v>
      </c>
      <c r="F224">
        <v>0</v>
      </c>
      <c r="G224">
        <v>0</v>
      </c>
      <c r="H224">
        <v>0</v>
      </c>
      <c r="I224">
        <v>10001</v>
      </c>
      <c r="J224">
        <v>30000</v>
      </c>
    </row>
    <row r="225" spans="2:10" x14ac:dyDescent="0.25">
      <c r="B225" t="s">
        <v>598</v>
      </c>
      <c r="C225">
        <v>5.9589999999999996</v>
      </c>
      <c r="D225">
        <v>2.2410000000000001</v>
      </c>
      <c r="E225">
        <v>7.868E-2</v>
      </c>
      <c r="F225">
        <v>2.4990000000000001</v>
      </c>
      <c r="G225">
        <v>5.6879999999999997</v>
      </c>
      <c r="H225">
        <v>11.22</v>
      </c>
      <c r="I225">
        <v>10001</v>
      </c>
      <c r="J225">
        <v>30000</v>
      </c>
    </row>
    <row r="226" spans="2:10" x14ac:dyDescent="0.25">
      <c r="B226" t="s">
        <v>599</v>
      </c>
      <c r="C226">
        <v>1.7190000000000001</v>
      </c>
      <c r="D226">
        <v>1.73</v>
      </c>
      <c r="E226">
        <v>3.526E-2</v>
      </c>
      <c r="F226">
        <v>4.3520000000000003E-2</v>
      </c>
      <c r="G226">
        <v>1.19</v>
      </c>
      <c r="H226">
        <v>6.3650000000000002</v>
      </c>
      <c r="I226">
        <v>10001</v>
      </c>
      <c r="J226">
        <v>30000</v>
      </c>
    </row>
    <row r="227" spans="2:10" x14ac:dyDescent="0.25">
      <c r="B227" t="s">
        <v>600</v>
      </c>
      <c r="C227">
        <v>1.331</v>
      </c>
      <c r="D227">
        <v>1.607</v>
      </c>
      <c r="E227">
        <v>1.444E-2</v>
      </c>
      <c r="F227">
        <v>2.3359999999999999E-2</v>
      </c>
      <c r="G227">
        <v>0.76500000000000001</v>
      </c>
      <c r="H227">
        <v>5.8330000000000002</v>
      </c>
      <c r="I227">
        <v>10001</v>
      </c>
      <c r="J227">
        <v>30000</v>
      </c>
    </row>
    <row r="228" spans="2:10" x14ac:dyDescent="0.25">
      <c r="B228" t="s">
        <v>601</v>
      </c>
      <c r="C228">
        <v>1.329</v>
      </c>
      <c r="D228">
        <v>1.6140000000000001</v>
      </c>
      <c r="E228">
        <v>1.457E-2</v>
      </c>
      <c r="F228">
        <v>2.453E-2</v>
      </c>
      <c r="G228">
        <v>0.75249999999999995</v>
      </c>
      <c r="H228">
        <v>5.883</v>
      </c>
      <c r="I228">
        <v>10001</v>
      </c>
      <c r="J228">
        <v>30000</v>
      </c>
    </row>
    <row r="229" spans="2:10" x14ac:dyDescent="0.25">
      <c r="B229" t="s">
        <v>602</v>
      </c>
      <c r="C229">
        <v>4.6070000000000002</v>
      </c>
      <c r="D229">
        <v>2.528</v>
      </c>
      <c r="E229">
        <v>0.1056</v>
      </c>
      <c r="F229">
        <v>1.2010000000000001</v>
      </c>
      <c r="G229">
        <v>4.109</v>
      </c>
      <c r="H229">
        <v>10.67</v>
      </c>
      <c r="I229">
        <v>10001</v>
      </c>
      <c r="J229">
        <v>30000</v>
      </c>
    </row>
    <row r="230" spans="2:10" x14ac:dyDescent="0.25">
      <c r="B230" t="s">
        <v>603</v>
      </c>
      <c r="C230">
        <v>2.3319999999999999</v>
      </c>
      <c r="D230">
        <v>2.08</v>
      </c>
      <c r="E230">
        <v>7.1540000000000006E-2</v>
      </c>
      <c r="F230">
        <v>7.1720000000000006E-2</v>
      </c>
      <c r="G230">
        <v>1.772</v>
      </c>
      <c r="H230">
        <v>7.5380000000000003</v>
      </c>
      <c r="I230">
        <v>10001</v>
      </c>
      <c r="J230">
        <v>30000</v>
      </c>
    </row>
    <row r="231" spans="2:10" x14ac:dyDescent="0.25">
      <c r="B231" t="s">
        <v>604</v>
      </c>
      <c r="C231">
        <v>2.0249999999999999</v>
      </c>
      <c r="D231">
        <v>1.9890000000000001</v>
      </c>
      <c r="E231">
        <v>5.3159999999999999E-2</v>
      </c>
      <c r="F231">
        <v>4.8180000000000001E-2</v>
      </c>
      <c r="G231">
        <v>1.4019999999999999</v>
      </c>
      <c r="H231">
        <v>7.2709999999999999</v>
      </c>
      <c r="I231">
        <v>10001</v>
      </c>
      <c r="J231">
        <v>30000</v>
      </c>
    </row>
    <row r="232" spans="2:10" x14ac:dyDescent="0.25">
      <c r="B232" t="s">
        <v>605</v>
      </c>
      <c r="C232">
        <v>1.333</v>
      </c>
      <c r="D232">
        <v>1.615</v>
      </c>
      <c r="E232">
        <v>1.3780000000000001E-2</v>
      </c>
      <c r="F232">
        <v>2.5080000000000002E-2</v>
      </c>
      <c r="G232">
        <v>0.75929999999999997</v>
      </c>
      <c r="H232">
        <v>5.9539999999999997</v>
      </c>
      <c r="I232">
        <v>10001</v>
      </c>
      <c r="J232">
        <v>30000</v>
      </c>
    </row>
    <row r="233" spans="2:10" x14ac:dyDescent="0.25">
      <c r="B233" t="s">
        <v>606</v>
      </c>
      <c r="C233">
        <v>2.0289999999999999</v>
      </c>
      <c r="D233">
        <v>1.597</v>
      </c>
      <c r="E233">
        <v>1.7250000000000001E-2</v>
      </c>
      <c r="F233">
        <v>0.47199999999999998</v>
      </c>
      <c r="G233">
        <v>1.5369999999999999</v>
      </c>
      <c r="H233">
        <v>6.4260000000000002</v>
      </c>
      <c r="I233">
        <v>10001</v>
      </c>
      <c r="J233">
        <v>30000</v>
      </c>
    </row>
    <row r="234" spans="2:10" x14ac:dyDescent="0.25">
      <c r="B234" t="s">
        <v>607</v>
      </c>
      <c r="C234">
        <v>4.1399999999999997</v>
      </c>
      <c r="D234">
        <v>1.962</v>
      </c>
      <c r="E234">
        <v>4.8619999999999997E-2</v>
      </c>
      <c r="F234">
        <v>1.2509999999999999</v>
      </c>
      <c r="G234">
        <v>3.835</v>
      </c>
      <c r="H234">
        <v>8.9009999999999998</v>
      </c>
      <c r="I234">
        <v>10001</v>
      </c>
      <c r="J234">
        <v>30000</v>
      </c>
    </row>
    <row r="235" spans="2:10" x14ac:dyDescent="0.25">
      <c r="B235" t="s">
        <v>608</v>
      </c>
      <c r="C235">
        <v>2.38</v>
      </c>
      <c r="D235">
        <v>2.052</v>
      </c>
      <c r="E235">
        <v>7.2650000000000006E-2</v>
      </c>
      <c r="F235">
        <v>7.6139999999999999E-2</v>
      </c>
      <c r="G235">
        <v>1.8460000000000001</v>
      </c>
      <c r="H235">
        <v>7.5430000000000001</v>
      </c>
      <c r="I235">
        <v>10001</v>
      </c>
      <c r="J235">
        <v>30000</v>
      </c>
    </row>
    <row r="236" spans="2:10" x14ac:dyDescent="0.25">
      <c r="B236" t="s">
        <v>609</v>
      </c>
      <c r="C236">
        <v>1.367</v>
      </c>
      <c r="D236">
        <v>1.508</v>
      </c>
      <c r="E236">
        <v>1.7469999999999999E-2</v>
      </c>
      <c r="F236">
        <v>3.006E-2</v>
      </c>
      <c r="G236">
        <v>0.87439999999999996</v>
      </c>
      <c r="H236">
        <v>5.5730000000000004</v>
      </c>
      <c r="I236">
        <v>10001</v>
      </c>
      <c r="J236">
        <v>30000</v>
      </c>
    </row>
    <row r="237" spans="2:10" x14ac:dyDescent="0.25">
      <c r="B237" t="s">
        <v>610</v>
      </c>
      <c r="C237">
        <v>4.17</v>
      </c>
      <c r="D237">
        <v>1.6679999999999999</v>
      </c>
      <c r="E237">
        <v>1.8579999999999999E-2</v>
      </c>
      <c r="F237">
        <v>2.4460000000000002</v>
      </c>
      <c r="G237">
        <v>3.673</v>
      </c>
      <c r="H237">
        <v>8.7899999999999991</v>
      </c>
      <c r="I237">
        <v>10001</v>
      </c>
      <c r="J237">
        <v>30000</v>
      </c>
    </row>
    <row r="238" spans="2:10" x14ac:dyDescent="0.25">
      <c r="B238" t="s">
        <v>611</v>
      </c>
      <c r="C238">
        <v>1.286</v>
      </c>
      <c r="D238">
        <v>1.59</v>
      </c>
      <c r="E238">
        <v>1.068E-2</v>
      </c>
      <c r="F238">
        <v>2.7799999999999998E-2</v>
      </c>
      <c r="G238">
        <v>0.68889999999999996</v>
      </c>
      <c r="H238">
        <v>5.8419999999999996</v>
      </c>
      <c r="I238">
        <v>10001</v>
      </c>
      <c r="J238">
        <v>30000</v>
      </c>
    </row>
    <row r="239" spans="2:10" x14ac:dyDescent="0.25">
      <c r="B239" t="s">
        <v>612</v>
      </c>
      <c r="C239">
        <v>2.7429999999999999</v>
      </c>
      <c r="D239">
        <v>1.671</v>
      </c>
      <c r="E239">
        <v>2.9659999999999999E-2</v>
      </c>
      <c r="F239">
        <v>0.66500000000000004</v>
      </c>
      <c r="G239">
        <v>2.3769999999999998</v>
      </c>
      <c r="H239">
        <v>7.1289999999999996</v>
      </c>
      <c r="I239">
        <v>10001</v>
      </c>
      <c r="J239">
        <v>30000</v>
      </c>
    </row>
    <row r="240" spans="2:10" x14ac:dyDescent="0.25">
      <c r="B240" t="s">
        <v>613</v>
      </c>
      <c r="C240">
        <v>1.321</v>
      </c>
      <c r="D240">
        <v>1.4930000000000001</v>
      </c>
      <c r="E240">
        <v>1.6039999999999999E-2</v>
      </c>
      <c r="F240">
        <v>2.7099999999999999E-2</v>
      </c>
      <c r="G240">
        <v>0.83509999999999995</v>
      </c>
      <c r="H240">
        <v>5.4379999999999997</v>
      </c>
      <c r="I240">
        <v>10001</v>
      </c>
      <c r="J240">
        <v>30000</v>
      </c>
    </row>
    <row r="241" spans="2:10" x14ac:dyDescent="0.25">
      <c r="B241" t="s">
        <v>614</v>
      </c>
      <c r="C241">
        <v>1.788</v>
      </c>
      <c r="D241">
        <v>1.6</v>
      </c>
      <c r="E241">
        <v>1.157E-2</v>
      </c>
      <c r="F241">
        <v>0.48070000000000002</v>
      </c>
      <c r="G241">
        <v>1.1950000000000001</v>
      </c>
      <c r="H241">
        <v>6.3109999999999999</v>
      </c>
      <c r="I241">
        <v>10001</v>
      </c>
      <c r="J241">
        <v>30000</v>
      </c>
    </row>
    <row r="242" spans="2:10" x14ac:dyDescent="0.25">
      <c r="B242" t="s">
        <v>615</v>
      </c>
      <c r="C242">
        <v>1.339</v>
      </c>
      <c r="D242">
        <v>1.6259999999999999</v>
      </c>
      <c r="E242">
        <v>1.4120000000000001E-2</v>
      </c>
      <c r="F242">
        <v>2.4039999999999999E-2</v>
      </c>
      <c r="G242">
        <v>0.76290000000000002</v>
      </c>
      <c r="H242">
        <v>5.8789999999999996</v>
      </c>
      <c r="I242">
        <v>10001</v>
      </c>
      <c r="J242">
        <v>30000</v>
      </c>
    </row>
    <row r="243" spans="2:10" x14ac:dyDescent="0.25">
      <c r="B243" t="s">
        <v>616</v>
      </c>
      <c r="C243">
        <v>1.1910000000000001</v>
      </c>
      <c r="D243">
        <v>1.6459999999999999</v>
      </c>
      <c r="E243">
        <v>1.528E-2</v>
      </c>
      <c r="F243">
        <v>1.474E-3</v>
      </c>
      <c r="G243">
        <v>0.56630000000000003</v>
      </c>
      <c r="H243">
        <v>5.8630000000000004</v>
      </c>
      <c r="I243">
        <v>10001</v>
      </c>
      <c r="J243">
        <v>30000</v>
      </c>
    </row>
    <row r="244" spans="2:10" x14ac:dyDescent="0.25">
      <c r="B244" t="s">
        <v>617</v>
      </c>
      <c r="C244">
        <v>1.88</v>
      </c>
      <c r="D244">
        <v>1.556</v>
      </c>
      <c r="E244">
        <v>1.282E-2</v>
      </c>
      <c r="F244">
        <v>0.55300000000000005</v>
      </c>
      <c r="G244">
        <v>1.333</v>
      </c>
      <c r="H244">
        <v>6.29</v>
      </c>
      <c r="I244">
        <v>10001</v>
      </c>
      <c r="J244">
        <v>30000</v>
      </c>
    </row>
    <row r="245" spans="2:10" x14ac:dyDescent="0.25">
      <c r="B245" t="s">
        <v>618</v>
      </c>
      <c r="C245">
        <v>1.5609999999999999</v>
      </c>
      <c r="D245">
        <v>1.605</v>
      </c>
      <c r="E245">
        <v>2.8850000000000001E-2</v>
      </c>
      <c r="F245">
        <v>4.0849999999999997E-2</v>
      </c>
      <c r="G245">
        <v>1.0660000000000001</v>
      </c>
      <c r="H245">
        <v>5.91</v>
      </c>
      <c r="I245">
        <v>10001</v>
      </c>
      <c r="J245">
        <v>30000</v>
      </c>
    </row>
    <row r="246" spans="2:10" x14ac:dyDescent="0.25">
      <c r="B246" t="s">
        <v>619</v>
      </c>
      <c r="C246">
        <v>1.4119999999999999</v>
      </c>
      <c r="D246">
        <v>1.5109999999999999</v>
      </c>
      <c r="E246">
        <v>1.788E-2</v>
      </c>
      <c r="F246">
        <v>3.7260000000000001E-2</v>
      </c>
      <c r="G246">
        <v>0.93710000000000004</v>
      </c>
      <c r="H246">
        <v>5.5590000000000002</v>
      </c>
      <c r="I246">
        <v>10001</v>
      </c>
      <c r="J246">
        <v>30000</v>
      </c>
    </row>
    <row r="247" spans="2:10" x14ac:dyDescent="0.25">
      <c r="B247" t="s">
        <v>620</v>
      </c>
      <c r="C247">
        <v>1.1140000000000001</v>
      </c>
      <c r="D247">
        <v>1.4650000000000001</v>
      </c>
      <c r="E247">
        <v>8.9739999999999993E-3</v>
      </c>
      <c r="F247">
        <v>1.455E-2</v>
      </c>
      <c r="G247">
        <v>0.5675</v>
      </c>
      <c r="H247">
        <v>5.3070000000000004</v>
      </c>
      <c r="I247">
        <v>10001</v>
      </c>
      <c r="J247">
        <v>30000</v>
      </c>
    </row>
    <row r="248" spans="2:10" x14ac:dyDescent="0.25">
      <c r="B248" t="s">
        <v>621</v>
      </c>
      <c r="C248">
        <v>1.26</v>
      </c>
      <c r="D248">
        <v>1.466</v>
      </c>
      <c r="E248">
        <v>1.312E-2</v>
      </c>
      <c r="F248">
        <v>2.5870000000000001E-2</v>
      </c>
      <c r="G248">
        <v>0.75629999999999997</v>
      </c>
      <c r="H248">
        <v>5.2919999999999998</v>
      </c>
      <c r="I248">
        <v>10001</v>
      </c>
      <c r="J248">
        <v>30000</v>
      </c>
    </row>
    <row r="249" spans="2:10" x14ac:dyDescent="0.25">
      <c r="B249" t="s">
        <v>622</v>
      </c>
      <c r="C249">
        <v>1.65</v>
      </c>
      <c r="D249">
        <v>1.577</v>
      </c>
      <c r="E249">
        <v>1.014E-2</v>
      </c>
      <c r="F249">
        <v>0.39219999999999999</v>
      </c>
      <c r="G249">
        <v>1.054</v>
      </c>
      <c r="H249">
        <v>6.1630000000000003</v>
      </c>
      <c r="I249">
        <v>10001</v>
      </c>
      <c r="J249">
        <v>30000</v>
      </c>
    </row>
    <row r="250" spans="2:10" x14ac:dyDescent="0.25">
      <c r="B250" t="s">
        <v>623</v>
      </c>
      <c r="C250">
        <v>1.5049999999999999</v>
      </c>
      <c r="D250">
        <v>1.607</v>
      </c>
      <c r="E250">
        <v>1.091E-2</v>
      </c>
      <c r="F250">
        <v>0.20599999999999999</v>
      </c>
      <c r="G250">
        <v>0.90559999999999996</v>
      </c>
      <c r="H250">
        <v>6.0389999999999997</v>
      </c>
      <c r="I250">
        <v>10001</v>
      </c>
      <c r="J250">
        <v>30000</v>
      </c>
    </row>
    <row r="251" spans="2:10" x14ac:dyDescent="0.25">
      <c r="B251" t="s">
        <v>624</v>
      </c>
      <c r="C251">
        <v>1.8720000000000001</v>
      </c>
      <c r="D251">
        <v>1.8069999999999999</v>
      </c>
      <c r="E251">
        <v>3.8870000000000002E-2</v>
      </c>
      <c r="F251">
        <v>5.4129999999999998E-2</v>
      </c>
      <c r="G251">
        <v>1.3540000000000001</v>
      </c>
      <c r="H251">
        <v>6.7240000000000002</v>
      </c>
      <c r="I251">
        <v>10001</v>
      </c>
      <c r="J251">
        <v>30000</v>
      </c>
    </row>
    <row r="252" spans="2:10" x14ac:dyDescent="0.25">
      <c r="B252" t="s">
        <v>625</v>
      </c>
      <c r="C252">
        <v>3.0739999999999998</v>
      </c>
      <c r="D252">
        <v>2.0430000000000001</v>
      </c>
      <c r="E252">
        <v>5.663E-2</v>
      </c>
      <c r="F252">
        <v>0.35909999999999997</v>
      </c>
      <c r="G252">
        <v>2.6779999999999999</v>
      </c>
      <c r="H252">
        <v>8.0719999999999992</v>
      </c>
      <c r="I252">
        <v>10001</v>
      </c>
      <c r="J252">
        <v>30000</v>
      </c>
    </row>
    <row r="253" spans="2:10" x14ac:dyDescent="0.25">
      <c r="B253" t="s">
        <v>626</v>
      </c>
      <c r="C253">
        <v>7.4130000000000003</v>
      </c>
      <c r="D253">
        <v>0.72070000000000001</v>
      </c>
      <c r="E253">
        <v>3.2640000000000002E-2</v>
      </c>
      <c r="F253">
        <v>6</v>
      </c>
      <c r="G253">
        <v>8</v>
      </c>
      <c r="H253">
        <v>8</v>
      </c>
      <c r="I253">
        <v>10001</v>
      </c>
      <c r="J253">
        <v>30000</v>
      </c>
    </row>
    <row r="254" spans="2:10" x14ac:dyDescent="0.25">
      <c r="B254" t="s">
        <v>627</v>
      </c>
      <c r="C254">
        <v>5.0609999999999999</v>
      </c>
      <c r="D254">
        <v>1.083</v>
      </c>
      <c r="E254">
        <v>4.6179999999999999E-2</v>
      </c>
      <c r="F254">
        <v>3</v>
      </c>
      <c r="G254">
        <v>5</v>
      </c>
      <c r="H254">
        <v>7</v>
      </c>
      <c r="I254">
        <v>10001</v>
      </c>
      <c r="J254">
        <v>30000</v>
      </c>
    </row>
    <row r="255" spans="2:10" x14ac:dyDescent="0.25">
      <c r="B255" t="s">
        <v>628</v>
      </c>
      <c r="C255">
        <v>4.2190000000000003</v>
      </c>
      <c r="D255">
        <v>1.494</v>
      </c>
      <c r="E255">
        <v>7.3260000000000006E-2</v>
      </c>
      <c r="F255">
        <v>2</v>
      </c>
      <c r="G255">
        <v>4</v>
      </c>
      <c r="H255">
        <v>7</v>
      </c>
      <c r="I255">
        <v>10001</v>
      </c>
      <c r="J255">
        <v>30000</v>
      </c>
    </row>
    <row r="256" spans="2:10" x14ac:dyDescent="0.25">
      <c r="B256" t="s">
        <v>629</v>
      </c>
      <c r="C256">
        <v>2.6560000000000001</v>
      </c>
      <c r="D256">
        <v>1.294</v>
      </c>
      <c r="E256">
        <v>5.858E-2</v>
      </c>
      <c r="F256">
        <v>1</v>
      </c>
      <c r="G256">
        <v>2</v>
      </c>
      <c r="H256">
        <v>6</v>
      </c>
      <c r="I256">
        <v>10001</v>
      </c>
      <c r="J256">
        <v>30000</v>
      </c>
    </row>
    <row r="257" spans="1:10" x14ac:dyDescent="0.25">
      <c r="B257" t="s">
        <v>630</v>
      </c>
      <c r="C257">
        <v>5.8390000000000004</v>
      </c>
      <c r="D257">
        <v>1.8260000000000001</v>
      </c>
      <c r="E257">
        <v>7.7149999999999996E-2</v>
      </c>
      <c r="F257">
        <v>2</v>
      </c>
      <c r="G257">
        <v>6</v>
      </c>
      <c r="H257">
        <v>8</v>
      </c>
      <c r="I257">
        <v>10001</v>
      </c>
      <c r="J257">
        <v>30000</v>
      </c>
    </row>
    <row r="258" spans="1:10" x14ac:dyDescent="0.25">
      <c r="B258" t="s">
        <v>631</v>
      </c>
      <c r="C258">
        <v>8.8770000000000007</v>
      </c>
      <c r="D258">
        <v>0.81359999999999999</v>
      </c>
      <c r="E258">
        <v>4.4139999999999999E-2</v>
      </c>
      <c r="F258">
        <v>8</v>
      </c>
      <c r="G258">
        <v>9</v>
      </c>
      <c r="H258">
        <v>9</v>
      </c>
      <c r="I258">
        <v>10001</v>
      </c>
      <c r="J258">
        <v>30000</v>
      </c>
    </row>
    <row r="259" spans="1:10" x14ac:dyDescent="0.25">
      <c r="B259" t="s">
        <v>632</v>
      </c>
      <c r="C259">
        <v>1.776</v>
      </c>
      <c r="D259">
        <v>1.46</v>
      </c>
      <c r="E259">
        <v>6.9709999999999994E-2</v>
      </c>
      <c r="F259">
        <v>1</v>
      </c>
      <c r="G259">
        <v>1</v>
      </c>
      <c r="H259">
        <v>6</v>
      </c>
      <c r="I259">
        <v>10001</v>
      </c>
      <c r="J259">
        <v>30000</v>
      </c>
    </row>
    <row r="260" spans="1:10" x14ac:dyDescent="0.25">
      <c r="B260" t="s">
        <v>633</v>
      </c>
      <c r="C260">
        <v>5.03</v>
      </c>
      <c r="D260">
        <v>2.7639999999999998</v>
      </c>
      <c r="E260">
        <v>0.1447</v>
      </c>
      <c r="F260">
        <v>1</v>
      </c>
      <c r="G260">
        <v>6</v>
      </c>
      <c r="H260">
        <v>8</v>
      </c>
      <c r="I260">
        <v>10001</v>
      </c>
      <c r="J260">
        <v>30000</v>
      </c>
    </row>
    <row r="261" spans="1:10" x14ac:dyDescent="0.25">
      <c r="B261" t="s">
        <v>634</v>
      </c>
      <c r="C261">
        <v>4.1280000000000001</v>
      </c>
      <c r="D261">
        <v>1.347</v>
      </c>
      <c r="E261">
        <v>6.0130000000000003E-2</v>
      </c>
      <c r="F261">
        <v>2</v>
      </c>
      <c r="G261">
        <v>4</v>
      </c>
      <c r="H261">
        <v>7</v>
      </c>
      <c r="I261">
        <v>10001</v>
      </c>
      <c r="J261">
        <v>30000</v>
      </c>
    </row>
    <row r="262" spans="1:10" x14ac:dyDescent="0.25">
      <c r="B262" t="s">
        <v>693</v>
      </c>
      <c r="C262">
        <v>0.1421</v>
      </c>
      <c r="D262">
        <v>8.7010000000000004E-2</v>
      </c>
      <c r="E262">
        <v>2.8319999999999999E-3</v>
      </c>
      <c r="F262">
        <v>3.9239999999999997E-2</v>
      </c>
      <c r="G262">
        <v>0.1208</v>
      </c>
      <c r="H262">
        <v>0.36099999999999999</v>
      </c>
      <c r="I262">
        <v>10001</v>
      </c>
      <c r="J262">
        <v>30000</v>
      </c>
    </row>
    <row r="263" spans="1:10" x14ac:dyDescent="0.25">
      <c r="B263" t="s">
        <v>635</v>
      </c>
      <c r="C263">
        <v>59.72</v>
      </c>
      <c r="D263">
        <v>8.9369999999999994</v>
      </c>
      <c r="E263">
        <v>0.15820000000000001</v>
      </c>
      <c r="F263">
        <v>44.22</v>
      </c>
      <c r="G263">
        <v>59.06</v>
      </c>
      <c r="H263">
        <v>78.88</v>
      </c>
      <c r="I263">
        <v>10001</v>
      </c>
      <c r="J263">
        <v>30000</v>
      </c>
    </row>
    <row r="264" spans="1:10" x14ac:dyDescent="0.25">
      <c r="A264" t="s">
        <v>636</v>
      </c>
    </row>
    <row r="266" spans="1:10" x14ac:dyDescent="0.25">
      <c r="A266" t="s">
        <v>637</v>
      </c>
    </row>
    <row r="267" spans="1:10" x14ac:dyDescent="0.25">
      <c r="A267" t="s">
        <v>638</v>
      </c>
    </row>
    <row r="268" spans="1:10" x14ac:dyDescent="0.25">
      <c r="B268" t="s">
        <v>639</v>
      </c>
      <c r="C268" t="s">
        <v>640</v>
      </c>
      <c r="D268" t="s">
        <v>641</v>
      </c>
      <c r="E268" t="s">
        <v>637</v>
      </c>
    </row>
    <row r="269" spans="1:10" x14ac:dyDescent="0.25">
      <c r="A269" t="s">
        <v>642</v>
      </c>
      <c r="B269">
        <v>185.65</v>
      </c>
      <c r="C269">
        <v>153.02099999999999</v>
      </c>
      <c r="D269">
        <v>32.628999999999998</v>
      </c>
      <c r="E269">
        <v>218.27799999999999</v>
      </c>
    </row>
    <row r="270" spans="1:10" x14ac:dyDescent="0.25">
      <c r="A270" t="s">
        <v>643</v>
      </c>
      <c r="B270">
        <v>185.65</v>
      </c>
      <c r="C270">
        <v>153.02099999999999</v>
      </c>
      <c r="D270">
        <v>32.628999999999998</v>
      </c>
      <c r="E270">
        <v>218.27799999999999</v>
      </c>
    </row>
    <row r="271" spans="1:10" x14ac:dyDescent="0.25">
      <c r="A271" t="s">
        <v>644</v>
      </c>
    </row>
    <row r="273" spans="1:1" x14ac:dyDescent="0.25">
      <c r="A273" t="s">
        <v>645</v>
      </c>
    </row>
    <row r="275" spans="1:1" x14ac:dyDescent="0.25">
      <c r="A275" t="s">
        <v>646</v>
      </c>
    </row>
    <row r="277" spans="1:1" x14ac:dyDescent="0.25">
      <c r="A277" t="s">
        <v>647</v>
      </c>
    </row>
    <row r="279" spans="1:1" x14ac:dyDescent="0.25">
      <c r="A279" t="s">
        <v>755</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20"/>
  <sheetViews>
    <sheetView showGridLines="0" topLeftCell="A24" workbookViewId="0">
      <selection activeCell="N38" sqref="N38"/>
    </sheetView>
  </sheetViews>
  <sheetFormatPr defaultRowHeight="15" x14ac:dyDescent="0.25"/>
  <sheetData>
    <row r="1" spans="1:1" hidden="1" x14ac:dyDescent="0.25">
      <c r="A1" t="s">
        <v>385</v>
      </c>
    </row>
    <row r="2" spans="1:1" hidden="1" x14ac:dyDescent="0.25">
      <c r="A2" t="s">
        <v>759</v>
      </c>
    </row>
    <row r="3" spans="1:1" hidden="1" x14ac:dyDescent="0.25">
      <c r="A3" t="s">
        <v>387</v>
      </c>
    </row>
    <row r="4" spans="1:1" hidden="1" x14ac:dyDescent="0.25">
      <c r="A4" t="s">
        <v>760</v>
      </c>
    </row>
    <row r="5" spans="1:1" hidden="1" x14ac:dyDescent="0.25">
      <c r="A5" t="s">
        <v>389</v>
      </c>
    </row>
    <row r="6" spans="1:1" hidden="1" x14ac:dyDescent="0.25">
      <c r="A6" t="s">
        <v>761</v>
      </c>
    </row>
    <row r="7" spans="1:1" hidden="1" x14ac:dyDescent="0.25">
      <c r="A7" t="s">
        <v>389</v>
      </c>
    </row>
    <row r="8" spans="1:1" hidden="1" x14ac:dyDescent="0.25">
      <c r="A8" t="s">
        <v>21</v>
      </c>
    </row>
    <row r="9" spans="1:1" hidden="1" x14ac:dyDescent="0.25">
      <c r="A9" t="s">
        <v>391</v>
      </c>
    </row>
    <row r="10" spans="1:1" hidden="1" x14ac:dyDescent="0.25">
      <c r="A10" t="s">
        <v>762</v>
      </c>
    </row>
    <row r="11" spans="1:1" hidden="1" x14ac:dyDescent="0.25">
      <c r="A11" t="s">
        <v>689</v>
      </c>
    </row>
    <row r="12" spans="1:1" hidden="1" x14ac:dyDescent="0.25">
      <c r="A12" t="s">
        <v>763</v>
      </c>
    </row>
    <row r="13" spans="1:1" hidden="1" x14ac:dyDescent="0.25">
      <c r="A13" t="s">
        <v>689</v>
      </c>
    </row>
    <row r="14" spans="1:1" hidden="1" x14ac:dyDescent="0.25">
      <c r="A14" t="s">
        <v>764</v>
      </c>
    </row>
    <row r="15" spans="1:1" hidden="1" x14ac:dyDescent="0.25">
      <c r="A15" t="s">
        <v>689</v>
      </c>
    </row>
    <row r="16" spans="1:1" hidden="1" x14ac:dyDescent="0.25">
      <c r="A16" t="s">
        <v>23</v>
      </c>
    </row>
    <row r="17" spans="1:10" hidden="1" x14ac:dyDescent="0.25">
      <c r="A17" t="s">
        <v>692</v>
      </c>
    </row>
    <row r="18" spans="1:10" hidden="1" x14ac:dyDescent="0.25">
      <c r="A18" t="s">
        <v>707</v>
      </c>
    </row>
    <row r="19" spans="1:10" hidden="1" x14ac:dyDescent="0.25">
      <c r="A19" t="s">
        <v>197</v>
      </c>
    </row>
    <row r="20" spans="1:10" hidden="1" x14ac:dyDescent="0.25">
      <c r="A20" t="s">
        <v>198</v>
      </c>
    </row>
    <row r="21" spans="1:10" hidden="1" x14ac:dyDescent="0.25">
      <c r="A21" t="s">
        <v>199</v>
      </c>
    </row>
    <row r="22" spans="1:10" hidden="1" x14ac:dyDescent="0.25">
      <c r="A22" t="s">
        <v>707</v>
      </c>
    </row>
    <row r="23" spans="1:10" hidden="1" x14ac:dyDescent="0.25">
      <c r="A23" t="s">
        <v>386</v>
      </c>
    </row>
    <row r="25" spans="1:10" x14ac:dyDescent="0.25">
      <c r="A25" t="s">
        <v>399</v>
      </c>
    </row>
    <row r="26" spans="1:10" x14ac:dyDescent="0.25">
      <c r="B26" t="s">
        <v>400</v>
      </c>
      <c r="C26" t="s">
        <v>401</v>
      </c>
      <c r="D26" t="s">
        <v>402</v>
      </c>
      <c r="E26" t="s">
        <v>403</v>
      </c>
      <c r="F26" s="12">
        <v>2.5000000000000001E-2</v>
      </c>
      <c r="G26" t="s">
        <v>404</v>
      </c>
      <c r="H26" s="12">
        <v>0.97499999999999998</v>
      </c>
      <c r="I26" t="s">
        <v>405</v>
      </c>
      <c r="J26" t="s">
        <v>406</v>
      </c>
    </row>
    <row r="27" spans="1:10" x14ac:dyDescent="0.25">
      <c r="B27" t="s">
        <v>765</v>
      </c>
      <c r="C27">
        <v>-1.3660000000000001</v>
      </c>
      <c r="D27">
        <v>0.33300000000000002</v>
      </c>
      <c r="E27">
        <v>7.9360000000000003E-3</v>
      </c>
      <c r="F27">
        <v>-2.0539999999999998</v>
      </c>
      <c r="G27">
        <v>-1.36</v>
      </c>
      <c r="H27">
        <v>-0.73270000000000002</v>
      </c>
      <c r="I27">
        <v>10001</v>
      </c>
      <c r="J27">
        <v>30000</v>
      </c>
    </row>
    <row r="28" spans="1:10" x14ac:dyDescent="0.25">
      <c r="B28" t="s">
        <v>766</v>
      </c>
      <c r="C28">
        <v>1.306</v>
      </c>
      <c r="D28">
        <v>99.91</v>
      </c>
      <c r="E28">
        <v>0.54879999999999995</v>
      </c>
      <c r="F28">
        <v>-194.1</v>
      </c>
      <c r="G28">
        <v>1.302</v>
      </c>
      <c r="H28">
        <v>195.7</v>
      </c>
      <c r="I28">
        <v>10001</v>
      </c>
      <c r="J28">
        <v>30000</v>
      </c>
    </row>
    <row r="29" spans="1:10" x14ac:dyDescent="0.25">
      <c r="B29" t="s">
        <v>767</v>
      </c>
      <c r="C29">
        <v>45.97</v>
      </c>
      <c r="D29">
        <v>26.4</v>
      </c>
      <c r="E29">
        <v>1.5269999999999999</v>
      </c>
      <c r="F29">
        <v>3.5329999999999999</v>
      </c>
      <c r="G29">
        <v>41.4</v>
      </c>
      <c r="H29">
        <v>94.22</v>
      </c>
      <c r="I29">
        <v>10001</v>
      </c>
      <c r="J29">
        <v>30000</v>
      </c>
    </row>
    <row r="30" spans="1:10" x14ac:dyDescent="0.25">
      <c r="B30" t="s">
        <v>768</v>
      </c>
      <c r="C30">
        <v>-9.0660000000000004E-2</v>
      </c>
      <c r="D30">
        <v>99.96</v>
      </c>
      <c r="E30">
        <v>0.58909999999999996</v>
      </c>
      <c r="F30">
        <v>-196.7</v>
      </c>
      <c r="G30">
        <v>0.2492</v>
      </c>
      <c r="H30">
        <v>197.4</v>
      </c>
      <c r="I30">
        <v>10001</v>
      </c>
      <c r="J30">
        <v>30000</v>
      </c>
    </row>
    <row r="31" spans="1:10" x14ac:dyDescent="0.25">
      <c r="B31" t="s">
        <v>769</v>
      </c>
      <c r="C31">
        <v>1.0740000000000001</v>
      </c>
      <c r="D31">
        <v>100.2</v>
      </c>
      <c r="E31">
        <v>0.60060000000000002</v>
      </c>
      <c r="F31">
        <v>-195.4</v>
      </c>
      <c r="G31">
        <v>0.93340000000000001</v>
      </c>
      <c r="H31">
        <v>197</v>
      </c>
      <c r="I31">
        <v>10001</v>
      </c>
      <c r="J31">
        <v>30000</v>
      </c>
    </row>
    <row r="32" spans="1:10" x14ac:dyDescent="0.25">
      <c r="B32" t="s">
        <v>770</v>
      </c>
      <c r="C32">
        <v>-0.17280000000000001</v>
      </c>
      <c r="D32">
        <v>100.6</v>
      </c>
      <c r="E32">
        <v>0.58260000000000001</v>
      </c>
      <c r="F32">
        <v>-196.9</v>
      </c>
      <c r="G32">
        <v>0.23799999999999999</v>
      </c>
      <c r="H32">
        <v>195.6</v>
      </c>
      <c r="I32">
        <v>10001</v>
      </c>
      <c r="J32">
        <v>30000</v>
      </c>
    </row>
    <row r="33" spans="2:10" x14ac:dyDescent="0.25">
      <c r="B33" t="s">
        <v>771</v>
      </c>
      <c r="C33">
        <v>-0.58509999999999995</v>
      </c>
      <c r="D33">
        <v>99.84</v>
      </c>
      <c r="E33">
        <v>0.61660000000000004</v>
      </c>
      <c r="F33">
        <v>-197.5</v>
      </c>
      <c r="G33">
        <v>0.72650000000000003</v>
      </c>
      <c r="H33">
        <v>193.7</v>
      </c>
      <c r="I33">
        <v>10001</v>
      </c>
      <c r="J33">
        <v>30000</v>
      </c>
    </row>
    <row r="34" spans="2:10" x14ac:dyDescent="0.25">
      <c r="B34" t="s">
        <v>772</v>
      </c>
      <c r="C34">
        <v>-1.5229999999999999</v>
      </c>
      <c r="D34">
        <v>0.37069999999999997</v>
      </c>
      <c r="E34">
        <v>9.077E-3</v>
      </c>
      <c r="F34">
        <v>-2.2829999999999999</v>
      </c>
      <c r="G34">
        <v>-1.5109999999999999</v>
      </c>
      <c r="H34">
        <v>-0.81669999999999998</v>
      </c>
      <c r="I34">
        <v>10001</v>
      </c>
      <c r="J34">
        <v>30000</v>
      </c>
    </row>
    <row r="35" spans="2:10" x14ac:dyDescent="0.25">
      <c r="B35" t="s">
        <v>773</v>
      </c>
      <c r="C35">
        <v>-1.373</v>
      </c>
      <c r="D35">
        <v>1.155</v>
      </c>
      <c r="E35">
        <v>4.8309999999999999E-2</v>
      </c>
      <c r="F35">
        <v>-3.8410000000000002</v>
      </c>
      <c r="G35">
        <v>-1.331</v>
      </c>
      <c r="H35">
        <v>0.8518</v>
      </c>
      <c r="I35">
        <v>10001</v>
      </c>
      <c r="J35">
        <v>30000</v>
      </c>
    </row>
    <row r="36" spans="2:10" x14ac:dyDescent="0.25">
      <c r="B36" t="s">
        <v>774</v>
      </c>
      <c r="C36">
        <v>0.10539999999999999</v>
      </c>
      <c r="D36">
        <v>99.43</v>
      </c>
      <c r="E36">
        <v>0.57130000000000003</v>
      </c>
      <c r="F36">
        <v>-194.4</v>
      </c>
      <c r="G36">
        <v>-0.64029999999999998</v>
      </c>
      <c r="H36">
        <v>197.5</v>
      </c>
      <c r="I36">
        <v>10001</v>
      </c>
      <c r="J36">
        <v>30000</v>
      </c>
    </row>
    <row r="37" spans="2:10" x14ac:dyDescent="0.25">
      <c r="B37" t="s">
        <v>775</v>
      </c>
      <c r="C37">
        <v>0.55249999999999999</v>
      </c>
      <c r="D37">
        <v>1.107</v>
      </c>
      <c r="E37">
        <v>3.0550000000000001E-2</v>
      </c>
      <c r="F37">
        <v>-1.554</v>
      </c>
      <c r="G37">
        <v>0.53069999999999995</v>
      </c>
      <c r="H37">
        <v>2.835</v>
      </c>
      <c r="I37">
        <v>10001</v>
      </c>
      <c r="J37">
        <v>30000</v>
      </c>
    </row>
    <row r="38" spans="2:10" x14ac:dyDescent="0.25">
      <c r="B38" t="s">
        <v>776</v>
      </c>
      <c r="C38">
        <v>0.22420000000000001</v>
      </c>
      <c r="D38">
        <v>100.1</v>
      </c>
      <c r="E38">
        <v>0.57320000000000004</v>
      </c>
      <c r="F38">
        <v>-198.8</v>
      </c>
      <c r="G38">
        <v>0.76419999999999999</v>
      </c>
      <c r="H38">
        <v>196.9</v>
      </c>
      <c r="I38">
        <v>10001</v>
      </c>
      <c r="J38">
        <v>30000</v>
      </c>
    </row>
    <row r="39" spans="2:10" x14ac:dyDescent="0.25">
      <c r="B39" t="s">
        <v>777</v>
      </c>
      <c r="C39">
        <v>-2.4700000000000002</v>
      </c>
      <c r="D39">
        <v>2.19</v>
      </c>
      <c r="E39">
        <v>9.2259999999999995E-2</v>
      </c>
      <c r="F39">
        <v>-7.4219999999999997</v>
      </c>
      <c r="G39">
        <v>-2.2170000000000001</v>
      </c>
      <c r="H39">
        <v>1.2330000000000001</v>
      </c>
      <c r="I39">
        <v>10001</v>
      </c>
      <c r="J39">
        <v>30000</v>
      </c>
    </row>
    <row r="40" spans="2:10" x14ac:dyDescent="0.25">
      <c r="B40" t="s">
        <v>778</v>
      </c>
      <c r="C40">
        <v>-0.20369999999999999</v>
      </c>
      <c r="D40">
        <v>3.052</v>
      </c>
      <c r="E40">
        <v>0.1447</v>
      </c>
      <c r="F40">
        <v>-7.1959999999999997</v>
      </c>
      <c r="G40">
        <v>-8.0019999999999994E-2</v>
      </c>
      <c r="H40">
        <v>5.508</v>
      </c>
      <c r="I40">
        <v>10001</v>
      </c>
      <c r="J40">
        <v>30000</v>
      </c>
    </row>
    <row r="41" spans="2:10" x14ac:dyDescent="0.25">
      <c r="B41" t="s">
        <v>779</v>
      </c>
      <c r="C41">
        <v>0.85050000000000003</v>
      </c>
      <c r="D41">
        <v>100.1</v>
      </c>
      <c r="E41">
        <v>0.57550000000000001</v>
      </c>
      <c r="F41">
        <v>-195.5</v>
      </c>
      <c r="G41">
        <v>1.2769999999999999</v>
      </c>
      <c r="H41">
        <v>196.4</v>
      </c>
      <c r="I41">
        <v>10001</v>
      </c>
      <c r="J41">
        <v>30000</v>
      </c>
    </row>
    <row r="42" spans="2:10" x14ac:dyDescent="0.25">
      <c r="B42" t="s">
        <v>780</v>
      </c>
      <c r="C42">
        <v>-0.88600000000000001</v>
      </c>
      <c r="D42">
        <v>0.57499999999999996</v>
      </c>
      <c r="E42">
        <v>1.4069999999999999E-2</v>
      </c>
      <c r="F42">
        <v>-2.073</v>
      </c>
      <c r="G42">
        <v>-0.85709999999999997</v>
      </c>
      <c r="H42">
        <v>0.19120000000000001</v>
      </c>
      <c r="I42">
        <v>10001</v>
      </c>
      <c r="J42">
        <v>30000</v>
      </c>
    </row>
    <row r="43" spans="2:10" x14ac:dyDescent="0.25">
      <c r="B43" t="s">
        <v>781</v>
      </c>
      <c r="C43">
        <v>0.59689999999999999</v>
      </c>
      <c r="D43">
        <v>100.3</v>
      </c>
      <c r="E43">
        <v>0.60129999999999995</v>
      </c>
      <c r="F43">
        <v>-196.2</v>
      </c>
      <c r="G43">
        <v>1.302</v>
      </c>
      <c r="H43">
        <v>197.7</v>
      </c>
      <c r="I43">
        <v>10001</v>
      </c>
      <c r="J43">
        <v>30000</v>
      </c>
    </row>
    <row r="44" spans="2:10" x14ac:dyDescent="0.25">
      <c r="B44" t="s">
        <v>782</v>
      </c>
      <c r="C44">
        <v>35.22</v>
      </c>
      <c r="D44">
        <v>18.73</v>
      </c>
      <c r="E44">
        <v>1.079</v>
      </c>
      <c r="F44">
        <v>5.1870000000000003</v>
      </c>
      <c r="G44">
        <v>32.26</v>
      </c>
      <c r="H44">
        <v>84.78</v>
      </c>
      <c r="I44">
        <v>10001</v>
      </c>
      <c r="J44">
        <v>30000</v>
      </c>
    </row>
    <row r="45" spans="2:10" x14ac:dyDescent="0.25">
      <c r="B45" t="s">
        <v>783</v>
      </c>
      <c r="C45">
        <v>0.3221</v>
      </c>
      <c r="D45">
        <v>100.6</v>
      </c>
      <c r="E45">
        <v>0.57299999999999995</v>
      </c>
      <c r="F45">
        <v>-197.8</v>
      </c>
      <c r="G45">
        <v>0.25990000000000002</v>
      </c>
      <c r="H45">
        <v>195.7</v>
      </c>
      <c r="I45">
        <v>10001</v>
      </c>
      <c r="J45">
        <v>30000</v>
      </c>
    </row>
    <row r="46" spans="2:10" x14ac:dyDescent="0.25">
      <c r="B46" t="s">
        <v>784</v>
      </c>
      <c r="C46">
        <v>-0.12709999999999999</v>
      </c>
      <c r="D46">
        <v>99.89</v>
      </c>
      <c r="E46">
        <v>0.52480000000000004</v>
      </c>
      <c r="F46">
        <v>-195.6</v>
      </c>
      <c r="G46">
        <v>0.29730000000000001</v>
      </c>
      <c r="H46">
        <v>196.9</v>
      </c>
      <c r="I46">
        <v>10001</v>
      </c>
      <c r="J46">
        <v>30000</v>
      </c>
    </row>
    <row r="47" spans="2:10" x14ac:dyDescent="0.25">
      <c r="B47" t="s">
        <v>785</v>
      </c>
      <c r="C47">
        <v>-0.12089999999999999</v>
      </c>
      <c r="D47">
        <v>2.8149999999999999</v>
      </c>
      <c r="E47">
        <v>0.12470000000000001</v>
      </c>
      <c r="F47">
        <v>-5.6820000000000004</v>
      </c>
      <c r="G47">
        <v>-0.23810000000000001</v>
      </c>
      <c r="H47">
        <v>5.7140000000000004</v>
      </c>
      <c r="I47">
        <v>10001</v>
      </c>
      <c r="J47">
        <v>30000</v>
      </c>
    </row>
    <row r="48" spans="2:10" x14ac:dyDescent="0.25">
      <c r="B48" t="s">
        <v>786</v>
      </c>
      <c r="C48">
        <v>-0.1046</v>
      </c>
      <c r="D48">
        <v>100.1</v>
      </c>
      <c r="E48">
        <v>0.56630000000000003</v>
      </c>
      <c r="F48">
        <v>-195.8</v>
      </c>
      <c r="G48">
        <v>-0.97009999999999996</v>
      </c>
      <c r="H48">
        <v>195.8</v>
      </c>
      <c r="I48">
        <v>10001</v>
      </c>
      <c r="J48">
        <v>30000</v>
      </c>
    </row>
    <row r="49" spans="2:10" x14ac:dyDescent="0.25">
      <c r="B49" t="s">
        <v>787</v>
      </c>
      <c r="C49">
        <v>-0.49790000000000001</v>
      </c>
      <c r="D49">
        <v>99.42</v>
      </c>
      <c r="E49">
        <v>0.61209999999999998</v>
      </c>
      <c r="F49">
        <v>-196.5</v>
      </c>
      <c r="G49">
        <v>-0.81820000000000004</v>
      </c>
      <c r="H49">
        <v>193.7</v>
      </c>
      <c r="I49">
        <v>10001</v>
      </c>
      <c r="J49">
        <v>30000</v>
      </c>
    </row>
    <row r="50" spans="2:10" x14ac:dyDescent="0.25">
      <c r="B50" t="s">
        <v>788</v>
      </c>
      <c r="C50">
        <v>0.73670000000000002</v>
      </c>
      <c r="D50">
        <v>100</v>
      </c>
      <c r="E50">
        <v>0.57369999999999999</v>
      </c>
      <c r="F50">
        <v>-196.5</v>
      </c>
      <c r="G50">
        <v>0.62350000000000005</v>
      </c>
      <c r="H50">
        <v>196</v>
      </c>
      <c r="I50">
        <v>10001</v>
      </c>
      <c r="J50">
        <v>30000</v>
      </c>
    </row>
    <row r="51" spans="2:10" x14ac:dyDescent="0.25">
      <c r="B51" t="s">
        <v>789</v>
      </c>
      <c r="C51">
        <v>-0.67679999999999996</v>
      </c>
      <c r="D51">
        <v>100.5</v>
      </c>
      <c r="E51">
        <v>0.57279999999999998</v>
      </c>
      <c r="F51">
        <v>-196.2</v>
      </c>
      <c r="G51">
        <v>-0.40689999999999998</v>
      </c>
      <c r="H51">
        <v>194.8</v>
      </c>
      <c r="I51">
        <v>10001</v>
      </c>
      <c r="J51">
        <v>30000</v>
      </c>
    </row>
    <row r="52" spans="2:10" x14ac:dyDescent="0.25">
      <c r="B52" t="s">
        <v>790</v>
      </c>
      <c r="C52">
        <v>-8.8579999999999996E-3</v>
      </c>
      <c r="D52">
        <v>100.5</v>
      </c>
      <c r="E52">
        <v>0.56459999999999999</v>
      </c>
      <c r="F52">
        <v>-196.3</v>
      </c>
      <c r="G52">
        <v>0.2989</v>
      </c>
      <c r="H52">
        <v>197.4</v>
      </c>
      <c r="I52">
        <v>10001</v>
      </c>
      <c r="J52">
        <v>30000</v>
      </c>
    </row>
    <row r="53" spans="2:10" x14ac:dyDescent="0.25">
      <c r="B53" t="s">
        <v>791</v>
      </c>
      <c r="C53">
        <v>0.31640000000000001</v>
      </c>
      <c r="D53">
        <v>100.4</v>
      </c>
      <c r="E53">
        <v>0.59640000000000004</v>
      </c>
      <c r="F53">
        <v>-196.3</v>
      </c>
      <c r="G53">
        <v>0.1139</v>
      </c>
      <c r="H53">
        <v>197.3</v>
      </c>
      <c r="I53">
        <v>10001</v>
      </c>
      <c r="J53">
        <v>30000</v>
      </c>
    </row>
    <row r="54" spans="2:10" x14ac:dyDescent="0.25">
      <c r="B54" t="s">
        <v>792</v>
      </c>
      <c r="C54">
        <v>0.5393</v>
      </c>
      <c r="D54">
        <v>99.48</v>
      </c>
      <c r="E54">
        <v>0.59030000000000005</v>
      </c>
      <c r="F54">
        <v>-195.4</v>
      </c>
      <c r="G54">
        <v>0.78979999999999995</v>
      </c>
      <c r="H54">
        <v>195.7</v>
      </c>
      <c r="I54">
        <v>10001</v>
      </c>
      <c r="J54">
        <v>30000</v>
      </c>
    </row>
    <row r="55" spans="2:10" x14ac:dyDescent="0.25">
      <c r="B55" t="s">
        <v>793</v>
      </c>
      <c r="C55">
        <v>0.25309999999999999</v>
      </c>
      <c r="D55">
        <v>100.3</v>
      </c>
      <c r="E55">
        <v>0.58150000000000002</v>
      </c>
      <c r="F55">
        <v>-194.8</v>
      </c>
      <c r="G55">
        <v>-0.79700000000000004</v>
      </c>
      <c r="H55">
        <v>195.4</v>
      </c>
      <c r="I55">
        <v>10001</v>
      </c>
      <c r="J55">
        <v>30000</v>
      </c>
    </row>
    <row r="56" spans="2:10" x14ac:dyDescent="0.25">
      <c r="B56" t="s">
        <v>794</v>
      </c>
      <c r="C56">
        <v>-3.4029999999999998E-2</v>
      </c>
      <c r="D56">
        <v>99.9</v>
      </c>
      <c r="E56">
        <v>0.6048</v>
      </c>
      <c r="F56">
        <v>-197</v>
      </c>
      <c r="G56">
        <v>0.85170000000000001</v>
      </c>
      <c r="H56">
        <v>195.2</v>
      </c>
      <c r="I56">
        <v>10001</v>
      </c>
      <c r="J56">
        <v>30000</v>
      </c>
    </row>
    <row r="57" spans="2:10" x14ac:dyDescent="0.25">
      <c r="B57" t="s">
        <v>795</v>
      </c>
      <c r="C57">
        <v>0.55669999999999997</v>
      </c>
      <c r="D57">
        <v>100.7</v>
      </c>
      <c r="E57">
        <v>0.57450000000000001</v>
      </c>
      <c r="F57">
        <v>-198</v>
      </c>
      <c r="G57">
        <v>1.5920000000000001</v>
      </c>
      <c r="H57">
        <v>194.1</v>
      </c>
      <c r="I57">
        <v>10001</v>
      </c>
      <c r="J57">
        <v>30000</v>
      </c>
    </row>
    <row r="58" spans="2:10" x14ac:dyDescent="0.25">
      <c r="B58" t="s">
        <v>796</v>
      </c>
      <c r="C58">
        <v>0.80189999999999995</v>
      </c>
      <c r="D58">
        <v>99.8</v>
      </c>
      <c r="E58">
        <v>0.58940000000000003</v>
      </c>
      <c r="F58">
        <v>-195.1</v>
      </c>
      <c r="G58">
        <v>1.0760000000000001</v>
      </c>
      <c r="H58">
        <v>195.8</v>
      </c>
      <c r="I58">
        <v>10001</v>
      </c>
      <c r="J58">
        <v>30000</v>
      </c>
    </row>
    <row r="59" spans="2:10" x14ac:dyDescent="0.25">
      <c r="B59" t="s">
        <v>797</v>
      </c>
      <c r="C59">
        <v>0.74780000000000002</v>
      </c>
      <c r="D59">
        <v>99.92</v>
      </c>
      <c r="E59">
        <v>0.62480000000000002</v>
      </c>
      <c r="F59">
        <v>-192.7</v>
      </c>
      <c r="G59">
        <v>0.38569999999999999</v>
      </c>
      <c r="H59">
        <v>196.9</v>
      </c>
      <c r="I59">
        <v>10001</v>
      </c>
      <c r="J59">
        <v>30000</v>
      </c>
    </row>
    <row r="60" spans="2:10" x14ac:dyDescent="0.25">
      <c r="B60" t="s">
        <v>798</v>
      </c>
      <c r="C60">
        <v>0.47120000000000001</v>
      </c>
      <c r="D60">
        <v>99.84</v>
      </c>
      <c r="E60">
        <v>0.56110000000000004</v>
      </c>
      <c r="F60">
        <v>-196.2</v>
      </c>
      <c r="G60">
        <v>0.4466</v>
      </c>
      <c r="H60">
        <v>195.6</v>
      </c>
      <c r="I60">
        <v>10001</v>
      </c>
      <c r="J60">
        <v>30000</v>
      </c>
    </row>
    <row r="61" spans="2:10" x14ac:dyDescent="0.25">
      <c r="B61" t="s">
        <v>799</v>
      </c>
      <c r="C61">
        <v>1.1659999999999999</v>
      </c>
      <c r="D61">
        <v>99.91</v>
      </c>
      <c r="E61">
        <v>0.57230000000000003</v>
      </c>
      <c r="F61">
        <v>-195.4</v>
      </c>
      <c r="G61">
        <v>0.38030000000000003</v>
      </c>
      <c r="H61">
        <v>196.3</v>
      </c>
      <c r="I61">
        <v>10001</v>
      </c>
      <c r="J61">
        <v>30000</v>
      </c>
    </row>
    <row r="62" spans="2:10" x14ac:dyDescent="0.25">
      <c r="B62" t="s">
        <v>800</v>
      </c>
      <c r="C62">
        <v>0.49909999999999999</v>
      </c>
      <c r="D62">
        <v>99.54</v>
      </c>
      <c r="E62">
        <v>0.58530000000000004</v>
      </c>
      <c r="F62">
        <v>-195.6</v>
      </c>
      <c r="G62">
        <v>0.93379999999999996</v>
      </c>
      <c r="H62">
        <v>195.1</v>
      </c>
      <c r="I62">
        <v>10001</v>
      </c>
      <c r="J62">
        <v>30000</v>
      </c>
    </row>
    <row r="63" spans="2:10" x14ac:dyDescent="0.25">
      <c r="B63" t="s">
        <v>461</v>
      </c>
      <c r="C63">
        <v>1.8589999999999999E-2</v>
      </c>
      <c r="D63">
        <v>0.2051</v>
      </c>
      <c r="E63">
        <v>6.8380000000000003E-3</v>
      </c>
      <c r="F63">
        <v>0</v>
      </c>
      <c r="G63">
        <v>0</v>
      </c>
      <c r="H63">
        <v>5.0299999999999997E-2</v>
      </c>
      <c r="I63">
        <v>10001</v>
      </c>
      <c r="J63">
        <v>30000</v>
      </c>
    </row>
    <row r="64" spans="2:10" x14ac:dyDescent="0.25">
      <c r="B64" t="s">
        <v>462</v>
      </c>
      <c r="C64">
        <v>1.167</v>
      </c>
      <c r="D64">
        <v>1.63</v>
      </c>
      <c r="E64">
        <v>1.158E-2</v>
      </c>
      <c r="F64">
        <v>1.2880000000000001E-3</v>
      </c>
      <c r="G64">
        <v>0.53569999999999995</v>
      </c>
      <c r="H64">
        <v>5.8310000000000004</v>
      </c>
      <c r="I64">
        <v>10001</v>
      </c>
      <c r="J64">
        <v>30000</v>
      </c>
    </row>
    <row r="65" spans="2:10" x14ac:dyDescent="0.25">
      <c r="B65" t="s">
        <v>463</v>
      </c>
      <c r="C65">
        <v>0.94179999999999997</v>
      </c>
      <c r="D65">
        <v>1.3280000000000001</v>
      </c>
      <c r="E65">
        <v>1.1520000000000001E-2</v>
      </c>
      <c r="F65" s="13">
        <v>8.989E-4</v>
      </c>
      <c r="G65">
        <v>0.42930000000000001</v>
      </c>
      <c r="H65">
        <v>4.7720000000000002</v>
      </c>
      <c r="I65">
        <v>10001</v>
      </c>
      <c r="J65">
        <v>30000</v>
      </c>
    </row>
    <row r="66" spans="2:10" x14ac:dyDescent="0.25">
      <c r="B66" t="s">
        <v>464</v>
      </c>
      <c r="C66">
        <v>1.1160000000000001</v>
      </c>
      <c r="D66">
        <v>1.4990000000000001</v>
      </c>
      <c r="E66">
        <v>2.555E-2</v>
      </c>
      <c r="F66">
        <v>1.245E-3</v>
      </c>
      <c r="G66">
        <v>0.53800000000000003</v>
      </c>
      <c r="H66">
        <v>5.3920000000000003</v>
      </c>
      <c r="I66">
        <v>10001</v>
      </c>
      <c r="J66">
        <v>30000</v>
      </c>
    </row>
    <row r="67" spans="2:10" x14ac:dyDescent="0.25">
      <c r="B67" t="s">
        <v>465</v>
      </c>
      <c r="C67">
        <v>0.70720000000000005</v>
      </c>
      <c r="D67">
        <v>1.0169999999999999</v>
      </c>
      <c r="E67">
        <v>7.2049999999999996E-3</v>
      </c>
      <c r="F67" s="13">
        <v>7.0310000000000001E-4</v>
      </c>
      <c r="G67">
        <v>0.32169999999999999</v>
      </c>
      <c r="H67">
        <v>3.5710000000000002</v>
      </c>
      <c r="I67">
        <v>10001</v>
      </c>
      <c r="J67">
        <v>30000</v>
      </c>
    </row>
    <row r="68" spans="2:10" x14ac:dyDescent="0.25">
      <c r="B68" t="s">
        <v>466</v>
      </c>
      <c r="C68">
        <v>1.0900000000000001</v>
      </c>
      <c r="D68">
        <v>1.2070000000000001</v>
      </c>
      <c r="E68">
        <v>2.4400000000000002E-2</v>
      </c>
      <c r="F68">
        <v>2.0019999999999999E-3</v>
      </c>
      <c r="G68">
        <v>0.68200000000000005</v>
      </c>
      <c r="H68">
        <v>4.2530000000000001</v>
      </c>
      <c r="I68">
        <v>10001</v>
      </c>
      <c r="J68">
        <v>30000</v>
      </c>
    </row>
    <row r="69" spans="2:10" x14ac:dyDescent="0.25">
      <c r="B69" t="s">
        <v>467</v>
      </c>
      <c r="C69">
        <v>0.71089999999999998</v>
      </c>
      <c r="D69">
        <v>1.0269999999999999</v>
      </c>
      <c r="E69">
        <v>7.1300000000000001E-3</v>
      </c>
      <c r="F69" s="13">
        <v>8.2939999999999999E-4</v>
      </c>
      <c r="G69">
        <v>0.32419999999999999</v>
      </c>
      <c r="H69">
        <v>3.5760000000000001</v>
      </c>
      <c r="I69">
        <v>10001</v>
      </c>
      <c r="J69">
        <v>30000</v>
      </c>
    </row>
    <row r="70" spans="2:10" x14ac:dyDescent="0.25">
      <c r="B70" t="s">
        <v>468</v>
      </c>
      <c r="C70">
        <v>1.089</v>
      </c>
      <c r="D70">
        <v>1.21</v>
      </c>
      <c r="E70">
        <v>2.5090000000000001E-2</v>
      </c>
      <c r="F70">
        <v>2.052E-3</v>
      </c>
      <c r="G70">
        <v>0.68659999999999999</v>
      </c>
      <c r="H70">
        <v>4.3639999999999999</v>
      </c>
      <c r="I70">
        <v>10001</v>
      </c>
      <c r="J70">
        <v>30000</v>
      </c>
    </row>
    <row r="71" spans="2:10" x14ac:dyDescent="0.25">
      <c r="B71" t="s">
        <v>469</v>
      </c>
      <c r="C71">
        <v>1.4590000000000001</v>
      </c>
      <c r="D71">
        <v>1.9430000000000001</v>
      </c>
      <c r="E71">
        <v>3.5529999999999999E-2</v>
      </c>
      <c r="F71">
        <v>1.3699999999999999E-3</v>
      </c>
      <c r="G71">
        <v>0.70540000000000003</v>
      </c>
      <c r="H71">
        <v>7.0149999999999997</v>
      </c>
      <c r="I71">
        <v>10001</v>
      </c>
      <c r="J71">
        <v>30000</v>
      </c>
    </row>
    <row r="72" spans="2:10" x14ac:dyDescent="0.25">
      <c r="B72" t="s">
        <v>470</v>
      </c>
      <c r="C72">
        <v>1.456</v>
      </c>
      <c r="D72">
        <v>1.47</v>
      </c>
      <c r="E72">
        <v>4.3889999999999998E-2</v>
      </c>
      <c r="F72">
        <v>6.6589999999999996E-2</v>
      </c>
      <c r="G72">
        <v>0.99709999999999999</v>
      </c>
      <c r="H72">
        <v>5.4450000000000003</v>
      </c>
      <c r="I72">
        <v>10001</v>
      </c>
      <c r="J72">
        <v>30000</v>
      </c>
    </row>
    <row r="73" spans="2:10" x14ac:dyDescent="0.25">
      <c r="B73" t="s">
        <v>471</v>
      </c>
      <c r="C73">
        <v>1.1539999999999999</v>
      </c>
      <c r="D73">
        <v>1.472</v>
      </c>
      <c r="E73">
        <v>4.4350000000000001E-2</v>
      </c>
      <c r="F73">
        <v>1.2849999999999999E-3</v>
      </c>
      <c r="G73">
        <v>0.59160000000000001</v>
      </c>
      <c r="H73">
        <v>5.3639999999999999</v>
      </c>
      <c r="I73">
        <v>10001</v>
      </c>
      <c r="J73">
        <v>30000</v>
      </c>
    </row>
    <row r="74" spans="2:10" x14ac:dyDescent="0.25">
      <c r="B74" t="s">
        <v>472</v>
      </c>
      <c r="C74">
        <v>1.302</v>
      </c>
      <c r="D74">
        <v>1.784</v>
      </c>
      <c r="E74">
        <v>7.2309999999999999E-2</v>
      </c>
      <c r="F74">
        <v>1.312E-3</v>
      </c>
      <c r="G74">
        <v>0.61770000000000003</v>
      </c>
      <c r="H74">
        <v>6.5940000000000003</v>
      </c>
      <c r="I74">
        <v>10001</v>
      </c>
      <c r="J74">
        <v>30000</v>
      </c>
    </row>
    <row r="75" spans="2:10" x14ac:dyDescent="0.25">
      <c r="B75" t="s">
        <v>473</v>
      </c>
      <c r="C75">
        <v>1.0349999999999999</v>
      </c>
      <c r="D75">
        <v>1.4390000000000001</v>
      </c>
      <c r="E75">
        <v>2.5899999999999999E-2</v>
      </c>
      <c r="F75" s="13">
        <v>9.8309999999999999E-4</v>
      </c>
      <c r="G75">
        <v>0.47620000000000001</v>
      </c>
      <c r="H75">
        <v>5.165</v>
      </c>
      <c r="I75">
        <v>10001</v>
      </c>
      <c r="J75">
        <v>30000</v>
      </c>
    </row>
    <row r="76" spans="2:10" x14ac:dyDescent="0.25">
      <c r="B76" t="s">
        <v>474</v>
      </c>
      <c r="C76">
        <v>1.0129999999999999</v>
      </c>
      <c r="D76">
        <v>1.4179999999999999</v>
      </c>
      <c r="E76">
        <v>1.5169999999999999E-2</v>
      </c>
      <c r="F76" s="13">
        <v>8.786E-4</v>
      </c>
      <c r="G76">
        <v>0.46779999999999999</v>
      </c>
      <c r="H76">
        <v>5.0579999999999998</v>
      </c>
      <c r="I76">
        <v>10001</v>
      </c>
      <c r="J76">
        <v>30000</v>
      </c>
    </row>
    <row r="77" spans="2:10" x14ac:dyDescent="0.25">
      <c r="B77" t="s">
        <v>475</v>
      </c>
      <c r="C77">
        <v>1.1579999999999999</v>
      </c>
      <c r="D77">
        <v>1.4810000000000001</v>
      </c>
      <c r="E77">
        <v>4.471E-2</v>
      </c>
      <c r="F77">
        <v>1.1689999999999999E-3</v>
      </c>
      <c r="G77">
        <v>0.57079999999999997</v>
      </c>
      <c r="H77">
        <v>5.4009999999999998</v>
      </c>
      <c r="I77">
        <v>10001</v>
      </c>
      <c r="J77">
        <v>30000</v>
      </c>
    </row>
    <row r="78" spans="2:10" x14ac:dyDescent="0.25">
      <c r="B78" t="s">
        <v>476</v>
      </c>
      <c r="C78">
        <v>1.1859999999999999</v>
      </c>
      <c r="D78">
        <v>1.5009999999999999</v>
      </c>
      <c r="E78">
        <v>4.2410000000000003E-2</v>
      </c>
      <c r="F78">
        <v>1.4270000000000001E-3</v>
      </c>
      <c r="G78">
        <v>0.59830000000000005</v>
      </c>
      <c r="H78">
        <v>5.4939999999999998</v>
      </c>
      <c r="I78">
        <v>10001</v>
      </c>
      <c r="J78">
        <v>30000</v>
      </c>
    </row>
    <row r="79" spans="2:10" x14ac:dyDescent="0.25">
      <c r="B79" t="s">
        <v>477</v>
      </c>
      <c r="C79">
        <v>0.79079999999999995</v>
      </c>
      <c r="D79">
        <v>1.141</v>
      </c>
      <c r="E79">
        <v>6.8250000000000003E-3</v>
      </c>
      <c r="F79" s="13">
        <v>7.0290000000000001E-4</v>
      </c>
      <c r="G79">
        <v>0.35010000000000002</v>
      </c>
      <c r="H79">
        <v>4.0449999999999999</v>
      </c>
      <c r="I79">
        <v>10001</v>
      </c>
      <c r="J79">
        <v>30000</v>
      </c>
    </row>
    <row r="80" spans="2:10" x14ac:dyDescent="0.25">
      <c r="B80" t="s">
        <v>478</v>
      </c>
      <c r="C80">
        <v>1.1890000000000001</v>
      </c>
      <c r="D80">
        <v>1.218</v>
      </c>
      <c r="E80">
        <v>1.014E-2</v>
      </c>
      <c r="F80">
        <v>3.689E-3</v>
      </c>
      <c r="G80">
        <v>0.83160000000000001</v>
      </c>
      <c r="H80">
        <v>4.3609999999999998</v>
      </c>
      <c r="I80">
        <v>10001</v>
      </c>
      <c r="J80">
        <v>30000</v>
      </c>
    </row>
    <row r="81" spans="2:10" x14ac:dyDescent="0.25">
      <c r="B81" t="s">
        <v>479</v>
      </c>
      <c r="C81">
        <v>1.3660000000000001</v>
      </c>
      <c r="D81">
        <v>1.798</v>
      </c>
      <c r="E81">
        <v>1.5789999999999998E-2</v>
      </c>
      <c r="F81">
        <v>1.5410000000000001E-3</v>
      </c>
      <c r="G81">
        <v>0.67859999999999998</v>
      </c>
      <c r="H81">
        <v>6.4370000000000003</v>
      </c>
      <c r="I81">
        <v>10001</v>
      </c>
      <c r="J81">
        <v>30000</v>
      </c>
    </row>
    <row r="82" spans="2:10" x14ac:dyDescent="0.25">
      <c r="B82" t="s">
        <v>480</v>
      </c>
      <c r="C82">
        <v>1.8069999999999999</v>
      </c>
      <c r="D82">
        <v>1.6579999999999999</v>
      </c>
      <c r="E82">
        <v>3.058E-2</v>
      </c>
      <c r="F82">
        <v>1.0059999999999999E-2</v>
      </c>
      <c r="G82">
        <v>1.385</v>
      </c>
      <c r="H82">
        <v>6.0910000000000002</v>
      </c>
      <c r="I82">
        <v>10001</v>
      </c>
      <c r="J82">
        <v>30000</v>
      </c>
    </row>
    <row r="83" spans="2:10" x14ac:dyDescent="0.25">
      <c r="B83" t="s">
        <v>481</v>
      </c>
      <c r="C83">
        <v>1.141</v>
      </c>
      <c r="D83">
        <v>1.6240000000000001</v>
      </c>
      <c r="E83">
        <v>2.8670000000000001E-2</v>
      </c>
      <c r="F83">
        <v>1.2489999999999999E-3</v>
      </c>
      <c r="G83">
        <v>0.51270000000000004</v>
      </c>
      <c r="H83">
        <v>5.8849999999999998</v>
      </c>
      <c r="I83">
        <v>10001</v>
      </c>
      <c r="J83">
        <v>30000</v>
      </c>
    </row>
    <row r="84" spans="2:10" x14ac:dyDescent="0.25">
      <c r="B84" t="s">
        <v>482</v>
      </c>
      <c r="C84">
        <v>1.1870000000000001</v>
      </c>
      <c r="D84">
        <v>1.4390000000000001</v>
      </c>
      <c r="E84">
        <v>4.8189999999999997E-2</v>
      </c>
      <c r="F84">
        <v>1.65E-3</v>
      </c>
      <c r="G84">
        <v>0.63280000000000003</v>
      </c>
      <c r="H84">
        <v>5.09</v>
      </c>
      <c r="I84">
        <v>10001</v>
      </c>
      <c r="J84">
        <v>30000</v>
      </c>
    </row>
    <row r="85" spans="2:10" x14ac:dyDescent="0.25">
      <c r="B85" t="s">
        <v>483</v>
      </c>
      <c r="C85">
        <v>0.88719999999999999</v>
      </c>
      <c r="D85">
        <v>1.2470000000000001</v>
      </c>
      <c r="E85">
        <v>8.4539999999999997E-3</v>
      </c>
      <c r="F85" s="13">
        <v>9.1569999999999998E-4</v>
      </c>
      <c r="G85">
        <v>0.40920000000000001</v>
      </c>
      <c r="H85">
        <v>4.4429999999999996</v>
      </c>
      <c r="I85">
        <v>10001</v>
      </c>
      <c r="J85">
        <v>30000</v>
      </c>
    </row>
    <row r="86" spans="2:10" x14ac:dyDescent="0.25">
      <c r="B86" t="s">
        <v>484</v>
      </c>
      <c r="C86">
        <v>0.66139999999999999</v>
      </c>
      <c r="D86">
        <v>0.95220000000000005</v>
      </c>
      <c r="E86">
        <v>1.076E-2</v>
      </c>
      <c r="F86" s="13">
        <v>6.4689999999999995E-4</v>
      </c>
      <c r="G86">
        <v>0.29580000000000001</v>
      </c>
      <c r="H86">
        <v>3.3620000000000001</v>
      </c>
      <c r="I86">
        <v>10001</v>
      </c>
      <c r="J86">
        <v>30000</v>
      </c>
    </row>
    <row r="87" spans="2:10" x14ac:dyDescent="0.25">
      <c r="B87" t="s">
        <v>485</v>
      </c>
      <c r="C87">
        <v>1.635</v>
      </c>
      <c r="D87">
        <v>1.6539999999999999</v>
      </c>
      <c r="E87">
        <v>1.056E-2</v>
      </c>
      <c r="F87">
        <v>4.1329999999999999E-2</v>
      </c>
      <c r="G87">
        <v>1.113</v>
      </c>
      <c r="H87">
        <v>6.09</v>
      </c>
      <c r="I87">
        <v>10001</v>
      </c>
      <c r="J87">
        <v>30000</v>
      </c>
    </row>
    <row r="88" spans="2:10" x14ac:dyDescent="0.25">
      <c r="B88" t="s">
        <v>486</v>
      </c>
      <c r="C88">
        <v>2.5779999999999998</v>
      </c>
      <c r="D88">
        <v>2.29</v>
      </c>
      <c r="E88">
        <v>1.452E-2</v>
      </c>
      <c r="F88">
        <v>1.916E-2</v>
      </c>
      <c r="G88">
        <v>2.008</v>
      </c>
      <c r="H88">
        <v>8.4109999999999996</v>
      </c>
      <c r="I88">
        <v>10001</v>
      </c>
      <c r="J88">
        <v>30000</v>
      </c>
    </row>
    <row r="89" spans="2:10" x14ac:dyDescent="0.25">
      <c r="B89" t="s">
        <v>487</v>
      </c>
      <c r="C89">
        <v>0.65629999999999999</v>
      </c>
      <c r="D89">
        <v>0.92879999999999996</v>
      </c>
      <c r="E89">
        <v>5.6030000000000003E-3</v>
      </c>
      <c r="F89" s="13">
        <v>6.066E-4</v>
      </c>
      <c r="G89">
        <v>0.30249999999999999</v>
      </c>
      <c r="H89">
        <v>3.3079999999999998</v>
      </c>
      <c r="I89">
        <v>10001</v>
      </c>
      <c r="J89">
        <v>30000</v>
      </c>
    </row>
    <row r="90" spans="2:10" x14ac:dyDescent="0.25">
      <c r="B90" t="s">
        <v>488</v>
      </c>
      <c r="C90">
        <v>0.77610000000000001</v>
      </c>
      <c r="D90">
        <v>0.96509999999999996</v>
      </c>
      <c r="E90">
        <v>7.1250000000000003E-3</v>
      </c>
      <c r="F90">
        <v>1.0059999999999999E-3</v>
      </c>
      <c r="G90">
        <v>0.42399999999999999</v>
      </c>
      <c r="H90">
        <v>3.4489999999999998</v>
      </c>
      <c r="I90">
        <v>10001</v>
      </c>
      <c r="J90">
        <v>30000</v>
      </c>
    </row>
    <row r="91" spans="2:10" x14ac:dyDescent="0.25">
      <c r="B91" t="s">
        <v>489</v>
      </c>
      <c r="C91">
        <v>1.1559999999999999</v>
      </c>
      <c r="D91">
        <v>1.5529999999999999</v>
      </c>
      <c r="E91">
        <v>1.1509999999999999E-2</v>
      </c>
      <c r="F91">
        <v>1.3879999999999999E-3</v>
      </c>
      <c r="G91">
        <v>0.55200000000000005</v>
      </c>
      <c r="H91">
        <v>5.6120000000000001</v>
      </c>
      <c r="I91">
        <v>10001</v>
      </c>
      <c r="J91">
        <v>30000</v>
      </c>
    </row>
    <row r="92" spans="2:10" x14ac:dyDescent="0.25">
      <c r="B92" t="s">
        <v>490</v>
      </c>
      <c r="C92">
        <v>1.127</v>
      </c>
      <c r="D92">
        <v>1.254</v>
      </c>
      <c r="E92">
        <v>1.619E-2</v>
      </c>
      <c r="F92">
        <v>2.5100000000000001E-3</v>
      </c>
      <c r="G92">
        <v>0.71970000000000001</v>
      </c>
      <c r="H92">
        <v>4.51</v>
      </c>
      <c r="I92">
        <v>10001</v>
      </c>
      <c r="J92">
        <v>30000</v>
      </c>
    </row>
    <row r="93" spans="2:10" x14ac:dyDescent="0.25">
      <c r="B93" t="s">
        <v>491</v>
      </c>
      <c r="C93">
        <v>0.91100000000000003</v>
      </c>
      <c r="D93">
        <v>1.2849999999999999</v>
      </c>
      <c r="E93">
        <v>7.783E-3</v>
      </c>
      <c r="F93" s="13">
        <v>9.4200000000000002E-4</v>
      </c>
      <c r="G93">
        <v>0.41770000000000002</v>
      </c>
      <c r="H93">
        <v>4.5629999999999997</v>
      </c>
      <c r="I93">
        <v>10001</v>
      </c>
      <c r="J93">
        <v>30000</v>
      </c>
    </row>
    <row r="94" spans="2:10" x14ac:dyDescent="0.25">
      <c r="B94" t="s">
        <v>492</v>
      </c>
      <c r="C94">
        <v>0.56610000000000005</v>
      </c>
      <c r="D94">
        <v>0.84150000000000003</v>
      </c>
      <c r="E94">
        <v>1.03E-2</v>
      </c>
      <c r="F94" s="13">
        <v>5.1029999999999999E-4</v>
      </c>
      <c r="G94">
        <v>0.2455</v>
      </c>
      <c r="H94">
        <v>2.9159999999999999</v>
      </c>
      <c r="I94">
        <v>10001</v>
      </c>
      <c r="J94">
        <v>30000</v>
      </c>
    </row>
    <row r="95" spans="2:10" x14ac:dyDescent="0.25">
      <c r="B95" t="s">
        <v>493</v>
      </c>
      <c r="C95">
        <v>1.2310000000000001</v>
      </c>
      <c r="D95">
        <v>1.68</v>
      </c>
      <c r="E95">
        <v>1.035E-2</v>
      </c>
      <c r="F95">
        <v>1.3649999999999999E-3</v>
      </c>
      <c r="G95">
        <v>0.58379999999999999</v>
      </c>
      <c r="H95">
        <v>6.0730000000000004</v>
      </c>
      <c r="I95">
        <v>10001</v>
      </c>
      <c r="J95">
        <v>30000</v>
      </c>
    </row>
    <row r="96" spans="2:10" x14ac:dyDescent="0.25">
      <c r="B96" t="s">
        <v>494</v>
      </c>
      <c r="C96">
        <v>0.50960000000000005</v>
      </c>
      <c r="D96">
        <v>0.58450000000000002</v>
      </c>
      <c r="E96">
        <v>4.4489999999999998E-3</v>
      </c>
      <c r="F96">
        <v>9.8449999999999996E-3</v>
      </c>
      <c r="G96">
        <v>0.32250000000000001</v>
      </c>
      <c r="H96">
        <v>2.085</v>
      </c>
      <c r="I96">
        <v>10001</v>
      </c>
      <c r="J96">
        <v>30000</v>
      </c>
    </row>
    <row r="97" spans="2:10" x14ac:dyDescent="0.25">
      <c r="B97" t="s">
        <v>495</v>
      </c>
      <c r="C97">
        <v>0.69840000000000002</v>
      </c>
      <c r="D97">
        <v>1.0049999999999999</v>
      </c>
      <c r="E97">
        <v>7.0200000000000002E-3</v>
      </c>
      <c r="F97" s="13">
        <v>6.602E-4</v>
      </c>
      <c r="G97">
        <v>0.31519999999999998</v>
      </c>
      <c r="H97">
        <v>3.496</v>
      </c>
      <c r="I97">
        <v>10001</v>
      </c>
      <c r="J97">
        <v>30000</v>
      </c>
    </row>
    <row r="98" spans="2:10" x14ac:dyDescent="0.25">
      <c r="B98" t="s">
        <v>496</v>
      </c>
      <c r="C98">
        <v>1.119</v>
      </c>
      <c r="D98">
        <v>1.2529999999999999</v>
      </c>
      <c r="E98">
        <v>2.597E-2</v>
      </c>
      <c r="F98">
        <v>1.954E-3</v>
      </c>
      <c r="G98">
        <v>0.70220000000000005</v>
      </c>
      <c r="H98">
        <v>4.4939999999999998</v>
      </c>
      <c r="I98">
        <v>10001</v>
      </c>
      <c r="J98">
        <v>30000</v>
      </c>
    </row>
    <row r="99" spans="2:10" x14ac:dyDescent="0.25">
      <c r="B99" t="s">
        <v>497</v>
      </c>
      <c r="C99">
        <v>4.6439999999999997E-3</v>
      </c>
      <c r="D99">
        <v>8.7590000000000001E-2</v>
      </c>
      <c r="E99">
        <v>2.081E-3</v>
      </c>
      <c r="F99">
        <v>0</v>
      </c>
      <c r="G99">
        <v>0</v>
      </c>
      <c r="H99">
        <v>7.3850000000000001E-3</v>
      </c>
      <c r="I99">
        <v>10001</v>
      </c>
      <c r="J99">
        <v>30000</v>
      </c>
    </row>
    <row r="100" spans="2:10" x14ac:dyDescent="0.25">
      <c r="B100" t="s">
        <v>498</v>
      </c>
      <c r="C100">
        <v>1.147</v>
      </c>
      <c r="D100">
        <v>1.595</v>
      </c>
      <c r="E100">
        <v>9.3399999999999993E-3</v>
      </c>
      <c r="F100">
        <v>1.0989999999999999E-3</v>
      </c>
      <c r="G100">
        <v>0.5232</v>
      </c>
      <c r="H100">
        <v>5.702</v>
      </c>
      <c r="I100">
        <v>10001</v>
      </c>
      <c r="J100">
        <v>30000</v>
      </c>
    </row>
    <row r="101" spans="2:10" x14ac:dyDescent="0.25">
      <c r="B101" t="s">
        <v>499</v>
      </c>
      <c r="C101">
        <v>1.1599999999999999</v>
      </c>
      <c r="D101">
        <v>1.607</v>
      </c>
      <c r="E101">
        <v>9.9209999999999993E-3</v>
      </c>
      <c r="F101">
        <v>1.085E-3</v>
      </c>
      <c r="G101">
        <v>0.54710000000000003</v>
      </c>
      <c r="H101">
        <v>5.7809999999999997</v>
      </c>
      <c r="I101">
        <v>10001</v>
      </c>
      <c r="J101">
        <v>30000</v>
      </c>
    </row>
    <row r="102" spans="2:10" x14ac:dyDescent="0.25">
      <c r="B102" t="s">
        <v>500</v>
      </c>
      <c r="C102">
        <v>0.71589999999999998</v>
      </c>
      <c r="D102">
        <v>0.62949999999999995</v>
      </c>
      <c r="E102">
        <v>6.3010000000000002E-3</v>
      </c>
      <c r="F102">
        <v>5.8930000000000003E-2</v>
      </c>
      <c r="G102">
        <v>0.53910000000000002</v>
      </c>
      <c r="H102">
        <v>2.3860000000000001</v>
      </c>
      <c r="I102">
        <v>10001</v>
      </c>
      <c r="J102">
        <v>30000</v>
      </c>
    </row>
    <row r="103" spans="2:10" x14ac:dyDescent="0.25">
      <c r="B103" t="s">
        <v>501</v>
      </c>
      <c r="C103">
        <v>0.85589999999999999</v>
      </c>
      <c r="D103">
        <v>1.2110000000000001</v>
      </c>
      <c r="E103">
        <v>1.1039999999999999E-2</v>
      </c>
      <c r="F103" s="13">
        <v>7.6300000000000001E-4</v>
      </c>
      <c r="G103">
        <v>0.38629999999999998</v>
      </c>
      <c r="H103">
        <v>4.383</v>
      </c>
      <c r="I103">
        <v>10001</v>
      </c>
      <c r="J103">
        <v>30000</v>
      </c>
    </row>
    <row r="104" spans="2:10" x14ac:dyDescent="0.25">
      <c r="B104" t="s">
        <v>502</v>
      </c>
      <c r="C104">
        <v>0.82809999999999995</v>
      </c>
      <c r="D104">
        <v>1.1719999999999999</v>
      </c>
      <c r="E104">
        <v>1.204E-2</v>
      </c>
      <c r="F104" s="13">
        <v>7.3749999999999998E-4</v>
      </c>
      <c r="G104">
        <v>0.37540000000000001</v>
      </c>
      <c r="H104">
        <v>4.1840000000000002</v>
      </c>
      <c r="I104">
        <v>10001</v>
      </c>
      <c r="J104">
        <v>30000</v>
      </c>
    </row>
    <row r="105" spans="2:10" x14ac:dyDescent="0.25">
      <c r="B105" t="s">
        <v>503</v>
      </c>
      <c r="C105">
        <v>0.85570000000000002</v>
      </c>
      <c r="D105">
        <v>1.2190000000000001</v>
      </c>
      <c r="E105">
        <v>7.9600000000000001E-3</v>
      </c>
      <c r="F105" s="13">
        <v>8.2969999999999995E-4</v>
      </c>
      <c r="G105">
        <v>0.3836</v>
      </c>
      <c r="H105">
        <v>4.3470000000000004</v>
      </c>
      <c r="I105">
        <v>10001</v>
      </c>
      <c r="J105">
        <v>30000</v>
      </c>
    </row>
    <row r="106" spans="2:10" x14ac:dyDescent="0.25">
      <c r="B106" t="s">
        <v>504</v>
      </c>
      <c r="C106">
        <v>0.78610000000000002</v>
      </c>
      <c r="D106">
        <v>1.02</v>
      </c>
      <c r="E106">
        <v>1.0970000000000001E-2</v>
      </c>
      <c r="F106" s="13">
        <v>9.8539999999999999E-4</v>
      </c>
      <c r="G106">
        <v>0.40300000000000002</v>
      </c>
      <c r="H106">
        <v>3.6459999999999999</v>
      </c>
      <c r="I106">
        <v>10001</v>
      </c>
      <c r="J106">
        <v>30000</v>
      </c>
    </row>
    <row r="107" spans="2:10" x14ac:dyDescent="0.25">
      <c r="B107" t="s">
        <v>505</v>
      </c>
      <c r="C107">
        <v>0.8488</v>
      </c>
      <c r="D107">
        <v>1.2090000000000001</v>
      </c>
      <c r="E107">
        <v>7.6829999999999997E-3</v>
      </c>
      <c r="F107" s="13">
        <v>8.3639999999999995E-4</v>
      </c>
      <c r="G107">
        <v>0.379</v>
      </c>
      <c r="H107">
        <v>4.3529999999999998</v>
      </c>
      <c r="I107">
        <v>10001</v>
      </c>
      <c r="J107">
        <v>30000</v>
      </c>
    </row>
    <row r="108" spans="2:10" x14ac:dyDescent="0.25">
      <c r="B108" t="s">
        <v>506</v>
      </c>
      <c r="C108">
        <v>0.36080000000000001</v>
      </c>
      <c r="D108">
        <v>0.52549999999999997</v>
      </c>
      <c r="E108">
        <v>4.9880000000000002E-3</v>
      </c>
      <c r="F108" s="13">
        <v>3.4860000000000002E-4</v>
      </c>
      <c r="G108">
        <v>0.1651</v>
      </c>
      <c r="H108">
        <v>1.8089999999999999</v>
      </c>
      <c r="I108">
        <v>10001</v>
      </c>
      <c r="J108">
        <v>30000</v>
      </c>
    </row>
    <row r="109" spans="2:10" x14ac:dyDescent="0.25">
      <c r="B109" t="s">
        <v>507</v>
      </c>
      <c r="C109">
        <v>0.84370000000000001</v>
      </c>
      <c r="D109">
        <v>1.2010000000000001</v>
      </c>
      <c r="E109">
        <v>7.6829999999999997E-3</v>
      </c>
      <c r="F109" s="13">
        <v>8.0309999999999995E-4</v>
      </c>
      <c r="G109">
        <v>0.38059999999999999</v>
      </c>
      <c r="H109">
        <v>4.298</v>
      </c>
      <c r="I109">
        <v>10001</v>
      </c>
      <c r="J109">
        <v>30000</v>
      </c>
    </row>
    <row r="110" spans="2:10" x14ac:dyDescent="0.25">
      <c r="B110" t="s">
        <v>508</v>
      </c>
      <c r="C110">
        <v>0.65280000000000005</v>
      </c>
      <c r="D110">
        <v>0.93740000000000001</v>
      </c>
      <c r="E110">
        <v>9.4520000000000003E-3</v>
      </c>
      <c r="F110" s="13">
        <v>6.7000000000000002E-4</v>
      </c>
      <c r="G110">
        <v>0.29909999999999998</v>
      </c>
      <c r="H110">
        <v>3.2650000000000001</v>
      </c>
      <c r="I110">
        <v>10001</v>
      </c>
      <c r="J110">
        <v>30000</v>
      </c>
    </row>
    <row r="111" spans="2:10" x14ac:dyDescent="0.25">
      <c r="B111" t="s">
        <v>509</v>
      </c>
      <c r="C111">
        <v>1.1990000000000001</v>
      </c>
      <c r="D111">
        <v>1.65</v>
      </c>
      <c r="E111">
        <v>9.2280000000000001E-3</v>
      </c>
      <c r="F111">
        <v>1.2229999999999999E-3</v>
      </c>
      <c r="G111">
        <v>0.55469999999999997</v>
      </c>
      <c r="H111">
        <v>5.8650000000000002</v>
      </c>
      <c r="I111">
        <v>10001</v>
      </c>
      <c r="J111">
        <v>30000</v>
      </c>
    </row>
    <row r="112" spans="2:10" x14ac:dyDescent="0.25">
      <c r="B112" t="s">
        <v>510</v>
      </c>
      <c r="C112">
        <v>0.4249</v>
      </c>
      <c r="D112">
        <v>0.4924</v>
      </c>
      <c r="E112">
        <v>3.833E-3</v>
      </c>
      <c r="F112">
        <v>8.7039999999999999E-3</v>
      </c>
      <c r="G112">
        <v>0.26490000000000002</v>
      </c>
      <c r="H112">
        <v>1.774</v>
      </c>
      <c r="I112">
        <v>10001</v>
      </c>
      <c r="J112">
        <v>30000</v>
      </c>
    </row>
    <row r="113" spans="1:10" x14ac:dyDescent="0.25">
      <c r="B113" t="s">
        <v>511</v>
      </c>
      <c r="C113">
        <v>0.71940000000000004</v>
      </c>
      <c r="D113">
        <v>1.0069999999999999</v>
      </c>
      <c r="E113">
        <v>6.0400000000000002E-3</v>
      </c>
      <c r="F113" s="13">
        <v>7.7689999999999996E-4</v>
      </c>
      <c r="G113">
        <v>0.3286</v>
      </c>
      <c r="H113">
        <v>3.5670000000000002</v>
      </c>
      <c r="I113">
        <v>10001</v>
      </c>
      <c r="J113">
        <v>30000</v>
      </c>
    </row>
    <row r="114" spans="1:10" x14ac:dyDescent="0.25">
      <c r="B114" t="s">
        <v>512</v>
      </c>
      <c r="C114">
        <v>0.84940000000000004</v>
      </c>
      <c r="D114">
        <v>0.94359999999999999</v>
      </c>
      <c r="E114">
        <v>6.2040000000000003E-3</v>
      </c>
      <c r="F114">
        <v>1.7329999999999999E-3</v>
      </c>
      <c r="G114">
        <v>0.54259999999999997</v>
      </c>
      <c r="H114">
        <v>3.3679999999999999</v>
      </c>
      <c r="I114">
        <v>10001</v>
      </c>
      <c r="J114">
        <v>30000</v>
      </c>
    </row>
    <row r="115" spans="1:10" x14ac:dyDescent="0.25">
      <c r="B115" t="s">
        <v>513</v>
      </c>
      <c r="C115">
        <v>1.0009999999999999</v>
      </c>
      <c r="D115">
        <v>1.391</v>
      </c>
      <c r="E115">
        <v>1.34E-2</v>
      </c>
      <c r="F115" s="13">
        <v>9.6869999999999996E-4</v>
      </c>
      <c r="G115">
        <v>0.4602</v>
      </c>
      <c r="H115">
        <v>4.9939999999999998</v>
      </c>
      <c r="I115">
        <v>10001</v>
      </c>
      <c r="J115">
        <v>30000</v>
      </c>
    </row>
    <row r="116" spans="1:10" x14ac:dyDescent="0.25">
      <c r="B116" t="s">
        <v>514</v>
      </c>
      <c r="C116">
        <v>1.0960000000000001</v>
      </c>
      <c r="D116">
        <v>1.4430000000000001</v>
      </c>
      <c r="E116">
        <v>2.061E-2</v>
      </c>
      <c r="F116">
        <v>1.1770000000000001E-3</v>
      </c>
      <c r="G116">
        <v>0.53510000000000002</v>
      </c>
      <c r="H116">
        <v>5.1529999999999996</v>
      </c>
      <c r="I116">
        <v>10001</v>
      </c>
      <c r="J116">
        <v>30000</v>
      </c>
    </row>
    <row r="117" spans="1:10" x14ac:dyDescent="0.25">
      <c r="B117" t="s">
        <v>515</v>
      </c>
      <c r="C117">
        <v>1.26</v>
      </c>
      <c r="D117">
        <v>1.673</v>
      </c>
      <c r="E117">
        <v>1.6109999999999999E-2</v>
      </c>
      <c r="F117">
        <v>1.3179999999999999E-3</v>
      </c>
      <c r="G117">
        <v>0.60629999999999995</v>
      </c>
      <c r="H117">
        <v>6.0149999999999997</v>
      </c>
      <c r="I117">
        <v>10001</v>
      </c>
      <c r="J117">
        <v>30000</v>
      </c>
    </row>
    <row r="118" spans="1:10" x14ac:dyDescent="0.25">
      <c r="B118" t="s">
        <v>516</v>
      </c>
      <c r="C118">
        <v>1.04</v>
      </c>
      <c r="D118">
        <v>1.3089999999999999</v>
      </c>
      <c r="E118">
        <v>2.145E-2</v>
      </c>
      <c r="F118">
        <v>1.539E-3</v>
      </c>
      <c r="G118">
        <v>0.55830000000000002</v>
      </c>
      <c r="H118">
        <v>4.6719999999999997</v>
      </c>
      <c r="I118">
        <v>10001</v>
      </c>
      <c r="J118">
        <v>30000</v>
      </c>
    </row>
    <row r="119" spans="1:10" x14ac:dyDescent="0.25">
      <c r="B119" t="s">
        <v>635</v>
      </c>
      <c r="C119">
        <v>55.25</v>
      </c>
      <c r="D119">
        <v>9.5060000000000002</v>
      </c>
      <c r="E119">
        <v>0.1623</v>
      </c>
      <c r="F119">
        <v>38.520000000000003</v>
      </c>
      <c r="G119">
        <v>54.61</v>
      </c>
      <c r="H119">
        <v>75.459999999999994</v>
      </c>
      <c r="I119">
        <v>10001</v>
      </c>
      <c r="J119">
        <v>30000</v>
      </c>
    </row>
    <row r="120" spans="1:10" x14ac:dyDescent="0.25">
      <c r="A120" t="s">
        <v>801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B52"/>
  <sheetViews>
    <sheetView showGridLines="0" showRowColHeaders="0" topLeftCell="A2" workbookViewId="0">
      <selection activeCell="A2" sqref="A2:P2"/>
    </sheetView>
  </sheetViews>
  <sheetFormatPr defaultRowHeight="15" x14ac:dyDescent="0.25"/>
  <sheetData>
    <row r="1" spans="1:28"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4</v>
      </c>
      <c r="T1" s="16" t="s">
        <v>5</v>
      </c>
      <c r="U1" s="16" t="s">
        <v>46</v>
      </c>
      <c r="V1" s="16" t="s">
        <v>47</v>
      </c>
      <c r="W1" s="16" t="s">
        <v>253</v>
      </c>
      <c r="X1" s="16" t="s">
        <v>369</v>
      </c>
      <c r="Y1" t="s">
        <v>370</v>
      </c>
      <c r="Z1" t="s">
        <v>371</v>
      </c>
      <c r="AA1" t="s">
        <v>372</v>
      </c>
      <c r="AB1" t="s">
        <v>6</v>
      </c>
    </row>
    <row r="2" spans="1:28" x14ac:dyDescent="0.25">
      <c r="A2" s="19">
        <v>0</v>
      </c>
      <c r="B2" s="19">
        <v>39</v>
      </c>
      <c r="C2" s="19">
        <v>1</v>
      </c>
      <c r="D2" s="19">
        <v>38</v>
      </c>
      <c r="E2" s="19" t="s">
        <v>373</v>
      </c>
      <c r="F2" s="19">
        <v>1</v>
      </c>
      <c r="G2" s="19" t="s">
        <v>373</v>
      </c>
      <c r="H2" s="19">
        <v>1</v>
      </c>
      <c r="I2" s="19" t="s">
        <v>373</v>
      </c>
      <c r="J2" s="19">
        <v>1</v>
      </c>
      <c r="K2" s="19" t="s">
        <v>373</v>
      </c>
      <c r="L2" s="19">
        <v>1</v>
      </c>
      <c r="M2" s="19" t="s">
        <v>373</v>
      </c>
      <c r="N2" s="19">
        <v>1</v>
      </c>
      <c r="O2" s="19" t="s">
        <v>373</v>
      </c>
      <c r="P2" s="19">
        <v>1</v>
      </c>
      <c r="Q2" s="19" t="s">
        <v>373</v>
      </c>
      <c r="R2" s="19">
        <v>1</v>
      </c>
      <c r="S2" s="19">
        <v>1</v>
      </c>
      <c r="T2" s="16">
        <v>4</v>
      </c>
      <c r="U2" s="16" t="s">
        <v>373</v>
      </c>
      <c r="V2" s="16" t="s">
        <v>373</v>
      </c>
      <c r="W2" s="16" t="s">
        <v>373</v>
      </c>
      <c r="X2" s="16" t="s">
        <v>373</v>
      </c>
      <c r="Y2" t="s">
        <v>373</v>
      </c>
      <c r="Z2" t="s">
        <v>373</v>
      </c>
      <c r="AA2" t="s">
        <v>373</v>
      </c>
      <c r="AB2">
        <v>2</v>
      </c>
    </row>
    <row r="3" spans="1:28" x14ac:dyDescent="0.25">
      <c r="A3" s="19">
        <v>9</v>
      </c>
      <c r="B3" s="19">
        <v>80</v>
      </c>
      <c r="C3" s="19">
        <v>6</v>
      </c>
      <c r="D3" s="19">
        <v>80</v>
      </c>
      <c r="E3" s="19" t="s">
        <v>373</v>
      </c>
      <c r="F3" s="19">
        <v>1</v>
      </c>
      <c r="G3" s="19" t="s">
        <v>373</v>
      </c>
      <c r="H3" s="19">
        <v>1</v>
      </c>
      <c r="I3" s="19" t="s">
        <v>373</v>
      </c>
      <c r="J3" s="19">
        <v>1</v>
      </c>
      <c r="K3" s="19" t="s">
        <v>373</v>
      </c>
      <c r="L3" s="19">
        <v>1</v>
      </c>
      <c r="M3" s="19" t="s">
        <v>373</v>
      </c>
      <c r="N3" s="19">
        <v>1</v>
      </c>
      <c r="O3" s="19" t="s">
        <v>373</v>
      </c>
      <c r="P3" s="19">
        <v>1</v>
      </c>
      <c r="Q3" s="19" t="s">
        <v>373</v>
      </c>
      <c r="R3" s="19">
        <v>1</v>
      </c>
      <c r="S3" s="19">
        <v>3</v>
      </c>
      <c r="T3" s="16">
        <v>4</v>
      </c>
      <c r="U3" s="16" t="s">
        <v>373</v>
      </c>
      <c r="V3" s="16" t="s">
        <v>373</v>
      </c>
      <c r="W3" s="16" t="s">
        <v>373</v>
      </c>
      <c r="X3" s="16" t="s">
        <v>373</v>
      </c>
      <c r="Y3" t="s">
        <v>373</v>
      </c>
      <c r="Z3" t="s">
        <v>373</v>
      </c>
      <c r="AA3" t="s">
        <v>373</v>
      </c>
      <c r="AB3">
        <v>2</v>
      </c>
    </row>
    <row r="4" spans="1:28" x14ac:dyDescent="0.25">
      <c r="A4" s="19">
        <v>0.48571428571428571</v>
      </c>
      <c r="B4" s="19">
        <v>34.485714285714288</v>
      </c>
      <c r="C4" s="19">
        <v>0.51428571428571423</v>
      </c>
      <c r="D4" s="19">
        <v>36.514285714285712</v>
      </c>
      <c r="E4" s="19" t="s">
        <v>373</v>
      </c>
      <c r="F4" s="19">
        <v>1</v>
      </c>
      <c r="G4" s="19" t="s">
        <v>373</v>
      </c>
      <c r="H4" s="19">
        <v>1</v>
      </c>
      <c r="I4" s="19" t="s">
        <v>373</v>
      </c>
      <c r="J4" s="19">
        <v>1</v>
      </c>
      <c r="K4" s="19" t="s">
        <v>373</v>
      </c>
      <c r="L4" s="19">
        <v>1</v>
      </c>
      <c r="M4" s="19" t="s">
        <v>373</v>
      </c>
      <c r="N4" s="19">
        <v>1</v>
      </c>
      <c r="O4" s="19" t="s">
        <v>373</v>
      </c>
      <c r="P4" s="19">
        <v>1</v>
      </c>
      <c r="Q4" s="19" t="s">
        <v>373</v>
      </c>
      <c r="R4" s="19">
        <v>1</v>
      </c>
      <c r="S4" s="19">
        <v>2</v>
      </c>
      <c r="T4" s="16">
        <v>3</v>
      </c>
      <c r="U4" s="16" t="s">
        <v>373</v>
      </c>
      <c r="V4" s="16" t="s">
        <v>373</v>
      </c>
      <c r="W4" s="16" t="s">
        <v>373</v>
      </c>
      <c r="X4" s="16" t="s">
        <v>373</v>
      </c>
      <c r="Y4" t="s">
        <v>373</v>
      </c>
      <c r="Z4" t="s">
        <v>373</v>
      </c>
      <c r="AA4" t="s">
        <v>373</v>
      </c>
      <c r="AB4">
        <v>2</v>
      </c>
    </row>
    <row r="5" spans="1:28" x14ac:dyDescent="0.25">
      <c r="A5" s="19">
        <v>0.49019607843137253</v>
      </c>
      <c r="B5" s="19">
        <v>50.490196078431374</v>
      </c>
      <c r="C5" s="19">
        <v>0.50980392156862742</v>
      </c>
      <c r="D5" s="19">
        <v>52.509803921568626</v>
      </c>
      <c r="E5" s="19" t="s">
        <v>373</v>
      </c>
      <c r="F5" s="19">
        <v>1</v>
      </c>
      <c r="G5" s="19" t="s">
        <v>373</v>
      </c>
      <c r="H5" s="19">
        <v>1</v>
      </c>
      <c r="I5" s="19" t="s">
        <v>373</v>
      </c>
      <c r="J5" s="19">
        <v>1</v>
      </c>
      <c r="K5" s="19" t="s">
        <v>373</v>
      </c>
      <c r="L5" s="19">
        <v>1</v>
      </c>
      <c r="M5" s="19" t="s">
        <v>373</v>
      </c>
      <c r="N5" s="19">
        <v>1</v>
      </c>
      <c r="O5" s="19" t="s">
        <v>373</v>
      </c>
      <c r="P5" s="19">
        <v>1</v>
      </c>
      <c r="Q5" s="19" t="s">
        <v>373</v>
      </c>
      <c r="R5" s="19">
        <v>1</v>
      </c>
      <c r="S5" s="19">
        <v>2</v>
      </c>
      <c r="T5" s="16">
        <v>3</v>
      </c>
      <c r="U5" s="16" t="s">
        <v>373</v>
      </c>
      <c r="V5" s="16" t="s">
        <v>373</v>
      </c>
      <c r="W5" s="16" t="s">
        <v>373</v>
      </c>
      <c r="X5" s="16" t="s">
        <v>373</v>
      </c>
      <c r="Y5" t="s">
        <v>373</v>
      </c>
      <c r="Z5" t="s">
        <v>373</v>
      </c>
      <c r="AA5" t="s">
        <v>373</v>
      </c>
      <c r="AB5">
        <v>2</v>
      </c>
    </row>
    <row r="6" spans="1:28" x14ac:dyDescent="0.25">
      <c r="A6" s="19">
        <v>3</v>
      </c>
      <c r="B6" s="19">
        <v>32</v>
      </c>
      <c r="C6" s="19">
        <v>0</v>
      </c>
      <c r="D6" s="19">
        <v>32</v>
      </c>
      <c r="E6" s="19" t="s">
        <v>373</v>
      </c>
      <c r="F6" s="19">
        <v>1</v>
      </c>
      <c r="G6" s="19" t="s">
        <v>373</v>
      </c>
      <c r="H6" s="19">
        <v>1</v>
      </c>
      <c r="I6" s="19" t="s">
        <v>373</v>
      </c>
      <c r="J6" s="19">
        <v>1</v>
      </c>
      <c r="K6" s="19" t="s">
        <v>373</v>
      </c>
      <c r="L6" s="19">
        <v>1</v>
      </c>
      <c r="M6" s="19" t="s">
        <v>373</v>
      </c>
      <c r="N6" s="19">
        <v>1</v>
      </c>
      <c r="O6" s="19" t="s">
        <v>373</v>
      </c>
      <c r="P6" s="19">
        <v>1</v>
      </c>
      <c r="Q6" s="19" t="s">
        <v>373</v>
      </c>
      <c r="R6" s="19">
        <v>1</v>
      </c>
      <c r="S6" s="19">
        <v>2</v>
      </c>
      <c r="T6" s="16">
        <v>3</v>
      </c>
      <c r="U6" s="16" t="s">
        <v>373</v>
      </c>
      <c r="V6" s="16" t="s">
        <v>373</v>
      </c>
      <c r="W6" s="16" t="s">
        <v>373</v>
      </c>
      <c r="X6" s="16" t="s">
        <v>373</v>
      </c>
      <c r="Y6" t="s">
        <v>373</v>
      </c>
      <c r="Z6" t="s">
        <v>373</v>
      </c>
      <c r="AA6" t="s">
        <v>373</v>
      </c>
      <c r="AB6">
        <v>2</v>
      </c>
    </row>
    <row r="7" spans="1:28" x14ac:dyDescent="0.25">
      <c r="A7" s="19">
        <v>0.50793650793650791</v>
      </c>
      <c r="B7" s="19">
        <v>32.507936507936506</v>
      </c>
      <c r="C7" s="19">
        <v>0.49206349206349204</v>
      </c>
      <c r="D7" s="19">
        <v>31.49206349206349</v>
      </c>
      <c r="E7" s="19" t="s">
        <v>373</v>
      </c>
      <c r="F7" s="19">
        <v>1</v>
      </c>
      <c r="G7" s="19" t="s">
        <v>373</v>
      </c>
      <c r="H7" s="19">
        <v>1</v>
      </c>
      <c r="I7" s="19" t="s">
        <v>373</v>
      </c>
      <c r="J7" s="19">
        <v>1</v>
      </c>
      <c r="K7" s="19" t="s">
        <v>373</v>
      </c>
      <c r="L7" s="19">
        <v>1</v>
      </c>
      <c r="M7" s="19" t="s">
        <v>373</v>
      </c>
      <c r="N7" s="19">
        <v>1</v>
      </c>
      <c r="O7" s="19" t="s">
        <v>373</v>
      </c>
      <c r="P7" s="19">
        <v>1</v>
      </c>
      <c r="Q7" s="19" t="s">
        <v>373</v>
      </c>
      <c r="R7" s="19">
        <v>1</v>
      </c>
      <c r="S7" s="19">
        <v>2</v>
      </c>
      <c r="T7" s="16">
        <v>8</v>
      </c>
      <c r="U7" s="16" t="s">
        <v>373</v>
      </c>
      <c r="V7" s="16" t="s">
        <v>373</v>
      </c>
      <c r="W7" s="16" t="s">
        <v>373</v>
      </c>
      <c r="X7" s="16" t="s">
        <v>373</v>
      </c>
      <c r="Y7" t="s">
        <v>373</v>
      </c>
      <c r="Z7" t="s">
        <v>373</v>
      </c>
      <c r="AA7" t="s">
        <v>373</v>
      </c>
      <c r="AB7">
        <v>2</v>
      </c>
    </row>
    <row r="8" spans="1:28" x14ac:dyDescent="0.25">
      <c r="A8" s="19">
        <v>2</v>
      </c>
      <c r="B8" s="19">
        <v>35</v>
      </c>
      <c r="C8" s="19">
        <v>3</v>
      </c>
      <c r="D8" s="19">
        <v>35</v>
      </c>
      <c r="E8" s="19" t="s">
        <v>373</v>
      </c>
      <c r="F8" s="19">
        <v>1</v>
      </c>
      <c r="G8" s="19" t="s">
        <v>373</v>
      </c>
      <c r="H8" s="19">
        <v>1</v>
      </c>
      <c r="I8" s="19" t="s">
        <v>373</v>
      </c>
      <c r="J8" s="19">
        <v>1</v>
      </c>
      <c r="K8" s="19" t="s">
        <v>373</v>
      </c>
      <c r="L8" s="19">
        <v>1</v>
      </c>
      <c r="M8" s="19" t="s">
        <v>373</v>
      </c>
      <c r="N8" s="19">
        <v>1</v>
      </c>
      <c r="O8" s="19" t="s">
        <v>373</v>
      </c>
      <c r="P8" s="19">
        <v>1</v>
      </c>
      <c r="Q8" s="19" t="s">
        <v>373</v>
      </c>
      <c r="R8" s="19">
        <v>1</v>
      </c>
      <c r="S8" s="19">
        <v>2</v>
      </c>
      <c r="T8" s="16">
        <v>5</v>
      </c>
      <c r="U8" s="16" t="s">
        <v>373</v>
      </c>
      <c r="V8" s="16" t="s">
        <v>373</v>
      </c>
      <c r="W8" s="16" t="s">
        <v>373</v>
      </c>
      <c r="X8" s="16" t="s">
        <v>373</v>
      </c>
      <c r="Y8" t="s">
        <v>373</v>
      </c>
      <c r="Z8" t="s">
        <v>373</v>
      </c>
      <c r="AA8" t="s">
        <v>373</v>
      </c>
      <c r="AB8">
        <v>2</v>
      </c>
    </row>
    <row r="9" spans="1:28" x14ac:dyDescent="0.25">
      <c r="A9" s="19">
        <v>0.5</v>
      </c>
      <c r="B9" s="19">
        <v>18.5</v>
      </c>
      <c r="C9" s="19">
        <v>0.5</v>
      </c>
      <c r="D9" s="19">
        <v>18.5</v>
      </c>
      <c r="E9" s="19" t="s">
        <v>373</v>
      </c>
      <c r="F9" s="19">
        <v>1</v>
      </c>
      <c r="G9" s="19" t="s">
        <v>373</v>
      </c>
      <c r="H9" s="19">
        <v>1</v>
      </c>
      <c r="I9" s="19" t="s">
        <v>373</v>
      </c>
      <c r="J9" s="19">
        <v>1</v>
      </c>
      <c r="K9" s="19" t="s">
        <v>373</v>
      </c>
      <c r="L9" s="19">
        <v>1</v>
      </c>
      <c r="M9" s="19" t="s">
        <v>373</v>
      </c>
      <c r="N9" s="19">
        <v>1</v>
      </c>
      <c r="O9" s="19" t="s">
        <v>373</v>
      </c>
      <c r="P9" s="19">
        <v>1</v>
      </c>
      <c r="Q9" s="19" t="s">
        <v>373</v>
      </c>
      <c r="R9" s="19">
        <v>1</v>
      </c>
      <c r="S9" s="19">
        <v>3</v>
      </c>
      <c r="T9" s="16">
        <v>9</v>
      </c>
      <c r="U9" s="16" t="s">
        <v>373</v>
      </c>
      <c r="V9" s="16" t="s">
        <v>373</v>
      </c>
      <c r="W9" s="16" t="s">
        <v>373</v>
      </c>
      <c r="X9" s="16" t="s">
        <v>373</v>
      </c>
      <c r="Y9" t="s">
        <v>373</v>
      </c>
      <c r="Z9" t="s">
        <v>373</v>
      </c>
      <c r="AA9" t="s">
        <v>373</v>
      </c>
      <c r="AB9">
        <v>2</v>
      </c>
    </row>
    <row r="10" spans="1:28" x14ac:dyDescent="0.25">
      <c r="A10" s="19">
        <v>1</v>
      </c>
      <c r="B10" s="19">
        <v>50</v>
      </c>
      <c r="C10" s="19">
        <v>1</v>
      </c>
      <c r="D10" s="19">
        <v>55</v>
      </c>
      <c r="E10" s="19" t="s">
        <v>373</v>
      </c>
      <c r="F10" s="19">
        <v>1</v>
      </c>
      <c r="G10" s="19" t="s">
        <v>373</v>
      </c>
      <c r="H10" s="19">
        <v>1</v>
      </c>
      <c r="I10" s="19" t="s">
        <v>373</v>
      </c>
      <c r="J10" s="19">
        <v>1</v>
      </c>
      <c r="K10" s="19" t="s">
        <v>373</v>
      </c>
      <c r="L10" s="19">
        <v>1</v>
      </c>
      <c r="M10" s="19" t="s">
        <v>373</v>
      </c>
      <c r="N10" s="19">
        <v>1</v>
      </c>
      <c r="O10" s="19" t="s">
        <v>373</v>
      </c>
      <c r="P10" s="19">
        <v>1</v>
      </c>
      <c r="Q10" s="19" t="s">
        <v>373</v>
      </c>
      <c r="R10" s="19">
        <v>1</v>
      </c>
      <c r="S10" s="19">
        <v>1</v>
      </c>
      <c r="T10" s="16">
        <v>9</v>
      </c>
      <c r="U10" s="16" t="s">
        <v>373</v>
      </c>
      <c r="V10" s="16" t="s">
        <v>373</v>
      </c>
      <c r="W10" s="16" t="s">
        <v>373</v>
      </c>
      <c r="X10" s="16" t="s">
        <v>373</v>
      </c>
      <c r="Y10" t="s">
        <v>373</v>
      </c>
      <c r="Z10" t="s">
        <v>373</v>
      </c>
      <c r="AA10" t="s">
        <v>373</v>
      </c>
      <c r="AB10">
        <v>2</v>
      </c>
    </row>
    <row r="11" spans="1:28" x14ac:dyDescent="0.25">
      <c r="A11" s="19">
        <v>12</v>
      </c>
      <c r="B11" s="19">
        <v>81</v>
      </c>
      <c r="C11" s="19">
        <v>1</v>
      </c>
      <c r="D11" s="19">
        <v>94</v>
      </c>
      <c r="E11" s="19" t="s">
        <v>373</v>
      </c>
      <c r="F11" s="19">
        <v>1</v>
      </c>
      <c r="G11" s="19" t="s">
        <v>373</v>
      </c>
      <c r="H11" s="19">
        <v>1</v>
      </c>
      <c r="I11" s="19" t="s">
        <v>373</v>
      </c>
      <c r="J11" s="19">
        <v>1</v>
      </c>
      <c r="K11" s="19" t="s">
        <v>373</v>
      </c>
      <c r="L11" s="19">
        <v>1</v>
      </c>
      <c r="M11" s="19" t="s">
        <v>373</v>
      </c>
      <c r="N11" s="19">
        <v>1</v>
      </c>
      <c r="O11" s="19" t="s">
        <v>373</v>
      </c>
      <c r="P11" s="19">
        <v>1</v>
      </c>
      <c r="Q11" s="19" t="s">
        <v>373</v>
      </c>
      <c r="R11" s="19">
        <v>1</v>
      </c>
      <c r="S11" s="19">
        <v>1</v>
      </c>
      <c r="T11" s="16">
        <v>2</v>
      </c>
      <c r="U11" s="16" t="s">
        <v>373</v>
      </c>
      <c r="V11" s="16" t="s">
        <v>373</v>
      </c>
      <c r="W11" s="16" t="s">
        <v>373</v>
      </c>
      <c r="X11" s="16" t="s">
        <v>373</v>
      </c>
      <c r="Y11" t="s">
        <v>373</v>
      </c>
      <c r="Z11" t="s">
        <v>373</v>
      </c>
      <c r="AA11" t="s">
        <v>373</v>
      </c>
      <c r="AB11">
        <v>2</v>
      </c>
    </row>
    <row r="12" spans="1:28" x14ac:dyDescent="0.25">
      <c r="A12" s="19">
        <v>2.5045045045045047</v>
      </c>
      <c r="B12" s="19">
        <v>56.504504504504503</v>
      </c>
      <c r="C12" s="19">
        <v>0.49549549549549549</v>
      </c>
      <c r="D12" s="19">
        <v>55.495495495495497</v>
      </c>
      <c r="E12" s="19" t="s">
        <v>373</v>
      </c>
      <c r="F12" s="19">
        <v>1</v>
      </c>
      <c r="G12" s="19" t="s">
        <v>373</v>
      </c>
      <c r="H12" s="19">
        <v>1</v>
      </c>
      <c r="I12" s="19" t="s">
        <v>373</v>
      </c>
      <c r="J12" s="19">
        <v>1</v>
      </c>
      <c r="K12" s="19" t="s">
        <v>373</v>
      </c>
      <c r="L12" s="19">
        <v>1</v>
      </c>
      <c r="M12" s="19" t="s">
        <v>373</v>
      </c>
      <c r="N12" s="19">
        <v>1</v>
      </c>
      <c r="O12" s="19" t="s">
        <v>373</v>
      </c>
      <c r="P12" s="19">
        <v>1</v>
      </c>
      <c r="Q12" s="19" t="s">
        <v>373</v>
      </c>
      <c r="R12" s="19">
        <v>1</v>
      </c>
      <c r="S12" s="19">
        <v>2</v>
      </c>
      <c r="T12" s="16">
        <v>7</v>
      </c>
      <c r="U12" s="16" t="s">
        <v>373</v>
      </c>
      <c r="V12" s="16" t="s">
        <v>373</v>
      </c>
      <c r="W12" s="16" t="s">
        <v>373</v>
      </c>
      <c r="X12" s="16" t="s">
        <v>373</v>
      </c>
      <c r="Y12" t="s">
        <v>373</v>
      </c>
      <c r="Z12" t="s">
        <v>373</v>
      </c>
      <c r="AA12" t="s">
        <v>373</v>
      </c>
      <c r="AB12">
        <v>2</v>
      </c>
    </row>
    <row r="13" spans="1:28" x14ac:dyDescent="0.25">
      <c r="A13" s="19">
        <v>21</v>
      </c>
      <c r="B13" s="19">
        <v>69</v>
      </c>
      <c r="C13" s="19">
        <v>6</v>
      </c>
      <c r="D13" s="19">
        <v>71</v>
      </c>
      <c r="E13" s="19" t="s">
        <v>373</v>
      </c>
      <c r="F13" s="19">
        <v>1</v>
      </c>
      <c r="G13" s="19" t="s">
        <v>373</v>
      </c>
      <c r="H13" s="19">
        <v>1</v>
      </c>
      <c r="I13" s="19" t="s">
        <v>373</v>
      </c>
      <c r="J13" s="19">
        <v>1</v>
      </c>
      <c r="K13" s="19" t="s">
        <v>373</v>
      </c>
      <c r="L13" s="19">
        <v>1</v>
      </c>
      <c r="M13" s="19" t="s">
        <v>373</v>
      </c>
      <c r="N13" s="19">
        <v>1</v>
      </c>
      <c r="O13" s="19" t="s">
        <v>373</v>
      </c>
      <c r="P13" s="19">
        <v>1</v>
      </c>
      <c r="Q13" s="19" t="s">
        <v>373</v>
      </c>
      <c r="R13" s="19">
        <v>1</v>
      </c>
      <c r="S13" s="19">
        <v>1</v>
      </c>
      <c r="T13" s="16">
        <v>9</v>
      </c>
      <c r="U13" s="16" t="s">
        <v>373</v>
      </c>
      <c r="V13" s="16" t="s">
        <v>373</v>
      </c>
      <c r="W13" s="16" t="s">
        <v>373</v>
      </c>
      <c r="X13" s="16" t="s">
        <v>373</v>
      </c>
      <c r="Y13" t="s">
        <v>373</v>
      </c>
      <c r="Z13" t="s">
        <v>373</v>
      </c>
      <c r="AA13" t="s">
        <v>373</v>
      </c>
      <c r="AB13">
        <v>2</v>
      </c>
    </row>
    <row r="14" spans="1:28" x14ac:dyDescent="0.25">
      <c r="A14" s="19">
        <v>0</v>
      </c>
      <c r="B14" s="19">
        <v>8</v>
      </c>
      <c r="C14" s="19">
        <v>1</v>
      </c>
      <c r="D14" s="19">
        <v>8</v>
      </c>
      <c r="E14" s="19" t="s">
        <v>373</v>
      </c>
      <c r="F14" s="19">
        <v>1</v>
      </c>
      <c r="G14" s="19" t="s">
        <v>373</v>
      </c>
      <c r="H14" s="19">
        <v>1</v>
      </c>
      <c r="I14" s="19" t="s">
        <v>373</v>
      </c>
      <c r="J14" s="19">
        <v>1</v>
      </c>
      <c r="K14" s="19" t="s">
        <v>373</v>
      </c>
      <c r="L14" s="19">
        <v>1</v>
      </c>
      <c r="M14" s="19" t="s">
        <v>373</v>
      </c>
      <c r="N14" s="19">
        <v>1</v>
      </c>
      <c r="O14" s="19" t="s">
        <v>373</v>
      </c>
      <c r="P14" s="19">
        <v>1</v>
      </c>
      <c r="Q14" s="19" t="s">
        <v>373</v>
      </c>
      <c r="R14" s="19">
        <v>1</v>
      </c>
      <c r="S14" s="19">
        <v>1</v>
      </c>
      <c r="T14" s="16">
        <v>2</v>
      </c>
      <c r="U14" s="16" t="s">
        <v>373</v>
      </c>
      <c r="V14" s="16" t="s">
        <v>373</v>
      </c>
      <c r="W14" s="16" t="s">
        <v>373</v>
      </c>
      <c r="X14" s="16" t="s">
        <v>373</v>
      </c>
      <c r="Y14" t="s">
        <v>373</v>
      </c>
      <c r="Z14" t="s">
        <v>373</v>
      </c>
      <c r="AA14" t="s">
        <v>373</v>
      </c>
      <c r="AB14">
        <v>2</v>
      </c>
    </row>
    <row r="15" spans="1:28" x14ac:dyDescent="0.25">
      <c r="A15" s="19">
        <v>0.5</v>
      </c>
      <c r="B15" s="19">
        <v>40.5</v>
      </c>
      <c r="C15" s="19">
        <v>0.5</v>
      </c>
      <c r="D15" s="19">
        <v>40.5</v>
      </c>
      <c r="E15" s="19" t="s">
        <v>373</v>
      </c>
      <c r="F15" s="19">
        <v>1</v>
      </c>
      <c r="G15" s="19" t="s">
        <v>373</v>
      </c>
      <c r="H15" s="19">
        <v>1</v>
      </c>
      <c r="I15" s="19" t="s">
        <v>373</v>
      </c>
      <c r="J15" s="19">
        <v>1</v>
      </c>
      <c r="K15" s="19" t="s">
        <v>373</v>
      </c>
      <c r="L15" s="19">
        <v>1</v>
      </c>
      <c r="M15" s="19" t="s">
        <v>373</v>
      </c>
      <c r="N15" s="19">
        <v>1</v>
      </c>
      <c r="O15" s="19" t="s">
        <v>373</v>
      </c>
      <c r="P15" s="19">
        <v>1</v>
      </c>
      <c r="Q15" s="19" t="s">
        <v>373</v>
      </c>
      <c r="R15" s="19">
        <v>1</v>
      </c>
      <c r="S15" s="19">
        <v>3</v>
      </c>
      <c r="T15" s="16">
        <v>4</v>
      </c>
      <c r="U15" s="16" t="s">
        <v>373</v>
      </c>
      <c r="V15" s="16" t="s">
        <v>373</v>
      </c>
      <c r="W15" s="16" t="s">
        <v>373</v>
      </c>
      <c r="X15" s="16" t="s">
        <v>373</v>
      </c>
      <c r="Y15" t="s">
        <v>373</v>
      </c>
      <c r="Z15" t="s">
        <v>373</v>
      </c>
      <c r="AA15" t="s">
        <v>373</v>
      </c>
      <c r="AB15">
        <v>2</v>
      </c>
    </row>
    <row r="16" spans="1:28" x14ac:dyDescent="0.25">
      <c r="A16" s="19">
        <v>8</v>
      </c>
      <c r="B16" s="19">
        <v>20</v>
      </c>
      <c r="C16" s="19">
        <v>1</v>
      </c>
      <c r="D16" s="19">
        <v>20</v>
      </c>
      <c r="E16" s="19" t="s">
        <v>373</v>
      </c>
      <c r="F16" s="19">
        <v>1</v>
      </c>
      <c r="G16" s="19" t="s">
        <v>373</v>
      </c>
      <c r="H16" s="19">
        <v>1</v>
      </c>
      <c r="I16" s="19" t="s">
        <v>373</v>
      </c>
      <c r="J16" s="19">
        <v>1</v>
      </c>
      <c r="K16" s="19" t="s">
        <v>373</v>
      </c>
      <c r="L16" s="19">
        <v>1</v>
      </c>
      <c r="M16" s="19" t="s">
        <v>373</v>
      </c>
      <c r="N16" s="19">
        <v>1</v>
      </c>
      <c r="O16" s="19" t="s">
        <v>373</v>
      </c>
      <c r="P16" s="19">
        <v>1</v>
      </c>
      <c r="Q16" s="19" t="s">
        <v>373</v>
      </c>
      <c r="R16" s="19">
        <v>1</v>
      </c>
      <c r="S16" s="19">
        <v>1</v>
      </c>
      <c r="T16" s="16">
        <v>2</v>
      </c>
      <c r="U16" s="16" t="s">
        <v>373</v>
      </c>
      <c r="V16" s="16" t="s">
        <v>373</v>
      </c>
      <c r="W16" s="16" t="s">
        <v>373</v>
      </c>
      <c r="X16" s="16" t="s">
        <v>373</v>
      </c>
      <c r="Y16" t="s">
        <v>373</v>
      </c>
      <c r="Z16" t="s">
        <v>373</v>
      </c>
      <c r="AA16" t="s">
        <v>373</v>
      </c>
      <c r="AB16">
        <v>2</v>
      </c>
    </row>
    <row r="17" spans="1:28" x14ac:dyDescent="0.25">
      <c r="A17" s="19">
        <v>14</v>
      </c>
      <c r="B17" s="19">
        <v>64</v>
      </c>
      <c r="C17" s="19">
        <v>3</v>
      </c>
      <c r="D17" s="19">
        <v>63</v>
      </c>
      <c r="E17" s="19" t="s">
        <v>373</v>
      </c>
      <c r="F17" s="19">
        <v>1</v>
      </c>
      <c r="G17" s="19" t="s">
        <v>373</v>
      </c>
      <c r="H17" s="19">
        <v>1</v>
      </c>
      <c r="I17" s="19" t="s">
        <v>373</v>
      </c>
      <c r="J17" s="19">
        <v>1</v>
      </c>
      <c r="K17" s="19" t="s">
        <v>373</v>
      </c>
      <c r="L17" s="19">
        <v>1</v>
      </c>
      <c r="M17" s="19" t="s">
        <v>373</v>
      </c>
      <c r="N17" s="19">
        <v>1</v>
      </c>
      <c r="O17" s="19" t="s">
        <v>373</v>
      </c>
      <c r="P17" s="19">
        <v>1</v>
      </c>
      <c r="Q17" s="19" t="s">
        <v>373</v>
      </c>
      <c r="R17" s="19">
        <v>1</v>
      </c>
      <c r="S17" s="19">
        <v>1</v>
      </c>
      <c r="T17" s="16">
        <v>9</v>
      </c>
      <c r="U17" s="16" t="s">
        <v>373</v>
      </c>
      <c r="V17" s="16" t="s">
        <v>373</v>
      </c>
      <c r="W17" s="16" t="s">
        <v>373</v>
      </c>
      <c r="X17" s="16" t="s">
        <v>373</v>
      </c>
      <c r="Y17" t="s">
        <v>373</v>
      </c>
      <c r="Z17" t="s">
        <v>373</v>
      </c>
      <c r="AA17" t="s">
        <v>373</v>
      </c>
      <c r="AB17">
        <v>2</v>
      </c>
    </row>
    <row r="18" spans="1:28" x14ac:dyDescent="0.25">
      <c r="A18" s="19">
        <v>1</v>
      </c>
      <c r="B18" s="19">
        <v>15</v>
      </c>
      <c r="C18" s="19">
        <v>0</v>
      </c>
      <c r="D18" s="19">
        <v>18</v>
      </c>
      <c r="E18" s="19" t="s">
        <v>373</v>
      </c>
      <c r="F18" s="19">
        <v>1</v>
      </c>
      <c r="G18" s="19" t="s">
        <v>373</v>
      </c>
      <c r="H18" s="19">
        <v>1</v>
      </c>
      <c r="I18" s="19" t="s">
        <v>373</v>
      </c>
      <c r="J18" s="19">
        <v>1</v>
      </c>
      <c r="K18" s="19" t="s">
        <v>373</v>
      </c>
      <c r="L18" s="19">
        <v>1</v>
      </c>
      <c r="M18" s="19" t="s">
        <v>373</v>
      </c>
      <c r="N18" s="19">
        <v>1</v>
      </c>
      <c r="O18" s="19" t="s">
        <v>373</v>
      </c>
      <c r="P18" s="19">
        <v>1</v>
      </c>
      <c r="Q18" s="19" t="s">
        <v>373</v>
      </c>
      <c r="R18" s="19">
        <v>1</v>
      </c>
      <c r="S18" s="19">
        <v>1</v>
      </c>
      <c r="T18" s="16">
        <v>2</v>
      </c>
      <c r="U18" s="16" t="s">
        <v>373</v>
      </c>
      <c r="V18" s="16" t="s">
        <v>373</v>
      </c>
      <c r="W18" s="16" t="s">
        <v>373</v>
      </c>
      <c r="X18" s="16" t="s">
        <v>373</v>
      </c>
      <c r="Y18" t="s">
        <v>373</v>
      </c>
      <c r="Z18" t="s">
        <v>373</v>
      </c>
      <c r="AA18" t="s">
        <v>373</v>
      </c>
      <c r="AB18">
        <v>2</v>
      </c>
    </row>
    <row r="19" spans="1:28" x14ac:dyDescent="0.25">
      <c r="A19" s="19">
        <v>0.47058823529411764</v>
      </c>
      <c r="B19" s="19">
        <v>32.470588235294116</v>
      </c>
      <c r="C19" s="19">
        <v>0.52941176470588236</v>
      </c>
      <c r="D19" s="19">
        <v>36.529411764705884</v>
      </c>
      <c r="E19" s="19" t="s">
        <v>373</v>
      </c>
      <c r="F19" s="19">
        <v>1</v>
      </c>
      <c r="G19" s="19" t="s">
        <v>373</v>
      </c>
      <c r="H19" s="19">
        <v>1</v>
      </c>
      <c r="I19" s="19" t="s">
        <v>373</v>
      </c>
      <c r="J19" s="19">
        <v>1</v>
      </c>
      <c r="K19" s="19" t="s">
        <v>373</v>
      </c>
      <c r="L19" s="19">
        <v>1</v>
      </c>
      <c r="M19" s="19" t="s">
        <v>373</v>
      </c>
      <c r="N19" s="19">
        <v>1</v>
      </c>
      <c r="O19" s="19" t="s">
        <v>373</v>
      </c>
      <c r="P19" s="19">
        <v>1</v>
      </c>
      <c r="Q19" s="19" t="s">
        <v>373</v>
      </c>
      <c r="R19" s="19">
        <v>1</v>
      </c>
      <c r="S19" s="19">
        <v>2</v>
      </c>
      <c r="T19" s="16">
        <v>3</v>
      </c>
      <c r="U19" s="16" t="s">
        <v>373</v>
      </c>
      <c r="V19" s="16" t="s">
        <v>373</v>
      </c>
      <c r="W19" s="16" t="s">
        <v>373</v>
      </c>
      <c r="X19" s="16" t="s">
        <v>373</v>
      </c>
      <c r="Y19" t="s">
        <v>373</v>
      </c>
      <c r="Z19" t="s">
        <v>373</v>
      </c>
      <c r="AA19" t="s">
        <v>373</v>
      </c>
      <c r="AB19">
        <v>2</v>
      </c>
    </row>
    <row r="20" spans="1:28" x14ac:dyDescent="0.25">
      <c r="A20" s="19">
        <v>0</v>
      </c>
      <c r="B20" s="19">
        <v>30</v>
      </c>
      <c r="C20" s="19">
        <v>1</v>
      </c>
      <c r="D20" s="19">
        <v>30</v>
      </c>
      <c r="E20" s="19" t="s">
        <v>373</v>
      </c>
      <c r="F20" s="19">
        <v>1</v>
      </c>
      <c r="G20" s="19" t="s">
        <v>373</v>
      </c>
      <c r="H20" s="19">
        <v>1</v>
      </c>
      <c r="I20" s="19" t="s">
        <v>373</v>
      </c>
      <c r="J20" s="19">
        <v>1</v>
      </c>
      <c r="K20" s="19" t="s">
        <v>373</v>
      </c>
      <c r="L20" s="19">
        <v>1</v>
      </c>
      <c r="M20" s="19" t="s">
        <v>373</v>
      </c>
      <c r="N20" s="19">
        <v>1</v>
      </c>
      <c r="O20" s="19" t="s">
        <v>373</v>
      </c>
      <c r="P20" s="19">
        <v>1</v>
      </c>
      <c r="Q20" s="19" t="s">
        <v>373</v>
      </c>
      <c r="R20" s="19">
        <v>1</v>
      </c>
      <c r="S20" s="19">
        <v>3</v>
      </c>
      <c r="T20" s="16">
        <v>6</v>
      </c>
      <c r="U20" s="16" t="s">
        <v>373</v>
      </c>
      <c r="V20" s="16" t="s">
        <v>373</v>
      </c>
      <c r="W20" s="16" t="s">
        <v>373</v>
      </c>
      <c r="X20" s="16" t="s">
        <v>373</v>
      </c>
      <c r="Y20" t="s">
        <v>373</v>
      </c>
      <c r="Z20" t="s">
        <v>373</v>
      </c>
      <c r="AA20" t="s">
        <v>373</v>
      </c>
      <c r="AB20">
        <v>2</v>
      </c>
    </row>
    <row r="21" spans="1:28" x14ac:dyDescent="0.25">
      <c r="A21" s="19">
        <v>2</v>
      </c>
      <c r="B21" s="19">
        <v>62</v>
      </c>
      <c r="C21" s="19">
        <v>0</v>
      </c>
      <c r="D21" s="19">
        <v>59</v>
      </c>
      <c r="E21" s="19" t="s">
        <v>373</v>
      </c>
      <c r="F21" s="19">
        <v>1</v>
      </c>
      <c r="G21" s="19" t="s">
        <v>373</v>
      </c>
      <c r="H21" s="19">
        <v>1</v>
      </c>
      <c r="I21" s="19" t="s">
        <v>373</v>
      </c>
      <c r="J21" s="19">
        <v>1</v>
      </c>
      <c r="K21" s="19" t="s">
        <v>373</v>
      </c>
      <c r="L21" s="19">
        <v>1</v>
      </c>
      <c r="M21" s="19" t="s">
        <v>373</v>
      </c>
      <c r="N21" s="19">
        <v>1</v>
      </c>
      <c r="O21" s="19" t="s">
        <v>373</v>
      </c>
      <c r="P21" s="19">
        <v>1</v>
      </c>
      <c r="Q21" s="19" t="s">
        <v>373</v>
      </c>
      <c r="R21" s="19">
        <v>1</v>
      </c>
      <c r="S21" s="19">
        <v>1</v>
      </c>
      <c r="T21" s="16">
        <v>9</v>
      </c>
      <c r="U21" s="16" t="s">
        <v>373</v>
      </c>
      <c r="V21" s="16" t="s">
        <v>373</v>
      </c>
      <c r="W21" s="16" t="s">
        <v>373</v>
      </c>
      <c r="X21" s="16" t="s">
        <v>373</v>
      </c>
      <c r="Y21" t="s">
        <v>373</v>
      </c>
      <c r="Z21" t="s">
        <v>373</v>
      </c>
      <c r="AA21" t="s">
        <v>373</v>
      </c>
      <c r="AB21">
        <v>2</v>
      </c>
    </row>
    <row r="22" spans="1:28" x14ac:dyDescent="0.25">
      <c r="A22" s="19">
        <v>26</v>
      </c>
      <c r="B22" s="19">
        <v>46</v>
      </c>
      <c r="C22" s="19">
        <v>12</v>
      </c>
      <c r="D22" s="19">
        <v>47</v>
      </c>
      <c r="E22" s="19" t="s">
        <v>373</v>
      </c>
      <c r="F22" s="19">
        <v>1</v>
      </c>
      <c r="G22" s="19" t="s">
        <v>373</v>
      </c>
      <c r="H22" s="19">
        <v>1</v>
      </c>
      <c r="I22" s="19" t="s">
        <v>373</v>
      </c>
      <c r="J22" s="19">
        <v>1</v>
      </c>
      <c r="K22" s="19" t="s">
        <v>373</v>
      </c>
      <c r="L22" s="19">
        <v>1</v>
      </c>
      <c r="M22" s="19" t="s">
        <v>373</v>
      </c>
      <c r="N22" s="19">
        <v>1</v>
      </c>
      <c r="O22" s="19" t="s">
        <v>373</v>
      </c>
      <c r="P22" s="19">
        <v>1</v>
      </c>
      <c r="Q22" s="19" t="s">
        <v>373</v>
      </c>
      <c r="R22" s="19">
        <v>1</v>
      </c>
      <c r="S22" s="19">
        <v>1</v>
      </c>
      <c r="T22" s="16">
        <v>9</v>
      </c>
      <c r="U22" s="16" t="s">
        <v>373</v>
      </c>
      <c r="V22" s="16" t="s">
        <v>373</v>
      </c>
      <c r="W22" s="16" t="s">
        <v>373</v>
      </c>
      <c r="X22" s="16" t="s">
        <v>373</v>
      </c>
      <c r="Y22" t="s">
        <v>373</v>
      </c>
      <c r="Z22" t="s">
        <v>373</v>
      </c>
      <c r="AA22" t="s">
        <v>373</v>
      </c>
      <c r="AB22">
        <v>2</v>
      </c>
    </row>
    <row r="23" spans="1:28" x14ac:dyDescent="0.25">
      <c r="A23" s="19">
        <v>9</v>
      </c>
      <c r="B23" s="19">
        <v>59</v>
      </c>
      <c r="C23" s="19">
        <v>4</v>
      </c>
      <c r="D23" s="19">
        <v>60</v>
      </c>
      <c r="E23" s="19" t="s">
        <v>373</v>
      </c>
      <c r="F23" s="19">
        <v>1</v>
      </c>
      <c r="G23" s="19" t="s">
        <v>373</v>
      </c>
      <c r="H23" s="19">
        <v>1</v>
      </c>
      <c r="I23" s="19" t="s">
        <v>373</v>
      </c>
      <c r="J23" s="19">
        <v>1</v>
      </c>
      <c r="K23" s="19" t="s">
        <v>373</v>
      </c>
      <c r="L23" s="19">
        <v>1</v>
      </c>
      <c r="M23" s="19" t="s">
        <v>373</v>
      </c>
      <c r="N23" s="19">
        <v>1</v>
      </c>
      <c r="O23" s="19" t="s">
        <v>373</v>
      </c>
      <c r="P23" s="19">
        <v>1</v>
      </c>
      <c r="Q23" s="19" t="s">
        <v>373</v>
      </c>
      <c r="R23" s="19">
        <v>1</v>
      </c>
      <c r="S23" s="19">
        <v>1</v>
      </c>
      <c r="T23" s="16">
        <v>2</v>
      </c>
      <c r="U23" s="16" t="s">
        <v>373</v>
      </c>
      <c r="V23" s="16" t="s">
        <v>373</v>
      </c>
      <c r="W23" s="16" t="s">
        <v>373</v>
      </c>
      <c r="X23" s="16" t="s">
        <v>373</v>
      </c>
      <c r="Y23" t="s">
        <v>373</v>
      </c>
      <c r="Z23" t="s">
        <v>373</v>
      </c>
      <c r="AA23" t="s">
        <v>373</v>
      </c>
      <c r="AB23">
        <v>2</v>
      </c>
    </row>
    <row r="24" spans="1:28" x14ac:dyDescent="0.25">
      <c r="A24" s="19">
        <v>4</v>
      </c>
      <c r="B24" s="19">
        <v>31</v>
      </c>
      <c r="C24" s="19">
        <v>1</v>
      </c>
      <c r="D24" s="19">
        <v>30</v>
      </c>
      <c r="E24" s="19" t="s">
        <v>373</v>
      </c>
      <c r="F24" s="19">
        <v>1</v>
      </c>
      <c r="G24" s="19" t="s">
        <v>373</v>
      </c>
      <c r="H24" s="19">
        <v>1</v>
      </c>
      <c r="I24" s="19" t="s">
        <v>373</v>
      </c>
      <c r="J24" s="19">
        <v>1</v>
      </c>
      <c r="K24" s="19" t="s">
        <v>373</v>
      </c>
      <c r="L24" s="19">
        <v>1</v>
      </c>
      <c r="M24" s="19" t="s">
        <v>373</v>
      </c>
      <c r="N24" s="19">
        <v>1</v>
      </c>
      <c r="O24" s="19" t="s">
        <v>373</v>
      </c>
      <c r="P24" s="19">
        <v>1</v>
      </c>
      <c r="Q24" s="19" t="s">
        <v>373</v>
      </c>
      <c r="R24" s="19">
        <v>1</v>
      </c>
      <c r="S24" s="19">
        <v>1</v>
      </c>
      <c r="T24" s="16">
        <v>9</v>
      </c>
      <c r="U24" s="16" t="s">
        <v>373</v>
      </c>
      <c r="V24" s="16" t="s">
        <v>373</v>
      </c>
      <c r="W24" s="16" t="s">
        <v>373</v>
      </c>
      <c r="X24" s="16" t="s">
        <v>373</v>
      </c>
      <c r="Y24" t="s">
        <v>373</v>
      </c>
      <c r="Z24" t="s">
        <v>373</v>
      </c>
      <c r="AA24" t="s">
        <v>373</v>
      </c>
      <c r="AB24">
        <v>2</v>
      </c>
    </row>
    <row r="25" spans="1:28" x14ac:dyDescent="0.25">
      <c r="A25" s="19">
        <v>14</v>
      </c>
      <c r="B25" s="19">
        <v>74</v>
      </c>
      <c r="C25" s="19">
        <v>5</v>
      </c>
      <c r="D25" s="19">
        <v>74</v>
      </c>
      <c r="E25" s="19" t="s">
        <v>373</v>
      </c>
      <c r="F25" s="19">
        <v>1</v>
      </c>
      <c r="G25" s="19" t="s">
        <v>373</v>
      </c>
      <c r="H25" s="19">
        <v>1</v>
      </c>
      <c r="I25" s="19" t="s">
        <v>373</v>
      </c>
      <c r="J25" s="19">
        <v>1</v>
      </c>
      <c r="K25" s="19" t="s">
        <v>373</v>
      </c>
      <c r="L25" s="19">
        <v>1</v>
      </c>
      <c r="M25" s="19" t="s">
        <v>373</v>
      </c>
      <c r="N25" s="19">
        <v>1</v>
      </c>
      <c r="O25" s="19" t="s">
        <v>373</v>
      </c>
      <c r="P25" s="19">
        <v>1</v>
      </c>
      <c r="Q25" s="19" t="s">
        <v>373</v>
      </c>
      <c r="R25" s="19">
        <v>1</v>
      </c>
      <c r="S25" s="19">
        <v>1</v>
      </c>
      <c r="T25" s="16">
        <v>2</v>
      </c>
      <c r="U25" s="16" t="s">
        <v>373</v>
      </c>
      <c r="V25" s="16" t="s">
        <v>373</v>
      </c>
      <c r="W25" s="16" t="s">
        <v>373</v>
      </c>
      <c r="X25" s="16" t="s">
        <v>373</v>
      </c>
      <c r="Y25" t="s">
        <v>373</v>
      </c>
      <c r="Z25" t="s">
        <v>373</v>
      </c>
      <c r="AA25" t="s">
        <v>373</v>
      </c>
      <c r="AB25">
        <v>2</v>
      </c>
    </row>
    <row r="26" spans="1:28" x14ac:dyDescent="0.25">
      <c r="A26" s="19">
        <v>1</v>
      </c>
      <c r="B26" s="19">
        <v>24</v>
      </c>
      <c r="C26" s="19">
        <v>0</v>
      </c>
      <c r="D26" s="19">
        <v>23</v>
      </c>
      <c r="E26" s="19" t="s">
        <v>373</v>
      </c>
      <c r="F26" s="19">
        <v>1</v>
      </c>
      <c r="G26" s="19" t="s">
        <v>373</v>
      </c>
      <c r="H26" s="19">
        <v>1</v>
      </c>
      <c r="I26" s="19" t="s">
        <v>373</v>
      </c>
      <c r="J26" s="19">
        <v>1</v>
      </c>
      <c r="K26" s="19" t="s">
        <v>373</v>
      </c>
      <c r="L26" s="19">
        <v>1</v>
      </c>
      <c r="M26" s="19" t="s">
        <v>373</v>
      </c>
      <c r="N26" s="19">
        <v>1</v>
      </c>
      <c r="O26" s="19" t="s">
        <v>373</v>
      </c>
      <c r="P26" s="19">
        <v>1</v>
      </c>
      <c r="Q26" s="19" t="s">
        <v>373</v>
      </c>
      <c r="R26" s="19">
        <v>1</v>
      </c>
      <c r="S26" s="19">
        <v>1</v>
      </c>
      <c r="T26" s="16">
        <v>2</v>
      </c>
      <c r="U26" s="16" t="s">
        <v>373</v>
      </c>
      <c r="V26" s="16" t="s">
        <v>373</v>
      </c>
      <c r="W26" s="16" t="s">
        <v>373</v>
      </c>
      <c r="X26" s="16" t="s">
        <v>373</v>
      </c>
      <c r="Y26" t="s">
        <v>373</v>
      </c>
      <c r="Z26" t="s">
        <v>373</v>
      </c>
      <c r="AA26" t="s">
        <v>373</v>
      </c>
      <c r="AB26">
        <v>2</v>
      </c>
    </row>
    <row r="27" spans="1:28" x14ac:dyDescent="0.25">
      <c r="A27" s="19">
        <v>0.54285714285714282</v>
      </c>
      <c r="B27" s="19">
        <v>19.542857142857144</v>
      </c>
      <c r="C27" s="19">
        <v>0.45714285714285713</v>
      </c>
      <c r="D27" s="19">
        <v>16.457142857142856</v>
      </c>
      <c r="E27" s="19" t="s">
        <v>373</v>
      </c>
      <c r="F27" s="19">
        <v>1</v>
      </c>
      <c r="G27" s="19" t="s">
        <v>373</v>
      </c>
      <c r="H27" s="19">
        <v>1</v>
      </c>
      <c r="I27" s="19" t="s">
        <v>373</v>
      </c>
      <c r="J27" s="19">
        <v>1</v>
      </c>
      <c r="K27" s="19" t="s">
        <v>373</v>
      </c>
      <c r="L27" s="19">
        <v>1</v>
      </c>
      <c r="M27" s="19" t="s">
        <v>373</v>
      </c>
      <c r="N27" s="19">
        <v>1</v>
      </c>
      <c r="O27" s="19" t="s">
        <v>373</v>
      </c>
      <c r="P27" s="19">
        <v>1</v>
      </c>
      <c r="Q27" s="19" t="s">
        <v>373</v>
      </c>
      <c r="R27" s="19">
        <v>1</v>
      </c>
      <c r="S27" s="19">
        <v>1</v>
      </c>
      <c r="T27" s="16">
        <v>2</v>
      </c>
      <c r="U27" s="16" t="s">
        <v>373</v>
      </c>
      <c r="V27" s="16" t="s">
        <v>373</v>
      </c>
      <c r="W27" s="16" t="s">
        <v>373</v>
      </c>
      <c r="X27" s="16" t="s">
        <v>373</v>
      </c>
      <c r="Y27" t="s">
        <v>373</v>
      </c>
      <c r="Z27" t="s">
        <v>373</v>
      </c>
      <c r="AA27" t="s">
        <v>373</v>
      </c>
      <c r="AB27">
        <v>2</v>
      </c>
    </row>
    <row r="28" spans="1:28" x14ac:dyDescent="0.25">
      <c r="A28" s="19">
        <v>30</v>
      </c>
      <c r="B28" s="19">
        <v>73</v>
      </c>
      <c r="C28" s="19">
        <v>15</v>
      </c>
      <c r="D28" s="19">
        <v>71</v>
      </c>
      <c r="E28" s="19" t="s">
        <v>373</v>
      </c>
      <c r="F28" s="19">
        <v>1</v>
      </c>
      <c r="G28" s="19" t="s">
        <v>373</v>
      </c>
      <c r="H28" s="19">
        <v>1</v>
      </c>
      <c r="I28" s="19" t="s">
        <v>373</v>
      </c>
      <c r="J28" s="19">
        <v>1</v>
      </c>
      <c r="K28" s="19" t="s">
        <v>373</v>
      </c>
      <c r="L28" s="19">
        <v>1</v>
      </c>
      <c r="M28" s="19" t="s">
        <v>373</v>
      </c>
      <c r="N28" s="19">
        <v>1</v>
      </c>
      <c r="O28" s="19" t="s">
        <v>373</v>
      </c>
      <c r="P28" s="19">
        <v>1</v>
      </c>
      <c r="Q28" s="19" t="s">
        <v>373</v>
      </c>
      <c r="R28" s="19">
        <v>1</v>
      </c>
      <c r="S28" s="19">
        <v>1</v>
      </c>
      <c r="T28" s="16">
        <v>2</v>
      </c>
      <c r="U28" s="16" t="s">
        <v>373</v>
      </c>
      <c r="V28" s="16" t="s">
        <v>373</v>
      </c>
      <c r="W28" s="16" t="s">
        <v>373</v>
      </c>
      <c r="X28" s="16" t="s">
        <v>373</v>
      </c>
      <c r="Y28" t="s">
        <v>373</v>
      </c>
      <c r="Z28" t="s">
        <v>373</v>
      </c>
      <c r="AA28" t="s">
        <v>373</v>
      </c>
      <c r="AB28">
        <v>2</v>
      </c>
    </row>
    <row r="29" spans="1:28" x14ac:dyDescent="0.25">
      <c r="A29" s="19">
        <v>6</v>
      </c>
      <c r="B29" s="19">
        <v>43</v>
      </c>
      <c r="C29" s="19">
        <v>1</v>
      </c>
      <c r="D29" s="19">
        <v>44</v>
      </c>
      <c r="E29" s="19" t="s">
        <v>373</v>
      </c>
      <c r="F29" s="19">
        <v>1</v>
      </c>
      <c r="G29" s="19" t="s">
        <v>373</v>
      </c>
      <c r="H29" s="19">
        <v>1</v>
      </c>
      <c r="I29" s="19" t="s">
        <v>373</v>
      </c>
      <c r="J29" s="19">
        <v>1</v>
      </c>
      <c r="K29" s="19" t="s">
        <v>373</v>
      </c>
      <c r="L29" s="19">
        <v>1</v>
      </c>
      <c r="M29" s="19" t="s">
        <v>373</v>
      </c>
      <c r="N29" s="19">
        <v>1</v>
      </c>
      <c r="O29" s="19" t="s">
        <v>373</v>
      </c>
      <c r="P29" s="19">
        <v>1</v>
      </c>
      <c r="Q29" s="19" t="s">
        <v>373</v>
      </c>
      <c r="R29" s="19">
        <v>1</v>
      </c>
      <c r="S29" s="19">
        <v>3</v>
      </c>
      <c r="T29" s="16">
        <v>4</v>
      </c>
      <c r="U29" s="16" t="s">
        <v>373</v>
      </c>
      <c r="V29" s="16" t="s">
        <v>373</v>
      </c>
      <c r="W29" s="16" t="s">
        <v>373</v>
      </c>
      <c r="X29" s="16" t="s">
        <v>373</v>
      </c>
      <c r="Y29" t="s">
        <v>373</v>
      </c>
      <c r="Z29" t="s">
        <v>373</v>
      </c>
      <c r="AA29" t="s">
        <v>373</v>
      </c>
      <c r="AB29">
        <v>2</v>
      </c>
    </row>
    <row r="30" spans="1:28" x14ac:dyDescent="0.25">
      <c r="A30" s="19" t="s">
        <v>374</v>
      </c>
      <c r="B30" s="19"/>
      <c r="C30" s="19"/>
      <c r="D30" s="19"/>
      <c r="E30" s="19"/>
      <c r="F30" s="19"/>
      <c r="G30" s="19"/>
      <c r="H30" s="19"/>
      <c r="I30" s="19"/>
      <c r="J30" s="19"/>
      <c r="K30" s="19"/>
      <c r="L30" s="19"/>
      <c r="M30" s="19"/>
      <c r="N30" s="19"/>
      <c r="O30" s="19"/>
      <c r="P30" s="19"/>
      <c r="Q30" s="19"/>
      <c r="R30" s="19"/>
      <c r="S30" s="19"/>
      <c r="T30" s="16"/>
      <c r="U30" s="16"/>
      <c r="V30" s="16"/>
      <c r="W30" s="16"/>
      <c r="X30" s="16"/>
    </row>
    <row r="31" spans="1:28"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28"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16 2018 4 46 26 PM.txt')</v>
      </c>
    </row>
    <row r="46" spans="1:1" x14ac:dyDescent="0.25">
      <c r="A46" t="str">
        <f ca="1">IF(auto_run,CONCATENATE("save('",SUBSTITUTE(results_directory,"\","/"),FEresults_name,TEXT(date_time," m d yyyy h mm ss AM/PM"),".odc')"),"")</f>
        <v>save('C:/WinBUGS Results/Fixed Effect Results 1 16 2018 4 46 26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16 2018 4 46 26 PM.txt')</v>
      </c>
    </row>
    <row r="46" spans="1:1" x14ac:dyDescent="0.25">
      <c r="A46" t="str">
        <f ca="1">IF(auto_run,CONCATENATE("save('",SUBSTITUTE(results_directory,"\","/"),REresults_name,TEXT(date_time," m d yyyy h mm ss AM/PM"),".odc')"),"")</f>
        <v>save('C:/WinBUGS Results/Random Effect Results (Vague ) 1 16 2018 4 46 26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16 2018 4 46 26 PM.txt')</v>
      </c>
    </row>
    <row r="32" spans="1:1" x14ac:dyDescent="0.25">
      <c r="A32" t="str">
        <f ca="1">IF(auto_run,CONCATENATE("save('",SUBSTITUTE(results_directory,"\","/"),"Inconsistency ",FEresults_name,TEXT(date_time," m d yyyy h mm ss AM/PM"),".odc')"),"")</f>
        <v>save('C:/WinBUGS Results/Inconsistency Fixed Effect Results 1 16 2018 4 46 26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16 2018 4 46 26 PM.txt')</v>
      </c>
    </row>
    <row r="31" spans="1:1" x14ac:dyDescent="0.25">
      <c r="A31" t="str">
        <f ca="1">IF(auto_run,CONCATENATE("save('",SUBSTITUTE(results_directory,"\","/"),"Inconsistency ",REresults_name,TEXT(date_time," m d yyyy h mm ss AM/PM"),".odc')"),"")</f>
        <v>save('C:/WinBUGS Results/Inconsistency Random Effect Results (Vague ) 1 16 2018 4 46 26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322</v>
      </c>
    </row>
    <row r="5" spans="1:8" x14ac:dyDescent="0.25">
      <c r="B5" t="s">
        <v>28</v>
      </c>
      <c r="G5" t="s">
        <v>325</v>
      </c>
    </row>
    <row r="6" spans="1:8" x14ac:dyDescent="0.25">
      <c r="B6" t="s">
        <v>79</v>
      </c>
      <c r="G6" t="s">
        <v>326</v>
      </c>
    </row>
    <row r="7" spans="1:8" x14ac:dyDescent="0.25">
      <c r="C7" t="s">
        <v>87</v>
      </c>
    </row>
    <row r="8" spans="1:8" x14ac:dyDescent="0.25">
      <c r="C8" t="s">
        <v>141</v>
      </c>
    </row>
    <row r="9" spans="1:8" x14ac:dyDescent="0.25">
      <c r="A9" t="s">
        <v>80</v>
      </c>
      <c r="C9" t="s">
        <v>316</v>
      </c>
      <c r="H9" t="s">
        <v>324</v>
      </c>
    </row>
    <row r="10" spans="1:8" x14ac:dyDescent="0.25">
      <c r="C10" t="s">
        <v>317</v>
      </c>
      <c r="H10" t="s">
        <v>323</v>
      </c>
    </row>
    <row r="11" spans="1:8" x14ac:dyDescent="0.25">
      <c r="C11" t="s">
        <v>328</v>
      </c>
    </row>
    <row r="12" spans="1:8" x14ac:dyDescent="0.25">
      <c r="C12" t="s">
        <v>327</v>
      </c>
    </row>
    <row r="13" spans="1:8" x14ac:dyDescent="0.25">
      <c r="C13" t="s">
        <v>29</v>
      </c>
    </row>
    <row r="14" spans="1:8" x14ac:dyDescent="0.25">
      <c r="B14" t="s">
        <v>321</v>
      </c>
      <c r="F14" t="s">
        <v>320</v>
      </c>
    </row>
    <row r="15" spans="1:8" x14ac:dyDescent="0.25">
      <c r="A15" t="s">
        <v>82</v>
      </c>
      <c r="B15" t="s">
        <v>83</v>
      </c>
    </row>
    <row r="16" spans="1:8" x14ac:dyDescent="0.25">
      <c r="B16" t="s">
        <v>329</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350</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hidden="1"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hidden="1" x14ac:dyDescent="0.25">
      <c r="K6" s="59" t="str">
        <f t="shared" si="0"/>
        <v>0.00 (0.00 – 0.00)</v>
      </c>
      <c r="L6" s="16" t="str">
        <f t="shared" si="1"/>
        <v>0.00
(0.00 – 0.00)</v>
      </c>
      <c r="N6" s="59"/>
      <c r="O6" s="16"/>
    </row>
    <row r="7" spans="1:20" hidden="1" x14ac:dyDescent="0.25">
      <c r="B7" s="19"/>
      <c r="C7" s="19"/>
      <c r="K7" s="59" t="str">
        <f t="shared" si="0"/>
        <v>0.00 (0.00 – 0.00)</v>
      </c>
      <c r="L7" s="16" t="str">
        <f t="shared" si="1"/>
        <v>0.00
(0.00 – 0.00)</v>
      </c>
      <c r="N7" s="59"/>
      <c r="O7" s="16"/>
    </row>
    <row r="8" spans="1:20" hidden="1" x14ac:dyDescent="0.25">
      <c r="B8" s="19"/>
      <c r="C8" s="19"/>
      <c r="E8" s="57"/>
      <c r="F8" s="57"/>
      <c r="G8" s="57"/>
      <c r="H8" s="57"/>
      <c r="I8" s="57"/>
      <c r="J8" s="57"/>
      <c r="K8" s="59" t="str">
        <f t="shared" si="0"/>
        <v>0.00 (0.00 – 0.00)</v>
      </c>
      <c r="L8" s="16" t="str">
        <f t="shared" si="1"/>
        <v>0.00
(0.00 – 0.00)</v>
      </c>
      <c r="N8" s="59"/>
      <c r="O8" s="16"/>
    </row>
    <row r="9" spans="1:20" hidden="1" x14ac:dyDescent="0.25">
      <c r="E9" s="57"/>
      <c r="F9" s="57"/>
      <c r="G9" s="57"/>
      <c r="H9" s="57"/>
      <c r="I9" s="57"/>
      <c r="J9" s="57"/>
      <c r="K9" s="59" t="str">
        <f t="shared" si="0"/>
        <v>0.00 (0.00 – 0.00)</v>
      </c>
      <c r="L9" s="16" t="str">
        <f t="shared" si="1"/>
        <v>0.00
(0.00 – 0.00)</v>
      </c>
      <c r="N9" s="59"/>
      <c r="O9" s="16"/>
    </row>
    <row r="10" spans="1:20" hidden="1" x14ac:dyDescent="0.25">
      <c r="E10" s="57"/>
      <c r="F10" s="57"/>
      <c r="G10" s="57"/>
      <c r="H10" s="57"/>
      <c r="I10" s="57"/>
      <c r="J10" s="57"/>
      <c r="K10" s="59" t="str">
        <f t="shared" si="0"/>
        <v>0.00 (0.00 – 0.00)</v>
      </c>
      <c r="L10" s="16" t="str">
        <f t="shared" si="1"/>
        <v>0.00
(0.00 – 0.00)</v>
      </c>
      <c r="N10" s="59"/>
      <c r="O10" s="16"/>
    </row>
    <row r="11" spans="1:20" hidden="1" x14ac:dyDescent="0.25">
      <c r="B11" s="19"/>
      <c r="C11" s="19"/>
      <c r="F11" s="59"/>
      <c r="G11" s="54"/>
      <c r="H11" s="16"/>
      <c r="I11" s="16"/>
      <c r="J11" s="16"/>
      <c r="K11" s="59" t="str">
        <f t="shared" si="0"/>
        <v>0.00 (0.00 – 0.00)</v>
      </c>
      <c r="L11" s="16" t="str">
        <f t="shared" si="1"/>
        <v>0.00
(0.00 – 0.00)</v>
      </c>
      <c r="N11" s="59"/>
      <c r="O11" s="16"/>
    </row>
    <row r="12" spans="1:20" hidden="1" x14ac:dyDescent="0.25">
      <c r="F12" s="59"/>
      <c r="G12" s="54"/>
      <c r="H12" s="16"/>
      <c r="I12" s="16"/>
      <c r="J12" s="16"/>
      <c r="K12" s="59" t="str">
        <f t="shared" si="0"/>
        <v>0.00 (0.00 – 0.00)</v>
      </c>
      <c r="L12" s="16" t="str">
        <f t="shared" si="1"/>
        <v>0.00
(0.00 – 0.00)</v>
      </c>
      <c r="N12" s="59"/>
      <c r="O12" s="16"/>
    </row>
    <row r="13" spans="1:20" hidden="1" x14ac:dyDescent="0.25">
      <c r="B13" s="19"/>
      <c r="C13" s="19"/>
      <c r="F13" s="59"/>
      <c r="G13" s="54"/>
      <c r="H13" s="16"/>
      <c r="I13" s="16"/>
      <c r="J13" s="16"/>
      <c r="K13" s="59" t="str">
        <f t="shared" si="0"/>
        <v>0.00 (0.00 – 0.00)</v>
      </c>
      <c r="L13" s="16" t="str">
        <f t="shared" si="1"/>
        <v>0.00
(0.00 – 0.00)</v>
      </c>
      <c r="N13" s="59"/>
      <c r="O13" s="16"/>
    </row>
    <row r="14" spans="1:20" hidden="1" x14ac:dyDescent="0.25">
      <c r="F14" s="59"/>
      <c r="G14" s="54"/>
      <c r="H14" s="16"/>
      <c r="I14" s="16"/>
      <c r="J14" s="16"/>
      <c r="K14" s="59" t="str">
        <f t="shared" si="0"/>
        <v>0.00 (0.00 – 0.00)</v>
      </c>
      <c r="L14" s="16" t="str">
        <f t="shared" si="1"/>
        <v>0.00
(0.00 – 0.00)</v>
      </c>
      <c r="N14" s="59"/>
      <c r="O14" s="16"/>
    </row>
    <row r="15" spans="1:20" ht="15" hidden="1" customHeight="1" x14ac:dyDescent="0.25">
      <c r="K15" s="59" t="str">
        <f t="shared" si="0"/>
        <v>0.00 (0.00 – 0.00)</v>
      </c>
      <c r="L15" s="16" t="str">
        <f t="shared" si="1"/>
        <v>0.00
(0.00 – 0.00)</v>
      </c>
      <c r="N15" s="59"/>
      <c r="O15" s="16"/>
    </row>
    <row r="16" spans="1:20" ht="15" hidden="1" customHeight="1" x14ac:dyDescent="0.25">
      <c r="E16" s="57"/>
      <c r="F16" s="57"/>
      <c r="G16" s="57"/>
      <c r="H16" s="57"/>
      <c r="I16" s="57"/>
      <c r="J16" s="57"/>
      <c r="K16" s="59" t="str">
        <f t="shared" si="0"/>
        <v>0.00 (0.00 – 0.00)</v>
      </c>
      <c r="L16" s="16" t="str">
        <f t="shared" si="1"/>
        <v>0.00
(0.00 – 0.00)</v>
      </c>
      <c r="N16" s="59"/>
      <c r="O16" s="16"/>
    </row>
    <row r="17" spans="5:15" ht="15" hidden="1" customHeight="1" x14ac:dyDescent="0.25">
      <c r="E17" s="57"/>
      <c r="F17" s="57"/>
      <c r="G17" s="57"/>
      <c r="H17" s="57"/>
      <c r="I17" s="57"/>
      <c r="J17" s="57"/>
      <c r="K17" s="59" t="str">
        <f t="shared" si="0"/>
        <v>0.00 (0.00 – 0.00)</v>
      </c>
      <c r="L17" s="16" t="str">
        <f t="shared" si="1"/>
        <v>0.00
(0.00 – 0.00)</v>
      </c>
      <c r="N17" s="59"/>
      <c r="O17" s="16"/>
    </row>
    <row r="18" spans="5:15" ht="15" hidden="1" customHeight="1" x14ac:dyDescent="0.25">
      <c r="E18" s="57"/>
      <c r="F18" s="57"/>
      <c r="G18" s="57"/>
      <c r="H18" s="57"/>
      <c r="I18" s="57"/>
      <c r="J18" s="57"/>
      <c r="K18" s="59" t="str">
        <f t="shared" si="0"/>
        <v>0.00 (0.00 – 0.00)</v>
      </c>
      <c r="L18" s="16" t="str">
        <f t="shared" si="1"/>
        <v>0.00
(0.00 – 0.00)</v>
      </c>
      <c r="N18" s="59"/>
      <c r="O18" s="16"/>
    </row>
    <row r="19" spans="5:15" ht="15" hidden="1" customHeight="1" x14ac:dyDescent="0.25">
      <c r="K19" s="59" t="str">
        <f t="shared" si="0"/>
        <v>0.00 (0.00 – 0.00)</v>
      </c>
      <c r="L19" s="16" t="str">
        <f t="shared" si="1"/>
        <v>0.00
(0.00 – 0.00)</v>
      </c>
      <c r="N19" s="59"/>
      <c r="O19" s="16"/>
    </row>
    <row r="20" spans="5:15" ht="15" hidden="1" customHeight="1" x14ac:dyDescent="0.25">
      <c r="K20" s="59" t="str">
        <f t="shared" si="0"/>
        <v>0.00 (0.00 – 0.00)</v>
      </c>
      <c r="L20" s="16" t="str">
        <f t="shared" si="1"/>
        <v>0.00
(0.00 – 0.00)</v>
      </c>
      <c r="N20" s="59"/>
      <c r="O20" s="16"/>
    </row>
    <row r="21" spans="5:15" ht="15" hidden="1" customHeight="1" x14ac:dyDescent="0.25">
      <c r="K21" s="59" t="str">
        <f t="shared" si="0"/>
        <v>0.00 (0.00 – 0.00)</v>
      </c>
      <c r="L21" s="16" t="str">
        <f t="shared" si="1"/>
        <v>0.00
(0.00 – 0.00)</v>
      </c>
      <c r="N21" s="59"/>
      <c r="O21" s="16"/>
    </row>
    <row r="22" spans="5:15" ht="15" hidden="1" customHeight="1" x14ac:dyDescent="0.25">
      <c r="K22" s="59" t="str">
        <f t="shared" si="0"/>
        <v>0.00 (0.00 – 0.00)</v>
      </c>
      <c r="L22" s="16" t="str">
        <f t="shared" si="1"/>
        <v>0.00
(0.00 – 0.00)</v>
      </c>
      <c r="N22" s="59"/>
      <c r="O22" s="16"/>
    </row>
    <row r="23" spans="5:15" ht="15" hidden="1" customHeight="1" x14ac:dyDescent="0.25">
      <c r="F23" s="59"/>
      <c r="G23" s="54"/>
      <c r="H23" s="16"/>
      <c r="I23" s="16"/>
      <c r="J23" s="16"/>
      <c r="K23" s="59" t="str">
        <f t="shared" si="0"/>
        <v>0.00 (0.00 – 0.00)</v>
      </c>
      <c r="L23" s="16" t="str">
        <f t="shared" si="1"/>
        <v>0.00
(0.00 – 0.00)</v>
      </c>
      <c r="N23" s="59"/>
      <c r="O23" s="16"/>
    </row>
    <row r="24" spans="5:15" ht="15" hidden="1" customHeight="1" x14ac:dyDescent="0.25">
      <c r="K24" s="59" t="str">
        <f t="shared" si="0"/>
        <v>0.00 (0.00 – 0.00)</v>
      </c>
      <c r="L24" s="16" t="str">
        <f t="shared" si="1"/>
        <v>0.00
(0.00 – 0.00)</v>
      </c>
      <c r="N24" s="59"/>
      <c r="O24" s="16"/>
    </row>
    <row r="25" spans="5:15" ht="15" hidden="1" customHeight="1" x14ac:dyDescent="0.25">
      <c r="E25" s="57"/>
      <c r="F25" s="57"/>
      <c r="G25" s="57"/>
      <c r="H25" s="57"/>
      <c r="I25" s="57"/>
      <c r="J25" s="57"/>
      <c r="K25" s="59" t="str">
        <f t="shared" si="0"/>
        <v>0.00 (0.00 – 0.00)</v>
      </c>
      <c r="L25" s="16" t="str">
        <f t="shared" si="1"/>
        <v>0.00
(0.00 – 0.00)</v>
      </c>
      <c r="N25" s="59"/>
      <c r="O25" s="16"/>
    </row>
    <row r="26" spans="5:15" ht="15" hidden="1" customHeight="1" x14ac:dyDescent="0.25">
      <c r="K26" s="59" t="str">
        <f t="shared" si="0"/>
        <v>0.00 (0.00 – 0.00)</v>
      </c>
      <c r="L26" s="16" t="str">
        <f t="shared" si="1"/>
        <v>0.00
(0.00 – 0.00)</v>
      </c>
      <c r="N26" s="59"/>
      <c r="O26" s="16"/>
    </row>
    <row r="27" spans="5:15" ht="15" hidden="1" customHeight="1" x14ac:dyDescent="0.25">
      <c r="E27" s="57"/>
      <c r="F27" s="57"/>
      <c r="G27" s="57"/>
      <c r="H27" s="57"/>
      <c r="I27" s="57"/>
      <c r="J27" s="57"/>
      <c r="K27" s="59" t="str">
        <f t="shared" si="0"/>
        <v>0.00 (0.00 – 0.00)</v>
      </c>
      <c r="L27" s="16" t="str">
        <f t="shared" si="1"/>
        <v>0.00
(0.00 – 0.00)</v>
      </c>
      <c r="N27" s="59"/>
      <c r="O27" s="16"/>
    </row>
    <row r="28" spans="5:15" ht="15" hidden="1" customHeight="1" x14ac:dyDescent="0.25">
      <c r="K28" s="59" t="str">
        <f t="shared" si="0"/>
        <v>0.00 (0.00 – 0.00)</v>
      </c>
      <c r="L28" s="16" t="str">
        <f t="shared" si="1"/>
        <v>0.00
(0.00 – 0.00)</v>
      </c>
      <c r="N28" s="59"/>
      <c r="O28" s="16"/>
    </row>
    <row r="29" spans="5:15" ht="15" hidden="1" customHeight="1" x14ac:dyDescent="0.25">
      <c r="K29" s="59" t="str">
        <f t="shared" si="0"/>
        <v>0.00 (0.00 – 0.00)</v>
      </c>
      <c r="L29" s="16" t="str">
        <f t="shared" si="1"/>
        <v>0.00
(0.00 – 0.00)</v>
      </c>
      <c r="N29" s="59"/>
      <c r="O29" s="16"/>
    </row>
    <row r="30" spans="5:15" ht="15" hidden="1" customHeight="1" x14ac:dyDescent="0.25">
      <c r="K30" s="59" t="str">
        <f t="shared" si="0"/>
        <v>0.00 (0.00 – 0.00)</v>
      </c>
      <c r="L30" s="16" t="str">
        <f t="shared" si="1"/>
        <v>0.00
(0.00 – 0.00)</v>
      </c>
      <c r="N30" s="59"/>
      <c r="O30" s="16"/>
    </row>
    <row r="31" spans="5:15" ht="15" hidden="1" customHeight="1" x14ac:dyDescent="0.25">
      <c r="E31" s="57"/>
      <c r="F31" s="57"/>
      <c r="G31" s="57"/>
      <c r="H31" s="57"/>
      <c r="I31" s="57"/>
      <c r="J31" s="57"/>
      <c r="K31" s="59" t="str">
        <f t="shared" si="0"/>
        <v>0.00 (0.00 – 0.00)</v>
      </c>
      <c r="L31" s="16" t="str">
        <f t="shared" si="1"/>
        <v>0.00
(0.00 – 0.00)</v>
      </c>
      <c r="N31" s="59"/>
      <c r="O31" s="16"/>
    </row>
    <row r="32" spans="5:15" ht="15" hidden="1" customHeight="1" x14ac:dyDescent="0.25">
      <c r="K32" s="59" t="str">
        <f t="shared" si="0"/>
        <v>0.00 (0.00 – 0.00)</v>
      </c>
      <c r="L32" s="16" t="str">
        <f t="shared" si="1"/>
        <v>0.00
(0.00 – 0.00)</v>
      </c>
      <c r="N32" s="59"/>
      <c r="O32" s="16"/>
    </row>
    <row r="33" spans="3:15" ht="15" hidden="1" customHeight="1" x14ac:dyDescent="0.25">
      <c r="K33" s="59" t="str">
        <f t="shared" si="0"/>
        <v>0.00 (0.00 – 0.00)</v>
      </c>
      <c r="L33" s="16" t="str">
        <f t="shared" si="1"/>
        <v>0.00
(0.00 – 0.00)</v>
      </c>
      <c r="N33" s="59"/>
      <c r="O33" s="16"/>
    </row>
    <row r="34" spans="3:15" ht="15" hidden="1" customHeight="1" x14ac:dyDescent="0.25">
      <c r="E34" s="57"/>
      <c r="F34" s="57"/>
      <c r="G34" s="57"/>
      <c r="H34" s="57"/>
      <c r="I34" s="57"/>
      <c r="J34" s="57"/>
      <c r="K34" s="59" t="str">
        <f t="shared" si="0"/>
        <v>0.00 (0.00 – 0.00)</v>
      </c>
      <c r="L34" s="16" t="str">
        <f t="shared" si="1"/>
        <v>0.00
(0.00 – 0.00)</v>
      </c>
      <c r="N34" s="59"/>
      <c r="O34" s="16"/>
    </row>
    <row r="35" spans="3:15" ht="15" hidden="1" customHeight="1" x14ac:dyDescent="0.25">
      <c r="E35" s="57"/>
      <c r="F35" s="57"/>
      <c r="G35" s="57"/>
      <c r="H35" s="57"/>
      <c r="I35" s="57"/>
      <c r="J35" s="57"/>
      <c r="K35" s="59" t="str">
        <f t="shared" si="0"/>
        <v>0.00 (0.00 – 0.00)</v>
      </c>
      <c r="L35" s="16" t="str">
        <f t="shared" si="1"/>
        <v>0.00
(0.00 – 0.00)</v>
      </c>
      <c r="N35" s="59"/>
      <c r="O35" s="16"/>
    </row>
    <row r="36" spans="3:15" ht="15" hidden="1" customHeight="1" x14ac:dyDescent="0.25">
      <c r="C36" s="56"/>
      <c r="D36" s="57"/>
      <c r="E36" s="57"/>
      <c r="F36" s="57"/>
      <c r="G36" s="57"/>
      <c r="H36" s="57"/>
      <c r="I36" s="57"/>
      <c r="J36" s="57"/>
      <c r="K36" s="59" t="str">
        <f t="shared" si="0"/>
        <v>0.00 (0.00 – 0.00)</v>
      </c>
      <c r="L36" s="16" t="str">
        <f t="shared" si="1"/>
        <v>0.00
(0.00 – 0.00)</v>
      </c>
      <c r="M36" s="57"/>
      <c r="N36" s="59"/>
      <c r="O36" s="16"/>
    </row>
    <row r="37" spans="3:15" ht="15" hidden="1" customHeight="1" x14ac:dyDescent="0.25">
      <c r="C37" s="56"/>
      <c r="D37" s="57"/>
      <c r="F37" s="59"/>
      <c r="G37" s="54"/>
      <c r="H37" s="16"/>
      <c r="I37" s="16"/>
      <c r="J37" s="16"/>
      <c r="K37" s="59" t="str">
        <f t="shared" si="0"/>
        <v>0.00 (0.00 – 0.00)</v>
      </c>
      <c r="L37" s="16" t="str">
        <f t="shared" si="1"/>
        <v>0.00
(0.00 – 0.00)</v>
      </c>
      <c r="M37" s="57"/>
      <c r="N37" s="59"/>
      <c r="O37" s="16"/>
    </row>
    <row r="38" spans="3:15" ht="15" hidden="1" customHeight="1" x14ac:dyDescent="0.25">
      <c r="C38" s="56"/>
      <c r="D38" s="57"/>
      <c r="F38" s="59"/>
      <c r="G38" s="54"/>
      <c r="H38" s="16"/>
      <c r="I38" s="16"/>
      <c r="J38" s="16"/>
      <c r="K38" s="59" t="str">
        <f t="shared" si="0"/>
        <v>0.00 (0.00 – 0.00)</v>
      </c>
      <c r="L38" s="16" t="str">
        <f t="shared" si="1"/>
        <v>0.00
(0.00 – 0.00)</v>
      </c>
      <c r="M38" s="57"/>
      <c r="N38" s="59"/>
      <c r="O38" s="16"/>
    </row>
    <row r="39" spans="3:15" ht="15" hidden="1" customHeight="1" x14ac:dyDescent="0.25">
      <c r="C39" s="56"/>
      <c r="D39" s="57"/>
      <c r="K39" s="59" t="str">
        <f t="shared" si="0"/>
        <v>0.00 (0.00 – 0.00)</v>
      </c>
      <c r="L39" s="16" t="str">
        <f t="shared" si="1"/>
        <v>0.00
(0.00 – 0.00)</v>
      </c>
      <c r="M39" s="57"/>
      <c r="N39" s="59"/>
      <c r="O39" s="16"/>
    </row>
    <row r="40" spans="3:15" ht="15" hidden="1" customHeight="1" x14ac:dyDescent="0.25">
      <c r="C40" s="56"/>
      <c r="D40" s="57"/>
      <c r="K40" s="59" t="str">
        <f t="shared" si="0"/>
        <v>0.00 (0.00 – 0.00)</v>
      </c>
      <c r="L40" s="16" t="str">
        <f t="shared" si="1"/>
        <v>0.00
(0.00 – 0.00)</v>
      </c>
      <c r="M40" s="57"/>
      <c r="N40" s="59"/>
      <c r="O40" s="16"/>
    </row>
    <row r="41" spans="3:15" ht="15" hidden="1" customHeight="1" x14ac:dyDescent="0.25">
      <c r="C41" s="56"/>
      <c r="D41" s="57"/>
      <c r="K41" s="59" t="str">
        <f t="shared" si="0"/>
        <v>0.00 (0.00 – 0.00)</v>
      </c>
      <c r="L41" s="16" t="str">
        <f t="shared" si="1"/>
        <v>0.00
(0.00 – 0.00)</v>
      </c>
      <c r="M41" s="57"/>
      <c r="N41" s="59"/>
      <c r="O41" s="16"/>
    </row>
    <row r="42" spans="3:15" ht="15" hidden="1" customHeight="1" x14ac:dyDescent="0.25">
      <c r="C42" s="56"/>
      <c r="D42" s="57"/>
      <c r="E42" s="57"/>
      <c r="F42" s="57"/>
      <c r="G42" s="57"/>
      <c r="H42" s="57"/>
      <c r="I42" s="57"/>
      <c r="J42" s="57"/>
      <c r="K42" s="59" t="str">
        <f t="shared" si="0"/>
        <v>0.00 (0.00 – 0.00)</v>
      </c>
      <c r="L42" s="16" t="str">
        <f t="shared" si="1"/>
        <v>0.00
(0.00 – 0.00)</v>
      </c>
      <c r="M42" s="57"/>
      <c r="N42" s="59"/>
      <c r="O42" s="16"/>
    </row>
    <row r="43" spans="3:15" ht="15" hidden="1" customHeight="1" x14ac:dyDescent="0.25">
      <c r="C43" s="56"/>
      <c r="D43" s="57"/>
      <c r="F43" s="59"/>
      <c r="G43" s="54"/>
      <c r="H43" s="16"/>
      <c r="I43" s="16"/>
      <c r="J43" s="16"/>
      <c r="K43" s="59" t="str">
        <f t="shared" si="0"/>
        <v>0.00 (0.00 – 0.00)</v>
      </c>
      <c r="L43" s="16" t="str">
        <f t="shared" si="1"/>
        <v>0.00
(0.00 – 0.00)</v>
      </c>
      <c r="M43" s="57"/>
      <c r="N43" s="59"/>
      <c r="O43" s="16"/>
    </row>
    <row r="44" spans="3:15" ht="15" hidden="1" customHeight="1" x14ac:dyDescent="0.25">
      <c r="C44" s="56"/>
      <c r="D44" s="57"/>
      <c r="K44" s="59" t="str">
        <f t="shared" si="0"/>
        <v>0.00 (0.00 – 0.00)</v>
      </c>
      <c r="L44" s="16" t="str">
        <f t="shared" si="1"/>
        <v>0.00
(0.00 – 0.00)</v>
      </c>
      <c r="M44" s="57"/>
      <c r="N44" s="59"/>
      <c r="O44" s="16"/>
    </row>
    <row r="45" spans="3:15" ht="15" hidden="1" customHeight="1" x14ac:dyDescent="0.25">
      <c r="C45" s="56"/>
      <c r="D45" s="57"/>
      <c r="E45" s="57"/>
      <c r="F45" s="57"/>
      <c r="G45" s="57"/>
      <c r="H45" s="57"/>
      <c r="I45" s="57"/>
      <c r="J45" s="57"/>
      <c r="K45" s="59" t="str">
        <f t="shared" si="0"/>
        <v>0.00 (0.00 – 0.00)</v>
      </c>
      <c r="L45" s="16" t="str">
        <f t="shared" si="1"/>
        <v>0.00
(0.00 – 0.00)</v>
      </c>
      <c r="M45" s="57"/>
      <c r="N45" s="59"/>
      <c r="O45" s="16"/>
    </row>
    <row r="46" spans="3:15" ht="15" hidden="1" customHeight="1" x14ac:dyDescent="0.25">
      <c r="C46" s="56"/>
      <c r="D46" s="57"/>
      <c r="K46" s="59" t="str">
        <f t="shared" si="0"/>
        <v>0.00 (0.00 – 0.00)</v>
      </c>
      <c r="L46" s="16" t="str">
        <f t="shared" si="1"/>
        <v>0.00
(0.00 – 0.00)</v>
      </c>
      <c r="M46" s="57"/>
      <c r="N46" s="59"/>
      <c r="O46" s="16"/>
    </row>
    <row r="47" spans="3:15" ht="15" hidden="1" customHeight="1" x14ac:dyDescent="0.25">
      <c r="C47" s="56"/>
      <c r="D47" s="57"/>
      <c r="K47" s="59" t="str">
        <f t="shared" si="0"/>
        <v>0.00 (0.00 – 0.00)</v>
      </c>
      <c r="L47" s="16" t="str">
        <f t="shared" si="1"/>
        <v>0.00
(0.00 – 0.00)</v>
      </c>
      <c r="M47" s="57"/>
      <c r="N47" s="59"/>
      <c r="O47" s="16"/>
    </row>
    <row r="48" spans="3:15" ht="15" hidden="1" customHeight="1" x14ac:dyDescent="0.25">
      <c r="C48" s="56"/>
      <c r="D48" s="57"/>
      <c r="K48" s="59" t="str">
        <f t="shared" si="0"/>
        <v>0.00 (0.00 – 0.00)</v>
      </c>
      <c r="L48" s="16" t="str">
        <f t="shared" si="1"/>
        <v>0.00
(0.00 – 0.00)</v>
      </c>
      <c r="M48" s="57"/>
      <c r="N48" s="59"/>
      <c r="O48" s="16"/>
    </row>
    <row r="49" spans="3:15" ht="15" hidden="1"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330</v>
      </c>
    </row>
    <row r="6" spans="1:7" x14ac:dyDescent="0.25">
      <c r="B6" t="s">
        <v>99</v>
      </c>
      <c r="D6" t="s">
        <v>331</v>
      </c>
    </row>
    <row r="7" spans="1:7" x14ac:dyDescent="0.25">
      <c r="B7" t="s">
        <v>332</v>
      </c>
      <c r="G7" t="s">
        <v>325</v>
      </c>
    </row>
    <row r="8" spans="1:7" x14ac:dyDescent="0.25">
      <c r="B8" t="s">
        <v>100</v>
      </c>
      <c r="G8" t="s">
        <v>326</v>
      </c>
    </row>
    <row r="9" spans="1:7" x14ac:dyDescent="0.25">
      <c r="C9" t="s">
        <v>78</v>
      </c>
    </row>
    <row r="10" spans="1:7" x14ac:dyDescent="0.25">
      <c r="B10" t="s">
        <v>101</v>
      </c>
      <c r="C10" t="s">
        <v>334</v>
      </c>
      <c r="G10" t="s">
        <v>335</v>
      </c>
    </row>
    <row r="11" spans="1:7" x14ac:dyDescent="0.25">
      <c r="A11" t="s">
        <v>102</v>
      </c>
      <c r="C11" t="s">
        <v>333</v>
      </c>
      <c r="G11" t="s">
        <v>324</v>
      </c>
    </row>
    <row r="12" spans="1:7" x14ac:dyDescent="0.25">
      <c r="A12" t="s">
        <v>80</v>
      </c>
      <c r="C12" t="s">
        <v>336</v>
      </c>
      <c r="G12" t="s">
        <v>323</v>
      </c>
    </row>
    <row r="13" spans="1:7" x14ac:dyDescent="0.25">
      <c r="B13" t="s">
        <v>103</v>
      </c>
      <c r="C13" t="s">
        <v>328</v>
      </c>
    </row>
    <row r="14" spans="1:7" x14ac:dyDescent="0.25">
      <c r="C14" t="s">
        <v>337</v>
      </c>
    </row>
    <row r="15" spans="1:7" x14ac:dyDescent="0.25">
      <c r="C15" t="s">
        <v>29</v>
      </c>
    </row>
    <row r="16" spans="1:7" x14ac:dyDescent="0.25">
      <c r="C16" t="s">
        <v>321</v>
      </c>
      <c r="G16" t="s">
        <v>338</v>
      </c>
    </row>
    <row r="17" spans="1:7" x14ac:dyDescent="0.25">
      <c r="C17" t="s">
        <v>104</v>
      </c>
      <c r="G17" t="s">
        <v>349</v>
      </c>
    </row>
    <row r="18" spans="1:7" x14ac:dyDescent="0.25">
      <c r="C18" t="s">
        <v>81</v>
      </c>
    </row>
    <row r="19" spans="1:7" x14ac:dyDescent="0.25">
      <c r="A19" t="s">
        <v>103</v>
      </c>
      <c r="C19" t="s">
        <v>339</v>
      </c>
      <c r="G19" t="s">
        <v>348</v>
      </c>
    </row>
    <row r="20" spans="1:7" x14ac:dyDescent="0.25">
      <c r="A20" t="s">
        <v>103</v>
      </c>
      <c r="C20" t="s">
        <v>340</v>
      </c>
      <c r="G20" t="s">
        <v>347</v>
      </c>
    </row>
    <row r="21" spans="1:7" x14ac:dyDescent="0.25">
      <c r="A21" t="s">
        <v>80</v>
      </c>
      <c r="C21" t="s">
        <v>341</v>
      </c>
      <c r="G21" t="s">
        <v>346</v>
      </c>
    </row>
    <row r="22" spans="1:7" x14ac:dyDescent="0.25">
      <c r="A22" t="s">
        <v>102</v>
      </c>
      <c r="C22" t="s">
        <v>342</v>
      </c>
      <c r="G22" t="s">
        <v>345</v>
      </c>
    </row>
    <row r="23" spans="1:7" x14ac:dyDescent="0.25">
      <c r="A23" t="s">
        <v>105</v>
      </c>
      <c r="C23" t="s">
        <v>343</v>
      </c>
      <c r="G23" t="s">
        <v>344</v>
      </c>
    </row>
    <row r="24" spans="1:7" x14ac:dyDescent="0.25">
      <c r="C24" t="s">
        <v>30</v>
      </c>
    </row>
    <row r="25" spans="1:7" x14ac:dyDescent="0.25">
      <c r="A25" t="s">
        <v>82</v>
      </c>
      <c r="B25" t="s">
        <v>106</v>
      </c>
    </row>
    <row r="26" spans="1:7" x14ac:dyDescent="0.25">
      <c r="B26" s="149" t="s">
        <v>318</v>
      </c>
      <c r="E26" t="s">
        <v>319</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351</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CONCATENATE(TEXT(I5,"0.00")," (",TEXT(H5,"0.00")," – ",TEXT(J5,"0.00"),")")</f>
        <v>0.00 (0.00 – 0.00)</v>
      </c>
      <c r="L5" s="16" t="str">
        <f>CONCATENATE(TEXT(I5,"0.00"),"
(",TEXT(H5,"0.00")," – ",TEXT(J5,"0.00"),")")</f>
        <v>0.00
(0.00 – 0.00)</v>
      </c>
      <c r="N5" s="59"/>
      <c r="O5" s="104"/>
    </row>
    <row r="6" spans="1:20" x14ac:dyDescent="0.25">
      <c r="F6" s="59"/>
      <c r="G6" s="54"/>
      <c r="H6" s="16"/>
      <c r="I6" s="16"/>
      <c r="J6" s="16"/>
      <c r="K6" s="59" t="str">
        <f t="shared" ref="K6:K69" si="0">CONCATENATE(TEXT(I6,"0.00")," (",TEXT(H6,"0.00")," – ",TEXT(J6,"0.00"),")")</f>
        <v>0.00 (0.00 – 0.00)</v>
      </c>
      <c r="L6" s="16" t="str">
        <f t="shared" ref="L6:L69" si="1">CONCATENATE(TEXT(I6,"0.00"),"
(",TEXT(H6,"0.00")," – ",TEXT(J6,"0.00"),")")</f>
        <v>0.00
(0.00 – 0.00)</v>
      </c>
      <c r="N6" s="59"/>
      <c r="O6" s="104"/>
    </row>
    <row r="7" spans="1:20" x14ac:dyDescent="0.25">
      <c r="B7" s="19"/>
      <c r="C7" s="19"/>
      <c r="F7" s="59"/>
      <c r="G7" s="54"/>
      <c r="H7" s="16"/>
      <c r="I7" s="16"/>
      <c r="J7" s="16"/>
      <c r="K7" s="59" t="str">
        <f t="shared" si="0"/>
        <v>0.00 (0.00 – 0.00)</v>
      </c>
      <c r="L7" s="16" t="str">
        <f t="shared" si="1"/>
        <v>0.00
(0.00 – 0.00)</v>
      </c>
      <c r="N7" s="59"/>
      <c r="O7" s="104"/>
    </row>
    <row r="8" spans="1:20" x14ac:dyDescent="0.25">
      <c r="F8" s="59"/>
      <c r="G8" s="54"/>
      <c r="H8" s="16"/>
      <c r="I8" s="16"/>
      <c r="J8" s="16"/>
      <c r="K8" s="59" t="str">
        <f t="shared" si="0"/>
        <v>0.00 (0.00 – 0.00)</v>
      </c>
      <c r="L8" s="16" t="str">
        <f t="shared" si="1"/>
        <v>0.00
(0.00 – 0.00)</v>
      </c>
      <c r="N8" s="59"/>
      <c r="O8" s="104"/>
    </row>
    <row r="9" spans="1:20" x14ac:dyDescent="0.25">
      <c r="B9" s="19"/>
      <c r="C9" s="19"/>
      <c r="F9" s="59"/>
      <c r="G9" s="54"/>
      <c r="H9" s="16"/>
      <c r="I9" s="16"/>
      <c r="J9" s="16"/>
      <c r="K9" s="59" t="str">
        <f t="shared" si="0"/>
        <v>0.00 (0.00 – 0.00)</v>
      </c>
      <c r="L9" s="16" t="str">
        <f t="shared" si="1"/>
        <v>0.00
(0.00 – 0.00)</v>
      </c>
      <c r="N9" s="59"/>
      <c r="O9" s="104"/>
    </row>
    <row r="10" spans="1:20" x14ac:dyDescent="0.25">
      <c r="B10" s="19"/>
      <c r="C10" s="19"/>
      <c r="F10" s="59"/>
      <c r="G10" s="54"/>
      <c r="H10" s="16"/>
      <c r="I10" s="16"/>
      <c r="J10" s="16"/>
      <c r="K10" s="59" t="str">
        <f t="shared" si="0"/>
        <v>0.00 (0.00 – 0.00)</v>
      </c>
      <c r="L10" s="16" t="str">
        <f t="shared" si="1"/>
        <v>0.00
(0.00 – 0.00)</v>
      </c>
      <c r="N10" s="59"/>
      <c r="O10" s="104"/>
    </row>
    <row r="11" spans="1:20" x14ac:dyDescent="0.25">
      <c r="F11" s="59"/>
      <c r="G11" s="54"/>
      <c r="H11" s="16"/>
      <c r="I11" s="16"/>
      <c r="J11" s="16"/>
      <c r="K11" s="59" t="str">
        <f t="shared" si="0"/>
        <v>0.00 (0.00 – 0.00)</v>
      </c>
      <c r="L11" s="16" t="str">
        <f t="shared" si="1"/>
        <v>0.00
(0.00 – 0.00)</v>
      </c>
      <c r="N11" s="59"/>
      <c r="O11" s="104"/>
    </row>
    <row r="12" spans="1:20" x14ac:dyDescent="0.25">
      <c r="B12" s="19"/>
      <c r="C12" s="19"/>
      <c r="F12" s="59"/>
      <c r="G12" s="54"/>
      <c r="H12" s="16"/>
      <c r="I12" s="16"/>
      <c r="J12" s="16"/>
      <c r="K12" s="59" t="str">
        <f t="shared" si="0"/>
        <v>0.00 (0.00 – 0.00)</v>
      </c>
      <c r="L12" s="16" t="str">
        <f t="shared" si="1"/>
        <v>0.00
(0.00 – 0.00)</v>
      </c>
      <c r="N12" s="59"/>
      <c r="O12" s="104"/>
    </row>
    <row r="13" spans="1:20" x14ac:dyDescent="0.25">
      <c r="F13" s="59"/>
      <c r="G13" s="54"/>
      <c r="H13" s="16"/>
      <c r="I13" s="16"/>
      <c r="J13" s="16"/>
      <c r="K13" s="59" t="str">
        <f t="shared" si="0"/>
        <v>0.00 (0.00 – 0.00)</v>
      </c>
      <c r="L13" s="16" t="str">
        <f t="shared" si="1"/>
        <v>0.00
(0.00 – 0.00)</v>
      </c>
      <c r="N13" s="59"/>
      <c r="O13" s="104"/>
    </row>
    <row r="14" spans="1:20" x14ac:dyDescent="0.25">
      <c r="F14" s="59"/>
      <c r="G14" s="54"/>
      <c r="H14" s="16"/>
      <c r="I14" s="16"/>
      <c r="J14" s="16"/>
      <c r="K14" s="59" t="str">
        <f t="shared" si="0"/>
        <v>0.00 (0.00 – 0.00)</v>
      </c>
      <c r="L14" s="16" t="str">
        <f t="shared" si="1"/>
        <v>0.00
(0.00 – 0.00)</v>
      </c>
      <c r="N14" s="59"/>
      <c r="O14" s="104"/>
    </row>
    <row r="15" spans="1:20" ht="15" customHeight="1" x14ac:dyDescent="0.25">
      <c r="K15" s="59" t="str">
        <f t="shared" si="0"/>
        <v>0.00 (0.00 – 0.00)</v>
      </c>
      <c r="L15" s="16" t="str">
        <f t="shared" si="1"/>
        <v>0.00
(0.00 – 0.00)</v>
      </c>
      <c r="N15" s="59"/>
      <c r="O15" s="16"/>
    </row>
    <row r="16" spans="1:20" ht="15" customHeight="1" x14ac:dyDescent="0.25">
      <c r="K16" s="59" t="str">
        <f t="shared" si="0"/>
        <v>0.00 (0.00 – 0.00)</v>
      </c>
      <c r="L16" s="16" t="str">
        <f t="shared" si="1"/>
        <v>0.00
(0.00 – 0.00)</v>
      </c>
      <c r="N16" s="59"/>
      <c r="O16" s="16"/>
    </row>
    <row r="17" spans="11:15" ht="15" customHeight="1" x14ac:dyDescent="0.25">
      <c r="K17" s="59" t="str">
        <f t="shared" si="0"/>
        <v>0.00 (0.00 – 0.00)</v>
      </c>
      <c r="L17" s="16" t="str">
        <f t="shared" si="1"/>
        <v>0.00
(0.00 – 0.00)</v>
      </c>
      <c r="N17" s="59"/>
      <c r="O17" s="16"/>
    </row>
    <row r="18" spans="11:15" ht="15" customHeight="1" x14ac:dyDescent="0.25">
      <c r="K18" s="59" t="str">
        <f t="shared" si="0"/>
        <v>0.00 (0.00 – 0.00)</v>
      </c>
      <c r="L18" s="16" t="str">
        <f t="shared" si="1"/>
        <v>0.00
(0.00 – 0.00)</v>
      </c>
      <c r="N18" s="59"/>
      <c r="O18" s="16"/>
    </row>
    <row r="19" spans="11:15" ht="15" customHeight="1" x14ac:dyDescent="0.25">
      <c r="K19" s="59" t="str">
        <f t="shared" si="0"/>
        <v>0.00 (0.00 – 0.00)</v>
      </c>
      <c r="L19" s="16" t="str">
        <f t="shared" si="1"/>
        <v>0.00
(0.00 – 0.00)</v>
      </c>
      <c r="N19" s="59"/>
      <c r="O19" s="16"/>
    </row>
    <row r="20" spans="11:15" ht="15" customHeight="1" x14ac:dyDescent="0.25">
      <c r="K20" s="59" t="str">
        <f t="shared" si="0"/>
        <v>0.00 (0.00 – 0.00)</v>
      </c>
      <c r="L20" s="16" t="str">
        <f t="shared" si="1"/>
        <v>0.00
(0.00 – 0.00)</v>
      </c>
      <c r="N20" s="59"/>
      <c r="O20" s="16"/>
    </row>
    <row r="21" spans="11:15" ht="15" customHeight="1" x14ac:dyDescent="0.25">
      <c r="K21" s="59" t="str">
        <f t="shared" si="0"/>
        <v>0.00 (0.00 – 0.00)</v>
      </c>
      <c r="L21" s="16" t="str">
        <f t="shared" si="1"/>
        <v>0.00
(0.00 – 0.00)</v>
      </c>
      <c r="N21" s="59"/>
      <c r="O21" s="16"/>
    </row>
    <row r="22" spans="11:15" ht="15" customHeight="1" x14ac:dyDescent="0.25">
      <c r="K22" s="59" t="str">
        <f t="shared" si="0"/>
        <v>0.00 (0.00 – 0.00)</v>
      </c>
      <c r="L22" s="16" t="str">
        <f t="shared" si="1"/>
        <v>0.00
(0.00 – 0.00)</v>
      </c>
      <c r="N22" s="59"/>
      <c r="O22" s="16"/>
    </row>
    <row r="23" spans="11:15" ht="15" customHeight="1" x14ac:dyDescent="0.25">
      <c r="K23" s="59" t="str">
        <f t="shared" si="0"/>
        <v>0.00 (0.00 – 0.00)</v>
      </c>
      <c r="L23" s="16" t="str">
        <f t="shared" si="1"/>
        <v>0.00
(0.00 – 0.00)</v>
      </c>
      <c r="N23" s="59"/>
      <c r="O23" s="16"/>
    </row>
    <row r="24" spans="11:15" ht="15" customHeight="1" x14ac:dyDescent="0.25">
      <c r="K24" s="59" t="str">
        <f t="shared" si="0"/>
        <v>0.00 (0.00 – 0.00)</v>
      </c>
      <c r="L24" s="16" t="str">
        <f t="shared" si="1"/>
        <v>0.00
(0.00 – 0.00)</v>
      </c>
      <c r="N24" s="59"/>
      <c r="O24" s="16"/>
    </row>
    <row r="25" spans="11:15" ht="15" customHeight="1" x14ac:dyDescent="0.25">
      <c r="K25" s="59" t="str">
        <f t="shared" si="0"/>
        <v>0.00 (0.00 – 0.00)</v>
      </c>
      <c r="L25" s="16" t="str">
        <f t="shared" si="1"/>
        <v>0.00
(0.00 – 0.00)</v>
      </c>
      <c r="N25" s="59"/>
      <c r="O25" s="16"/>
    </row>
    <row r="26" spans="11:15" ht="15" customHeight="1" x14ac:dyDescent="0.25">
      <c r="K26" s="59" t="str">
        <f t="shared" si="0"/>
        <v>0.00 (0.00 – 0.00)</v>
      </c>
      <c r="L26" s="16" t="str">
        <f t="shared" si="1"/>
        <v>0.00
(0.00 – 0.00)</v>
      </c>
      <c r="N26" s="59"/>
      <c r="O26" s="16"/>
    </row>
    <row r="27" spans="11:15" ht="15" customHeight="1" x14ac:dyDescent="0.25">
      <c r="K27" s="59" t="str">
        <f t="shared" si="0"/>
        <v>0.00 (0.00 – 0.00)</v>
      </c>
      <c r="L27" s="16" t="str">
        <f t="shared" si="1"/>
        <v>0.00
(0.00 – 0.00)</v>
      </c>
      <c r="N27" s="59"/>
      <c r="O27" s="16"/>
    </row>
    <row r="28" spans="11:15" ht="15" customHeight="1" x14ac:dyDescent="0.25">
      <c r="K28" s="59" t="str">
        <f t="shared" si="0"/>
        <v>0.00 (0.00 – 0.00)</v>
      </c>
      <c r="L28" s="16" t="str">
        <f t="shared" si="1"/>
        <v>0.00
(0.00 – 0.00)</v>
      </c>
      <c r="N28" s="59"/>
      <c r="O28" s="16"/>
    </row>
    <row r="29" spans="11:15" ht="15" customHeight="1" x14ac:dyDescent="0.25">
      <c r="K29" s="59" t="str">
        <f t="shared" si="0"/>
        <v>0.00 (0.00 – 0.00)</v>
      </c>
      <c r="L29" s="16" t="str">
        <f t="shared" si="1"/>
        <v>0.00
(0.00 – 0.00)</v>
      </c>
      <c r="N29" s="59"/>
      <c r="O29" s="16"/>
    </row>
    <row r="30" spans="11:15" ht="15" customHeight="1" x14ac:dyDescent="0.25">
      <c r="K30" s="59" t="str">
        <f t="shared" si="0"/>
        <v>0.00 (0.00 – 0.00)</v>
      </c>
      <c r="L30" s="16" t="str">
        <f t="shared" si="1"/>
        <v>0.00
(0.00 – 0.00)</v>
      </c>
      <c r="N30" s="59"/>
      <c r="O30" s="16"/>
    </row>
    <row r="31" spans="11:15" ht="15" customHeight="1" x14ac:dyDescent="0.25">
      <c r="K31" s="59" t="str">
        <f t="shared" si="0"/>
        <v>0.00 (0.00 – 0.00)</v>
      </c>
      <c r="L31" s="16" t="str">
        <f t="shared" si="1"/>
        <v>0.00
(0.00 – 0.00)</v>
      </c>
      <c r="N31" s="59"/>
      <c r="O31" s="16"/>
    </row>
    <row r="32" spans="11: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K34" s="59" t="str">
        <f t="shared" si="0"/>
        <v>0.00 (0.00 – 0.00)</v>
      </c>
      <c r="L34" s="16" t="str">
        <f t="shared" si="1"/>
        <v>0.00
(0.00 – 0.00)</v>
      </c>
      <c r="N34" s="59"/>
      <c r="O34" s="16"/>
    </row>
    <row r="35" spans="3:15" ht="15" customHeight="1" x14ac:dyDescent="0.25">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E37" s="57"/>
      <c r="F37" s="57"/>
      <c r="G37" s="57"/>
      <c r="H37" s="57"/>
      <c r="I37" s="57"/>
      <c r="J37" s="57"/>
      <c r="K37" s="59" t="str">
        <f t="shared" si="0"/>
        <v>0.00 (0.00 – 0.00)</v>
      </c>
      <c r="L37" s="16" t="str">
        <f t="shared" si="1"/>
        <v>0.00
(0.00 – 0.00)</v>
      </c>
      <c r="M37" s="57"/>
      <c r="N37" s="59"/>
      <c r="O37" s="16"/>
    </row>
    <row r="38" spans="3:15" ht="15" customHeight="1" x14ac:dyDescent="0.25">
      <c r="C38" s="56"/>
      <c r="D38" s="57"/>
      <c r="E38" s="57"/>
      <c r="F38" s="57"/>
      <c r="G38" s="57"/>
      <c r="H38" s="57"/>
      <c r="I38" s="57"/>
      <c r="J38" s="57"/>
      <c r="K38" s="59" t="str">
        <f t="shared" si="0"/>
        <v>0.00 (0.00 – 0.00)</v>
      </c>
      <c r="L38" s="16" t="str">
        <f t="shared" si="1"/>
        <v>0.00
(0.00 – 0.00)</v>
      </c>
      <c r="M38" s="57"/>
      <c r="N38" s="59"/>
      <c r="O38" s="16"/>
    </row>
    <row r="39" spans="3:15" ht="15" customHeight="1" x14ac:dyDescent="0.25">
      <c r="C39" s="56"/>
      <c r="D39" s="57"/>
      <c r="E39" s="57"/>
      <c r="F39" s="57"/>
      <c r="G39" s="57"/>
      <c r="H39" s="57"/>
      <c r="I39" s="57"/>
      <c r="J39" s="57"/>
      <c r="K39" s="59" t="str">
        <f t="shared" si="0"/>
        <v>0.00 (0.00 – 0.00)</v>
      </c>
      <c r="L39" s="16" t="str">
        <f t="shared" si="1"/>
        <v>0.00
(0.00 – 0.00)</v>
      </c>
      <c r="M39" s="57"/>
      <c r="N39" s="59"/>
      <c r="O39" s="16"/>
    </row>
    <row r="40" spans="3:15" ht="15" customHeight="1" x14ac:dyDescent="0.25">
      <c r="C40" s="56"/>
      <c r="D40" s="57"/>
      <c r="E40" s="57"/>
      <c r="F40" s="57"/>
      <c r="G40" s="57"/>
      <c r="H40" s="57"/>
      <c r="I40" s="57"/>
      <c r="J40" s="57"/>
      <c r="K40" s="59" t="str">
        <f t="shared" si="0"/>
        <v>0.00 (0.00 – 0.00)</v>
      </c>
      <c r="L40" s="16" t="str">
        <f t="shared" si="1"/>
        <v>0.00
(0.00 – 0.00)</v>
      </c>
      <c r="M40" s="57"/>
      <c r="N40" s="59"/>
      <c r="O40" s="16"/>
    </row>
    <row r="41" spans="3:15" ht="15" hidden="1" customHeight="1" x14ac:dyDescent="0.25">
      <c r="C41" s="56"/>
      <c r="D41" s="57"/>
      <c r="E41" s="57"/>
      <c r="F41" s="57"/>
      <c r="G41" s="57"/>
      <c r="H41" s="57"/>
      <c r="I41" s="57"/>
      <c r="J41" s="57"/>
      <c r="K41" s="59" t="str">
        <f t="shared" si="0"/>
        <v>0.00 (0.00 – 0.00)</v>
      </c>
      <c r="L41" s="16" t="str">
        <f t="shared" si="1"/>
        <v>0.00
(0.00 – 0.00)</v>
      </c>
      <c r="M41" s="57"/>
      <c r="N41" s="59"/>
      <c r="O41" s="16"/>
    </row>
    <row r="42" spans="3:15" ht="15" hidden="1" customHeight="1" x14ac:dyDescent="0.25">
      <c r="C42" s="56"/>
      <c r="D42" s="57"/>
      <c r="E42" s="57"/>
      <c r="F42" s="57"/>
      <c r="G42" s="57"/>
      <c r="H42" s="57"/>
      <c r="I42" s="57"/>
      <c r="J42" s="57"/>
      <c r="K42" s="59" t="str">
        <f t="shared" si="0"/>
        <v>0.00 (0.00 – 0.00)</v>
      </c>
      <c r="L42" s="16" t="str">
        <f t="shared" si="1"/>
        <v>0.00
(0.00 – 0.00)</v>
      </c>
      <c r="M42" s="57"/>
      <c r="N42" s="59"/>
      <c r="O42" s="16"/>
    </row>
    <row r="43" spans="3:15" ht="15" hidden="1" customHeight="1" x14ac:dyDescent="0.25">
      <c r="C43" s="56"/>
      <c r="D43" s="57"/>
      <c r="E43" s="57"/>
      <c r="F43" s="57"/>
      <c r="G43" s="57"/>
      <c r="H43" s="57"/>
      <c r="I43" s="57"/>
      <c r="J43" s="57"/>
      <c r="K43" s="59" t="str">
        <f t="shared" si="0"/>
        <v>0.00 (0.00 – 0.00)</v>
      </c>
      <c r="L43" s="16" t="str">
        <f t="shared" si="1"/>
        <v>0.00
(0.00 – 0.00)</v>
      </c>
      <c r="M43" s="57"/>
      <c r="N43" s="59"/>
      <c r="O43" s="16"/>
    </row>
    <row r="44" spans="3:15" ht="15" hidden="1" customHeight="1" x14ac:dyDescent="0.25">
      <c r="C44" s="56"/>
      <c r="D44" s="57"/>
      <c r="E44" s="57"/>
      <c r="F44" s="57"/>
      <c r="G44" s="57"/>
      <c r="H44" s="57"/>
      <c r="I44" s="57"/>
      <c r="J44" s="57"/>
      <c r="K44" s="59" t="str">
        <f t="shared" si="0"/>
        <v>0.00 (0.00 – 0.00)</v>
      </c>
      <c r="L44" s="16" t="str">
        <f t="shared" si="1"/>
        <v>0.00
(0.00 – 0.00)</v>
      </c>
      <c r="M44" s="57"/>
      <c r="N44" s="59"/>
      <c r="O44" s="16"/>
    </row>
    <row r="45" spans="3:15" ht="15" hidden="1" customHeight="1" x14ac:dyDescent="0.25">
      <c r="C45" s="56"/>
      <c r="D45" s="57"/>
      <c r="E45" s="57"/>
      <c r="F45" s="57"/>
      <c r="G45" s="57"/>
      <c r="H45" s="57"/>
      <c r="I45" s="57"/>
      <c r="J45" s="57"/>
      <c r="K45" s="59" t="str">
        <f t="shared" si="0"/>
        <v>0.00 (0.00 – 0.00)</v>
      </c>
      <c r="L45" s="16" t="str">
        <f t="shared" si="1"/>
        <v>0.00
(0.00 – 0.00)</v>
      </c>
      <c r="M45" s="57"/>
      <c r="N45" s="59"/>
      <c r="O45" s="16"/>
    </row>
    <row r="46" spans="3:15" ht="15" hidden="1" customHeight="1" x14ac:dyDescent="0.25">
      <c r="C46" s="56"/>
      <c r="D46" s="57"/>
      <c r="E46" s="57"/>
      <c r="F46" s="57"/>
      <c r="G46" s="57"/>
      <c r="H46" s="57"/>
      <c r="I46" s="57"/>
      <c r="J46" s="57"/>
      <c r="K46" s="59" t="str">
        <f t="shared" si="0"/>
        <v>0.00 (0.00 – 0.00)</v>
      </c>
      <c r="L46" s="16" t="str">
        <f t="shared" si="1"/>
        <v>0.00
(0.00 – 0.00)</v>
      </c>
      <c r="M46" s="57"/>
      <c r="N46" s="59"/>
      <c r="O46" s="16"/>
    </row>
    <row r="47" spans="3:15" ht="15" hidden="1" customHeight="1" x14ac:dyDescent="0.25">
      <c r="C47" s="56"/>
      <c r="D47" s="57"/>
      <c r="E47" s="57"/>
      <c r="F47" s="57"/>
      <c r="G47" s="57"/>
      <c r="H47" s="57"/>
      <c r="I47" s="57"/>
      <c r="J47" s="57"/>
      <c r="K47" s="59" t="str">
        <f t="shared" si="0"/>
        <v>0.00 (0.00 – 0.00)</v>
      </c>
      <c r="L47" s="16" t="str">
        <f t="shared" si="1"/>
        <v>0.00
(0.00 – 0.00)</v>
      </c>
      <c r="M47" s="57"/>
      <c r="N47" s="59"/>
      <c r="O47" s="16"/>
    </row>
    <row r="48" spans="3:15"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0.1208 
95% CrI (0.03924 – 0.361)</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358</v>
      </c>
      <c r="B5" s="54">
        <v>7</v>
      </c>
      <c r="C5" s="54">
        <v>1.776</v>
      </c>
      <c r="E5" s="57">
        <v>8</v>
      </c>
      <c r="F5" s="57">
        <v>2</v>
      </c>
      <c r="G5" s="57" t="s">
        <v>661</v>
      </c>
      <c r="H5" s="57">
        <v>3.7439999999999999E-3</v>
      </c>
      <c r="I5" s="57">
        <v>1.282</v>
      </c>
      <c r="J5" s="57">
        <v>226.6</v>
      </c>
      <c r="K5" s="59" t="str">
        <f t="shared" ref="K5:K40" si="0">CONCATENATE(TEXT(I5,"0.00")," (",TEXT(H5,"0.00")," – ",TEXT(J5,"0.00"),")")</f>
        <v>1.28 (0.00 – 226.60)</v>
      </c>
      <c r="L5" s="16" t="str">
        <f t="shared" ref="L5:L40" si="1">CONCATENATE(TEXT(I5,"0.00"),"
(",TEXT(H5,"0.00")," – ",TEXT(J5,"0.00"),")")</f>
        <v>1.28
(0.00 – 226.60)</v>
      </c>
      <c r="N5" s="59" t="s">
        <v>407</v>
      </c>
      <c r="O5" s="16" t="s">
        <v>648</v>
      </c>
      <c r="P5">
        <v>0.17610000000000001</v>
      </c>
      <c r="Q5">
        <v>0.29199999999999998</v>
      </c>
      <c r="R5">
        <v>0.46300000000000002</v>
      </c>
      <c r="S5">
        <v>2</v>
      </c>
      <c r="T5">
        <v>1</v>
      </c>
    </row>
    <row r="6" spans="1:20" x14ac:dyDescent="0.25">
      <c r="A6" t="s">
        <v>355</v>
      </c>
      <c r="B6" s="19">
        <v>4</v>
      </c>
      <c r="C6" s="19">
        <v>2.6560000000000001</v>
      </c>
      <c r="E6" s="57">
        <v>9</v>
      </c>
      <c r="F6" s="57">
        <v>3</v>
      </c>
      <c r="G6" s="57" t="s">
        <v>668</v>
      </c>
      <c r="H6" s="57">
        <v>0.21440000000000001</v>
      </c>
      <c r="I6" s="57">
        <v>1.119</v>
      </c>
      <c r="J6" s="57">
        <v>6.1509999999999998</v>
      </c>
      <c r="K6" s="59" t="str">
        <f t="shared" si="0"/>
        <v>1.12 (0.21 – 6.15)</v>
      </c>
      <c r="L6" s="16" t="str">
        <f t="shared" si="1"/>
        <v>1.12
(0.21 – 6.15)</v>
      </c>
      <c r="N6" s="59" t="s">
        <v>408</v>
      </c>
      <c r="O6" s="16" t="s">
        <v>649</v>
      </c>
      <c r="P6">
        <v>4.3060000000000001E-2</v>
      </c>
      <c r="Q6">
        <v>0.1968</v>
      </c>
      <c r="R6">
        <v>0.92159999999999997</v>
      </c>
      <c r="S6">
        <v>3</v>
      </c>
      <c r="T6">
        <v>1</v>
      </c>
    </row>
    <row r="7" spans="1:20" x14ac:dyDescent="0.25">
      <c r="A7" t="s">
        <v>360</v>
      </c>
      <c r="B7" s="19">
        <v>9</v>
      </c>
      <c r="C7" s="19">
        <v>4.1280000000000001</v>
      </c>
      <c r="E7" s="57">
        <v>8</v>
      </c>
      <c r="F7" s="57">
        <v>5</v>
      </c>
      <c r="G7" s="57" t="s">
        <v>676</v>
      </c>
      <c r="H7" s="57">
        <v>1.392E-3</v>
      </c>
      <c r="I7" s="57">
        <v>0.82840000000000003</v>
      </c>
      <c r="J7" s="57">
        <v>205.2</v>
      </c>
      <c r="K7" s="59" t="str">
        <f t="shared" si="0"/>
        <v>0.83 (0.00 – 205.20)</v>
      </c>
      <c r="L7" s="16" t="str">
        <f t="shared" si="1"/>
        <v>0.83
(0.00 – 205.20)</v>
      </c>
      <c r="N7" s="59" t="s">
        <v>409</v>
      </c>
      <c r="O7" s="16" t="s">
        <v>650</v>
      </c>
      <c r="P7">
        <v>1.9259999999999999E-2</v>
      </c>
      <c r="Q7">
        <v>0.10440000000000001</v>
      </c>
      <c r="R7">
        <v>0.57699999999999996</v>
      </c>
      <c r="S7">
        <v>4</v>
      </c>
      <c r="T7">
        <v>1</v>
      </c>
    </row>
    <row r="8" spans="1:20" x14ac:dyDescent="0.25">
      <c r="A8" t="s">
        <v>354</v>
      </c>
      <c r="B8" s="54">
        <v>3</v>
      </c>
      <c r="C8" s="54">
        <v>4.2190000000000003</v>
      </c>
      <c r="E8" s="19">
        <v>9</v>
      </c>
      <c r="F8" s="19">
        <v>2</v>
      </c>
      <c r="G8" s="19" t="s">
        <v>662</v>
      </c>
      <c r="H8" s="19">
        <v>0.3674</v>
      </c>
      <c r="I8" s="19">
        <v>0.76129999999999998</v>
      </c>
      <c r="J8" s="19">
        <v>1.554</v>
      </c>
      <c r="K8" s="59" t="str">
        <f t="shared" si="0"/>
        <v>0.76 (0.37 – 1.55)</v>
      </c>
      <c r="L8" s="16" t="str">
        <f t="shared" si="1"/>
        <v>0.76
(0.37 – 1.55)</v>
      </c>
      <c r="N8" s="59" t="s">
        <v>410</v>
      </c>
      <c r="O8" s="16" t="s">
        <v>651</v>
      </c>
      <c r="P8">
        <v>6.368E-2</v>
      </c>
      <c r="Q8">
        <v>0.4718</v>
      </c>
      <c r="R8">
        <v>3.875</v>
      </c>
      <c r="S8">
        <v>5</v>
      </c>
      <c r="T8">
        <v>1</v>
      </c>
    </row>
    <row r="9" spans="1:20" x14ac:dyDescent="0.25">
      <c r="A9" t="s">
        <v>359</v>
      </c>
      <c r="B9" s="19">
        <v>8</v>
      </c>
      <c r="C9" s="19">
        <v>5.03</v>
      </c>
      <c r="E9" s="19">
        <v>3</v>
      </c>
      <c r="F9" s="59">
        <v>2</v>
      </c>
      <c r="G9" s="54" t="s">
        <v>656</v>
      </c>
      <c r="H9" s="16">
        <v>0.15229999999999999</v>
      </c>
      <c r="I9" s="16">
        <v>0.68159999999999998</v>
      </c>
      <c r="J9" s="16">
        <v>2.9910000000000001</v>
      </c>
      <c r="K9" s="59" t="str">
        <f t="shared" si="0"/>
        <v>0.68 (0.15 – 2.99)</v>
      </c>
      <c r="L9" s="16" t="str">
        <f t="shared" si="1"/>
        <v>0.68
(0.15 – 2.99)</v>
      </c>
      <c r="N9" s="59" t="s">
        <v>411</v>
      </c>
      <c r="O9" s="16" t="s">
        <v>652</v>
      </c>
      <c r="P9">
        <v>0.624</v>
      </c>
      <c r="Q9">
        <v>11500000000</v>
      </c>
      <c r="R9">
        <v>4.337E+17</v>
      </c>
      <c r="S9">
        <v>6</v>
      </c>
      <c r="T9">
        <v>1</v>
      </c>
    </row>
    <row r="10" spans="1:20" x14ac:dyDescent="0.25">
      <c r="A10" t="s">
        <v>353</v>
      </c>
      <c r="B10" s="54">
        <v>2</v>
      </c>
      <c r="C10" s="54">
        <v>5.0609999999999999</v>
      </c>
      <c r="E10" s="57">
        <v>2</v>
      </c>
      <c r="F10" s="57">
        <v>5</v>
      </c>
      <c r="G10" s="57" t="s">
        <v>714</v>
      </c>
      <c r="H10" s="57">
        <v>8.4388185654008435E-2</v>
      </c>
      <c r="I10" s="57">
        <v>0.6082725060827251</v>
      </c>
      <c r="J10" s="57">
        <v>4.230118443316413</v>
      </c>
      <c r="K10" s="59" t="str">
        <f t="shared" si="0"/>
        <v>0.61 (0.08 – 4.23)</v>
      </c>
      <c r="L10" s="16" t="str">
        <f t="shared" si="1"/>
        <v>0.61
(0.08 – 4.23)</v>
      </c>
      <c r="N10" s="59" t="s">
        <v>412</v>
      </c>
      <c r="O10" s="16" t="s">
        <v>653</v>
      </c>
      <c r="P10">
        <v>1.3339999999999999E-4</v>
      </c>
      <c r="Q10">
        <v>2.0789999999999999E-2</v>
      </c>
      <c r="R10">
        <v>0.51800000000000002</v>
      </c>
      <c r="S10">
        <v>7</v>
      </c>
      <c r="T10">
        <v>1</v>
      </c>
    </row>
    <row r="11" spans="1:20" x14ac:dyDescent="0.25">
      <c r="A11" t="s">
        <v>356</v>
      </c>
      <c r="B11" s="19">
        <v>5</v>
      </c>
      <c r="C11" s="19">
        <v>5.8390000000000004</v>
      </c>
      <c r="E11" s="57">
        <v>9</v>
      </c>
      <c r="F11" s="57">
        <v>8</v>
      </c>
      <c r="G11" s="57" t="s">
        <v>683</v>
      </c>
      <c r="H11" s="57">
        <v>3.0899999999999999E-3</v>
      </c>
      <c r="I11" s="57">
        <v>0.58789999999999998</v>
      </c>
      <c r="J11" s="57">
        <v>248.4</v>
      </c>
      <c r="K11" s="59" t="str">
        <f t="shared" si="0"/>
        <v>0.59 (0.00 – 248.40)</v>
      </c>
      <c r="L11" s="16" t="str">
        <f t="shared" si="1"/>
        <v>0.59
(0.00 – 248.40)</v>
      </c>
      <c r="N11" s="59" t="s">
        <v>413</v>
      </c>
      <c r="O11" s="16" t="s">
        <v>654</v>
      </c>
      <c r="P11">
        <v>9.9010000000000005E-4</v>
      </c>
      <c r="Q11">
        <v>0.37159999999999999</v>
      </c>
      <c r="R11">
        <v>67.959999999999994</v>
      </c>
      <c r="S11">
        <v>8</v>
      </c>
      <c r="T11">
        <v>1</v>
      </c>
    </row>
    <row r="12" spans="1:20" x14ac:dyDescent="0.25">
      <c r="A12" t="s">
        <v>352</v>
      </c>
      <c r="B12" s="54">
        <v>1</v>
      </c>
      <c r="C12" s="54">
        <v>7.4130000000000003</v>
      </c>
      <c r="E12" s="19">
        <v>4</v>
      </c>
      <c r="F12" s="19">
        <v>3</v>
      </c>
      <c r="G12" s="19" t="s">
        <v>663</v>
      </c>
      <c r="H12" s="19">
        <v>0.2185</v>
      </c>
      <c r="I12" s="19">
        <v>0.54869999999999997</v>
      </c>
      <c r="J12" s="19">
        <v>1.266</v>
      </c>
      <c r="K12" s="59" t="str">
        <f t="shared" si="0"/>
        <v>0.55 (0.22 – 1.27)</v>
      </c>
      <c r="L12" s="16" t="str">
        <f t="shared" si="1"/>
        <v>0.55
(0.22 – 1.27)</v>
      </c>
      <c r="N12" s="59" t="s">
        <v>414</v>
      </c>
      <c r="O12" s="16" t="s">
        <v>655</v>
      </c>
      <c r="P12">
        <v>0.1235</v>
      </c>
      <c r="Q12">
        <v>0.21940000000000001</v>
      </c>
      <c r="R12">
        <v>0.38030000000000003</v>
      </c>
      <c r="S12">
        <v>9</v>
      </c>
      <c r="T12">
        <v>1</v>
      </c>
    </row>
    <row r="13" spans="1:20" x14ac:dyDescent="0.25">
      <c r="A13" t="s">
        <v>357</v>
      </c>
      <c r="B13" s="19">
        <v>6</v>
      </c>
      <c r="C13" s="19">
        <v>8.8770000000000007</v>
      </c>
      <c r="E13" s="19">
        <v>3</v>
      </c>
      <c r="F13" s="19">
        <v>8</v>
      </c>
      <c r="G13" s="19" t="s">
        <v>686</v>
      </c>
      <c r="H13" s="19">
        <v>2.4050024050024051E-3</v>
      </c>
      <c r="I13" s="19">
        <v>0.53361792956243326</v>
      </c>
      <c r="J13" s="19">
        <v>166.25103906899417</v>
      </c>
      <c r="K13" s="59" t="str">
        <f t="shared" si="0"/>
        <v>0.53 (0.00 – 166.25)</v>
      </c>
      <c r="L13" s="16" t="str">
        <f t="shared" si="1"/>
        <v>0.53
(0.00 – 166.25)</v>
      </c>
      <c r="N13" s="59" t="s">
        <v>415</v>
      </c>
      <c r="O13" s="16" t="s">
        <v>656</v>
      </c>
      <c r="P13">
        <v>0.15229999999999999</v>
      </c>
      <c r="Q13">
        <v>0.68159999999999998</v>
      </c>
      <c r="R13">
        <v>2.9910000000000001</v>
      </c>
      <c r="S13">
        <v>3</v>
      </c>
      <c r="T13">
        <v>2</v>
      </c>
    </row>
    <row r="14" spans="1:20" x14ac:dyDescent="0.25">
      <c r="E14" s="19">
        <v>4</v>
      </c>
      <c r="F14" s="59">
        <v>9</v>
      </c>
      <c r="G14" s="54" t="s">
        <v>684</v>
      </c>
      <c r="H14" s="16">
        <v>7.662835249042145E-2</v>
      </c>
      <c r="I14" s="16">
        <v>0.47641734159123389</v>
      </c>
      <c r="J14" s="16">
        <v>2.9316915860451478</v>
      </c>
      <c r="K14" s="59" t="str">
        <f t="shared" si="0"/>
        <v>0.48 (0.08 – 2.93)</v>
      </c>
      <c r="L14" s="16" t="str">
        <f t="shared" si="1"/>
        <v>0.48
(0.08 – 2.93)</v>
      </c>
      <c r="N14" s="59" t="s">
        <v>416</v>
      </c>
      <c r="O14" s="16" t="s">
        <v>657</v>
      </c>
      <c r="P14">
        <v>7.1749999999999994E-2</v>
      </c>
      <c r="Q14">
        <v>0.35449999999999998</v>
      </c>
      <c r="R14">
        <v>1.9750000000000001</v>
      </c>
      <c r="S14">
        <v>4</v>
      </c>
      <c r="T14">
        <v>2</v>
      </c>
    </row>
    <row r="15" spans="1:20" ht="15" customHeight="1" x14ac:dyDescent="0.25">
      <c r="E15" s="19">
        <v>5</v>
      </c>
      <c r="F15" s="19">
        <v>1</v>
      </c>
      <c r="G15" s="19" t="s">
        <v>651</v>
      </c>
      <c r="H15" s="19">
        <v>6.368E-2</v>
      </c>
      <c r="I15" s="19">
        <v>0.4718</v>
      </c>
      <c r="J15" s="19">
        <v>3.875</v>
      </c>
      <c r="K15" s="59" t="str">
        <f t="shared" si="0"/>
        <v>0.47 (0.06 – 3.88)</v>
      </c>
      <c r="L15" s="16" t="str">
        <f t="shared" si="1"/>
        <v>0.47
(0.06 – 3.88)</v>
      </c>
      <c r="N15" s="59" t="s">
        <v>417</v>
      </c>
      <c r="O15" s="16" t="s">
        <v>658</v>
      </c>
      <c r="P15">
        <v>0.2364</v>
      </c>
      <c r="Q15">
        <v>1.6439999999999999</v>
      </c>
      <c r="R15">
        <v>11.85</v>
      </c>
      <c r="S15">
        <v>5</v>
      </c>
      <c r="T15">
        <v>2</v>
      </c>
    </row>
    <row r="16" spans="1:20" ht="15" customHeight="1" x14ac:dyDescent="0.25">
      <c r="E16" s="57">
        <v>9</v>
      </c>
      <c r="F16" s="57">
        <v>5</v>
      </c>
      <c r="G16" s="57" t="s">
        <v>677</v>
      </c>
      <c r="H16" s="57">
        <v>5.5969999999999999E-2</v>
      </c>
      <c r="I16" s="57">
        <v>0.46189999999999998</v>
      </c>
      <c r="J16" s="57">
        <v>3.4369999999999998</v>
      </c>
      <c r="K16" s="59" t="str">
        <f t="shared" si="0"/>
        <v>0.46 (0.06 – 3.44)</v>
      </c>
      <c r="L16" s="16" t="str">
        <f t="shared" si="1"/>
        <v>0.46
(0.06 – 3.44)</v>
      </c>
      <c r="N16" s="59" t="s">
        <v>418</v>
      </c>
      <c r="O16" s="16" t="s">
        <v>659</v>
      </c>
      <c r="P16">
        <v>1.986</v>
      </c>
      <c r="Q16">
        <v>45280000000</v>
      </c>
      <c r="R16">
        <v>1.374E+18</v>
      </c>
      <c r="S16">
        <v>6</v>
      </c>
      <c r="T16">
        <v>2</v>
      </c>
    </row>
    <row r="17" spans="5:20" ht="15" customHeight="1" x14ac:dyDescent="0.25">
      <c r="E17" s="19">
        <v>3</v>
      </c>
      <c r="F17" s="59">
        <v>5</v>
      </c>
      <c r="G17" s="54" t="s">
        <v>712</v>
      </c>
      <c r="H17" s="16">
        <v>2.9673590504451036E-2</v>
      </c>
      <c r="I17" s="16">
        <v>0.40749796251018744</v>
      </c>
      <c r="J17" s="16">
        <v>5.1466803911477097</v>
      </c>
      <c r="K17" s="59" t="str">
        <f t="shared" si="0"/>
        <v>0.41 (0.03 – 5.15)</v>
      </c>
      <c r="L17" s="16" t="str">
        <f t="shared" si="1"/>
        <v>0.41
(0.03 – 5.15)</v>
      </c>
      <c r="N17" s="59" t="s">
        <v>419</v>
      </c>
      <c r="O17" s="16" t="s">
        <v>660</v>
      </c>
      <c r="P17">
        <v>5.218E-4</v>
      </c>
      <c r="Q17">
        <v>7.0669999999999997E-2</v>
      </c>
      <c r="R17">
        <v>1.8380000000000001</v>
      </c>
      <c r="S17">
        <v>7</v>
      </c>
      <c r="T17">
        <v>2</v>
      </c>
    </row>
    <row r="18" spans="5:20" ht="15" customHeight="1" x14ac:dyDescent="0.25">
      <c r="E18" s="19">
        <v>8</v>
      </c>
      <c r="F18" s="19">
        <v>1</v>
      </c>
      <c r="G18" s="19" t="s">
        <v>654</v>
      </c>
      <c r="H18" s="19">
        <v>9.9010000000000005E-4</v>
      </c>
      <c r="I18" s="19">
        <v>0.37159999999999999</v>
      </c>
      <c r="J18" s="19">
        <v>67.959999999999994</v>
      </c>
      <c r="K18" s="59" t="str">
        <f t="shared" si="0"/>
        <v>0.37 (0.00 – 67.96)</v>
      </c>
      <c r="L18" s="16" t="str">
        <f t="shared" si="1"/>
        <v>0.37
(0.00 – 67.96)</v>
      </c>
      <c r="N18" s="59" t="s">
        <v>420</v>
      </c>
      <c r="O18" s="16" t="s">
        <v>661</v>
      </c>
      <c r="P18">
        <v>3.7439999999999999E-3</v>
      </c>
      <c r="Q18">
        <v>1.282</v>
      </c>
      <c r="R18">
        <v>226.6</v>
      </c>
      <c r="S18">
        <v>8</v>
      </c>
      <c r="T18">
        <v>2</v>
      </c>
    </row>
    <row r="19" spans="5:20" ht="15" customHeight="1" x14ac:dyDescent="0.25">
      <c r="E19" s="57">
        <v>4</v>
      </c>
      <c r="F19" s="57">
        <v>2</v>
      </c>
      <c r="G19" s="57" t="s">
        <v>657</v>
      </c>
      <c r="H19" s="57">
        <v>7.1749999999999994E-2</v>
      </c>
      <c r="I19" s="57">
        <v>0.35449999999999998</v>
      </c>
      <c r="J19" s="57">
        <v>1.9750000000000001</v>
      </c>
      <c r="K19" s="59" t="str">
        <f t="shared" si="0"/>
        <v>0.35 (0.07 – 1.98)</v>
      </c>
      <c r="L19" s="16" t="str">
        <f t="shared" si="1"/>
        <v>0.35
(0.07 – 1.98)</v>
      </c>
      <c r="N19" s="59" t="s">
        <v>421</v>
      </c>
      <c r="O19" s="16" t="s">
        <v>662</v>
      </c>
      <c r="P19">
        <v>0.3674</v>
      </c>
      <c r="Q19">
        <v>0.76129999999999998</v>
      </c>
      <c r="R19">
        <v>1.554</v>
      </c>
      <c r="S19">
        <v>9</v>
      </c>
      <c r="T19">
        <v>2</v>
      </c>
    </row>
    <row r="20" spans="5:20" ht="15" customHeight="1" x14ac:dyDescent="0.25">
      <c r="E20" s="19">
        <v>2</v>
      </c>
      <c r="F20" s="19">
        <v>1</v>
      </c>
      <c r="G20" s="19" t="s">
        <v>648</v>
      </c>
      <c r="H20" s="19">
        <v>0.17610000000000001</v>
      </c>
      <c r="I20" s="19">
        <v>0.29199999999999998</v>
      </c>
      <c r="J20" s="19">
        <v>0.46300000000000002</v>
      </c>
      <c r="K20" s="59" t="str">
        <f t="shared" si="0"/>
        <v>0.29 (0.18 – 0.46)</v>
      </c>
      <c r="L20" s="16" t="str">
        <f t="shared" si="1"/>
        <v>0.29
(0.18 – 0.46)</v>
      </c>
      <c r="N20" s="59" t="s">
        <v>422</v>
      </c>
      <c r="O20" s="16" t="s">
        <v>663</v>
      </c>
      <c r="P20">
        <v>0.2185</v>
      </c>
      <c r="Q20">
        <v>0.54869999999999997</v>
      </c>
      <c r="R20">
        <v>1.266</v>
      </c>
      <c r="S20">
        <v>4</v>
      </c>
      <c r="T20">
        <v>3</v>
      </c>
    </row>
    <row r="21" spans="5:20" ht="15" customHeight="1" x14ac:dyDescent="0.25">
      <c r="E21" s="19">
        <v>4</v>
      </c>
      <c r="F21" s="19">
        <v>8</v>
      </c>
      <c r="G21" s="19" t="s">
        <v>685</v>
      </c>
      <c r="H21" s="19">
        <v>1.1542012927054479E-3</v>
      </c>
      <c r="I21" s="19">
        <v>0.29120559114735001</v>
      </c>
      <c r="J21" s="19">
        <v>91.659028414298817</v>
      </c>
      <c r="K21" s="59" t="str">
        <f t="shared" si="0"/>
        <v>0.29 (0.00 – 91.66)</v>
      </c>
      <c r="L21" s="16" t="str">
        <f t="shared" si="1"/>
        <v>0.29
(0.00 – 91.66)</v>
      </c>
      <c r="N21" s="59" t="s">
        <v>423</v>
      </c>
      <c r="O21" s="16" t="s">
        <v>664</v>
      </c>
      <c r="P21">
        <v>0.1943</v>
      </c>
      <c r="Q21">
        <v>2.4540000000000002</v>
      </c>
      <c r="R21">
        <v>33.700000000000003</v>
      </c>
      <c r="S21">
        <v>5</v>
      </c>
      <c r="T21">
        <v>3</v>
      </c>
    </row>
    <row r="22" spans="5:20" ht="15" customHeight="1" x14ac:dyDescent="0.25">
      <c r="E22" s="19">
        <v>9</v>
      </c>
      <c r="F22" s="19">
        <v>1</v>
      </c>
      <c r="G22" s="19" t="s">
        <v>655</v>
      </c>
      <c r="H22" s="19">
        <v>0.1235</v>
      </c>
      <c r="I22" s="19">
        <v>0.21940000000000001</v>
      </c>
      <c r="J22" s="19">
        <v>0.38030000000000003</v>
      </c>
      <c r="K22" s="59" t="str">
        <f t="shared" si="0"/>
        <v>0.22 (0.12 – 0.38)</v>
      </c>
      <c r="L22" s="16" t="str">
        <f t="shared" si="1"/>
        <v>0.22
(0.12 – 0.38)</v>
      </c>
      <c r="N22" s="59" t="s">
        <v>424</v>
      </c>
      <c r="O22" s="16" t="s">
        <v>665</v>
      </c>
      <c r="P22">
        <v>3.4769999999999999</v>
      </c>
      <c r="Q22">
        <v>57050000000</v>
      </c>
      <c r="R22">
        <v>2.2E+18</v>
      </c>
      <c r="S22">
        <v>6</v>
      </c>
      <c r="T22">
        <v>3</v>
      </c>
    </row>
    <row r="23" spans="5:20" ht="15" customHeight="1" x14ac:dyDescent="0.25">
      <c r="E23" s="19">
        <v>4</v>
      </c>
      <c r="F23" s="59">
        <v>5</v>
      </c>
      <c r="G23" s="54" t="s">
        <v>710</v>
      </c>
      <c r="H23" s="16">
        <v>1.3987970345502868E-2</v>
      </c>
      <c r="I23" s="16">
        <v>0.21240441801189464</v>
      </c>
      <c r="J23" s="16">
        <v>3.293807641633729</v>
      </c>
      <c r="K23" s="59" t="str">
        <f t="shared" si="0"/>
        <v>0.21 (0.01 – 3.29)</v>
      </c>
      <c r="L23" s="16" t="str">
        <f t="shared" si="1"/>
        <v>0.21
(0.01 – 3.29)</v>
      </c>
      <c r="N23" s="59" t="s">
        <v>425</v>
      </c>
      <c r="O23" s="16" t="s">
        <v>666</v>
      </c>
      <c r="P23">
        <v>6.5830000000000001E-4</v>
      </c>
      <c r="Q23">
        <v>9.6100000000000005E-2</v>
      </c>
      <c r="R23">
        <v>5.1210000000000004</v>
      </c>
      <c r="S23">
        <v>7</v>
      </c>
      <c r="T23">
        <v>3</v>
      </c>
    </row>
    <row r="24" spans="5:20" ht="15" customHeight="1" x14ac:dyDescent="0.25">
      <c r="E24" s="19">
        <v>3</v>
      </c>
      <c r="F24" s="59">
        <v>1</v>
      </c>
      <c r="G24" s="54" t="s">
        <v>649</v>
      </c>
      <c r="H24" s="16">
        <v>4.3060000000000001E-2</v>
      </c>
      <c r="I24" s="16">
        <v>0.1968</v>
      </c>
      <c r="J24" s="16">
        <v>0.92159999999999997</v>
      </c>
      <c r="K24" s="59" t="str">
        <f t="shared" si="0"/>
        <v>0.20 (0.04 – 0.92)</v>
      </c>
      <c r="L24" s="16" t="str">
        <f t="shared" si="1"/>
        <v>0.20
(0.04 – 0.92)</v>
      </c>
      <c r="N24" s="59" t="s">
        <v>426</v>
      </c>
      <c r="O24" s="16" t="s">
        <v>667</v>
      </c>
      <c r="P24">
        <v>6.0150000000000004E-3</v>
      </c>
      <c r="Q24">
        <v>1.8740000000000001</v>
      </c>
      <c r="R24">
        <v>415.8</v>
      </c>
      <c r="S24">
        <v>8</v>
      </c>
      <c r="T24">
        <v>3</v>
      </c>
    </row>
    <row r="25" spans="5:20" ht="15" customHeight="1" x14ac:dyDescent="0.25">
      <c r="E25" s="19">
        <v>7</v>
      </c>
      <c r="F25" s="59">
        <v>4</v>
      </c>
      <c r="G25" s="54" t="s">
        <v>671</v>
      </c>
      <c r="H25" s="16">
        <v>1.024E-3</v>
      </c>
      <c r="I25" s="16">
        <v>0.1802</v>
      </c>
      <c r="J25" s="16">
        <v>9.9670000000000005</v>
      </c>
      <c r="K25" s="59" t="str">
        <f t="shared" si="0"/>
        <v>0.18 (0.00 – 9.97)</v>
      </c>
      <c r="L25" s="16" t="str">
        <f t="shared" si="1"/>
        <v>0.18
(0.00 – 9.97)</v>
      </c>
      <c r="N25" s="59" t="s">
        <v>427</v>
      </c>
      <c r="O25" s="16" t="s">
        <v>668</v>
      </c>
      <c r="P25">
        <v>0.21440000000000001</v>
      </c>
      <c r="Q25">
        <v>1.119</v>
      </c>
      <c r="R25">
        <v>6.1509999999999998</v>
      </c>
      <c r="S25">
        <v>9</v>
      </c>
      <c r="T25">
        <v>3</v>
      </c>
    </row>
    <row r="26" spans="5:20" ht="15" customHeight="1" x14ac:dyDescent="0.25">
      <c r="E26" s="57">
        <v>4</v>
      </c>
      <c r="F26" s="57">
        <v>1</v>
      </c>
      <c r="G26" s="57" t="s">
        <v>650</v>
      </c>
      <c r="H26" s="57">
        <v>1.9259999999999999E-2</v>
      </c>
      <c r="I26" s="57">
        <v>0.10440000000000001</v>
      </c>
      <c r="J26" s="57">
        <v>0.57699999999999996</v>
      </c>
      <c r="K26" s="59" t="str">
        <f t="shared" si="0"/>
        <v>0.10 (0.02 – 0.58)</v>
      </c>
      <c r="L26" s="16" t="str">
        <f t="shared" si="1"/>
        <v>0.10
(0.02 – 0.58)</v>
      </c>
      <c r="N26" s="59" t="s">
        <v>428</v>
      </c>
      <c r="O26" s="16" t="s">
        <v>669</v>
      </c>
      <c r="P26">
        <v>0.30359999999999998</v>
      </c>
      <c r="Q26">
        <v>4.7080000000000002</v>
      </c>
      <c r="R26">
        <v>71.489999999999995</v>
      </c>
      <c r="S26">
        <v>5</v>
      </c>
      <c r="T26">
        <v>4</v>
      </c>
    </row>
    <row r="27" spans="5:20" ht="15" customHeight="1" x14ac:dyDescent="0.25">
      <c r="E27" s="19">
        <v>7</v>
      </c>
      <c r="F27" s="19">
        <v>3</v>
      </c>
      <c r="G27" s="19" t="s">
        <v>666</v>
      </c>
      <c r="H27" s="19">
        <v>6.5830000000000001E-4</v>
      </c>
      <c r="I27" s="19">
        <v>9.6100000000000005E-2</v>
      </c>
      <c r="J27" s="19">
        <v>5.1210000000000004</v>
      </c>
      <c r="K27" s="59" t="str">
        <f t="shared" si="0"/>
        <v>0.10 (0.00 – 5.12)</v>
      </c>
      <c r="L27" s="16" t="str">
        <f t="shared" si="1"/>
        <v>0.10
(0.00 – 5.12)</v>
      </c>
      <c r="N27" s="59" t="s">
        <v>429</v>
      </c>
      <c r="O27" s="16" t="s">
        <v>670</v>
      </c>
      <c r="P27">
        <v>6.5090000000000003</v>
      </c>
      <c r="Q27">
        <v>111800000000</v>
      </c>
      <c r="R27">
        <v>4.062E+18</v>
      </c>
      <c r="S27">
        <v>6</v>
      </c>
      <c r="T27">
        <v>4</v>
      </c>
    </row>
    <row r="28" spans="5:20" ht="15" customHeight="1" x14ac:dyDescent="0.25">
      <c r="E28" s="19">
        <v>7</v>
      </c>
      <c r="F28" s="19">
        <v>9</v>
      </c>
      <c r="G28" s="19" t="s">
        <v>708</v>
      </c>
      <c r="H28" s="19">
        <v>5.9066745422327229E-4</v>
      </c>
      <c r="I28" s="19">
        <v>8.9847259658580411E-2</v>
      </c>
      <c r="J28" s="19">
        <v>2.4956326428749689</v>
      </c>
      <c r="K28" s="59" t="str">
        <f t="shared" si="0"/>
        <v>0.09 (0.00 – 2.50)</v>
      </c>
      <c r="L28" s="16" t="str">
        <f t="shared" si="1"/>
        <v>0.09
(0.00 – 2.50)</v>
      </c>
      <c r="N28" s="59" t="s">
        <v>430</v>
      </c>
      <c r="O28" s="16" t="s">
        <v>671</v>
      </c>
      <c r="P28">
        <v>1.024E-3</v>
      </c>
      <c r="Q28">
        <v>0.1802</v>
      </c>
      <c r="R28">
        <v>9.9670000000000005</v>
      </c>
      <c r="S28">
        <v>7</v>
      </c>
      <c r="T28">
        <v>4</v>
      </c>
    </row>
    <row r="29" spans="5:20" ht="15" customHeight="1" x14ac:dyDescent="0.25">
      <c r="E29" s="19">
        <v>7</v>
      </c>
      <c r="F29" s="19">
        <v>2</v>
      </c>
      <c r="G29" s="19" t="s">
        <v>660</v>
      </c>
      <c r="H29" s="19">
        <v>5.218E-4</v>
      </c>
      <c r="I29" s="19">
        <v>7.0669999999999997E-2</v>
      </c>
      <c r="J29" s="19">
        <v>1.8380000000000001</v>
      </c>
      <c r="K29" s="59" t="str">
        <f t="shared" si="0"/>
        <v>0.07 (0.00 – 1.84)</v>
      </c>
      <c r="L29" s="16" t="str">
        <f t="shared" si="1"/>
        <v>0.07
(0.00 – 1.84)</v>
      </c>
      <c r="N29" s="59" t="s">
        <v>431</v>
      </c>
      <c r="O29" s="16" t="s">
        <v>672</v>
      </c>
      <c r="P29">
        <v>1.091E-2</v>
      </c>
      <c r="Q29">
        <v>3.4340000000000002</v>
      </c>
      <c r="R29">
        <v>866.4</v>
      </c>
      <c r="S29">
        <v>8</v>
      </c>
      <c r="T29">
        <v>4</v>
      </c>
    </row>
    <row r="30" spans="5:20" ht="15" customHeight="1" x14ac:dyDescent="0.25">
      <c r="E30" s="19">
        <v>7</v>
      </c>
      <c r="F30" s="19">
        <v>8</v>
      </c>
      <c r="G30" s="19" t="s">
        <v>709</v>
      </c>
      <c r="H30" s="19">
        <v>2.7563395810363838E-5</v>
      </c>
      <c r="I30" s="19">
        <v>5.73394495412844E-2</v>
      </c>
      <c r="J30" s="19">
        <v>47.460844803037496</v>
      </c>
      <c r="K30" s="59" t="str">
        <f t="shared" si="0"/>
        <v>0.06 (0.00 – 47.46)</v>
      </c>
      <c r="L30" s="16" t="str">
        <f t="shared" si="1"/>
        <v>0.06
(0.00 – 47.46)</v>
      </c>
      <c r="N30" s="59" t="s">
        <v>432</v>
      </c>
      <c r="O30" s="16" t="s">
        <v>673</v>
      </c>
      <c r="P30">
        <v>0.34110000000000001</v>
      </c>
      <c r="Q30">
        <v>2.0990000000000002</v>
      </c>
      <c r="R30">
        <v>13.05</v>
      </c>
      <c r="S30">
        <v>9</v>
      </c>
      <c r="T30">
        <v>4</v>
      </c>
    </row>
    <row r="31" spans="5:20" ht="15" customHeight="1" x14ac:dyDescent="0.25">
      <c r="E31" s="19">
        <v>7</v>
      </c>
      <c r="F31" s="19">
        <v>5</v>
      </c>
      <c r="G31" s="19" t="s">
        <v>675</v>
      </c>
      <c r="H31" s="19">
        <v>2.031E-4</v>
      </c>
      <c r="I31" s="19">
        <v>3.7769999999999998E-2</v>
      </c>
      <c r="J31" s="19">
        <v>1.9179999999999999</v>
      </c>
      <c r="K31" s="59" t="str">
        <f t="shared" si="0"/>
        <v>0.04 (0.00 – 1.92)</v>
      </c>
      <c r="L31" s="16" t="str">
        <f t="shared" si="1"/>
        <v>0.04
(0.00 – 1.92)</v>
      </c>
      <c r="N31" s="59" t="s">
        <v>433</v>
      </c>
      <c r="O31" s="16" t="s">
        <v>674</v>
      </c>
      <c r="P31">
        <v>1.399</v>
      </c>
      <c r="Q31">
        <v>24260000000</v>
      </c>
      <c r="R31">
        <v>7.541E+17</v>
      </c>
      <c r="S31">
        <v>6</v>
      </c>
      <c r="T31">
        <v>5</v>
      </c>
    </row>
    <row r="32" spans="5:20" ht="15" customHeight="1" x14ac:dyDescent="0.25">
      <c r="E32" s="19">
        <v>7</v>
      </c>
      <c r="F32" s="59">
        <v>1</v>
      </c>
      <c r="G32" s="54" t="s">
        <v>653</v>
      </c>
      <c r="H32" s="16">
        <v>1.3339999999999999E-4</v>
      </c>
      <c r="I32" s="16">
        <v>2.0789999999999999E-2</v>
      </c>
      <c r="J32" s="16">
        <v>0.51800000000000002</v>
      </c>
      <c r="K32" s="59" t="str">
        <f t="shared" si="0"/>
        <v>0.02 (0.00 – 0.52)</v>
      </c>
      <c r="L32" s="16" t="str">
        <f t="shared" si="1"/>
        <v>0.02
(0.00 – 0.52)</v>
      </c>
      <c r="N32" s="59" t="s">
        <v>434</v>
      </c>
      <c r="O32" s="16" t="s">
        <v>675</v>
      </c>
      <c r="P32">
        <v>2.031E-4</v>
      </c>
      <c r="Q32">
        <v>3.7769999999999998E-2</v>
      </c>
      <c r="R32">
        <v>1.9179999999999999</v>
      </c>
      <c r="S32">
        <v>7</v>
      </c>
      <c r="T32">
        <v>5</v>
      </c>
    </row>
    <row r="33" spans="3:20" ht="15" customHeight="1" x14ac:dyDescent="0.25">
      <c r="E33" s="19">
        <v>1</v>
      </c>
      <c r="F33" s="59">
        <v>6</v>
      </c>
      <c r="G33" s="54" t="s">
        <v>717</v>
      </c>
      <c r="H33" s="16">
        <v>2.3057412958266081E-18</v>
      </c>
      <c r="I33" s="16">
        <v>8.6956521739130433E-11</v>
      </c>
      <c r="J33" s="16">
        <v>1.6025641025641026</v>
      </c>
      <c r="K33" s="59" t="str">
        <f t="shared" si="0"/>
        <v>0.00 (0.00 – 1.60)</v>
      </c>
      <c r="L33" s="16" t="str">
        <f t="shared" si="1"/>
        <v>0.00
(0.00 – 1.60)</v>
      </c>
      <c r="N33" s="59" t="s">
        <v>435</v>
      </c>
      <c r="O33" s="16" t="s">
        <v>676</v>
      </c>
      <c r="P33">
        <v>1.392E-3</v>
      </c>
      <c r="Q33">
        <v>0.82840000000000003</v>
      </c>
      <c r="R33">
        <v>205.2</v>
      </c>
      <c r="S33">
        <v>8</v>
      </c>
      <c r="T33">
        <v>5</v>
      </c>
    </row>
    <row r="34" spans="3:20" ht="15" customHeight="1" x14ac:dyDescent="0.25">
      <c r="E34" s="19">
        <v>5</v>
      </c>
      <c r="F34" s="19">
        <v>6</v>
      </c>
      <c r="G34" s="19" t="s">
        <v>716</v>
      </c>
      <c r="H34" s="19">
        <v>1.3260840737302745E-18</v>
      </c>
      <c r="I34" s="19">
        <v>4.1220115416323165E-11</v>
      </c>
      <c r="J34" s="19">
        <v>0.71479628305932807</v>
      </c>
      <c r="K34" s="59" t="str">
        <f t="shared" si="0"/>
        <v>0.00 (0.00 – 0.71)</v>
      </c>
      <c r="L34" s="16" t="str">
        <f t="shared" si="1"/>
        <v>0.00
(0.00 – 0.71)</v>
      </c>
      <c r="N34" s="59" t="s">
        <v>436</v>
      </c>
      <c r="O34" s="16" t="s">
        <v>677</v>
      </c>
      <c r="P34">
        <v>5.5969999999999999E-2</v>
      </c>
      <c r="Q34">
        <v>0.46189999999999998</v>
      </c>
      <c r="R34">
        <v>3.4369999999999998</v>
      </c>
      <c r="S34">
        <v>9</v>
      </c>
      <c r="T34">
        <v>5</v>
      </c>
    </row>
    <row r="35" spans="3:20" ht="15" customHeight="1" x14ac:dyDescent="0.25">
      <c r="E35" s="19">
        <v>2</v>
      </c>
      <c r="F35" s="19">
        <v>6</v>
      </c>
      <c r="G35" s="19" t="s">
        <v>715</v>
      </c>
      <c r="H35" s="19">
        <v>7.27802037845706E-19</v>
      </c>
      <c r="I35" s="19">
        <v>2.2084805653710247E-11</v>
      </c>
      <c r="J35" s="19">
        <v>0.50352467270896273</v>
      </c>
      <c r="K35" s="59" t="str">
        <f t="shared" si="0"/>
        <v>0.00 (0.00 – 0.50)</v>
      </c>
      <c r="L35" s="16" t="str">
        <f t="shared" si="1"/>
        <v>0.00
(0.00 – 0.50)</v>
      </c>
      <c r="N35" s="59" t="s">
        <v>437</v>
      </c>
      <c r="O35" s="16" t="s">
        <v>678</v>
      </c>
      <c r="P35">
        <v>3.4679999999999998E-21</v>
      </c>
      <c r="Q35">
        <v>2.067E-12</v>
      </c>
      <c r="R35">
        <v>1.504E-2</v>
      </c>
      <c r="S35">
        <v>7</v>
      </c>
      <c r="T35">
        <v>6</v>
      </c>
    </row>
    <row r="36" spans="3:20" ht="15" customHeight="1" x14ac:dyDescent="0.25">
      <c r="C36" s="56"/>
      <c r="D36" s="57"/>
      <c r="E36" s="57">
        <v>9</v>
      </c>
      <c r="F36" s="57">
        <v>6</v>
      </c>
      <c r="G36" s="57" t="s">
        <v>680</v>
      </c>
      <c r="H36" s="57">
        <v>5.0339999999999996E-19</v>
      </c>
      <c r="I36" s="57">
        <v>1.9720000000000001E-11</v>
      </c>
      <c r="J36" s="57">
        <v>0.45379999999999998</v>
      </c>
      <c r="K36" s="59" t="str">
        <f t="shared" si="0"/>
        <v>0.00 (0.00 – 0.45)</v>
      </c>
      <c r="L36" s="16" t="str">
        <f t="shared" si="1"/>
        <v>0.00
(0.00 – 0.45)</v>
      </c>
      <c r="M36" s="57"/>
      <c r="N36" s="59" t="s">
        <v>438</v>
      </c>
      <c r="O36" s="16" t="s">
        <v>679</v>
      </c>
      <c r="P36">
        <v>5.0520000000000002E-19</v>
      </c>
      <c r="Q36">
        <v>1.1319999999999999E-11</v>
      </c>
      <c r="R36">
        <v>0.37169999999999997</v>
      </c>
      <c r="S36">
        <v>8</v>
      </c>
      <c r="T36">
        <v>6</v>
      </c>
    </row>
    <row r="37" spans="3:20" ht="15" customHeight="1" x14ac:dyDescent="0.25">
      <c r="C37" s="56"/>
      <c r="D37" s="57"/>
      <c r="E37" s="19">
        <v>3</v>
      </c>
      <c r="F37" s="19">
        <v>6</v>
      </c>
      <c r="G37" s="19" t="s">
        <v>713</v>
      </c>
      <c r="H37" s="19">
        <v>4.5454545454545456E-19</v>
      </c>
      <c r="I37" s="19">
        <v>1.7528483786152499E-11</v>
      </c>
      <c r="J37" s="19">
        <v>0.28760425654299687</v>
      </c>
      <c r="K37" s="59" t="str">
        <f t="shared" si="0"/>
        <v>0.00 (0.00 – 0.29)</v>
      </c>
      <c r="L37" s="16" t="str">
        <f t="shared" si="1"/>
        <v>0.00
(0.00 – 0.29)</v>
      </c>
      <c r="M37" s="57"/>
      <c r="N37" s="59" t="s">
        <v>439</v>
      </c>
      <c r="O37" s="16" t="s">
        <v>680</v>
      </c>
      <c r="P37">
        <v>5.0339999999999996E-19</v>
      </c>
      <c r="Q37">
        <v>1.9720000000000001E-11</v>
      </c>
      <c r="R37">
        <v>0.45379999999999998</v>
      </c>
      <c r="S37">
        <v>9</v>
      </c>
      <c r="T37">
        <v>6</v>
      </c>
    </row>
    <row r="38" spans="3:20" ht="15" customHeight="1" x14ac:dyDescent="0.25">
      <c r="C38" s="56"/>
      <c r="D38" s="57"/>
      <c r="E38" s="57">
        <v>8</v>
      </c>
      <c r="F38" s="57">
        <v>6</v>
      </c>
      <c r="G38" s="57" t="s">
        <v>679</v>
      </c>
      <c r="H38" s="57">
        <v>5.0520000000000002E-19</v>
      </c>
      <c r="I38" s="57">
        <v>1.1319999999999999E-11</v>
      </c>
      <c r="J38" s="57">
        <v>0.37169999999999997</v>
      </c>
      <c r="K38" s="59" t="str">
        <f t="shared" si="0"/>
        <v>0.00 (0.00 – 0.37)</v>
      </c>
      <c r="L38" s="16" t="str">
        <f t="shared" si="1"/>
        <v>0.00
(0.00 – 0.37)</v>
      </c>
      <c r="M38" s="57"/>
      <c r="N38" s="59" t="s">
        <v>440</v>
      </c>
      <c r="O38" s="16" t="s">
        <v>681</v>
      </c>
      <c r="P38">
        <v>2.1069999999999998E-2</v>
      </c>
      <c r="Q38">
        <v>17.440000000000001</v>
      </c>
      <c r="R38">
        <v>36280</v>
      </c>
      <c r="S38">
        <v>8</v>
      </c>
      <c r="T38">
        <v>7</v>
      </c>
    </row>
    <row r="39" spans="3:20" ht="15" customHeight="1" x14ac:dyDescent="0.25">
      <c r="C39" s="56"/>
      <c r="D39" s="57"/>
      <c r="E39" s="19">
        <v>4</v>
      </c>
      <c r="F39" s="19">
        <v>6</v>
      </c>
      <c r="G39" s="19" t="s">
        <v>711</v>
      </c>
      <c r="H39" s="19">
        <v>2.4618414574101426E-19</v>
      </c>
      <c r="I39" s="19">
        <v>8.9445438282647578E-12</v>
      </c>
      <c r="J39" s="19">
        <v>0.15363343063450607</v>
      </c>
      <c r="K39" s="59" t="str">
        <f t="shared" si="0"/>
        <v>0.00 (0.00 – 0.15)</v>
      </c>
      <c r="L39" s="16" t="str">
        <f t="shared" si="1"/>
        <v>0.00
(0.00 – 0.15)</v>
      </c>
      <c r="M39" s="57"/>
      <c r="N39" s="59" t="s">
        <v>441</v>
      </c>
      <c r="O39" s="16" t="s">
        <v>682</v>
      </c>
      <c r="P39">
        <v>0.4007</v>
      </c>
      <c r="Q39">
        <v>11.13</v>
      </c>
      <c r="R39">
        <v>1693</v>
      </c>
      <c r="S39">
        <v>9</v>
      </c>
      <c r="T39">
        <v>7</v>
      </c>
    </row>
    <row r="40" spans="3:20" ht="15" customHeight="1" x14ac:dyDescent="0.25">
      <c r="C40" s="56"/>
      <c r="D40" s="57"/>
      <c r="E40" s="19">
        <v>7</v>
      </c>
      <c r="F40" s="59">
        <v>6</v>
      </c>
      <c r="G40" s="54" t="s">
        <v>678</v>
      </c>
      <c r="H40" s="16">
        <v>3.4679999999999998E-21</v>
      </c>
      <c r="I40" s="16">
        <v>2.067E-12</v>
      </c>
      <c r="J40" s="16">
        <v>1.504E-2</v>
      </c>
      <c r="K40" s="59" t="str">
        <f t="shared" si="0"/>
        <v>0.00 (0.00 – 0.02)</v>
      </c>
      <c r="L40" s="16" t="str">
        <f t="shared" si="1"/>
        <v>0.00
(0.00 – 0.02)</v>
      </c>
      <c r="M40" s="57"/>
      <c r="N40" s="59" t="s">
        <v>442</v>
      </c>
      <c r="O40" s="16" t="s">
        <v>683</v>
      </c>
      <c r="P40">
        <v>3.0899999999999999E-3</v>
      </c>
      <c r="Q40">
        <v>0.58789999999999998</v>
      </c>
      <c r="R40">
        <v>248.4</v>
      </c>
      <c r="S40">
        <v>9</v>
      </c>
      <c r="T40">
        <v>8</v>
      </c>
    </row>
    <row r="41" spans="3:20" ht="15" hidden="1" customHeight="1" x14ac:dyDescent="0.25">
      <c r="C41" s="56"/>
      <c r="D41" s="57"/>
      <c r="E41" s="57"/>
      <c r="F41" s="57"/>
      <c r="G41" s="57"/>
      <c r="H41" s="57"/>
      <c r="I41" s="57"/>
      <c r="J41" s="57"/>
      <c r="K41" s="59" t="str">
        <f t="shared" ref="K41:K49" si="2">CONCATENATE(TEXT(I41,"0.00")," (",TEXT(H41,"0.00")," – ",TEXT(J41,"0.00"),")")</f>
        <v>0.00 (0.00 – 0.00)</v>
      </c>
      <c r="L41" s="16" t="str">
        <f t="shared" ref="L41:L49" si="3">CONCATENATE(TEXT(I41,"0.00"),"
(",TEXT(H41,"0.00")," – ",TEXT(J41,"0.00"),")")</f>
        <v>0.00
(0.00 – 0.00)</v>
      </c>
      <c r="M41" s="57"/>
      <c r="N41" s="59"/>
      <c r="O41" s="16"/>
    </row>
    <row r="42" spans="3:20" ht="15" hidden="1" customHeight="1" x14ac:dyDescent="0.25">
      <c r="C42" s="56"/>
      <c r="D42" s="57"/>
      <c r="K42" s="59" t="str">
        <f t="shared" si="2"/>
        <v>0.00 (0.00 – 0.00)</v>
      </c>
      <c r="L42" s="16" t="str">
        <f t="shared" si="3"/>
        <v>0.00
(0.00 – 0.00)</v>
      </c>
      <c r="M42" s="57"/>
      <c r="N42" s="59"/>
      <c r="O42" s="16"/>
    </row>
    <row r="43" spans="3:20" ht="15" hidden="1" customHeight="1" x14ac:dyDescent="0.25">
      <c r="C43" s="56"/>
      <c r="D43" s="57"/>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K46" s="59" t="str">
        <f t="shared" si="2"/>
        <v>0.00 (0.00 – 0.00)</v>
      </c>
      <c r="L46" s="16" t="str">
        <f t="shared" si="3"/>
        <v>0.00
(0.00 – 0.00)</v>
      </c>
      <c r="M46" s="57"/>
      <c r="N46" s="59"/>
      <c r="O46" s="16"/>
    </row>
    <row r="47" spans="3:20" ht="15" hidden="1" customHeight="1" x14ac:dyDescent="0.25">
      <c r="C47" s="56"/>
      <c r="D47" s="57"/>
      <c r="K47" s="59" t="str">
        <f t="shared" si="2"/>
        <v>0.00 (0.00 – 0.00)</v>
      </c>
      <c r="L47" s="16" t="str">
        <f t="shared" si="3"/>
        <v>0.00
(0.00 – 0.00)</v>
      </c>
      <c r="M47" s="57"/>
      <c r="N47" s="59"/>
      <c r="O47" s="16"/>
    </row>
    <row r="48" spans="3:20"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F49" s="59"/>
      <c r="G49" s="54"/>
      <c r="H49" s="16"/>
      <c r="I49" s="16"/>
      <c r="J49" s="16"/>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14"/>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e">
        <f>CONCATENATE("Heterogeneity (Vague) = ",INDEX('RE Results (Vague Prior)'!B:H,MATCH("sd",'RE Results (Vague Prior)'!B:B,0),6), " 
95% CrI (",INDEX('RE Results (Vague Prior)'!B:H,MATCH("sd",'RE Results (Vague Prior)'!B:B,0),5)," – ",INDEX('RE Results (Vague Prior)'!B:H,MATCH("sd",'RE Results (Vague Prior)'!B:B,0),7),")")</f>
        <v>#N/A</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hidden="1" x14ac:dyDescent="0.25">
      <c r="K5" s="59" t="str">
        <f t="shared" ref="K5:K14" si="0">CONCATENATE(TEXT(I5,"0.00")," (",TEXT(H5,"0.00")," – ",TEXT(J5,"0.00"),")")</f>
        <v>0.00 (0.00 – 0.00)</v>
      </c>
      <c r="L5" s="16" t="str">
        <f t="shared" ref="L5:L14" si="1">CONCATENATE(TEXT(I5,"0.00"),"
(",TEXT(H5,"0.00")," – ",TEXT(J5,"0.00"),")")</f>
        <v>0.00
(0.00 – 0.00)</v>
      </c>
      <c r="N5" s="59"/>
      <c r="O5" s="16"/>
    </row>
    <row r="6" spans="1:20" hidden="1" x14ac:dyDescent="0.25">
      <c r="B6" s="19"/>
      <c r="C6" s="19"/>
      <c r="F6" s="59"/>
      <c r="G6" s="54"/>
      <c r="H6" s="16"/>
      <c r="I6" s="16"/>
      <c r="J6" s="16"/>
      <c r="K6" s="59" t="str">
        <f t="shared" si="0"/>
        <v>0.00 (0.00 – 0.00)</v>
      </c>
      <c r="L6" s="16" t="str">
        <f t="shared" si="1"/>
        <v>0.00
(0.00 – 0.00)</v>
      </c>
      <c r="N6" s="59"/>
      <c r="O6" s="16"/>
    </row>
    <row r="7" spans="1:20" hidden="1" x14ac:dyDescent="0.25">
      <c r="B7" s="19"/>
      <c r="C7" s="19"/>
      <c r="F7" s="59"/>
      <c r="G7" s="54"/>
      <c r="H7" s="16"/>
      <c r="I7" s="16"/>
      <c r="J7" s="16"/>
      <c r="K7" s="59" t="str">
        <f t="shared" si="0"/>
        <v>0.00 (0.00 – 0.00)</v>
      </c>
      <c r="L7" s="16" t="str">
        <f t="shared" si="1"/>
        <v>0.00
(0.00 – 0.00)</v>
      </c>
      <c r="N7" s="59"/>
      <c r="O7" s="16"/>
    </row>
    <row r="8" spans="1:20" hidden="1" x14ac:dyDescent="0.25">
      <c r="B8" s="19"/>
      <c r="C8" s="19"/>
      <c r="F8" s="59"/>
      <c r="G8" s="54"/>
      <c r="H8" s="16"/>
      <c r="I8" s="16"/>
      <c r="J8" s="16"/>
      <c r="K8" s="59" t="str">
        <f t="shared" si="0"/>
        <v>0.00 (0.00 – 0.00)</v>
      </c>
      <c r="L8" s="16" t="str">
        <f t="shared" si="1"/>
        <v>0.00
(0.00 – 0.00)</v>
      </c>
      <c r="N8" s="59"/>
      <c r="O8" s="16"/>
    </row>
    <row r="9" spans="1:20" hidden="1" x14ac:dyDescent="0.25">
      <c r="B9" s="19"/>
      <c r="C9" s="19"/>
      <c r="K9" s="59" t="str">
        <f t="shared" si="0"/>
        <v>0.00 (0.00 – 0.00)</v>
      </c>
      <c r="L9" s="16" t="str">
        <f t="shared" si="1"/>
        <v>0.00
(0.00 – 0.00)</v>
      </c>
      <c r="N9" s="59"/>
      <c r="O9" s="16"/>
    </row>
    <row r="10" spans="1:20" hidden="1" x14ac:dyDescent="0.25">
      <c r="K10" s="59" t="str">
        <f t="shared" si="0"/>
        <v>0.00 (0.00 – 0.00)</v>
      </c>
      <c r="L10" s="16" t="str">
        <f t="shared" si="1"/>
        <v>0.00
(0.00 – 0.00)</v>
      </c>
      <c r="N10" s="59"/>
      <c r="O10" s="16"/>
    </row>
    <row r="11" spans="1:20" hidden="1" x14ac:dyDescent="0.25">
      <c r="B11" s="19"/>
      <c r="C11" s="19"/>
      <c r="K11" s="59" t="str">
        <f t="shared" si="0"/>
        <v>0.00 (0.00 – 0.00)</v>
      </c>
      <c r="L11" s="16" t="str">
        <f t="shared" si="1"/>
        <v>0.00
(0.00 – 0.00)</v>
      </c>
      <c r="N11" s="59"/>
      <c r="O11" s="16"/>
    </row>
    <row r="12" spans="1:20" hidden="1" x14ac:dyDescent="0.25">
      <c r="F12" s="59"/>
      <c r="G12" s="54"/>
      <c r="H12" s="16"/>
      <c r="I12" s="16"/>
      <c r="J12" s="16"/>
      <c r="K12" s="59" t="str">
        <f t="shared" si="0"/>
        <v>0.00 (0.00 – 0.00)</v>
      </c>
      <c r="L12" s="16" t="str">
        <f t="shared" si="1"/>
        <v>0.00
(0.00 – 0.00)</v>
      </c>
      <c r="N12" s="59"/>
      <c r="O12" s="16"/>
    </row>
    <row r="13" spans="1:20" hidden="1" x14ac:dyDescent="0.25">
      <c r="K13" s="59" t="str">
        <f t="shared" si="0"/>
        <v>0.00 (0.00 – 0.00)</v>
      </c>
      <c r="L13" s="16" t="str">
        <f t="shared" si="1"/>
        <v>0.00
(0.00 – 0.00)</v>
      </c>
      <c r="N13" s="59"/>
      <c r="O13" s="16"/>
    </row>
    <row r="14" spans="1:20" hidden="1" x14ac:dyDescent="0.25">
      <c r="F14" s="59"/>
      <c r="G14" s="54"/>
      <c r="H14" s="16"/>
      <c r="I14" s="16"/>
      <c r="J14" s="16"/>
      <c r="K14" s="59" t="str">
        <f t="shared" si="0"/>
        <v>0.00 (0.00 – 0.00)</v>
      </c>
      <c r="L14" s="16" t="str">
        <f t="shared" si="1"/>
        <v>0.00
(0.00 – 0.00)</v>
      </c>
      <c r="N14" s="59"/>
      <c r="O14" s="16"/>
    </row>
    <row r="15" spans="1:20" ht="15" hidden="1" customHeight="1" x14ac:dyDescent="0.25">
      <c r="F15" s="59"/>
      <c r="G15" s="54"/>
      <c r="H15" s="16"/>
      <c r="I15" s="16"/>
      <c r="J15" s="16"/>
      <c r="K15" s="59" t="str">
        <f t="shared" ref="K15:K25" si="2">CONCATENATE(TEXT(I15,"0.00")," (",TEXT(H15,"0.00")," – ",TEXT(J15,"0.00"),")")</f>
        <v>0.00 (0.00 – 0.00)</v>
      </c>
      <c r="L15" s="16" t="str">
        <f t="shared" ref="L15:L25" si="3">CONCATENATE(TEXT(I15,"0.00"),"
(",TEXT(H15,"0.00")," – ",TEXT(J15,"0.00"),")")</f>
        <v>0.00
(0.00 – 0.00)</v>
      </c>
      <c r="N15" s="59"/>
      <c r="O15" s="16"/>
    </row>
    <row r="16" spans="1:20" ht="15" hidden="1" customHeight="1" x14ac:dyDescent="0.25">
      <c r="K16" s="59" t="str">
        <f t="shared" si="2"/>
        <v>0.00 (0.00 – 0.00)</v>
      </c>
      <c r="L16" s="16" t="str">
        <f t="shared" si="3"/>
        <v>0.00
(0.00 – 0.00)</v>
      </c>
      <c r="N16" s="59"/>
      <c r="O16" s="16"/>
    </row>
    <row r="17" spans="6:15" ht="15" hidden="1" customHeight="1" x14ac:dyDescent="0.25">
      <c r="K17" s="59" t="str">
        <f t="shared" si="2"/>
        <v>0.00 (0.00 – 0.00)</v>
      </c>
      <c r="L17" s="16" t="str">
        <f t="shared" si="3"/>
        <v>0.00
(0.00 – 0.00)</v>
      </c>
      <c r="N17" s="59"/>
      <c r="O17" s="16"/>
    </row>
    <row r="18" spans="6:15" ht="15" hidden="1" customHeight="1" x14ac:dyDescent="0.25">
      <c r="K18" s="59" t="str">
        <f t="shared" si="2"/>
        <v>0.00 (0.00 – 0.00)</v>
      </c>
      <c r="L18" s="16" t="str">
        <f t="shared" si="3"/>
        <v>0.00
(0.00 – 0.00)</v>
      </c>
      <c r="N18" s="59"/>
      <c r="O18" s="16"/>
    </row>
    <row r="19" spans="6:15" ht="15" hidden="1" customHeight="1" x14ac:dyDescent="0.25">
      <c r="F19" s="59"/>
      <c r="G19" s="54"/>
      <c r="H19" s="16"/>
      <c r="I19" s="16"/>
      <c r="J19" s="16"/>
      <c r="K19" s="59" t="str">
        <f t="shared" si="2"/>
        <v>0.00 (0.00 – 0.00)</v>
      </c>
      <c r="L19" s="16" t="str">
        <f t="shared" si="3"/>
        <v>0.00
(0.00 – 0.00)</v>
      </c>
      <c r="N19" s="59"/>
      <c r="O19" s="16"/>
    </row>
    <row r="20" spans="6:15" ht="15" hidden="1" customHeight="1" x14ac:dyDescent="0.25">
      <c r="K20" s="59" t="str">
        <f t="shared" si="2"/>
        <v>0.00 (0.00 – 0.00)</v>
      </c>
      <c r="L20" s="16" t="str">
        <f t="shared" si="3"/>
        <v>0.00
(0.00 – 0.00)</v>
      </c>
      <c r="N20" s="59"/>
      <c r="O20" s="16"/>
    </row>
    <row r="21" spans="6:15" ht="15" hidden="1" customHeight="1" x14ac:dyDescent="0.25">
      <c r="F21" s="59"/>
      <c r="G21" s="54"/>
      <c r="H21" s="16"/>
      <c r="I21" s="16"/>
      <c r="J21" s="16"/>
      <c r="K21" s="59" t="str">
        <f t="shared" si="2"/>
        <v>0.00 (0.00 – 0.00)</v>
      </c>
      <c r="L21" s="16" t="str">
        <f t="shared" si="3"/>
        <v>0.00
(0.00 – 0.00)</v>
      </c>
      <c r="N21" s="59"/>
      <c r="O21" s="16"/>
    </row>
    <row r="22" spans="6:15" ht="15" hidden="1" customHeight="1" x14ac:dyDescent="0.25">
      <c r="F22" s="59"/>
      <c r="G22" s="54"/>
      <c r="H22" s="16"/>
      <c r="I22" s="16"/>
      <c r="J22" s="16"/>
      <c r="K22" s="59" t="str">
        <f t="shared" si="2"/>
        <v>0.00 (0.00 – 0.00)</v>
      </c>
      <c r="L22" s="16" t="str">
        <f t="shared" si="3"/>
        <v>0.00
(0.00 – 0.00)</v>
      </c>
      <c r="N22" s="59"/>
      <c r="O22" s="16"/>
    </row>
    <row r="23" spans="6:15" ht="15" hidden="1" customHeight="1" x14ac:dyDescent="0.25">
      <c r="K23" s="59" t="str">
        <f t="shared" si="2"/>
        <v>0.00 (0.00 – 0.00)</v>
      </c>
      <c r="L23" s="16" t="str">
        <f t="shared" si="3"/>
        <v>0.00
(0.00 – 0.00)</v>
      </c>
      <c r="N23" s="59"/>
      <c r="O23" s="16"/>
    </row>
    <row r="24" spans="6:15" ht="15" hidden="1" customHeight="1" x14ac:dyDescent="0.25">
      <c r="K24" s="59" t="str">
        <f t="shared" si="2"/>
        <v>0.00 (0.00 – 0.00)</v>
      </c>
      <c r="L24" s="16" t="str">
        <f t="shared" si="3"/>
        <v>0.00
(0.00 – 0.00)</v>
      </c>
      <c r="N24" s="59"/>
      <c r="O24" s="16"/>
    </row>
    <row r="25" spans="6:15" ht="15" hidden="1" customHeight="1" x14ac:dyDescent="0.25">
      <c r="F25" s="59"/>
      <c r="G25" s="54"/>
      <c r="H25" s="16"/>
      <c r="I25" s="16"/>
      <c r="J25" s="16"/>
      <c r="K25" s="59" t="str">
        <f t="shared" si="2"/>
        <v>0.00 (0.00 – 0.00)</v>
      </c>
      <c r="L25" s="16" t="str">
        <f t="shared" si="3"/>
        <v>0.00
(0.00 – 0.00)</v>
      </c>
      <c r="N25" s="59"/>
      <c r="O25" s="16"/>
    </row>
    <row r="26" spans="6:15" ht="15" hidden="1" customHeight="1" x14ac:dyDescent="0.25">
      <c r="K26" s="59" t="str">
        <f t="shared" ref="K26:K68" si="4">CONCATENATE(TEXT(I26,"0.00")," (",TEXT(H26,"0.00")," – ",TEXT(J26,"0.00"),")")</f>
        <v>0.00 (0.00 – 0.00)</v>
      </c>
      <c r="L26" s="16" t="str">
        <f t="shared" ref="L26:L69" si="5">CONCATENATE(TEXT(I26,"0.00"),"
(",TEXT(H26,"0.00")," – ",TEXT(J26,"0.00"),")")</f>
        <v>0.00
(0.00 – 0.00)</v>
      </c>
      <c r="N26" s="59"/>
      <c r="O26" s="16"/>
    </row>
    <row r="27" spans="6:15" ht="15" hidden="1" customHeight="1" x14ac:dyDescent="0.25">
      <c r="K27" s="59" t="str">
        <f t="shared" si="4"/>
        <v>0.00 (0.00 – 0.00)</v>
      </c>
      <c r="L27" s="16" t="str">
        <f t="shared" si="5"/>
        <v>0.00
(0.00 – 0.00)</v>
      </c>
      <c r="N27" s="59"/>
      <c r="O27" s="16"/>
    </row>
    <row r="28" spans="6:15" ht="15" hidden="1" customHeight="1" x14ac:dyDescent="0.25">
      <c r="K28" s="59" t="str">
        <f t="shared" si="4"/>
        <v>0.00 (0.00 – 0.00)</v>
      </c>
      <c r="L28" s="16" t="str">
        <f t="shared" si="5"/>
        <v>0.00
(0.00 – 0.00)</v>
      </c>
      <c r="N28" s="59"/>
      <c r="O28" s="16"/>
    </row>
    <row r="29" spans="6:15" ht="15" hidden="1" customHeight="1" x14ac:dyDescent="0.25">
      <c r="K29" s="59" t="str">
        <f t="shared" si="4"/>
        <v>0.00 (0.00 – 0.00)</v>
      </c>
      <c r="L29" s="16" t="str">
        <f t="shared" si="5"/>
        <v>0.00
(0.00 – 0.00)</v>
      </c>
      <c r="N29" s="59"/>
      <c r="O29" s="16"/>
    </row>
    <row r="30" spans="6:15" ht="15" hidden="1" customHeight="1" x14ac:dyDescent="0.25">
      <c r="K30" s="59" t="str">
        <f t="shared" si="4"/>
        <v>0.00 (0.00 – 0.00)</v>
      </c>
      <c r="L30" s="16" t="str">
        <f t="shared" si="5"/>
        <v>0.00
(0.00 – 0.00)</v>
      </c>
      <c r="N30" s="59"/>
      <c r="O30" s="16"/>
    </row>
    <row r="31" spans="6:15" ht="15" hidden="1" customHeight="1" x14ac:dyDescent="0.25">
      <c r="K31" s="59" t="str">
        <f t="shared" si="4"/>
        <v>0.00 (0.00 – 0.00)</v>
      </c>
      <c r="L31" s="16" t="str">
        <f t="shared" si="5"/>
        <v>0.00
(0.00 – 0.00)</v>
      </c>
      <c r="N31" s="59"/>
      <c r="O31" s="16"/>
    </row>
    <row r="32" spans="6:15" ht="15" hidden="1" customHeight="1" x14ac:dyDescent="0.25">
      <c r="K32" s="59" t="str">
        <f t="shared" si="4"/>
        <v>0.00 (0.00 – 0.00)</v>
      </c>
      <c r="L32" s="16" t="str">
        <f t="shared" si="5"/>
        <v>0.00
(0.00 – 0.00)</v>
      </c>
      <c r="N32" s="59"/>
      <c r="O32" s="16"/>
    </row>
    <row r="33" spans="3:15" ht="15" hidden="1" customHeight="1" x14ac:dyDescent="0.25">
      <c r="K33" s="59" t="str">
        <f t="shared" si="4"/>
        <v>0.00 (0.00 – 0.00)</v>
      </c>
      <c r="L33" s="16" t="str">
        <f t="shared" si="5"/>
        <v>0.00
(0.00 – 0.00)</v>
      </c>
      <c r="N33" s="59"/>
      <c r="O33" s="16"/>
    </row>
    <row r="34" spans="3:15" ht="15" hidden="1" customHeight="1" x14ac:dyDescent="0.25">
      <c r="K34" s="59" t="str">
        <f t="shared" si="4"/>
        <v>0.00 (0.00 – 0.00)</v>
      </c>
      <c r="L34" s="16" t="str">
        <f t="shared" si="5"/>
        <v>0.00
(0.00 – 0.00)</v>
      </c>
      <c r="N34" s="59"/>
      <c r="O34" s="16"/>
    </row>
    <row r="35" spans="3:15" ht="15" hidden="1" customHeight="1" x14ac:dyDescent="0.25">
      <c r="K35" s="59" t="str">
        <f t="shared" si="4"/>
        <v>0.00 (0.00 – 0.00)</v>
      </c>
      <c r="L35" s="16" t="str">
        <f t="shared" si="5"/>
        <v>0.00
(0.00 – 0.00)</v>
      </c>
      <c r="N35" s="59"/>
      <c r="O35" s="16"/>
    </row>
    <row r="36" spans="3:15" ht="15" hidden="1" customHeight="1" x14ac:dyDescent="0.25">
      <c r="C36" s="56"/>
      <c r="D36" s="57"/>
      <c r="E36" s="57"/>
      <c r="F36" s="57"/>
      <c r="G36" s="57"/>
      <c r="H36" s="57"/>
      <c r="I36" s="57"/>
      <c r="J36" s="57"/>
      <c r="K36" s="59" t="str">
        <f t="shared" si="4"/>
        <v>0.00 (0.00 – 0.00)</v>
      </c>
      <c r="L36" s="16" t="str">
        <f t="shared" si="5"/>
        <v>0.00
(0.00 – 0.00)</v>
      </c>
      <c r="M36" s="57"/>
      <c r="N36" s="59"/>
      <c r="O36" s="16"/>
    </row>
    <row r="37" spans="3:15" ht="15" hidden="1" customHeight="1" x14ac:dyDescent="0.25">
      <c r="C37" s="56"/>
      <c r="D37" s="57"/>
      <c r="E37" s="57"/>
      <c r="F37" s="57"/>
      <c r="G37" s="57"/>
      <c r="H37" s="57"/>
      <c r="I37" s="57"/>
      <c r="J37" s="57"/>
      <c r="K37" s="59" t="str">
        <f t="shared" si="4"/>
        <v>0.00 (0.00 – 0.00)</v>
      </c>
      <c r="L37" s="16" t="str">
        <f t="shared" si="5"/>
        <v>0.00
(0.00 – 0.00)</v>
      </c>
      <c r="M37" s="57"/>
      <c r="N37" s="59"/>
      <c r="O37" s="16"/>
    </row>
    <row r="38" spans="3:15" ht="15" hidden="1" customHeight="1" x14ac:dyDescent="0.25">
      <c r="C38" s="56"/>
      <c r="D38" s="57"/>
      <c r="E38" s="57"/>
      <c r="F38" s="57"/>
      <c r="G38" s="57"/>
      <c r="H38" s="57"/>
      <c r="I38" s="57"/>
      <c r="J38" s="57"/>
      <c r="K38" s="59" t="str">
        <f t="shared" si="4"/>
        <v>0.00 (0.00 – 0.00)</v>
      </c>
      <c r="L38" s="16" t="str">
        <f t="shared" si="5"/>
        <v>0.00
(0.00 – 0.00)</v>
      </c>
      <c r="M38" s="57"/>
      <c r="N38" s="59"/>
      <c r="O38" s="16"/>
    </row>
    <row r="39" spans="3:15" ht="15" hidden="1" customHeight="1" x14ac:dyDescent="0.25">
      <c r="C39" s="56"/>
      <c r="D39" s="57"/>
      <c r="E39" s="57"/>
      <c r="F39" s="57"/>
      <c r="G39" s="57"/>
      <c r="H39" s="57"/>
      <c r="I39" s="57"/>
      <c r="J39" s="57"/>
      <c r="K39" s="59" t="str">
        <f t="shared" si="4"/>
        <v>0.00 (0.00 – 0.00)</v>
      </c>
      <c r="L39" s="16" t="str">
        <f t="shared" si="5"/>
        <v>0.00
(0.00 – 0.00)</v>
      </c>
      <c r="M39" s="57"/>
      <c r="N39" s="59"/>
      <c r="O39" s="16"/>
    </row>
    <row r="40" spans="3:15" ht="15" hidden="1" customHeight="1" x14ac:dyDescent="0.25">
      <c r="C40" s="56"/>
      <c r="D40" s="57"/>
      <c r="E40" s="57"/>
      <c r="F40" s="57"/>
      <c r="G40" s="57"/>
      <c r="H40" s="57"/>
      <c r="I40" s="57"/>
      <c r="J40" s="57"/>
      <c r="K40" s="59" t="str">
        <f t="shared" si="4"/>
        <v>0.00 (0.00 – 0.00)</v>
      </c>
      <c r="L40" s="16" t="str">
        <f t="shared" si="5"/>
        <v>0.00
(0.00 – 0.00)</v>
      </c>
      <c r="M40" s="57"/>
      <c r="N40" s="59"/>
      <c r="O40" s="16"/>
    </row>
    <row r="41" spans="3:15" ht="15" hidden="1" customHeight="1" x14ac:dyDescent="0.25">
      <c r="C41" s="56"/>
      <c r="D41" s="57"/>
      <c r="E41" s="57"/>
      <c r="F41" s="57"/>
      <c r="G41" s="57"/>
      <c r="H41" s="57"/>
      <c r="I41" s="57"/>
      <c r="J41" s="57"/>
      <c r="K41" s="59" t="str">
        <f t="shared" si="4"/>
        <v>0.00 (0.00 – 0.00)</v>
      </c>
      <c r="L41" s="16" t="str">
        <f t="shared" si="5"/>
        <v>0.00
(0.00 – 0.00)</v>
      </c>
      <c r="M41" s="57"/>
      <c r="N41" s="59"/>
      <c r="O41" s="16"/>
    </row>
    <row r="42" spans="3:15" ht="15" hidden="1" customHeight="1" x14ac:dyDescent="0.25">
      <c r="C42" s="56"/>
      <c r="D42" s="57"/>
      <c r="E42" s="57"/>
      <c r="F42" s="57"/>
      <c r="G42" s="57"/>
      <c r="H42" s="57"/>
      <c r="I42" s="57"/>
      <c r="J42" s="57"/>
      <c r="K42" s="59" t="str">
        <f t="shared" si="4"/>
        <v>0.00 (0.00 – 0.00)</v>
      </c>
      <c r="L42" s="16" t="str">
        <f t="shared" si="5"/>
        <v>0.00
(0.00 – 0.00)</v>
      </c>
      <c r="M42" s="57"/>
      <c r="N42" s="59"/>
      <c r="O42" s="16"/>
    </row>
    <row r="43" spans="3:15" ht="15" hidden="1" customHeight="1" x14ac:dyDescent="0.25">
      <c r="C43" s="56"/>
      <c r="D43" s="57"/>
      <c r="E43" s="57"/>
      <c r="F43" s="57"/>
      <c r="G43" s="57"/>
      <c r="H43" s="57"/>
      <c r="I43" s="57"/>
      <c r="J43" s="57"/>
      <c r="K43" s="59" t="str">
        <f t="shared" si="4"/>
        <v>0.00 (0.00 – 0.00)</v>
      </c>
      <c r="L43" s="16" t="str">
        <f t="shared" si="5"/>
        <v>0.00
(0.00 – 0.00)</v>
      </c>
      <c r="M43" s="57"/>
      <c r="N43" s="59"/>
      <c r="O43" s="16"/>
    </row>
    <row r="44" spans="3:15" ht="15" hidden="1" customHeight="1" x14ac:dyDescent="0.25">
      <c r="C44" s="56"/>
      <c r="D44" s="57"/>
      <c r="E44" s="57"/>
      <c r="F44" s="57"/>
      <c r="G44" s="57"/>
      <c r="H44" s="57"/>
      <c r="I44" s="57"/>
      <c r="J44" s="57"/>
      <c r="K44" s="59" t="str">
        <f t="shared" si="4"/>
        <v>0.00 (0.00 – 0.00)</v>
      </c>
      <c r="L44" s="16" t="str">
        <f t="shared" si="5"/>
        <v>0.00
(0.00 – 0.00)</v>
      </c>
      <c r="M44" s="57"/>
      <c r="N44" s="59"/>
      <c r="O44" s="16"/>
    </row>
    <row r="45" spans="3:15" ht="15" hidden="1" customHeight="1" x14ac:dyDescent="0.25">
      <c r="C45" s="56"/>
      <c r="D45" s="57"/>
      <c r="E45" s="57"/>
      <c r="F45" s="57"/>
      <c r="G45" s="57"/>
      <c r="H45" s="57"/>
      <c r="I45" s="57"/>
      <c r="J45" s="57"/>
      <c r="K45" s="59" t="str">
        <f t="shared" si="4"/>
        <v>0.00 (0.00 – 0.00)</v>
      </c>
      <c r="L45" s="16" t="str">
        <f t="shared" si="5"/>
        <v>0.00
(0.00 – 0.00)</v>
      </c>
      <c r="M45" s="57"/>
      <c r="N45" s="59"/>
      <c r="O45" s="16"/>
    </row>
    <row r="46" spans="3:15" ht="15" hidden="1" customHeight="1" x14ac:dyDescent="0.25">
      <c r="C46" s="56"/>
      <c r="D46" s="57"/>
      <c r="E46" s="57"/>
      <c r="F46" s="57"/>
      <c r="G46" s="57"/>
      <c r="H46" s="57"/>
      <c r="I46" s="57"/>
      <c r="J46" s="57"/>
      <c r="K46" s="59" t="str">
        <f t="shared" si="4"/>
        <v>0.00 (0.00 – 0.00)</v>
      </c>
      <c r="L46" s="16" t="str">
        <f t="shared" si="5"/>
        <v>0.00
(0.00 – 0.00)</v>
      </c>
      <c r="M46" s="57"/>
      <c r="N46" s="59"/>
      <c r="O46" s="16"/>
    </row>
    <row r="47" spans="3:15" ht="15" hidden="1" customHeight="1" x14ac:dyDescent="0.25">
      <c r="C47" s="56"/>
      <c r="D47" s="57"/>
      <c r="E47" s="57"/>
      <c r="F47" s="57"/>
      <c r="G47" s="57"/>
      <c r="H47" s="57"/>
      <c r="I47" s="57"/>
      <c r="J47" s="57"/>
      <c r="K47" s="59" t="str">
        <f t="shared" si="4"/>
        <v>0.00 (0.00 – 0.00)</v>
      </c>
      <c r="L47" s="16" t="str">
        <f t="shared" si="5"/>
        <v>0.00
(0.00 – 0.00)</v>
      </c>
      <c r="M47" s="57"/>
      <c r="N47" s="59"/>
      <c r="O47" s="16"/>
    </row>
    <row r="48" spans="3:15" ht="15" hidden="1" customHeight="1" x14ac:dyDescent="0.25">
      <c r="C48" s="56"/>
      <c r="D48" s="57"/>
      <c r="E48" s="57"/>
      <c r="F48" s="57"/>
      <c r="G48" s="57"/>
      <c r="H48" s="57"/>
      <c r="I48" s="57"/>
      <c r="J48" s="57"/>
      <c r="K48" s="59" t="str">
        <f t="shared" si="4"/>
        <v>0.00 (0.00 – 0.00)</v>
      </c>
      <c r="L48" s="16" t="str">
        <f t="shared" si="5"/>
        <v>0.00
(0.00 – 0.00)</v>
      </c>
      <c r="M48" s="57"/>
      <c r="N48" s="59"/>
      <c r="O48" s="16"/>
    </row>
    <row r="49" spans="3:15" ht="15" hidden="1" customHeight="1" x14ac:dyDescent="0.25">
      <c r="C49" s="56"/>
      <c r="D49" s="57"/>
      <c r="E49" s="57"/>
      <c r="F49" s="57"/>
      <c r="G49" s="57"/>
      <c r="H49" s="57"/>
      <c r="I49" s="57"/>
      <c r="J49" s="57"/>
      <c r="K49" s="59" t="str">
        <f t="shared" si="4"/>
        <v>0.00 (0.00 – 0.00)</v>
      </c>
      <c r="L49" s="16" t="str">
        <f t="shared" si="5"/>
        <v>0.00
(0.00 – 0.00)</v>
      </c>
      <c r="M49" s="57"/>
      <c r="N49" s="59"/>
      <c r="O49" s="16"/>
    </row>
    <row r="50" spans="3:15" ht="15" hidden="1" customHeight="1" x14ac:dyDescent="0.25">
      <c r="C50" s="56"/>
      <c r="D50" s="57"/>
      <c r="E50" s="57"/>
      <c r="F50" s="57"/>
      <c r="G50" s="57"/>
      <c r="H50" s="57"/>
      <c r="I50" s="57"/>
      <c r="J50" s="57"/>
      <c r="K50" s="59" t="str">
        <f t="shared" si="4"/>
        <v>0.00 (0.00 – 0.00)</v>
      </c>
      <c r="L50" s="16" t="str">
        <f t="shared" si="5"/>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14">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1" width="9.140625" customWidth="1"/>
    <col min="22" max="52" width="9.140625" hidden="1" customWidth="1"/>
  </cols>
  <sheetData>
    <row r="3" spans="2:21" ht="18.75" x14ac:dyDescent="0.3">
      <c r="B3" s="279"/>
      <c r="C3" s="279"/>
      <c r="D3" s="279"/>
      <c r="E3" s="279"/>
      <c r="F3" s="279"/>
      <c r="G3" s="279"/>
      <c r="H3" s="279"/>
      <c r="I3" s="279"/>
      <c r="J3" s="279"/>
    </row>
    <row r="4" spans="2:21" ht="15.75" thickBot="1" x14ac:dyDescent="0.3">
      <c r="B4" s="14"/>
      <c r="C4" s="14"/>
      <c r="D4" s="15"/>
      <c r="E4" s="15"/>
      <c r="F4" s="15"/>
      <c r="G4" s="15"/>
      <c r="H4" s="15"/>
      <c r="I4" s="15"/>
      <c r="J4" s="15"/>
      <c r="M4" t="s">
        <v>352</v>
      </c>
      <c r="N4" t="s">
        <v>353</v>
      </c>
      <c r="O4" t="s">
        <v>354</v>
      </c>
      <c r="P4" t="s">
        <v>355</v>
      </c>
      <c r="Q4" t="s">
        <v>356</v>
      </c>
      <c r="R4" t="s">
        <v>357</v>
      </c>
      <c r="S4" t="s">
        <v>358</v>
      </c>
      <c r="T4" t="s">
        <v>359</v>
      </c>
      <c r="U4" t="s">
        <v>360</v>
      </c>
    </row>
    <row r="5" spans="2:21" x14ac:dyDescent="0.25">
      <c r="B5" t="s">
        <v>517</v>
      </c>
      <c r="C5" s="17" t="s">
        <v>352</v>
      </c>
      <c r="D5" s="17">
        <v>1</v>
      </c>
      <c r="E5">
        <v>0</v>
      </c>
      <c r="F5">
        <v>0</v>
      </c>
      <c r="G5">
        <v>3.333E-13</v>
      </c>
      <c r="H5">
        <v>0</v>
      </c>
      <c r="I5">
        <v>0</v>
      </c>
      <c r="J5">
        <v>0</v>
      </c>
      <c r="L5">
        <v>1</v>
      </c>
      <c r="M5">
        <v>0</v>
      </c>
      <c r="N5">
        <v>8.3330000000000003E-4</v>
      </c>
      <c r="O5">
        <v>9.8670000000000008E-3</v>
      </c>
      <c r="P5">
        <v>0.14349999999999999</v>
      </c>
      <c r="Q5">
        <v>1.0630000000000001E-2</v>
      </c>
      <c r="R5">
        <v>2.3E-3</v>
      </c>
      <c r="S5">
        <v>0.67879999999999996</v>
      </c>
      <c r="T5">
        <v>0.14000000000000001</v>
      </c>
      <c r="U5">
        <v>1.41E-2</v>
      </c>
    </row>
    <row r="6" spans="2:21" x14ac:dyDescent="0.25">
      <c r="B6" t="s">
        <v>518</v>
      </c>
      <c r="C6" s="17" t="s">
        <v>352</v>
      </c>
      <c r="D6" s="17">
        <v>2</v>
      </c>
      <c r="E6">
        <v>0</v>
      </c>
      <c r="F6">
        <v>0</v>
      </c>
      <c r="G6">
        <v>3.333E-13</v>
      </c>
      <c r="H6">
        <v>0</v>
      </c>
      <c r="I6">
        <v>0</v>
      </c>
      <c r="J6">
        <v>0</v>
      </c>
      <c r="L6">
        <v>2</v>
      </c>
      <c r="M6">
        <v>0</v>
      </c>
      <c r="N6">
        <v>1.1299999999999999E-2</v>
      </c>
      <c r="O6">
        <v>8.4070000000000006E-2</v>
      </c>
      <c r="P6">
        <v>0.41720000000000002</v>
      </c>
      <c r="Q6">
        <v>6.0069999999999998E-2</v>
      </c>
      <c r="R6">
        <v>3.8E-3</v>
      </c>
      <c r="S6">
        <v>0.13869999999999999</v>
      </c>
      <c r="T6">
        <v>0.17280000000000001</v>
      </c>
      <c r="U6">
        <v>0.112</v>
      </c>
    </row>
    <row r="7" spans="2:21" x14ac:dyDescent="0.25">
      <c r="B7" t="s">
        <v>519</v>
      </c>
      <c r="C7" s="17" t="s">
        <v>352</v>
      </c>
      <c r="D7" s="17">
        <v>3</v>
      </c>
      <c r="E7">
        <v>0</v>
      </c>
      <c r="F7">
        <v>0</v>
      </c>
      <c r="G7">
        <v>3.333E-13</v>
      </c>
      <c r="H7">
        <v>0</v>
      </c>
      <c r="I7">
        <v>0</v>
      </c>
      <c r="J7">
        <v>0</v>
      </c>
      <c r="L7">
        <v>3</v>
      </c>
      <c r="M7">
        <v>0</v>
      </c>
      <c r="N7">
        <v>7.0900000000000005E-2</v>
      </c>
      <c r="O7">
        <v>0.2918</v>
      </c>
      <c r="P7">
        <v>0.23619999999999999</v>
      </c>
      <c r="Q7">
        <v>7.5800000000000006E-2</v>
      </c>
      <c r="R7">
        <v>2.1670000000000001E-3</v>
      </c>
      <c r="S7">
        <v>6.0670000000000002E-2</v>
      </c>
      <c r="T7">
        <v>6.3070000000000001E-2</v>
      </c>
      <c r="U7">
        <v>0.19939999999999999</v>
      </c>
    </row>
    <row r="8" spans="2:21" x14ac:dyDescent="0.25">
      <c r="B8" t="s">
        <v>520</v>
      </c>
      <c r="C8" s="17" t="s">
        <v>352</v>
      </c>
      <c r="D8" s="17">
        <v>4</v>
      </c>
      <c r="E8">
        <v>4.6670000000000001E-4</v>
      </c>
      <c r="F8">
        <v>2.1600000000000001E-2</v>
      </c>
      <c r="G8">
        <v>4.682E-4</v>
      </c>
      <c r="H8">
        <v>0</v>
      </c>
      <c r="I8">
        <v>0</v>
      </c>
      <c r="J8">
        <v>0</v>
      </c>
      <c r="L8">
        <v>4</v>
      </c>
      <c r="M8">
        <v>4.6670000000000001E-4</v>
      </c>
      <c r="N8">
        <v>0.1908</v>
      </c>
      <c r="O8">
        <v>0.23350000000000001</v>
      </c>
      <c r="P8">
        <v>9.8799999999999999E-2</v>
      </c>
      <c r="Q8">
        <v>8.5000000000000006E-2</v>
      </c>
      <c r="R8">
        <v>8.0330000000000002E-3</v>
      </c>
      <c r="S8">
        <v>4.5330000000000002E-2</v>
      </c>
      <c r="T8">
        <v>6.3270000000000007E-2</v>
      </c>
      <c r="U8">
        <v>0.27479999999999999</v>
      </c>
    </row>
    <row r="9" spans="2:21" x14ac:dyDescent="0.25">
      <c r="B9" t="s">
        <v>521</v>
      </c>
      <c r="C9" s="17" t="s">
        <v>352</v>
      </c>
      <c r="D9" s="17">
        <v>5</v>
      </c>
      <c r="E9">
        <v>7.3670000000000003E-3</v>
      </c>
      <c r="F9">
        <v>8.5510000000000003E-2</v>
      </c>
      <c r="G9">
        <v>2.6419999999999998E-3</v>
      </c>
      <c r="H9">
        <v>0</v>
      </c>
      <c r="I9">
        <v>0</v>
      </c>
      <c r="J9">
        <v>0</v>
      </c>
      <c r="L9">
        <v>5</v>
      </c>
      <c r="M9">
        <v>7.3670000000000003E-3</v>
      </c>
      <c r="N9">
        <v>0.3725</v>
      </c>
      <c r="O9">
        <v>0.14319999999999999</v>
      </c>
      <c r="P9">
        <v>6.13E-2</v>
      </c>
      <c r="Q9">
        <v>0.1033</v>
      </c>
      <c r="R9">
        <v>1.833E-3</v>
      </c>
      <c r="S9">
        <v>2.8029999999999999E-2</v>
      </c>
      <c r="T9">
        <v>4.1070000000000002E-2</v>
      </c>
      <c r="U9">
        <v>0.24129999999999999</v>
      </c>
    </row>
    <row r="10" spans="2:21" x14ac:dyDescent="0.25">
      <c r="B10" t="s">
        <v>522</v>
      </c>
      <c r="C10" s="17" t="s">
        <v>352</v>
      </c>
      <c r="D10" s="17">
        <v>6</v>
      </c>
      <c r="E10">
        <v>9.7670000000000007E-2</v>
      </c>
      <c r="F10">
        <v>0.2969</v>
      </c>
      <c r="G10">
        <v>1.1469999999999999E-2</v>
      </c>
      <c r="H10">
        <v>0</v>
      </c>
      <c r="I10">
        <v>0</v>
      </c>
      <c r="J10">
        <v>1</v>
      </c>
      <c r="L10">
        <v>6</v>
      </c>
      <c r="M10">
        <v>9.7670000000000007E-2</v>
      </c>
      <c r="N10">
        <v>0.27689999999999998</v>
      </c>
      <c r="O10">
        <v>0.155</v>
      </c>
      <c r="P10">
        <v>3.3770000000000001E-2</v>
      </c>
      <c r="Q10">
        <v>0.21240000000000001</v>
      </c>
      <c r="R10">
        <v>1.6329999999999999E-3</v>
      </c>
      <c r="S10">
        <v>2.63E-2</v>
      </c>
      <c r="T10">
        <v>7.4300000000000005E-2</v>
      </c>
      <c r="U10">
        <v>0.1221</v>
      </c>
    </row>
    <row r="11" spans="2:21" x14ac:dyDescent="0.25">
      <c r="B11" t="s">
        <v>523</v>
      </c>
      <c r="C11" s="17" t="s">
        <v>352</v>
      </c>
      <c r="D11" s="17">
        <v>7</v>
      </c>
      <c r="E11">
        <v>0.3831</v>
      </c>
      <c r="F11">
        <v>0.48609999999999998</v>
      </c>
      <c r="G11">
        <v>1.8409999999999999E-2</v>
      </c>
      <c r="H11">
        <v>0</v>
      </c>
      <c r="I11">
        <v>0</v>
      </c>
      <c r="J11">
        <v>1</v>
      </c>
      <c r="L11">
        <v>7</v>
      </c>
      <c r="M11">
        <v>0.3831</v>
      </c>
      <c r="N11">
        <v>7.6270000000000004E-2</v>
      </c>
      <c r="O11">
        <v>7.4499999999999997E-2</v>
      </c>
      <c r="P11">
        <v>8.5000000000000006E-3</v>
      </c>
      <c r="Q11">
        <v>0.27929999999999999</v>
      </c>
      <c r="R11">
        <v>4.0000000000000001E-3</v>
      </c>
      <c r="S11">
        <v>1.917E-2</v>
      </c>
      <c r="T11">
        <v>0.11890000000000001</v>
      </c>
      <c r="U11">
        <v>3.6229999999999998E-2</v>
      </c>
    </row>
    <row r="12" spans="2:21" x14ac:dyDescent="0.25">
      <c r="B12" t="s">
        <v>524</v>
      </c>
      <c r="C12" s="17" t="s">
        <v>352</v>
      </c>
      <c r="D12" s="17">
        <v>8</v>
      </c>
      <c r="E12">
        <v>0.49559999999999998</v>
      </c>
      <c r="F12">
        <v>0.5</v>
      </c>
      <c r="G12">
        <v>2.1389999999999999E-2</v>
      </c>
      <c r="H12">
        <v>0</v>
      </c>
      <c r="I12">
        <v>0</v>
      </c>
      <c r="J12">
        <v>1</v>
      </c>
      <c r="L12">
        <v>8</v>
      </c>
      <c r="M12">
        <v>0.49559999999999998</v>
      </c>
      <c r="N12">
        <v>5.3330000000000001E-4</v>
      </c>
      <c r="O12">
        <v>8.0669999999999995E-3</v>
      </c>
      <c r="P12">
        <v>6.667E-4</v>
      </c>
      <c r="Q12">
        <v>0.16669999999999999</v>
      </c>
      <c r="R12">
        <v>4.8329999999999996E-3</v>
      </c>
      <c r="S12">
        <v>3.0330000000000001E-3</v>
      </c>
      <c r="T12">
        <v>0.3206</v>
      </c>
      <c r="U12">
        <v>0</v>
      </c>
    </row>
    <row r="13" spans="2:21" x14ac:dyDescent="0.25">
      <c r="B13" t="s">
        <v>525</v>
      </c>
      <c r="C13" s="17" t="s">
        <v>352</v>
      </c>
      <c r="D13" s="17">
        <v>9</v>
      </c>
      <c r="E13">
        <v>1.5869999999999999E-2</v>
      </c>
      <c r="F13">
        <v>0.125</v>
      </c>
      <c r="G13">
        <v>5.836E-3</v>
      </c>
      <c r="H13">
        <v>0</v>
      </c>
      <c r="I13">
        <v>0</v>
      </c>
      <c r="J13">
        <v>0</v>
      </c>
      <c r="L13">
        <v>9</v>
      </c>
      <c r="M13">
        <v>1.5869999999999999E-2</v>
      </c>
      <c r="N13">
        <v>0</v>
      </c>
      <c r="O13">
        <v>0</v>
      </c>
      <c r="P13">
        <v>0</v>
      </c>
      <c r="Q13">
        <v>6.7000000000000002E-3</v>
      </c>
      <c r="R13">
        <v>0.97140000000000004</v>
      </c>
      <c r="S13">
        <v>0</v>
      </c>
      <c r="T13">
        <v>6.0330000000000002E-3</v>
      </c>
      <c r="U13">
        <v>0</v>
      </c>
    </row>
    <row r="14" spans="2:21" hidden="1" x14ac:dyDescent="0.25">
      <c r="B14" t="s">
        <v>526</v>
      </c>
      <c r="C14" s="17" t="s">
        <v>353</v>
      </c>
      <c r="D14" s="17">
        <v>1</v>
      </c>
      <c r="E14">
        <v>8.3330000000000003E-4</v>
      </c>
      <c r="F14">
        <v>2.886E-2</v>
      </c>
      <c r="G14">
        <v>4.9569999999999996E-4</v>
      </c>
      <c r="H14">
        <v>0</v>
      </c>
      <c r="I14">
        <v>0</v>
      </c>
      <c r="J14">
        <v>0</v>
      </c>
    </row>
    <row r="15" spans="2:21" hidden="1" x14ac:dyDescent="0.25">
      <c r="B15" t="s">
        <v>527</v>
      </c>
      <c r="C15" s="17" t="s">
        <v>353</v>
      </c>
      <c r="D15" s="17">
        <v>2</v>
      </c>
      <c r="E15">
        <v>1.1299999999999999E-2</v>
      </c>
      <c r="F15">
        <v>0.1057</v>
      </c>
      <c r="G15">
        <v>1.8749999999999999E-3</v>
      </c>
      <c r="H15">
        <v>0</v>
      </c>
      <c r="I15">
        <v>0</v>
      </c>
      <c r="J15">
        <v>0</v>
      </c>
    </row>
    <row r="16" spans="2:21" hidden="1" x14ac:dyDescent="0.25">
      <c r="B16" t="s">
        <v>528</v>
      </c>
      <c r="C16" s="17" t="s">
        <v>353</v>
      </c>
      <c r="D16" s="17">
        <v>3</v>
      </c>
      <c r="E16">
        <v>7.0900000000000005E-2</v>
      </c>
      <c r="F16">
        <v>0.25669999999999998</v>
      </c>
      <c r="G16">
        <v>8.5260000000000006E-3</v>
      </c>
      <c r="H16">
        <v>0</v>
      </c>
      <c r="I16">
        <v>0</v>
      </c>
      <c r="J16">
        <v>1</v>
      </c>
    </row>
    <row r="17" spans="2:10" hidden="1" x14ac:dyDescent="0.25">
      <c r="B17" t="s">
        <v>529</v>
      </c>
      <c r="C17" s="17" t="s">
        <v>353</v>
      </c>
      <c r="D17" s="17">
        <v>4</v>
      </c>
      <c r="E17">
        <v>0.1908</v>
      </c>
      <c r="F17">
        <v>0.39290000000000003</v>
      </c>
      <c r="G17">
        <v>1.226E-2</v>
      </c>
      <c r="H17">
        <v>0</v>
      </c>
      <c r="I17">
        <v>0</v>
      </c>
      <c r="J17">
        <v>1</v>
      </c>
    </row>
    <row r="18" spans="2:10" hidden="1" x14ac:dyDescent="0.25">
      <c r="B18" t="s">
        <v>530</v>
      </c>
      <c r="C18" s="17" t="s">
        <v>353</v>
      </c>
      <c r="D18" s="17">
        <v>5</v>
      </c>
      <c r="E18">
        <v>0.3725</v>
      </c>
      <c r="F18">
        <v>0.48349999999999999</v>
      </c>
      <c r="G18">
        <v>1.4630000000000001E-2</v>
      </c>
      <c r="H18">
        <v>0</v>
      </c>
      <c r="I18">
        <v>0</v>
      </c>
      <c r="J18">
        <v>1</v>
      </c>
    </row>
    <row r="19" spans="2:10" hidden="1" x14ac:dyDescent="0.25">
      <c r="B19" t="s">
        <v>531</v>
      </c>
      <c r="C19" s="17" t="s">
        <v>353</v>
      </c>
      <c r="D19" s="17">
        <v>6</v>
      </c>
      <c r="E19">
        <v>0.27689999999999998</v>
      </c>
      <c r="F19">
        <v>0.44750000000000001</v>
      </c>
      <c r="G19">
        <v>1.469E-2</v>
      </c>
      <c r="H19">
        <v>0</v>
      </c>
      <c r="I19">
        <v>0</v>
      </c>
      <c r="J19">
        <v>1</v>
      </c>
    </row>
    <row r="20" spans="2:10" hidden="1" x14ac:dyDescent="0.25">
      <c r="B20" t="s">
        <v>532</v>
      </c>
      <c r="C20" s="17" t="s">
        <v>353</v>
      </c>
      <c r="D20" s="17">
        <v>7</v>
      </c>
      <c r="E20">
        <v>7.6270000000000004E-2</v>
      </c>
      <c r="F20">
        <v>0.26540000000000002</v>
      </c>
      <c r="G20">
        <v>9.4090000000000007E-3</v>
      </c>
      <c r="H20">
        <v>0</v>
      </c>
      <c r="I20">
        <v>0</v>
      </c>
      <c r="J20">
        <v>1</v>
      </c>
    </row>
    <row r="21" spans="2:10" hidden="1" x14ac:dyDescent="0.25">
      <c r="B21" t="s">
        <v>533</v>
      </c>
      <c r="C21" s="17" t="s">
        <v>353</v>
      </c>
      <c r="D21" s="17">
        <v>8</v>
      </c>
      <c r="E21">
        <v>5.3330000000000001E-4</v>
      </c>
      <c r="F21">
        <v>2.3089999999999999E-2</v>
      </c>
      <c r="G21">
        <v>4.1189999999999998E-4</v>
      </c>
      <c r="H21">
        <v>0</v>
      </c>
      <c r="I21">
        <v>0</v>
      </c>
      <c r="J21">
        <v>0</v>
      </c>
    </row>
    <row r="22" spans="2:10" hidden="1" x14ac:dyDescent="0.25">
      <c r="B22" t="s">
        <v>534</v>
      </c>
      <c r="C22" s="17" t="s">
        <v>353</v>
      </c>
      <c r="D22" s="17">
        <v>9</v>
      </c>
      <c r="E22">
        <v>0</v>
      </c>
      <c r="F22">
        <v>0</v>
      </c>
      <c r="G22">
        <v>3.333E-13</v>
      </c>
      <c r="H22">
        <v>0</v>
      </c>
      <c r="I22">
        <v>0</v>
      </c>
      <c r="J22">
        <v>0</v>
      </c>
    </row>
    <row r="23" spans="2:10" hidden="1" x14ac:dyDescent="0.25">
      <c r="B23" t="s">
        <v>535</v>
      </c>
      <c r="C23" s="17" t="s">
        <v>354</v>
      </c>
      <c r="D23" s="17">
        <v>1</v>
      </c>
      <c r="E23">
        <v>9.8670000000000008E-3</v>
      </c>
      <c r="F23">
        <v>9.8839999999999997E-2</v>
      </c>
      <c r="G23">
        <v>3.643E-3</v>
      </c>
      <c r="H23">
        <v>0</v>
      </c>
      <c r="I23">
        <v>0</v>
      </c>
      <c r="J23">
        <v>0</v>
      </c>
    </row>
    <row r="24" spans="2:10" hidden="1" x14ac:dyDescent="0.25">
      <c r="B24" t="s">
        <v>536</v>
      </c>
      <c r="C24" s="17" t="s">
        <v>354</v>
      </c>
      <c r="D24" s="17">
        <v>2</v>
      </c>
      <c r="E24">
        <v>8.4070000000000006E-2</v>
      </c>
      <c r="F24">
        <v>0.27750000000000002</v>
      </c>
      <c r="G24">
        <v>1.0500000000000001E-2</v>
      </c>
      <c r="H24">
        <v>0</v>
      </c>
      <c r="I24">
        <v>0</v>
      </c>
      <c r="J24">
        <v>1</v>
      </c>
    </row>
    <row r="25" spans="2:10" hidden="1" x14ac:dyDescent="0.25">
      <c r="B25" t="s">
        <v>537</v>
      </c>
      <c r="C25" s="17" t="s">
        <v>354</v>
      </c>
      <c r="D25" s="17">
        <v>3</v>
      </c>
      <c r="E25">
        <v>0.2918</v>
      </c>
      <c r="F25">
        <v>0.4546</v>
      </c>
      <c r="G25">
        <v>1.8030000000000001E-2</v>
      </c>
      <c r="H25">
        <v>0</v>
      </c>
      <c r="I25">
        <v>0</v>
      </c>
      <c r="J25">
        <v>1</v>
      </c>
    </row>
    <row r="26" spans="2:10" hidden="1" x14ac:dyDescent="0.25">
      <c r="B26" t="s">
        <v>538</v>
      </c>
      <c r="C26" s="17" t="s">
        <v>354</v>
      </c>
      <c r="D26" s="17">
        <v>4</v>
      </c>
      <c r="E26">
        <v>0.23350000000000001</v>
      </c>
      <c r="F26">
        <v>0.42309999999999998</v>
      </c>
      <c r="G26">
        <v>1.422E-2</v>
      </c>
      <c r="H26">
        <v>0</v>
      </c>
      <c r="I26">
        <v>0</v>
      </c>
      <c r="J26">
        <v>1</v>
      </c>
    </row>
    <row r="27" spans="2:10" hidden="1" x14ac:dyDescent="0.25">
      <c r="B27" t="s">
        <v>539</v>
      </c>
      <c r="C27" s="17" t="s">
        <v>354</v>
      </c>
      <c r="D27" s="17">
        <v>5</v>
      </c>
      <c r="E27">
        <v>0.14319999999999999</v>
      </c>
      <c r="F27">
        <v>0.3503</v>
      </c>
      <c r="G27">
        <v>9.6450000000000008E-3</v>
      </c>
      <c r="H27">
        <v>0</v>
      </c>
      <c r="I27">
        <v>0</v>
      </c>
      <c r="J27">
        <v>1</v>
      </c>
    </row>
    <row r="28" spans="2:10" hidden="1" x14ac:dyDescent="0.25">
      <c r="B28" t="s">
        <v>540</v>
      </c>
      <c r="C28" s="17" t="s">
        <v>354</v>
      </c>
      <c r="D28" s="17">
        <v>6</v>
      </c>
      <c r="E28">
        <v>0.155</v>
      </c>
      <c r="F28">
        <v>0.3619</v>
      </c>
      <c r="G28">
        <v>1.3089999999999999E-2</v>
      </c>
      <c r="H28">
        <v>0</v>
      </c>
      <c r="I28">
        <v>0</v>
      </c>
      <c r="J28">
        <v>1</v>
      </c>
    </row>
    <row r="29" spans="2:10" hidden="1" x14ac:dyDescent="0.25">
      <c r="B29" t="s">
        <v>541</v>
      </c>
      <c r="C29" s="17" t="s">
        <v>354</v>
      </c>
      <c r="D29" s="17">
        <v>7</v>
      </c>
      <c r="E29">
        <v>7.4499999999999997E-2</v>
      </c>
      <c r="F29">
        <v>0.2626</v>
      </c>
      <c r="G29">
        <v>1.025E-2</v>
      </c>
      <c r="H29">
        <v>0</v>
      </c>
      <c r="I29">
        <v>0</v>
      </c>
      <c r="J29">
        <v>1</v>
      </c>
    </row>
    <row r="30" spans="2:10" hidden="1" x14ac:dyDescent="0.25">
      <c r="B30" t="s">
        <v>542</v>
      </c>
      <c r="C30" t="s">
        <v>354</v>
      </c>
      <c r="D30">
        <v>8</v>
      </c>
      <c r="E30">
        <v>8.0669999999999995E-3</v>
      </c>
      <c r="F30">
        <v>8.9450000000000002E-2</v>
      </c>
      <c r="G30">
        <v>3.0899999999999999E-3</v>
      </c>
      <c r="H30">
        <v>0</v>
      </c>
      <c r="I30">
        <v>0</v>
      </c>
      <c r="J30">
        <v>0</v>
      </c>
    </row>
    <row r="31" spans="2:10" hidden="1" x14ac:dyDescent="0.25">
      <c r="B31" t="s">
        <v>543</v>
      </c>
      <c r="C31" t="s">
        <v>354</v>
      </c>
      <c r="D31">
        <v>9</v>
      </c>
      <c r="E31">
        <v>0</v>
      </c>
      <c r="F31">
        <v>0</v>
      </c>
      <c r="G31">
        <v>3.333E-13</v>
      </c>
      <c r="H31">
        <v>0</v>
      </c>
      <c r="I31">
        <v>0</v>
      </c>
      <c r="J31">
        <v>0</v>
      </c>
    </row>
    <row r="32" spans="2:10" hidden="1" x14ac:dyDescent="0.25">
      <c r="B32" t="s">
        <v>544</v>
      </c>
      <c r="C32" t="s">
        <v>355</v>
      </c>
      <c r="D32">
        <v>1</v>
      </c>
      <c r="E32">
        <v>0.14349999999999999</v>
      </c>
      <c r="F32">
        <v>0.35060000000000002</v>
      </c>
      <c r="G32">
        <v>1.5429999999999999E-2</v>
      </c>
      <c r="H32">
        <v>0</v>
      </c>
      <c r="I32">
        <v>0</v>
      </c>
      <c r="J32">
        <v>1</v>
      </c>
    </row>
    <row r="33" spans="2:10" hidden="1" x14ac:dyDescent="0.25">
      <c r="B33" t="s">
        <v>545</v>
      </c>
      <c r="C33" t="s">
        <v>355</v>
      </c>
      <c r="D33">
        <v>2</v>
      </c>
      <c r="E33">
        <v>0.41720000000000002</v>
      </c>
      <c r="F33">
        <v>0.49309999999999998</v>
      </c>
      <c r="G33">
        <v>1.968E-2</v>
      </c>
      <c r="H33">
        <v>0</v>
      </c>
      <c r="I33">
        <v>0</v>
      </c>
      <c r="J33">
        <v>1</v>
      </c>
    </row>
    <row r="34" spans="2:10" hidden="1" x14ac:dyDescent="0.25">
      <c r="B34" t="s">
        <v>546</v>
      </c>
      <c r="C34" t="s">
        <v>355</v>
      </c>
      <c r="D34">
        <v>3</v>
      </c>
      <c r="E34">
        <v>0.23619999999999999</v>
      </c>
      <c r="F34">
        <v>0.42470000000000002</v>
      </c>
      <c r="G34">
        <v>1.4659999999999999E-2</v>
      </c>
      <c r="H34">
        <v>0</v>
      </c>
      <c r="I34">
        <v>0</v>
      </c>
      <c r="J34">
        <v>1</v>
      </c>
    </row>
    <row r="35" spans="2:10" hidden="1" x14ac:dyDescent="0.25">
      <c r="B35" t="s">
        <v>547</v>
      </c>
      <c r="C35" t="s">
        <v>355</v>
      </c>
      <c r="D35">
        <v>4</v>
      </c>
      <c r="E35">
        <v>9.8799999999999999E-2</v>
      </c>
      <c r="F35">
        <v>0.2984</v>
      </c>
      <c r="G35">
        <v>8.4440000000000001E-3</v>
      </c>
      <c r="H35">
        <v>0</v>
      </c>
      <c r="I35">
        <v>0</v>
      </c>
      <c r="J35">
        <v>1</v>
      </c>
    </row>
    <row r="36" spans="2:10" hidden="1" x14ac:dyDescent="0.25">
      <c r="B36" t="s">
        <v>548</v>
      </c>
      <c r="C36" t="s">
        <v>355</v>
      </c>
      <c r="D36">
        <v>5</v>
      </c>
      <c r="E36">
        <v>6.13E-2</v>
      </c>
      <c r="F36">
        <v>0.2399</v>
      </c>
      <c r="G36">
        <v>6.8630000000000002E-3</v>
      </c>
      <c r="H36">
        <v>0</v>
      </c>
      <c r="I36">
        <v>0</v>
      </c>
      <c r="J36">
        <v>1</v>
      </c>
    </row>
    <row r="37" spans="2:10" hidden="1" x14ac:dyDescent="0.25">
      <c r="B37" t="s">
        <v>549</v>
      </c>
      <c r="C37" t="s">
        <v>355</v>
      </c>
      <c r="D37">
        <v>6</v>
      </c>
      <c r="E37">
        <v>3.3770000000000001E-2</v>
      </c>
      <c r="F37">
        <v>0.18060000000000001</v>
      </c>
      <c r="G37">
        <v>5.8180000000000003E-3</v>
      </c>
      <c r="H37">
        <v>0</v>
      </c>
      <c r="I37">
        <v>0</v>
      </c>
      <c r="J37">
        <v>1</v>
      </c>
    </row>
    <row r="38" spans="2:10" hidden="1" x14ac:dyDescent="0.25">
      <c r="B38" t="s">
        <v>550</v>
      </c>
      <c r="C38" t="s">
        <v>355</v>
      </c>
      <c r="D38">
        <v>7</v>
      </c>
      <c r="E38">
        <v>8.5000000000000006E-3</v>
      </c>
      <c r="F38">
        <v>9.1800000000000007E-2</v>
      </c>
      <c r="G38">
        <v>1.9810000000000001E-3</v>
      </c>
      <c r="H38">
        <v>0</v>
      </c>
      <c r="I38">
        <v>0</v>
      </c>
      <c r="J38">
        <v>0</v>
      </c>
    </row>
    <row r="39" spans="2:10" hidden="1" x14ac:dyDescent="0.25">
      <c r="B39" t="s">
        <v>551</v>
      </c>
      <c r="C39" t="s">
        <v>355</v>
      </c>
      <c r="D39">
        <v>8</v>
      </c>
      <c r="E39">
        <v>6.667E-4</v>
      </c>
      <c r="F39">
        <v>2.581E-2</v>
      </c>
      <c r="G39">
        <v>4.2460000000000002E-4</v>
      </c>
      <c r="H39">
        <v>0</v>
      </c>
      <c r="I39">
        <v>0</v>
      </c>
      <c r="J39">
        <v>0</v>
      </c>
    </row>
    <row r="40" spans="2:10" hidden="1" x14ac:dyDescent="0.25">
      <c r="B40" t="s">
        <v>552</v>
      </c>
      <c r="C40" t="s">
        <v>355</v>
      </c>
      <c r="D40">
        <v>9</v>
      </c>
      <c r="E40">
        <v>0</v>
      </c>
      <c r="F40">
        <v>0</v>
      </c>
      <c r="G40">
        <v>3.333E-13</v>
      </c>
      <c r="H40">
        <v>0</v>
      </c>
      <c r="I40">
        <v>0</v>
      </c>
      <c r="J40">
        <v>0</v>
      </c>
    </row>
    <row r="41" spans="2:10" hidden="1" x14ac:dyDescent="0.25">
      <c r="B41" t="s">
        <v>553</v>
      </c>
      <c r="C41" t="s">
        <v>356</v>
      </c>
      <c r="D41">
        <v>1</v>
      </c>
      <c r="E41">
        <v>1.0630000000000001E-2</v>
      </c>
      <c r="F41">
        <v>0.1026</v>
      </c>
      <c r="G41">
        <v>2.8739999999999998E-3</v>
      </c>
      <c r="H41">
        <v>0</v>
      </c>
      <c r="I41">
        <v>0</v>
      </c>
      <c r="J41">
        <v>0</v>
      </c>
    </row>
    <row r="42" spans="2:10" hidden="1" x14ac:dyDescent="0.25">
      <c r="B42" t="s">
        <v>554</v>
      </c>
      <c r="C42" t="s">
        <v>356</v>
      </c>
      <c r="D42">
        <v>2</v>
      </c>
      <c r="E42">
        <v>6.0069999999999998E-2</v>
      </c>
      <c r="F42">
        <v>0.23760000000000001</v>
      </c>
      <c r="G42">
        <v>7.4380000000000002E-3</v>
      </c>
      <c r="H42">
        <v>0</v>
      </c>
      <c r="I42">
        <v>0</v>
      </c>
      <c r="J42">
        <v>1</v>
      </c>
    </row>
    <row r="43" spans="2:10" hidden="1" x14ac:dyDescent="0.25">
      <c r="B43" t="s">
        <v>555</v>
      </c>
      <c r="C43" t="s">
        <v>356</v>
      </c>
      <c r="D43">
        <v>3</v>
      </c>
      <c r="E43">
        <v>7.5800000000000006E-2</v>
      </c>
      <c r="F43">
        <v>0.26469999999999999</v>
      </c>
      <c r="G43">
        <v>6.77E-3</v>
      </c>
      <c r="H43">
        <v>0</v>
      </c>
      <c r="I43">
        <v>0</v>
      </c>
      <c r="J43">
        <v>1</v>
      </c>
    </row>
    <row r="44" spans="2:10" hidden="1" x14ac:dyDescent="0.25">
      <c r="B44" t="s">
        <v>556</v>
      </c>
      <c r="C44" t="s">
        <v>356</v>
      </c>
      <c r="D44">
        <v>4</v>
      </c>
      <c r="E44">
        <v>8.5000000000000006E-2</v>
      </c>
      <c r="F44">
        <v>0.27889999999999998</v>
      </c>
      <c r="G44">
        <v>6.2839999999999997E-3</v>
      </c>
      <c r="H44">
        <v>0</v>
      </c>
      <c r="I44">
        <v>0</v>
      </c>
      <c r="J44">
        <v>1</v>
      </c>
    </row>
    <row r="45" spans="2:10" hidden="1" x14ac:dyDescent="0.25">
      <c r="B45" t="s">
        <v>557</v>
      </c>
      <c r="C45" t="s">
        <v>356</v>
      </c>
      <c r="D45">
        <v>5</v>
      </c>
      <c r="E45">
        <v>0.1033</v>
      </c>
      <c r="F45">
        <v>0.3044</v>
      </c>
      <c r="G45">
        <v>6.2919999999999998E-3</v>
      </c>
      <c r="H45">
        <v>0</v>
      </c>
      <c r="I45">
        <v>0</v>
      </c>
      <c r="J45">
        <v>1</v>
      </c>
    </row>
    <row r="46" spans="2:10" hidden="1" x14ac:dyDescent="0.25">
      <c r="B46" t="s">
        <v>558</v>
      </c>
      <c r="C46" t="s">
        <v>356</v>
      </c>
      <c r="D46">
        <v>6</v>
      </c>
      <c r="E46">
        <v>0.21240000000000001</v>
      </c>
      <c r="F46">
        <v>0.40899999999999997</v>
      </c>
      <c r="G46">
        <v>1.205E-2</v>
      </c>
      <c r="H46">
        <v>0</v>
      </c>
      <c r="I46">
        <v>0</v>
      </c>
      <c r="J46">
        <v>1</v>
      </c>
    </row>
    <row r="47" spans="2:10" hidden="1" x14ac:dyDescent="0.25">
      <c r="B47" t="s">
        <v>559</v>
      </c>
      <c r="C47" t="s">
        <v>356</v>
      </c>
      <c r="D47">
        <v>7</v>
      </c>
      <c r="E47">
        <v>0.27929999999999999</v>
      </c>
      <c r="F47">
        <v>0.44869999999999999</v>
      </c>
      <c r="G47">
        <v>1.4409999999999999E-2</v>
      </c>
      <c r="H47">
        <v>0</v>
      </c>
      <c r="I47">
        <v>0</v>
      </c>
      <c r="J47">
        <v>1</v>
      </c>
    </row>
    <row r="48" spans="2:10" hidden="1" x14ac:dyDescent="0.25">
      <c r="B48" t="s">
        <v>560</v>
      </c>
      <c r="C48" t="s">
        <v>356</v>
      </c>
      <c r="D48">
        <v>8</v>
      </c>
      <c r="E48">
        <v>0.16669999999999999</v>
      </c>
      <c r="F48">
        <v>0.37269999999999998</v>
      </c>
      <c r="G48">
        <v>1.4080000000000001E-2</v>
      </c>
      <c r="H48">
        <v>0</v>
      </c>
      <c r="I48">
        <v>0</v>
      </c>
      <c r="J48">
        <v>1</v>
      </c>
    </row>
    <row r="49" spans="2:10" hidden="1" x14ac:dyDescent="0.25">
      <c r="B49" t="s">
        <v>561</v>
      </c>
      <c r="C49" t="s">
        <v>356</v>
      </c>
      <c r="D49">
        <v>9</v>
      </c>
      <c r="E49">
        <v>6.7000000000000002E-3</v>
      </c>
      <c r="F49">
        <v>8.158E-2</v>
      </c>
      <c r="G49">
        <v>3.0620000000000001E-3</v>
      </c>
      <c r="H49">
        <v>0</v>
      </c>
      <c r="I49">
        <v>0</v>
      </c>
      <c r="J49">
        <v>0</v>
      </c>
    </row>
    <row r="50" spans="2:10" hidden="1" x14ac:dyDescent="0.25">
      <c r="B50" t="s">
        <v>562</v>
      </c>
      <c r="C50" t="s">
        <v>357</v>
      </c>
      <c r="D50">
        <v>1</v>
      </c>
      <c r="E50">
        <v>2.3E-3</v>
      </c>
      <c r="F50">
        <v>4.7899999999999998E-2</v>
      </c>
      <c r="G50">
        <v>1.75E-3</v>
      </c>
      <c r="H50">
        <v>0</v>
      </c>
      <c r="I50">
        <v>0</v>
      </c>
      <c r="J50">
        <v>0</v>
      </c>
    </row>
    <row r="51" spans="2:10" hidden="1" x14ac:dyDescent="0.25">
      <c r="B51" t="s">
        <v>563</v>
      </c>
      <c r="C51" t="s">
        <v>357</v>
      </c>
      <c r="D51">
        <v>2</v>
      </c>
      <c r="E51">
        <v>3.8E-3</v>
      </c>
      <c r="F51">
        <v>6.1530000000000001E-2</v>
      </c>
      <c r="G51">
        <v>2.2539999999999999E-3</v>
      </c>
      <c r="H51">
        <v>0</v>
      </c>
      <c r="I51">
        <v>0</v>
      </c>
      <c r="J51">
        <v>0</v>
      </c>
    </row>
    <row r="52" spans="2:10" hidden="1" x14ac:dyDescent="0.25">
      <c r="B52" t="s">
        <v>564</v>
      </c>
      <c r="C52" t="s">
        <v>357</v>
      </c>
      <c r="D52">
        <v>3</v>
      </c>
      <c r="E52">
        <v>2.1670000000000001E-3</v>
      </c>
      <c r="F52">
        <v>4.65E-2</v>
      </c>
      <c r="G52">
        <v>1.1310000000000001E-3</v>
      </c>
      <c r="H52">
        <v>0</v>
      </c>
      <c r="I52">
        <v>0</v>
      </c>
      <c r="J52">
        <v>0</v>
      </c>
    </row>
    <row r="53" spans="2:10" hidden="1" x14ac:dyDescent="0.25">
      <c r="B53" t="s">
        <v>565</v>
      </c>
      <c r="C53" t="s">
        <v>357</v>
      </c>
      <c r="D53">
        <v>4</v>
      </c>
      <c r="E53">
        <v>8.0330000000000002E-3</v>
      </c>
      <c r="F53">
        <v>8.9270000000000002E-2</v>
      </c>
      <c r="G53">
        <v>3.8470000000000002E-3</v>
      </c>
      <c r="H53">
        <v>0</v>
      </c>
      <c r="I53">
        <v>0</v>
      </c>
      <c r="J53">
        <v>0</v>
      </c>
    </row>
    <row r="54" spans="2:10" hidden="1" x14ac:dyDescent="0.25">
      <c r="B54" t="s">
        <v>566</v>
      </c>
      <c r="C54" t="s">
        <v>357</v>
      </c>
      <c r="D54">
        <v>5</v>
      </c>
      <c r="E54">
        <v>1.833E-3</v>
      </c>
      <c r="F54">
        <v>4.2779999999999999E-2</v>
      </c>
      <c r="G54">
        <v>9.3860000000000005E-4</v>
      </c>
      <c r="H54">
        <v>0</v>
      </c>
      <c r="I54">
        <v>0</v>
      </c>
      <c r="J54">
        <v>0</v>
      </c>
    </row>
    <row r="55" spans="2:10" hidden="1" x14ac:dyDescent="0.25">
      <c r="B55" t="s">
        <v>567</v>
      </c>
      <c r="C55" t="s">
        <v>357</v>
      </c>
      <c r="D55">
        <v>6</v>
      </c>
      <c r="E55">
        <v>1.6329999999999999E-3</v>
      </c>
      <c r="F55">
        <v>4.0379999999999999E-2</v>
      </c>
      <c r="G55">
        <v>7.3169999999999995E-4</v>
      </c>
      <c r="H55">
        <v>0</v>
      </c>
      <c r="I55">
        <v>0</v>
      </c>
      <c r="J55">
        <v>0</v>
      </c>
    </row>
    <row r="56" spans="2:10" hidden="1" x14ac:dyDescent="0.25">
      <c r="B56" t="s">
        <v>568</v>
      </c>
      <c r="C56" t="s">
        <v>357</v>
      </c>
      <c r="D56">
        <v>7</v>
      </c>
      <c r="E56">
        <v>4.0000000000000001E-3</v>
      </c>
      <c r="F56">
        <v>6.3119999999999996E-2</v>
      </c>
      <c r="G56">
        <v>1.9550000000000001E-3</v>
      </c>
      <c r="H56">
        <v>0</v>
      </c>
      <c r="I56">
        <v>0</v>
      </c>
      <c r="J56">
        <v>0</v>
      </c>
    </row>
    <row r="57" spans="2:10" hidden="1" x14ac:dyDescent="0.25">
      <c r="B57" t="s">
        <v>569</v>
      </c>
      <c r="C57" t="s">
        <v>357</v>
      </c>
      <c r="D57">
        <v>8</v>
      </c>
      <c r="E57">
        <v>4.8329999999999996E-3</v>
      </c>
      <c r="F57">
        <v>6.9349999999999995E-2</v>
      </c>
      <c r="G57">
        <v>2.1670000000000001E-3</v>
      </c>
      <c r="H57">
        <v>0</v>
      </c>
      <c r="I57">
        <v>0</v>
      </c>
      <c r="J57">
        <v>0</v>
      </c>
    </row>
    <row r="58" spans="2:10" hidden="1" x14ac:dyDescent="0.25">
      <c r="B58" t="s">
        <v>570</v>
      </c>
      <c r="C58" t="s">
        <v>357</v>
      </c>
      <c r="D58">
        <v>9</v>
      </c>
      <c r="E58">
        <v>0.97140000000000004</v>
      </c>
      <c r="F58">
        <v>0.16669999999999999</v>
      </c>
      <c r="G58">
        <v>9.3509999999999999E-3</v>
      </c>
      <c r="H58">
        <v>0</v>
      </c>
      <c r="I58">
        <v>1</v>
      </c>
      <c r="J58">
        <v>1</v>
      </c>
    </row>
    <row r="59" spans="2:10" hidden="1" x14ac:dyDescent="0.25">
      <c r="B59" t="s">
        <v>571</v>
      </c>
      <c r="C59" t="s">
        <v>358</v>
      </c>
      <c r="D59">
        <v>1</v>
      </c>
      <c r="E59">
        <v>0.67879999999999996</v>
      </c>
      <c r="F59">
        <v>0.46700000000000003</v>
      </c>
      <c r="G59">
        <v>2.181E-2</v>
      </c>
      <c r="H59">
        <v>0</v>
      </c>
      <c r="I59">
        <v>1</v>
      </c>
      <c r="J59">
        <v>1</v>
      </c>
    </row>
    <row r="60" spans="2:10" hidden="1" x14ac:dyDescent="0.25">
      <c r="B60" t="s">
        <v>572</v>
      </c>
      <c r="C60" t="s">
        <v>358</v>
      </c>
      <c r="D60">
        <v>2</v>
      </c>
      <c r="E60">
        <v>0.13869999999999999</v>
      </c>
      <c r="F60">
        <v>0.34560000000000002</v>
      </c>
      <c r="G60">
        <v>1.2529999999999999E-2</v>
      </c>
      <c r="H60">
        <v>0</v>
      </c>
      <c r="I60">
        <v>0</v>
      </c>
      <c r="J60">
        <v>1</v>
      </c>
    </row>
    <row r="61" spans="2:10" hidden="1" x14ac:dyDescent="0.25">
      <c r="B61" t="s">
        <v>573</v>
      </c>
      <c r="C61" t="s">
        <v>358</v>
      </c>
      <c r="D61">
        <v>3</v>
      </c>
      <c r="E61">
        <v>6.0670000000000002E-2</v>
      </c>
      <c r="F61">
        <v>0.2387</v>
      </c>
      <c r="G61">
        <v>6.326E-3</v>
      </c>
      <c r="H61">
        <v>0</v>
      </c>
      <c r="I61">
        <v>0</v>
      </c>
      <c r="J61">
        <v>1</v>
      </c>
    </row>
    <row r="62" spans="2:10" hidden="1" x14ac:dyDescent="0.25">
      <c r="B62" t="s">
        <v>574</v>
      </c>
      <c r="C62" t="s">
        <v>358</v>
      </c>
      <c r="D62">
        <v>4</v>
      </c>
      <c r="E62">
        <v>4.5330000000000002E-2</v>
      </c>
      <c r="F62">
        <v>0.20799999999999999</v>
      </c>
      <c r="G62">
        <v>6.4130000000000003E-3</v>
      </c>
      <c r="H62">
        <v>0</v>
      </c>
      <c r="I62">
        <v>0</v>
      </c>
      <c r="J62">
        <v>1</v>
      </c>
    </row>
    <row r="63" spans="2:10" hidden="1" x14ac:dyDescent="0.25">
      <c r="B63" t="s">
        <v>575</v>
      </c>
      <c r="C63" t="s">
        <v>358</v>
      </c>
      <c r="D63">
        <v>5</v>
      </c>
      <c r="E63">
        <v>2.8029999999999999E-2</v>
      </c>
      <c r="F63">
        <v>0.1651</v>
      </c>
      <c r="G63">
        <v>4.8469999999999997E-3</v>
      </c>
      <c r="H63">
        <v>0</v>
      </c>
      <c r="I63">
        <v>0</v>
      </c>
      <c r="J63">
        <v>1</v>
      </c>
    </row>
    <row r="64" spans="2:10" hidden="1" x14ac:dyDescent="0.25">
      <c r="B64" t="s">
        <v>576</v>
      </c>
      <c r="C64" t="s">
        <v>358</v>
      </c>
      <c r="D64">
        <v>6</v>
      </c>
      <c r="E64">
        <v>2.63E-2</v>
      </c>
      <c r="F64">
        <v>0.16</v>
      </c>
      <c r="G64">
        <v>4.7099999999999998E-3</v>
      </c>
      <c r="H64">
        <v>0</v>
      </c>
      <c r="I64">
        <v>0</v>
      </c>
      <c r="J64">
        <v>1</v>
      </c>
    </row>
    <row r="65" spans="2:10" hidden="1" x14ac:dyDescent="0.25">
      <c r="B65" t="s">
        <v>577</v>
      </c>
      <c r="C65" t="s">
        <v>358</v>
      </c>
      <c r="D65">
        <v>7</v>
      </c>
      <c r="E65">
        <v>1.917E-2</v>
      </c>
      <c r="F65">
        <v>0.1371</v>
      </c>
      <c r="G65">
        <v>4.9909999999999998E-3</v>
      </c>
      <c r="H65">
        <v>0</v>
      </c>
      <c r="I65">
        <v>0</v>
      </c>
      <c r="J65">
        <v>0</v>
      </c>
    </row>
    <row r="66" spans="2:10" hidden="1" x14ac:dyDescent="0.25">
      <c r="B66" t="s">
        <v>578</v>
      </c>
      <c r="C66" t="s">
        <v>358</v>
      </c>
      <c r="D66">
        <v>8</v>
      </c>
      <c r="E66">
        <v>3.0330000000000001E-3</v>
      </c>
      <c r="F66">
        <v>5.4989999999999997E-2</v>
      </c>
      <c r="G66">
        <v>1.1620000000000001E-3</v>
      </c>
      <c r="H66">
        <v>0</v>
      </c>
      <c r="I66">
        <v>0</v>
      </c>
      <c r="J66">
        <v>0</v>
      </c>
    </row>
    <row r="67" spans="2:10" hidden="1" x14ac:dyDescent="0.25">
      <c r="B67" t="s">
        <v>579</v>
      </c>
      <c r="C67" t="s">
        <v>358</v>
      </c>
      <c r="D67">
        <v>9</v>
      </c>
      <c r="E67">
        <v>0</v>
      </c>
      <c r="F67">
        <v>0</v>
      </c>
      <c r="G67">
        <v>3.333E-13</v>
      </c>
      <c r="H67">
        <v>0</v>
      </c>
      <c r="I67">
        <v>0</v>
      </c>
      <c r="J67">
        <v>0</v>
      </c>
    </row>
    <row r="68" spans="2:10" hidden="1" x14ac:dyDescent="0.25">
      <c r="B68" t="s">
        <v>580</v>
      </c>
      <c r="C68" t="s">
        <v>359</v>
      </c>
      <c r="D68">
        <v>1</v>
      </c>
      <c r="E68">
        <v>0.14000000000000001</v>
      </c>
      <c r="F68">
        <v>0.34699999999999998</v>
      </c>
      <c r="G68">
        <v>1.6310000000000002E-2</v>
      </c>
      <c r="H68">
        <v>0</v>
      </c>
      <c r="I68">
        <v>0</v>
      </c>
      <c r="J68">
        <v>1</v>
      </c>
    </row>
    <row r="69" spans="2:10" hidden="1" x14ac:dyDescent="0.25">
      <c r="B69" t="s">
        <v>581</v>
      </c>
      <c r="C69" t="s">
        <v>359</v>
      </c>
      <c r="D69">
        <v>2</v>
      </c>
      <c r="E69">
        <v>0.17280000000000001</v>
      </c>
      <c r="F69">
        <v>0.37809999999999999</v>
      </c>
      <c r="G69">
        <v>1.529E-2</v>
      </c>
      <c r="H69">
        <v>0</v>
      </c>
      <c r="I69">
        <v>0</v>
      </c>
      <c r="J69">
        <v>1</v>
      </c>
    </row>
    <row r="70" spans="2:10" hidden="1" x14ac:dyDescent="0.25">
      <c r="B70" t="s">
        <v>582</v>
      </c>
      <c r="C70" t="s">
        <v>359</v>
      </c>
      <c r="D70">
        <v>3</v>
      </c>
      <c r="E70">
        <v>6.3070000000000001E-2</v>
      </c>
      <c r="F70">
        <v>0.24310000000000001</v>
      </c>
      <c r="G70">
        <v>6.2830000000000004E-3</v>
      </c>
      <c r="H70">
        <v>0</v>
      </c>
      <c r="I70">
        <v>0</v>
      </c>
      <c r="J70">
        <v>1</v>
      </c>
    </row>
    <row r="71" spans="2:10" hidden="1" x14ac:dyDescent="0.25">
      <c r="B71" t="s">
        <v>583</v>
      </c>
      <c r="C71" t="s">
        <v>359</v>
      </c>
      <c r="D71">
        <v>4</v>
      </c>
      <c r="E71">
        <v>6.3270000000000007E-2</v>
      </c>
      <c r="F71">
        <v>0.24340000000000001</v>
      </c>
      <c r="G71">
        <v>7.2290000000000002E-3</v>
      </c>
      <c r="H71">
        <v>0</v>
      </c>
      <c r="I71">
        <v>0</v>
      </c>
      <c r="J71">
        <v>1</v>
      </c>
    </row>
    <row r="72" spans="2:10" hidden="1" x14ac:dyDescent="0.25">
      <c r="B72" t="s">
        <v>584</v>
      </c>
      <c r="C72" t="s">
        <v>359</v>
      </c>
      <c r="D72">
        <v>5</v>
      </c>
      <c r="E72">
        <v>4.1070000000000002E-2</v>
      </c>
      <c r="F72">
        <v>0.19839999999999999</v>
      </c>
      <c r="G72">
        <v>3.8040000000000001E-3</v>
      </c>
      <c r="H72">
        <v>0</v>
      </c>
      <c r="I72">
        <v>0</v>
      </c>
      <c r="J72">
        <v>1</v>
      </c>
    </row>
    <row r="73" spans="2:10" hidden="1" x14ac:dyDescent="0.25">
      <c r="B73" t="s">
        <v>585</v>
      </c>
      <c r="C73" t="s">
        <v>359</v>
      </c>
      <c r="D73">
        <v>6</v>
      </c>
      <c r="E73">
        <v>7.4300000000000005E-2</v>
      </c>
      <c r="F73">
        <v>0.26229999999999998</v>
      </c>
      <c r="G73">
        <v>6.8950000000000001E-3</v>
      </c>
      <c r="H73">
        <v>0</v>
      </c>
      <c r="I73">
        <v>0</v>
      </c>
      <c r="J73">
        <v>1</v>
      </c>
    </row>
    <row r="74" spans="2:10" hidden="1" x14ac:dyDescent="0.25">
      <c r="B74" t="s">
        <v>586</v>
      </c>
      <c r="C74" t="s">
        <v>359</v>
      </c>
      <c r="D74">
        <v>7</v>
      </c>
      <c r="E74">
        <v>0.11890000000000001</v>
      </c>
      <c r="F74">
        <v>0.32369999999999999</v>
      </c>
      <c r="G74">
        <v>1.04E-2</v>
      </c>
      <c r="H74">
        <v>0</v>
      </c>
      <c r="I74">
        <v>0</v>
      </c>
      <c r="J74">
        <v>1</v>
      </c>
    </row>
    <row r="75" spans="2:10" hidden="1" x14ac:dyDescent="0.25">
      <c r="B75" t="s">
        <v>587</v>
      </c>
      <c r="C75" t="s">
        <v>359</v>
      </c>
      <c r="D75">
        <v>8</v>
      </c>
      <c r="E75">
        <v>0.3206</v>
      </c>
      <c r="F75">
        <v>0.4667</v>
      </c>
      <c r="G75">
        <v>2.265E-2</v>
      </c>
      <c r="H75">
        <v>0</v>
      </c>
      <c r="I75">
        <v>0</v>
      </c>
      <c r="J75">
        <v>1</v>
      </c>
    </row>
    <row r="76" spans="2:10" hidden="1" x14ac:dyDescent="0.25">
      <c r="B76" t="s">
        <v>588</v>
      </c>
      <c r="C76" t="s">
        <v>359</v>
      </c>
      <c r="D76">
        <v>9</v>
      </c>
      <c r="E76">
        <v>6.0330000000000002E-3</v>
      </c>
      <c r="F76">
        <v>7.7439999999999995E-2</v>
      </c>
      <c r="G76">
        <v>3.7880000000000001E-3</v>
      </c>
      <c r="H76">
        <v>0</v>
      </c>
      <c r="I76">
        <v>0</v>
      </c>
      <c r="J76">
        <v>0</v>
      </c>
    </row>
    <row r="77" spans="2:10" hidden="1" x14ac:dyDescent="0.25">
      <c r="B77" t="s">
        <v>589</v>
      </c>
      <c r="C77" t="s">
        <v>360</v>
      </c>
      <c r="D77">
        <v>1</v>
      </c>
      <c r="E77">
        <v>1.41E-2</v>
      </c>
      <c r="F77">
        <v>0.1179</v>
      </c>
      <c r="G77">
        <v>3.4619999999999998E-3</v>
      </c>
      <c r="H77">
        <v>0</v>
      </c>
      <c r="I77">
        <v>0</v>
      </c>
      <c r="J77">
        <v>0</v>
      </c>
    </row>
    <row r="78" spans="2:10" hidden="1" x14ac:dyDescent="0.25">
      <c r="B78" t="s">
        <v>590</v>
      </c>
      <c r="C78" t="s">
        <v>360</v>
      </c>
      <c r="D78">
        <v>2</v>
      </c>
      <c r="E78">
        <v>0.112</v>
      </c>
      <c r="F78">
        <v>0.31540000000000001</v>
      </c>
      <c r="G78">
        <v>1.1270000000000001E-2</v>
      </c>
      <c r="H78">
        <v>0</v>
      </c>
      <c r="I78">
        <v>0</v>
      </c>
      <c r="J78">
        <v>1</v>
      </c>
    </row>
    <row r="79" spans="2:10" hidden="1" x14ac:dyDescent="0.25">
      <c r="B79" t="s">
        <v>591</v>
      </c>
      <c r="C79" t="s">
        <v>360</v>
      </c>
      <c r="D79">
        <v>3</v>
      </c>
      <c r="E79">
        <v>0.19939999999999999</v>
      </c>
      <c r="F79">
        <v>0.39950000000000002</v>
      </c>
      <c r="G79">
        <v>1.3100000000000001E-2</v>
      </c>
      <c r="H79">
        <v>0</v>
      </c>
      <c r="I79">
        <v>0</v>
      </c>
      <c r="J79">
        <v>1</v>
      </c>
    </row>
    <row r="80" spans="2:10" hidden="1" x14ac:dyDescent="0.25">
      <c r="B80" t="s">
        <v>592</v>
      </c>
      <c r="C80" t="s">
        <v>360</v>
      </c>
      <c r="D80">
        <v>4</v>
      </c>
      <c r="E80">
        <v>0.27479999999999999</v>
      </c>
      <c r="F80">
        <v>0.44640000000000002</v>
      </c>
      <c r="G80">
        <v>1.338E-2</v>
      </c>
      <c r="H80">
        <v>0</v>
      </c>
      <c r="I80">
        <v>0</v>
      </c>
      <c r="J80">
        <v>1</v>
      </c>
    </row>
    <row r="81" spans="2:10" hidden="1" x14ac:dyDescent="0.25">
      <c r="B81" t="s">
        <v>593</v>
      </c>
      <c r="C81" t="s">
        <v>360</v>
      </c>
      <c r="D81">
        <v>5</v>
      </c>
      <c r="E81">
        <v>0.24129999999999999</v>
      </c>
      <c r="F81">
        <v>0.4279</v>
      </c>
      <c r="G81">
        <v>1.2529999999999999E-2</v>
      </c>
      <c r="H81">
        <v>0</v>
      </c>
      <c r="I81">
        <v>0</v>
      </c>
      <c r="J81">
        <v>1</v>
      </c>
    </row>
    <row r="82" spans="2:10" hidden="1" x14ac:dyDescent="0.25">
      <c r="B82" t="s">
        <v>594</v>
      </c>
      <c r="C82" t="s">
        <v>360</v>
      </c>
      <c r="D82">
        <v>6</v>
      </c>
      <c r="E82">
        <v>0.1221</v>
      </c>
      <c r="F82">
        <v>0.32740000000000002</v>
      </c>
      <c r="G82">
        <v>1.0030000000000001E-2</v>
      </c>
      <c r="H82">
        <v>0</v>
      </c>
      <c r="I82">
        <v>0</v>
      </c>
      <c r="J82">
        <v>1</v>
      </c>
    </row>
    <row r="83" spans="2:10" hidden="1" x14ac:dyDescent="0.25">
      <c r="B83" t="s">
        <v>595</v>
      </c>
      <c r="C83" t="s">
        <v>360</v>
      </c>
      <c r="D83">
        <v>7</v>
      </c>
      <c r="E83">
        <v>3.6229999999999998E-2</v>
      </c>
      <c r="F83">
        <v>0.18690000000000001</v>
      </c>
      <c r="G83">
        <v>5.849E-3</v>
      </c>
      <c r="H83">
        <v>0</v>
      </c>
      <c r="I83">
        <v>0</v>
      </c>
      <c r="J83">
        <v>1</v>
      </c>
    </row>
    <row r="84" spans="2:10" hidden="1" x14ac:dyDescent="0.25">
      <c r="B84" t="s">
        <v>596</v>
      </c>
      <c r="C84" t="s">
        <v>360</v>
      </c>
      <c r="D84">
        <v>8</v>
      </c>
      <c r="E84">
        <v>0</v>
      </c>
      <c r="F84">
        <v>0</v>
      </c>
      <c r="G84">
        <v>3.333E-13</v>
      </c>
      <c r="H84">
        <v>0</v>
      </c>
      <c r="I84">
        <v>0</v>
      </c>
      <c r="J84">
        <v>0</v>
      </c>
    </row>
    <row r="85" spans="2:10" hidden="1" x14ac:dyDescent="0.25">
      <c r="B85" t="s">
        <v>597</v>
      </c>
      <c r="C85" t="s">
        <v>360</v>
      </c>
      <c r="D85">
        <v>9</v>
      </c>
      <c r="E85">
        <v>0</v>
      </c>
      <c r="F85">
        <v>0</v>
      </c>
      <c r="G85">
        <v>3.333E-13</v>
      </c>
      <c r="H85">
        <v>0</v>
      </c>
      <c r="I85">
        <v>0</v>
      </c>
      <c r="J85">
        <v>0</v>
      </c>
    </row>
    <row r="86" spans="2:10" hidden="1" x14ac:dyDescent="0.25"/>
    <row r="87" spans="2:10" hidden="1" x14ac:dyDescent="0.25"/>
    <row r="88" spans="2:10" hidden="1" x14ac:dyDescent="0.25"/>
    <row r="89" spans="2:10" hidden="1" x14ac:dyDescent="0.25"/>
    <row r="90" spans="2:10" hidden="1" x14ac:dyDescent="0.25"/>
    <row r="91" spans="2:10" hidden="1" x14ac:dyDescent="0.25"/>
    <row r="92" spans="2:10" hidden="1" x14ac:dyDescent="0.25"/>
    <row r="93" spans="2:10" hidden="1" x14ac:dyDescent="0.25"/>
    <row r="94" spans="2:10" hidden="1" x14ac:dyDescent="0.25"/>
    <row r="95" spans="2:10" hidden="1" x14ac:dyDescent="0.25"/>
    <row r="96" spans="2:10"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268</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16 2018 4 46 26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2018-01-16T20:53:35Z</dcterms:modified>
</cp:coreProperties>
</file>