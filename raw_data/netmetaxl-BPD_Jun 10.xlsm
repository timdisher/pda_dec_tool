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gif" ContentType="image/gif"/>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ustomProperty1.bin" ContentType="application/vnd.openxmlformats-officedocument.spreadsheetml.customProperty"/>
  <Override PartName="/xl/drawings/drawing3.xml" ContentType="application/vnd.openxmlformats-officedocument.drawing+xml"/>
  <Override PartName="/xl/customProperty2.bin" ContentType="application/vnd.openxmlformats-officedocument.spreadsheetml.customProperty"/>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1.xml" ContentType="application/vnd.openxmlformats-officedocument.drawingml.chartshapes+xml"/>
  <Override PartName="/xl/drawings/drawing12.xml" ContentType="application/vnd.openxmlformats-officedocument.drawing+xml"/>
  <Override PartName="/xl/ctrlProps/ctrlProp1.xml" ContentType="application/vnd.ms-excel.controlproperties+xml"/>
  <Override PartName="/xl/charts/chart3.xml" ContentType="application/vnd.openxmlformats-officedocument.drawingml.chart+xml"/>
  <Override PartName="/xl/charts/chart4.xml" ContentType="application/vnd.openxmlformats-officedocument.drawingml.chart+xml"/>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8634b9946f374598" Type="http://schemas.microsoft.com/office/2006/relationships/ui/extensibility" Target="customUI/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H:\Neonatal\Neonatal\Mitra\PDA_NMA\June 2017 analyses\outcome 6_BPD\"/>
    </mc:Choice>
  </mc:AlternateContent>
  <bookViews>
    <workbookView xWindow="0" yWindow="0" windowWidth="28800" windowHeight="12435" tabRatio="663" firstSheet="8" activeTab="10"/>
  </bookViews>
  <sheets>
    <sheet name="Cover" sheetId="19" r:id="rId1"/>
    <sheet name="Winbugs Settings " sheetId="47" r:id="rId2"/>
    <sheet name="DATA Input" sheetId="2" r:id="rId3"/>
    <sheet name="Diagram Data" sheetId="23" state="hidden" r:id="rId4"/>
    <sheet name="WINBUGS data" sheetId="1" r:id="rId5"/>
    <sheet name="WINBUGS Data Inconsistency" sheetId="39" r:id="rId6"/>
    <sheet name="Data Summary" sheetId="48" r:id="rId7"/>
    <sheet name="Network Diagram" sheetId="22" r:id="rId8"/>
    <sheet name="Forest Plot" sheetId="41" r:id="rId9"/>
    <sheet name="League Table" sheetId="44" r:id="rId10"/>
    <sheet name="Rankogram" sheetId="42" r:id="rId11"/>
    <sheet name="Inconsistency Data" sheetId="46" state="hidden" r:id="rId12"/>
    <sheet name="Inconsistency Results" sheetId="40" r:id="rId13"/>
    <sheet name="FE Results" sheetId="10" state="hidden" r:id="rId14"/>
    <sheet name="RE Results (Vague Prior)" sheetId="11" r:id="rId15"/>
    <sheet name="RE Results (Informative Prior)" sheetId="29" r:id="rId16"/>
    <sheet name="FE Inconsistency Results" sheetId="35" r:id="rId17"/>
    <sheet name="RE Inconsistency Results" sheetId="36" r:id="rId18"/>
    <sheet name="Informative Priors" sheetId="24" r:id="rId19"/>
    <sheet name="Data Table" sheetId="3" r:id="rId20"/>
    <sheet name="FE Script" sheetId="4" r:id="rId21"/>
    <sheet name="RE Script" sheetId="6" r:id="rId22"/>
    <sheet name="FE Inconsistency Script " sheetId="37" r:id="rId23"/>
    <sheet name="RE Inconsistency Script" sheetId="38" r:id="rId24"/>
    <sheet name="FE Model" sheetId="7" r:id="rId25"/>
    <sheet name="Fixed Effects" sheetId="12" state="hidden" r:id="rId26"/>
    <sheet name="RE Model" sheetId="8" r:id="rId27"/>
    <sheet name="League Table Data" sheetId="45" state="hidden" r:id="rId28"/>
    <sheet name="Random Effects  (Informative)" sheetId="27" state="hidden" r:id="rId29"/>
    <sheet name="Random Effects (Vague)" sheetId="20" state="hidden" r:id="rId30"/>
    <sheet name="FE Inconsistency Model" sheetId="33" r:id="rId31"/>
    <sheet name="RE Inconsistency Model" sheetId="34" r:id="rId32"/>
    <sheet name="Rankogram Data" sheetId="43" r:id="rId33"/>
    <sheet name="Variables" sheetId="9" r:id="rId34"/>
  </sheets>
  <functionGroups builtInGroupCount="18"/>
  <definedNames>
    <definedName name="_xlnm._FilterDatabase" localSheetId="3" hidden="1">'Diagram Data'!$E$5:$E$14</definedName>
    <definedName name="ab_names">'Network Diagram'!$C$25:$C$39</definedName>
    <definedName name="auto_run">Variables!$D$44</definedName>
    <definedName name="best">Variables!$D$17</definedName>
    <definedName name="bottom">'Forest Plot'!$D$6</definedName>
    <definedName name="burn_in" localSheetId="1">'Winbugs Settings '!$D$9</definedName>
    <definedName name="burn_in">Variables!$D$8</definedName>
    <definedName name="chart_legend1" localSheetId="11">#REF!</definedName>
    <definedName name="chart_legend1" localSheetId="27">#REF!</definedName>
    <definedName name="chart_legend1" localSheetId="1">#REF!</definedName>
    <definedName name="chart_legend1">#REF!</definedName>
    <definedName name="chart_type">Rankogram!$C$8</definedName>
    <definedName name="data_directory" localSheetId="1">'Winbugs Settings '!$D$20</definedName>
    <definedName name="data_directory">Variables!$D$33</definedName>
    <definedName name="data_name" localSheetId="1">'Winbugs Settings '!$D$26</definedName>
    <definedName name="data_name">Variables!$D$39</definedName>
    <definedName name="datalist_name" localSheetId="1">'Winbugs Settings '!$D$27</definedName>
    <definedName name="datalist_name">Variables!$D$40</definedName>
    <definedName name="date_time" localSheetId="1">'Winbugs Settings '!$D$30</definedName>
    <definedName name="date_time">Variables!$D$43</definedName>
    <definedName name="diag_radius">'Network Diagram'!$C$20</definedName>
    <definedName name="DIC">Variables!$D$24</definedName>
    <definedName name="events_bad">Variables!$D$10</definedName>
    <definedName name="_xlnm.Extract" localSheetId="3">'Diagram Data'!$B$5:$B$15</definedName>
    <definedName name="FE_choice" localSheetId="11">Variables!#REF!</definedName>
    <definedName name="FE_choice" localSheetId="27">Variables!#REF!</definedName>
    <definedName name="FE_inits" localSheetId="5">'WINBUGS Data Inconsistency'!$H$7</definedName>
    <definedName name="FE_inits">'WINBUGS data'!$H$11</definedName>
    <definedName name="FEinits_name" localSheetId="1">'Winbugs Settings '!$D$28</definedName>
    <definedName name="FEinits_name">Variables!$D$41</definedName>
    <definedName name="FEmodel_name" localSheetId="1">'Winbugs Settings '!$D$24</definedName>
    <definedName name="FEmodel_name">Variables!$D$37</definedName>
    <definedName name="FEresults_name" localSheetId="1">'Winbugs Settings '!$D$22</definedName>
    <definedName name="FEresults_name">Variables!$D$35</definedName>
    <definedName name="Forest">'Forest Plot'!$D$4</definedName>
    <definedName name="gr_or" localSheetId="1">'Winbugs Settings '!$D$12</definedName>
    <definedName name="gr_or">Variables!$D$22</definedName>
    <definedName name="gr_rr">Variables!$D$23</definedName>
    <definedName name="incon" localSheetId="1">'Winbugs Settings '!$P$2:$P$3</definedName>
    <definedName name="incon">Variables!$P$2:$P$3</definedName>
    <definedName name="incon_list" localSheetId="1">'Winbugs Settings '!$P$2:$P$3</definedName>
    <definedName name="incon_list">Variables!$P$2:$P$3</definedName>
    <definedName name="inits_high" localSheetId="1">'Winbugs Settings '!$D$15</definedName>
    <definedName name="inits_high">Variables!$D$29</definedName>
    <definedName name="inits_low" localSheetId="1">'Winbugs Settings '!$D$14</definedName>
    <definedName name="inits_low">Variables!$D$28</definedName>
    <definedName name="Inits_settings" localSheetId="1">'Winbugs Settings '!$C$14:$C$17</definedName>
    <definedName name="intervention_selection">Variables!$D$26</definedName>
    <definedName name="intervention_type">'Informative Priors'!$V$6:$V$8</definedName>
    <definedName name="Legend" localSheetId="5">'WINBUGS Data Inconsistency'!$B$2:$C$18</definedName>
    <definedName name="Legend">'WINBUGS data'!$B$2:$C$18</definedName>
    <definedName name="list">'Diagram Data'!$E$5:$E$53</definedName>
    <definedName name="list_1">'Diagram Data'!$F$5:$F$53</definedName>
    <definedName name="list_2">'Diagram Data'!$G$5:$G$53</definedName>
    <definedName name="list_3">'Diagram Data'!$H$5:$H$53</definedName>
    <definedName name="list_statement">'WINBUGS data'!$H$15</definedName>
    <definedName name="marker">'Forest Plot'!$D$8</definedName>
    <definedName name="max_logOR">'Diagram Data'!$B$4</definedName>
    <definedName name="max_total">'DATA Input'!$D$57</definedName>
    <definedName name="min_total">'DATA Input'!$C$57</definedName>
    <definedName name="model_runs" localSheetId="1">'Winbugs Settings '!$D$10</definedName>
    <definedName name="model_runs">Variables!$D$9</definedName>
    <definedName name="monitor_nnt">Variables!$D$15</definedName>
    <definedName name="monitor_or">Variables!$D$12</definedName>
    <definedName name="monitor_rd">Variables!$D$14</definedName>
    <definedName name="monitor_resdev">Variables!$D$25</definedName>
    <definedName name="monitor_rr">Variables!$D$13</definedName>
    <definedName name="monitor_SUCRA">Variables!$D$18</definedName>
    <definedName name="names" localSheetId="5">'WINBUGS Data Inconsistency'!$B$4:$B$18</definedName>
    <definedName name="names">'WINBUGS data'!$B$4:$B$18</definedName>
    <definedName name="num_studies">'DATA Input'!$C$2</definedName>
    <definedName name="num_treatment_1_studies">'DATA Input'!$C$4</definedName>
    <definedName name="num_treatments">'DATA Input'!$C$3</definedName>
    <definedName name="outcome_selection">Variables!$D$27</definedName>
    <definedName name="outcome_type">'Informative Priors'!$E$7:$E$9</definedName>
    <definedName name="patient_totals">'DATA Input'!$E$57:$AH$57</definedName>
    <definedName name="prior_mean">'Informative Priors'!$F$7:$H$9</definedName>
    <definedName name="prior_sigma">'Informative Priors'!$F$13:$H$15</definedName>
    <definedName name="prior_sigma2">'Informative Priors'!$F$19:$H$21</definedName>
    <definedName name="prob">Variables!$D$19</definedName>
    <definedName name="Program_settings" localSheetId="1">'Winbugs Settings '!$C$19:$C$30</definedName>
    <definedName name="rank">Variables!$D$16</definedName>
    <definedName name="rank_analysis">Rankogram!$C$7</definedName>
    <definedName name="rank_legend">'Rankogram Data'!$M$4:$AA$4</definedName>
    <definedName name="RE_choice" localSheetId="11">Variables!#REF!</definedName>
    <definedName name="RE_choice" localSheetId="27">Variables!#REF!</definedName>
    <definedName name="RE_inits" localSheetId="5">'WINBUGS Data Inconsistency'!$H$3</definedName>
    <definedName name="REI_inits">'WINBUGS data'!$H$7</definedName>
    <definedName name="REinits_name">Variables!$D$42</definedName>
    <definedName name="REmodel_name" localSheetId="1">'Winbugs Settings '!$D$25</definedName>
    <definedName name="REmodel_name">Variables!$D$38</definedName>
    <definedName name="REresults_name" localSheetId="1">'Winbugs Settings '!$D$23</definedName>
    <definedName name="REresults_name">Variables!$D$36</definedName>
    <definedName name="results_directory" localSheetId="1">'Winbugs Settings '!$D$21</definedName>
    <definedName name="results_directory">Variables!$D$34</definedName>
    <definedName name="REV_inits">'WINBUGS data'!$H$3</definedName>
    <definedName name="REVinits_name" localSheetId="1">'Winbugs Settings '!$D$29</definedName>
    <definedName name="sd_high" localSheetId="1">'Winbugs Settings '!$D$17</definedName>
    <definedName name="sd_high">Variables!$D$31</definedName>
    <definedName name="sd_low" localSheetId="1">'Winbugs Settings '!$D$16</definedName>
    <definedName name="sd_low">Variables!$D$30</definedName>
    <definedName name="spacing">'Forest Plot'!$D$7</definedName>
    <definedName name="step">'League Table'!$C$2</definedName>
    <definedName name="study_arms">'Diagram Data'!$F$5:$T$5</definedName>
    <definedName name="sucra_list">Rankogram!$C$15:$C$24</definedName>
    <definedName name="sucra_table">Rankogram!$C$15:$D$29</definedName>
    <definedName name="sum_total">'DATA Input'!$D$57</definedName>
    <definedName name="top">'Forest Plot'!$D$5</definedName>
    <definedName name="trace_or" localSheetId="1">'Winbugs Settings '!$D$11</definedName>
    <definedName name="trace_or">Variables!$D$20</definedName>
    <definedName name="trace_rr">Variables!$D$21</definedName>
    <definedName name="treatment_selection">Rankogram!$C$9</definedName>
    <definedName name="vague_prior">Variables!$D$45</definedName>
    <definedName name="winbugs_directory" localSheetId="1">'Winbugs Settings '!$D$19</definedName>
    <definedName name="winbugs_directory">Variables!$D$32</definedName>
    <definedName name="Winbugs_settings" localSheetId="1">'Winbugs Settings '!$C$9:$C$12</definedName>
    <definedName name="zero_corr">Variables!$D$11</definedName>
  </definedNames>
  <calcPr calcId="152511" calcMode="autoNoTable" concurrentCalc="0"/>
</workbook>
</file>

<file path=xl/calcChain.xml><?xml version="1.0" encoding="utf-8"?>
<calcChain xmlns="http://schemas.openxmlformats.org/spreadsheetml/2006/main">
  <c r="C46" i="8" l="1"/>
  <c r="C45" i="8"/>
  <c r="B37" i="8"/>
  <c r="B36" i="8"/>
  <c r="B35" i="8"/>
  <c r="B34" i="8"/>
  <c r="B33" i="8"/>
  <c r="C30" i="7"/>
  <c r="C29" i="7"/>
  <c r="D36" i="9"/>
  <c r="D42" i="9"/>
  <c r="D38" i="9"/>
  <c r="R105" i="46"/>
  <c r="R104" i="46"/>
  <c r="R103" i="46"/>
  <c r="R102" i="46"/>
  <c r="R101" i="46"/>
  <c r="R100" i="46"/>
  <c r="E24" i="48"/>
  <c r="E25" i="48"/>
  <c r="E26" i="48"/>
  <c r="E27" i="48"/>
  <c r="E28" i="48"/>
  <c r="D24" i="48"/>
  <c r="D25" i="48"/>
  <c r="D26" i="48"/>
  <c r="D27" i="48"/>
  <c r="D28" i="48"/>
  <c r="D38" i="48"/>
  <c r="D37" i="48"/>
  <c r="D36" i="48"/>
  <c r="D35" i="48"/>
  <c r="D34" i="48"/>
  <c r="D33" i="48"/>
  <c r="D32" i="48"/>
  <c r="D31" i="48"/>
  <c r="D30" i="48"/>
  <c r="D29" i="48"/>
  <c r="F38" i="48"/>
  <c r="F37" i="48"/>
  <c r="F36" i="48"/>
  <c r="F35" i="48"/>
  <c r="F34" i="48"/>
  <c r="F33" i="48"/>
  <c r="F32" i="48"/>
  <c r="F31" i="48"/>
  <c r="F30" i="48"/>
  <c r="F29" i="48"/>
  <c r="F28" i="48"/>
  <c r="F27" i="48"/>
  <c r="F26" i="48"/>
  <c r="F25" i="48"/>
  <c r="F24" i="48"/>
  <c r="G38" i="48"/>
  <c r="G37" i="48"/>
  <c r="G36" i="48"/>
  <c r="G35" i="48"/>
  <c r="G34" i="48"/>
  <c r="G33" i="48"/>
  <c r="G32" i="48"/>
  <c r="G31" i="48"/>
  <c r="G30" i="48"/>
  <c r="G29" i="48"/>
  <c r="G28" i="48"/>
  <c r="G27" i="48"/>
  <c r="G26" i="48"/>
  <c r="G25" i="48"/>
  <c r="G24" i="48"/>
  <c r="E38" i="48"/>
  <c r="E37" i="48"/>
  <c r="E36" i="48"/>
  <c r="E35" i="48"/>
  <c r="E34" i="48"/>
  <c r="E33" i="48"/>
  <c r="E32" i="48"/>
  <c r="E31" i="48"/>
  <c r="E30" i="48"/>
  <c r="E29" i="48"/>
  <c r="E14" i="48"/>
  <c r="E13" i="48"/>
  <c r="E10" i="48"/>
  <c r="B4" i="23"/>
  <c r="C53" i="23"/>
  <c r="C52" i="23"/>
  <c r="C51" i="23"/>
  <c r="C50" i="23"/>
  <c r="C49" i="23"/>
  <c r="C48" i="23"/>
  <c r="C47" i="23"/>
  <c r="C46" i="23"/>
  <c r="C45" i="23"/>
  <c r="C44" i="23"/>
  <c r="C43" i="23"/>
  <c r="C42" i="23"/>
  <c r="C41" i="23"/>
  <c r="C40" i="23"/>
  <c r="C39" i="23"/>
  <c r="C38" i="23"/>
  <c r="C37" i="23"/>
  <c r="C36" i="23"/>
  <c r="C35" i="23"/>
  <c r="C34" i="23"/>
  <c r="C33" i="23"/>
  <c r="C32" i="23"/>
  <c r="C31" i="23"/>
  <c r="C30" i="23"/>
  <c r="C29" i="23"/>
  <c r="C28" i="23"/>
  <c r="C27" i="23"/>
  <c r="C26" i="23"/>
  <c r="C25" i="23"/>
  <c r="C24" i="23"/>
  <c r="C23" i="23"/>
  <c r="C22" i="23"/>
  <c r="C21" i="23"/>
  <c r="C20" i="23"/>
  <c r="C19" i="23"/>
  <c r="C18" i="23"/>
  <c r="C17" i="23"/>
  <c r="C16" i="23"/>
  <c r="C15" i="23"/>
  <c r="C14" i="23"/>
  <c r="C13" i="23"/>
  <c r="C12" i="23"/>
  <c r="C11" i="23"/>
  <c r="C10" i="23"/>
  <c r="C9" i="23"/>
  <c r="C8" i="23"/>
  <c r="C7" i="23"/>
  <c r="C6" i="23"/>
  <c r="C5" i="23"/>
  <c r="D31" i="9"/>
  <c r="D30" i="9"/>
  <c r="D29" i="9"/>
  <c r="D28" i="9"/>
  <c r="D41" i="9"/>
  <c r="D40" i="9"/>
  <c r="D39" i="9"/>
  <c r="D37" i="9"/>
  <c r="D35" i="9"/>
  <c r="D34" i="9"/>
  <c r="D33" i="9"/>
  <c r="D32" i="9"/>
  <c r="D22" i="9"/>
  <c r="D20" i="9"/>
  <c r="D9" i="9"/>
  <c r="D8" i="9"/>
  <c r="D43" i="9"/>
  <c r="L200" i="20"/>
  <c r="K200" i="20"/>
  <c r="L199" i="20"/>
  <c r="K199" i="20"/>
  <c r="L198" i="20"/>
  <c r="K198" i="20"/>
  <c r="L197" i="20"/>
  <c r="K197" i="20"/>
  <c r="L196" i="20"/>
  <c r="K196" i="20"/>
  <c r="L195" i="20"/>
  <c r="K195" i="20"/>
  <c r="L194" i="20"/>
  <c r="K194" i="20"/>
  <c r="L193" i="20"/>
  <c r="K193" i="20"/>
  <c r="L192" i="20"/>
  <c r="K192" i="20"/>
  <c r="L191" i="20"/>
  <c r="K191" i="20"/>
  <c r="L190" i="20"/>
  <c r="K190" i="20"/>
  <c r="L189" i="20"/>
  <c r="K189" i="20"/>
  <c r="L188" i="20"/>
  <c r="K188" i="20"/>
  <c r="L187" i="20"/>
  <c r="K187" i="20"/>
  <c r="L186" i="20"/>
  <c r="K186" i="20"/>
  <c r="L185" i="20"/>
  <c r="K185" i="20"/>
  <c r="L184" i="20"/>
  <c r="K184" i="20"/>
  <c r="L183" i="20"/>
  <c r="K183" i="20"/>
  <c r="L182" i="20"/>
  <c r="K182" i="20"/>
  <c r="L181" i="20"/>
  <c r="K181" i="20"/>
  <c r="L180" i="20"/>
  <c r="K180" i="20"/>
  <c r="L179" i="20"/>
  <c r="K179" i="20"/>
  <c r="L178" i="20"/>
  <c r="K178" i="20"/>
  <c r="L177" i="20"/>
  <c r="K177" i="20"/>
  <c r="L176" i="20"/>
  <c r="K176" i="20"/>
  <c r="L175" i="20"/>
  <c r="K175" i="20"/>
  <c r="L174" i="20"/>
  <c r="K174" i="20"/>
  <c r="L173" i="20"/>
  <c r="K173" i="20"/>
  <c r="L172" i="20"/>
  <c r="K172" i="20"/>
  <c r="L171" i="20"/>
  <c r="K171" i="20"/>
  <c r="L170" i="20"/>
  <c r="K170" i="20"/>
  <c r="L169" i="20"/>
  <c r="K169" i="20"/>
  <c r="L168" i="20"/>
  <c r="K168" i="20"/>
  <c r="L167" i="20"/>
  <c r="K167" i="20"/>
  <c r="L166" i="20"/>
  <c r="K166" i="20"/>
  <c r="L165" i="20"/>
  <c r="K165" i="20"/>
  <c r="L164" i="20"/>
  <c r="K164" i="20"/>
  <c r="L163" i="20"/>
  <c r="K163" i="20"/>
  <c r="L162" i="20"/>
  <c r="K162" i="20"/>
  <c r="L161" i="20"/>
  <c r="K161" i="20"/>
  <c r="L160" i="20"/>
  <c r="K160" i="20"/>
  <c r="L159" i="20"/>
  <c r="K159" i="20"/>
  <c r="L158" i="20"/>
  <c r="K158" i="20"/>
  <c r="L157" i="20"/>
  <c r="K157" i="20"/>
  <c r="L156" i="20"/>
  <c r="K156" i="20"/>
  <c r="L155" i="20"/>
  <c r="K155" i="20"/>
  <c r="L154" i="20"/>
  <c r="K154" i="20"/>
  <c r="L153" i="20"/>
  <c r="K153" i="20"/>
  <c r="L152" i="20"/>
  <c r="K152" i="20"/>
  <c r="L151" i="20"/>
  <c r="K151" i="20"/>
  <c r="L150" i="20"/>
  <c r="K150" i="20"/>
  <c r="L149" i="20"/>
  <c r="K149" i="20"/>
  <c r="L148" i="20"/>
  <c r="K148" i="20"/>
  <c r="L147" i="20"/>
  <c r="K147" i="20"/>
  <c r="L146" i="20"/>
  <c r="K146" i="20"/>
  <c r="L145" i="20"/>
  <c r="K145" i="20"/>
  <c r="L144" i="20"/>
  <c r="K144" i="20"/>
  <c r="L143" i="20"/>
  <c r="K143" i="20"/>
  <c r="L142" i="20"/>
  <c r="K142" i="20"/>
  <c r="L141" i="20"/>
  <c r="K141" i="20"/>
  <c r="L140" i="20"/>
  <c r="K140" i="20"/>
  <c r="L139" i="20"/>
  <c r="K139" i="20"/>
  <c r="L138" i="20"/>
  <c r="K138" i="20"/>
  <c r="L137" i="20"/>
  <c r="K137" i="20"/>
  <c r="L136" i="20"/>
  <c r="K136" i="20"/>
  <c r="L135" i="20"/>
  <c r="K135" i="20"/>
  <c r="L134" i="20"/>
  <c r="K134" i="20"/>
  <c r="L133" i="20"/>
  <c r="K133" i="20"/>
  <c r="L132" i="20"/>
  <c r="K132" i="20"/>
  <c r="L131" i="20"/>
  <c r="K131" i="20"/>
  <c r="L130" i="20"/>
  <c r="K130" i="20"/>
  <c r="L129" i="20"/>
  <c r="K129" i="20"/>
  <c r="L128" i="20"/>
  <c r="K128" i="20"/>
  <c r="L127" i="20"/>
  <c r="K127" i="20"/>
  <c r="L126" i="20"/>
  <c r="K126" i="20"/>
  <c r="L125" i="20"/>
  <c r="K125" i="20"/>
  <c r="L124" i="20"/>
  <c r="K124" i="20"/>
  <c r="L123" i="20"/>
  <c r="K123" i="20"/>
  <c r="L122" i="20"/>
  <c r="K122" i="20"/>
  <c r="L121" i="20"/>
  <c r="K121" i="20"/>
  <c r="L120" i="20"/>
  <c r="K120" i="20"/>
  <c r="L119" i="20"/>
  <c r="K119" i="20"/>
  <c r="L118" i="20"/>
  <c r="K118" i="20"/>
  <c r="L117" i="20"/>
  <c r="K117" i="20"/>
  <c r="L116" i="20"/>
  <c r="K116" i="20"/>
  <c r="L115" i="20"/>
  <c r="K115" i="20"/>
  <c r="L114" i="20"/>
  <c r="K114" i="20"/>
  <c r="L113" i="20"/>
  <c r="K113" i="20"/>
  <c r="L112" i="20"/>
  <c r="K112" i="20"/>
  <c r="L111" i="20"/>
  <c r="K111" i="20"/>
  <c r="L110" i="20"/>
  <c r="K110" i="20"/>
  <c r="L109" i="20"/>
  <c r="K109" i="20"/>
  <c r="L108" i="20"/>
  <c r="K108" i="20"/>
  <c r="L107" i="20"/>
  <c r="K107" i="20"/>
  <c r="L106" i="20"/>
  <c r="K106" i="20"/>
  <c r="L105" i="20"/>
  <c r="K105" i="20"/>
  <c r="L104" i="20"/>
  <c r="K104" i="20"/>
  <c r="L103" i="20"/>
  <c r="K103" i="20"/>
  <c r="L102" i="20"/>
  <c r="K102" i="20"/>
  <c r="L101" i="20"/>
  <c r="K101" i="20"/>
  <c r="L100" i="20"/>
  <c r="K100" i="20"/>
  <c r="L99" i="20"/>
  <c r="K99" i="20"/>
  <c r="L98" i="20"/>
  <c r="K98" i="20"/>
  <c r="L97" i="20"/>
  <c r="K97" i="20"/>
  <c r="L96" i="20"/>
  <c r="K96" i="20"/>
  <c r="L95" i="20"/>
  <c r="K95" i="20"/>
  <c r="L94" i="20"/>
  <c r="K94" i="20"/>
  <c r="L93" i="20"/>
  <c r="K93" i="20"/>
  <c r="L92" i="20"/>
  <c r="K92" i="20"/>
  <c r="L91" i="20"/>
  <c r="K91" i="20"/>
  <c r="L90" i="20"/>
  <c r="K90" i="20"/>
  <c r="L89" i="20"/>
  <c r="K89" i="20"/>
  <c r="L88" i="20"/>
  <c r="K88" i="20"/>
  <c r="L87" i="20"/>
  <c r="K87" i="20"/>
  <c r="L86" i="20"/>
  <c r="K86" i="20"/>
  <c r="L85" i="20"/>
  <c r="K85" i="20"/>
  <c r="L84" i="20"/>
  <c r="K84" i="20"/>
  <c r="L83" i="20"/>
  <c r="K83" i="20"/>
  <c r="L82" i="20"/>
  <c r="K82" i="20"/>
  <c r="L81" i="20"/>
  <c r="K81" i="20"/>
  <c r="L80" i="20"/>
  <c r="K80" i="20"/>
  <c r="L79" i="20"/>
  <c r="K79" i="20"/>
  <c r="L78" i="20"/>
  <c r="K78" i="20"/>
  <c r="L77" i="20"/>
  <c r="K77" i="20"/>
  <c r="L76" i="20"/>
  <c r="K76" i="20"/>
  <c r="L75" i="20"/>
  <c r="K75" i="20"/>
  <c r="L74" i="20"/>
  <c r="K74" i="20"/>
  <c r="L73" i="20"/>
  <c r="K73" i="20"/>
  <c r="L72" i="20"/>
  <c r="K72" i="20"/>
  <c r="L71" i="20"/>
  <c r="K71" i="20"/>
  <c r="L70" i="20"/>
  <c r="K70" i="20"/>
  <c r="L69" i="20"/>
  <c r="K69" i="20"/>
  <c r="L68" i="20"/>
  <c r="K68" i="20"/>
  <c r="L67" i="20"/>
  <c r="K67" i="20"/>
  <c r="L66" i="20"/>
  <c r="K66" i="20"/>
  <c r="L65" i="20"/>
  <c r="K65" i="20"/>
  <c r="L64" i="20"/>
  <c r="K64" i="20"/>
  <c r="L63" i="20"/>
  <c r="K63" i="20"/>
  <c r="L62" i="20"/>
  <c r="K62" i="20"/>
  <c r="L61" i="20"/>
  <c r="K61" i="20"/>
  <c r="L60" i="20"/>
  <c r="K60" i="20"/>
  <c r="L59" i="20"/>
  <c r="K59" i="20"/>
  <c r="L58" i="20"/>
  <c r="K58" i="20"/>
  <c r="L57" i="20"/>
  <c r="K57" i="20"/>
  <c r="L56" i="20"/>
  <c r="K56" i="20"/>
  <c r="L55" i="20"/>
  <c r="K55" i="20"/>
  <c r="L54" i="20"/>
  <c r="K54" i="20"/>
  <c r="L53" i="20"/>
  <c r="K53" i="20"/>
  <c r="L52" i="20"/>
  <c r="K52" i="20"/>
  <c r="L51" i="20"/>
  <c r="K51" i="20"/>
  <c r="L50" i="20"/>
  <c r="K50" i="20"/>
  <c r="L49" i="20"/>
  <c r="K49" i="20"/>
  <c r="L48" i="20"/>
  <c r="K48" i="20"/>
  <c r="L47" i="20"/>
  <c r="K47" i="20"/>
  <c r="L46" i="20"/>
  <c r="K46" i="20"/>
  <c r="L45" i="20"/>
  <c r="K45" i="20"/>
  <c r="L44" i="20"/>
  <c r="K44" i="20"/>
  <c r="L43" i="20"/>
  <c r="K43" i="20"/>
  <c r="L42" i="20"/>
  <c r="K42" i="20"/>
  <c r="L41" i="20"/>
  <c r="K41" i="20"/>
  <c r="L40" i="20"/>
  <c r="K40" i="20"/>
  <c r="L39" i="20"/>
  <c r="K39" i="20"/>
  <c r="L38" i="20"/>
  <c r="K38" i="20"/>
  <c r="L37" i="20"/>
  <c r="K37" i="20"/>
  <c r="L36" i="20"/>
  <c r="K36" i="20"/>
  <c r="L35" i="20"/>
  <c r="K35" i="20"/>
  <c r="L34" i="20"/>
  <c r="K34" i="20"/>
  <c r="L33" i="20"/>
  <c r="K33" i="20"/>
  <c r="L12" i="20"/>
  <c r="K12" i="20"/>
  <c r="L15" i="20"/>
  <c r="K15" i="20"/>
  <c r="L16" i="20"/>
  <c r="K16" i="20"/>
  <c r="L10" i="20"/>
  <c r="K10" i="20"/>
  <c r="L24" i="20"/>
  <c r="K24" i="20"/>
  <c r="L18" i="20"/>
  <c r="K18" i="20"/>
  <c r="L7" i="20"/>
  <c r="K7" i="20"/>
  <c r="L5" i="20"/>
  <c r="K5" i="20"/>
  <c r="L14" i="20"/>
  <c r="K14" i="20"/>
  <c r="L21" i="20"/>
  <c r="K21" i="20"/>
  <c r="L19" i="20"/>
  <c r="K19" i="20"/>
  <c r="L31" i="20"/>
  <c r="K31" i="20"/>
  <c r="L25" i="20"/>
  <c r="K25" i="20"/>
  <c r="L27" i="20"/>
  <c r="K27" i="20"/>
  <c r="L26" i="20"/>
  <c r="K26" i="20"/>
  <c r="L22" i="20"/>
  <c r="K22" i="20"/>
  <c r="L11" i="20"/>
  <c r="K11" i="20"/>
  <c r="L23" i="20"/>
  <c r="K23" i="20"/>
  <c r="L29" i="20"/>
  <c r="K29" i="20"/>
  <c r="L8" i="20"/>
  <c r="K8" i="20"/>
  <c r="L30" i="20"/>
  <c r="K30" i="20"/>
  <c r="L6" i="20"/>
  <c r="K6" i="20"/>
  <c r="L20" i="20"/>
  <c r="K20" i="20"/>
  <c r="L9" i="20"/>
  <c r="K9" i="20"/>
  <c r="L13" i="20"/>
  <c r="K13" i="20"/>
  <c r="L17" i="20"/>
  <c r="K17" i="20"/>
  <c r="L32" i="20"/>
  <c r="K32" i="20"/>
  <c r="L28" i="20"/>
  <c r="K28" i="20"/>
  <c r="N4" i="20"/>
  <c r="L4" i="20"/>
  <c r="K4" i="20"/>
  <c r="F3" i="20"/>
  <c r="N3" i="20"/>
  <c r="N51" i="23"/>
  <c r="P51" i="23"/>
  <c r="H51" i="23"/>
  <c r="Q51" i="23"/>
  <c r="I51" i="23"/>
  <c r="L51" i="23"/>
  <c r="M51" i="23"/>
  <c r="O51" i="23"/>
  <c r="R51" i="23"/>
  <c r="J51" i="23"/>
  <c r="S51" i="23"/>
  <c r="K51" i="23"/>
  <c r="T51" i="23"/>
  <c r="D51" i="23"/>
  <c r="F51" i="23"/>
  <c r="G51" i="23"/>
  <c r="G52" i="23"/>
  <c r="P52" i="23"/>
  <c r="H52" i="23"/>
  <c r="Q52" i="23"/>
  <c r="I52" i="23"/>
  <c r="L52" i="23"/>
  <c r="O52" i="23"/>
  <c r="R52" i="23"/>
  <c r="J52" i="23"/>
  <c r="S52" i="23"/>
  <c r="K52" i="23"/>
  <c r="T52" i="23"/>
  <c r="M52" i="23"/>
  <c r="D52" i="23"/>
  <c r="N52" i="23"/>
  <c r="F52" i="23"/>
  <c r="N53" i="23"/>
  <c r="F53" i="23"/>
  <c r="G53" i="23"/>
  <c r="P53" i="23"/>
  <c r="H53" i="23"/>
  <c r="Q53" i="23"/>
  <c r="I53" i="23"/>
  <c r="T53" i="23"/>
  <c r="L53" i="23"/>
  <c r="D53" i="23"/>
  <c r="O53" i="23"/>
  <c r="R53" i="23"/>
  <c r="J53" i="23"/>
  <c r="S53" i="23"/>
  <c r="K53" i="23"/>
  <c r="M53" i="23"/>
  <c r="M20" i="23"/>
  <c r="D20" i="23"/>
  <c r="H20" i="23"/>
  <c r="Q20" i="23"/>
  <c r="J20" i="23"/>
  <c r="S20" i="23"/>
  <c r="L20" i="23"/>
  <c r="N20" i="23"/>
  <c r="F20" i="23"/>
  <c r="K20" i="23"/>
  <c r="O20" i="23"/>
  <c r="G20" i="23"/>
  <c r="P20" i="23"/>
  <c r="I20" i="23"/>
  <c r="R20" i="23"/>
  <c r="T20" i="23"/>
  <c r="M44" i="23"/>
  <c r="D44" i="23"/>
  <c r="P44" i="23"/>
  <c r="Q44" i="23"/>
  <c r="K44" i="23"/>
  <c r="L44" i="23"/>
  <c r="N44" i="23"/>
  <c r="F44" i="23"/>
  <c r="J44" i="23"/>
  <c r="S44" i="23"/>
  <c r="O44" i="23"/>
  <c r="G44" i="23"/>
  <c r="H44" i="23"/>
  <c r="I44" i="23"/>
  <c r="R44" i="23"/>
  <c r="T44" i="23"/>
  <c r="M27" i="23"/>
  <c r="D27" i="23"/>
  <c r="H27" i="23"/>
  <c r="R27" i="23"/>
  <c r="T27" i="23"/>
  <c r="N27" i="23"/>
  <c r="F27" i="23"/>
  <c r="P27" i="23"/>
  <c r="I27" i="23"/>
  <c r="J27" i="23"/>
  <c r="S27" i="23"/>
  <c r="L27" i="23"/>
  <c r="O27" i="23"/>
  <c r="G27" i="23"/>
  <c r="Q27" i="23"/>
  <c r="K27" i="23"/>
  <c r="M18" i="23"/>
  <c r="D18" i="23"/>
  <c r="P18" i="23"/>
  <c r="R18" i="23"/>
  <c r="T18" i="23"/>
  <c r="N18" i="23"/>
  <c r="F18" i="23"/>
  <c r="H18" i="23"/>
  <c r="I18" i="23"/>
  <c r="J18" i="23"/>
  <c r="S18" i="23"/>
  <c r="L18" i="23"/>
  <c r="O18" i="23"/>
  <c r="G18" i="23"/>
  <c r="Q18" i="23"/>
  <c r="K18" i="23"/>
  <c r="N7" i="23"/>
  <c r="F7" i="23"/>
  <c r="J7" i="23"/>
  <c r="S7" i="23"/>
  <c r="D7" i="23"/>
  <c r="O7" i="23"/>
  <c r="G7" i="23"/>
  <c r="Q7" i="23"/>
  <c r="R7" i="23"/>
  <c r="L7" i="23"/>
  <c r="P7" i="23"/>
  <c r="H7" i="23"/>
  <c r="I7" i="23"/>
  <c r="K7" i="23"/>
  <c r="T7" i="23"/>
  <c r="M7" i="23"/>
  <c r="M23" i="23"/>
  <c r="D23" i="23"/>
  <c r="Q23" i="23"/>
  <c r="J23" i="23"/>
  <c r="S23" i="23"/>
  <c r="L23" i="23"/>
  <c r="N23" i="23"/>
  <c r="F23" i="23"/>
  <c r="H23" i="23"/>
  <c r="K23" i="23"/>
  <c r="O23" i="23"/>
  <c r="G23" i="23"/>
  <c r="P23" i="23"/>
  <c r="I23" i="23"/>
  <c r="R23" i="23"/>
  <c r="T23" i="23"/>
  <c r="M39" i="23"/>
  <c r="D39" i="23"/>
  <c r="H39" i="23"/>
  <c r="J39" i="23"/>
  <c r="T39" i="23"/>
  <c r="N39" i="23"/>
  <c r="F39" i="23"/>
  <c r="I39" i="23"/>
  <c r="R39" i="23"/>
  <c r="S39" i="23"/>
  <c r="L39" i="23"/>
  <c r="O39" i="23"/>
  <c r="G39" i="23"/>
  <c r="P39" i="23"/>
  <c r="Q39" i="23"/>
  <c r="K39" i="23"/>
  <c r="N6" i="23"/>
  <c r="F6" i="23"/>
  <c r="Q6" i="23"/>
  <c r="K6" i="23"/>
  <c r="T6" i="23"/>
  <c r="O6" i="23"/>
  <c r="G6" i="23"/>
  <c r="I6" i="23"/>
  <c r="J6" i="23"/>
  <c r="S6" i="23"/>
  <c r="M6" i="23"/>
  <c r="P6" i="23"/>
  <c r="H6" i="23"/>
  <c r="R6" i="23"/>
  <c r="L6" i="23"/>
  <c r="D6" i="23"/>
  <c r="M14" i="23"/>
  <c r="D14" i="23"/>
  <c r="H14" i="23"/>
  <c r="Q14" i="23"/>
  <c r="S14" i="23"/>
  <c r="L14" i="23"/>
  <c r="N14" i="23"/>
  <c r="F14" i="23"/>
  <c r="R14" i="23"/>
  <c r="K14" i="23"/>
  <c r="O14" i="23"/>
  <c r="G14" i="23"/>
  <c r="P14" i="23"/>
  <c r="I14" i="23"/>
  <c r="J14" i="23"/>
  <c r="T14" i="23"/>
  <c r="M22" i="23"/>
  <c r="D22" i="23"/>
  <c r="P22" i="23"/>
  <c r="I22" i="23"/>
  <c r="K22" i="23"/>
  <c r="N22" i="23"/>
  <c r="F22" i="23"/>
  <c r="Q22" i="23"/>
  <c r="R22" i="23"/>
  <c r="T22" i="23"/>
  <c r="O22" i="23"/>
  <c r="G22" i="23"/>
  <c r="H22" i="23"/>
  <c r="J22" i="23"/>
  <c r="S22" i="23"/>
  <c r="L22" i="23"/>
  <c r="M30" i="23"/>
  <c r="D30" i="23"/>
  <c r="R30" i="23"/>
  <c r="T30" i="23"/>
  <c r="N30" i="23"/>
  <c r="F30" i="23"/>
  <c r="P30" i="23"/>
  <c r="I30" i="23"/>
  <c r="J30" i="23"/>
  <c r="S30" i="23"/>
  <c r="L30" i="23"/>
  <c r="O30" i="23"/>
  <c r="G30" i="23"/>
  <c r="H30" i="23"/>
  <c r="Q30" i="23"/>
  <c r="K30" i="23"/>
  <c r="M38" i="23"/>
  <c r="D38" i="23"/>
  <c r="H38" i="23"/>
  <c r="Q38" i="23"/>
  <c r="S38" i="23"/>
  <c r="L38" i="23"/>
  <c r="N38" i="23"/>
  <c r="F38" i="23"/>
  <c r="J38" i="23"/>
  <c r="K38" i="23"/>
  <c r="O38" i="23"/>
  <c r="G38" i="23"/>
  <c r="P38" i="23"/>
  <c r="I38" i="23"/>
  <c r="R38" i="23"/>
  <c r="T38" i="23"/>
  <c r="M46" i="23"/>
  <c r="D46" i="23"/>
  <c r="P46" i="23"/>
  <c r="I46" i="23"/>
  <c r="R46" i="23"/>
  <c r="S46" i="23"/>
  <c r="N46" i="23"/>
  <c r="F46" i="23"/>
  <c r="Q46" i="23"/>
  <c r="J46" i="23"/>
  <c r="K46" i="23"/>
  <c r="T46" i="23"/>
  <c r="O46" i="23"/>
  <c r="G46" i="23"/>
  <c r="H46" i="23"/>
  <c r="L46" i="23"/>
  <c r="M13" i="23"/>
  <c r="D13" i="23"/>
  <c r="I13" i="23"/>
  <c r="K13" i="23"/>
  <c r="N13" i="23"/>
  <c r="F13" i="23"/>
  <c r="P13" i="23"/>
  <c r="Q13" i="23"/>
  <c r="R13" i="23"/>
  <c r="T13" i="23"/>
  <c r="O13" i="23"/>
  <c r="G13" i="23"/>
  <c r="H13" i="23"/>
  <c r="J13" i="23"/>
  <c r="S13" i="23"/>
  <c r="L13" i="23"/>
  <c r="M21" i="23"/>
  <c r="D21" i="23"/>
  <c r="P21" i="23"/>
  <c r="R21" i="23"/>
  <c r="T21" i="23"/>
  <c r="N21" i="23"/>
  <c r="F21" i="23"/>
  <c r="H21" i="23"/>
  <c r="I21" i="23"/>
  <c r="J21" i="23"/>
  <c r="S21" i="23"/>
  <c r="L21" i="23"/>
  <c r="O21" i="23"/>
  <c r="G21" i="23"/>
  <c r="Q21" i="23"/>
  <c r="K21" i="23"/>
  <c r="M37" i="23"/>
  <c r="D37" i="23"/>
  <c r="I37" i="23"/>
  <c r="R37" i="23"/>
  <c r="K37" i="23"/>
  <c r="N37" i="23"/>
  <c r="F37" i="23"/>
  <c r="P37" i="23"/>
  <c r="Q37" i="23"/>
  <c r="T37" i="23"/>
  <c r="O37" i="23"/>
  <c r="G37" i="23"/>
  <c r="H37" i="23"/>
  <c r="J37" i="23"/>
  <c r="S37" i="23"/>
  <c r="L37" i="23"/>
  <c r="N11" i="23"/>
  <c r="F11" i="23"/>
  <c r="I11" i="23"/>
  <c r="R11" i="23"/>
  <c r="T11" i="23"/>
  <c r="M11" i="23"/>
  <c r="O11" i="23"/>
  <c r="G11" i="23"/>
  <c r="S11" i="23"/>
  <c r="L11" i="23"/>
  <c r="D11" i="23"/>
  <c r="P11" i="23"/>
  <c r="H11" i="23"/>
  <c r="Q11" i="23"/>
  <c r="J11" i="23"/>
  <c r="K11" i="23"/>
  <c r="M35" i="23"/>
  <c r="D35" i="23"/>
  <c r="P35" i="23"/>
  <c r="Q35" i="23"/>
  <c r="J35" i="23"/>
  <c r="S35" i="23"/>
  <c r="L35" i="23"/>
  <c r="N35" i="23"/>
  <c r="F35" i="23"/>
  <c r="H35" i="23"/>
  <c r="K35" i="23"/>
  <c r="O35" i="23"/>
  <c r="G35" i="23"/>
  <c r="I35" i="23"/>
  <c r="R35" i="23"/>
  <c r="T35" i="23"/>
  <c r="N10" i="23"/>
  <c r="F10" i="23"/>
  <c r="J10" i="23"/>
  <c r="K10" i="23"/>
  <c r="D10" i="23"/>
  <c r="O10" i="23"/>
  <c r="G10" i="23"/>
  <c r="Q10" i="23"/>
  <c r="R10" i="23"/>
  <c r="S10" i="23"/>
  <c r="L10" i="23"/>
  <c r="P10" i="23"/>
  <c r="H10" i="23"/>
  <c r="I10" i="23"/>
  <c r="T10" i="23"/>
  <c r="M10" i="23"/>
  <c r="M26" i="23"/>
  <c r="D26" i="23"/>
  <c r="Q26" i="23"/>
  <c r="J26" i="23"/>
  <c r="S26" i="23"/>
  <c r="L26" i="23"/>
  <c r="N26" i="23"/>
  <c r="F26" i="23"/>
  <c r="H26" i="23"/>
  <c r="K26" i="23"/>
  <c r="O26" i="23"/>
  <c r="G26" i="23"/>
  <c r="P26" i="23"/>
  <c r="I26" i="23"/>
  <c r="R26" i="23"/>
  <c r="T26" i="23"/>
  <c r="M42" i="23"/>
  <c r="D42" i="23"/>
  <c r="P42" i="23"/>
  <c r="J42" i="23"/>
  <c r="S42" i="23"/>
  <c r="T42" i="23"/>
  <c r="N42" i="23"/>
  <c r="F42" i="23"/>
  <c r="H42" i="23"/>
  <c r="I42" i="23"/>
  <c r="R42" i="23"/>
  <c r="K42" i="23"/>
  <c r="L42" i="23"/>
  <c r="O42" i="23"/>
  <c r="G42" i="23"/>
  <c r="Q42" i="23"/>
  <c r="M50" i="23"/>
  <c r="D50" i="23"/>
  <c r="H50" i="23"/>
  <c r="S50" i="23"/>
  <c r="T50" i="23"/>
  <c r="N50" i="23"/>
  <c r="F50" i="23"/>
  <c r="K50" i="23"/>
  <c r="O50" i="23"/>
  <c r="G50" i="23"/>
  <c r="P50" i="23"/>
  <c r="Q50" i="23"/>
  <c r="I50" i="23"/>
  <c r="R50" i="23"/>
  <c r="J50" i="23"/>
  <c r="L50" i="23"/>
  <c r="N9" i="23"/>
  <c r="F9" i="23"/>
  <c r="Q9" i="23"/>
  <c r="T9" i="23"/>
  <c r="O9" i="23"/>
  <c r="G9" i="23"/>
  <c r="I9" i="23"/>
  <c r="J9" i="23"/>
  <c r="S9" i="23"/>
  <c r="M9" i="23"/>
  <c r="P9" i="23"/>
  <c r="H9" i="23"/>
  <c r="R9" i="23"/>
  <c r="K9" i="23"/>
  <c r="L9" i="23"/>
  <c r="D9" i="23"/>
  <c r="M17" i="23"/>
  <c r="D17" i="23"/>
  <c r="H17" i="23"/>
  <c r="Q17" i="23"/>
  <c r="J17" i="23"/>
  <c r="S17" i="23"/>
  <c r="L17" i="23"/>
  <c r="N17" i="23"/>
  <c r="F17" i="23"/>
  <c r="K17" i="23"/>
  <c r="O17" i="23"/>
  <c r="G17" i="23"/>
  <c r="P17" i="23"/>
  <c r="I17" i="23"/>
  <c r="R17" i="23"/>
  <c r="T17" i="23"/>
  <c r="M25" i="23"/>
  <c r="D25" i="23"/>
  <c r="P25" i="23"/>
  <c r="I25" i="23"/>
  <c r="K25" i="23"/>
  <c r="N25" i="23"/>
  <c r="F25" i="23"/>
  <c r="Q25" i="23"/>
  <c r="R25" i="23"/>
  <c r="T25" i="23"/>
  <c r="O25" i="23"/>
  <c r="G25" i="23"/>
  <c r="H25" i="23"/>
  <c r="J25" i="23"/>
  <c r="S25" i="23"/>
  <c r="L25" i="23"/>
  <c r="M33" i="23"/>
  <c r="D33" i="23"/>
  <c r="R33" i="23"/>
  <c r="T33" i="23"/>
  <c r="N33" i="23"/>
  <c r="F33" i="23"/>
  <c r="P33" i="23"/>
  <c r="I33" i="23"/>
  <c r="J33" i="23"/>
  <c r="S33" i="23"/>
  <c r="L33" i="23"/>
  <c r="O33" i="23"/>
  <c r="G33" i="23"/>
  <c r="H33" i="23"/>
  <c r="Q33" i="23"/>
  <c r="K33" i="23"/>
  <c r="M41" i="23"/>
  <c r="D41" i="23"/>
  <c r="H41" i="23"/>
  <c r="Q41" i="23"/>
  <c r="S41" i="23"/>
  <c r="L41" i="23"/>
  <c r="N41" i="23"/>
  <c r="F41" i="23"/>
  <c r="J41" i="23"/>
  <c r="O41" i="23"/>
  <c r="G41" i="23"/>
  <c r="P41" i="23"/>
  <c r="I41" i="23"/>
  <c r="R41" i="23"/>
  <c r="K41" i="23"/>
  <c r="T41" i="23"/>
  <c r="M49" i="23"/>
  <c r="D49" i="23"/>
  <c r="H49" i="23"/>
  <c r="R49" i="23"/>
  <c r="S49" i="23"/>
  <c r="K49" i="23"/>
  <c r="T49" i="23"/>
  <c r="L49" i="23"/>
  <c r="N49" i="23"/>
  <c r="F49" i="23"/>
  <c r="O49" i="23"/>
  <c r="G49" i="23"/>
  <c r="P49" i="23"/>
  <c r="Q49" i="23"/>
  <c r="I49" i="23"/>
  <c r="J49" i="23"/>
  <c r="M12" i="23"/>
  <c r="P12" i="23"/>
  <c r="T12" i="23"/>
  <c r="N12" i="23"/>
  <c r="F12" i="23"/>
  <c r="H12" i="23"/>
  <c r="I12" i="23"/>
  <c r="R12" i="23"/>
  <c r="S12" i="23"/>
  <c r="L12" i="23"/>
  <c r="O12" i="23"/>
  <c r="G12" i="23"/>
  <c r="Q12" i="23"/>
  <c r="J12" i="23"/>
  <c r="K12" i="23"/>
  <c r="D12" i="23"/>
  <c r="M36" i="23"/>
  <c r="D36" i="23"/>
  <c r="P36" i="23"/>
  <c r="R36" i="23"/>
  <c r="T36" i="23"/>
  <c r="N36" i="23"/>
  <c r="F36" i="23"/>
  <c r="I36" i="23"/>
  <c r="J36" i="23"/>
  <c r="S36" i="23"/>
  <c r="L36" i="23"/>
  <c r="O36" i="23"/>
  <c r="G36" i="23"/>
  <c r="H36" i="23"/>
  <c r="Q36" i="23"/>
  <c r="K36" i="23"/>
  <c r="M19" i="23"/>
  <c r="D19" i="23"/>
  <c r="I19" i="23"/>
  <c r="K19" i="23"/>
  <c r="N19" i="23"/>
  <c r="F19" i="23"/>
  <c r="P19" i="23"/>
  <c r="Q19" i="23"/>
  <c r="R19" i="23"/>
  <c r="T19" i="23"/>
  <c r="O19" i="23"/>
  <c r="G19" i="23"/>
  <c r="H19" i="23"/>
  <c r="J19" i="23"/>
  <c r="S19" i="23"/>
  <c r="L19" i="23"/>
  <c r="M34" i="23"/>
  <c r="D34" i="23"/>
  <c r="H34" i="23"/>
  <c r="I34" i="23"/>
  <c r="K34" i="23"/>
  <c r="N34" i="23"/>
  <c r="F34" i="23"/>
  <c r="Q34" i="23"/>
  <c r="R34" i="23"/>
  <c r="T34" i="23"/>
  <c r="O34" i="23"/>
  <c r="G34" i="23"/>
  <c r="P34" i="23"/>
  <c r="J34" i="23"/>
  <c r="S34" i="23"/>
  <c r="L34" i="23"/>
  <c r="N8" i="23"/>
  <c r="F8" i="23"/>
  <c r="I8" i="23"/>
  <c r="R8" i="23"/>
  <c r="L8" i="23"/>
  <c r="M8" i="23"/>
  <c r="O8" i="23"/>
  <c r="G8" i="23"/>
  <c r="S8" i="23"/>
  <c r="K8" i="23"/>
  <c r="T8" i="23"/>
  <c r="D8" i="23"/>
  <c r="P8" i="23"/>
  <c r="H8" i="23"/>
  <c r="Q8" i="23"/>
  <c r="J8" i="23"/>
  <c r="M16" i="23"/>
  <c r="D16" i="23"/>
  <c r="I16" i="23"/>
  <c r="K16" i="23"/>
  <c r="N16" i="23"/>
  <c r="F16" i="23"/>
  <c r="P16" i="23"/>
  <c r="Q16" i="23"/>
  <c r="R16" i="23"/>
  <c r="T16" i="23"/>
  <c r="O16" i="23"/>
  <c r="G16" i="23"/>
  <c r="H16" i="23"/>
  <c r="J16" i="23"/>
  <c r="S16" i="23"/>
  <c r="L16" i="23"/>
  <c r="M24" i="23"/>
  <c r="D24" i="23"/>
  <c r="H24" i="23"/>
  <c r="R24" i="23"/>
  <c r="T24" i="23"/>
  <c r="N24" i="23"/>
  <c r="F24" i="23"/>
  <c r="P24" i="23"/>
  <c r="I24" i="23"/>
  <c r="J24" i="23"/>
  <c r="S24" i="23"/>
  <c r="L24" i="23"/>
  <c r="O24" i="23"/>
  <c r="G24" i="23"/>
  <c r="Q24" i="23"/>
  <c r="K24" i="23"/>
  <c r="M32" i="23"/>
  <c r="D32" i="23"/>
  <c r="P32" i="23"/>
  <c r="Q32" i="23"/>
  <c r="J32" i="23"/>
  <c r="S32" i="23"/>
  <c r="L32" i="23"/>
  <c r="N32" i="23"/>
  <c r="F32" i="23"/>
  <c r="H32" i="23"/>
  <c r="K32" i="23"/>
  <c r="O32" i="23"/>
  <c r="G32" i="23"/>
  <c r="I32" i="23"/>
  <c r="R32" i="23"/>
  <c r="T32" i="23"/>
  <c r="M40" i="23"/>
  <c r="D40" i="23"/>
  <c r="H40" i="23"/>
  <c r="I40" i="23"/>
  <c r="R40" i="23"/>
  <c r="K40" i="23"/>
  <c r="N40" i="23"/>
  <c r="F40" i="23"/>
  <c r="Q40" i="23"/>
  <c r="S40" i="23"/>
  <c r="T40" i="23"/>
  <c r="O40" i="23"/>
  <c r="G40" i="23"/>
  <c r="P40" i="23"/>
  <c r="J40" i="23"/>
  <c r="L40" i="23"/>
  <c r="M48" i="23"/>
  <c r="D48" i="23"/>
  <c r="H48" i="23"/>
  <c r="K48" i="23"/>
  <c r="L48" i="23"/>
  <c r="N48" i="23"/>
  <c r="F48" i="23"/>
  <c r="Q48" i="23"/>
  <c r="R48" i="23"/>
  <c r="S48" i="23"/>
  <c r="T48" i="23"/>
  <c r="O48" i="23"/>
  <c r="G48" i="23"/>
  <c r="P48" i="23"/>
  <c r="I48" i="23"/>
  <c r="J48" i="23"/>
  <c r="N5" i="23"/>
  <c r="F5" i="23"/>
  <c r="I5" i="23"/>
  <c r="R5" i="23"/>
  <c r="L5" i="23"/>
  <c r="M5" i="23"/>
  <c r="O5" i="23"/>
  <c r="G5" i="23"/>
  <c r="S5" i="23"/>
  <c r="T5" i="23"/>
  <c r="D5" i="23"/>
  <c r="P5" i="23"/>
  <c r="H5" i="23"/>
  <c r="Q5" i="23"/>
  <c r="J5" i="23"/>
  <c r="K5" i="23"/>
  <c r="M29" i="23"/>
  <c r="D29" i="23"/>
  <c r="P29" i="23"/>
  <c r="Q29" i="23"/>
  <c r="J29" i="23"/>
  <c r="S29" i="23"/>
  <c r="L29" i="23"/>
  <c r="N29" i="23"/>
  <c r="F29" i="23"/>
  <c r="H29" i="23"/>
  <c r="K29" i="23"/>
  <c r="O29" i="23"/>
  <c r="G29" i="23"/>
  <c r="I29" i="23"/>
  <c r="R29" i="23"/>
  <c r="T29" i="23"/>
  <c r="M45" i="23"/>
  <c r="D45" i="23"/>
  <c r="P45" i="23"/>
  <c r="J45" i="23"/>
  <c r="K45" i="23"/>
  <c r="T45" i="23"/>
  <c r="N45" i="23"/>
  <c r="F45" i="23"/>
  <c r="I45" i="23"/>
  <c r="L45" i="23"/>
  <c r="O45" i="23"/>
  <c r="G45" i="23"/>
  <c r="H45" i="23"/>
  <c r="Q45" i="23"/>
  <c r="R45" i="23"/>
  <c r="S45" i="23"/>
  <c r="M28" i="23"/>
  <c r="D28" i="23"/>
  <c r="H28" i="23"/>
  <c r="I28" i="23"/>
  <c r="K28" i="23"/>
  <c r="N28" i="23"/>
  <c r="F28" i="23"/>
  <c r="Q28" i="23"/>
  <c r="R28" i="23"/>
  <c r="T28" i="23"/>
  <c r="O28" i="23"/>
  <c r="G28" i="23"/>
  <c r="P28" i="23"/>
  <c r="J28" i="23"/>
  <c r="S28" i="23"/>
  <c r="L28" i="23"/>
  <c r="M43" i="23"/>
  <c r="D43" i="23"/>
  <c r="P43" i="23"/>
  <c r="I43" i="23"/>
  <c r="R43" i="23"/>
  <c r="N43" i="23"/>
  <c r="F43" i="23"/>
  <c r="Q43" i="23"/>
  <c r="S43" i="23"/>
  <c r="T43" i="23"/>
  <c r="O43" i="23"/>
  <c r="G43" i="23"/>
  <c r="H43" i="23"/>
  <c r="J43" i="23"/>
  <c r="K43" i="23"/>
  <c r="L43" i="23"/>
  <c r="M15" i="23"/>
  <c r="D15" i="23"/>
  <c r="P15" i="23"/>
  <c r="T15" i="23"/>
  <c r="N15" i="23"/>
  <c r="F15" i="23"/>
  <c r="H15" i="23"/>
  <c r="I15" i="23"/>
  <c r="R15" i="23"/>
  <c r="S15" i="23"/>
  <c r="L15" i="23"/>
  <c r="O15" i="23"/>
  <c r="G15" i="23"/>
  <c r="Q15" i="23"/>
  <c r="J15" i="23"/>
  <c r="K15" i="23"/>
  <c r="M31" i="23"/>
  <c r="D31" i="23"/>
  <c r="H31" i="23"/>
  <c r="I31" i="23"/>
  <c r="K31" i="23"/>
  <c r="N31" i="23"/>
  <c r="F31" i="23"/>
  <c r="Q31" i="23"/>
  <c r="R31" i="23"/>
  <c r="T31" i="23"/>
  <c r="O31" i="23"/>
  <c r="G31" i="23"/>
  <c r="P31" i="23"/>
  <c r="J31" i="23"/>
  <c r="S31" i="23"/>
  <c r="L31" i="23"/>
  <c r="M47" i="23"/>
  <c r="D47" i="23"/>
  <c r="Q47" i="23"/>
  <c r="R47" i="23"/>
  <c r="S47" i="23"/>
  <c r="L47" i="23"/>
  <c r="N47" i="23"/>
  <c r="F47" i="23"/>
  <c r="K47" i="23"/>
  <c r="O47" i="23"/>
  <c r="G47" i="23"/>
  <c r="P47" i="23"/>
  <c r="H47" i="23"/>
  <c r="I47" i="23"/>
  <c r="J47" i="23"/>
  <c r="T47" i="23"/>
  <c r="H32" i="48"/>
  <c r="H24" i="48"/>
  <c r="H36" i="48"/>
  <c r="H38" i="48"/>
  <c r="H30" i="48"/>
  <c r="H28" i="48"/>
  <c r="H27" i="48"/>
  <c r="H31" i="48"/>
  <c r="H35" i="48"/>
  <c r="H34" i="48"/>
  <c r="H25" i="48"/>
  <c r="H33" i="48"/>
  <c r="H26" i="48"/>
  <c r="H29" i="48"/>
  <c r="H37" i="48"/>
  <c r="A2" i="20"/>
  <c r="A1" i="20"/>
  <c r="L200" i="27"/>
  <c r="K200" i="27"/>
  <c r="L199" i="27"/>
  <c r="K199" i="27"/>
  <c r="L198" i="27"/>
  <c r="K198" i="27"/>
  <c r="L197" i="27"/>
  <c r="K197" i="27"/>
  <c r="L196" i="27"/>
  <c r="K196" i="27"/>
  <c r="L195" i="27"/>
  <c r="K195" i="27"/>
  <c r="L194" i="27"/>
  <c r="K194" i="27"/>
  <c r="L193" i="27"/>
  <c r="K193" i="27"/>
  <c r="L192" i="27"/>
  <c r="K192" i="27"/>
  <c r="L191" i="27"/>
  <c r="K191" i="27"/>
  <c r="L190" i="27"/>
  <c r="K190" i="27"/>
  <c r="L189" i="27"/>
  <c r="K189" i="27"/>
  <c r="L188" i="27"/>
  <c r="K188" i="27"/>
  <c r="L187" i="27"/>
  <c r="K187" i="27"/>
  <c r="L186" i="27"/>
  <c r="K186" i="27"/>
  <c r="L185" i="27"/>
  <c r="K185" i="27"/>
  <c r="L184" i="27"/>
  <c r="K184" i="27"/>
  <c r="L183" i="27"/>
  <c r="K183" i="27"/>
  <c r="L182" i="27"/>
  <c r="K182" i="27"/>
  <c r="L181" i="27"/>
  <c r="K181" i="27"/>
  <c r="L180" i="27"/>
  <c r="K180" i="27"/>
  <c r="L179" i="27"/>
  <c r="K179" i="27"/>
  <c r="L178" i="27"/>
  <c r="K178" i="27"/>
  <c r="L177" i="27"/>
  <c r="K177" i="27"/>
  <c r="L176" i="27"/>
  <c r="K176" i="27"/>
  <c r="L175" i="27"/>
  <c r="K175" i="27"/>
  <c r="L174" i="27"/>
  <c r="K174" i="27"/>
  <c r="L173" i="27"/>
  <c r="K173" i="27"/>
  <c r="L172" i="27"/>
  <c r="K172" i="27"/>
  <c r="L171" i="27"/>
  <c r="K171" i="27"/>
  <c r="L170" i="27"/>
  <c r="K170" i="27"/>
  <c r="L169" i="27"/>
  <c r="K169" i="27"/>
  <c r="L168" i="27"/>
  <c r="K168" i="27"/>
  <c r="L167" i="27"/>
  <c r="K167" i="27"/>
  <c r="L166" i="27"/>
  <c r="K166" i="27"/>
  <c r="L165" i="27"/>
  <c r="K165" i="27"/>
  <c r="L164" i="27"/>
  <c r="K164" i="27"/>
  <c r="L163" i="27"/>
  <c r="K163" i="27"/>
  <c r="L162" i="27"/>
  <c r="K162" i="27"/>
  <c r="L161" i="27"/>
  <c r="K161" i="27"/>
  <c r="L160" i="27"/>
  <c r="K160" i="27"/>
  <c r="L159" i="27"/>
  <c r="K159" i="27"/>
  <c r="L158" i="27"/>
  <c r="K158" i="27"/>
  <c r="L157" i="27"/>
  <c r="K157" i="27"/>
  <c r="L156" i="27"/>
  <c r="K156" i="27"/>
  <c r="L155" i="27"/>
  <c r="K155" i="27"/>
  <c r="L154" i="27"/>
  <c r="K154" i="27"/>
  <c r="L153" i="27"/>
  <c r="K153" i="27"/>
  <c r="L152" i="27"/>
  <c r="K152" i="27"/>
  <c r="L151" i="27"/>
  <c r="K151" i="27"/>
  <c r="L150" i="27"/>
  <c r="K150" i="27"/>
  <c r="L149" i="27"/>
  <c r="K149" i="27"/>
  <c r="L148" i="27"/>
  <c r="K148" i="27"/>
  <c r="L147" i="27"/>
  <c r="K147" i="27"/>
  <c r="L146" i="27"/>
  <c r="K146" i="27"/>
  <c r="L145" i="27"/>
  <c r="K145" i="27"/>
  <c r="L144" i="27"/>
  <c r="K144" i="27"/>
  <c r="L143" i="27"/>
  <c r="K143" i="27"/>
  <c r="L142" i="27"/>
  <c r="K142" i="27"/>
  <c r="L141" i="27"/>
  <c r="K141" i="27"/>
  <c r="L140" i="27"/>
  <c r="K140" i="27"/>
  <c r="L139" i="27"/>
  <c r="K139" i="27"/>
  <c r="L138" i="27"/>
  <c r="K138" i="27"/>
  <c r="L137" i="27"/>
  <c r="K137" i="27"/>
  <c r="L136" i="27"/>
  <c r="K136" i="27"/>
  <c r="L135" i="27"/>
  <c r="K135" i="27"/>
  <c r="L134" i="27"/>
  <c r="K134" i="27"/>
  <c r="L133" i="27"/>
  <c r="K133" i="27"/>
  <c r="L132" i="27"/>
  <c r="K132" i="27"/>
  <c r="L131" i="27"/>
  <c r="K131" i="27"/>
  <c r="L130" i="27"/>
  <c r="K130" i="27"/>
  <c r="L129" i="27"/>
  <c r="K129" i="27"/>
  <c r="L128" i="27"/>
  <c r="K128" i="27"/>
  <c r="L127" i="27"/>
  <c r="K127" i="27"/>
  <c r="L126" i="27"/>
  <c r="K126" i="27"/>
  <c r="L125" i="27"/>
  <c r="K125" i="27"/>
  <c r="L124" i="27"/>
  <c r="K124" i="27"/>
  <c r="L123" i="27"/>
  <c r="K123" i="27"/>
  <c r="L122" i="27"/>
  <c r="K122" i="27"/>
  <c r="L121" i="27"/>
  <c r="K121" i="27"/>
  <c r="L120" i="27"/>
  <c r="K120" i="27"/>
  <c r="L119" i="27"/>
  <c r="K119" i="27"/>
  <c r="L118" i="27"/>
  <c r="K118" i="27"/>
  <c r="L117" i="27"/>
  <c r="K117" i="27"/>
  <c r="L116" i="27"/>
  <c r="K116" i="27"/>
  <c r="L115" i="27"/>
  <c r="K115" i="27"/>
  <c r="L114" i="27"/>
  <c r="K114" i="27"/>
  <c r="L113" i="27"/>
  <c r="K113" i="27"/>
  <c r="L112" i="27"/>
  <c r="K112" i="27"/>
  <c r="L111" i="27"/>
  <c r="K111" i="27"/>
  <c r="L110" i="27"/>
  <c r="K110" i="27"/>
  <c r="L109" i="27"/>
  <c r="K109" i="27"/>
  <c r="L108" i="27"/>
  <c r="K108" i="27"/>
  <c r="L107" i="27"/>
  <c r="K107" i="27"/>
  <c r="L106" i="27"/>
  <c r="K106" i="27"/>
  <c r="L105" i="27"/>
  <c r="K105" i="27"/>
  <c r="L104" i="27"/>
  <c r="K104" i="27"/>
  <c r="L103" i="27"/>
  <c r="K103" i="27"/>
  <c r="L102" i="27"/>
  <c r="K102" i="27"/>
  <c r="L101" i="27"/>
  <c r="K101" i="27"/>
  <c r="L100" i="27"/>
  <c r="K100" i="27"/>
  <c r="L99" i="27"/>
  <c r="K99" i="27"/>
  <c r="L98" i="27"/>
  <c r="K98" i="27"/>
  <c r="L97" i="27"/>
  <c r="K97" i="27"/>
  <c r="L96" i="27"/>
  <c r="K96" i="27"/>
  <c r="L95" i="27"/>
  <c r="K95" i="27"/>
  <c r="L94" i="27"/>
  <c r="K94" i="27"/>
  <c r="L93" i="27"/>
  <c r="K93" i="27"/>
  <c r="L92" i="27"/>
  <c r="K92" i="27"/>
  <c r="L91" i="27"/>
  <c r="K91" i="27"/>
  <c r="L90" i="27"/>
  <c r="K90" i="27"/>
  <c r="L89" i="27"/>
  <c r="K89" i="27"/>
  <c r="L88" i="27"/>
  <c r="K88" i="27"/>
  <c r="L87" i="27"/>
  <c r="K87" i="27"/>
  <c r="L86" i="27"/>
  <c r="K86" i="27"/>
  <c r="L85" i="27"/>
  <c r="K85" i="27"/>
  <c r="L84" i="27"/>
  <c r="K84" i="27"/>
  <c r="L83" i="27"/>
  <c r="K83" i="27"/>
  <c r="L82" i="27"/>
  <c r="K82" i="27"/>
  <c r="L81" i="27"/>
  <c r="K81" i="27"/>
  <c r="L80" i="27"/>
  <c r="K80" i="27"/>
  <c r="L79" i="27"/>
  <c r="K79" i="27"/>
  <c r="L78" i="27"/>
  <c r="K78" i="27"/>
  <c r="L77" i="27"/>
  <c r="K77" i="27"/>
  <c r="L76" i="27"/>
  <c r="K76" i="27"/>
  <c r="L75" i="27"/>
  <c r="K75" i="27"/>
  <c r="L74" i="27"/>
  <c r="K74" i="27"/>
  <c r="L73" i="27"/>
  <c r="K73" i="27"/>
  <c r="L72" i="27"/>
  <c r="K72" i="27"/>
  <c r="L71" i="27"/>
  <c r="K71" i="27"/>
  <c r="L70" i="27"/>
  <c r="K70" i="27"/>
  <c r="L69" i="27"/>
  <c r="K69" i="27"/>
  <c r="L68" i="27"/>
  <c r="K68" i="27"/>
  <c r="L67" i="27"/>
  <c r="K67" i="27"/>
  <c r="L66" i="27"/>
  <c r="K66" i="27"/>
  <c r="L65" i="27"/>
  <c r="K65" i="27"/>
  <c r="L64" i="27"/>
  <c r="K64" i="27"/>
  <c r="L63" i="27"/>
  <c r="K63" i="27"/>
  <c r="L62" i="27"/>
  <c r="K62" i="27"/>
  <c r="L61" i="27"/>
  <c r="K61" i="27"/>
  <c r="L60" i="27"/>
  <c r="K60" i="27"/>
  <c r="L59" i="27"/>
  <c r="K59" i="27"/>
  <c r="L58" i="27"/>
  <c r="K58" i="27"/>
  <c r="L57" i="27"/>
  <c r="K57" i="27"/>
  <c r="L56" i="27"/>
  <c r="K56" i="27"/>
  <c r="L55" i="27"/>
  <c r="K55" i="27"/>
  <c r="L54" i="27"/>
  <c r="K54" i="27"/>
  <c r="L53" i="27"/>
  <c r="K53" i="27"/>
  <c r="L52" i="27"/>
  <c r="K52" i="27"/>
  <c r="L51" i="27"/>
  <c r="K51" i="27"/>
  <c r="L50" i="27"/>
  <c r="K50" i="27"/>
  <c r="L16" i="27"/>
  <c r="K16" i="27"/>
  <c r="L10" i="27"/>
  <c r="K10" i="27"/>
  <c r="L45" i="27"/>
  <c r="K45" i="27"/>
  <c r="L5" i="27"/>
  <c r="K5" i="27"/>
  <c r="L22" i="27"/>
  <c r="K22" i="27"/>
  <c r="L34" i="27"/>
  <c r="K34" i="27"/>
  <c r="L17" i="27"/>
  <c r="K17" i="27"/>
  <c r="L37" i="27"/>
  <c r="K37" i="27"/>
  <c r="L48" i="27"/>
  <c r="K48" i="27"/>
  <c r="L29" i="27"/>
  <c r="K29" i="27"/>
  <c r="L28" i="27"/>
  <c r="K28" i="27"/>
  <c r="L41" i="27"/>
  <c r="K41" i="27"/>
  <c r="L26" i="27"/>
  <c r="K26" i="27"/>
  <c r="L44" i="27"/>
  <c r="K44" i="27"/>
  <c r="L15" i="27"/>
  <c r="K15" i="27"/>
  <c r="L8" i="27"/>
  <c r="K8" i="27"/>
  <c r="L46" i="27"/>
  <c r="K46" i="27"/>
  <c r="L42" i="27"/>
  <c r="K42" i="27"/>
  <c r="L39" i="27"/>
  <c r="K39" i="27"/>
  <c r="L40" i="27"/>
  <c r="K40" i="27"/>
  <c r="L19" i="27"/>
  <c r="K19" i="27"/>
  <c r="L7" i="27"/>
  <c r="K7" i="27"/>
  <c r="L24" i="27"/>
  <c r="K24" i="27"/>
  <c r="L20" i="27"/>
  <c r="K20" i="27"/>
  <c r="L32" i="27"/>
  <c r="K32" i="27"/>
  <c r="L25" i="27"/>
  <c r="K25" i="27"/>
  <c r="L30" i="27"/>
  <c r="K30" i="27"/>
  <c r="L6" i="27"/>
  <c r="K6" i="27"/>
  <c r="L23" i="27"/>
  <c r="K23" i="27"/>
  <c r="L43" i="27"/>
  <c r="K43" i="27"/>
  <c r="L13" i="27"/>
  <c r="K13" i="27"/>
  <c r="L47" i="27"/>
  <c r="K47" i="27"/>
  <c r="L11" i="27"/>
  <c r="K11" i="27"/>
  <c r="L9" i="27"/>
  <c r="K9" i="27"/>
  <c r="L12" i="27"/>
  <c r="K12" i="27"/>
  <c r="L35" i="27"/>
  <c r="K35" i="27"/>
  <c r="L21" i="27"/>
  <c r="K21" i="27"/>
  <c r="L31" i="27"/>
  <c r="K31" i="27"/>
  <c r="L27" i="27"/>
  <c r="K27" i="27"/>
  <c r="L49" i="27"/>
  <c r="K49" i="27"/>
  <c r="L14" i="27"/>
  <c r="K14" i="27"/>
  <c r="L38" i="27"/>
  <c r="K38" i="27"/>
  <c r="L33" i="27"/>
  <c r="K33" i="27"/>
  <c r="L36" i="27"/>
  <c r="K36" i="27"/>
  <c r="L18" i="27"/>
  <c r="K18" i="27"/>
  <c r="N4" i="27"/>
  <c r="L4" i="27"/>
  <c r="K4" i="27"/>
  <c r="E53" i="23"/>
  <c r="E51" i="23"/>
  <c r="E52" i="23"/>
  <c r="E28" i="23"/>
  <c r="E32" i="23"/>
  <c r="E35" i="23"/>
  <c r="E44" i="23"/>
  <c r="E20" i="23"/>
  <c r="E29" i="23"/>
  <c r="E8" i="23"/>
  <c r="E9" i="23"/>
  <c r="E10" i="23"/>
  <c r="E11" i="23"/>
  <c r="E7" i="23"/>
  <c r="E41" i="23"/>
  <c r="E33" i="23"/>
  <c r="E30" i="23"/>
  <c r="E15" i="23"/>
  <c r="E16" i="23"/>
  <c r="E19" i="23"/>
  <c r="E13" i="23"/>
  <c r="E46" i="23"/>
  <c r="E36" i="23"/>
  <c r="E49" i="23"/>
  <c r="E25" i="23"/>
  <c r="E22" i="23"/>
  <c r="E31" i="23"/>
  <c r="E43" i="23"/>
  <c r="E48" i="23"/>
  <c r="E24" i="23"/>
  <c r="E34" i="23"/>
  <c r="E50" i="23"/>
  <c r="E37" i="23"/>
  <c r="E21" i="23"/>
  <c r="E6" i="23"/>
  <c r="E39" i="23"/>
  <c r="E18" i="23"/>
  <c r="E27" i="23"/>
  <c r="E17" i="23"/>
  <c r="E38" i="23"/>
  <c r="E14" i="23"/>
  <c r="E12" i="23"/>
  <c r="E47" i="23"/>
  <c r="E45" i="23"/>
  <c r="E40" i="23"/>
  <c r="E42" i="23"/>
  <c r="E26" i="23"/>
  <c r="E23" i="23"/>
  <c r="F3" i="27"/>
  <c r="N3" i="27"/>
  <c r="A2" i="27"/>
  <c r="A1" i="27"/>
  <c r="L200" i="45"/>
  <c r="K200" i="45"/>
  <c r="L199" i="45"/>
  <c r="K199" i="45"/>
  <c r="L198" i="45"/>
  <c r="K198" i="45"/>
  <c r="L197" i="45"/>
  <c r="K197" i="45"/>
  <c r="L196" i="45"/>
  <c r="K196" i="45"/>
  <c r="L195" i="45"/>
  <c r="K195" i="45"/>
  <c r="L194" i="45"/>
  <c r="K194" i="45"/>
  <c r="L193" i="45"/>
  <c r="K193" i="45"/>
  <c r="L192" i="45"/>
  <c r="K192" i="45"/>
  <c r="L191" i="45"/>
  <c r="K191" i="45"/>
  <c r="L190" i="45"/>
  <c r="K190" i="45"/>
  <c r="L189" i="45"/>
  <c r="K189" i="45"/>
  <c r="L188" i="45"/>
  <c r="K188" i="45"/>
  <c r="L187" i="45"/>
  <c r="K187" i="45"/>
  <c r="L186" i="45"/>
  <c r="K186" i="45"/>
  <c r="L185" i="45"/>
  <c r="K185" i="45"/>
  <c r="L184" i="45"/>
  <c r="K184" i="45"/>
  <c r="L183" i="45"/>
  <c r="K183" i="45"/>
  <c r="L182" i="45"/>
  <c r="K182" i="45"/>
  <c r="L181" i="45"/>
  <c r="K181" i="45"/>
  <c r="L180" i="45"/>
  <c r="K180" i="45"/>
  <c r="L179" i="45"/>
  <c r="K179" i="45"/>
  <c r="L178" i="45"/>
  <c r="K178" i="45"/>
  <c r="L177" i="45"/>
  <c r="K177" i="45"/>
  <c r="L176" i="45"/>
  <c r="K176" i="45"/>
  <c r="L175" i="45"/>
  <c r="K175" i="45"/>
  <c r="L174" i="45"/>
  <c r="K174" i="45"/>
  <c r="L173" i="45"/>
  <c r="K173" i="45"/>
  <c r="L172" i="45"/>
  <c r="K172" i="45"/>
  <c r="L171" i="45"/>
  <c r="K171" i="45"/>
  <c r="L170" i="45"/>
  <c r="K170" i="45"/>
  <c r="L169" i="45"/>
  <c r="K169" i="45"/>
  <c r="L168" i="45"/>
  <c r="K168" i="45"/>
  <c r="L167" i="45"/>
  <c r="K167" i="45"/>
  <c r="L166" i="45"/>
  <c r="K166" i="45"/>
  <c r="L165" i="45"/>
  <c r="K165" i="45"/>
  <c r="L164" i="45"/>
  <c r="K164" i="45"/>
  <c r="L163" i="45"/>
  <c r="K163" i="45"/>
  <c r="L162" i="45"/>
  <c r="K162" i="45"/>
  <c r="L161" i="45"/>
  <c r="K161" i="45"/>
  <c r="L160" i="45"/>
  <c r="K160" i="45"/>
  <c r="L159" i="45"/>
  <c r="K159" i="45"/>
  <c r="L158" i="45"/>
  <c r="K158" i="45"/>
  <c r="L157" i="45"/>
  <c r="K157" i="45"/>
  <c r="L156" i="45"/>
  <c r="K156" i="45"/>
  <c r="L155" i="45"/>
  <c r="K155" i="45"/>
  <c r="L154" i="45"/>
  <c r="K154" i="45"/>
  <c r="L153" i="45"/>
  <c r="K153" i="45"/>
  <c r="L152" i="45"/>
  <c r="K152" i="45"/>
  <c r="L151" i="45"/>
  <c r="K151" i="45"/>
  <c r="L150" i="45"/>
  <c r="K150" i="45"/>
  <c r="L149" i="45"/>
  <c r="K149" i="45"/>
  <c r="L148" i="45"/>
  <c r="K148" i="45"/>
  <c r="L147" i="45"/>
  <c r="K147" i="45"/>
  <c r="L146" i="45"/>
  <c r="K146" i="45"/>
  <c r="L145" i="45"/>
  <c r="K145" i="45"/>
  <c r="L144" i="45"/>
  <c r="K144" i="45"/>
  <c r="L143" i="45"/>
  <c r="K143" i="45"/>
  <c r="L142" i="45"/>
  <c r="K142" i="45"/>
  <c r="L141" i="45"/>
  <c r="K141" i="45"/>
  <c r="L140" i="45"/>
  <c r="K140" i="45"/>
  <c r="L139" i="45"/>
  <c r="K139" i="45"/>
  <c r="L138" i="45"/>
  <c r="K138" i="45"/>
  <c r="L137" i="45"/>
  <c r="K137" i="45"/>
  <c r="L136" i="45"/>
  <c r="K136" i="45"/>
  <c r="L135" i="45"/>
  <c r="K135" i="45"/>
  <c r="L134" i="45"/>
  <c r="K134" i="45"/>
  <c r="L133" i="45"/>
  <c r="K133" i="45"/>
  <c r="L132" i="45"/>
  <c r="K132" i="45"/>
  <c r="L131" i="45"/>
  <c r="K131" i="45"/>
  <c r="L130" i="45"/>
  <c r="K130" i="45"/>
  <c r="L129" i="45"/>
  <c r="K129" i="45"/>
  <c r="L128" i="45"/>
  <c r="K128" i="45"/>
  <c r="L127" i="45"/>
  <c r="K127" i="45"/>
  <c r="L126" i="45"/>
  <c r="K126" i="45"/>
  <c r="L125" i="45"/>
  <c r="K125" i="45"/>
  <c r="L124" i="45"/>
  <c r="K124" i="45"/>
  <c r="L123" i="45"/>
  <c r="K123" i="45"/>
  <c r="L122" i="45"/>
  <c r="K122" i="45"/>
  <c r="L121" i="45"/>
  <c r="K121" i="45"/>
  <c r="L120" i="45"/>
  <c r="K120" i="45"/>
  <c r="L119" i="45"/>
  <c r="K119" i="45"/>
  <c r="L118" i="45"/>
  <c r="K118" i="45"/>
  <c r="L117" i="45"/>
  <c r="K117" i="45"/>
  <c r="L116" i="45"/>
  <c r="K116" i="45"/>
  <c r="L115" i="45"/>
  <c r="K115" i="45"/>
  <c r="L114" i="45"/>
  <c r="K114" i="45"/>
  <c r="L113" i="45"/>
  <c r="K113" i="45"/>
  <c r="L112" i="45"/>
  <c r="K112" i="45"/>
  <c r="L111" i="45"/>
  <c r="K111" i="45"/>
  <c r="L110" i="45"/>
  <c r="K110" i="45"/>
  <c r="L109" i="45"/>
  <c r="K109" i="45"/>
  <c r="L108" i="45"/>
  <c r="K108" i="45"/>
  <c r="L107" i="45"/>
  <c r="K107" i="45"/>
  <c r="L106" i="45"/>
  <c r="K106" i="45"/>
  <c r="L105" i="45"/>
  <c r="K105" i="45"/>
  <c r="L104" i="45"/>
  <c r="K104" i="45"/>
  <c r="L103" i="45"/>
  <c r="K103" i="45"/>
  <c r="L102" i="45"/>
  <c r="K102" i="45"/>
  <c r="L101" i="45"/>
  <c r="K101" i="45"/>
  <c r="L100" i="45"/>
  <c r="K100" i="45"/>
  <c r="L99" i="45"/>
  <c r="K99" i="45"/>
  <c r="L98" i="45"/>
  <c r="K98" i="45"/>
  <c r="L97" i="45"/>
  <c r="K97" i="45"/>
  <c r="L96" i="45"/>
  <c r="K96" i="45"/>
  <c r="L95" i="45"/>
  <c r="K95" i="45"/>
  <c r="L94" i="45"/>
  <c r="K94" i="45"/>
  <c r="L93" i="45"/>
  <c r="K93" i="45"/>
  <c r="L92" i="45"/>
  <c r="K92" i="45"/>
  <c r="L91" i="45"/>
  <c r="K91" i="45"/>
  <c r="L90" i="45"/>
  <c r="K90" i="45"/>
  <c r="L89" i="45"/>
  <c r="K89" i="45"/>
  <c r="L88" i="45"/>
  <c r="K88" i="45"/>
  <c r="L87" i="45"/>
  <c r="K87" i="45"/>
  <c r="L86" i="45"/>
  <c r="K86" i="45"/>
  <c r="L85" i="45"/>
  <c r="K85" i="45"/>
  <c r="L84" i="45"/>
  <c r="K84" i="45"/>
  <c r="L83" i="45"/>
  <c r="K83" i="45"/>
  <c r="L82" i="45"/>
  <c r="K82" i="45"/>
  <c r="L81" i="45"/>
  <c r="K81" i="45"/>
  <c r="L80" i="45"/>
  <c r="K80" i="45"/>
  <c r="L79" i="45"/>
  <c r="K79" i="45"/>
  <c r="L78" i="45"/>
  <c r="K78" i="45"/>
  <c r="L77" i="45"/>
  <c r="K77" i="45"/>
  <c r="L76" i="45"/>
  <c r="K76" i="45"/>
  <c r="L75" i="45"/>
  <c r="K75" i="45"/>
  <c r="L74" i="45"/>
  <c r="K74" i="45"/>
  <c r="L73" i="45"/>
  <c r="K73" i="45"/>
  <c r="L72" i="45"/>
  <c r="K72" i="45"/>
  <c r="L71" i="45"/>
  <c r="K71" i="45"/>
  <c r="L70" i="45"/>
  <c r="K70" i="45"/>
  <c r="L69" i="45"/>
  <c r="K69" i="45"/>
  <c r="L68" i="45"/>
  <c r="K68" i="45"/>
  <c r="L67" i="45"/>
  <c r="K67" i="45"/>
  <c r="L66" i="45"/>
  <c r="K66" i="45"/>
  <c r="L65" i="45"/>
  <c r="K65" i="45"/>
  <c r="L64" i="45"/>
  <c r="K64" i="45"/>
  <c r="L63" i="45"/>
  <c r="K63" i="45"/>
  <c r="L62" i="45"/>
  <c r="K62" i="45"/>
  <c r="L61" i="45"/>
  <c r="K61" i="45"/>
  <c r="L60" i="45"/>
  <c r="K60" i="45"/>
  <c r="L59" i="45"/>
  <c r="K59" i="45"/>
  <c r="L58" i="45"/>
  <c r="K58" i="45"/>
  <c r="L57" i="45"/>
  <c r="K57" i="45"/>
  <c r="L56" i="45"/>
  <c r="K56" i="45"/>
  <c r="L55" i="45"/>
  <c r="K55" i="45"/>
  <c r="L54" i="45"/>
  <c r="K54" i="45"/>
  <c r="L53" i="45"/>
  <c r="K53" i="45"/>
  <c r="L52" i="45"/>
  <c r="K52" i="45"/>
  <c r="L51" i="45"/>
  <c r="K51" i="45"/>
  <c r="L50" i="45"/>
  <c r="K50" i="45"/>
  <c r="L49" i="45"/>
  <c r="K49" i="45"/>
  <c r="L48" i="45"/>
  <c r="K48" i="45"/>
  <c r="L47" i="45"/>
  <c r="K47" i="45"/>
  <c r="L46" i="45"/>
  <c r="K46" i="45"/>
  <c r="L45" i="45"/>
  <c r="K45" i="45"/>
  <c r="L44" i="45"/>
  <c r="K44" i="45"/>
  <c r="L43" i="45"/>
  <c r="K43" i="45"/>
  <c r="L42" i="45"/>
  <c r="K42" i="45"/>
  <c r="L41" i="45"/>
  <c r="K41" i="45"/>
  <c r="L40" i="45"/>
  <c r="K40" i="45"/>
  <c r="L39" i="45"/>
  <c r="K39" i="45"/>
  <c r="L38" i="45"/>
  <c r="K38" i="45"/>
  <c r="L37" i="45"/>
  <c r="K37" i="45"/>
  <c r="L36" i="45"/>
  <c r="K36" i="45"/>
  <c r="L35" i="45"/>
  <c r="K35" i="45"/>
  <c r="L34" i="45"/>
  <c r="K34" i="45"/>
  <c r="L33" i="45"/>
  <c r="K33" i="45"/>
  <c r="L32" i="45"/>
  <c r="K32" i="45"/>
  <c r="L31" i="45"/>
  <c r="K31" i="45"/>
  <c r="L30" i="45"/>
  <c r="K30" i="45"/>
  <c r="L29" i="45"/>
  <c r="K29" i="45"/>
  <c r="L28" i="45"/>
  <c r="K28" i="45"/>
  <c r="L27" i="45"/>
  <c r="K27" i="45"/>
  <c r="L26" i="45"/>
  <c r="K26" i="45"/>
  <c r="L25" i="45"/>
  <c r="K25" i="45"/>
  <c r="L24" i="45"/>
  <c r="K24" i="45"/>
  <c r="L23" i="45"/>
  <c r="K23" i="45"/>
  <c r="L22" i="45"/>
  <c r="K22" i="45"/>
  <c r="L21" i="45"/>
  <c r="K21" i="45"/>
  <c r="L20" i="45"/>
  <c r="K20" i="45"/>
  <c r="L19" i="45"/>
  <c r="K19" i="45"/>
  <c r="L18" i="45"/>
  <c r="K18" i="45"/>
  <c r="L17" i="45"/>
  <c r="K17" i="45"/>
  <c r="L16" i="45"/>
  <c r="K16" i="45"/>
  <c r="L15" i="45"/>
  <c r="K15" i="45"/>
  <c r="L14" i="45"/>
  <c r="K14" i="45"/>
  <c r="L13" i="45"/>
  <c r="K13" i="45"/>
  <c r="L12" i="45"/>
  <c r="K12" i="45"/>
  <c r="L11" i="45"/>
  <c r="K11" i="45"/>
  <c r="L10" i="45"/>
  <c r="K10" i="45"/>
  <c r="L9" i="45"/>
  <c r="K9" i="45"/>
  <c r="L8" i="45"/>
  <c r="K8" i="45"/>
  <c r="L7" i="45"/>
  <c r="K7" i="45"/>
  <c r="L6" i="45"/>
  <c r="K6" i="45"/>
  <c r="L5" i="45"/>
  <c r="K5" i="45"/>
  <c r="N4" i="45"/>
  <c r="L4" i="45"/>
  <c r="K4" i="45"/>
  <c r="A1" i="45"/>
  <c r="L200" i="12"/>
  <c r="K200" i="12"/>
  <c r="L199" i="12"/>
  <c r="K199" i="12"/>
  <c r="L198" i="12"/>
  <c r="K198" i="12"/>
  <c r="L197" i="12"/>
  <c r="K197" i="12"/>
  <c r="L196" i="12"/>
  <c r="K196" i="12"/>
  <c r="L195" i="12"/>
  <c r="K195" i="12"/>
  <c r="L194" i="12"/>
  <c r="K194" i="12"/>
  <c r="L193" i="12"/>
  <c r="K193" i="12"/>
  <c r="L192" i="12"/>
  <c r="K192" i="12"/>
  <c r="L191" i="12"/>
  <c r="K191" i="12"/>
  <c r="L190" i="12"/>
  <c r="K190" i="12"/>
  <c r="L189" i="12"/>
  <c r="K189" i="12"/>
  <c r="L188" i="12"/>
  <c r="K188" i="12"/>
  <c r="L187" i="12"/>
  <c r="K187" i="12"/>
  <c r="L186" i="12"/>
  <c r="K186" i="12"/>
  <c r="L185" i="12"/>
  <c r="K185" i="12"/>
  <c r="L184" i="12"/>
  <c r="K184" i="12"/>
  <c r="L183" i="12"/>
  <c r="K183" i="12"/>
  <c r="L182" i="12"/>
  <c r="K182" i="12"/>
  <c r="L181" i="12"/>
  <c r="K181" i="12"/>
  <c r="L180" i="12"/>
  <c r="K180" i="12"/>
  <c r="L179" i="12"/>
  <c r="K179" i="12"/>
  <c r="L178" i="12"/>
  <c r="K178" i="12"/>
  <c r="L177" i="12"/>
  <c r="K177" i="12"/>
  <c r="L176" i="12"/>
  <c r="K176" i="12"/>
  <c r="L175" i="12"/>
  <c r="K175" i="12"/>
  <c r="L174" i="12"/>
  <c r="K174" i="12"/>
  <c r="L173" i="12"/>
  <c r="K173" i="12"/>
  <c r="L172" i="12"/>
  <c r="K172" i="12"/>
  <c r="L171" i="12"/>
  <c r="K171" i="12"/>
  <c r="L170" i="12"/>
  <c r="K170" i="12"/>
  <c r="L169" i="12"/>
  <c r="K169" i="12"/>
  <c r="L168" i="12"/>
  <c r="K168" i="12"/>
  <c r="L167" i="12"/>
  <c r="K167" i="12"/>
  <c r="L166" i="12"/>
  <c r="K166" i="12"/>
  <c r="L165" i="12"/>
  <c r="K165" i="12"/>
  <c r="L164" i="12"/>
  <c r="K164" i="12"/>
  <c r="L163" i="12"/>
  <c r="K163" i="12"/>
  <c r="L162" i="12"/>
  <c r="K162" i="12"/>
  <c r="L161" i="12"/>
  <c r="K161" i="12"/>
  <c r="L160" i="12"/>
  <c r="K160" i="12"/>
  <c r="L159" i="12"/>
  <c r="K159" i="12"/>
  <c r="L158" i="12"/>
  <c r="K158" i="12"/>
  <c r="L157" i="12"/>
  <c r="K157" i="12"/>
  <c r="L156" i="12"/>
  <c r="K156" i="12"/>
  <c r="L155" i="12"/>
  <c r="K155" i="12"/>
  <c r="L154" i="12"/>
  <c r="K154" i="12"/>
  <c r="L153" i="12"/>
  <c r="K153" i="12"/>
  <c r="L152" i="12"/>
  <c r="K152" i="12"/>
  <c r="L151" i="12"/>
  <c r="K151" i="12"/>
  <c r="L150" i="12"/>
  <c r="K150" i="12"/>
  <c r="L149" i="12"/>
  <c r="K149" i="12"/>
  <c r="L148" i="12"/>
  <c r="K148" i="12"/>
  <c r="L147" i="12"/>
  <c r="K147" i="12"/>
  <c r="L146" i="12"/>
  <c r="K146" i="12"/>
  <c r="L145" i="12"/>
  <c r="K145" i="12"/>
  <c r="L144" i="12"/>
  <c r="K144" i="12"/>
  <c r="L143" i="12"/>
  <c r="K143" i="12"/>
  <c r="L142" i="12"/>
  <c r="K142" i="12"/>
  <c r="L141" i="12"/>
  <c r="K141" i="12"/>
  <c r="L140" i="12"/>
  <c r="K140" i="12"/>
  <c r="L139" i="12"/>
  <c r="K139" i="12"/>
  <c r="L138" i="12"/>
  <c r="K138" i="12"/>
  <c r="L137" i="12"/>
  <c r="K137" i="12"/>
  <c r="L136" i="12"/>
  <c r="K136" i="12"/>
  <c r="L135" i="12"/>
  <c r="K135" i="12"/>
  <c r="L134" i="12"/>
  <c r="K134" i="12"/>
  <c r="L133" i="12"/>
  <c r="K133" i="12"/>
  <c r="L132" i="12"/>
  <c r="K132" i="12"/>
  <c r="L131" i="12"/>
  <c r="K131" i="12"/>
  <c r="L130" i="12"/>
  <c r="K130" i="12"/>
  <c r="L129" i="12"/>
  <c r="K129" i="12"/>
  <c r="L128" i="12"/>
  <c r="K128" i="12"/>
  <c r="L127" i="12"/>
  <c r="K127" i="12"/>
  <c r="L126" i="12"/>
  <c r="K126" i="12"/>
  <c r="L125" i="12"/>
  <c r="K125" i="12"/>
  <c r="L124" i="12"/>
  <c r="K124" i="12"/>
  <c r="L123" i="12"/>
  <c r="K123" i="12"/>
  <c r="L122" i="12"/>
  <c r="K122" i="12"/>
  <c r="L121" i="12"/>
  <c r="K121" i="12"/>
  <c r="L120" i="12"/>
  <c r="K120" i="12"/>
  <c r="L119" i="12"/>
  <c r="K119" i="12"/>
  <c r="L118" i="12"/>
  <c r="K118" i="12"/>
  <c r="L117" i="12"/>
  <c r="K117" i="12"/>
  <c r="L116" i="12"/>
  <c r="K116" i="12"/>
  <c r="L115" i="12"/>
  <c r="K115" i="12"/>
  <c r="L114" i="12"/>
  <c r="K114" i="12"/>
  <c r="L113" i="12"/>
  <c r="K113" i="12"/>
  <c r="L112" i="12"/>
  <c r="K112" i="12"/>
  <c r="L111" i="12"/>
  <c r="K111" i="12"/>
  <c r="L110" i="12"/>
  <c r="K110" i="12"/>
  <c r="L109" i="12"/>
  <c r="K109" i="12"/>
  <c r="L108" i="12"/>
  <c r="K108" i="12"/>
  <c r="L107" i="12"/>
  <c r="K107" i="12"/>
  <c r="L106" i="12"/>
  <c r="K106" i="12"/>
  <c r="L105" i="12"/>
  <c r="K105" i="12"/>
  <c r="L104" i="12"/>
  <c r="K104" i="12"/>
  <c r="L103" i="12"/>
  <c r="K103" i="12"/>
  <c r="L102" i="12"/>
  <c r="K102" i="12"/>
  <c r="L101" i="12"/>
  <c r="K101" i="12"/>
  <c r="L100" i="12"/>
  <c r="K100" i="12"/>
  <c r="L99" i="12"/>
  <c r="K99" i="12"/>
  <c r="L98" i="12"/>
  <c r="K98" i="12"/>
  <c r="L97" i="12"/>
  <c r="K97" i="12"/>
  <c r="L96" i="12"/>
  <c r="K96" i="12"/>
  <c r="L95" i="12"/>
  <c r="K95" i="12"/>
  <c r="L94" i="12"/>
  <c r="K94" i="12"/>
  <c r="L93" i="12"/>
  <c r="K93" i="12"/>
  <c r="L92" i="12"/>
  <c r="K92" i="12"/>
  <c r="L91" i="12"/>
  <c r="K91" i="12"/>
  <c r="L90" i="12"/>
  <c r="K90" i="12"/>
  <c r="L89" i="12"/>
  <c r="K89" i="12"/>
  <c r="L88" i="12"/>
  <c r="K88" i="12"/>
  <c r="L87" i="12"/>
  <c r="K87" i="12"/>
  <c r="L86" i="12"/>
  <c r="K86" i="12"/>
  <c r="L85" i="12"/>
  <c r="K85" i="12"/>
  <c r="L84" i="12"/>
  <c r="K84" i="12"/>
  <c r="L83" i="12"/>
  <c r="K83" i="12"/>
  <c r="L82" i="12"/>
  <c r="K82" i="12"/>
  <c r="L81" i="12"/>
  <c r="K81" i="12"/>
  <c r="L80" i="12"/>
  <c r="K80" i="12"/>
  <c r="L79" i="12"/>
  <c r="K79" i="12"/>
  <c r="L78" i="12"/>
  <c r="K78" i="12"/>
  <c r="L77" i="12"/>
  <c r="K77" i="12"/>
  <c r="L76" i="12"/>
  <c r="K76" i="12"/>
  <c r="L75" i="12"/>
  <c r="K75" i="12"/>
  <c r="L74" i="12"/>
  <c r="K74" i="12"/>
  <c r="L73" i="12"/>
  <c r="K73" i="12"/>
  <c r="L72" i="12"/>
  <c r="K72" i="12"/>
  <c r="L71" i="12"/>
  <c r="K71" i="12"/>
  <c r="L70" i="12"/>
  <c r="K70" i="12"/>
  <c r="L69" i="12"/>
  <c r="K69" i="12"/>
  <c r="L68" i="12"/>
  <c r="K68" i="12"/>
  <c r="L67" i="12"/>
  <c r="K67" i="12"/>
  <c r="L66" i="12"/>
  <c r="K66" i="12"/>
  <c r="L65" i="12"/>
  <c r="K65" i="12"/>
  <c r="L64" i="12"/>
  <c r="K64" i="12"/>
  <c r="L63" i="12"/>
  <c r="K63" i="12"/>
  <c r="L62" i="12"/>
  <c r="K62" i="12"/>
  <c r="L61" i="12"/>
  <c r="K61" i="12"/>
  <c r="L60" i="12"/>
  <c r="K60" i="12"/>
  <c r="L59" i="12"/>
  <c r="K59" i="12"/>
  <c r="L58" i="12"/>
  <c r="K58" i="12"/>
  <c r="L57" i="12"/>
  <c r="K57" i="12"/>
  <c r="L56" i="12"/>
  <c r="K56" i="12"/>
  <c r="L55" i="12"/>
  <c r="K55" i="12"/>
  <c r="L54" i="12"/>
  <c r="K54" i="12"/>
  <c r="L53" i="12"/>
  <c r="K53" i="12"/>
  <c r="L52" i="12"/>
  <c r="K52" i="12"/>
  <c r="L51" i="12"/>
  <c r="K51" i="12"/>
  <c r="L50" i="12"/>
  <c r="K50" i="12"/>
  <c r="L27" i="12"/>
  <c r="K27" i="12"/>
  <c r="L31" i="12"/>
  <c r="K31" i="12"/>
  <c r="L34" i="12"/>
  <c r="K34" i="12"/>
  <c r="L35" i="12"/>
  <c r="K35" i="12"/>
  <c r="L18" i="12"/>
  <c r="K18" i="12"/>
  <c r="L8" i="12"/>
  <c r="K8" i="12"/>
  <c r="L16" i="12"/>
  <c r="K16" i="12"/>
  <c r="L42" i="12"/>
  <c r="K42" i="12"/>
  <c r="L9" i="12"/>
  <c r="K9" i="12"/>
  <c r="L25" i="12"/>
  <c r="K25" i="12"/>
  <c r="L36" i="12"/>
  <c r="K36" i="12"/>
  <c r="L10" i="12"/>
  <c r="K10" i="12"/>
  <c r="L17" i="12"/>
  <c r="K17" i="12"/>
  <c r="L45" i="12"/>
  <c r="K45" i="12"/>
  <c r="L6" i="12"/>
  <c r="K6" i="12"/>
  <c r="L24" i="12"/>
  <c r="K24" i="12"/>
  <c r="L40" i="12"/>
  <c r="K40" i="12"/>
  <c r="L32" i="12"/>
  <c r="K32" i="12"/>
  <c r="L39" i="12"/>
  <c r="K39" i="12"/>
  <c r="L15" i="12"/>
  <c r="K15" i="12"/>
  <c r="L29" i="12"/>
  <c r="K29" i="12"/>
  <c r="L46" i="12"/>
  <c r="K46" i="12"/>
  <c r="L41" i="12"/>
  <c r="K41" i="12"/>
  <c r="L26" i="12"/>
  <c r="K26" i="12"/>
  <c r="L33" i="12"/>
  <c r="K33" i="12"/>
  <c r="L21" i="12"/>
  <c r="K21" i="12"/>
  <c r="L47" i="12"/>
  <c r="K47" i="12"/>
  <c r="L22" i="12"/>
  <c r="K22" i="12"/>
  <c r="L30" i="12"/>
  <c r="K30" i="12"/>
  <c r="L20" i="12"/>
  <c r="K20" i="12"/>
  <c r="L44" i="12"/>
  <c r="K44" i="12"/>
  <c r="L48" i="12"/>
  <c r="K48" i="12"/>
  <c r="L19" i="12"/>
  <c r="K19" i="12"/>
  <c r="L28" i="12"/>
  <c r="K28" i="12"/>
  <c r="L7" i="12"/>
  <c r="K7" i="12"/>
  <c r="L23" i="12"/>
  <c r="K23" i="12"/>
  <c r="L12" i="12"/>
  <c r="K12" i="12"/>
  <c r="L14" i="12"/>
  <c r="K14" i="12"/>
  <c r="L37" i="12"/>
  <c r="K37" i="12"/>
  <c r="L11" i="12"/>
  <c r="K11" i="12"/>
  <c r="L5" i="12"/>
  <c r="K5" i="12"/>
  <c r="L13" i="12"/>
  <c r="K13" i="12"/>
  <c r="L43" i="12"/>
  <c r="K43" i="12"/>
  <c r="L49" i="12"/>
  <c r="K49" i="12"/>
  <c r="L38" i="12"/>
  <c r="K38" i="12"/>
  <c r="N4" i="12"/>
  <c r="L4" i="12"/>
  <c r="N3" i="12"/>
  <c r="F3" i="12"/>
  <c r="A1" i="12"/>
  <c r="K4" i="12"/>
  <c r="A28" i="38"/>
  <c r="A26" i="38"/>
  <c r="A20" i="38"/>
  <c r="A16" i="38"/>
  <c r="A14" i="38"/>
  <c r="A12" i="38"/>
  <c r="A8" i="38"/>
  <c r="A6" i="38"/>
  <c r="A4" i="38"/>
  <c r="A29" i="37"/>
  <c r="A27" i="37"/>
  <c r="A25" i="37"/>
  <c r="A20" i="37"/>
  <c r="A16" i="37"/>
  <c r="A14" i="37"/>
  <c r="A12" i="37"/>
  <c r="A8" i="37"/>
  <c r="A6" i="37"/>
  <c r="A4" i="37"/>
  <c r="A47" i="6"/>
  <c r="A43" i="6"/>
  <c r="A42" i="6"/>
  <c r="A41" i="6"/>
  <c r="A40" i="6"/>
  <c r="A39" i="6"/>
  <c r="A38" i="6"/>
  <c r="A36" i="6"/>
  <c r="A31" i="6"/>
  <c r="A30" i="6"/>
  <c r="A29" i="6"/>
  <c r="A28" i="6"/>
  <c r="A27" i="6"/>
  <c r="A26" i="6"/>
  <c r="A25" i="6"/>
  <c r="A24" i="6"/>
  <c r="A23" i="6"/>
  <c r="A22" i="6"/>
  <c r="A20" i="6"/>
  <c r="A16" i="6"/>
  <c r="A14" i="6"/>
  <c r="A12" i="6"/>
  <c r="A8" i="6"/>
  <c r="A6" i="6"/>
  <c r="A4" i="6"/>
  <c r="A47" i="4"/>
  <c r="A43" i="4"/>
  <c r="A42" i="4"/>
  <c r="A41" i="4"/>
  <c r="A40" i="4"/>
  <c r="A39" i="4"/>
  <c r="A38" i="4"/>
  <c r="A36" i="4"/>
  <c r="A31" i="4"/>
  <c r="A30" i="4"/>
  <c r="A29" i="4"/>
  <c r="A27" i="4"/>
  <c r="A26" i="4"/>
  <c r="A25" i="4"/>
  <c r="A24" i="4"/>
  <c r="A23" i="4"/>
  <c r="A22" i="4"/>
  <c r="A20" i="4"/>
  <c r="A16" i="4"/>
  <c r="A14" i="4"/>
  <c r="A12" i="4"/>
  <c r="A8" i="4"/>
  <c r="A6" i="4"/>
  <c r="A4" i="4"/>
  <c r="H21" i="24"/>
  <c r="G21" i="24"/>
  <c r="F21" i="24"/>
  <c r="E21" i="24"/>
  <c r="H20" i="24"/>
  <c r="G20" i="24"/>
  <c r="F20" i="24"/>
  <c r="H19" i="24"/>
  <c r="G19" i="24"/>
  <c r="F19" i="24"/>
  <c r="E15" i="24"/>
  <c r="E14" i="24"/>
  <c r="E20" i="24"/>
  <c r="E13" i="24"/>
  <c r="E19" i="24"/>
  <c r="H18" i="24"/>
  <c r="G18" i="24"/>
  <c r="F18" i="24"/>
  <c r="H12" i="24"/>
  <c r="G12" i="24"/>
  <c r="F12" i="24"/>
  <c r="B18" i="39"/>
  <c r="B17" i="39"/>
  <c r="B16" i="39"/>
  <c r="B15" i="39"/>
  <c r="B14" i="39"/>
  <c r="B13" i="39"/>
  <c r="B12" i="39"/>
  <c r="B11" i="39"/>
  <c r="B10" i="39"/>
  <c r="B9" i="39"/>
  <c r="B8" i="39"/>
  <c r="B7" i="39"/>
  <c r="B6" i="39"/>
  <c r="B5" i="39"/>
  <c r="C18" i="39"/>
  <c r="C15" i="39"/>
  <c r="C16" i="39"/>
  <c r="C17" i="39"/>
  <c r="C14" i="39"/>
  <c r="B4" i="39"/>
  <c r="C4" i="39"/>
  <c r="C5" i="39"/>
  <c r="C6" i="39"/>
  <c r="C7" i="39"/>
  <c r="C8" i="39"/>
  <c r="C9" i="39"/>
  <c r="C10" i="39"/>
  <c r="C11" i="39"/>
  <c r="C12" i="39"/>
  <c r="C13" i="39"/>
  <c r="B18" i="1"/>
  <c r="C18" i="1"/>
  <c r="B17" i="1"/>
  <c r="C17" i="1"/>
  <c r="B16" i="1"/>
  <c r="C16" i="1"/>
  <c r="B15" i="1"/>
  <c r="B14" i="1"/>
  <c r="B13" i="1"/>
  <c r="B12" i="1"/>
  <c r="B11" i="1"/>
  <c r="B10" i="1"/>
  <c r="B9" i="1"/>
  <c r="B8" i="1"/>
  <c r="B7" i="1"/>
  <c r="B6" i="1"/>
  <c r="B5" i="1"/>
  <c r="B4" i="1"/>
  <c r="C4" i="1"/>
  <c r="F150" i="40"/>
  <c r="E150" i="40"/>
  <c r="D150" i="40"/>
  <c r="L150" i="40"/>
  <c r="F149" i="40"/>
  <c r="E149" i="40"/>
  <c r="D149" i="40"/>
  <c r="L149" i="40"/>
  <c r="F148" i="40"/>
  <c r="E148" i="40"/>
  <c r="D148" i="40"/>
  <c r="L148" i="40"/>
  <c r="F147" i="40"/>
  <c r="E147" i="40"/>
  <c r="D147" i="40"/>
  <c r="L147" i="40"/>
  <c r="F146" i="40"/>
  <c r="E146" i="40"/>
  <c r="D146" i="40"/>
  <c r="L146" i="40"/>
  <c r="F145" i="40"/>
  <c r="E145" i="40"/>
  <c r="D145" i="40"/>
  <c r="L145" i="40"/>
  <c r="F144" i="40"/>
  <c r="E144" i="40"/>
  <c r="D144" i="40"/>
  <c r="L144" i="40"/>
  <c r="F143" i="40"/>
  <c r="E143" i="40"/>
  <c r="D143" i="40"/>
  <c r="L143" i="40"/>
  <c r="F142" i="40"/>
  <c r="E142" i="40"/>
  <c r="D142" i="40"/>
  <c r="L142" i="40"/>
  <c r="F141" i="40"/>
  <c r="E141" i="40"/>
  <c r="D141" i="40"/>
  <c r="L141" i="40"/>
  <c r="F140" i="40"/>
  <c r="E140" i="40"/>
  <c r="D140" i="40"/>
  <c r="L140" i="40"/>
  <c r="F139" i="40"/>
  <c r="E139" i="40"/>
  <c r="D139" i="40"/>
  <c r="L139" i="40"/>
  <c r="F138" i="40"/>
  <c r="E138" i="40"/>
  <c r="D138" i="40"/>
  <c r="L138" i="40"/>
  <c r="F137" i="40"/>
  <c r="E137" i="40"/>
  <c r="D137" i="40"/>
  <c r="L137" i="40"/>
  <c r="F136" i="40"/>
  <c r="E136" i="40"/>
  <c r="D136" i="40"/>
  <c r="L136" i="40"/>
  <c r="F135" i="40"/>
  <c r="E135" i="40"/>
  <c r="D135" i="40"/>
  <c r="L135" i="40"/>
  <c r="F134" i="40"/>
  <c r="E134" i="40"/>
  <c r="D134" i="40"/>
  <c r="L134" i="40"/>
  <c r="F133" i="40"/>
  <c r="E133" i="40"/>
  <c r="D133" i="40"/>
  <c r="L133" i="40"/>
  <c r="F132" i="40"/>
  <c r="E132" i="40"/>
  <c r="D132" i="40"/>
  <c r="L132" i="40"/>
  <c r="F131" i="40"/>
  <c r="E131" i="40"/>
  <c r="D131" i="40"/>
  <c r="L131" i="40"/>
  <c r="F130" i="40"/>
  <c r="E130" i="40"/>
  <c r="D130" i="40"/>
  <c r="L130" i="40"/>
  <c r="F129" i="40"/>
  <c r="E129" i="40"/>
  <c r="D129" i="40"/>
  <c r="L129" i="40"/>
  <c r="F128" i="40"/>
  <c r="E128" i="40"/>
  <c r="D128" i="40"/>
  <c r="L128" i="40"/>
  <c r="F127" i="40"/>
  <c r="E127" i="40"/>
  <c r="D127" i="40"/>
  <c r="L127" i="40"/>
  <c r="F126" i="40"/>
  <c r="E126" i="40"/>
  <c r="D126" i="40"/>
  <c r="L126" i="40"/>
  <c r="F125" i="40"/>
  <c r="E125" i="40"/>
  <c r="D125" i="40"/>
  <c r="L125" i="40"/>
  <c r="F124" i="40"/>
  <c r="E124" i="40"/>
  <c r="D124" i="40"/>
  <c r="L124" i="40"/>
  <c r="F123" i="40"/>
  <c r="E123" i="40"/>
  <c r="D123" i="40"/>
  <c r="L123" i="40"/>
  <c r="F122" i="40"/>
  <c r="E122" i="40"/>
  <c r="D122" i="40"/>
  <c r="L122" i="40"/>
  <c r="F121" i="40"/>
  <c r="E121" i="40"/>
  <c r="D121" i="40"/>
  <c r="L121" i="40"/>
  <c r="F120" i="40"/>
  <c r="E120" i="40"/>
  <c r="D120" i="40"/>
  <c r="L120" i="40"/>
  <c r="F119" i="40"/>
  <c r="E119" i="40"/>
  <c r="D119" i="40"/>
  <c r="L119" i="40"/>
  <c r="F118" i="40"/>
  <c r="E118" i="40"/>
  <c r="D118" i="40"/>
  <c r="L118" i="40"/>
  <c r="F117" i="40"/>
  <c r="E117" i="40"/>
  <c r="D117" i="40"/>
  <c r="L117" i="40"/>
  <c r="F116" i="40"/>
  <c r="E116" i="40"/>
  <c r="D116" i="40"/>
  <c r="L116" i="40"/>
  <c r="F115" i="40"/>
  <c r="E115" i="40"/>
  <c r="D115" i="40"/>
  <c r="L115" i="40"/>
  <c r="F114" i="40"/>
  <c r="E114" i="40"/>
  <c r="D114" i="40"/>
  <c r="L114" i="40"/>
  <c r="F113" i="40"/>
  <c r="E113" i="40"/>
  <c r="D113" i="40"/>
  <c r="L113" i="40"/>
  <c r="F112" i="40"/>
  <c r="E112" i="40"/>
  <c r="D112" i="40"/>
  <c r="L112" i="40"/>
  <c r="F111" i="40"/>
  <c r="E111" i="40"/>
  <c r="D111" i="40"/>
  <c r="L111" i="40"/>
  <c r="K149" i="40"/>
  <c r="I125" i="40"/>
  <c r="J127" i="40"/>
  <c r="J134" i="40"/>
  <c r="J118" i="40"/>
  <c r="K122" i="40"/>
  <c r="I124" i="40"/>
  <c r="J147" i="40"/>
  <c r="K119" i="40"/>
  <c r="I143" i="40"/>
  <c r="K123" i="40"/>
  <c r="J120" i="40"/>
  <c r="I118" i="40"/>
  <c r="J142" i="40"/>
  <c r="I133" i="40"/>
  <c r="J144" i="40"/>
  <c r="K121" i="40"/>
  <c r="K140" i="40"/>
  <c r="K147" i="40"/>
  <c r="J121" i="40"/>
  <c r="J126" i="40"/>
  <c r="K124" i="40"/>
  <c r="I121" i="40"/>
  <c r="K128" i="40"/>
  <c r="K113" i="40"/>
  <c r="J133" i="40"/>
  <c r="I116" i="40"/>
  <c r="K116" i="40"/>
  <c r="J138" i="40"/>
  <c r="I126" i="40"/>
  <c r="K133" i="40"/>
  <c r="I115" i="40"/>
  <c r="I135" i="40"/>
  <c r="I139" i="40"/>
  <c r="I147" i="40"/>
  <c r="J116" i="40"/>
  <c r="J113" i="40"/>
  <c r="I132" i="40"/>
  <c r="I138" i="40"/>
  <c r="I144" i="40"/>
  <c r="K125" i="40"/>
  <c r="K114" i="40"/>
  <c r="I140" i="40"/>
  <c r="I131" i="40"/>
  <c r="K131" i="40"/>
  <c r="I136" i="40"/>
  <c r="I123" i="40"/>
  <c r="J132" i="40"/>
  <c r="J135" i="40"/>
  <c r="K126" i="40"/>
  <c r="J129" i="40"/>
  <c r="J112" i="40"/>
  <c r="I148" i="40"/>
  <c r="J136" i="40"/>
  <c r="K148" i="40"/>
  <c r="J125" i="40"/>
  <c r="J137" i="40"/>
  <c r="K111" i="40"/>
  <c r="J123" i="40"/>
  <c r="J150" i="40"/>
  <c r="J128" i="40"/>
  <c r="K132" i="40"/>
  <c r="I145" i="40"/>
  <c r="J111" i="40"/>
  <c r="K141" i="40"/>
  <c r="K118" i="40"/>
  <c r="I137" i="40"/>
  <c r="J114" i="40"/>
  <c r="K134" i="40"/>
  <c r="K138" i="40"/>
  <c r="K139" i="40"/>
  <c r="K127" i="40"/>
  <c r="I130" i="40"/>
  <c r="J143" i="40"/>
  <c r="I117" i="40"/>
  <c r="K135" i="40"/>
  <c r="I150" i="40"/>
  <c r="I119" i="40"/>
  <c r="J146" i="40"/>
  <c r="I114" i="40"/>
  <c r="J145" i="40"/>
  <c r="I142" i="40"/>
  <c r="K120" i="40"/>
  <c r="J115" i="40"/>
  <c r="K137" i="40"/>
  <c r="J122" i="40"/>
  <c r="I134" i="40"/>
  <c r="J149" i="40"/>
  <c r="J124" i="40"/>
  <c r="J131" i="40"/>
  <c r="I120" i="40"/>
  <c r="J139" i="40"/>
  <c r="J119" i="40"/>
  <c r="K117" i="40"/>
  <c r="I112" i="40"/>
  <c r="I122" i="40"/>
  <c r="K129" i="40"/>
  <c r="J117" i="40"/>
  <c r="K144" i="40"/>
  <c r="J130" i="40"/>
  <c r="I129" i="40"/>
  <c r="J140" i="40"/>
  <c r="K112" i="40"/>
  <c r="I149" i="40"/>
  <c r="K143" i="40"/>
  <c r="I146" i="40"/>
  <c r="K115" i="40"/>
  <c r="I127" i="40"/>
  <c r="K142" i="40"/>
  <c r="I113" i="40"/>
  <c r="J141" i="40"/>
  <c r="K145" i="40"/>
  <c r="I111" i="40"/>
  <c r="K146" i="40"/>
  <c r="K130" i="40"/>
  <c r="J148" i="40"/>
  <c r="K150" i="40"/>
  <c r="I141" i="40"/>
  <c r="K136" i="40"/>
  <c r="I128" i="40"/>
  <c r="C14" i="1"/>
  <c r="C9" i="1"/>
  <c r="C10" i="1"/>
  <c r="C11" i="1"/>
  <c r="C12" i="1"/>
  <c r="C13" i="1"/>
  <c r="C5" i="1"/>
  <c r="C6" i="1"/>
  <c r="C7" i="1"/>
  <c r="C8" i="1"/>
  <c r="C15" i="1"/>
  <c r="G119" i="40"/>
  <c r="G127" i="40"/>
  <c r="G135" i="40"/>
  <c r="G143" i="40"/>
  <c r="G150" i="40"/>
  <c r="G112" i="40"/>
  <c r="G120" i="40"/>
  <c r="G128" i="40"/>
  <c r="G136" i="40"/>
  <c r="G144" i="40"/>
  <c r="G111" i="40"/>
  <c r="G121" i="40"/>
  <c r="G129" i="40"/>
  <c r="G137" i="40"/>
  <c r="G145" i="40"/>
  <c r="G134" i="40"/>
  <c r="G122" i="40"/>
  <c r="G130" i="40"/>
  <c r="G138" i="40"/>
  <c r="G146" i="40"/>
  <c r="G126" i="40"/>
  <c r="G142" i="40"/>
  <c r="G123" i="40"/>
  <c r="G131" i="40"/>
  <c r="G139" i="40"/>
  <c r="G147" i="40"/>
  <c r="G118" i="40"/>
  <c r="G113" i="40"/>
  <c r="G114" i="40"/>
  <c r="G115" i="40"/>
  <c r="G116" i="40"/>
  <c r="G124" i="40"/>
  <c r="G132" i="40"/>
  <c r="G140" i="40"/>
  <c r="G148" i="40"/>
  <c r="G117" i="40"/>
  <c r="G125" i="40"/>
  <c r="G133" i="40"/>
  <c r="G141" i="40"/>
  <c r="G149" i="40"/>
  <c r="F110" i="40"/>
  <c r="E110" i="40"/>
  <c r="D110" i="40"/>
  <c r="L110" i="40"/>
  <c r="F109" i="40"/>
  <c r="E109" i="40"/>
  <c r="D109" i="40"/>
  <c r="L109" i="40"/>
  <c r="F108" i="40"/>
  <c r="E108" i="40"/>
  <c r="D108" i="40"/>
  <c r="L108" i="40"/>
  <c r="F107" i="40"/>
  <c r="E107" i="40"/>
  <c r="D107" i="40"/>
  <c r="L107" i="40"/>
  <c r="F106" i="40"/>
  <c r="E106" i="40"/>
  <c r="D106" i="40"/>
  <c r="L106" i="40"/>
  <c r="F105" i="40"/>
  <c r="E105" i="40"/>
  <c r="D105" i="40"/>
  <c r="L105" i="40"/>
  <c r="F104" i="40"/>
  <c r="E104" i="40"/>
  <c r="D104" i="40"/>
  <c r="L104" i="40"/>
  <c r="F103" i="40"/>
  <c r="E103" i="40"/>
  <c r="D103" i="40"/>
  <c r="L103" i="40"/>
  <c r="F102" i="40"/>
  <c r="E102" i="40"/>
  <c r="D102" i="40"/>
  <c r="L102" i="40"/>
  <c r="F101" i="40"/>
  <c r="E101" i="40"/>
  <c r="D101" i="40"/>
  <c r="L101" i="40"/>
  <c r="F100" i="40"/>
  <c r="E100" i="40"/>
  <c r="D100" i="40"/>
  <c r="L100" i="40"/>
  <c r="F99" i="40"/>
  <c r="E99" i="40"/>
  <c r="D99" i="40"/>
  <c r="L99" i="40"/>
  <c r="F98" i="40"/>
  <c r="E98" i="40"/>
  <c r="D98" i="40"/>
  <c r="L98" i="40"/>
  <c r="F97" i="40"/>
  <c r="E97" i="40"/>
  <c r="D97" i="40"/>
  <c r="L97" i="40"/>
  <c r="F96" i="40"/>
  <c r="E96" i="40"/>
  <c r="D96" i="40"/>
  <c r="L96" i="40"/>
  <c r="F95" i="40"/>
  <c r="E95" i="40"/>
  <c r="D95" i="40"/>
  <c r="L95" i="40"/>
  <c r="F94" i="40"/>
  <c r="E94" i="40"/>
  <c r="D94" i="40"/>
  <c r="L94" i="40"/>
  <c r="F93" i="40"/>
  <c r="E93" i="40"/>
  <c r="D93" i="40"/>
  <c r="L93" i="40"/>
  <c r="F92" i="40"/>
  <c r="E92" i="40"/>
  <c r="D92" i="40"/>
  <c r="L92" i="40"/>
  <c r="F91" i="40"/>
  <c r="E91" i="40"/>
  <c r="D91" i="40"/>
  <c r="L91" i="40"/>
  <c r="F90" i="40"/>
  <c r="E90" i="40"/>
  <c r="D90" i="40"/>
  <c r="L90" i="40"/>
  <c r="F89" i="40"/>
  <c r="E89" i="40"/>
  <c r="D89" i="40"/>
  <c r="L89" i="40"/>
  <c r="F88" i="40"/>
  <c r="E88" i="40"/>
  <c r="D88" i="40"/>
  <c r="L88" i="40"/>
  <c r="F87" i="40"/>
  <c r="E87" i="40"/>
  <c r="D87" i="40"/>
  <c r="L87" i="40"/>
  <c r="F86" i="40"/>
  <c r="E86" i="40"/>
  <c r="D86" i="40"/>
  <c r="L86" i="40"/>
  <c r="F85" i="40"/>
  <c r="E85" i="40"/>
  <c r="D85" i="40"/>
  <c r="L85" i="40"/>
  <c r="F84" i="40"/>
  <c r="E84" i="40"/>
  <c r="D84" i="40"/>
  <c r="L84" i="40"/>
  <c r="F83" i="40"/>
  <c r="E83" i="40"/>
  <c r="D83" i="40"/>
  <c r="L83" i="40"/>
  <c r="F82" i="40"/>
  <c r="E82" i="40"/>
  <c r="D82" i="40"/>
  <c r="L82" i="40"/>
  <c r="F81" i="40"/>
  <c r="E81" i="40"/>
  <c r="D81" i="40"/>
  <c r="L81" i="40"/>
  <c r="F80" i="40"/>
  <c r="E80" i="40"/>
  <c r="D80" i="40"/>
  <c r="L80" i="40"/>
  <c r="F79" i="40"/>
  <c r="E79" i="40"/>
  <c r="D79" i="40"/>
  <c r="L79" i="40"/>
  <c r="F78" i="40"/>
  <c r="E78" i="40"/>
  <c r="D78" i="40"/>
  <c r="L78" i="40"/>
  <c r="F77" i="40"/>
  <c r="E77" i="40"/>
  <c r="D77" i="40"/>
  <c r="L77" i="40"/>
  <c r="F76" i="40"/>
  <c r="E76" i="40"/>
  <c r="D76" i="40"/>
  <c r="L76" i="40"/>
  <c r="F75" i="40"/>
  <c r="E75" i="40"/>
  <c r="D75" i="40"/>
  <c r="L75" i="40"/>
  <c r="F74" i="40"/>
  <c r="E74" i="40"/>
  <c r="D74" i="40"/>
  <c r="L74" i="40"/>
  <c r="F73" i="40"/>
  <c r="E73" i="40"/>
  <c r="D73" i="40"/>
  <c r="L73" i="40"/>
  <c r="F72" i="40"/>
  <c r="E72" i="40"/>
  <c r="D72" i="40"/>
  <c r="L72" i="40"/>
  <c r="F71" i="40"/>
  <c r="E71" i="40"/>
  <c r="D71" i="40"/>
  <c r="L71" i="40"/>
  <c r="F70" i="40"/>
  <c r="E70" i="40"/>
  <c r="D70" i="40"/>
  <c r="L70" i="40"/>
  <c r="F69" i="40"/>
  <c r="E69" i="40"/>
  <c r="D69" i="40"/>
  <c r="L69" i="40"/>
  <c r="F68" i="40"/>
  <c r="E68" i="40"/>
  <c r="D68" i="40"/>
  <c r="L68" i="40"/>
  <c r="F67" i="40"/>
  <c r="E67" i="40"/>
  <c r="D67" i="40"/>
  <c r="L67" i="40"/>
  <c r="F66" i="40"/>
  <c r="E66" i="40"/>
  <c r="D66" i="40"/>
  <c r="L66" i="40"/>
  <c r="F65" i="40"/>
  <c r="E65" i="40"/>
  <c r="D65" i="40"/>
  <c r="L65" i="40"/>
  <c r="F64" i="40"/>
  <c r="E64" i="40"/>
  <c r="D64" i="40"/>
  <c r="L64" i="40"/>
  <c r="F63" i="40"/>
  <c r="E63" i="40"/>
  <c r="D63" i="40"/>
  <c r="L63" i="40"/>
  <c r="F62" i="40"/>
  <c r="E62" i="40"/>
  <c r="D62" i="40"/>
  <c r="L62" i="40"/>
  <c r="F61" i="40"/>
  <c r="E61" i="40"/>
  <c r="D61" i="40"/>
  <c r="L61" i="40"/>
  <c r="F60" i="40"/>
  <c r="E60" i="40"/>
  <c r="D60" i="40"/>
  <c r="L60" i="40"/>
  <c r="F59" i="40"/>
  <c r="E59" i="40"/>
  <c r="D59" i="40"/>
  <c r="L59" i="40"/>
  <c r="F58" i="40"/>
  <c r="E58" i="40"/>
  <c r="D58" i="40"/>
  <c r="L58" i="40"/>
  <c r="F57" i="40"/>
  <c r="E57" i="40"/>
  <c r="D57" i="40"/>
  <c r="L57" i="40"/>
  <c r="F56" i="40"/>
  <c r="E56" i="40"/>
  <c r="D56" i="40"/>
  <c r="L56" i="40"/>
  <c r="F55" i="40"/>
  <c r="E55" i="40"/>
  <c r="D55" i="40"/>
  <c r="L55" i="40"/>
  <c r="F54" i="40"/>
  <c r="E54" i="40"/>
  <c r="D54" i="40"/>
  <c r="L54" i="40"/>
  <c r="F53" i="40"/>
  <c r="E53" i="40"/>
  <c r="D53" i="40"/>
  <c r="L53" i="40"/>
  <c r="F52" i="40"/>
  <c r="E52" i="40"/>
  <c r="D52" i="40"/>
  <c r="L52" i="40"/>
  <c r="F51" i="40"/>
  <c r="E51" i="40"/>
  <c r="D51" i="40"/>
  <c r="L51" i="40"/>
  <c r="F50" i="40"/>
  <c r="E50" i="40"/>
  <c r="D50" i="40"/>
  <c r="L50" i="40"/>
  <c r="F49" i="40"/>
  <c r="E49" i="40"/>
  <c r="D49" i="40"/>
  <c r="L49" i="40"/>
  <c r="F48" i="40"/>
  <c r="E48" i="40"/>
  <c r="D48" i="40"/>
  <c r="L48" i="40"/>
  <c r="F47" i="40"/>
  <c r="E47" i="40"/>
  <c r="D47" i="40"/>
  <c r="L47" i="40"/>
  <c r="F46" i="40"/>
  <c r="E46" i="40"/>
  <c r="D46" i="40"/>
  <c r="L46" i="40"/>
  <c r="F45" i="40"/>
  <c r="E45" i="40"/>
  <c r="D45" i="40"/>
  <c r="L45" i="40"/>
  <c r="F44" i="40"/>
  <c r="E44" i="40"/>
  <c r="D44" i="40"/>
  <c r="L44" i="40"/>
  <c r="F43" i="40"/>
  <c r="E43" i="40"/>
  <c r="D43" i="40"/>
  <c r="L43" i="40"/>
  <c r="F42" i="40"/>
  <c r="E42" i="40"/>
  <c r="D42" i="40"/>
  <c r="L42" i="40"/>
  <c r="F41" i="40"/>
  <c r="E41" i="40"/>
  <c r="D41" i="40"/>
  <c r="L41" i="40"/>
  <c r="F40" i="40"/>
  <c r="E40" i="40"/>
  <c r="D40" i="40"/>
  <c r="L40" i="40"/>
  <c r="F39" i="40"/>
  <c r="E39" i="40"/>
  <c r="D39" i="40"/>
  <c r="L39" i="40"/>
  <c r="F38" i="40"/>
  <c r="E38" i="40"/>
  <c r="D38" i="40"/>
  <c r="L38" i="40"/>
  <c r="F37" i="40"/>
  <c r="E37" i="40"/>
  <c r="D37" i="40"/>
  <c r="L37" i="40"/>
  <c r="F36" i="40"/>
  <c r="E36" i="40"/>
  <c r="D36" i="40"/>
  <c r="L36" i="40"/>
  <c r="F35" i="40"/>
  <c r="E35" i="40"/>
  <c r="D35" i="40"/>
  <c r="L35" i="40"/>
  <c r="F34" i="40"/>
  <c r="E34" i="40"/>
  <c r="D34" i="40"/>
  <c r="L34" i="40"/>
  <c r="F33" i="40"/>
  <c r="E33" i="40"/>
  <c r="D33" i="40"/>
  <c r="L33" i="40"/>
  <c r="F32" i="40"/>
  <c r="E32" i="40"/>
  <c r="D32" i="40"/>
  <c r="L32" i="40"/>
  <c r="F31" i="40"/>
  <c r="E31" i="40"/>
  <c r="D31" i="40"/>
  <c r="L31" i="40"/>
  <c r="F30" i="40"/>
  <c r="E30" i="40"/>
  <c r="D30" i="40"/>
  <c r="L30" i="40"/>
  <c r="F29" i="40"/>
  <c r="E29" i="40"/>
  <c r="D29" i="40"/>
  <c r="L29" i="40"/>
  <c r="F28" i="40"/>
  <c r="E28" i="40"/>
  <c r="D28" i="40"/>
  <c r="L28" i="40"/>
  <c r="F27" i="40"/>
  <c r="E27" i="40"/>
  <c r="D27" i="40"/>
  <c r="L27" i="40"/>
  <c r="F26" i="40"/>
  <c r="E26" i="40"/>
  <c r="D26" i="40"/>
  <c r="L26" i="40"/>
  <c r="F25" i="40"/>
  <c r="E25" i="40"/>
  <c r="D25" i="40"/>
  <c r="L25" i="40"/>
  <c r="F24" i="40"/>
  <c r="E24" i="40"/>
  <c r="D24" i="40"/>
  <c r="L24" i="40"/>
  <c r="F23" i="40"/>
  <c r="E23" i="40"/>
  <c r="D23" i="40"/>
  <c r="L23" i="40"/>
  <c r="F22" i="40"/>
  <c r="E22" i="40"/>
  <c r="D22" i="40"/>
  <c r="L22" i="40"/>
  <c r="F21" i="40"/>
  <c r="E21" i="40"/>
  <c r="D21" i="40"/>
  <c r="L21" i="40"/>
  <c r="F20" i="40"/>
  <c r="E20" i="40"/>
  <c r="D20" i="40"/>
  <c r="L20" i="40"/>
  <c r="F19" i="40"/>
  <c r="E19" i="40"/>
  <c r="D19" i="40"/>
  <c r="L19" i="40"/>
  <c r="F18" i="40"/>
  <c r="E18" i="40"/>
  <c r="D18" i="40"/>
  <c r="L18" i="40"/>
  <c r="F17" i="40"/>
  <c r="E17" i="40"/>
  <c r="D17" i="40"/>
  <c r="L17" i="40"/>
  <c r="F16" i="40"/>
  <c r="E16" i="40"/>
  <c r="D16" i="40"/>
  <c r="L16" i="40"/>
  <c r="F15" i="40"/>
  <c r="E15" i="40"/>
  <c r="D15" i="40"/>
  <c r="L15" i="40"/>
  <c r="F14" i="40"/>
  <c r="E14" i="40"/>
  <c r="D14" i="40"/>
  <c r="L14" i="40"/>
  <c r="F13" i="40"/>
  <c r="E13" i="40"/>
  <c r="D13" i="40"/>
  <c r="L13" i="40"/>
  <c r="F12" i="40"/>
  <c r="E12" i="40"/>
  <c r="D12" i="40"/>
  <c r="L12" i="40"/>
  <c r="F11" i="40"/>
  <c r="E11" i="40"/>
  <c r="D11" i="40"/>
  <c r="L11" i="40"/>
  <c r="F10" i="40"/>
  <c r="E10" i="40"/>
  <c r="D10" i="40"/>
  <c r="L10" i="40"/>
  <c r="F9" i="40"/>
  <c r="E9" i="40"/>
  <c r="D9" i="40"/>
  <c r="L9" i="40"/>
  <c r="F8" i="40"/>
  <c r="E8" i="40"/>
  <c r="D8" i="40"/>
  <c r="L8" i="40"/>
  <c r="F7" i="40"/>
  <c r="E7" i="40"/>
  <c r="D7" i="40"/>
  <c r="F6" i="40"/>
  <c r="E6" i="40"/>
  <c r="D6" i="40"/>
  <c r="F5" i="40"/>
  <c r="E5" i="40"/>
  <c r="D5" i="40"/>
  <c r="U105" i="46"/>
  <c r="T105" i="46"/>
  <c r="P105" i="46"/>
  <c r="O105" i="46"/>
  <c r="M105" i="46"/>
  <c r="H105" i="46"/>
  <c r="U104" i="46"/>
  <c r="T104" i="46"/>
  <c r="P104" i="46"/>
  <c r="O104" i="46"/>
  <c r="M104" i="46"/>
  <c r="H104" i="46"/>
  <c r="U103" i="46"/>
  <c r="T103" i="46"/>
  <c r="P103" i="46"/>
  <c r="O103" i="46"/>
  <c r="M103" i="46"/>
  <c r="H103" i="46"/>
  <c r="U102" i="46"/>
  <c r="T102" i="46"/>
  <c r="P102" i="46"/>
  <c r="O102" i="46"/>
  <c r="M102" i="46"/>
  <c r="H102" i="46"/>
  <c r="U101" i="46"/>
  <c r="T101" i="46"/>
  <c r="P101" i="46"/>
  <c r="O101" i="46"/>
  <c r="M101" i="46"/>
  <c r="H101" i="46"/>
  <c r="U100" i="46"/>
  <c r="T100" i="46"/>
  <c r="P100" i="46"/>
  <c r="O100" i="46"/>
  <c r="M100" i="46"/>
  <c r="H100" i="46"/>
  <c r="P99" i="46"/>
  <c r="O99" i="46"/>
  <c r="R99" i="46"/>
  <c r="M99" i="46"/>
  <c r="H99" i="46"/>
  <c r="P98" i="46"/>
  <c r="O98" i="46"/>
  <c r="R98" i="46"/>
  <c r="M98" i="46"/>
  <c r="H98" i="46"/>
  <c r="P97" i="46"/>
  <c r="O97" i="46"/>
  <c r="R97" i="46"/>
  <c r="M97" i="46"/>
  <c r="H97" i="46"/>
  <c r="P96" i="46"/>
  <c r="O96" i="46"/>
  <c r="R96" i="46"/>
  <c r="M96" i="46"/>
  <c r="H96" i="46"/>
  <c r="P95" i="46"/>
  <c r="O95" i="46"/>
  <c r="R95" i="46"/>
  <c r="M95" i="46"/>
  <c r="H95" i="46"/>
  <c r="P94" i="46"/>
  <c r="O94" i="46"/>
  <c r="R94" i="46"/>
  <c r="M94" i="46"/>
  <c r="H94" i="46"/>
  <c r="P93" i="46"/>
  <c r="O93" i="46"/>
  <c r="R93" i="46"/>
  <c r="M93" i="46"/>
  <c r="H93" i="46"/>
  <c r="P92" i="46"/>
  <c r="O92" i="46"/>
  <c r="R92" i="46"/>
  <c r="M92" i="46"/>
  <c r="H92" i="46"/>
  <c r="P91" i="46"/>
  <c r="O91" i="46"/>
  <c r="R91" i="46"/>
  <c r="M91" i="46"/>
  <c r="H91" i="46"/>
  <c r="P90" i="46"/>
  <c r="O90" i="46"/>
  <c r="R90" i="46"/>
  <c r="M90" i="46"/>
  <c r="H90" i="46"/>
  <c r="P89" i="46"/>
  <c r="O89" i="46"/>
  <c r="R89" i="46"/>
  <c r="M89" i="46"/>
  <c r="H89" i="46"/>
  <c r="P88" i="46"/>
  <c r="O88" i="46"/>
  <c r="R88" i="46"/>
  <c r="M88" i="46"/>
  <c r="H88" i="46"/>
  <c r="P87" i="46"/>
  <c r="O87" i="46"/>
  <c r="R87" i="46"/>
  <c r="M87" i="46"/>
  <c r="H87" i="46"/>
  <c r="P86" i="46"/>
  <c r="O86" i="46"/>
  <c r="R86" i="46"/>
  <c r="M86" i="46"/>
  <c r="H86" i="46"/>
  <c r="P85" i="46"/>
  <c r="O85" i="46"/>
  <c r="R85" i="46"/>
  <c r="M85" i="46"/>
  <c r="H85" i="46"/>
  <c r="P84" i="46"/>
  <c r="O84" i="46"/>
  <c r="R84" i="46"/>
  <c r="M84" i="46"/>
  <c r="H84" i="46"/>
  <c r="P83" i="46"/>
  <c r="O83" i="46"/>
  <c r="R83" i="46"/>
  <c r="M83" i="46"/>
  <c r="H83" i="46"/>
  <c r="P82" i="46"/>
  <c r="O82" i="46"/>
  <c r="R82" i="46"/>
  <c r="M82" i="46"/>
  <c r="H82" i="46"/>
  <c r="P81" i="46"/>
  <c r="O81" i="46"/>
  <c r="R81" i="46"/>
  <c r="M81" i="46"/>
  <c r="H81" i="46"/>
  <c r="P80" i="46"/>
  <c r="O80" i="46"/>
  <c r="R80" i="46"/>
  <c r="M80" i="46"/>
  <c r="H80" i="46"/>
  <c r="P79" i="46"/>
  <c r="O79" i="46"/>
  <c r="R79" i="46"/>
  <c r="M79" i="46"/>
  <c r="H79" i="46"/>
  <c r="P78" i="46"/>
  <c r="O78" i="46"/>
  <c r="R78" i="46"/>
  <c r="M78" i="46"/>
  <c r="H78" i="46"/>
  <c r="P77" i="46"/>
  <c r="O77" i="46"/>
  <c r="R77" i="46"/>
  <c r="M77" i="46"/>
  <c r="H77" i="46"/>
  <c r="P76" i="46"/>
  <c r="O76" i="46"/>
  <c r="R76" i="46"/>
  <c r="M76" i="46"/>
  <c r="H76" i="46"/>
  <c r="P75" i="46"/>
  <c r="O75" i="46"/>
  <c r="R75" i="46"/>
  <c r="M75" i="46"/>
  <c r="H75" i="46"/>
  <c r="P74" i="46"/>
  <c r="O74" i="46"/>
  <c r="R74" i="46"/>
  <c r="M74" i="46"/>
  <c r="H74" i="46"/>
  <c r="P73" i="46"/>
  <c r="O73" i="46"/>
  <c r="R73" i="46"/>
  <c r="M73" i="46"/>
  <c r="H73" i="46"/>
  <c r="P72" i="46"/>
  <c r="O72" i="46"/>
  <c r="R72" i="46"/>
  <c r="M72" i="46"/>
  <c r="H72" i="46"/>
  <c r="P71" i="46"/>
  <c r="O71" i="46"/>
  <c r="R71" i="46"/>
  <c r="M71" i="46"/>
  <c r="H71" i="46"/>
  <c r="P70" i="46"/>
  <c r="O70" i="46"/>
  <c r="R70" i="46"/>
  <c r="M70" i="46"/>
  <c r="H70" i="46"/>
  <c r="P69" i="46"/>
  <c r="O69" i="46"/>
  <c r="R69" i="46"/>
  <c r="M69" i="46"/>
  <c r="H69" i="46"/>
  <c r="P68" i="46"/>
  <c r="O68" i="46"/>
  <c r="R68" i="46"/>
  <c r="M68" i="46"/>
  <c r="H68" i="46"/>
  <c r="P67" i="46"/>
  <c r="O67" i="46"/>
  <c r="R67" i="46"/>
  <c r="M67" i="46"/>
  <c r="H67" i="46"/>
  <c r="P66" i="46"/>
  <c r="O66" i="46"/>
  <c r="R66" i="46"/>
  <c r="M66" i="46"/>
  <c r="H66" i="46"/>
  <c r="P65" i="46"/>
  <c r="O65" i="46"/>
  <c r="R65" i="46"/>
  <c r="M65" i="46"/>
  <c r="H65" i="46"/>
  <c r="P64" i="46"/>
  <c r="O64" i="46"/>
  <c r="R64" i="46"/>
  <c r="M64" i="46"/>
  <c r="H64" i="46"/>
  <c r="P63" i="46"/>
  <c r="O63" i="46"/>
  <c r="R63" i="46"/>
  <c r="M63" i="46"/>
  <c r="H63" i="46"/>
  <c r="P62" i="46"/>
  <c r="O62" i="46"/>
  <c r="R62" i="46"/>
  <c r="M62" i="46"/>
  <c r="H62" i="46"/>
  <c r="P61" i="46"/>
  <c r="O61" i="46"/>
  <c r="R61" i="46"/>
  <c r="M61" i="46"/>
  <c r="H61" i="46"/>
  <c r="P60" i="46"/>
  <c r="O60" i="46"/>
  <c r="R60" i="46"/>
  <c r="M60" i="46"/>
  <c r="H60" i="46"/>
  <c r="P59" i="46"/>
  <c r="O59" i="46"/>
  <c r="R59" i="46"/>
  <c r="M59" i="46"/>
  <c r="H59" i="46"/>
  <c r="P58" i="46"/>
  <c r="O58" i="46"/>
  <c r="R58" i="46"/>
  <c r="M58" i="46"/>
  <c r="H58" i="46"/>
  <c r="P57" i="46"/>
  <c r="O57" i="46"/>
  <c r="R57" i="46"/>
  <c r="M57" i="46"/>
  <c r="H57" i="46"/>
  <c r="P56" i="46"/>
  <c r="O56" i="46"/>
  <c r="R56" i="46"/>
  <c r="M56" i="46"/>
  <c r="H56" i="46"/>
  <c r="P55" i="46"/>
  <c r="O55" i="46"/>
  <c r="R55" i="46"/>
  <c r="M55" i="46"/>
  <c r="H55" i="46"/>
  <c r="P54" i="46"/>
  <c r="O54" i="46"/>
  <c r="R54" i="46"/>
  <c r="M54" i="46"/>
  <c r="H54" i="46"/>
  <c r="P53" i="46"/>
  <c r="O53" i="46"/>
  <c r="R53" i="46"/>
  <c r="M53" i="46"/>
  <c r="H53" i="46"/>
  <c r="P52" i="46"/>
  <c r="O52" i="46"/>
  <c r="R52" i="46"/>
  <c r="M52" i="46"/>
  <c r="H52" i="46"/>
  <c r="P51" i="46"/>
  <c r="O51" i="46"/>
  <c r="R51" i="46"/>
  <c r="M51" i="46"/>
  <c r="H51" i="46"/>
  <c r="P50" i="46"/>
  <c r="O50" i="46"/>
  <c r="R50" i="46"/>
  <c r="M50" i="46"/>
  <c r="H50" i="46"/>
  <c r="P49" i="46"/>
  <c r="O49" i="46"/>
  <c r="R49" i="46"/>
  <c r="M49" i="46"/>
  <c r="H49" i="46"/>
  <c r="P48" i="46"/>
  <c r="O48" i="46"/>
  <c r="R48" i="46"/>
  <c r="M48" i="46"/>
  <c r="H48" i="46"/>
  <c r="P47" i="46"/>
  <c r="O47" i="46"/>
  <c r="R47" i="46"/>
  <c r="M47" i="46"/>
  <c r="H47" i="46"/>
  <c r="P46" i="46"/>
  <c r="O46" i="46"/>
  <c r="R46" i="46"/>
  <c r="M46" i="46"/>
  <c r="H46" i="46"/>
  <c r="P45" i="46"/>
  <c r="O45" i="46"/>
  <c r="R45" i="46"/>
  <c r="M45" i="46"/>
  <c r="H45" i="46"/>
  <c r="P44" i="46"/>
  <c r="O44" i="46"/>
  <c r="R44" i="46"/>
  <c r="M44" i="46"/>
  <c r="H44" i="46"/>
  <c r="P43" i="46"/>
  <c r="O43" i="46"/>
  <c r="R43" i="46"/>
  <c r="M43" i="46"/>
  <c r="H43" i="46"/>
  <c r="P42" i="46"/>
  <c r="O42" i="46"/>
  <c r="R42" i="46"/>
  <c r="M42" i="46"/>
  <c r="H42" i="46"/>
  <c r="P41" i="46"/>
  <c r="O41" i="46"/>
  <c r="R41" i="46"/>
  <c r="M41" i="46"/>
  <c r="H41" i="46"/>
  <c r="P40" i="46"/>
  <c r="O40" i="46"/>
  <c r="R40" i="46"/>
  <c r="M40" i="46"/>
  <c r="H40" i="46"/>
  <c r="P39" i="46"/>
  <c r="O39" i="46"/>
  <c r="R39" i="46"/>
  <c r="M39" i="46"/>
  <c r="H39" i="46"/>
  <c r="P38" i="46"/>
  <c r="O38" i="46"/>
  <c r="R38" i="46"/>
  <c r="M38" i="46"/>
  <c r="H38" i="46"/>
  <c r="P37" i="46"/>
  <c r="O37" i="46"/>
  <c r="R37" i="46"/>
  <c r="M37" i="46"/>
  <c r="H37" i="46"/>
  <c r="P36" i="46"/>
  <c r="O36" i="46"/>
  <c r="R36" i="46"/>
  <c r="M36" i="46"/>
  <c r="H36" i="46"/>
  <c r="P35" i="46"/>
  <c r="O35" i="46"/>
  <c r="R35" i="46"/>
  <c r="M35" i="46"/>
  <c r="H35" i="46"/>
  <c r="P34" i="46"/>
  <c r="O34" i="46"/>
  <c r="R34" i="46"/>
  <c r="M34" i="46"/>
  <c r="H34" i="46"/>
  <c r="P33" i="46"/>
  <c r="O33" i="46"/>
  <c r="R33" i="46"/>
  <c r="M33" i="46"/>
  <c r="H33" i="46"/>
  <c r="P32" i="46"/>
  <c r="O32" i="46"/>
  <c r="R32" i="46"/>
  <c r="M32" i="46"/>
  <c r="H32" i="46"/>
  <c r="P31" i="46"/>
  <c r="O31" i="46"/>
  <c r="R31" i="46"/>
  <c r="M31" i="46"/>
  <c r="H31" i="46"/>
  <c r="P30" i="46"/>
  <c r="O30" i="46"/>
  <c r="R30" i="46"/>
  <c r="M30" i="46"/>
  <c r="H30" i="46"/>
  <c r="P29" i="46"/>
  <c r="O29" i="46"/>
  <c r="R29" i="46"/>
  <c r="M29" i="46"/>
  <c r="H29" i="46"/>
  <c r="P28" i="46"/>
  <c r="O28" i="46"/>
  <c r="R28" i="46"/>
  <c r="M28" i="46"/>
  <c r="H28" i="46"/>
  <c r="P27" i="46"/>
  <c r="O27" i="46"/>
  <c r="R27" i="46"/>
  <c r="M27" i="46"/>
  <c r="H27" i="46"/>
  <c r="P26" i="46"/>
  <c r="O26" i="46"/>
  <c r="R26" i="46"/>
  <c r="M26" i="46"/>
  <c r="H26" i="46"/>
  <c r="P25" i="46"/>
  <c r="O25" i="46"/>
  <c r="R25" i="46"/>
  <c r="M25" i="46"/>
  <c r="H25" i="46"/>
  <c r="P24" i="46"/>
  <c r="O24" i="46"/>
  <c r="R24" i="46"/>
  <c r="M24" i="46"/>
  <c r="H24" i="46"/>
  <c r="P23" i="46"/>
  <c r="O23" i="46"/>
  <c r="R23" i="46"/>
  <c r="M23" i="46"/>
  <c r="H23" i="46"/>
  <c r="P22" i="46"/>
  <c r="O22" i="46"/>
  <c r="R22" i="46"/>
  <c r="M22" i="46"/>
  <c r="H22" i="46"/>
  <c r="P21" i="46"/>
  <c r="O21" i="46"/>
  <c r="R21" i="46"/>
  <c r="M21" i="46"/>
  <c r="H21" i="46"/>
  <c r="P20" i="46"/>
  <c r="O20" i="46"/>
  <c r="R20" i="46"/>
  <c r="M20" i="46"/>
  <c r="H20" i="46"/>
  <c r="P19" i="46"/>
  <c r="O19" i="46"/>
  <c r="R19" i="46"/>
  <c r="M19" i="46"/>
  <c r="H19" i="46"/>
  <c r="P18" i="46"/>
  <c r="O18" i="46"/>
  <c r="R18" i="46"/>
  <c r="M18" i="46"/>
  <c r="H18" i="46"/>
  <c r="P17" i="46"/>
  <c r="O17" i="46"/>
  <c r="R17" i="46"/>
  <c r="M17" i="46"/>
  <c r="H17" i="46"/>
  <c r="P16" i="46"/>
  <c r="O16" i="46"/>
  <c r="R16" i="46"/>
  <c r="M16" i="46"/>
  <c r="H16" i="46"/>
  <c r="P15" i="46"/>
  <c r="O15" i="46"/>
  <c r="R15" i="46"/>
  <c r="M15" i="46"/>
  <c r="H15" i="46"/>
  <c r="P14" i="46"/>
  <c r="O14" i="46"/>
  <c r="R14" i="46"/>
  <c r="M14" i="46"/>
  <c r="H14" i="46"/>
  <c r="P13" i="46"/>
  <c r="O13" i="46"/>
  <c r="R13" i="46"/>
  <c r="M13" i="46"/>
  <c r="H13" i="46"/>
  <c r="P12" i="46"/>
  <c r="O12" i="46"/>
  <c r="R12" i="46"/>
  <c r="M12" i="46"/>
  <c r="H12" i="46"/>
  <c r="P11" i="46"/>
  <c r="O11" i="46"/>
  <c r="R11" i="46"/>
  <c r="M11" i="46"/>
  <c r="H11" i="46"/>
  <c r="P10" i="46"/>
  <c r="O10" i="46"/>
  <c r="R10" i="46"/>
  <c r="M10" i="46"/>
  <c r="H10" i="46"/>
  <c r="P9" i="46"/>
  <c r="O9" i="46"/>
  <c r="R9" i="46"/>
  <c r="M9" i="46"/>
  <c r="H9" i="46"/>
  <c r="P8" i="46"/>
  <c r="O8" i="46"/>
  <c r="R8" i="46"/>
  <c r="M8" i="46"/>
  <c r="H8" i="46"/>
  <c r="Z7" i="46"/>
  <c r="P7" i="46"/>
  <c r="O7" i="46"/>
  <c r="R7" i="46"/>
  <c r="M7" i="46"/>
  <c r="H7" i="46"/>
  <c r="Z6" i="46"/>
  <c r="P6" i="46"/>
  <c r="O6" i="46"/>
  <c r="R6" i="46"/>
  <c r="M6" i="46"/>
  <c r="H6" i="46"/>
  <c r="Z5" i="46"/>
  <c r="Z5" i="44"/>
  <c r="Z4" i="44"/>
  <c r="Z3" i="44"/>
  <c r="Y2" i="44"/>
  <c r="Z5" i="41"/>
  <c r="Q83" i="46"/>
  <c r="S83" i="46"/>
  <c r="T83" i="46"/>
  <c r="U83" i="46"/>
  <c r="Q85" i="46"/>
  <c r="S85" i="46"/>
  <c r="T85" i="46"/>
  <c r="U85" i="46"/>
  <c r="Q92" i="46"/>
  <c r="S92" i="46"/>
  <c r="T92" i="46"/>
  <c r="U92" i="46"/>
  <c r="Q80" i="46"/>
  <c r="S80" i="46"/>
  <c r="T80" i="46"/>
  <c r="U80" i="46"/>
  <c r="Q88" i="46"/>
  <c r="S88" i="46"/>
  <c r="T88" i="46"/>
  <c r="U88" i="46"/>
  <c r="Q95" i="46"/>
  <c r="S95" i="46"/>
  <c r="T95" i="46"/>
  <c r="U95" i="46"/>
  <c r="Q97" i="46"/>
  <c r="S97" i="46"/>
  <c r="T97" i="46"/>
  <c r="U97" i="46"/>
  <c r="Q31" i="46"/>
  <c r="Q27" i="46"/>
  <c r="Q15" i="46"/>
  <c r="Q19" i="46"/>
  <c r="Q11" i="46"/>
  <c r="Q23" i="46"/>
  <c r="Q32" i="46"/>
  <c r="S32" i="46"/>
  <c r="T32" i="46"/>
  <c r="U32" i="46"/>
  <c r="Q33" i="46"/>
  <c r="S33" i="46"/>
  <c r="T33" i="46"/>
  <c r="U33" i="46"/>
  <c r="Q34" i="46"/>
  <c r="S34" i="46"/>
  <c r="T34" i="46"/>
  <c r="U34" i="46"/>
  <c r="Q35" i="46"/>
  <c r="S35" i="46"/>
  <c r="T35" i="46"/>
  <c r="U35" i="46"/>
  <c r="Q36" i="46"/>
  <c r="S36" i="46"/>
  <c r="T36" i="46"/>
  <c r="U36" i="46"/>
  <c r="Q37" i="46"/>
  <c r="S37" i="46"/>
  <c r="T37" i="46"/>
  <c r="U37" i="46"/>
  <c r="Q38" i="46"/>
  <c r="S38" i="46"/>
  <c r="T38" i="46"/>
  <c r="U38" i="46"/>
  <c r="Q39" i="46"/>
  <c r="S39" i="46"/>
  <c r="T39" i="46"/>
  <c r="U39" i="46"/>
  <c r="Q40" i="46"/>
  <c r="S40" i="46"/>
  <c r="T40" i="46"/>
  <c r="U40" i="46"/>
  <c r="Q41" i="46"/>
  <c r="S41" i="46"/>
  <c r="T41" i="46"/>
  <c r="U41" i="46"/>
  <c r="Q42" i="46"/>
  <c r="S42" i="46"/>
  <c r="T42" i="46"/>
  <c r="U42" i="46"/>
  <c r="Q43" i="46"/>
  <c r="S43" i="46"/>
  <c r="T43" i="46"/>
  <c r="U43" i="46"/>
  <c r="Q44" i="46"/>
  <c r="S44" i="46"/>
  <c r="T44" i="46"/>
  <c r="U44" i="46"/>
  <c r="Q45" i="46"/>
  <c r="S45" i="46"/>
  <c r="T45" i="46"/>
  <c r="U45" i="46"/>
  <c r="Q46" i="46"/>
  <c r="S46" i="46"/>
  <c r="T46" i="46"/>
  <c r="U46" i="46"/>
  <c r="Q47" i="46"/>
  <c r="S47" i="46"/>
  <c r="T47" i="46"/>
  <c r="U47" i="46"/>
  <c r="Q48" i="46"/>
  <c r="S48" i="46"/>
  <c r="T48" i="46"/>
  <c r="U48" i="46"/>
  <c r="Q49" i="46"/>
  <c r="S49" i="46"/>
  <c r="T49" i="46"/>
  <c r="U49" i="46"/>
  <c r="Q50" i="46"/>
  <c r="S50" i="46"/>
  <c r="T50" i="46"/>
  <c r="U50" i="46"/>
  <c r="Q51" i="46"/>
  <c r="S51" i="46"/>
  <c r="T51" i="46"/>
  <c r="U51" i="46"/>
  <c r="Q52" i="46"/>
  <c r="S52" i="46"/>
  <c r="T52" i="46"/>
  <c r="U52" i="46"/>
  <c r="Q53" i="46"/>
  <c r="S53" i="46"/>
  <c r="T53" i="46"/>
  <c r="U53" i="46"/>
  <c r="Q54" i="46"/>
  <c r="S54" i="46"/>
  <c r="T54" i="46"/>
  <c r="U54" i="46"/>
  <c r="Q55" i="46"/>
  <c r="S55" i="46"/>
  <c r="T55" i="46"/>
  <c r="U55" i="46"/>
  <c r="Q56" i="46"/>
  <c r="S56" i="46"/>
  <c r="T56" i="46"/>
  <c r="U56" i="46"/>
  <c r="Q57" i="46"/>
  <c r="S57" i="46"/>
  <c r="T57" i="46"/>
  <c r="U57" i="46"/>
  <c r="Q58" i="46"/>
  <c r="S58" i="46"/>
  <c r="T58" i="46"/>
  <c r="U58" i="46"/>
  <c r="Q59" i="46"/>
  <c r="S59" i="46"/>
  <c r="T59" i="46"/>
  <c r="U59" i="46"/>
  <c r="Q60" i="46"/>
  <c r="S60" i="46"/>
  <c r="T60" i="46"/>
  <c r="U60" i="46"/>
  <c r="Q61" i="46"/>
  <c r="S61" i="46"/>
  <c r="T61" i="46"/>
  <c r="U61" i="46"/>
  <c r="Q62" i="46"/>
  <c r="S62" i="46"/>
  <c r="T62" i="46"/>
  <c r="U62" i="46"/>
  <c r="Q63" i="46"/>
  <c r="S63" i="46"/>
  <c r="T63" i="46"/>
  <c r="U63" i="46"/>
  <c r="Q64" i="46"/>
  <c r="S64" i="46"/>
  <c r="T64" i="46"/>
  <c r="U64" i="46"/>
  <c r="Q65" i="46"/>
  <c r="S65" i="46"/>
  <c r="T65" i="46"/>
  <c r="U65" i="46"/>
  <c r="Q66" i="46"/>
  <c r="S66" i="46"/>
  <c r="T66" i="46"/>
  <c r="U66" i="46"/>
  <c r="Q67" i="46"/>
  <c r="S67" i="46"/>
  <c r="T67" i="46"/>
  <c r="U67" i="46"/>
  <c r="Q68" i="46"/>
  <c r="S68" i="46"/>
  <c r="T68" i="46"/>
  <c r="U68" i="46"/>
  <c r="Q69" i="46"/>
  <c r="S69" i="46"/>
  <c r="T69" i="46"/>
  <c r="U69" i="46"/>
  <c r="Q70" i="46"/>
  <c r="S70" i="46"/>
  <c r="T70" i="46"/>
  <c r="U70" i="46"/>
  <c r="Q71" i="46"/>
  <c r="S71" i="46"/>
  <c r="T71" i="46"/>
  <c r="U71" i="46"/>
  <c r="Q72" i="46"/>
  <c r="S72" i="46"/>
  <c r="T72" i="46"/>
  <c r="U72" i="46"/>
  <c r="Q73" i="46"/>
  <c r="S73" i="46"/>
  <c r="T73" i="46"/>
  <c r="U73" i="46"/>
  <c r="Q74" i="46"/>
  <c r="S74" i="46"/>
  <c r="T74" i="46"/>
  <c r="U74" i="46"/>
  <c r="Q75" i="46"/>
  <c r="S75" i="46"/>
  <c r="T75" i="46"/>
  <c r="U75" i="46"/>
  <c r="Q76" i="46"/>
  <c r="S76" i="46"/>
  <c r="T76" i="46"/>
  <c r="U76" i="46"/>
  <c r="Q77" i="46"/>
  <c r="S77" i="46"/>
  <c r="T77" i="46"/>
  <c r="U77" i="46"/>
  <c r="Q78" i="46"/>
  <c r="S78" i="46"/>
  <c r="T78" i="46"/>
  <c r="U78" i="46"/>
  <c r="Q79" i="46"/>
  <c r="S79" i="46"/>
  <c r="T79" i="46"/>
  <c r="U79" i="46"/>
  <c r="Q81" i="46"/>
  <c r="S81" i="46"/>
  <c r="T81" i="46"/>
  <c r="U81" i="46"/>
  <c r="Q82" i="46"/>
  <c r="S82" i="46"/>
  <c r="T82" i="46"/>
  <c r="U82" i="46"/>
  <c r="Q84" i="46"/>
  <c r="S84" i="46"/>
  <c r="T84" i="46"/>
  <c r="U84" i="46"/>
  <c r="Q86" i="46"/>
  <c r="S86" i="46"/>
  <c r="T86" i="46"/>
  <c r="U86" i="46"/>
  <c r="Q87" i="46"/>
  <c r="S87" i="46"/>
  <c r="T87" i="46"/>
  <c r="U87" i="46"/>
  <c r="Q89" i="46"/>
  <c r="S89" i="46"/>
  <c r="T89" i="46"/>
  <c r="U89" i="46"/>
  <c r="Q90" i="46"/>
  <c r="S90" i="46"/>
  <c r="T90" i="46"/>
  <c r="U90" i="46"/>
  <c r="Q91" i="46"/>
  <c r="S91" i="46"/>
  <c r="T91" i="46"/>
  <c r="U91" i="46"/>
  <c r="Q93" i="46"/>
  <c r="S93" i="46"/>
  <c r="T93" i="46"/>
  <c r="U93" i="46"/>
  <c r="Q94" i="46"/>
  <c r="S94" i="46"/>
  <c r="T94" i="46"/>
  <c r="U94" i="46"/>
  <c r="Q96" i="46"/>
  <c r="S96" i="46"/>
  <c r="T96" i="46"/>
  <c r="U96" i="46"/>
  <c r="Q98" i="46"/>
  <c r="S98" i="46"/>
  <c r="T98" i="46"/>
  <c r="U98" i="46"/>
  <c r="Q99" i="46"/>
  <c r="S99" i="46"/>
  <c r="T99" i="46"/>
  <c r="U99" i="46"/>
  <c r="Q100" i="46"/>
  <c r="S100" i="46"/>
  <c r="Q101" i="46"/>
  <c r="S101" i="46"/>
  <c r="Q102" i="46"/>
  <c r="S102" i="46"/>
  <c r="Q103" i="46"/>
  <c r="S103" i="46"/>
  <c r="Q104" i="46"/>
  <c r="S104" i="46"/>
  <c r="Q105" i="46"/>
  <c r="S105" i="46"/>
  <c r="L6" i="40"/>
  <c r="V32" i="46"/>
  <c r="V33" i="46"/>
  <c r="V34" i="46"/>
  <c r="V35" i="46"/>
  <c r="V36" i="46"/>
  <c r="V37" i="46"/>
  <c r="V38" i="46"/>
  <c r="V39" i="46"/>
  <c r="V40" i="46"/>
  <c r="V41" i="46"/>
  <c r="V42" i="46"/>
  <c r="V43" i="46"/>
  <c r="V44" i="46"/>
  <c r="V45" i="46"/>
  <c r="V46" i="46"/>
  <c r="V47" i="46"/>
  <c r="V48" i="46"/>
  <c r="V49" i="46"/>
  <c r="V50" i="46"/>
  <c r="V51" i="46"/>
  <c r="V52" i="46"/>
  <c r="V53" i="46"/>
  <c r="V54" i="46"/>
  <c r="V55" i="46"/>
  <c r="V56" i="46"/>
  <c r="V57" i="46"/>
  <c r="V58" i="46"/>
  <c r="V59" i="46"/>
  <c r="V60" i="46"/>
  <c r="V61" i="46"/>
  <c r="V62" i="46"/>
  <c r="V63" i="46"/>
  <c r="V64" i="46"/>
  <c r="V65" i="46"/>
  <c r="V66" i="46"/>
  <c r="V67" i="46"/>
  <c r="V68" i="46"/>
  <c r="V69" i="46"/>
  <c r="V70" i="46"/>
  <c r="V71" i="46"/>
  <c r="V72" i="46"/>
  <c r="V73" i="46"/>
  <c r="V74" i="46"/>
  <c r="V75" i="46"/>
  <c r="V76" i="46"/>
  <c r="V77" i="46"/>
  <c r="V78" i="46"/>
  <c r="V79" i="46"/>
  <c r="V80" i="46"/>
  <c r="V81" i="46"/>
  <c r="V82" i="46"/>
  <c r="V83" i="46"/>
  <c r="V84" i="46"/>
  <c r="V85" i="46"/>
  <c r="V86" i="46"/>
  <c r="V87" i="46"/>
  <c r="V88" i="46"/>
  <c r="V89" i="46"/>
  <c r="V90" i="46"/>
  <c r="V91" i="46"/>
  <c r="V92" i="46"/>
  <c r="V93" i="46"/>
  <c r="V94" i="46"/>
  <c r="V95" i="46"/>
  <c r="V96" i="46"/>
  <c r="V97" i="46"/>
  <c r="V98" i="46"/>
  <c r="V99" i="46"/>
  <c r="V100" i="46"/>
  <c r="V101" i="46"/>
  <c r="V102" i="46"/>
  <c r="V103" i="46"/>
  <c r="V104" i="46"/>
  <c r="V105" i="46"/>
  <c r="L5" i="40"/>
  <c r="G5" i="40"/>
  <c r="L7" i="40"/>
  <c r="G6" i="40"/>
  <c r="G19" i="40"/>
  <c r="G35" i="40"/>
  <c r="G43" i="40"/>
  <c r="G51" i="40"/>
  <c r="G59" i="40"/>
  <c r="G67" i="40"/>
  <c r="G75" i="40"/>
  <c r="G83" i="40"/>
  <c r="G91" i="40"/>
  <c r="G99" i="40"/>
  <c r="G107" i="40"/>
  <c r="G27" i="40"/>
  <c r="G60" i="40"/>
  <c r="G100" i="40"/>
  <c r="G108" i="40"/>
  <c r="G13" i="40"/>
  <c r="G21" i="40"/>
  <c r="G29" i="40"/>
  <c r="G37" i="40"/>
  <c r="G45" i="40"/>
  <c r="G53" i="40"/>
  <c r="G61" i="40"/>
  <c r="G69" i="40"/>
  <c r="G77" i="40"/>
  <c r="G85" i="40"/>
  <c r="G93" i="40"/>
  <c r="G101" i="40"/>
  <c r="G109" i="40"/>
  <c r="G20" i="40"/>
  <c r="G68" i="40"/>
  <c r="G14" i="40"/>
  <c r="G22" i="40"/>
  <c r="G30" i="40"/>
  <c r="G38" i="40"/>
  <c r="G46" i="40"/>
  <c r="G54" i="40"/>
  <c r="G62" i="40"/>
  <c r="G70" i="40"/>
  <c r="G78" i="40"/>
  <c r="G86" i="40"/>
  <c r="G94" i="40"/>
  <c r="G102" i="40"/>
  <c r="G110" i="40"/>
  <c r="G52" i="40"/>
  <c r="G76" i="40"/>
  <c r="G7" i="40"/>
  <c r="G15" i="40"/>
  <c r="G23" i="40"/>
  <c r="G31" i="40"/>
  <c r="G39" i="40"/>
  <c r="G47" i="40"/>
  <c r="G55" i="40"/>
  <c r="G63" i="40"/>
  <c r="G71" i="40"/>
  <c r="G79" i="40"/>
  <c r="G87" i="40"/>
  <c r="G95" i="40"/>
  <c r="G103" i="40"/>
  <c r="G44" i="40"/>
  <c r="G8" i="40"/>
  <c r="G16" i="40"/>
  <c r="G24" i="40"/>
  <c r="G32" i="40"/>
  <c r="G40" i="40"/>
  <c r="G48" i="40"/>
  <c r="G56" i="40"/>
  <c r="G64" i="40"/>
  <c r="G72" i="40"/>
  <c r="G80" i="40"/>
  <c r="G88" i="40"/>
  <c r="G96" i="40"/>
  <c r="G104" i="40"/>
  <c r="G84" i="40"/>
  <c r="G9" i="40"/>
  <c r="G17" i="40"/>
  <c r="G25" i="40"/>
  <c r="G33" i="40"/>
  <c r="G41" i="40"/>
  <c r="G49" i="40"/>
  <c r="G57" i="40"/>
  <c r="G65" i="40"/>
  <c r="G73" i="40"/>
  <c r="G81" i="40"/>
  <c r="G89" i="40"/>
  <c r="G97" i="40"/>
  <c r="G105" i="40"/>
  <c r="G11" i="40"/>
  <c r="G12" i="40"/>
  <c r="G28" i="40"/>
  <c r="G36" i="40"/>
  <c r="G92" i="40"/>
  <c r="G10" i="40"/>
  <c r="G18" i="40"/>
  <c r="G26" i="40"/>
  <c r="G34" i="40"/>
  <c r="G42" i="40"/>
  <c r="G50" i="40"/>
  <c r="G58" i="40"/>
  <c r="G66" i="40"/>
  <c r="G74" i="40"/>
  <c r="G82" i="40"/>
  <c r="G90" i="40"/>
  <c r="G98" i="40"/>
  <c r="G106" i="40"/>
  <c r="Z4" i="41"/>
  <c r="Z3" i="41"/>
  <c r="S23" i="46"/>
  <c r="T23" i="46"/>
  <c r="S31" i="46"/>
  <c r="T31" i="46"/>
  <c r="U31" i="46"/>
  <c r="S27" i="46"/>
  <c r="T27" i="46"/>
  <c r="U27" i="46"/>
  <c r="S15" i="46"/>
  <c r="T15" i="46"/>
  <c r="U15" i="46"/>
  <c r="S19" i="46"/>
  <c r="T19" i="46"/>
  <c r="S11" i="46"/>
  <c r="T11" i="46"/>
  <c r="V11" i="46"/>
  <c r="V15" i="46"/>
  <c r="U11" i="46"/>
  <c r="V19" i="46"/>
  <c r="U19" i="46"/>
  <c r="V23" i="46"/>
  <c r="U23" i="46"/>
  <c r="V31" i="46"/>
  <c r="V27" i="46"/>
  <c r="B25" i="22"/>
  <c r="C59" i="23"/>
  <c r="N59" i="23"/>
  <c r="M59" i="23"/>
  <c r="C58" i="23"/>
  <c r="N58" i="23"/>
  <c r="C57" i="23"/>
  <c r="O57" i="23"/>
  <c r="C56" i="23"/>
  <c r="P56" i="23"/>
  <c r="C55" i="23"/>
  <c r="R55" i="23"/>
  <c r="C54" i="23"/>
  <c r="S54" i="23"/>
  <c r="K18" i="40"/>
  <c r="J66" i="40"/>
  <c r="K34" i="40"/>
  <c r="J110" i="40"/>
  <c r="J64" i="40"/>
  <c r="I33" i="40"/>
  <c r="I37" i="40"/>
  <c r="I52" i="40"/>
  <c r="J9" i="40"/>
  <c r="K6" i="40"/>
  <c r="I32" i="40"/>
  <c r="I70" i="40"/>
  <c r="K89" i="40"/>
  <c r="J25" i="40"/>
  <c r="K16" i="40"/>
  <c r="J60" i="40"/>
  <c r="J47" i="40"/>
  <c r="K110" i="40"/>
  <c r="I97" i="40"/>
  <c r="I36" i="40"/>
  <c r="J109" i="40"/>
  <c r="I96" i="40"/>
  <c r="J56" i="40"/>
  <c r="I67" i="40"/>
  <c r="I49" i="40"/>
  <c r="J99" i="40"/>
  <c r="I25" i="40"/>
  <c r="K31" i="40"/>
  <c r="I73" i="40"/>
  <c r="I91" i="40"/>
  <c r="I58" i="40"/>
  <c r="I102" i="40"/>
  <c r="I27" i="40"/>
  <c r="K49" i="40"/>
  <c r="K94" i="40"/>
  <c r="J27" i="40"/>
  <c r="J36" i="40"/>
  <c r="K84" i="40"/>
  <c r="I88" i="40"/>
  <c r="J88" i="40"/>
  <c r="I20" i="40"/>
  <c r="J16" i="40"/>
  <c r="K103" i="40"/>
  <c r="K22" i="40"/>
  <c r="J22" i="40"/>
  <c r="J13" i="40"/>
  <c r="K101" i="40"/>
  <c r="J51" i="40"/>
  <c r="K91" i="40"/>
  <c r="I71" i="40"/>
  <c r="I8" i="40"/>
  <c r="J23" i="40"/>
  <c r="I53" i="40"/>
  <c r="I43" i="40"/>
  <c r="K74" i="40"/>
  <c r="K21" i="40"/>
  <c r="I92" i="40"/>
  <c r="J6" i="40"/>
  <c r="J38" i="40"/>
  <c r="K58" i="40"/>
  <c r="K56" i="40"/>
  <c r="K12" i="40"/>
  <c r="J82" i="40"/>
  <c r="K37" i="40"/>
  <c r="I57" i="40"/>
  <c r="I78" i="40"/>
  <c r="J96" i="40"/>
  <c r="I21" i="40"/>
  <c r="K14" i="40"/>
  <c r="J32" i="40"/>
  <c r="K54" i="40"/>
  <c r="K108" i="40"/>
  <c r="J107" i="40"/>
  <c r="J71" i="40"/>
  <c r="K72" i="40"/>
  <c r="K77" i="40"/>
  <c r="K60" i="40"/>
  <c r="J54" i="40"/>
  <c r="I76" i="40"/>
  <c r="J12" i="40"/>
  <c r="J73" i="40"/>
  <c r="K30" i="40"/>
  <c r="K62" i="40"/>
  <c r="I83" i="40"/>
  <c r="K24" i="40"/>
  <c r="K40" i="40"/>
  <c r="J37" i="40"/>
  <c r="K95" i="40"/>
  <c r="I66" i="40"/>
  <c r="I110" i="40"/>
  <c r="I15" i="40"/>
  <c r="I23" i="40"/>
  <c r="I35" i="40"/>
  <c r="K39" i="40"/>
  <c r="I75" i="40"/>
  <c r="K80" i="40"/>
  <c r="J87" i="40"/>
  <c r="I61" i="40"/>
  <c r="J11" i="40"/>
  <c r="J28" i="40"/>
  <c r="I90" i="40"/>
  <c r="K100" i="40"/>
  <c r="K67" i="40"/>
  <c r="J97" i="40"/>
  <c r="J14" i="40"/>
  <c r="J95" i="40"/>
  <c r="K81" i="40"/>
  <c r="K35" i="40"/>
  <c r="I29" i="40"/>
  <c r="I5" i="40"/>
  <c r="J33" i="40"/>
  <c r="I87" i="40"/>
  <c r="I68" i="40"/>
  <c r="J65" i="40"/>
  <c r="K51" i="40"/>
  <c r="I64" i="40"/>
  <c r="J49" i="40"/>
  <c r="J58" i="40"/>
  <c r="J67" i="40"/>
  <c r="J26" i="40"/>
  <c r="J29" i="40"/>
  <c r="I11" i="40"/>
  <c r="K96" i="40"/>
  <c r="I77" i="40"/>
  <c r="K45" i="40"/>
  <c r="I74" i="40"/>
  <c r="K92" i="40"/>
  <c r="J41" i="40"/>
  <c r="K48" i="40"/>
  <c r="J20" i="40"/>
  <c r="I103" i="40"/>
  <c r="K102" i="40"/>
  <c r="K99" i="40"/>
  <c r="I7" i="40"/>
  <c r="J79" i="40"/>
  <c r="I94" i="40"/>
  <c r="J68" i="40"/>
  <c r="J42" i="40"/>
  <c r="J44" i="40"/>
  <c r="I93" i="40"/>
  <c r="J100" i="40"/>
  <c r="K7" i="40"/>
  <c r="K75" i="40"/>
  <c r="J24" i="40"/>
  <c r="I18" i="40"/>
  <c r="K25" i="40"/>
  <c r="I107" i="40"/>
  <c r="I105" i="40"/>
  <c r="K87" i="40"/>
  <c r="K19" i="40"/>
  <c r="K61" i="40"/>
  <c r="K106" i="40"/>
  <c r="K52" i="40"/>
  <c r="I9" i="40"/>
  <c r="I24" i="40"/>
  <c r="I56" i="40"/>
  <c r="K83" i="40"/>
  <c r="J46" i="40"/>
  <c r="J86" i="40"/>
  <c r="K90" i="40"/>
  <c r="J102" i="40"/>
  <c r="J76" i="40"/>
  <c r="I62" i="40"/>
  <c r="I89" i="40"/>
  <c r="J80" i="40"/>
  <c r="J5" i="40"/>
  <c r="I40" i="40"/>
  <c r="K86" i="40"/>
  <c r="I51" i="40"/>
  <c r="I85" i="40"/>
  <c r="K63" i="40"/>
  <c r="K20" i="40"/>
  <c r="K76" i="40"/>
  <c r="J75" i="40"/>
  <c r="I63" i="40"/>
  <c r="J104" i="40"/>
  <c r="J63" i="40"/>
  <c r="J89" i="40"/>
  <c r="J77" i="40"/>
  <c r="K88" i="40"/>
  <c r="K69" i="40"/>
  <c r="J62" i="40"/>
  <c r="K28" i="40"/>
  <c r="I38" i="40"/>
  <c r="K29" i="40"/>
  <c r="K47" i="40"/>
  <c r="J8" i="40"/>
  <c r="K50" i="40"/>
  <c r="J85" i="40"/>
  <c r="J108" i="40"/>
  <c r="I69" i="40"/>
  <c r="K85" i="40"/>
  <c r="J93" i="40"/>
  <c r="I10" i="40"/>
  <c r="K13" i="40"/>
  <c r="K70" i="40"/>
  <c r="K44" i="40"/>
  <c r="J45" i="40"/>
  <c r="K41" i="40"/>
  <c r="J105" i="40"/>
  <c r="K8" i="40"/>
  <c r="J70" i="40"/>
  <c r="K73" i="40"/>
  <c r="J15" i="40"/>
  <c r="J78" i="40"/>
  <c r="J17" i="40"/>
  <c r="I106" i="40"/>
  <c r="J30" i="40"/>
  <c r="K32" i="40"/>
  <c r="I109" i="40"/>
  <c r="I39" i="40"/>
  <c r="I30" i="40"/>
  <c r="J34" i="40"/>
  <c r="J57" i="40"/>
  <c r="K59" i="40"/>
  <c r="J21" i="40"/>
  <c r="I14" i="40"/>
  <c r="K68" i="40"/>
  <c r="I60" i="40"/>
  <c r="I47" i="40"/>
  <c r="K33" i="40"/>
  <c r="J53" i="40"/>
  <c r="J84" i="40"/>
  <c r="K27" i="40"/>
  <c r="J74" i="40"/>
  <c r="J98" i="40"/>
  <c r="I81" i="40"/>
  <c r="I84" i="40"/>
  <c r="I48" i="40"/>
  <c r="I6" i="40"/>
  <c r="I80" i="40"/>
  <c r="K57" i="40"/>
  <c r="K78" i="40"/>
  <c r="I12" i="40"/>
  <c r="J83" i="40"/>
  <c r="J52" i="40"/>
  <c r="J10" i="40"/>
  <c r="K26" i="40"/>
  <c r="J55" i="40"/>
  <c r="I42" i="40"/>
  <c r="K109" i="40"/>
  <c r="K38" i="40"/>
  <c r="I98" i="40"/>
  <c r="K82" i="40"/>
  <c r="K64" i="40"/>
  <c r="J48" i="40"/>
  <c r="I34" i="40"/>
  <c r="I55" i="40"/>
  <c r="I16" i="40"/>
  <c r="K46" i="40"/>
  <c r="J72" i="40"/>
  <c r="I65" i="40"/>
  <c r="K53" i="40"/>
  <c r="I95" i="40"/>
  <c r="J19" i="40"/>
  <c r="J69" i="40"/>
  <c r="I59" i="40"/>
  <c r="I72" i="40"/>
  <c r="K5" i="40"/>
  <c r="J106" i="40"/>
  <c r="K105" i="40"/>
  <c r="J43" i="40"/>
  <c r="I28" i="40"/>
  <c r="K15" i="40"/>
  <c r="K66" i="40"/>
  <c r="I45" i="40"/>
  <c r="K10" i="40"/>
  <c r="I100" i="40"/>
  <c r="J7" i="40"/>
  <c r="K43" i="40"/>
  <c r="J91" i="40"/>
  <c r="K17" i="40"/>
  <c r="J18" i="40"/>
  <c r="I22" i="40"/>
  <c r="I79" i="40"/>
  <c r="K93" i="40"/>
  <c r="K36" i="40"/>
  <c r="I108" i="40"/>
  <c r="J92" i="40"/>
  <c r="I104" i="40"/>
  <c r="J50" i="40"/>
  <c r="I17" i="40"/>
  <c r="K11" i="40"/>
  <c r="K55" i="40"/>
  <c r="I101" i="40"/>
  <c r="I82" i="40"/>
  <c r="K65" i="40"/>
  <c r="I54" i="40"/>
  <c r="J40" i="40"/>
  <c r="K98" i="40"/>
  <c r="J59" i="40"/>
  <c r="K9" i="40"/>
  <c r="K107" i="40"/>
  <c r="J81" i="40"/>
  <c r="I86" i="40"/>
  <c r="J103" i="40"/>
  <c r="I44" i="40"/>
  <c r="J94" i="40"/>
  <c r="K42" i="40"/>
  <c r="I50" i="40"/>
  <c r="J101" i="40"/>
  <c r="I19" i="40"/>
  <c r="K79" i="40"/>
  <c r="I31" i="40"/>
  <c r="I41" i="40"/>
  <c r="J35" i="40"/>
  <c r="I99" i="40"/>
  <c r="J61" i="40"/>
  <c r="K104" i="40"/>
  <c r="I26" i="40"/>
  <c r="J90" i="40"/>
  <c r="J39" i="40"/>
  <c r="K23" i="40"/>
  <c r="K97" i="40"/>
  <c r="K71" i="40"/>
  <c r="I13" i="40"/>
  <c r="I46" i="40"/>
  <c r="J31" i="40"/>
  <c r="D54" i="23"/>
  <c r="J56" i="23"/>
  <c r="I56" i="23"/>
  <c r="F56" i="23"/>
  <c r="D56" i="23"/>
  <c r="L58" i="23"/>
  <c r="F55" i="23"/>
  <c r="I57" i="23"/>
  <c r="D57" i="23"/>
  <c r="D58" i="23"/>
  <c r="F54" i="23"/>
  <c r="R56" i="23"/>
  <c r="Q56" i="23"/>
  <c r="P55" i="23"/>
  <c r="N56" i="23"/>
  <c r="R57" i="23"/>
  <c r="Q57" i="23"/>
  <c r="O55" i="23"/>
  <c r="M56" i="23"/>
  <c r="M57" i="23"/>
  <c r="G55" i="23"/>
  <c r="L56" i="23"/>
  <c r="L57" i="23"/>
  <c r="P54" i="23"/>
  <c r="O54" i="23"/>
  <c r="N54" i="23"/>
  <c r="Q54" i="23"/>
  <c r="L54" i="23"/>
  <c r="H54" i="23"/>
  <c r="G54" i="23"/>
  <c r="K59" i="23"/>
  <c r="K58" i="23"/>
  <c r="J59" i="23"/>
  <c r="I54" i="23"/>
  <c r="R54" i="23"/>
  <c r="H55" i="23"/>
  <c r="Q55" i="23"/>
  <c r="G56" i="23"/>
  <c r="O56" i="23"/>
  <c r="F57" i="23"/>
  <c r="N57" i="23"/>
  <c r="M58" i="23"/>
  <c r="D59" i="23"/>
  <c r="L59" i="23"/>
  <c r="T59" i="23"/>
  <c r="T58" i="23"/>
  <c r="N55" i="23"/>
  <c r="M55" i="23"/>
  <c r="K57" i="23"/>
  <c r="T57" i="23"/>
  <c r="J58" i="23"/>
  <c r="S58" i="23"/>
  <c r="I59" i="23"/>
  <c r="R59" i="23"/>
  <c r="M54" i="23"/>
  <c r="D55" i="23"/>
  <c r="L55" i="23"/>
  <c r="K56" i="23"/>
  <c r="T56" i="23"/>
  <c r="S56" i="23"/>
  <c r="J57" i="23"/>
  <c r="S57" i="23"/>
  <c r="I58" i="23"/>
  <c r="R58" i="23"/>
  <c r="H59" i="23"/>
  <c r="Q59" i="23"/>
  <c r="S59" i="23"/>
  <c r="K54" i="23"/>
  <c r="T54" i="23"/>
  <c r="J55" i="23"/>
  <c r="S55" i="23"/>
  <c r="K55" i="23"/>
  <c r="T55" i="23"/>
  <c r="H58" i="23"/>
  <c r="Q58" i="23"/>
  <c r="G59" i="23"/>
  <c r="P59" i="23"/>
  <c r="H57" i="23"/>
  <c r="P57" i="23"/>
  <c r="G58" i="23"/>
  <c r="P58" i="23"/>
  <c r="O58" i="23"/>
  <c r="F59" i="23"/>
  <c r="O59" i="23"/>
  <c r="J54" i="23"/>
  <c r="I55" i="23"/>
  <c r="H56" i="23"/>
  <c r="G57" i="23"/>
  <c r="F58" i="23"/>
  <c r="E55" i="23"/>
  <c r="E56" i="23"/>
  <c r="E54" i="23"/>
  <c r="E57" i="23"/>
  <c r="E59" i="23"/>
  <c r="E58" i="23"/>
  <c r="AG57" i="2"/>
  <c r="AE57" i="2"/>
  <c r="AC57" i="2"/>
  <c r="AA57" i="2"/>
  <c r="Y57" i="2"/>
  <c r="W57" i="2"/>
  <c r="U57" i="2"/>
  <c r="S57" i="2"/>
  <c r="Q57" i="2"/>
  <c r="O57" i="2"/>
  <c r="M57" i="2"/>
  <c r="K57" i="2"/>
  <c r="I57" i="2"/>
  <c r="G57" i="2"/>
  <c r="E57" i="2"/>
  <c r="D57" i="2"/>
  <c r="E9" i="48"/>
  <c r="C57" i="2"/>
  <c r="G4" i="2"/>
  <c r="I4" i="2"/>
  <c r="E5" i="23"/>
  <c r="C4" i="2"/>
  <c r="E12" i="48"/>
  <c r="C3" i="2"/>
  <c r="E7" i="48"/>
  <c r="E11" i="48"/>
  <c r="C2" i="2"/>
  <c r="J24" i="48"/>
  <c r="J28" i="48"/>
  <c r="I30" i="48"/>
  <c r="I36" i="48"/>
  <c r="E17" i="48"/>
  <c r="E15" i="48"/>
  <c r="I38" i="48"/>
  <c r="I25" i="48"/>
  <c r="J29" i="48"/>
  <c r="I35" i="48"/>
  <c r="J31" i="48"/>
  <c r="I27" i="48"/>
  <c r="J27" i="48"/>
  <c r="J34" i="48"/>
  <c r="J32" i="48"/>
  <c r="I34" i="48"/>
  <c r="J30" i="48"/>
  <c r="J38" i="48"/>
  <c r="I32" i="48"/>
  <c r="J33" i="48"/>
  <c r="J26" i="48"/>
  <c r="I26" i="48"/>
  <c r="I24" i="48"/>
  <c r="J35" i="48"/>
  <c r="I28" i="48"/>
  <c r="I31" i="48"/>
  <c r="I29" i="48"/>
  <c r="J25" i="48"/>
  <c r="J37" i="48"/>
  <c r="I33" i="48"/>
  <c r="I37" i="48"/>
  <c r="J36" i="48"/>
  <c r="E8" i="48"/>
  <c r="E16" i="48"/>
  <c r="A31" i="38"/>
  <c r="A46" i="6"/>
  <c r="A31" i="37"/>
  <c r="A32" i="37"/>
  <c r="A30" i="38"/>
  <c r="A45" i="6"/>
  <c r="A46" i="4"/>
  <c r="A45" i="4"/>
  <c r="B39" i="22"/>
  <c r="B38" i="22"/>
  <c r="B37" i="22"/>
  <c r="B36" i="22"/>
  <c r="B35" i="22"/>
  <c r="B34" i="22"/>
  <c r="B33" i="22"/>
  <c r="B32" i="22"/>
  <c r="B31" i="22"/>
  <c r="B30" i="22"/>
  <c r="B29" i="22"/>
  <c r="B28" i="22"/>
  <c r="B27" i="22"/>
  <c r="B26" i="22"/>
  <c r="Q20" i="46"/>
  <c r="Q22" i="46"/>
  <c r="Q16" i="46"/>
  <c r="Q7" i="46"/>
  <c r="Q29" i="46"/>
  <c r="Q17" i="46"/>
  <c r="Q24" i="46"/>
  <c r="Q6" i="46"/>
  <c r="Q8" i="46"/>
  <c r="Q25" i="46"/>
  <c r="Q14" i="46"/>
  <c r="Q28" i="46"/>
  <c r="Q10" i="46"/>
  <c r="Q26" i="46"/>
  <c r="Q30" i="46"/>
  <c r="Q9" i="46"/>
  <c r="Q13" i="46"/>
  <c r="Q18" i="46"/>
  <c r="Q21" i="46"/>
  <c r="Q12" i="46"/>
  <c r="S21" i="46"/>
  <c r="T21" i="46"/>
  <c r="V21" i="46"/>
  <c r="S29" i="46"/>
  <c r="T29" i="46"/>
  <c r="U29" i="46"/>
  <c r="S9" i="46"/>
  <c r="T9" i="46"/>
  <c r="V9" i="46"/>
  <c r="S8" i="46"/>
  <c r="T8" i="46"/>
  <c r="S13" i="46"/>
  <c r="T13" i="46"/>
  <c r="V13" i="46"/>
  <c r="S25" i="46"/>
  <c r="T25" i="46"/>
  <c r="V25" i="46"/>
  <c r="S16" i="46"/>
  <c r="T16" i="46"/>
  <c r="S18" i="46"/>
  <c r="T18" i="46"/>
  <c r="S7" i="46"/>
  <c r="T7" i="46"/>
  <c r="V7" i="46"/>
  <c r="S28" i="46"/>
  <c r="T28" i="46"/>
  <c r="U28" i="46"/>
  <c r="S17" i="46"/>
  <c r="T17" i="46"/>
  <c r="V17" i="46"/>
  <c r="S14" i="46"/>
  <c r="T14" i="46"/>
  <c r="S12" i="46"/>
  <c r="T12" i="46"/>
  <c r="V12" i="46"/>
  <c r="S10" i="46"/>
  <c r="T10" i="46"/>
  <c r="U10" i="46"/>
  <c r="S24" i="46"/>
  <c r="T24" i="46"/>
  <c r="U24" i="46"/>
  <c r="S26" i="46"/>
  <c r="T26" i="46"/>
  <c r="S20" i="46"/>
  <c r="T20" i="46"/>
  <c r="V20" i="46"/>
  <c r="S30" i="46"/>
  <c r="T30" i="46"/>
  <c r="V30" i="46"/>
  <c r="S6" i="46"/>
  <c r="T6" i="46"/>
  <c r="S22" i="46"/>
  <c r="T22" i="46"/>
  <c r="V29" i="46"/>
  <c r="V28" i="46"/>
  <c r="V24" i="46"/>
  <c r="V10" i="46"/>
  <c r="V6" i="46"/>
  <c r="U6" i="46"/>
  <c r="V16" i="46"/>
  <c r="U16" i="46"/>
  <c r="U20" i="46"/>
  <c r="U17" i="46"/>
  <c r="U9" i="46"/>
  <c r="V22" i="46"/>
  <c r="U22" i="46"/>
  <c r="V26" i="46"/>
  <c r="U26" i="46"/>
  <c r="V14" i="46"/>
  <c r="U14" i="46"/>
  <c r="U18" i="46"/>
  <c r="V18" i="46"/>
  <c r="V8" i="46"/>
  <c r="U8" i="46"/>
  <c r="U7" i="46"/>
  <c r="U30" i="46"/>
  <c r="U13" i="46"/>
  <c r="U25" i="46"/>
  <c r="U12" i="46"/>
  <c r="U21" i="46"/>
  <c r="K4" i="2"/>
  <c r="M4" i="2"/>
  <c r="O4" i="2"/>
  <c r="Q4" i="2"/>
  <c r="S4" i="2"/>
  <c r="U4" i="2"/>
  <c r="W4" i="2"/>
  <c r="Y4" i="2"/>
  <c r="AA4" i="2"/>
  <c r="AC4" i="2"/>
  <c r="AE4" i="2"/>
  <c r="AG4" i="2"/>
</calcChain>
</file>

<file path=xl/sharedStrings.xml><?xml version="1.0" encoding="utf-8"?>
<sst xmlns="http://schemas.openxmlformats.org/spreadsheetml/2006/main" count="2734" uniqueCount="774">
  <si>
    <t>r[,1]</t>
  </si>
  <si>
    <t>n[,1]</t>
  </si>
  <si>
    <t>r[,2]</t>
  </si>
  <si>
    <t>n[,2]</t>
  </si>
  <si>
    <t>t[,1]</t>
  </si>
  <si>
    <t>t[,2]</t>
  </si>
  <si>
    <t>na[]</t>
  </si>
  <si>
    <t>Treatment ID</t>
  </si>
  <si>
    <t>Drug</t>
  </si>
  <si>
    <t>Study #</t>
  </si>
  <si>
    <t>Study Name</t>
  </si>
  <si>
    <t># of Events</t>
  </si>
  <si>
    <t># of Patients</t>
  </si>
  <si>
    <t>Legend</t>
  </si>
  <si>
    <t>Number of Studies</t>
  </si>
  <si>
    <t>Number of Treatments</t>
  </si>
  <si>
    <t>#open log file</t>
  </si>
  <si>
    <t>display('log')</t>
  </si>
  <si>
    <t># check model</t>
  </si>
  <si>
    <t>#load datalist</t>
  </si>
  <si>
    <t>#compile with 3 chains</t>
  </si>
  <si>
    <t>compile(3)</t>
  </si>
  <si>
    <t>#generate inits</t>
  </si>
  <si>
    <t>gen.inits()</t>
  </si>
  <si>
    <t>#run burn in</t>
  </si>
  <si>
    <t xml:space="preserve">#monitor </t>
  </si>
  <si>
    <t>#run model</t>
  </si>
  <si>
    <t>model{</t>
  </si>
  <si>
    <t xml:space="preserve">     mu[i] ~ dnorm(0,.0001)                                                   # vague priors for baselines</t>
  </si>
  <si>
    <t xml:space="preserve">}                                                                </t>
  </si>
  <si>
    <t>}</t>
  </si>
  <si>
    <t>d[1]&lt;-0</t>
  </si>
  <si>
    <t xml:space="preserve"># Treatment 1 baseline, based on average of NP trials including it. </t>
  </si>
  <si>
    <t xml:space="preserve"># ranking </t>
  </si>
  <si>
    <t>Winbugs Directory</t>
  </si>
  <si>
    <t>Burn In Runs</t>
  </si>
  <si>
    <t>Model Runs</t>
  </si>
  <si>
    <t>Fixed Effects</t>
  </si>
  <si>
    <t>Monitor Rank</t>
  </si>
  <si>
    <t>Monitor Best</t>
  </si>
  <si>
    <t>Include DIC</t>
  </si>
  <si>
    <t>date/time</t>
  </si>
  <si>
    <t>r[,3]</t>
  </si>
  <si>
    <t>n[,3]</t>
  </si>
  <si>
    <t>r[,4]</t>
  </si>
  <si>
    <t>n[,4]</t>
  </si>
  <si>
    <t>t[,3]</t>
  </si>
  <si>
    <t>t[,4]</t>
  </si>
  <si>
    <t>Data directory</t>
  </si>
  <si>
    <t>Results Directoty</t>
  </si>
  <si>
    <t>Data Table File Name</t>
  </si>
  <si>
    <t>Fixed Effects Model File Name</t>
  </si>
  <si>
    <t>Random Effects Model File Name</t>
  </si>
  <si>
    <t>Data table List File Name</t>
  </si>
  <si>
    <t>Random Effects Inits File name</t>
  </si>
  <si>
    <t>Fixed Effects Inits File name</t>
  </si>
  <si>
    <t>Fixed Effects Results File Name</t>
  </si>
  <si>
    <t>Random Effects Results File Name</t>
  </si>
  <si>
    <t>Fixed Effect Results</t>
  </si>
  <si>
    <t>Random Effect Results</t>
  </si>
  <si>
    <t>Fixed Effect Model</t>
  </si>
  <si>
    <t>Random Effect Model</t>
  </si>
  <si>
    <t>Data Table</t>
  </si>
  <si>
    <t>Data List</t>
  </si>
  <si>
    <t>Fixed Effect Inits</t>
  </si>
  <si>
    <t>Random Effect Inits</t>
  </si>
  <si>
    <t>Monitor Risk Ratio</t>
  </si>
  <si>
    <t>Include Gelman Rubin for OR</t>
  </si>
  <si>
    <t>Include Trace for OR</t>
  </si>
  <si>
    <t>Include Trace for RR</t>
  </si>
  <si>
    <t>Include Gelman Rubin for RR</t>
  </si>
  <si>
    <t>Inits Ranges</t>
  </si>
  <si>
    <t>Include Resdev</t>
  </si>
  <si>
    <t># View Results</t>
  </si>
  <si>
    <t># save results</t>
  </si>
  <si>
    <t>#load data table</t>
  </si>
  <si>
    <t># ranking best and probability</t>
  </si>
  <si>
    <t>for(i in 1:NS)</t>
  </si>
  <si>
    <t xml:space="preserve"> { </t>
  </si>
  <si>
    <t xml:space="preserve">     for (k in 1:na[i])  </t>
  </si>
  <si>
    <t xml:space="preserve">            </t>
  </si>
  <si>
    <t>{</t>
  </si>
  <si>
    <t xml:space="preserve"> </t>
  </si>
  <si>
    <t xml:space="preserve"> }   </t>
  </si>
  <si>
    <t>for (k in 2:NT)</t>
  </si>
  <si>
    <t>d[k] ~ dnorm(0,.0001) #  vague priors for basic parameters</t>
  </si>
  <si>
    <t xml:space="preserve">}                       </t>
  </si>
  <si>
    <t xml:space="preserve">{ </t>
  </si>
  <si>
    <t xml:space="preserve">for (k in 1:NT) </t>
  </si>
  <si>
    <t xml:space="preserve">   </t>
  </si>
  <si>
    <t>for (h in 1:NT)</t>
  </si>
  <si>
    <t xml:space="preserve">for (c in 1:(NT-1)) </t>
  </si>
  <si>
    <t xml:space="preserve">{  </t>
  </si>
  <si>
    <t xml:space="preserve">for (k in (c+1):NT)  </t>
  </si>
  <si>
    <t xml:space="preserve">}  </t>
  </si>
  <si>
    <t>#END Program</t>
  </si>
  <si>
    <t>model</t>
  </si>
  <si>
    <t xml:space="preserve">        </t>
  </si>
  <si>
    <t xml:space="preserve"> w[i,1] &lt;-0</t>
  </si>
  <si>
    <t xml:space="preserve">         delta[i,1]&lt;-0</t>
  </si>
  <si>
    <t xml:space="preserve">         for (k in 1:na[i])  </t>
  </si>
  <si>
    <t xml:space="preserve">         </t>
  </si>
  <si>
    <t xml:space="preserve">             </t>
  </si>
  <si>
    <t xml:space="preserve">          </t>
  </si>
  <si>
    <t xml:space="preserve">for (k in 2:na[i]) </t>
  </si>
  <si>
    <t xml:space="preserve">              </t>
  </si>
  <si>
    <t xml:space="preserve">}   </t>
  </si>
  <si>
    <t>Automatically run</t>
  </si>
  <si>
    <t>OR[c,k] &lt;- exp(d[k] - d[c] )</t>
  </si>
  <si>
    <t>Treatment Comparisons</t>
  </si>
  <si>
    <t>2.5% CI</t>
  </si>
  <si>
    <t>Median</t>
  </si>
  <si>
    <t>97.5% CI</t>
  </si>
  <si>
    <t>lOR[c,k]&lt;-d[k]-d[c]</t>
  </si>
  <si>
    <t>Number of Treatment 1 Studies</t>
  </si>
  <si>
    <t>Program Settings</t>
  </si>
  <si>
    <t>WinBUGS Settings</t>
  </si>
  <si>
    <t>Select "True" to monitor; Convergence traces for OR and RR and/or Gelman Rubin traces for OR and RR</t>
  </si>
  <si>
    <t>Enter the number of "Burn In" runs and Model Runs</t>
  </si>
  <si>
    <t>Inits and SD are randomly selected between a low and high value.  These low and high values can be entered here</t>
  </si>
  <si>
    <t>Enter the name of the results files</t>
  </si>
  <si>
    <t>Run WinBUGS</t>
  </si>
  <si>
    <t># this code for this model was adapted from WinBUGS code from the multi-parameter Evidence Synthesis Research Group at the University of Bristol:  Website: www.bris.ac.uk/cobm/research/mpes</t>
  </si>
  <si>
    <t>OR</t>
  </si>
  <si>
    <t>Monitor Rank Probability (Rankogram)</t>
  </si>
  <si>
    <t xml:space="preserve">Monitor Odds Ratio </t>
  </si>
  <si>
    <t xml:space="preserve">Inits Fixed Effects </t>
  </si>
  <si>
    <t xml:space="preserve">Inits Random Effects </t>
  </si>
  <si>
    <t xml:space="preserve">WinBUGs Data Table and List Statement </t>
  </si>
  <si>
    <t>DISCLAIMER:</t>
  </si>
  <si>
    <t>Events are "BAD"</t>
  </si>
  <si>
    <t>Monitor Number Needed to Treat</t>
  </si>
  <si>
    <t>best[k]&lt;-equals(rk[k],1)</t>
  </si>
  <si>
    <t>Enter the path for the WinBUGS program or click folder to open Explorer window</t>
  </si>
  <si>
    <t>Low range for SD (Random Effects)</t>
  </si>
  <si>
    <t>High range for SD (Random Effects)</t>
  </si>
  <si>
    <t>Low Range for Inits  (Random and Fixed Effects)</t>
  </si>
  <si>
    <t>High range for Inits (Random and Fixed Effects)</t>
  </si>
  <si>
    <t>Enter the path for the results and data files that excel generates  click folder to open Explorer window</t>
  </si>
  <si>
    <t>Treatment Arms</t>
  </si>
  <si>
    <t>Comparisons</t>
  </si>
  <si>
    <t>r[i,k] ~ dbin(p[i,k],n[i,k])                                                     # binomial likelihood</t>
  </si>
  <si>
    <t xml:space="preserve">          SUCRA[i]&lt;-sum(cumeffectiveness[i,1:(NT-1)])/(NT-1) # The surface under the cumulative rankings for treatment i.</t>
  </si>
  <si>
    <t>for(i in 1:NT)</t>
  </si>
  <si>
    <t>All Cause Mortality</t>
  </si>
  <si>
    <t>Subjective</t>
  </si>
  <si>
    <t>Pharmacological vs Pharmacological</t>
  </si>
  <si>
    <t>Non-Pharmacological (Any)</t>
  </si>
  <si>
    <t>Semi-Objective</t>
  </si>
  <si>
    <t>Mean</t>
  </si>
  <si>
    <t>Sigma^2</t>
  </si>
  <si>
    <t>Sigma</t>
  </si>
  <si>
    <t>Intervention Type</t>
  </si>
  <si>
    <t>Outcome Type</t>
  </si>
  <si>
    <t>Intervention Type /Outcomes</t>
  </si>
  <si>
    <t>#events bad</t>
  </si>
  <si>
    <t>#events good</t>
  </si>
  <si>
    <t># events good</t>
  </si>
  <si>
    <t># events bad</t>
  </si>
  <si>
    <t># Informative log-normal prior  for heterogeneity variance parameter tau - Turner 2012</t>
  </si>
  <si>
    <t xml:space="preserve"> #  vague prior for random effects standard deviation</t>
  </si>
  <si>
    <t>Monitor Risk Difference</t>
  </si>
  <si>
    <t>Vague Prior</t>
  </si>
  <si>
    <t xml:space="preserve">r[i,k] ~ dbin(p[i,k],n[i,k])        # binomial likelihood </t>
  </si>
  <si>
    <t xml:space="preserve">} </t>
  </si>
  <si>
    <t xml:space="preserve">totresdev &lt;- sum(resdev[])       # Total Residual Deviance </t>
  </si>
  <si>
    <t>#Fixed effects model for multi-arm trials (any number of arms) - developed based on WinBUGS code from  Multi-parameter Evidence Synthesis Research Group at the University of Bristol  Website: www.bris.ac.uk/cobm/research/mpes</t>
  </si>
  <si>
    <t xml:space="preserve">model        </t>
  </si>
  <si>
    <t xml:space="preserve">for (k in 1:na[i])      # LOOP THROUGH ARMS </t>
  </si>
  <si>
    <t xml:space="preserve">dev[i,k] &lt;- 2* (r[i,k] * (log(r[i,k])-log(rhat[i,k])) + (n[i,k]-r[i,k]) *(log(n[i,k]-r[i,k]) - log(n[i,k]-rhat[i,k]))) #Deviance contribution </t>
  </si>
  <si>
    <t xml:space="preserve">d[k,k]&lt;- 0 </t>
  </si>
  <si>
    <t xml:space="preserve"> d[c,k] ~ dnorm(0,.0001)</t>
  </si>
  <si>
    <t xml:space="preserve">}  #PROGRAM ENDS </t>
  </si>
  <si>
    <t xml:space="preserve">rhat[i,k]&lt;- p[i,k] * n[i,k]     # expected value of the numerators </t>
  </si>
  <si>
    <t xml:space="preserve">mu[i]~ dnorm(0,.0001)      # vague priors for trial baselines </t>
  </si>
  <si>
    <t xml:space="preserve">logit(p[i,k]) &lt;- mu[i] + d[t[i,1],t[i,k]]    #model for linear predictor </t>
  </si>
  <si>
    <t xml:space="preserve">resdev[i] &lt;- sum(dev[i,1:na[i]])   # summed residual deviance contribution for this trial </t>
  </si>
  <si>
    <t xml:space="preserve">  }   </t>
  </si>
  <si>
    <t>totresdev &lt;- sum(resdev[])   # Total Residual Deviance</t>
  </si>
  <si>
    <t xml:space="preserve">  }  </t>
  </si>
  <si>
    <t>sd ~ dunif(0,5)  # vague prior for between-trial standard deviation</t>
  </si>
  <si>
    <t>var &lt;- pow(sd,2) # between-trial variance</t>
  </si>
  <si>
    <t>tau &lt;- 1/var     # between-trial precision</t>
  </si>
  <si>
    <t># Random effects model for multi-arm trials (any number of arms) - developed based on WinBUGS code from  Multi-parameter Evidence Synthesis Research Group at the University of Bristol  Website: www.bris.ac.uk/cobm/research/mpes</t>
  </si>
  <si>
    <t>model                      # *** PROGRAM STARTS</t>
  </si>
  <si>
    <t>r[i,k] ~ dbin(p[i,k],n[i,k]) # binomial likelihood</t>
  </si>
  <si>
    <t xml:space="preserve"> logit(p[i,k]) &lt;- mu[i] + delta[i,k]  # model for linear predictor</t>
  </si>
  <si>
    <t xml:space="preserve">rhat[i,k] &lt;- p[i,k] * n[i,k] # expected value of the numerators </t>
  </si>
  <si>
    <t>delta[i,1]&lt;-0           # treatment effect is zero in control arm</t>
  </si>
  <si>
    <t>mu[i] ~ dnorm(0,.0001)  # vague priors for trial baselines</t>
  </si>
  <si>
    <t>for (k in 1:na[i])     # LOOP THROUGH ARMS</t>
  </si>
  <si>
    <t>resdev[i] &lt;- sum(dev[i,1:na[i]]) # summed residual deviance contribution for this trial</t>
  </si>
  <si>
    <t>dev[i,k] &lt;- 2 * (r[i,k] * (log(r[i,k])-log(rhat[i,k]))  +  (n[i,k]-r[i,k]) * (log(n[i,k]-r[i,k]) - log(n[i,k]-rhat[i,k])))   #Deviance contribution</t>
  </si>
  <si>
    <t>for (k in 2:na[i])   # LOOP THROUGH ARMS</t>
  </si>
  <si>
    <t>delta[i,k] ~ dnorm(d[t[i,1],t[i,k]] ,tau) # trial-specific LOR distributions</t>
  </si>
  <si>
    <t xml:space="preserve">d[c,k] ~ dnorm(0,.0001)  </t>
  </si>
  <si>
    <t>} # PROGRAM ENDS</t>
  </si>
  <si>
    <t>set(dev)</t>
  </si>
  <si>
    <t>set(d)</t>
  </si>
  <si>
    <t>set(totresdev)</t>
  </si>
  <si>
    <t>for(i in 1:NS)            # LOOP THROUGH STUDIES</t>
  </si>
  <si>
    <t>for (c in 1:(NT-1))  # priors for all mean treatment effects</t>
  </si>
  <si>
    <t xml:space="preserve">for(i in 1:NS)            # LOOP THROUGH STUDIES </t>
  </si>
  <si>
    <t xml:space="preserve">for (k in 1:NT)      # set effects of k vs k to zero </t>
  </si>
  <si>
    <t xml:space="preserve">for (c in 1:(NT-1))       # priors for all mean treatment effects </t>
  </si>
  <si>
    <t>for (k in (c+1):NT)</t>
  </si>
  <si>
    <t>quit()</t>
  </si>
  <si>
    <t>Study</t>
  </si>
  <si>
    <t>Treatment</t>
  </si>
  <si>
    <t>Inconsistency Model</t>
  </si>
  <si>
    <t>Consistency Model</t>
  </si>
  <si>
    <t>Difference</t>
  </si>
  <si>
    <t>Data Labels</t>
  </si>
  <si>
    <t>Treament Name</t>
  </si>
  <si>
    <t>Study Name, Treatment Name</t>
  </si>
  <si>
    <t>Source:  Turner 2012</t>
  </si>
  <si>
    <t>Correct for Zero Values</t>
  </si>
  <si>
    <t>Top</t>
  </si>
  <si>
    <t>Bottom</t>
  </si>
  <si>
    <t>sheet11</t>
  </si>
  <si>
    <t>sheet15</t>
  </si>
  <si>
    <t>sheet20</t>
  </si>
  <si>
    <t>None</t>
  </si>
  <si>
    <t>Random Effects  (Informative)</t>
  </si>
  <si>
    <t>Monitor SUCRA</t>
  </si>
  <si>
    <t>Analysis</t>
  </si>
  <si>
    <t>Random Effects (Vague)</t>
  </si>
  <si>
    <t>Pharmacological vs Control/Placebo</t>
  </si>
  <si>
    <t>Outcome</t>
  </si>
  <si>
    <t>Informative</t>
  </si>
  <si>
    <t>Vague</t>
  </si>
  <si>
    <t>Treatments</t>
  </si>
  <si>
    <t>Comparison Spacing</t>
  </si>
  <si>
    <t>Analyses</t>
  </si>
  <si>
    <t>Abbreviation</t>
  </si>
  <si>
    <t>Rank</t>
  </si>
  <si>
    <t>Treatmen 1</t>
  </si>
  <si>
    <t>Treatment 2</t>
  </si>
  <si>
    <t>2.5% Cr.I.</t>
  </si>
  <si>
    <t>97.5% Cr.I.</t>
  </si>
  <si>
    <t>Treatment 1</t>
  </si>
  <si>
    <t>Treatment Name</t>
  </si>
  <si>
    <t>Treatment #</t>
  </si>
  <si>
    <t>Marker Size</t>
  </si>
  <si>
    <t>SUCRA</t>
  </si>
  <si>
    <t>InConsistency Model</t>
  </si>
  <si>
    <t>Fixed Effects Odds Ratios</t>
  </si>
  <si>
    <t>Random Effects Odds Ratios</t>
  </si>
  <si>
    <t>Plot Size</t>
  </si>
  <si>
    <t>Base Node Size</t>
  </si>
  <si>
    <t xml:space="preserve">1. NO WARRANTIES
NetMetaXL (HEREINAFTER CALLED "THIS PROGRAM") IS PROVIDED FREE OF CHARGE AND “AS IS” WITHOUT ANY WARRANTY WHATSOEVER. YOU ASSUME ALL RISKS AND RESPONSIBILITIES FOR SELECTION OF THIS PROGRAM TO ACHIEVE YOUR INTENDED RESULTS, AND FOR THE INSTALLATION OF, USE OF AND RESULTS OBTAINED FROM THIS PROGRAM. THE CREATORS OF THIS PROGRAM MAKE NO WARRANTY THAT THIS PROGRAM WILL BE ERROR FREE OR FREE FROM INTERRUPTION OR FAILURE. TO THE MAXIMUM EXTENT PERMITTED BY APPLICABLE LAW, THE CREATORS OF THIS PROGRAM DISCLAIMS ALL WARRANTIES, EITHER EXPRESS OR IMPLIED, INCLUDING BUT NOT LIMITED TO, WARRANTIES OR REPRESENTATIONS OF WORKMANSHIP, SUITABILITY OR FITNESS FOR A PARTICULAR PURPOSE, DURABILITY, AND NON INFRINGEMENT WITH RESPECT TO THIS PROGRAM. WITHOUT LIMITING THE GENERALITY OF THE FOREGOING, THE CREATORS OF THIS PROGRAM DO NOT WARRANT THAT THIS PROGRAM WILL MEET ALL OF YOUR NEEDS OR THAT OPERATION OF THIS PROGRAM WILL BE ERROR-FREE.  THE CREATORS OF THIS PROGRAM EXPRESSLY DISCLAIMS ANY EXPRESS OR IMPLIED WARRANTY REGARDING SYSTEM AND/OR SOFTWARE AVAILABILITY, ACCESSIBILITY, OR PERFORMANCE. THE CREATORS OF THIS PROGRAM RESERVES THE RIGHT TO REVISE THIS PROGRAM AND TO MAKE CHANGES THEREIN FROM TIME TO TIME WITHOUT OBLIGATION TO NOTIFY ANY PERSON OR ORGANISATION OF SUCH REVISION OR CHANGES.
2. LIMITATIONS ON LIABILITY
TO THE MAXIMUM EXTENT PERMITTED BY APPLICABLE LAW, IN NO EVENT WILL THE CREATORS OF THIS PROGRAM OR ITS SUPPLIERS OR LICENSORS BE LIABLE FOR ANY DAMAGES WHATSOEVER (INCLUDING, WITHOUT LIMITATION, DAMAGES FOR LOSS OF BUSINESS PROFITS, BUSINESS INTERRUPTION, LOSS OF BUSINESS INFORMATION, LOSS OF GOODWILL; WORK STOPPAGE; HARDWARE OR SOFTWARE FAILURE, OR OTHER PECUNIARY LOSS) ARISING OUT OF THE USE OR INABILITY TO USE THIS PROGRAM. YOU ASSUME THE ENTIRE COST OF ANY DAMAGE RESULTING FROM YOUR USE OF THIS PROGRAM AND THE INFORMATION CONTAINED IN OR COMPILED BY THIS PROGRAM.
3. GENERAL
THE TERM OF THIS AGREEMENT SHALL CONTINUE FROM THE DATE OF ACCEPTANCE TO THE DATE AT WHICH YOU REMOVE THIS PROGRAM FROM YOUR COMPUTER. SECTION 2 HEREIN SHALL SURVIVE TERMINATION OF THIS AGREEMENT.  
</t>
  </si>
  <si>
    <t>r[,5]</t>
  </si>
  <si>
    <t>n[,5]</t>
  </si>
  <si>
    <t>t[,5]</t>
  </si>
  <si>
    <t>cumeffectiveness[k,h]&lt;-sum(prob[k,1:h])   # The cumulative ranking probability of treatment i to be among the j best treatments.</t>
  </si>
  <si>
    <t>prob[k,h]&lt;-equals(rk[k],h)</t>
  </si>
  <si>
    <t>Bar Chart (Individual Treatments)</t>
  </si>
  <si>
    <t>Line Graph (Individual Treatments)</t>
  </si>
  <si>
    <t>Line Graph (All Treatments)</t>
  </si>
  <si>
    <t>Stacked Bar Chart (All Treatments)</t>
  </si>
  <si>
    <t>Chart Type</t>
  </si>
  <si>
    <t>set(sd)</t>
  </si>
  <si>
    <t>Draw Rankogram</t>
  </si>
  <si>
    <t>Random Effects  (Informative) Rankogram</t>
  </si>
  <si>
    <t>Inits Random Effects (Vague)</t>
  </si>
  <si>
    <t>Inits Random Effects (Informative)</t>
  </si>
  <si>
    <t>Inits Fixed Effects</t>
  </si>
  <si>
    <t>Study ID</t>
  </si>
  <si>
    <t>Random Effects (Informative) Inits File name</t>
  </si>
  <si>
    <t>Hide</t>
  </si>
  <si>
    <t>Low range for SD/VAR (Random Effects)</t>
  </si>
  <si>
    <t>High range for SD/VAR (Random Effects)</t>
  </si>
  <si>
    <t>Max LogORs</t>
  </si>
  <si>
    <t>Include date/time Stamp</t>
  </si>
  <si>
    <t>Uniquely labels each set of results with date/time of analysis</t>
  </si>
  <si>
    <t>Characteristic</t>
  </si>
  <si>
    <t>Number</t>
  </si>
  <si>
    <t>Comparison</t>
  </si>
  <si>
    <t xml:space="preserve">Treatment  </t>
  </si>
  <si>
    <t># Events</t>
  </si>
  <si>
    <t># Patients</t>
  </si>
  <si>
    <r>
      <t>Network Characteristics</t>
    </r>
    <r>
      <rPr>
        <sz val="12"/>
        <color theme="1"/>
        <rFont val="Calibri"/>
        <family val="2"/>
        <scheme val="minor"/>
      </rPr>
      <t> </t>
    </r>
  </si>
  <si>
    <t>Min. Rate</t>
  </si>
  <si>
    <t>Max. Rate</t>
  </si>
  <si>
    <r>
      <t># Studies</t>
    </r>
    <r>
      <rPr>
        <b/>
        <sz val="8"/>
        <rFont val="Calibri"/>
        <family val="2"/>
        <scheme val="minor"/>
      </rPr>
      <t> </t>
    </r>
  </si>
  <si>
    <t>Aggregate Rate</t>
  </si>
  <si>
    <t>Direct Comparison Characteristics</t>
  </si>
  <si>
    <r>
      <t>Intervention Characteristics</t>
    </r>
    <r>
      <rPr>
        <sz val="12"/>
        <color theme="1"/>
        <rFont val="Calibri"/>
        <family val="2"/>
        <scheme val="minor"/>
      </rPr>
      <t> </t>
    </r>
  </si>
  <si>
    <t>Number of Interventions</t>
  </si>
  <si>
    <t>Total Number of Patients in Network</t>
  </si>
  <si>
    <t>Total Number of Events in Network</t>
  </si>
  <si>
    <t>Total Possible Pairwise Comparisons</t>
  </si>
  <si>
    <t>Total Number Pairwise Comparisons With Direct Data</t>
  </si>
  <si>
    <t>Number of Two-arm Studies</t>
  </si>
  <si>
    <t>Number of Multi-Arms Studies</t>
  </si>
  <si>
    <t>Number of Studies With At Least One Zero Event</t>
  </si>
  <si>
    <t>Number of Studies with All Zero Events</t>
  </si>
  <si>
    <t>Number of Studies With  No Zero Events</t>
  </si>
  <si>
    <t>C:\Program Files\WinBUGS14\</t>
  </si>
  <si>
    <t>A</t>
  </si>
  <si>
    <t>B</t>
  </si>
  <si>
    <t>C</t>
  </si>
  <si>
    <t>D</t>
  </si>
  <si>
    <t>E</t>
  </si>
  <si>
    <t>F</t>
  </si>
  <si>
    <t>G</t>
  </si>
  <si>
    <t>H</t>
  </si>
  <si>
    <t>I</t>
  </si>
  <si>
    <t>J</t>
  </si>
  <si>
    <t>K</t>
  </si>
  <si>
    <t>L</t>
  </si>
  <si>
    <t>M</t>
  </si>
  <si>
    <t>N</t>
  </si>
  <si>
    <t>O</t>
  </si>
  <si>
    <t>C:\WinBUGS data\</t>
  </si>
  <si>
    <t>C:\WinBUGS Results\</t>
  </si>
  <si>
    <t>logit(p[i,k]) &lt;- mu[i] + d[t[i,k]] - d[t[i,1]]</t>
  </si>
  <si>
    <t>rhat[i,k] &lt;- p[i,k] * n[i,k]</t>
  </si>
  <si>
    <t>totresdev &lt;- sum(resdev[])</t>
  </si>
  <si>
    <t># Total Residual Deviance</t>
  </si>
  <si>
    <t># summed residual deviance contribution for this trial</t>
  </si>
  <si>
    <t>resdev[i] &lt;- sum(dev[i,1:na[i]])</t>
  </si>
  <si>
    <t xml:space="preserve">  </t>
  </si>
  <si>
    <t xml:space="preserve"># expected value of the numerators </t>
  </si>
  <si>
    <t># model for linear predictor</t>
  </si>
  <si>
    <t># vague priors for all trial baselines</t>
  </si>
  <si>
    <t># LOOP THROUGH ARMS</t>
  </si>
  <si>
    <t>dev[i,k] &lt;- 2 * (r[i,k] * (log(r[i,k])-log(rhat[i,k])) +  (n[i,k]-r[i,k]) * (log(n[i,k]-r[i,k]) - log(n[i,k]-rhat[i,k])))</t>
  </si>
  <si>
    <t>#Deviance contribution</t>
  </si>
  <si>
    <t>totresdev &lt;- sum(resdev[])      # Total Residual Deviance</t>
  </si>
  <si>
    <t># adjustment for multi-arm trials is zero for control arm</t>
  </si>
  <si>
    <t># treatment effect is zero for control arm</t>
  </si>
  <si>
    <t xml:space="preserve">         mu[i] ~ dnorm(0,.0001)                                                </t>
  </si>
  <si>
    <t xml:space="preserve">logit(p[i,k]) &lt;- mu[i] + delta[i,k]  </t>
  </si>
  <si>
    <t xml:space="preserve">r[i,k] ~ dbin(p[i,k],n[i,k]) </t>
  </si>
  <si>
    <t># binomial likelihood</t>
  </si>
  <si>
    <t xml:space="preserve">rhat[i,k] &lt;- p[i,k] * n[i,k]  </t>
  </si>
  <si>
    <t xml:space="preserve"> dev[i,k] &lt;- 2 * (r[i,k] * (log(r[i,k])-log(rhat[i,k]))   +  (n[i,k]-r[i,k]) * (log(n[i,k]-r[i,k]) - log(n[i,k]-rhat[i,k]))) </t>
  </si>
  <si>
    <t>#  summed residual deviance contribution for this trial</t>
  </si>
  <si>
    <t>delta[i,k] ~ dnorm(md[i,k],taud[i,k])</t>
  </si>
  <si>
    <t>md[i,k] &lt;-  d[t[i,k]] - d[t[i,1]] + sw[i,k]</t>
  </si>
  <si>
    <t>taud[i,k] &lt;- tau *2*(k-1)/k</t>
  </si>
  <si>
    <t>w[i,k] &lt;- (delta[i,k] - d[t[i,k]] + d[t[i,1]])</t>
  </si>
  <si>
    <t>sw[i,k] &lt;- sum(w[i,1:k-1])/(k-1)</t>
  </si>
  <si>
    <t># cumulative adjustment for multi-arm trials</t>
  </si>
  <si>
    <t># adjustment for multi-arm RCTs</t>
  </si>
  <si>
    <t># precision of LOR distributions (with multi-arm trial correction)</t>
  </si>
  <si>
    <t># mean of LOR distributions (with multi-arm trial correction)</t>
  </si>
  <si>
    <t># trial-specific LOR distributions</t>
  </si>
  <si>
    <t xml:space="preserve"> # LOOP THROUGH ARMS</t>
  </si>
  <si>
    <t xml:space="preserve"># pairwise ORs </t>
  </si>
  <si>
    <t># pairwise ORs</t>
  </si>
  <si>
    <t>INDOIV</t>
  </si>
  <si>
    <t>IBUIV</t>
  </si>
  <si>
    <t>IBUPO</t>
  </si>
  <si>
    <t>PARAPO</t>
  </si>
  <si>
    <t>IBUIVHIGHDOSE</t>
  </si>
  <si>
    <t>IBUPOHIGHDOSE</t>
  </si>
  <si>
    <t>IBUIVCONT</t>
  </si>
  <si>
    <t>INDOTHERS</t>
  </si>
  <si>
    <t>PLAC_NORX</t>
  </si>
  <si>
    <t>r[,6]</t>
  </si>
  <si>
    <t>n[,6]</t>
  </si>
  <si>
    <t>r[,7]</t>
  </si>
  <si>
    <t>n[,7]</t>
  </si>
  <si>
    <t>r[,8]</t>
  </si>
  <si>
    <t>n[,8]</t>
  </si>
  <si>
    <t>t[,6]</t>
  </si>
  <si>
    <t>t[,7]</t>
  </si>
  <si>
    <t>t[,8]</t>
  </si>
  <si>
    <t>NA</t>
  </si>
  <si>
    <t>END</t>
  </si>
  <si>
    <t>INDOIV vs. IBUPO</t>
  </si>
  <si>
    <t>IBUIV vs. PLAC_NORX</t>
  </si>
  <si>
    <t>INDOIV vs. INDOTHERS</t>
  </si>
  <si>
    <t>INDOIV vs. PARAPO</t>
  </si>
  <si>
    <t>IBUPO vs. PLAC_NORX</t>
  </si>
  <si>
    <t>IBUPO vs. PARAPO</t>
  </si>
  <si>
    <t>IBUIV vs. IBUPO</t>
  </si>
  <si>
    <t>INDOIV vs. PLAC_NORX</t>
  </si>
  <si>
    <t>IBUIV vs. IBUIVHIGHDOSE</t>
  </si>
  <si>
    <t>INDOIV vs. IBUIV</t>
  </si>
  <si>
    <t>IBUIV vs. IBUIVCONT</t>
  </si>
  <si>
    <t>INDOTHERS vs. PLAC_NORX</t>
  </si>
  <si>
    <t>display(log)</t>
  </si>
  <si>
    <t>data(C:/WinBUGS data/Inconsistency Data List.txt)</t>
  </si>
  <si>
    <t>data(C:/WinBUGS data/Inconsistency Data Table.txt)</t>
  </si>
  <si>
    <t>stats(*)</t>
  </si>
  <si>
    <t>model is syntactically correct</t>
  </si>
  <si>
    <t>data(C:/WinBUGS data/Data List.txt)</t>
  </si>
  <si>
    <t>data loaded</t>
  </si>
  <si>
    <t>data(C:/WinBUGS data/Data Table.txt)</t>
  </si>
  <si>
    <t>model compiled</t>
  </si>
  <si>
    <t>dic.set()</t>
  </si>
  <si>
    <t>set(rk)</t>
  </si>
  <si>
    <t>set(best)</t>
  </si>
  <si>
    <t>set(OR)</t>
  </si>
  <si>
    <t>set(prob)</t>
  </si>
  <si>
    <t>set(resdev)</t>
  </si>
  <si>
    <t>set(SUCRA)</t>
  </si>
  <si>
    <t>Node statistics</t>
  </si>
  <si>
    <t xml:space="preserve"> node</t>
  </si>
  <si>
    <t xml:space="preserve"> mean</t>
  </si>
  <si>
    <t xml:space="preserve"> sd</t>
  </si>
  <si>
    <t xml:space="preserve"> MC error</t>
  </si>
  <si>
    <t>median</t>
  </si>
  <si>
    <t>start</t>
  </si>
  <si>
    <t>sample</t>
  </si>
  <si>
    <t>OR[1,2]</t>
  </si>
  <si>
    <t>OR[1,3]</t>
  </si>
  <si>
    <t>OR[1,4]</t>
  </si>
  <si>
    <t>OR[1,5]</t>
  </si>
  <si>
    <t>OR[1,6]</t>
  </si>
  <si>
    <t>OR[1,7]</t>
  </si>
  <si>
    <t>OR[1,8]</t>
  </si>
  <si>
    <t>OR[2,3]</t>
  </si>
  <si>
    <t>OR[2,4]</t>
  </si>
  <si>
    <t>OR[2,5]</t>
  </si>
  <si>
    <t>OR[2,6]</t>
  </si>
  <si>
    <t>OR[2,7]</t>
  </si>
  <si>
    <t>OR[2,8]</t>
  </si>
  <si>
    <t>OR[3,4]</t>
  </si>
  <si>
    <t>OR[3,5]</t>
  </si>
  <si>
    <t>OR[3,6]</t>
  </si>
  <si>
    <t>OR[3,7]</t>
  </si>
  <si>
    <t>OR[3,8]</t>
  </si>
  <si>
    <t>OR[4,5]</t>
  </si>
  <si>
    <t>OR[4,6]</t>
  </si>
  <si>
    <t>OR[4,7]</t>
  </si>
  <si>
    <t>OR[4,8]</t>
  </si>
  <si>
    <t>OR[5,6]</t>
  </si>
  <si>
    <t>OR[5,7]</t>
  </si>
  <si>
    <t>OR[5,8]</t>
  </si>
  <si>
    <t>OR[6,7]</t>
  </si>
  <si>
    <t>OR[6,8]</t>
  </si>
  <si>
    <t>OR[7,8]</t>
  </si>
  <si>
    <t>SUCRA[1]</t>
  </si>
  <si>
    <t>SUCRA[2]</t>
  </si>
  <si>
    <t>SUCRA[3]</t>
  </si>
  <si>
    <t>SUCRA[4]</t>
  </si>
  <si>
    <t>SUCRA[5]</t>
  </si>
  <si>
    <t>SUCRA[6]</t>
  </si>
  <si>
    <t>SUCRA[7]</t>
  </si>
  <si>
    <t>SUCRA[8]</t>
  </si>
  <si>
    <t>best[1]</t>
  </si>
  <si>
    <t>best[2]</t>
  </si>
  <si>
    <t>best[3]</t>
  </si>
  <si>
    <t>best[4]</t>
  </si>
  <si>
    <t>best[5]</t>
  </si>
  <si>
    <t>best[6]</t>
  </si>
  <si>
    <t>best[7]</t>
  </si>
  <si>
    <t>best[8]</t>
  </si>
  <si>
    <t>dev[1,1]</t>
  </si>
  <si>
    <t>dev[1,2]</t>
  </si>
  <si>
    <t>dev[2,1]</t>
  </si>
  <si>
    <t>dev[2,2]</t>
  </si>
  <si>
    <t>dev[3,1]</t>
  </si>
  <si>
    <t>dev[3,2]</t>
  </si>
  <si>
    <t>dev[4,1]</t>
  </si>
  <si>
    <t>dev[4,2]</t>
  </si>
  <si>
    <t>dev[5,1]</t>
  </si>
  <si>
    <t>dev[5,2]</t>
  </si>
  <si>
    <t>dev[6,1]</t>
  </si>
  <si>
    <t>dev[6,2]</t>
  </si>
  <si>
    <t>dev[7,1]</t>
  </si>
  <si>
    <t>dev[7,2]</t>
  </si>
  <si>
    <t>dev[8,1]</t>
  </si>
  <si>
    <t>dev[8,2]</t>
  </si>
  <si>
    <t>dev[9,1]</t>
  </si>
  <si>
    <t>dev[9,2]</t>
  </si>
  <si>
    <t>dev[10,1]</t>
  </si>
  <si>
    <t>dev[10,2]</t>
  </si>
  <si>
    <t>dev[11,1]</t>
  </si>
  <si>
    <t>dev[11,2]</t>
  </si>
  <si>
    <t>dev[12,1]</t>
  </si>
  <si>
    <t>dev[12,2]</t>
  </si>
  <si>
    <t>dev[13,1]</t>
  </si>
  <si>
    <t>dev[13,2]</t>
  </si>
  <si>
    <t>dev[14,1]</t>
  </si>
  <si>
    <t>dev[14,2]</t>
  </si>
  <si>
    <t>dev[15,1]</t>
  </si>
  <si>
    <t>dev[15,2]</t>
  </si>
  <si>
    <t>dev[16,1]</t>
  </si>
  <si>
    <t>dev[16,2]</t>
  </si>
  <si>
    <t>dev[17,1]</t>
  </si>
  <si>
    <t>dev[17,2]</t>
  </si>
  <si>
    <t>dev[18,1]</t>
  </si>
  <si>
    <t>dev[18,2]</t>
  </si>
  <si>
    <t>dev[19,1]</t>
  </si>
  <si>
    <t>dev[19,2]</t>
  </si>
  <si>
    <t>dev[20,1]</t>
  </si>
  <si>
    <t>dev[20,2]</t>
  </si>
  <si>
    <t>dev[21,1]</t>
  </si>
  <si>
    <t>dev[21,2]</t>
  </si>
  <si>
    <t>dev[22,1]</t>
  </si>
  <si>
    <t>dev[22,2]</t>
  </si>
  <si>
    <t>dev[23,1]</t>
  </si>
  <si>
    <t>dev[23,2]</t>
  </si>
  <si>
    <t>dev[24,1]</t>
  </si>
  <si>
    <t>dev[24,2]</t>
  </si>
  <si>
    <t>dev[25,1]</t>
  </si>
  <si>
    <t>dev[25,2]</t>
  </si>
  <si>
    <t>dev[26,1]</t>
  </si>
  <si>
    <t>dev[26,2]</t>
  </si>
  <si>
    <t>dev[27,1]</t>
  </si>
  <si>
    <t>dev[27,2]</t>
  </si>
  <si>
    <t>dev[28,1]</t>
  </si>
  <si>
    <t>dev[28,2]</t>
  </si>
  <si>
    <t>dev[29,1]</t>
  </si>
  <si>
    <t>dev[29,2]</t>
  </si>
  <si>
    <t>dev[30,1]</t>
  </si>
  <si>
    <t>dev[30,2]</t>
  </si>
  <si>
    <t>dev[31,1]</t>
  </si>
  <si>
    <t>dev[31,2]</t>
  </si>
  <si>
    <t>dev[32,1]</t>
  </si>
  <si>
    <t>dev[32,2]</t>
  </si>
  <si>
    <t>prob[1,1]</t>
  </si>
  <si>
    <t>prob[1,2]</t>
  </si>
  <si>
    <t>prob[1,3]</t>
  </si>
  <si>
    <t>prob[1,4]</t>
  </si>
  <si>
    <t>prob[1,5]</t>
  </si>
  <si>
    <t>prob[1,6]</t>
  </si>
  <si>
    <t>prob[1,7]</t>
  </si>
  <si>
    <t>prob[1,8]</t>
  </si>
  <si>
    <t>prob[2,1]</t>
  </si>
  <si>
    <t>prob[2,2]</t>
  </si>
  <si>
    <t>prob[2,3]</t>
  </si>
  <si>
    <t>prob[2,4]</t>
  </si>
  <si>
    <t>prob[2,5]</t>
  </si>
  <si>
    <t>prob[2,6]</t>
  </si>
  <si>
    <t>prob[2,7]</t>
  </si>
  <si>
    <t>prob[2,8]</t>
  </si>
  <si>
    <t>prob[3,1]</t>
  </si>
  <si>
    <t>prob[3,2]</t>
  </si>
  <si>
    <t>prob[3,3]</t>
  </si>
  <si>
    <t>prob[3,4]</t>
  </si>
  <si>
    <t>prob[3,5]</t>
  </si>
  <si>
    <t>prob[3,6]</t>
  </si>
  <si>
    <t>prob[3,7]</t>
  </si>
  <si>
    <t>prob[3,8]</t>
  </si>
  <si>
    <t>prob[4,1]</t>
  </si>
  <si>
    <t>prob[4,2]</t>
  </si>
  <si>
    <t>prob[4,3]</t>
  </si>
  <si>
    <t>prob[4,4]</t>
  </si>
  <si>
    <t>prob[4,5]</t>
  </si>
  <si>
    <t>prob[4,6]</t>
  </si>
  <si>
    <t>prob[4,7]</t>
  </si>
  <si>
    <t>prob[4,8]</t>
  </si>
  <si>
    <t>prob[5,1]</t>
  </si>
  <si>
    <t>prob[5,2]</t>
  </si>
  <si>
    <t>prob[5,3]</t>
  </si>
  <si>
    <t>prob[5,4]</t>
  </si>
  <si>
    <t>prob[5,5]</t>
  </si>
  <si>
    <t>prob[5,6]</t>
  </si>
  <si>
    <t>prob[5,7]</t>
  </si>
  <si>
    <t>prob[5,8]</t>
  </si>
  <si>
    <t>prob[6,1]</t>
  </si>
  <si>
    <t>prob[6,2]</t>
  </si>
  <si>
    <t>prob[6,3]</t>
  </si>
  <si>
    <t>prob[6,4]</t>
  </si>
  <si>
    <t>prob[6,5]</t>
  </si>
  <si>
    <t>prob[6,6]</t>
  </si>
  <si>
    <t>prob[6,7]</t>
  </si>
  <si>
    <t>prob[6,8]</t>
  </si>
  <si>
    <t>prob[7,1]</t>
  </si>
  <si>
    <t>prob[7,2]</t>
  </si>
  <si>
    <t>prob[7,3]</t>
  </si>
  <si>
    <t>prob[7,4]</t>
  </si>
  <si>
    <t>prob[7,5]</t>
  </si>
  <si>
    <t>prob[7,6]</t>
  </si>
  <si>
    <t>prob[7,7]</t>
  </si>
  <si>
    <t>prob[7,8]</t>
  </si>
  <si>
    <t>prob[8,1]</t>
  </si>
  <si>
    <t>prob[8,2]</t>
  </si>
  <si>
    <t>prob[8,3]</t>
  </si>
  <si>
    <t>prob[8,4]</t>
  </si>
  <si>
    <t>prob[8,5]</t>
  </si>
  <si>
    <t>prob[8,6]</t>
  </si>
  <si>
    <t>prob[8,7]</t>
  </si>
  <si>
    <t>prob[8,8]</t>
  </si>
  <si>
    <t>resdev[1]</t>
  </si>
  <si>
    <t>resdev[2]</t>
  </si>
  <si>
    <t>resdev[3]</t>
  </si>
  <si>
    <t>resdev[4]</t>
  </si>
  <si>
    <t>resdev[5]</t>
  </si>
  <si>
    <t>resdev[6]</t>
  </si>
  <si>
    <t>resdev[7]</t>
  </si>
  <si>
    <t>resdev[8]</t>
  </si>
  <si>
    <t>resdev[9]</t>
  </si>
  <si>
    <t>resdev[10]</t>
  </si>
  <si>
    <t>resdev[11]</t>
  </si>
  <si>
    <t>resdev[12]</t>
  </si>
  <si>
    <t>resdev[13]</t>
  </si>
  <si>
    <t>resdev[14]</t>
  </si>
  <si>
    <t>resdev[15]</t>
  </si>
  <si>
    <t>resdev[16]</t>
  </si>
  <si>
    <t>resdev[17]</t>
  </si>
  <si>
    <t>resdev[18]</t>
  </si>
  <si>
    <t>resdev[19]</t>
  </si>
  <si>
    <t>resdev[20]</t>
  </si>
  <si>
    <t>resdev[21]</t>
  </si>
  <si>
    <t>resdev[22]</t>
  </si>
  <si>
    <t>resdev[23]</t>
  </si>
  <si>
    <t>resdev[24]</t>
  </si>
  <si>
    <t>resdev[25]</t>
  </si>
  <si>
    <t>resdev[26]</t>
  </si>
  <si>
    <t>resdev[27]</t>
  </si>
  <si>
    <t>resdev[28]</t>
  </si>
  <si>
    <t>resdev[29]</t>
  </si>
  <si>
    <t>resdev[30]</t>
  </si>
  <si>
    <t>resdev[31]</t>
  </si>
  <si>
    <t>resdev[32]</t>
  </si>
  <si>
    <t>rk[1]</t>
  </si>
  <si>
    <t>rk[2]</t>
  </si>
  <si>
    <t>rk[3]</t>
  </si>
  <si>
    <t>rk[4]</t>
  </si>
  <si>
    <t>rk[5]</t>
  </si>
  <si>
    <t>rk[6]</t>
  </si>
  <si>
    <t>rk[7]</t>
  </si>
  <si>
    <t>rk[8]</t>
  </si>
  <si>
    <t>totresdev</t>
  </si>
  <si>
    <t>dic.stats()</t>
  </si>
  <si>
    <t>DIC</t>
  </si>
  <si>
    <t>Dbar = post.mean of -2logL; Dhat = -2LogL at post.mean of stochastic nodes</t>
  </si>
  <si>
    <t>Dbar</t>
  </si>
  <si>
    <t>Dhat</t>
  </si>
  <si>
    <t>pD</t>
  </si>
  <si>
    <t>r</t>
  </si>
  <si>
    <t>total</t>
  </si>
  <si>
    <t>gr(OR)</t>
  </si>
  <si>
    <t>Gelman Rubin statistic</t>
  </si>
  <si>
    <t>trace(OR)</t>
  </si>
  <si>
    <t>Dynamic trace</t>
  </si>
  <si>
    <t>IBUIV versus INDOIV</t>
  </si>
  <si>
    <t>IBUPO versus INDOIV</t>
  </si>
  <si>
    <t>PARAPO versus INDOIV</t>
  </si>
  <si>
    <t>IBUIVHIGHDOSE versus INDOIV</t>
  </si>
  <si>
    <t>IBUIVCONT versus INDOIV</t>
  </si>
  <si>
    <t>INDOTHERS versus INDOIV</t>
  </si>
  <si>
    <t>PLAC_NORX versus INDOIV</t>
  </si>
  <si>
    <t>IBUPO versus IBUIV</t>
  </si>
  <si>
    <t>PARAPO versus IBUIV</t>
  </si>
  <si>
    <t>IBUIVHIGHDOSE versus IBUIV</t>
  </si>
  <si>
    <t>IBUIVCONT versus IBUIV</t>
  </si>
  <si>
    <t>INDOTHERS versus IBUIV</t>
  </si>
  <si>
    <t>PLAC_NORX versus IBUIV</t>
  </si>
  <si>
    <t>PARAPO versus IBUPO</t>
  </si>
  <si>
    <t>IBUIVHIGHDOSE versus IBUPO</t>
  </si>
  <si>
    <t>IBUIVCONT versus IBUPO</t>
  </si>
  <si>
    <t>INDOTHERS versus IBUPO</t>
  </si>
  <si>
    <t>PLAC_NORX versus IBUPO</t>
  </si>
  <si>
    <t>IBUIVHIGHDOSE versus PARAPO</t>
  </si>
  <si>
    <t>IBUIVCONT versus PARAPO</t>
  </si>
  <si>
    <t>INDOTHERS versus PARAPO</t>
  </si>
  <si>
    <t>PLAC_NORX versus PARAPO</t>
  </si>
  <si>
    <t>IBUIVCONT versus IBUIVHIGHDOSE</t>
  </si>
  <si>
    <t>INDOTHERS versus IBUIVHIGHDOSE</t>
  </si>
  <si>
    <t>PLAC_NORX versus IBUIVHIGHDOSE</t>
  </si>
  <si>
    <t>INDOTHERS versus IBUIVCONT</t>
  </si>
  <si>
    <t>PLAC_NORX versus IBUIVCONT</t>
  </si>
  <si>
    <t>PLAC_NORX versus INDOTHERS</t>
  </si>
  <si>
    <t>PARAPO versus INDOTHERS</t>
  </si>
  <si>
    <t>PARAPO versus IBUIVCONT</t>
  </si>
  <si>
    <t>PARAPO versus PLAC_NORX</t>
  </si>
  <si>
    <t>IBUPO versus INDOTHERS</t>
  </si>
  <si>
    <t>IBUPO versus IBUIVCONT</t>
  </si>
  <si>
    <t>IBUPO versus PLAC_NORX</t>
  </si>
  <si>
    <t>INDOIV versus INDOTHERS</t>
  </si>
  <si>
    <t>INDOIV versus IBUIV</t>
  </si>
  <si>
    <t>INDOIV versus IBUIVCONT</t>
  </si>
  <si>
    <t>INDOIV versus PLAC_NORX</t>
  </si>
  <si>
    <t>INDOTHERS versus PLAC_NORX</t>
  </si>
  <si>
    <t>IBUIV versus IBUIVCONT</t>
  </si>
  <si>
    <t>IBUIV versus PLAC_NORX</t>
  </si>
  <si>
    <t>IBUIVCONT versus PLAC_NORX</t>
  </si>
  <si>
    <t>check(C:/WinBUGS data/Random Effect Model (Informative).txt)</t>
  </si>
  <si>
    <t>inits(1,C:/WinBUGS data/Random Effect Inits (Informative)1.txt)</t>
  </si>
  <si>
    <t>this chain contains uninitialized variables</t>
  </si>
  <si>
    <t>inits(2,C:/WinBUGS data/Random Effect Inits (Informative)2.txt)</t>
  </si>
  <si>
    <t>inits(3,C:/WinBUGS data/Random Effect Inits (Informative)3.txt)</t>
  </si>
  <si>
    <t>initial values generated, model initialized</t>
  </si>
  <si>
    <t>sd</t>
  </si>
  <si>
    <t>list(mu=c(2,1,0.5,0.5,1,1,1,0.5,1,0.5,1.5,1.5,1.5,1,1.5,2,0,1.5,1,1,0.5,1,1.5,1.5,1.5,0,1.5,0.5,0.5,1.5,1.5,0.5,0.5,1.5,1.5,1,2,1,0,0.5,1.5,1.5,1,0,1,0.5,0.5), d= structure(.Data = c(NA,1,0.5,1.5,1.5,0.5,1,1.5,0.5,1, NA,NA,0.5,1,1,0.5,0,1,1.5,2, NA,NA,NA,1.5,0.5,1.5,0.5,1,0,0, NA,NA,NA,NA,0.5,0.5,0.5,0.5,1,0.5, NA,NA,NA,NA,NA,1,2,0,1.5,0.5, NA,NA,NA,NA,NA,NA,1,1.5,1,1.5, NA,NA,NA,NA,NA,NA,NA,1,1.5,2, NA,NA,NA,NA,NA,NA,NA,NA,1,0.5, NA,NA,NA,NA,NA,NA,NA,NA,NA,1.5, NA,NA,NA,NA,NA,NA,NA,NA,NA,NA), .Dim =c(10, 10)))</t>
  </si>
  <si>
    <t>list(mu=c(2,1,0.5,1,1.5,0,1,2,1,0,2,1.5,1,2,0,0,0.5,0,0.5,1.5,0,1.5,1.5,1.5,0.5,0.5,0.5,2,1.5,1.5,1.5,0.5,0.5,0.5,1.5,0.5,1.5,1,1.5,0,0.5,1,0.5,2,0.5,1.5,0), d= structure(.Data = c(NA,1,0.5,1.5,1,2,1,1.5,1,0.5, NA,NA,2,1,0.5,0.5,1,1,0.5,0, NA,NA,NA,1.5,1,1,0.5,1,1.5,0.5, NA,NA,NA,NA,1.5,0.5,1,1.5,0,0.5, NA,NA,NA,NA,NA,0.5,1,0.5,2,2, NA,NA,NA,NA,NA,NA,1,1.5,1.5,1, NA,NA,NA,NA,NA,NA,NA,1.5,2,2, NA,NA,NA,NA,NA,NA,NA,NA,1.5,1.5, NA,NA,NA,NA,NA,NA,NA,NA,NA,0.5, NA,NA,NA,NA,NA,NA,NA,NA,NA,NA), .Dim =c(10, 10)))</t>
  </si>
  <si>
    <t>list(mu=c(1,0,0,1,0,0.5,1,1.5,1.5,0.5,0.5,0,0.5,2,1.5,2,1,0,1,1,1,1,1,1.5,1.5,2,0.5,0.5,1.5,0.5,2,1,1,0,1.5,1,1,1.5,2,1,1,1.5,0.5,0.5,1.5,0.5,1), d= structure(.Data = c(NA,0,0.5,2,1,0.5,1.5,1.5,1,1, NA,NA,1,0,1.5,1,1.5,0.5,0,1, NA,NA,NA,1.5,1.5,1,1.5,1.5,0.5,2, NA,NA,NA,NA,0.5,0.5,1,1,0,1, NA,NA,NA,NA,NA,1.5,1,0.5,0.5,0.5, NA,NA,NA,NA,NA,NA,1,0,0.5,1.5, NA,NA,NA,NA,NA,NA,NA,0.5,0.5,1.5, NA,NA,NA,NA,NA,NA,NA,NA,1,1, NA,NA,NA,NA,NA,NA,NA,NA,NA,0, NA,NA,NA,NA,NA,NA,NA,NA,NA,NA), .Dim =c(10, 10)))</t>
  </si>
  <si>
    <t>d[1,2]</t>
  </si>
  <si>
    <t>d[1,3]</t>
  </si>
  <si>
    <t>d[1,4]</t>
  </si>
  <si>
    <t>d[1,5]</t>
  </si>
  <si>
    <t>d[1,6]</t>
  </si>
  <si>
    <t>d[1,7]</t>
  </si>
  <si>
    <t>d[1,8]</t>
  </si>
  <si>
    <t>d[2,3]</t>
  </si>
  <si>
    <t>d[2,4]</t>
  </si>
  <si>
    <t>d[2,5]</t>
  </si>
  <si>
    <t>d[2,6]</t>
  </si>
  <si>
    <t>d[2,7]</t>
  </si>
  <si>
    <t>d[2,8]</t>
  </si>
  <si>
    <t>d[3,4]</t>
  </si>
  <si>
    <t>d[3,5]</t>
  </si>
  <si>
    <t>d[3,6]</t>
  </si>
  <si>
    <t>d[3,7]</t>
  </si>
  <si>
    <t>d[3,8]</t>
  </si>
  <si>
    <t>d[4,5]</t>
  </si>
  <si>
    <t>d[4,6]</t>
  </si>
  <si>
    <t>d[4,7]</t>
  </si>
  <si>
    <t>d[4,8]</t>
  </si>
  <si>
    <t>d[5,6]</t>
  </si>
  <si>
    <t>d[5,7]</t>
  </si>
  <si>
    <t>d[5,8]</t>
  </si>
  <si>
    <t>d[6,7]</t>
  </si>
  <si>
    <t>d[6,8]</t>
  </si>
  <si>
    <t>d[7,8]</t>
  </si>
  <si>
    <t>check(C:/WinBUGS data/Inconsistency Random Effect Model (Vague).txt)</t>
  </si>
  <si>
    <t>inits(1,C:/WinBUGS data/Inconsistency Random Effect Inits (Vague)1.txt)</t>
  </si>
  <si>
    <t>inits(2,C:/WinBUGS data/Inconsistency Random Effect Inits (Vague)2.txt)</t>
  </si>
  <si>
    <t>inits(3,C:/WinBUGS data/Inconsistency Random Effect Inits (Vague)3.txt)</t>
  </si>
  <si>
    <t>list(NS=32, NT=8)</t>
  </si>
  <si>
    <t>list(d=c(NA,1.5,0.5,0,1.5,1.5,2,2), sd=1.5, mu=c(1,1.5,1.5,2,1.5,1,1.5,0,0.5,1,2,0.5,1,0.5,0.5,1,1.5,2,1,1.5,0,1,1,1,0.5,1,0.5,1.5,2,1,1,1.5))</t>
  </si>
  <si>
    <t>list(d=c(NA,1,0.5,1.5,0,1.5,1.5,1.5), sd=2, mu=c(0.5,0.5,1.5,2,2,0,0,0,0,0.5,1,0.5,1,1.5,1,2,1,1.5,0,2,1,1.5,1,0.5,2,0.5,1,1,1.5,0,1.5,0))</t>
  </si>
  <si>
    <t>list(d=c(NA,1,1.5,1.5,1,0.5,0,1), sd=1.5, mu=c(1,0.5,1,0.5,0.5,2,1,1.5,0.5,2,0.5,1.5,1.5,0.5,0,0.5,0.5,1.5,1,1.5,2,1,0.5,0,0,1,0.5,0.5,1,1.5,1,0.5))</t>
  </si>
  <si>
    <t>list(d=c(NA,0,0.5,1.5,0,1,1.5,1), var=2, mu=c(0.5,0.5,1,1.5,0.5,0.5,0.5,0.5,0.5,1.5,1,1,2,0.5,2,0.5,1,1.5,2,1,1,1,0.5,1.5,0.5,1,0.5,0.5,1,1.5,0,1))</t>
  </si>
  <si>
    <t>list(d=c(NA,0,0,1,0.5,0.5,2,1.5), var=1.5, mu=c(0,2,0.5,0.5,0,1.5,1,0,1.5,2,0,2,1,1,0.5,1,1,1.5,0.5,1.5,1,1,1,2,0.5,0.5,2,1.5,1.5,0.5,0,1))</t>
  </si>
  <si>
    <t>list(d=c(NA,0.5,1,1.5,1.5,0.5,1,1.5), var=1, mu=c(1,0,1.5,1.5,0,0.5,0.5,1,1,0.5,1.5,0,0.5,0.5,0,2,1.5,1.5,1,0.5,1.5,1,1,0.5,0.5,1,1,1.5,0.5,2,1.5,0))</t>
  </si>
  <si>
    <t>list(d=c(NA,0,1.5,0.5,1.5,1.5,1.5,1), mu=c(1.5,1.5,1,1.5,0.5,2,2,1,0.5,1,1,1.5,0.5,1.5,1.5,2,2,0,1.5,0.5,1,1.5,0.5,0.5,1,1,1.5,1,0.5,0.5,1.5,1))</t>
  </si>
  <si>
    <t>list(d=c(NA,0.5,1,1,1,0,0,0.5), mu=c(1.5,0.5,2,0.5,0,1,0.5,0.5,1,2,1.5,1.5,0.5,0,1.5,1.5,2,2,1,0.5,0,1.5,2,1.5,0.5,0.5,1,0.5,0.5,0,0.5,1.5))</t>
  </si>
  <si>
    <t>list(d=c(NA,0,1,1.5,2,1.5,1,2), mu=c(1,0.5,0,0,1,1,1,1,2,1.5,0,1,0.5,1,0.5,1.5,1,1.5,0,1,0.5,1,0.5,0.5,2,1,2,1.5,0.5,1.5,1.5,1.5))</t>
  </si>
  <si>
    <t>check(C:/WinBUGS data/Random Effect Model (Vague).txt)</t>
  </si>
  <si>
    <t>inits(1,C:/WinBUGS data/Random Effect Inits (Vague)1.txt)</t>
  </si>
  <si>
    <t>inits(2,C:/WinBUGS data/Random Effect Inits (Vague)2.txt)</t>
  </si>
  <si>
    <t>inits(3,C:/WinBUGS data/Random Effect Inits (Vague)3.txt)</t>
  </si>
  <si>
    <t>update(10000)</t>
  </si>
  <si>
    <t>save(C:/WinBUGS Results/Random Effect Results (Vague ) 7 10 2017 11 08 06 AM.txt)</t>
  </si>
  <si>
    <t>IBUPO versus PARAPO</t>
  </si>
  <si>
    <t>IBUPO versus IBUIVHIGHDOSE</t>
  </si>
  <si>
    <t>PARAPO versus IBUIVHIGHDOSE</t>
  </si>
  <si>
    <t>INDOIV versus IBUIVHIGHDOSE</t>
  </si>
  <si>
    <t>IBUIV versus INDOTHERS</t>
  </si>
  <si>
    <t>IBUIV versus IBUIVHIGHDOSE</t>
  </si>
  <si>
    <t>IBUIVCONT versus INDOTHERS</t>
  </si>
  <si>
    <t>save(C:/WinBUGS Results/Random Effect Results (Informative) 7 10 2017 11 09 11 AM.txt)</t>
  </si>
  <si>
    <t>list(mu=c(1,0.5,1.5,2,0,1,0.5,1,1,0.5,0,1.5,2,1,1,1,0,1,1,0.5,1.5,0,0.5,1,0.5,1.5,1,1,0.5,1,0,2), sd=2, d= structure(.Data = c(NA,2,1.5,1.5,0.5,0.5,0.5,1.5, NA,NA,1.5,1.5,1,2,2,0, NA,NA,NA,1.5,0.5,1.5,1,1.5, NA,NA,NA,NA,2,1,0.5,0.5, NA,NA,NA,NA,NA,1,1,1, NA,NA,NA,NA,NA,NA,0.5,1, NA,NA,NA,NA,NA,NA,NA,0.5), .Dim =c(7, 8)))</t>
  </si>
  <si>
    <t>list(mu=c(0,1.5,0.5,0.5,2,2,1.5,1.5,1,1,2,2,1.5,1.5,0.5,0.5,0.5,0.5,0,1.5,0.5,0.5,2,1.5,0,1.5,1,0.5,1,1,1,2), sd=2, d= structure(.Data = c(NA,0.5,0,0,1,0.5,1,1, NA,NA,1,1,1.5,0.5,0.5,0.5, NA,NA,NA,1,1,0,0,1, NA,NA,NA,NA,2,1,0.5,1, NA,NA,NA,NA,NA,1.5,0,1, NA,NA,NA,NA,NA,NA,2,1, NA,NA,NA,NA,NA,NA,NA,0), .Dim =c(7, 8)))</t>
  </si>
  <si>
    <t>list(mu=c(1,0.5,1,2,1.5,1,0,0.5,1,0.5,0,0.5,1,1.5,0.5,1,1.5,2,1,2,0,1,1.5,0.5,1.5,0.5,1.5,0.5,0.5,1,0.5,1.5), sd=2, d= structure(.Data = c(NA,0.5,0.5,0,1,1.5,1,1.5, NA,NA,2,0.5,1,1.5,0.5,2, NA,NA,NA,1,1.5,1,1,1, NA,NA,NA,NA,1,0,0,1, NA,NA,NA,NA,NA,0,0.5,1, NA,NA,NA,NA,NA,NA,1.5,1.5, NA,NA,NA,NA,NA,NA,NA,0.5), .Dim =c(7, 8)))</t>
  </si>
  <si>
    <t>save(C:/WinBUGS Results/Inconsistency Random Effect Results (Vague ) 7 10 2017 11 10 13 AM.txt)</t>
  </si>
  <si>
    <t>OR &lt;1 Means the Treatment in Top Left is Better</t>
  </si>
  <si>
    <t>1.09
(0.47 – 2.65)</t>
  </si>
  <si>
    <t>0.68
(0.40 – 1.14)</t>
  </si>
  <si>
    <t>0.62
(0.36 – 1.03)</t>
  </si>
  <si>
    <t>0.55
(0.17 – 1.83)</t>
  </si>
  <si>
    <t>0.50
(0.24 – 1.02)</t>
  </si>
  <si>
    <t>0.50
(0.28 – 0.84)</t>
  </si>
  <si>
    <t>0.29
(0.08 – 1.00)</t>
  </si>
  <si>
    <t>0.63
(0.25 – 1.53)</t>
  </si>
  <si>
    <t>0.57
(0.22 – 1.38)</t>
  </si>
  <si>
    <t>0.50
(0.13 – 2.11)</t>
  </si>
  <si>
    <t>0.46
(0.17 – 1.27)</t>
  </si>
  <si>
    <t>0.46
(0.17 – 1.12)</t>
  </si>
  <si>
    <t>0.27
(0.06 – 1.11)</t>
  </si>
  <si>
    <t>0.91
(0.65 – 1.28)</t>
  </si>
  <si>
    <t>0.80
(0.27 – 2.47)</t>
  </si>
  <si>
    <t>0.74
(0.43 – 1.27)</t>
  </si>
  <si>
    <t>0.73
(0.45 – 1.12)</t>
  </si>
  <si>
    <t>0.42
(0.12 – 1.37)</t>
  </si>
  <si>
    <t>0.88
(0.31 – 2.55)</t>
  </si>
  <si>
    <t>0.81
(0.43 – 1.54)</t>
  </si>
  <si>
    <t>0.80
(0.48 – 1.32)</t>
  </si>
  <si>
    <t>0.47
(0.15 – 1.41)</t>
  </si>
  <si>
    <t>0.91
(0.25 – 3.22)</t>
  </si>
  <si>
    <t>0.90
(0.28 – 2.88)</t>
  </si>
  <si>
    <t>0.53
(0.11 – 2.41)</t>
  </si>
  <si>
    <t>0.98
(0.50 – 1.92)</t>
  </si>
  <si>
    <t>0.57
(0.16 – 2.11)</t>
  </si>
  <si>
    <t>0.58
(0.17 – 2.02)</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</si>
</sst>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dd/mm/yyyy\ h:mm:ss"/>
    <numFmt numFmtId="165" formatCode="0.0000"/>
  </numFmts>
  <fonts count="23" x14ac:knownFonts="1">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sz val="11"/>
      <name val="Calibri"/>
      <family val="2"/>
      <scheme val="minor"/>
    </font>
    <font>
      <sz val="11"/>
      <color theme="0"/>
      <name val="Calibri"/>
      <family val="2"/>
      <scheme val="minor"/>
    </font>
    <font>
      <b/>
      <sz val="11"/>
      <color rgb="FF00549E"/>
      <name val="Calibri"/>
      <family val="2"/>
      <scheme val="minor"/>
    </font>
    <font>
      <b/>
      <sz val="20"/>
      <color rgb="FF00549E"/>
      <name val="Calibri"/>
      <family val="2"/>
      <scheme val="minor"/>
    </font>
    <font>
      <b/>
      <sz val="12"/>
      <color rgb="FFFFFFFF"/>
      <name val="Calibri"/>
      <family val="2"/>
      <scheme val="minor"/>
    </font>
    <font>
      <b/>
      <i/>
      <sz val="8"/>
      <color theme="1"/>
      <name val="Calibri"/>
      <family val="2"/>
      <scheme val="minor"/>
    </font>
    <font>
      <sz val="10"/>
      <color theme="1"/>
      <name val="Calibri"/>
      <family val="2"/>
      <scheme val="minor"/>
    </font>
    <font>
      <i/>
      <sz val="11"/>
      <color theme="1"/>
      <name val="Calibri"/>
      <family val="2"/>
      <scheme val="minor"/>
    </font>
    <font>
      <i/>
      <sz val="10"/>
      <color rgb="FF333333"/>
      <name val="Tahoma"/>
      <family val="2"/>
    </font>
    <font>
      <b/>
      <sz val="11"/>
      <color theme="0"/>
      <name val="Calibri"/>
      <family val="2"/>
      <scheme val="minor"/>
    </font>
    <font>
      <b/>
      <sz val="10.5"/>
      <color rgb="FFFFFFFF"/>
      <name val="Calibri"/>
      <family val="2"/>
      <scheme val="minor"/>
    </font>
    <font>
      <b/>
      <sz val="11"/>
      <color rgb="FFFFFFFF"/>
      <name val="Calibri"/>
      <family val="2"/>
      <scheme val="minor"/>
    </font>
    <font>
      <sz val="8"/>
      <color theme="1"/>
      <name val="Calibri"/>
      <family val="2"/>
      <scheme val="minor"/>
    </font>
    <font>
      <b/>
      <sz val="11"/>
      <color rgb="FF000000"/>
      <name val="Calibri"/>
      <family val="2"/>
      <scheme val="minor"/>
    </font>
    <font>
      <sz val="11"/>
      <color rgb="FF000000"/>
      <name val="Calibri"/>
      <family val="2"/>
      <scheme val="minor"/>
    </font>
    <font>
      <b/>
      <u/>
      <sz val="12"/>
      <color rgb="FF000000"/>
      <name val="Calibri"/>
      <family val="2"/>
      <scheme val="minor"/>
    </font>
    <font>
      <sz val="12"/>
      <color theme="1"/>
      <name val="Calibri"/>
      <family val="2"/>
      <scheme val="minor"/>
    </font>
    <font>
      <b/>
      <sz val="11"/>
      <name val="Calibri"/>
      <family val="2"/>
      <scheme val="minor"/>
    </font>
    <font>
      <b/>
      <sz val="8"/>
      <name val="Calibri"/>
      <family val="2"/>
      <scheme val="minor"/>
    </font>
  </fonts>
  <fills count="11">
    <fill>
      <patternFill patternType="none"/>
    </fill>
    <fill>
      <patternFill patternType="gray125"/>
    </fill>
    <fill>
      <patternFill patternType="solid">
        <fgColor rgb="FF00549E"/>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theme="6" tint="0.39997558519241921"/>
        <bgColor indexed="64"/>
      </patternFill>
    </fill>
    <fill>
      <patternFill patternType="solid">
        <fgColor theme="6" tint="0.59999389629810485"/>
        <bgColor indexed="64"/>
      </patternFill>
    </fill>
    <fill>
      <patternFill patternType="solid">
        <fgColor theme="4"/>
        <bgColor indexed="64"/>
      </patternFill>
    </fill>
    <fill>
      <patternFill patternType="solid">
        <fgColor theme="0" tint="-0.14999847407452621"/>
        <bgColor indexed="64"/>
      </patternFill>
    </fill>
    <fill>
      <patternFill patternType="solid">
        <fgColor rgb="FFC5D9F1"/>
        <bgColor indexed="64"/>
      </patternFill>
    </fill>
    <fill>
      <patternFill patternType="solid">
        <fgColor theme="3" tint="0.79995117038483843"/>
        <bgColor indexed="64"/>
      </patternFill>
    </fill>
  </fills>
  <borders count="59">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style="medium">
        <color indexed="64"/>
      </left>
      <right style="medium">
        <color indexed="64"/>
      </right>
      <top/>
      <bottom style="medium">
        <color indexed="64"/>
      </bottom>
      <diagonal/>
    </border>
    <border>
      <left/>
      <right/>
      <top style="medium">
        <color indexed="64"/>
      </top>
      <bottom style="medium">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double">
        <color theme="0"/>
      </left>
      <right/>
      <top style="double">
        <color theme="0"/>
      </top>
      <bottom/>
      <diagonal/>
    </border>
    <border>
      <left/>
      <right/>
      <top style="double">
        <color theme="0"/>
      </top>
      <bottom/>
      <diagonal/>
    </border>
    <border>
      <left/>
      <right style="double">
        <color theme="0"/>
      </right>
      <top style="double">
        <color theme="0"/>
      </top>
      <bottom/>
      <diagonal/>
    </border>
    <border>
      <left style="double">
        <color theme="0"/>
      </left>
      <right/>
      <top/>
      <bottom style="double">
        <color theme="0"/>
      </bottom>
      <diagonal/>
    </border>
    <border>
      <left/>
      <right/>
      <top/>
      <bottom style="double">
        <color theme="0"/>
      </bottom>
      <diagonal/>
    </border>
    <border>
      <left/>
      <right style="double">
        <color theme="0"/>
      </right>
      <top/>
      <bottom style="double">
        <color theme="0"/>
      </bottom>
      <diagonal/>
    </border>
    <border>
      <left style="double">
        <color theme="0"/>
      </left>
      <right/>
      <top/>
      <bottom/>
      <diagonal/>
    </border>
    <border>
      <left/>
      <right style="double">
        <color theme="0"/>
      </right>
      <top/>
      <bottom/>
      <diagonal/>
    </border>
    <border>
      <left style="double">
        <color theme="0"/>
      </left>
      <right/>
      <top style="double">
        <color theme="0"/>
      </top>
      <bottom style="double">
        <color theme="0"/>
      </bottom>
      <diagonal/>
    </border>
    <border>
      <left/>
      <right/>
      <top style="double">
        <color theme="0"/>
      </top>
      <bottom style="double">
        <color theme="0"/>
      </bottom>
      <diagonal/>
    </border>
    <border>
      <left/>
      <right style="double">
        <color theme="0"/>
      </right>
      <top style="double">
        <color theme="0"/>
      </top>
      <bottom style="double">
        <color theme="0"/>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double">
        <color indexed="64"/>
      </bottom>
      <diagonal/>
    </border>
    <border>
      <left style="double">
        <color indexed="64"/>
      </left>
      <right style="double">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diagonal/>
    </border>
    <border>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style="thin">
        <color indexed="64"/>
      </left>
      <right/>
      <top style="medium">
        <color indexed="64"/>
      </top>
      <bottom style="medium">
        <color indexed="64"/>
      </bottom>
      <diagonal/>
    </border>
  </borders>
  <cellStyleXfs count="1">
    <xf numFmtId="0" fontId="0" fillId="0" borderId="0"/>
  </cellStyleXfs>
  <cellXfs count="280">
    <xf numFmtId="0" fontId="0" fillId="0" borderId="0" xfId="0"/>
    <xf numFmtId="0" fontId="0" fillId="0" borderId="15" xfId="0" applyBorder="1" applyAlignment="1">
      <alignment horizontal="center" vertical="center"/>
    </xf>
    <xf numFmtId="0" fontId="0" fillId="0" borderId="17" xfId="0" applyBorder="1" applyAlignment="1">
      <alignment horizontal="center" vertical="center"/>
    </xf>
    <xf numFmtId="0" fontId="1" fillId="0" borderId="19" xfId="0" applyFont="1" applyBorder="1" applyAlignment="1">
      <alignment horizontal="center" vertical="center"/>
    </xf>
    <xf numFmtId="0" fontId="1" fillId="0" borderId="18" xfId="0" applyFont="1" applyBorder="1" applyAlignment="1">
      <alignment horizontal="left" vertical="center"/>
    </xf>
    <xf numFmtId="0" fontId="0" fillId="0" borderId="14" xfId="0" applyBorder="1" applyAlignment="1">
      <alignment horizontal="left" vertical="center"/>
    </xf>
    <xf numFmtId="0" fontId="0" fillId="0" borderId="16" xfId="0" applyBorder="1" applyAlignment="1">
      <alignment horizontal="left" vertical="center"/>
    </xf>
    <xf numFmtId="0" fontId="1" fillId="0" borderId="0" xfId="0" applyFont="1"/>
    <xf numFmtId="0" fontId="0" fillId="0" borderId="0" xfId="0" applyAlignment="1">
      <alignment horizontal="center"/>
    </xf>
    <xf numFmtId="0" fontId="2" fillId="0" borderId="23" xfId="0" applyFont="1" applyBorder="1"/>
    <xf numFmtId="0" fontId="0" fillId="0" borderId="23" xfId="0" applyBorder="1"/>
    <xf numFmtId="0" fontId="0" fillId="0" borderId="0" xfId="0" applyAlignment="1">
      <alignment horizontal="right"/>
    </xf>
    <xf numFmtId="10" fontId="0" fillId="0" borderId="0" xfId="0" applyNumberFormat="1"/>
    <xf numFmtId="11" fontId="0" fillId="0" borderId="0" xfId="0" applyNumberFormat="1"/>
    <xf numFmtId="0" fontId="1" fillId="0" borderId="20" xfId="0" applyFont="1" applyBorder="1"/>
    <xf numFmtId="165" fontId="1" fillId="0" borderId="20" xfId="0" applyNumberFormat="1" applyFont="1" applyBorder="1" applyAlignment="1">
      <alignment horizontal="center"/>
    </xf>
    <xf numFmtId="0" fontId="0" fillId="0" borderId="0" xfId="0" applyAlignment="1">
      <alignment horizontal="center"/>
    </xf>
    <xf numFmtId="0" fontId="4" fillId="0" borderId="0" xfId="0" applyFont="1"/>
    <xf numFmtId="0" fontId="6" fillId="0" borderId="0" xfId="0" applyFont="1"/>
    <xf numFmtId="0" fontId="0" fillId="0" borderId="0" xfId="0" applyAlignment="1">
      <alignment horizontal="center" vertical="center"/>
    </xf>
    <xf numFmtId="0" fontId="0" fillId="0" borderId="0" xfId="0" applyAlignment="1">
      <alignment vertical="center"/>
    </xf>
    <xf numFmtId="0" fontId="7" fillId="0" borderId="0" xfId="0" applyFont="1" applyAlignment="1">
      <alignment vertical="center"/>
    </xf>
    <xf numFmtId="0" fontId="8" fillId="0" borderId="0" xfId="0" applyFont="1" applyAlignment="1">
      <alignment horizontal="center"/>
    </xf>
    <xf numFmtId="0" fontId="6" fillId="0" borderId="0" xfId="0" applyFont="1" applyFill="1" applyBorder="1"/>
    <xf numFmtId="0" fontId="6" fillId="0" borderId="0" xfId="0" applyFont="1" applyAlignment="1">
      <alignment vertical="center"/>
    </xf>
    <xf numFmtId="0" fontId="6" fillId="0" borderId="0" xfId="0" applyFont="1" applyAlignment="1">
      <alignment horizontal="left" vertical="center"/>
    </xf>
    <xf numFmtId="0" fontId="0" fillId="0" borderId="14"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wrapText="1"/>
    </xf>
    <xf numFmtId="0" fontId="0" fillId="0" borderId="40" xfId="0" applyBorder="1" applyAlignment="1">
      <alignment horizontal="center" vertical="center" wrapText="1"/>
    </xf>
    <xf numFmtId="0" fontId="0" fillId="0" borderId="40" xfId="0" applyBorder="1" applyAlignment="1">
      <alignment horizontal="center" vertical="center"/>
    </xf>
    <xf numFmtId="0" fontId="0" fillId="0" borderId="0" xfId="0" applyBorder="1" applyAlignment="1">
      <alignment horizontal="center" vertical="center"/>
    </xf>
    <xf numFmtId="0" fontId="0" fillId="0" borderId="20" xfId="0" applyBorder="1" applyAlignment="1">
      <alignment horizontal="center" vertical="center"/>
    </xf>
    <xf numFmtId="0" fontId="0" fillId="0" borderId="41" xfId="0" applyBorder="1" applyAlignment="1">
      <alignment horizontal="center" vertical="center"/>
    </xf>
    <xf numFmtId="0" fontId="0" fillId="0" borderId="22" xfId="0" applyBorder="1" applyAlignment="1">
      <alignment horizontal="center" vertical="center" wrapText="1"/>
    </xf>
    <xf numFmtId="0" fontId="0" fillId="0" borderId="19" xfId="0" applyBorder="1" applyAlignment="1">
      <alignment horizontal="center" vertical="center" wrapText="1"/>
    </xf>
    <xf numFmtId="0" fontId="0" fillId="0" borderId="42" xfId="0" applyBorder="1" applyAlignment="1">
      <alignment horizontal="left" vertical="center" wrapText="1"/>
    </xf>
    <xf numFmtId="0" fontId="0" fillId="0" borderId="21" xfId="0" applyBorder="1" applyAlignment="1">
      <alignment horizontal="left" vertical="center" wrapText="1"/>
    </xf>
    <xf numFmtId="0" fontId="0" fillId="0" borderId="1" xfId="0" applyBorder="1" applyAlignment="1">
      <alignment horizontal="left" vertical="center" wrapText="1"/>
    </xf>
    <xf numFmtId="0" fontId="0" fillId="0" borderId="0" xfId="0" applyBorder="1"/>
    <xf numFmtId="0" fontId="0" fillId="0" borderId="0" xfId="0" applyAlignment="1"/>
    <xf numFmtId="0" fontId="0" fillId="0" borderId="14" xfId="0" applyBorder="1"/>
    <xf numFmtId="0" fontId="0" fillId="0" borderId="15" xfId="0" applyBorder="1"/>
    <xf numFmtId="0" fontId="0" fillId="0" borderId="16" xfId="0" applyBorder="1"/>
    <xf numFmtId="0" fontId="0" fillId="0" borderId="20" xfId="0" applyBorder="1"/>
    <xf numFmtId="0" fontId="0" fillId="0" borderId="17" xfId="0" applyBorder="1"/>
    <xf numFmtId="0" fontId="0" fillId="0" borderId="22" xfId="0" applyBorder="1"/>
    <xf numFmtId="0" fontId="0" fillId="0" borderId="0" xfId="0" applyFill="1" applyBorder="1"/>
    <xf numFmtId="0" fontId="0" fillId="0" borderId="0" xfId="0" applyFill="1" applyBorder="1" applyAlignment="1">
      <alignment horizontal="center" vertical="center"/>
    </xf>
    <xf numFmtId="0" fontId="11" fillId="0" borderId="0" xfId="0" applyFont="1" applyFill="1" applyBorder="1" applyAlignment="1">
      <alignment horizontal="center" vertical="center"/>
    </xf>
    <xf numFmtId="0" fontId="12" fillId="0" borderId="0" xfId="0" applyFont="1"/>
    <xf numFmtId="0" fontId="1" fillId="0" borderId="0" xfId="0" applyFont="1" applyAlignment="1">
      <alignment horizontal="center"/>
    </xf>
    <xf numFmtId="0" fontId="0" fillId="0" borderId="15" xfId="0" applyBorder="1" applyAlignment="1">
      <alignment horizontal="center"/>
    </xf>
    <xf numFmtId="0" fontId="0" fillId="0" borderId="17" xfId="0" applyBorder="1" applyAlignment="1">
      <alignment horizontal="center"/>
    </xf>
    <xf numFmtId="0" fontId="0" fillId="0" borderId="0" xfId="0" applyAlignment="1">
      <alignment horizontal="left" vertical="center"/>
    </xf>
    <xf numFmtId="0" fontId="1" fillId="0" borderId="20" xfId="0" applyFont="1" applyBorder="1" applyAlignment="1">
      <alignment horizontal="left" vertical="center"/>
    </xf>
    <xf numFmtId="165" fontId="0" fillId="0" borderId="0" xfId="0" applyNumberFormat="1" applyAlignment="1">
      <alignment horizontal="left" vertical="center"/>
    </xf>
    <xf numFmtId="165" fontId="0" fillId="0" borderId="0" xfId="0" applyNumberFormat="1" applyAlignment="1">
      <alignment horizontal="center" vertical="center"/>
    </xf>
    <xf numFmtId="165" fontId="1" fillId="0" borderId="20" xfId="0" applyNumberFormat="1" applyFont="1" applyBorder="1" applyAlignment="1">
      <alignment horizontal="center" vertical="center"/>
    </xf>
    <xf numFmtId="0" fontId="0" fillId="0" borderId="0" xfId="0" applyFill="1" applyAlignment="1">
      <alignment horizontal="center" vertical="center"/>
    </xf>
    <xf numFmtId="0" fontId="6" fillId="0" borderId="0" xfId="0" applyFont="1" applyFill="1" applyBorder="1" applyAlignment="1"/>
    <xf numFmtId="0" fontId="0" fillId="0" borderId="10" xfId="0" applyBorder="1" applyAlignment="1" applyProtection="1">
      <alignment horizontal="left"/>
      <protection locked="0"/>
    </xf>
    <xf numFmtId="0" fontId="0" fillId="0" borderId="11" xfId="0" applyBorder="1" applyAlignment="1" applyProtection="1">
      <alignment horizontal="center"/>
      <protection locked="0"/>
    </xf>
    <xf numFmtId="0" fontId="0" fillId="0" borderId="12" xfId="0" applyBorder="1" applyAlignment="1" applyProtection="1">
      <alignment horizontal="center"/>
      <protection locked="0"/>
    </xf>
    <xf numFmtId="0" fontId="0" fillId="0" borderId="15" xfId="0" applyBorder="1" applyAlignment="1">
      <alignment horizontal="left"/>
    </xf>
    <xf numFmtId="0" fontId="0" fillId="0" borderId="19" xfId="0" applyBorder="1" applyAlignment="1">
      <alignment horizontal="left"/>
    </xf>
    <xf numFmtId="0" fontId="1" fillId="3" borderId="13" xfId="0" applyFont="1" applyFill="1" applyBorder="1" applyAlignment="1">
      <alignment horizontal="left"/>
    </xf>
    <xf numFmtId="0" fontId="1" fillId="3" borderId="18" xfId="0" applyFont="1" applyFill="1" applyBorder="1" applyAlignment="1">
      <alignment horizontal="left"/>
    </xf>
    <xf numFmtId="0" fontId="11" fillId="0" borderId="0" xfId="0" applyFont="1"/>
    <xf numFmtId="0" fontId="0" fillId="0" borderId="0" xfId="0" applyFont="1" applyFill="1" applyBorder="1"/>
    <xf numFmtId="0" fontId="0" fillId="0" borderId="0" xfId="0" applyFont="1" applyFill="1" applyBorder="1" applyAlignment="1">
      <alignment horizontal="center" vertical="center"/>
    </xf>
    <xf numFmtId="0" fontId="0" fillId="4" borderId="24" xfId="0" applyFill="1" applyBorder="1" applyAlignment="1" applyProtection="1">
      <alignment horizontal="left" vertical="center" wrapText="1"/>
      <protection locked="0"/>
    </xf>
    <xf numFmtId="0" fontId="0" fillId="4" borderId="24" xfId="0" applyFill="1" applyBorder="1" applyAlignment="1" applyProtection="1">
      <alignment horizontal="left" vertical="center"/>
      <protection locked="0"/>
    </xf>
    <xf numFmtId="164" fontId="0" fillId="4" borderId="24" xfId="0" applyNumberFormat="1" applyFill="1" applyBorder="1" applyAlignment="1" applyProtection="1">
      <alignment horizontal="left" vertical="center"/>
      <protection locked="0"/>
    </xf>
    <xf numFmtId="0" fontId="0" fillId="4" borderId="24" xfId="0" applyFill="1" applyBorder="1" applyAlignment="1" applyProtection="1">
      <alignment horizontal="left"/>
      <protection locked="0"/>
    </xf>
    <xf numFmtId="0" fontId="1" fillId="4" borderId="43" xfId="0" applyFont="1" applyFill="1" applyBorder="1" applyAlignment="1">
      <alignment horizontal="center" vertical="center" wrapText="1"/>
    </xf>
    <xf numFmtId="0" fontId="1" fillId="4" borderId="44" xfId="0" applyFont="1" applyFill="1" applyBorder="1" applyAlignment="1">
      <alignment horizontal="center" vertical="center" wrapText="1"/>
    </xf>
    <xf numFmtId="0" fontId="1" fillId="4" borderId="1" xfId="0" applyFont="1" applyFill="1" applyBorder="1" applyAlignment="1">
      <alignment horizontal="center" vertical="center"/>
    </xf>
    <xf numFmtId="0" fontId="1" fillId="4" borderId="9" xfId="0" applyFont="1" applyFill="1" applyBorder="1" applyAlignment="1">
      <alignment horizontal="center"/>
    </xf>
    <xf numFmtId="0" fontId="1" fillId="4" borderId="7" xfId="0" applyFont="1" applyFill="1" applyBorder="1" applyAlignment="1">
      <alignment horizontal="center"/>
    </xf>
    <xf numFmtId="0" fontId="1" fillId="4" borderId="8" xfId="0" applyFont="1" applyFill="1" applyBorder="1" applyAlignment="1">
      <alignment horizontal="center"/>
    </xf>
    <xf numFmtId="0" fontId="1" fillId="4" borderId="13" xfId="0" applyFont="1" applyFill="1" applyBorder="1" applyAlignment="1">
      <alignment horizontal="left"/>
    </xf>
    <xf numFmtId="0" fontId="1" fillId="4" borderId="1" xfId="0" applyFont="1" applyFill="1" applyBorder="1" applyAlignment="1">
      <alignment horizontal="left"/>
    </xf>
    <xf numFmtId="0" fontId="1" fillId="4" borderId="16" xfId="0" applyFont="1" applyFill="1" applyBorder="1" applyAlignment="1">
      <alignment horizontal="left"/>
    </xf>
    <xf numFmtId="0" fontId="1" fillId="5" borderId="1" xfId="0" applyFont="1" applyFill="1" applyBorder="1" applyAlignment="1">
      <alignment horizontal="center" vertical="center"/>
    </xf>
    <xf numFmtId="0" fontId="0" fillId="0" borderId="20" xfId="0" applyBorder="1" applyAlignment="1">
      <alignment horizontal="center"/>
    </xf>
    <xf numFmtId="0" fontId="0" fillId="0" borderId="22" xfId="0" applyBorder="1" applyAlignment="1">
      <alignment horizontal="left"/>
    </xf>
    <xf numFmtId="0" fontId="0" fillId="0" borderId="0" xfId="0" applyBorder="1" applyAlignment="1">
      <alignment horizontal="left"/>
    </xf>
    <xf numFmtId="0" fontId="0" fillId="0" borderId="20" xfId="0" applyBorder="1" applyAlignment="1">
      <alignment horizontal="left"/>
    </xf>
    <xf numFmtId="0" fontId="1" fillId="5" borderId="6" xfId="0" applyFont="1" applyFill="1" applyBorder="1" applyAlignment="1" applyProtection="1">
      <alignment horizontal="left" vertical="center"/>
      <protection locked="0"/>
    </xf>
    <xf numFmtId="0" fontId="1" fillId="5" borderId="1" xfId="0" applyFont="1" applyFill="1" applyBorder="1" applyAlignment="1" applyProtection="1">
      <alignment horizontal="left" vertical="center"/>
      <protection locked="0"/>
    </xf>
    <xf numFmtId="0" fontId="1" fillId="5" borderId="21" xfId="0" applyFont="1" applyFill="1" applyBorder="1" applyAlignment="1" applyProtection="1">
      <alignment horizontal="left" vertical="center"/>
      <protection locked="0"/>
    </xf>
    <xf numFmtId="0" fontId="1" fillId="0" borderId="0" xfId="0" applyFont="1" applyFill="1" applyBorder="1" applyAlignment="1">
      <alignment vertical="center"/>
    </xf>
    <xf numFmtId="0" fontId="0" fillId="6" borderId="10" xfId="0" applyFill="1" applyBorder="1" applyAlignment="1" applyProtection="1">
      <alignment horizontal="left"/>
      <protection locked="0"/>
    </xf>
    <xf numFmtId="0" fontId="1" fillId="5" borderId="6" xfId="0" applyFont="1" applyFill="1" applyBorder="1" applyAlignment="1" applyProtection="1">
      <alignment horizontal="center" vertical="center"/>
      <protection locked="0"/>
    </xf>
    <xf numFmtId="0" fontId="1" fillId="4" borderId="41" xfId="0" applyFont="1" applyFill="1" applyBorder="1" applyAlignment="1">
      <alignment horizontal="center" vertical="center"/>
    </xf>
    <xf numFmtId="0" fontId="0" fillId="6" borderId="4" xfId="0" applyFill="1" applyBorder="1" applyAlignment="1">
      <alignment horizontal="center" vertical="center"/>
    </xf>
    <xf numFmtId="0" fontId="0" fillId="6" borderId="48" xfId="0" applyFill="1" applyBorder="1" applyAlignment="1">
      <alignment horizontal="center" vertical="center"/>
    </xf>
    <xf numFmtId="0" fontId="0" fillId="6" borderId="5" xfId="0" applyFill="1" applyBorder="1" applyAlignment="1">
      <alignment horizontal="center" vertical="center"/>
    </xf>
    <xf numFmtId="0" fontId="1" fillId="4" borderId="39" xfId="0" applyFont="1" applyFill="1" applyBorder="1" applyAlignment="1">
      <alignment horizontal="left" vertical="center"/>
    </xf>
    <xf numFmtId="0" fontId="0" fillId="4" borderId="6" xfId="0" applyFill="1" applyBorder="1" applyAlignment="1">
      <alignment horizontal="left" vertical="center"/>
    </xf>
    <xf numFmtId="0" fontId="0" fillId="4" borderId="7" xfId="0" applyFill="1" applyBorder="1" applyAlignment="1">
      <alignment horizontal="left" vertical="center"/>
    </xf>
    <xf numFmtId="0" fontId="0" fillId="4" borderId="8" xfId="0" applyFill="1" applyBorder="1" applyAlignment="1">
      <alignment horizontal="left" vertical="center"/>
    </xf>
    <xf numFmtId="0" fontId="1" fillId="0" borderId="20" xfId="0" applyFont="1" applyBorder="1" applyAlignment="1">
      <alignment horizontal="center" vertical="center"/>
    </xf>
    <xf numFmtId="0" fontId="0" fillId="0" borderId="0" xfId="0" applyAlignment="1">
      <alignment horizontal="left"/>
    </xf>
    <xf numFmtId="0" fontId="1" fillId="0" borderId="20" xfId="0" applyFont="1" applyBorder="1" applyAlignment="1">
      <alignment horizontal="center"/>
    </xf>
    <xf numFmtId="0" fontId="1" fillId="4" borderId="11" xfId="0" applyFont="1" applyFill="1" applyBorder="1"/>
    <xf numFmtId="0" fontId="0" fillId="4" borderId="12" xfId="0" applyFill="1" applyBorder="1" applyAlignment="1">
      <alignment horizontal="center" vertical="center"/>
    </xf>
    <xf numFmtId="0" fontId="1" fillId="4" borderId="2" xfId="0" applyFont="1" applyFill="1" applyBorder="1"/>
    <xf numFmtId="0" fontId="0" fillId="4" borderId="49" xfId="0" applyFill="1" applyBorder="1" applyAlignment="1">
      <alignment horizontal="center" vertical="center"/>
    </xf>
    <xf numFmtId="0" fontId="1" fillId="4" borderId="3" xfId="0" applyFont="1" applyFill="1" applyBorder="1"/>
    <xf numFmtId="0" fontId="0" fillId="4" borderId="50" xfId="0" applyFill="1" applyBorder="1" applyAlignment="1">
      <alignment horizontal="center" vertical="center"/>
    </xf>
    <xf numFmtId="0" fontId="13" fillId="7" borderId="18" xfId="0" applyFont="1" applyFill="1" applyBorder="1" applyAlignment="1"/>
    <xf numFmtId="0" fontId="13" fillId="7" borderId="44" xfId="0" applyFont="1" applyFill="1" applyBorder="1" applyAlignment="1">
      <alignment horizontal="center" vertical="center"/>
    </xf>
    <xf numFmtId="0" fontId="0" fillId="0" borderId="16" xfId="0" applyBorder="1" applyAlignment="1">
      <alignment horizontal="center" vertical="center"/>
    </xf>
    <xf numFmtId="0" fontId="0" fillId="0" borderId="20" xfId="0" applyBorder="1" applyAlignment="1">
      <alignment horizontal="center" vertical="center"/>
    </xf>
    <xf numFmtId="0" fontId="0" fillId="0" borderId="0" xfId="0" applyBorder="1" applyAlignment="1">
      <alignment horizontal="center"/>
    </xf>
    <xf numFmtId="0" fontId="0" fillId="0" borderId="18" xfId="0" applyBorder="1" applyAlignment="1">
      <alignment horizontal="center" vertical="center"/>
    </xf>
    <xf numFmtId="0" fontId="0" fillId="0" borderId="22" xfId="0" applyBorder="1" applyAlignment="1">
      <alignment horizontal="center" vertical="center"/>
    </xf>
    <xf numFmtId="0" fontId="0" fillId="0" borderId="22" xfId="0" applyBorder="1" applyAlignment="1">
      <alignment horizontal="center"/>
    </xf>
    <xf numFmtId="0" fontId="0" fillId="0" borderId="0" xfId="0" applyBorder="1" applyAlignment="1"/>
    <xf numFmtId="0" fontId="0" fillId="0" borderId="0" xfId="0" applyBorder="1" applyAlignment="1">
      <alignment vertical="center"/>
    </xf>
    <xf numFmtId="0" fontId="0" fillId="4" borderId="52" xfId="0" applyFill="1" applyBorder="1" applyAlignment="1">
      <alignment horizontal="left"/>
    </xf>
    <xf numFmtId="0" fontId="0" fillId="4" borderId="52" xfId="0" applyFill="1" applyBorder="1" applyAlignment="1">
      <alignment horizontal="center"/>
    </xf>
    <xf numFmtId="165" fontId="0" fillId="4" borderId="54" xfId="0" applyNumberFormat="1" applyFill="1" applyBorder="1" applyAlignment="1">
      <alignment horizontal="center" vertical="center"/>
    </xf>
    <xf numFmtId="0" fontId="0" fillId="4" borderId="2" xfId="0" applyFill="1" applyBorder="1"/>
    <xf numFmtId="0" fontId="0" fillId="4" borderId="24" xfId="0" applyFill="1" applyBorder="1" applyAlignment="1">
      <alignment horizontal="left"/>
    </xf>
    <xf numFmtId="0" fontId="0" fillId="4" borderId="24" xfId="0" applyFill="1" applyBorder="1" applyAlignment="1">
      <alignment horizontal="center"/>
    </xf>
    <xf numFmtId="165" fontId="0" fillId="4" borderId="49" xfId="0" applyNumberFormat="1" applyFill="1" applyBorder="1" applyAlignment="1">
      <alignment horizontal="center" vertical="center"/>
    </xf>
    <xf numFmtId="0" fontId="0" fillId="4" borderId="3" xfId="0" applyFill="1" applyBorder="1"/>
    <xf numFmtId="0" fontId="0" fillId="4" borderId="51" xfId="0" applyFill="1" applyBorder="1" applyAlignment="1">
      <alignment horizontal="left"/>
    </xf>
    <xf numFmtId="0" fontId="0" fillId="4" borderId="51" xfId="0" applyFill="1" applyBorder="1" applyAlignment="1">
      <alignment horizontal="center"/>
    </xf>
    <xf numFmtId="165" fontId="0" fillId="4" borderId="50" xfId="0" applyNumberFormat="1" applyFill="1" applyBorder="1" applyAlignment="1">
      <alignment horizontal="center" vertical="center"/>
    </xf>
    <xf numFmtId="0" fontId="13" fillId="7" borderId="18" xfId="0" applyFont="1" applyFill="1" applyBorder="1" applyAlignment="1">
      <alignment horizontal="left" vertical="center"/>
    </xf>
    <xf numFmtId="0" fontId="13" fillId="7" borderId="22" xfId="0" applyFont="1" applyFill="1" applyBorder="1" applyAlignment="1">
      <alignment horizontal="center" vertical="center" wrapText="1"/>
    </xf>
    <xf numFmtId="0" fontId="13" fillId="7" borderId="19" xfId="0" applyFont="1" applyFill="1" applyBorder="1" applyAlignment="1">
      <alignment horizontal="center" vertical="center" wrapText="1"/>
    </xf>
    <xf numFmtId="0" fontId="0" fillId="4" borderId="53" xfId="0" applyFill="1" applyBorder="1" applyAlignment="1">
      <alignment horizontal="center"/>
    </xf>
    <xf numFmtId="0" fontId="0" fillId="4" borderId="53" xfId="0" applyFill="1" applyBorder="1" applyAlignment="1">
      <alignment horizontal="center" vertical="center"/>
    </xf>
    <xf numFmtId="0" fontId="0" fillId="4" borderId="2" xfId="0" applyFill="1" applyBorder="1" applyAlignment="1">
      <alignment horizontal="center" vertical="center"/>
    </xf>
    <xf numFmtId="0" fontId="0" fillId="4" borderId="3" xfId="0" applyFill="1" applyBorder="1" applyAlignment="1">
      <alignment horizontal="center" vertical="center"/>
    </xf>
    <xf numFmtId="0" fontId="1" fillId="4" borderId="1" xfId="0" applyFont="1" applyFill="1" applyBorder="1" applyAlignment="1">
      <alignment vertical="center" wrapText="1"/>
    </xf>
    <xf numFmtId="0" fontId="1" fillId="8" borderId="1" xfId="0" applyFont="1" applyFill="1" applyBorder="1" applyAlignment="1">
      <alignment horizontal="center"/>
    </xf>
    <xf numFmtId="0" fontId="1" fillId="8" borderId="1" xfId="0" applyFont="1" applyFill="1" applyBorder="1" applyAlignment="1"/>
    <xf numFmtId="0" fontId="1" fillId="8" borderId="21" xfId="0" applyFont="1" applyFill="1" applyBorder="1" applyAlignment="1">
      <alignment horizontal="center"/>
    </xf>
    <xf numFmtId="0" fontId="0" fillId="0" borderId="0" xfId="0" applyNumberFormat="1" applyAlignment="1">
      <alignment horizontal="center" vertical="center"/>
    </xf>
    <xf numFmtId="0" fontId="14" fillId="0" borderId="0" xfId="0" applyFont="1" applyAlignment="1">
      <alignment horizontal="center"/>
    </xf>
    <xf numFmtId="0" fontId="1" fillId="0" borderId="0" xfId="0" applyFont="1" applyAlignment="1">
      <alignment horizontal="center"/>
    </xf>
    <xf numFmtId="0" fontId="1" fillId="0" borderId="23" xfId="0" applyFont="1" applyBorder="1" applyAlignment="1">
      <alignment horizontal="left" vertical="center"/>
    </xf>
    <xf numFmtId="1" fontId="0" fillId="0" borderId="0" xfId="0" applyNumberFormat="1" applyAlignment="1">
      <alignment horizontal="left" vertical="center"/>
    </xf>
    <xf numFmtId="0" fontId="0" fillId="0" borderId="0" xfId="0" applyFill="1"/>
    <xf numFmtId="0" fontId="5" fillId="0" borderId="25" xfId="0" applyFont="1" applyFill="1" applyBorder="1" applyAlignment="1">
      <alignment vertical="center" wrapText="1"/>
    </xf>
    <xf numFmtId="0" fontId="5" fillId="0" borderId="26" xfId="0" applyFont="1" applyFill="1" applyBorder="1" applyAlignment="1">
      <alignment vertical="center"/>
    </xf>
    <xf numFmtId="0" fontId="5" fillId="0" borderId="27" xfId="0" applyFont="1" applyFill="1" applyBorder="1" applyAlignment="1">
      <alignment vertical="center"/>
    </xf>
    <xf numFmtId="0" fontId="5" fillId="0" borderId="28" xfId="0" applyFont="1" applyFill="1" applyBorder="1" applyAlignment="1">
      <alignment vertical="center"/>
    </xf>
    <xf numFmtId="0" fontId="5" fillId="0" borderId="29" xfId="0" applyFont="1" applyFill="1" applyBorder="1" applyAlignment="1">
      <alignment vertical="center"/>
    </xf>
    <xf numFmtId="0" fontId="5" fillId="0" borderId="30" xfId="0" applyFont="1" applyFill="1" applyBorder="1" applyAlignment="1">
      <alignment vertical="center"/>
    </xf>
    <xf numFmtId="0" fontId="5" fillId="0" borderId="33" xfId="0" applyFont="1" applyFill="1" applyBorder="1" applyAlignment="1">
      <alignment vertical="center" wrapText="1"/>
    </xf>
    <xf numFmtId="0" fontId="5" fillId="0" borderId="34" xfId="0" applyFont="1" applyFill="1" applyBorder="1" applyAlignment="1">
      <alignment vertical="center" wrapText="1"/>
    </xf>
    <xf numFmtId="0" fontId="5" fillId="0" borderId="35" xfId="0" applyFont="1" applyFill="1" applyBorder="1" applyAlignment="1">
      <alignment vertical="center" wrapText="1"/>
    </xf>
    <xf numFmtId="0" fontId="5" fillId="0" borderId="26" xfId="0" applyFont="1" applyFill="1" applyBorder="1" applyAlignment="1">
      <alignment vertical="center" wrapText="1"/>
    </xf>
    <xf numFmtId="0" fontId="5" fillId="0" borderId="27" xfId="0" applyFont="1" applyFill="1" applyBorder="1" applyAlignment="1">
      <alignment vertical="center" wrapText="1"/>
    </xf>
    <xf numFmtId="0" fontId="5" fillId="0" borderId="31" xfId="0" applyFont="1" applyFill="1" applyBorder="1" applyAlignment="1">
      <alignment vertical="center" wrapText="1"/>
    </xf>
    <xf numFmtId="0" fontId="5" fillId="0" borderId="0" xfId="0" applyFont="1" applyFill="1" applyBorder="1" applyAlignment="1">
      <alignment vertical="center" wrapText="1"/>
    </xf>
    <xf numFmtId="0" fontId="5" fillId="0" borderId="32" xfId="0" applyFont="1" applyFill="1" applyBorder="1" applyAlignment="1">
      <alignment vertical="center" wrapText="1"/>
    </xf>
    <xf numFmtId="0" fontId="5" fillId="0" borderId="28" xfId="0" applyFont="1" applyFill="1" applyBorder="1" applyAlignment="1">
      <alignment vertical="center" wrapText="1"/>
    </xf>
    <xf numFmtId="0" fontId="5" fillId="0" borderId="29" xfId="0" applyFont="1" applyFill="1" applyBorder="1" applyAlignment="1">
      <alignment vertical="center" wrapText="1"/>
    </xf>
    <xf numFmtId="0" fontId="5" fillId="0" borderId="30" xfId="0" applyFont="1" applyFill="1" applyBorder="1" applyAlignment="1">
      <alignment vertical="center" wrapText="1"/>
    </xf>
    <xf numFmtId="0" fontId="0" fillId="5" borderId="36" xfId="0" applyFill="1" applyBorder="1" applyAlignment="1" applyProtection="1">
      <alignment horizontal="center"/>
      <protection locked="0"/>
    </xf>
    <xf numFmtId="0" fontId="0" fillId="5" borderId="38" xfId="0" applyFill="1" applyBorder="1" applyAlignment="1" applyProtection="1">
      <alignment horizontal="center"/>
      <protection locked="0"/>
    </xf>
    <xf numFmtId="0" fontId="0" fillId="5" borderId="37" xfId="0" applyFill="1" applyBorder="1" applyAlignment="1" applyProtection="1">
      <alignment horizontal="center"/>
      <protection locked="0"/>
    </xf>
    <xf numFmtId="0" fontId="0" fillId="5" borderId="24" xfId="0" applyFill="1" applyBorder="1" applyAlignment="1" applyProtection="1">
      <alignment horizontal="left" vertical="center" wrapText="1"/>
      <protection locked="0"/>
    </xf>
    <xf numFmtId="0" fontId="0" fillId="5" borderId="24" xfId="0" applyFill="1" applyBorder="1" applyAlignment="1" applyProtection="1">
      <alignment horizontal="left" vertical="center"/>
      <protection locked="0"/>
    </xf>
    <xf numFmtId="0" fontId="15" fillId="0" borderId="0" xfId="0" applyFont="1" applyAlignment="1">
      <alignment horizontal="center"/>
    </xf>
    <xf numFmtId="3" fontId="0" fillId="5" borderId="36" xfId="0" applyNumberFormat="1" applyFill="1" applyBorder="1" applyAlignment="1" applyProtection="1">
      <alignment horizontal="center"/>
      <protection locked="0"/>
    </xf>
    <xf numFmtId="3" fontId="0" fillId="5" borderId="38" xfId="0" applyNumberFormat="1" applyFill="1" applyBorder="1" applyAlignment="1" applyProtection="1">
      <alignment horizontal="center"/>
      <protection locked="0"/>
    </xf>
    <xf numFmtId="0" fontId="10" fillId="4" borderId="24" xfId="0" applyFont="1" applyFill="1" applyBorder="1" applyAlignment="1" applyProtection="1">
      <alignment horizontal="left" vertical="center"/>
      <protection locked="0"/>
    </xf>
    <xf numFmtId="0" fontId="0" fillId="5" borderId="38" xfId="0" applyFill="1" applyBorder="1" applyAlignment="1" applyProtection="1">
      <alignment horizontal="left"/>
      <protection locked="0"/>
    </xf>
    <xf numFmtId="0" fontId="16" fillId="0" borderId="0" xfId="0" applyFont="1"/>
    <xf numFmtId="0" fontId="17" fillId="0" borderId="2" xfId="0" applyFont="1" applyFill="1" applyBorder="1" applyAlignment="1">
      <alignment horizontal="left"/>
    </xf>
    <xf numFmtId="0" fontId="17" fillId="0" borderId="2" xfId="0" applyFont="1" applyFill="1" applyBorder="1" applyAlignment="1">
      <alignment horizontal="left" vertical="center"/>
    </xf>
    <xf numFmtId="0" fontId="17" fillId="0" borderId="3" xfId="0" applyFont="1" applyFill="1" applyBorder="1" applyAlignment="1">
      <alignment horizontal="left" vertical="center"/>
    </xf>
    <xf numFmtId="0" fontId="18" fillId="0" borderId="49" xfId="0" applyFont="1" applyFill="1" applyBorder="1" applyAlignment="1">
      <alignment horizontal="center" vertical="center"/>
    </xf>
    <xf numFmtId="3" fontId="18" fillId="0" borderId="49" xfId="0" applyNumberFormat="1" applyFont="1" applyFill="1" applyBorder="1" applyAlignment="1">
      <alignment horizontal="center" vertical="center"/>
    </xf>
    <xf numFmtId="0" fontId="18" fillId="0" borderId="50" xfId="0" applyFont="1" applyFill="1" applyBorder="1" applyAlignment="1">
      <alignment horizontal="center" vertical="center"/>
    </xf>
    <xf numFmtId="0" fontId="18" fillId="0" borderId="24" xfId="0" applyFont="1" applyFill="1" applyBorder="1" applyAlignment="1">
      <alignment horizontal="center" vertical="center"/>
    </xf>
    <xf numFmtId="3" fontId="18" fillId="0" borderId="24" xfId="0" applyNumberFormat="1" applyFont="1" applyFill="1" applyBorder="1" applyAlignment="1">
      <alignment horizontal="center" vertical="center"/>
    </xf>
    <xf numFmtId="0" fontId="13" fillId="0" borderId="2" xfId="0" applyFont="1" applyFill="1" applyBorder="1" applyAlignment="1">
      <alignment horizontal="left" vertical="center"/>
    </xf>
    <xf numFmtId="3" fontId="18" fillId="0" borderId="51" xfId="0" applyNumberFormat="1" applyFont="1" applyFill="1" applyBorder="1" applyAlignment="1">
      <alignment horizontal="center" vertical="center"/>
    </xf>
    <xf numFmtId="165" fontId="18" fillId="0" borderId="24" xfId="0" applyNumberFormat="1" applyFont="1" applyFill="1" applyBorder="1" applyAlignment="1">
      <alignment horizontal="center" vertical="center"/>
    </xf>
    <xf numFmtId="165" fontId="18" fillId="0" borderId="51" xfId="0" applyNumberFormat="1" applyFont="1" applyFill="1" applyBorder="1" applyAlignment="1">
      <alignment horizontal="center" vertical="center"/>
    </xf>
    <xf numFmtId="165" fontId="18" fillId="0" borderId="49" xfId="0" applyNumberFormat="1" applyFont="1" applyFill="1" applyBorder="1" applyAlignment="1">
      <alignment horizontal="center" vertical="center"/>
    </xf>
    <xf numFmtId="0" fontId="18" fillId="0" borderId="51" xfId="0" applyFont="1" applyFill="1" applyBorder="1" applyAlignment="1">
      <alignment horizontal="center" vertical="center"/>
    </xf>
    <xf numFmtId="165" fontId="18" fillId="0" borderId="50" xfId="0" applyNumberFormat="1" applyFont="1" applyFill="1" applyBorder="1" applyAlignment="1">
      <alignment horizontal="center" vertical="center"/>
    </xf>
    <xf numFmtId="0" fontId="0" fillId="0" borderId="40" xfId="0" applyBorder="1"/>
    <xf numFmtId="0" fontId="13" fillId="0" borderId="0" xfId="0" applyFont="1" applyFill="1" applyBorder="1" applyAlignment="1">
      <alignment vertical="center"/>
    </xf>
    <xf numFmtId="0" fontId="18" fillId="0" borderId="52" xfId="0" applyFont="1" applyFill="1" applyBorder="1" applyAlignment="1">
      <alignment horizontal="center" vertical="center"/>
    </xf>
    <xf numFmtId="3" fontId="18" fillId="0" borderId="52" xfId="0" applyNumberFormat="1" applyFont="1" applyFill="1" applyBorder="1" applyAlignment="1">
      <alignment horizontal="center" vertical="center"/>
    </xf>
    <xf numFmtId="3" fontId="18" fillId="0" borderId="54" xfId="0" applyNumberFormat="1" applyFont="1" applyFill="1" applyBorder="1" applyAlignment="1">
      <alignment horizontal="center" vertical="center"/>
    </xf>
    <xf numFmtId="0" fontId="0" fillId="0" borderId="24" xfId="0" applyBorder="1" applyAlignment="1">
      <alignment horizontal="center" vertical="center"/>
    </xf>
    <xf numFmtId="0" fontId="0" fillId="0" borderId="51" xfId="0" applyBorder="1" applyAlignment="1">
      <alignment horizontal="center" vertical="center"/>
    </xf>
    <xf numFmtId="3" fontId="0" fillId="0" borderId="24" xfId="0" applyNumberFormat="1" applyBorder="1" applyAlignment="1">
      <alignment horizontal="center" vertical="center"/>
    </xf>
    <xf numFmtId="3" fontId="0" fillId="0" borderId="49" xfId="0" applyNumberFormat="1" applyBorder="1" applyAlignment="1">
      <alignment horizontal="center" vertical="center"/>
    </xf>
    <xf numFmtId="3" fontId="0" fillId="0" borderId="51" xfId="0" applyNumberFormat="1" applyBorder="1" applyAlignment="1">
      <alignment horizontal="center" vertical="center"/>
    </xf>
    <xf numFmtId="3" fontId="0" fillId="0" borderId="50" xfId="0" applyNumberFormat="1" applyBorder="1" applyAlignment="1">
      <alignment horizontal="center" vertical="center"/>
    </xf>
    <xf numFmtId="0" fontId="19" fillId="0" borderId="0" xfId="0" applyFont="1"/>
    <xf numFmtId="0" fontId="17" fillId="0" borderId="11" xfId="0" applyFont="1" applyFill="1" applyBorder="1" applyAlignment="1">
      <alignment horizontal="left" vertical="center"/>
    </xf>
    <xf numFmtId="0" fontId="18" fillId="0" borderId="12" xfId="0" applyFont="1" applyFill="1" applyBorder="1" applyAlignment="1">
      <alignment horizontal="center" vertical="center"/>
    </xf>
    <xf numFmtId="0" fontId="21" fillId="9" borderId="43" xfId="0" applyFont="1" applyFill="1" applyBorder="1" applyAlignment="1">
      <alignment horizontal="left" vertical="center"/>
    </xf>
    <xf numFmtId="0" fontId="21" fillId="9" borderId="44" xfId="0" applyFont="1" applyFill="1" applyBorder="1" applyAlignment="1">
      <alignment horizontal="center" vertical="center"/>
    </xf>
    <xf numFmtId="0" fontId="18" fillId="0" borderId="55" xfId="0" applyFont="1" applyFill="1" applyBorder="1" applyAlignment="1">
      <alignment horizontal="center" vertical="center"/>
    </xf>
    <xf numFmtId="165" fontId="18" fillId="0" borderId="55" xfId="0" applyNumberFormat="1" applyFont="1" applyFill="1" applyBorder="1" applyAlignment="1">
      <alignment horizontal="center" vertical="center"/>
    </xf>
    <xf numFmtId="165" fontId="18" fillId="0" borderId="12" xfId="0" applyNumberFormat="1" applyFont="1" applyFill="1" applyBorder="1" applyAlignment="1">
      <alignment horizontal="center" vertical="center"/>
    </xf>
    <xf numFmtId="0" fontId="21" fillId="9" borderId="43" xfId="0" applyFont="1" applyFill="1" applyBorder="1" applyAlignment="1">
      <alignment vertical="center"/>
    </xf>
    <xf numFmtId="0" fontId="21" fillId="9" borderId="56" xfId="0" applyFont="1" applyFill="1" applyBorder="1" applyAlignment="1">
      <alignment horizontal="center" vertical="center"/>
    </xf>
    <xf numFmtId="0" fontId="21" fillId="9" borderId="43" xfId="0" applyFont="1" applyFill="1" applyBorder="1" applyAlignment="1">
      <alignment horizontal="left"/>
    </xf>
    <xf numFmtId="0" fontId="1" fillId="0" borderId="40" xfId="0" applyFont="1" applyBorder="1"/>
    <xf numFmtId="0" fontId="17" fillId="0" borderId="53" xfId="0" applyFont="1" applyFill="1" applyBorder="1" applyAlignment="1">
      <alignment horizontal="left" vertical="center"/>
    </xf>
    <xf numFmtId="0" fontId="1" fillId="0" borderId="2" xfId="0" applyFont="1" applyBorder="1" applyAlignment="1">
      <alignment horizontal="left"/>
    </xf>
    <xf numFmtId="0" fontId="1" fillId="0" borderId="3" xfId="0" applyFont="1" applyBorder="1" applyAlignment="1">
      <alignment horizontal="left"/>
    </xf>
    <xf numFmtId="0" fontId="0" fillId="0" borderId="0" xfId="0" applyBorder="1" applyAlignment="1">
      <alignment horizontal="center"/>
    </xf>
    <xf numFmtId="0" fontId="1" fillId="0" borderId="0" xfId="0" applyFont="1" applyAlignment="1">
      <alignment horizontal="center"/>
    </xf>
    <xf numFmtId="0" fontId="0" fillId="0" borderId="24" xfId="0" applyFont="1" applyFill="1" applyBorder="1" applyAlignment="1">
      <alignment horizontal="center" vertical="center" wrapText="1"/>
    </xf>
    <xf numFmtId="0" fontId="0" fillId="0" borderId="51" xfId="0" applyFont="1" applyFill="1" applyBorder="1" applyAlignment="1">
      <alignment horizontal="center" vertical="center" wrapText="1"/>
    </xf>
    <xf numFmtId="0" fontId="1" fillId="10" borderId="1" xfId="0" applyFont="1" applyFill="1" applyBorder="1" applyAlignment="1">
      <alignment horizontal="center" vertical="center" wrapText="1"/>
    </xf>
    <xf numFmtId="0" fontId="0" fillId="0" borderId="57" xfId="0" applyFont="1" applyFill="1" applyBorder="1" applyAlignment="1">
      <alignment horizontal="center" vertical="center" wrapText="1"/>
    </xf>
    <xf numFmtId="0" fontId="0" fillId="0" borderId="2" xfId="0" applyFont="1" applyFill="1" applyBorder="1" applyAlignment="1">
      <alignment horizontal="center" vertical="center" wrapText="1"/>
    </xf>
    <xf numFmtId="0" fontId="0" fillId="0" borderId="3" xfId="0" applyFont="1" applyFill="1" applyBorder="1" applyAlignment="1">
      <alignment horizontal="center" vertical="center" wrapText="1"/>
    </xf>
    <xf numFmtId="0" fontId="0" fillId="0" borderId="13" xfId="0" applyFont="1" applyFill="1" applyBorder="1" applyAlignment="1">
      <alignment horizontal="center" vertical="center" wrapText="1"/>
    </xf>
    <xf numFmtId="0" fontId="0" fillId="0" borderId="58" xfId="0" applyFont="1" applyFill="1" applyBorder="1" applyAlignment="1">
      <alignment horizontal="center" vertical="center" wrapText="1"/>
    </xf>
    <xf numFmtId="0" fontId="0" fillId="0" borderId="0" xfId="0" applyFont="1" applyFill="1" applyBorder="1" applyAlignment="1">
      <alignment horizontal="center" vertical="center" wrapText="1"/>
    </xf>
    <xf numFmtId="0" fontId="9" fillId="0" borderId="0" xfId="0" applyFont="1" applyAlignment="1">
      <alignment horizontal="left" vertical="top" wrapText="1"/>
    </xf>
    <xf numFmtId="0" fontId="5" fillId="2" borderId="25" xfId="0" applyFont="1" applyFill="1" applyBorder="1" applyAlignment="1">
      <alignment horizontal="left" vertical="center" wrapText="1"/>
    </xf>
    <xf numFmtId="0" fontId="5" fillId="2" borderId="26" xfId="0" applyFont="1" applyFill="1" applyBorder="1" applyAlignment="1">
      <alignment horizontal="left" vertical="center" wrapText="1"/>
    </xf>
    <xf numFmtId="0" fontId="5" fillId="2" borderId="27" xfId="0" applyFont="1" applyFill="1" applyBorder="1" applyAlignment="1">
      <alignment horizontal="left" vertical="center" wrapText="1"/>
    </xf>
    <xf numFmtId="0" fontId="5" fillId="2" borderId="28" xfId="0" applyFont="1" applyFill="1" applyBorder="1" applyAlignment="1">
      <alignment horizontal="left" vertical="center" wrapText="1"/>
    </xf>
    <xf numFmtId="0" fontId="5" fillId="2" borderId="29" xfId="0" applyFont="1" applyFill="1" applyBorder="1" applyAlignment="1">
      <alignment horizontal="left" vertical="center" wrapText="1"/>
    </xf>
    <xf numFmtId="0" fontId="5" fillId="2" borderId="30" xfId="0" applyFont="1" applyFill="1" applyBorder="1" applyAlignment="1">
      <alignment horizontal="left" vertical="center" wrapText="1"/>
    </xf>
    <xf numFmtId="0" fontId="5" fillId="2" borderId="33" xfId="0" applyFont="1" applyFill="1" applyBorder="1" applyAlignment="1">
      <alignment horizontal="left" vertical="center" wrapText="1"/>
    </xf>
    <xf numFmtId="0" fontId="5" fillId="2" borderId="34" xfId="0" applyFont="1" applyFill="1" applyBorder="1" applyAlignment="1">
      <alignment horizontal="left" vertical="center" wrapText="1"/>
    </xf>
    <xf numFmtId="0" fontId="5" fillId="2" borderId="35" xfId="0" applyFont="1" applyFill="1" applyBorder="1" applyAlignment="1">
      <alignment horizontal="left" vertical="center" wrapText="1"/>
    </xf>
    <xf numFmtId="0" fontId="5" fillId="2" borderId="31" xfId="0" applyFont="1" applyFill="1" applyBorder="1" applyAlignment="1">
      <alignment horizontal="left" vertical="center" wrapText="1"/>
    </xf>
    <xf numFmtId="0" fontId="5" fillId="2" borderId="0" xfId="0" applyFont="1" applyFill="1" applyBorder="1" applyAlignment="1">
      <alignment horizontal="left" vertical="center" wrapText="1"/>
    </xf>
    <xf numFmtId="0" fontId="5" fillId="2" borderId="32" xfId="0" applyFont="1" applyFill="1" applyBorder="1" applyAlignment="1">
      <alignment horizontal="left" vertical="center" wrapText="1"/>
    </xf>
    <xf numFmtId="0" fontId="1" fillId="4" borderId="18" xfId="0" applyFont="1" applyFill="1" applyBorder="1" applyAlignment="1">
      <alignment horizontal="center"/>
    </xf>
    <xf numFmtId="0" fontId="1" fillId="4" borderId="19" xfId="0" applyFont="1" applyFill="1" applyBorder="1" applyAlignment="1">
      <alignment horizontal="center"/>
    </xf>
    <xf numFmtId="0" fontId="3" fillId="4" borderId="18" xfId="0" applyFont="1" applyFill="1" applyBorder="1" applyAlignment="1">
      <alignment horizontal="center"/>
    </xf>
    <xf numFmtId="0" fontId="3" fillId="4" borderId="22" xfId="0" applyFont="1" applyFill="1" applyBorder="1" applyAlignment="1">
      <alignment horizontal="center"/>
    </xf>
    <xf numFmtId="0" fontId="3" fillId="4" borderId="19" xfId="0" applyFont="1" applyFill="1" applyBorder="1" applyAlignment="1">
      <alignment horizontal="center"/>
    </xf>
    <xf numFmtId="0" fontId="1" fillId="4" borderId="18" xfId="0" applyFont="1" applyFill="1" applyBorder="1" applyAlignment="1">
      <alignment horizontal="center" vertical="center"/>
    </xf>
    <xf numFmtId="0" fontId="1" fillId="4" borderId="19" xfId="0" applyFont="1" applyFill="1" applyBorder="1" applyAlignment="1">
      <alignment horizontal="center" vertical="center"/>
    </xf>
    <xf numFmtId="0" fontId="1" fillId="4" borderId="22" xfId="0" applyFont="1" applyFill="1" applyBorder="1" applyAlignment="1">
      <alignment horizontal="center" vertical="center"/>
    </xf>
    <xf numFmtId="0" fontId="1" fillId="0" borderId="45" xfId="0" applyFont="1" applyBorder="1" applyAlignment="1" applyProtection="1">
      <alignment horizontal="center" vertical="center"/>
      <protection locked="0"/>
    </xf>
    <xf numFmtId="0" fontId="1" fillId="0" borderId="46" xfId="0" applyFont="1" applyBorder="1" applyAlignment="1" applyProtection="1">
      <alignment horizontal="center" vertical="center"/>
      <protection locked="0"/>
    </xf>
    <xf numFmtId="0" fontId="1" fillId="6" borderId="45" xfId="0" applyFont="1" applyFill="1" applyBorder="1" applyAlignment="1" applyProtection="1">
      <alignment horizontal="center" vertical="center"/>
      <protection locked="0"/>
    </xf>
    <xf numFmtId="0" fontId="1" fillId="6" borderId="46" xfId="0" applyFont="1" applyFill="1" applyBorder="1" applyAlignment="1" applyProtection="1">
      <alignment horizontal="center" vertical="center"/>
      <protection locked="0"/>
    </xf>
    <xf numFmtId="0" fontId="1" fillId="4" borderId="6" xfId="0" applyFont="1" applyFill="1" applyBorder="1" applyAlignment="1">
      <alignment horizontal="center" vertical="center"/>
    </xf>
    <xf numFmtId="0" fontId="1" fillId="4" borderId="8" xfId="0" applyFont="1" applyFill="1" applyBorder="1" applyAlignment="1">
      <alignment horizontal="center" vertical="center"/>
    </xf>
    <xf numFmtId="0" fontId="3" fillId="0" borderId="18" xfId="0" applyFont="1" applyBorder="1" applyAlignment="1">
      <alignment horizontal="center"/>
    </xf>
    <xf numFmtId="0" fontId="3" fillId="0" borderId="19" xfId="0" applyFont="1" applyBorder="1" applyAlignment="1">
      <alignment horizontal="center"/>
    </xf>
    <xf numFmtId="0" fontId="1" fillId="0" borderId="23" xfId="0" applyFont="1" applyBorder="1" applyAlignment="1">
      <alignment horizontal="left" vertical="center"/>
    </xf>
    <xf numFmtId="0" fontId="19" fillId="0" borderId="0" xfId="0" applyFont="1" applyBorder="1"/>
    <xf numFmtId="0" fontId="1" fillId="4" borderId="47" xfId="0" applyFont="1" applyFill="1" applyBorder="1" applyAlignment="1">
      <alignment horizontal="left" vertical="center"/>
    </xf>
    <xf numFmtId="0" fontId="1" fillId="4" borderId="21" xfId="0" applyFont="1" applyFill="1" applyBorder="1" applyAlignment="1">
      <alignment horizontal="left" vertical="center"/>
    </xf>
    <xf numFmtId="0" fontId="0" fillId="0" borderId="0" xfId="0" applyBorder="1" applyAlignment="1">
      <alignment horizontal="center"/>
    </xf>
    <xf numFmtId="0" fontId="0" fillId="0" borderId="18" xfId="0" applyBorder="1" applyAlignment="1">
      <alignment horizontal="center" vertical="center"/>
    </xf>
    <xf numFmtId="0" fontId="0" fillId="0" borderId="22" xfId="0" applyBorder="1" applyAlignment="1">
      <alignment horizontal="center" vertical="center"/>
    </xf>
    <xf numFmtId="0" fontId="0" fillId="0" borderId="19" xfId="0" applyBorder="1" applyAlignment="1">
      <alignment horizontal="center" vertical="center"/>
    </xf>
    <xf numFmtId="0" fontId="0" fillId="0" borderId="39" xfId="0" applyBorder="1" applyAlignment="1">
      <alignment horizontal="center"/>
    </xf>
    <xf numFmtId="0" fontId="0" fillId="0" borderId="40" xfId="0" applyBorder="1" applyAlignment="1">
      <alignment horizontal="center"/>
    </xf>
    <xf numFmtId="0" fontId="0" fillId="0" borderId="41" xfId="0" applyBorder="1" applyAlignment="1">
      <alignment horizontal="center"/>
    </xf>
    <xf numFmtId="0" fontId="0" fillId="0" borderId="16" xfId="0" applyBorder="1" applyAlignment="1">
      <alignment horizontal="center" vertical="center"/>
    </xf>
    <xf numFmtId="0" fontId="0" fillId="0" borderId="20" xfId="0" applyBorder="1" applyAlignment="1">
      <alignment horizontal="center" vertical="center"/>
    </xf>
    <xf numFmtId="0" fontId="13" fillId="7" borderId="18" xfId="0" applyFont="1" applyFill="1" applyBorder="1" applyAlignment="1">
      <alignment horizontal="center"/>
    </xf>
    <xf numFmtId="0" fontId="13" fillId="7" borderId="22" xfId="0" applyFont="1" applyFill="1" applyBorder="1" applyAlignment="1">
      <alignment horizontal="center"/>
    </xf>
    <xf numFmtId="0" fontId="13" fillId="7" borderId="19" xfId="0" applyFont="1" applyFill="1" applyBorder="1" applyAlignment="1">
      <alignment horizontal="center"/>
    </xf>
    <xf numFmtId="0" fontId="0" fillId="0" borderId="18" xfId="0" applyBorder="1" applyAlignment="1">
      <alignment horizontal="center"/>
    </xf>
    <xf numFmtId="0" fontId="0" fillId="0" borderId="22" xfId="0" applyBorder="1" applyAlignment="1">
      <alignment horizontal="center"/>
    </xf>
    <xf numFmtId="0" fontId="0" fillId="0" borderId="19" xfId="0" applyBorder="1" applyAlignment="1">
      <alignment horizontal="center"/>
    </xf>
    <xf numFmtId="0" fontId="1" fillId="0" borderId="0" xfId="0" applyFont="1" applyAlignment="1">
      <alignment horizontal="center"/>
    </xf>
    <xf numFmtId="0" fontId="3" fillId="0" borderId="0" xfId="0" applyFont="1" applyAlignment="1">
      <alignment horizontal="center"/>
    </xf>
  </cellXfs>
  <cellStyles count="1">
    <cellStyle name="Normal" xfId="0" builtinId="0"/>
  </cellStyles>
  <dxfs count="83">
    <dxf>
      <fill>
        <patternFill>
          <bgColor rgb="FFFF0000"/>
        </patternFill>
      </fill>
    </dxf>
    <dxf>
      <fill>
        <patternFill>
          <bgColor rgb="FFFF0000"/>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s>
  <tableStyles count="0" defaultTableStyle="TableStyleMedium2" defaultPivotStyle="PivotStyleLight16"/>
  <colors>
    <mruColors>
      <color rgb="FFC5D9F1"/>
      <color rgb="FF6F8493"/>
      <color rgb="FF00549E"/>
      <color rgb="FFFAFA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11.xml"/><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0.31646613851675892"/>
          <c:y val="4.6753246753246755E-2"/>
          <c:w val="0.45767847166118031"/>
          <c:h val="0.90909090909090906"/>
        </c:manualLayout>
      </c:layout>
      <c:scatterChart>
        <c:scatterStyle val="lineMarker"/>
        <c:varyColors val="0"/>
        <c:ser>
          <c:idx val="0"/>
          <c:order val="0"/>
          <c:tx>
            <c:v>IBUPO versus PARAPO</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1.5620426630164437</c:v>
                </c:pt>
              </c:numLit>
            </c:plus>
            <c:minus>
              <c:numLit>
                <c:formatCode>General</c:formatCode>
                <c:ptCount val="1"/>
                <c:pt idx="0">
                  <c:v>0.62233315615531326</c:v>
                </c:pt>
              </c:numLit>
            </c:minus>
          </c:errBars>
          <c:xVal>
            <c:numRef>
              <c:f>'Random Effects (Vague)'!$I$5</c:f>
              <c:numCache>
                <c:formatCode>General</c:formatCode>
                <c:ptCount val="1"/>
                <c:pt idx="0">
                  <c:v>1.0876658690450294</c:v>
                </c:pt>
              </c:numCache>
            </c:numRef>
          </c:xVal>
          <c:yVal>
            <c:numLit>
              <c:formatCode>General</c:formatCode>
              <c:ptCount val="1"/>
              <c:pt idx="0">
                <c:v>1.5</c:v>
              </c:pt>
            </c:numLit>
          </c:yVal>
          <c:smooth val="0"/>
        </c:ser>
        <c:ser>
          <c:idx val="1"/>
          <c:order val="1"/>
          <c:tx>
            <c:v>INDOTHERS versus PLAC_NORX</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0.93882495457298587</c:v>
                </c:pt>
              </c:numLit>
            </c:plus>
            <c:minus>
              <c:numLit>
                <c:formatCode>General</c:formatCode>
                <c:ptCount val="1"/>
                <c:pt idx="0">
                  <c:v>0.48375146800343649</c:v>
                </c:pt>
              </c:numLit>
            </c:minus>
          </c:errBars>
          <c:xVal>
            <c:numRef>
              <c:f>'Random Effects (Vague)'!$I$6</c:f>
              <c:numCache>
                <c:formatCode>General</c:formatCode>
                <c:ptCount val="1"/>
                <c:pt idx="0">
                  <c:v>0.98425196850393704</c:v>
                </c:pt>
              </c:numCache>
            </c:numRef>
          </c:xVal>
          <c:yVal>
            <c:numLit>
              <c:formatCode>General</c:formatCode>
              <c:ptCount val="1"/>
              <c:pt idx="0">
                <c:v>3.5</c:v>
              </c:pt>
            </c:numLit>
          </c:yVal>
          <c:smooth val="0"/>
        </c:ser>
        <c:ser>
          <c:idx val="2"/>
          <c:order val="2"/>
          <c:tx>
            <c:v>IBUIVCONT versus INDOTHERS</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2.3115241953177574</c:v>
                </c:pt>
              </c:numLit>
            </c:plus>
            <c:minus>
              <c:numLit>
                <c:formatCode>General</c:formatCode>
                <c:ptCount val="1"/>
                <c:pt idx="0">
                  <c:v>0.65865952440736919</c:v>
                </c:pt>
              </c:numLit>
            </c:minus>
          </c:errBars>
          <c:xVal>
            <c:numRef>
              <c:f>'Random Effects (Vague)'!$I$7</c:f>
              <c:numCache>
                <c:formatCode>General</c:formatCode>
                <c:ptCount val="1"/>
                <c:pt idx="0">
                  <c:v>0.91324200913242015</c:v>
                </c:pt>
              </c:numCache>
            </c:numRef>
          </c:xVal>
          <c:yVal>
            <c:numLit>
              <c:formatCode>General</c:formatCode>
              <c:ptCount val="1"/>
              <c:pt idx="0">
                <c:v>5.5</c:v>
              </c:pt>
            </c:numLit>
          </c:yVal>
          <c:smooth val="0"/>
        </c:ser>
        <c:ser>
          <c:idx val="3"/>
          <c:order val="3"/>
          <c:tx>
            <c:v>INDOIV versus IBUIV</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0.37062947541530189</c:v>
                </c:pt>
              </c:numLit>
            </c:plus>
            <c:minus>
              <c:numLit>
                <c:formatCode>General</c:formatCode>
                <c:ptCount val="1"/>
                <c:pt idx="0">
                  <c:v>0.26683096700013653</c:v>
                </c:pt>
              </c:numLit>
            </c:minus>
          </c:errBars>
          <c:xVal>
            <c:numRef>
              <c:f>'Random Effects (Vague)'!$I$8</c:f>
              <c:numCache>
                <c:formatCode>General</c:formatCode>
                <c:ptCount val="1"/>
                <c:pt idx="0">
                  <c:v>0.91240875912408748</c:v>
                </c:pt>
              </c:numCache>
            </c:numRef>
          </c:xVal>
          <c:yVal>
            <c:numLit>
              <c:formatCode>General</c:formatCode>
              <c:ptCount val="1"/>
              <c:pt idx="0">
                <c:v>7.5</c:v>
              </c:pt>
            </c:numLit>
          </c:yVal>
          <c:smooth val="0"/>
        </c:ser>
        <c:ser>
          <c:idx val="4"/>
          <c:order val="4"/>
          <c:tx>
            <c:v>IBUIVCONT versus PLAC_NORX</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1.9785020136464575</c:v>
                </c:pt>
              </c:numLit>
            </c:plus>
            <c:minus>
              <c:numLit>
                <c:formatCode>General</c:formatCode>
                <c:ptCount val="1"/>
                <c:pt idx="0">
                  <c:v>0.62816350049392988</c:v>
                </c:pt>
              </c:numLit>
            </c:minus>
          </c:errBars>
          <c:xVal>
            <c:numRef>
              <c:f>'Random Effects (Vague)'!$I$9</c:f>
              <c:numCache>
                <c:formatCode>General</c:formatCode>
                <c:ptCount val="1"/>
                <c:pt idx="0">
                  <c:v>0.90334236675700097</c:v>
                </c:pt>
              </c:numCache>
            </c:numRef>
          </c:xVal>
          <c:yVal>
            <c:numLit>
              <c:formatCode>General</c:formatCode>
              <c:ptCount val="1"/>
              <c:pt idx="0">
                <c:v>9.5</c:v>
              </c:pt>
            </c:numLit>
          </c:yVal>
          <c:smooth val="0"/>
        </c:ser>
        <c:ser>
          <c:idx val="5"/>
          <c:order val="5"/>
          <c:tx>
            <c:v>IBUIV versus IBUIVCONT</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1.6617846636454305</c:v>
                </c:pt>
              </c:numLit>
            </c:plus>
            <c:minus>
              <c:numLit>
                <c:formatCode>General</c:formatCode>
                <c:ptCount val="1"/>
                <c:pt idx="0">
                  <c:v>0.57683183375110769</c:v>
                </c:pt>
              </c:numLit>
            </c:minus>
          </c:errBars>
          <c:xVal>
            <c:numRef>
              <c:f>'Random Effects (Vague)'!$I$10</c:f>
              <c:numCache>
                <c:formatCode>General</c:formatCode>
                <c:ptCount val="1"/>
                <c:pt idx="0">
                  <c:v>0.88339222614840995</c:v>
                </c:pt>
              </c:numCache>
            </c:numRef>
          </c:xVal>
          <c:yVal>
            <c:numLit>
              <c:formatCode>General</c:formatCode>
              <c:ptCount val="1"/>
              <c:pt idx="0">
                <c:v>11.5</c:v>
              </c:pt>
            </c:numLit>
          </c:yVal>
          <c:smooth val="0"/>
        </c:ser>
        <c:ser>
          <c:idx val="6"/>
          <c:order val="6"/>
          <c:tx>
            <c:v>IBUIV versus INDOTHERS</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0.72988280199955402</c:v>
                </c:pt>
              </c:numLit>
            </c:plus>
            <c:minus>
              <c:numLit>
                <c:formatCode>General</c:formatCode>
                <c:ptCount val="1"/>
                <c:pt idx="0">
                  <c:v>0.38964501051590866</c:v>
                </c:pt>
              </c:numLit>
            </c:minus>
          </c:errBars>
          <c:xVal>
            <c:numRef>
              <c:f>'Random Effects (Vague)'!$I$11</c:f>
              <c:numCache>
                <c:formatCode>General</c:formatCode>
                <c:ptCount val="1"/>
                <c:pt idx="0">
                  <c:v>0.81499592502037488</c:v>
                </c:pt>
              </c:numCache>
            </c:numRef>
          </c:xVal>
          <c:yVal>
            <c:numLit>
              <c:formatCode>General</c:formatCode>
              <c:ptCount val="1"/>
              <c:pt idx="0">
                <c:v>13.5</c:v>
              </c:pt>
            </c:numLit>
          </c:yVal>
          <c:smooth val="0"/>
        </c:ser>
        <c:ser>
          <c:idx val="7"/>
          <c:order val="7"/>
          <c:tx>
            <c:v>INDOIV versus IBUIVCONT</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1.6714862144536453</c:v>
                </c:pt>
              </c:numLit>
            </c:plus>
            <c:minus>
              <c:numLit>
                <c:formatCode>General</c:formatCode>
                <c:ptCount val="1"/>
                <c:pt idx="0">
                  <c:v>0.53624980505817565</c:v>
                </c:pt>
              </c:numLit>
            </c:minus>
          </c:errBars>
          <c:xVal>
            <c:numRef>
              <c:f>'Random Effects (Vague)'!$I$12</c:f>
              <c:numCache>
                <c:formatCode>General</c:formatCode>
                <c:ptCount val="1"/>
                <c:pt idx="0">
                  <c:v>0.80192461908580581</c:v>
                </c:pt>
              </c:numCache>
            </c:numRef>
          </c:xVal>
          <c:yVal>
            <c:numLit>
              <c:formatCode>General</c:formatCode>
              <c:ptCount val="1"/>
              <c:pt idx="0">
                <c:v>15.5</c:v>
              </c:pt>
            </c:numLit>
          </c:yVal>
          <c:smooth val="0"/>
        </c:ser>
        <c:ser>
          <c:idx val="8"/>
          <c:order val="8"/>
          <c:tx>
            <c:v>IBUIV versus PLAC_NORX</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0.52269131284079029</c:v>
                </c:pt>
              </c:numLit>
            </c:plus>
            <c:minus>
              <c:numLit>
                <c:formatCode>General</c:formatCode>
                <c:ptCount val="1"/>
                <c:pt idx="0">
                  <c:v>0.32134903931539294</c:v>
                </c:pt>
              </c:numLit>
            </c:minus>
          </c:errBars>
          <c:xVal>
            <c:numRef>
              <c:f>'Random Effects (Vague)'!$I$13</c:f>
              <c:numCache>
                <c:formatCode>General</c:formatCode>
                <c:ptCount val="1"/>
                <c:pt idx="0">
                  <c:v>0.79936051159072752</c:v>
                </c:pt>
              </c:numCache>
            </c:numRef>
          </c:xVal>
          <c:yVal>
            <c:numLit>
              <c:formatCode>General</c:formatCode>
              <c:ptCount val="1"/>
              <c:pt idx="0">
                <c:v>17.5</c:v>
              </c:pt>
            </c:numLit>
          </c:yVal>
          <c:smooth val="0"/>
        </c:ser>
        <c:ser>
          <c:idx val="9"/>
          <c:order val="9"/>
          <c:tx>
            <c:v>INDOIV versus INDOTHERS</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0.53690924476332591</c:v>
                </c:pt>
              </c:numLit>
            </c:plus>
            <c:minus>
              <c:numLit>
                <c:formatCode>General</c:formatCode>
                <c:ptCount val="1"/>
                <c:pt idx="0">
                  <c:v>0.30698529645192296</c:v>
                </c:pt>
              </c:numLit>
            </c:minus>
          </c:errBars>
          <c:xVal>
            <c:numRef>
              <c:f>'Random Effects (Vague)'!$I$14</c:f>
              <c:numCache>
                <c:formatCode>General</c:formatCode>
                <c:ptCount val="1"/>
                <c:pt idx="0">
                  <c:v>0.73746312684365778</c:v>
                </c:pt>
              </c:numCache>
            </c:numRef>
          </c:xVal>
          <c:yVal>
            <c:numLit>
              <c:formatCode>General</c:formatCode>
              <c:ptCount val="1"/>
              <c:pt idx="0">
                <c:v>19.5</c:v>
              </c:pt>
            </c:numLit>
          </c:yVal>
          <c:smooth val="0"/>
        </c:ser>
        <c:ser>
          <c:idx val="10"/>
          <c:order val="10"/>
          <c:tx>
            <c:v>INDOIV versus PLAC_NORX</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0.38716447075697069</c:v>
                </c:pt>
              </c:numLit>
            </c:plus>
            <c:minus>
              <c:numLit>
                <c:formatCode>General</c:formatCode>
                <c:ptCount val="1"/>
                <c:pt idx="0">
                  <c:v>0.27760243147852187</c:v>
                </c:pt>
              </c:numLit>
            </c:minus>
          </c:errBars>
          <c:xVal>
            <c:numRef>
              <c:f>'Random Effects (Vague)'!$I$15</c:f>
              <c:numCache>
                <c:formatCode>General</c:formatCode>
                <c:ptCount val="1"/>
                <c:pt idx="0">
                  <c:v>0.73152889539136801</c:v>
                </c:pt>
              </c:numCache>
            </c:numRef>
          </c:xVal>
          <c:yVal>
            <c:numLit>
              <c:formatCode>General</c:formatCode>
              <c:ptCount val="1"/>
              <c:pt idx="0">
                <c:v>21.5</c:v>
              </c:pt>
            </c:numLit>
          </c:yVal>
          <c:smooth val="0"/>
        </c:ser>
        <c:ser>
          <c:idx val="11"/>
          <c:order val="11"/>
          <c:tx>
            <c:v>IBUPO versus INDOIV</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0.45289999999999997</c:v>
                </c:pt>
              </c:numLit>
            </c:plus>
            <c:minus>
              <c:numLit>
                <c:formatCode>General</c:formatCode>
                <c:ptCount val="1"/>
                <c:pt idx="0">
                  <c:v>0.28110000000000002</c:v>
                </c:pt>
              </c:numLit>
            </c:minus>
          </c:errBars>
          <c:xVal>
            <c:numRef>
              <c:f>'Random Effects (Vague)'!$I$16</c:f>
              <c:numCache>
                <c:formatCode>General</c:formatCode>
                <c:ptCount val="1"/>
                <c:pt idx="0">
                  <c:v>0.68210000000000004</c:v>
                </c:pt>
              </c:numCache>
            </c:numRef>
          </c:xVal>
          <c:yVal>
            <c:numLit>
              <c:formatCode>General</c:formatCode>
              <c:ptCount val="1"/>
              <c:pt idx="0">
                <c:v>23.5</c:v>
              </c:pt>
            </c:numLit>
          </c:yVal>
          <c:smooth val="0"/>
        </c:ser>
        <c:ser>
          <c:idx val="12"/>
          <c:order val="12"/>
          <c:tx>
            <c:v>PARAPO versus INDOIV</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0.8980999999999999</c:v>
                </c:pt>
              </c:numLit>
            </c:plus>
            <c:minus>
              <c:numLit>
                <c:formatCode>General</c:formatCode>
                <c:ptCount val="1"/>
                <c:pt idx="0">
                  <c:v>0.37530000000000002</c:v>
                </c:pt>
              </c:numLit>
            </c:minus>
          </c:errBars>
          <c:xVal>
            <c:numRef>
              <c:f>'Random Effects (Vague)'!$I$17</c:f>
              <c:numCache>
                <c:formatCode>General</c:formatCode>
                <c:ptCount val="1"/>
                <c:pt idx="0">
                  <c:v>0.62890000000000001</c:v>
                </c:pt>
              </c:numCache>
            </c:numRef>
          </c:xVal>
          <c:yVal>
            <c:numLit>
              <c:formatCode>General</c:formatCode>
              <c:ptCount val="1"/>
              <c:pt idx="0">
                <c:v>25.5</c:v>
              </c:pt>
            </c:numLit>
          </c:yVal>
          <c:smooth val="0"/>
        </c:ser>
        <c:ser>
          <c:idx val="13"/>
          <c:order val="13"/>
          <c:tx>
            <c:v>IBUPO versus IBUIV</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0.40990000000000004</c:v>
                </c:pt>
              </c:numLit>
            </c:plus>
            <c:minus>
              <c:numLit>
                <c:formatCode>General</c:formatCode>
                <c:ptCount val="1"/>
                <c:pt idx="0">
                  <c:v>0.2586</c:v>
                </c:pt>
              </c:numLit>
            </c:minus>
          </c:errBars>
          <c:xVal>
            <c:numRef>
              <c:f>'Random Effects (Vague)'!$I$18</c:f>
              <c:numCache>
                <c:formatCode>General</c:formatCode>
                <c:ptCount val="1"/>
                <c:pt idx="0">
                  <c:v>0.62009999999999998</c:v>
                </c:pt>
              </c:numCache>
            </c:numRef>
          </c:xVal>
          <c:yVal>
            <c:numLit>
              <c:formatCode>General</c:formatCode>
              <c:ptCount val="1"/>
              <c:pt idx="0">
                <c:v>27.5</c:v>
              </c:pt>
            </c:numLit>
          </c:yVal>
          <c:smooth val="0"/>
        </c:ser>
        <c:ser>
          <c:idx val="14"/>
          <c:order val="14"/>
          <c:tx>
            <c:v>PLAC_NORX versus IBUIVHIGHDOSE</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1.4415</c:v>
                </c:pt>
              </c:numLit>
            </c:plus>
            <c:minus>
              <c:numLit>
                <c:formatCode>General</c:formatCode>
                <c:ptCount val="1"/>
                <c:pt idx="0">
                  <c:v>0.41620000000000001</c:v>
                </c:pt>
              </c:numLit>
            </c:minus>
          </c:errBars>
          <c:xVal>
            <c:numRef>
              <c:f>'Random Effects (Vague)'!$I$19</c:f>
              <c:numCache>
                <c:formatCode>General</c:formatCode>
                <c:ptCount val="1"/>
                <c:pt idx="0">
                  <c:v>0.58250000000000002</c:v>
                </c:pt>
              </c:numCache>
            </c:numRef>
          </c:xVal>
          <c:yVal>
            <c:numLit>
              <c:formatCode>General</c:formatCode>
              <c:ptCount val="1"/>
              <c:pt idx="0">
                <c:v>29.5</c:v>
              </c:pt>
            </c:numLit>
          </c:yVal>
          <c:smooth val="0"/>
        </c:ser>
        <c:ser>
          <c:idx val="15"/>
          <c:order val="15"/>
          <c:tx>
            <c:v>PARAPO versus IBUIV</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0.81059999999999988</c:v>
                </c:pt>
              </c:numLit>
            </c:plus>
            <c:minus>
              <c:numLit>
                <c:formatCode>General</c:formatCode>
                <c:ptCount val="1"/>
                <c:pt idx="0">
                  <c:v>0.35240000000000005</c:v>
                </c:pt>
              </c:numLit>
            </c:minus>
          </c:errBars>
          <c:xVal>
            <c:numRef>
              <c:f>'Random Effects (Vague)'!$I$20</c:f>
              <c:numCache>
                <c:formatCode>General</c:formatCode>
                <c:ptCount val="1"/>
                <c:pt idx="0">
                  <c:v>0.57340000000000002</c:v>
                </c:pt>
              </c:numCache>
            </c:numRef>
          </c:xVal>
          <c:yVal>
            <c:numLit>
              <c:formatCode>General</c:formatCode>
              <c:ptCount val="1"/>
              <c:pt idx="0">
                <c:v>31.5</c:v>
              </c:pt>
            </c:numLit>
          </c:yVal>
          <c:smooth val="0"/>
        </c:ser>
        <c:ser>
          <c:idx val="16"/>
          <c:order val="16"/>
          <c:tx>
            <c:v>INDOTHERS versus IBUIVHIGHDOSE</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1.5364000000000002</c:v>
                </c:pt>
              </c:numLit>
            </c:plus>
            <c:minus>
              <c:numLit>
                <c:formatCode>General</c:formatCode>
                <c:ptCount val="1"/>
                <c:pt idx="0">
                  <c:v>0.41249999999999998</c:v>
                </c:pt>
              </c:numLit>
            </c:minus>
          </c:errBars>
          <c:xVal>
            <c:numRef>
              <c:f>'Random Effects (Vague)'!$I$21</c:f>
              <c:numCache>
                <c:formatCode>General</c:formatCode>
                <c:ptCount val="1"/>
                <c:pt idx="0">
                  <c:v>0.5706</c:v>
                </c:pt>
              </c:numCache>
            </c:numRef>
          </c:xVal>
          <c:yVal>
            <c:numLit>
              <c:formatCode>General</c:formatCode>
              <c:ptCount val="1"/>
              <c:pt idx="0">
                <c:v>33.5</c:v>
              </c:pt>
            </c:numLit>
          </c:yVal>
          <c:smooth val="0"/>
        </c:ser>
        <c:ser>
          <c:idx val="17"/>
          <c:order val="17"/>
          <c:tx>
            <c:v>IBUPO versus IBUIVCONT</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1.2836612839992223</c:v>
                </c:pt>
              </c:numLit>
            </c:plus>
            <c:minus>
              <c:numLit>
                <c:formatCode>General</c:formatCode>
                <c:ptCount val="1"/>
                <c:pt idx="0">
                  <c:v>0.37969992380007389</c:v>
                </c:pt>
              </c:numLit>
            </c:minus>
          </c:errBars>
          <c:xVal>
            <c:numRef>
              <c:f>'Random Effects (Vague)'!$I$22</c:f>
              <c:numCache>
                <c:formatCode>General</c:formatCode>
                <c:ptCount val="1"/>
                <c:pt idx="0">
                  <c:v>0.54884742041712398</c:v>
                </c:pt>
              </c:numCache>
            </c:numRef>
          </c:xVal>
          <c:yVal>
            <c:numLit>
              <c:formatCode>General</c:formatCode>
              <c:ptCount val="1"/>
              <c:pt idx="0">
                <c:v>35.5</c:v>
              </c:pt>
            </c:numLit>
          </c:yVal>
          <c:smooth val="0"/>
        </c:ser>
        <c:ser>
          <c:idx val="18"/>
          <c:order val="18"/>
          <c:tx>
            <c:v>IBUIVCONT versus IBUIVHIGHDOSE</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1.8804000000000003</c:v>
                </c:pt>
              </c:numLit>
            </c:plus>
            <c:minus>
              <c:numLit>
                <c:formatCode>General</c:formatCode>
                <c:ptCount val="1"/>
                <c:pt idx="0">
                  <c:v>0.42459999999999998</c:v>
                </c:pt>
              </c:numLit>
            </c:minus>
          </c:errBars>
          <c:xVal>
            <c:numRef>
              <c:f>'Random Effects (Vague)'!$I$23</c:f>
              <c:numCache>
                <c:formatCode>General</c:formatCode>
                <c:ptCount val="1"/>
                <c:pt idx="0">
                  <c:v>0.53359999999999996</c:v>
                </c:pt>
              </c:numCache>
            </c:numRef>
          </c:xVal>
          <c:yVal>
            <c:numLit>
              <c:formatCode>General</c:formatCode>
              <c:ptCount val="1"/>
              <c:pt idx="0">
                <c:v>37.5</c:v>
              </c:pt>
            </c:numLit>
          </c:yVal>
          <c:smooth val="0"/>
        </c:ser>
        <c:ser>
          <c:idx val="19"/>
          <c:order val="19"/>
          <c:tx>
            <c:v>IBUPO versus INDOTHERS</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0.51455160136871747</c:v>
                </c:pt>
              </c:numLit>
            </c:plus>
            <c:minus>
              <c:numLit>
                <c:formatCode>General</c:formatCode>
                <c:ptCount val="1"/>
                <c:pt idx="0">
                  <c:v>0.26322024275159683</c:v>
                </c:pt>
              </c:numLit>
            </c:minus>
          </c:errBars>
          <c:xVal>
            <c:numRef>
              <c:f>'Random Effects (Vague)'!$I$24</c:f>
              <c:numCache>
                <c:formatCode>General</c:formatCode>
                <c:ptCount val="1"/>
                <c:pt idx="0">
                  <c:v>0.50377833753148615</c:v>
                </c:pt>
              </c:numCache>
            </c:numRef>
          </c:xVal>
          <c:yVal>
            <c:numLit>
              <c:formatCode>General</c:formatCode>
              <c:ptCount val="1"/>
              <c:pt idx="0">
                <c:v>39.5</c:v>
              </c:pt>
            </c:numLit>
          </c:yVal>
          <c:smooth val="0"/>
        </c:ser>
        <c:ser>
          <c:idx val="20"/>
          <c:order val="20"/>
          <c:tx>
            <c:v>PARAPO versus IBUIVCONT</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1.6100617288495336</c:v>
                </c:pt>
              </c:numLit>
            </c:plus>
            <c:minus>
              <c:numLit>
                <c:formatCode>General</c:formatCode>
                <c:ptCount val="1"/>
                <c:pt idx="0">
                  <c:v>0.36852782745571289</c:v>
                </c:pt>
              </c:numLit>
            </c:minus>
          </c:errBars>
          <c:xVal>
            <c:numRef>
              <c:f>'Random Effects (Vague)'!$I$25</c:f>
              <c:numCache>
                <c:formatCode>General</c:formatCode>
                <c:ptCount val="1"/>
                <c:pt idx="0">
                  <c:v>0.49875311720698257</c:v>
                </c:pt>
              </c:numCache>
            </c:numRef>
          </c:xVal>
          <c:yVal>
            <c:numLit>
              <c:formatCode>General</c:formatCode>
              <c:ptCount val="1"/>
              <c:pt idx="0">
                <c:v>41.5</c:v>
              </c:pt>
            </c:numLit>
          </c:yVal>
          <c:smooth val="0"/>
        </c:ser>
        <c:ser>
          <c:idx val="21"/>
          <c:order val="21"/>
          <c:tx>
            <c:v>IBUPO versus PLAC_NORX</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0.34519494088327174</c:v>
                </c:pt>
              </c:numLit>
            </c:plus>
            <c:minus>
              <c:numLit>
                <c:formatCode>General</c:formatCode>
                <c:ptCount val="1"/>
                <c:pt idx="0">
                  <c:v>0.21636616586303414</c:v>
                </c:pt>
              </c:numLit>
            </c:minus>
          </c:errBars>
          <c:xVal>
            <c:numRef>
              <c:f>'Random Effects (Vague)'!$I$26</c:f>
              <c:numCache>
                <c:formatCode>General</c:formatCode>
                <c:ptCount val="1"/>
                <c:pt idx="0">
                  <c:v>0.49726504226752855</c:v>
                </c:pt>
              </c:numCache>
            </c:numRef>
          </c:xVal>
          <c:yVal>
            <c:numLit>
              <c:formatCode>General</c:formatCode>
              <c:ptCount val="1"/>
              <c:pt idx="0">
                <c:v>43.5</c:v>
              </c:pt>
            </c:numLit>
          </c:yVal>
          <c:smooth val="0"/>
        </c:ser>
        <c:ser>
          <c:idx val="22"/>
          <c:order val="22"/>
          <c:tx>
            <c:v>IBUIV versus IBUIVHIGHDOSE</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0.9386279693418712</c:v>
                </c:pt>
              </c:numLit>
            </c:plus>
            <c:minus>
              <c:numLit>
                <c:formatCode>General</c:formatCode>
                <c:ptCount val="1"/>
                <c:pt idx="0">
                  <c:v>0.3209744875338903</c:v>
                </c:pt>
              </c:numLit>
            </c:minus>
          </c:errBars>
          <c:xVal>
            <c:numRef>
              <c:f>'Random Effects (Vague)'!$I$27</c:f>
              <c:numCache>
                <c:formatCode>General</c:formatCode>
                <c:ptCount val="1"/>
                <c:pt idx="0">
                  <c:v>0.46685340802987862</c:v>
                </c:pt>
              </c:numCache>
            </c:numRef>
          </c:xVal>
          <c:yVal>
            <c:numLit>
              <c:formatCode>General</c:formatCode>
              <c:ptCount val="1"/>
              <c:pt idx="0">
                <c:v>45.5</c:v>
              </c:pt>
            </c:numLit>
          </c:yVal>
          <c:smooth val="0"/>
        </c:ser>
        <c:ser>
          <c:idx val="23"/>
          <c:order val="23"/>
          <c:tx>
            <c:v>PARAPO versus INDOTHERS</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0.80259354764441104</c:v>
                </c:pt>
              </c:numLit>
            </c:plus>
            <c:minus>
              <c:numLit>
                <c:formatCode>General</c:formatCode>
                <c:ptCount val="1"/>
                <c:pt idx="0">
                  <c:v>0.29644239116958759</c:v>
                </c:pt>
              </c:numLit>
            </c:minus>
          </c:errBars>
          <c:xVal>
            <c:numRef>
              <c:f>'Random Effects (Vague)'!$I$28</c:f>
              <c:numCache>
                <c:formatCode>General</c:formatCode>
                <c:ptCount val="1"/>
                <c:pt idx="0">
                  <c:v>0.46274872744099954</c:v>
                </c:pt>
              </c:numCache>
            </c:numRef>
          </c:xVal>
          <c:yVal>
            <c:numLit>
              <c:formatCode>General</c:formatCode>
              <c:ptCount val="1"/>
              <c:pt idx="0">
                <c:v>47.5</c:v>
              </c:pt>
            </c:numLit>
          </c:yVal>
          <c:smooth val="0"/>
        </c:ser>
        <c:ser>
          <c:idx val="24"/>
          <c:order val="24"/>
          <c:tx>
            <c:v>PARAPO versus PLAC_NORX</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0.65672553356821051</c:v>
                </c:pt>
              </c:numLit>
            </c:plus>
            <c:minus>
              <c:numLit>
                <c:formatCode>General</c:formatCode>
                <c:ptCount val="1"/>
                <c:pt idx="0">
                  <c:v>0.2878563554324976</c:v>
                </c:pt>
              </c:numLit>
            </c:minus>
          </c:errBars>
          <c:xVal>
            <c:numRef>
              <c:f>'Random Effects (Vague)'!$I$29</c:f>
              <c:numCache>
                <c:formatCode>General</c:formatCode>
                <c:ptCount val="1"/>
                <c:pt idx="0">
                  <c:v>0.46146746654360871</c:v>
                </c:pt>
              </c:numCache>
            </c:numRef>
          </c:xVal>
          <c:yVal>
            <c:numLit>
              <c:formatCode>General</c:formatCode>
              <c:ptCount val="1"/>
              <c:pt idx="0">
                <c:v>49.5</c:v>
              </c:pt>
            </c:numLit>
          </c:yVal>
          <c:smooth val="0"/>
        </c:ser>
        <c:ser>
          <c:idx val="25"/>
          <c:order val="25"/>
          <c:tx>
            <c:v>INDOIV versus IBUIVHIGHDOSE</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0.94888054446877979</c:v>
                </c:pt>
              </c:numLit>
            </c:plus>
            <c:minus>
              <c:numLit>
                <c:formatCode>General</c:formatCode>
                <c:ptCount val="1"/>
                <c:pt idx="0">
                  <c:v>0.29754679829530128</c:v>
                </c:pt>
              </c:numLit>
            </c:minus>
          </c:errBars>
          <c:xVal>
            <c:numRef>
              <c:f>'Random Effects (Vague)'!$I$30</c:f>
              <c:numCache>
                <c:formatCode>General</c:formatCode>
                <c:ptCount val="1"/>
                <c:pt idx="0">
                  <c:v>0.42229729729729731</c:v>
                </c:pt>
              </c:numCache>
            </c:numRef>
          </c:xVal>
          <c:yVal>
            <c:numLit>
              <c:formatCode>General</c:formatCode>
              <c:ptCount val="1"/>
              <c:pt idx="0">
                <c:v>51.5</c:v>
              </c:pt>
            </c:numLit>
          </c:yVal>
          <c:smooth val="0"/>
        </c:ser>
        <c:ser>
          <c:idx val="26"/>
          <c:order val="26"/>
          <c:tx>
            <c:v>IBUPO versus IBUIVHIGHDOSE</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0.71363851748019724</c:v>
                </c:pt>
              </c:numLit>
            </c:plus>
            <c:minus>
              <c:numLit>
                <c:formatCode>General</c:formatCode>
                <c:ptCount val="1"/>
                <c:pt idx="0">
                  <c:v>0.20641120971646609</c:v>
                </c:pt>
              </c:numLit>
            </c:minus>
          </c:errBars>
          <c:xVal>
            <c:numRef>
              <c:f>'Random Effects (Vague)'!$I$31</c:f>
              <c:numCache>
                <c:formatCode>General</c:formatCode>
                <c:ptCount val="1"/>
                <c:pt idx="0">
                  <c:v>0.28686173264486514</c:v>
                </c:pt>
              </c:numCache>
            </c:numRef>
          </c:xVal>
          <c:yVal>
            <c:numLit>
              <c:formatCode>General</c:formatCode>
              <c:ptCount val="1"/>
              <c:pt idx="0">
                <c:v>53.5</c:v>
              </c:pt>
            </c:numLit>
          </c:yVal>
          <c:smooth val="0"/>
        </c:ser>
        <c:ser>
          <c:idx val="27"/>
          <c:order val="27"/>
          <c:tx>
            <c:v>PARAPO versus IBUIVHIGHDOSE</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0.83747900532279429</c:v>
                </c:pt>
              </c:numLit>
            </c:plus>
            <c:minus>
              <c:numLit>
                <c:formatCode>General</c:formatCode>
                <c:ptCount val="1"/>
                <c:pt idx="0">
                  <c:v>0.20367611809612998</c:v>
                </c:pt>
              </c:numLit>
            </c:minus>
          </c:errBars>
          <c:xVal>
            <c:numRef>
              <c:f>'Random Effects (Vague)'!$I$32</c:f>
              <c:numCache>
                <c:formatCode>General</c:formatCode>
                <c:ptCount val="1"/>
                <c:pt idx="0">
                  <c:v>0.2677376171352075</c:v>
                </c:pt>
              </c:numCache>
            </c:numRef>
          </c:xVal>
          <c:yVal>
            <c:numLit>
              <c:formatCode>General</c:formatCode>
              <c:ptCount val="1"/>
              <c:pt idx="0">
                <c:v>55.5</c:v>
              </c:pt>
            </c:numLit>
          </c:yVal>
          <c:smooth val="0"/>
        </c:ser>
        <c:dLbls>
          <c:showLegendKey val="0"/>
          <c:showVal val="0"/>
          <c:showCatName val="0"/>
          <c:showSerName val="0"/>
          <c:showPercent val="0"/>
          <c:showBubbleSize val="0"/>
        </c:dLbls>
        <c:axId val="613119896"/>
        <c:axId val="613119112"/>
      </c:scatterChart>
      <c:valAx>
        <c:axId val="613119896"/>
        <c:scaling>
          <c:logBase val="10"/>
          <c:orientation val="minMax"/>
        </c:scaling>
        <c:delete val="0"/>
        <c:axPos val="b"/>
        <c:numFmt formatCode="General" sourceLinked="1"/>
        <c:majorTickMark val="out"/>
        <c:minorTickMark val="out"/>
        <c:tickLblPos val="nextTo"/>
        <c:crossAx val="613119112"/>
        <c:crossesAt val="0"/>
        <c:crossBetween val="midCat"/>
      </c:valAx>
      <c:valAx>
        <c:axId val="613119112"/>
        <c:scaling>
          <c:orientation val="minMax"/>
          <c:max val="56"/>
          <c:min val="0"/>
        </c:scaling>
        <c:delete val="0"/>
        <c:axPos val="l"/>
        <c:numFmt formatCode="General" sourceLinked="1"/>
        <c:majorTickMark val="none"/>
        <c:minorTickMark val="none"/>
        <c:tickLblPos val="none"/>
        <c:crossAx val="613119896"/>
        <c:crosses val="autoZero"/>
        <c:crossBetween val="midCat"/>
      </c:valAx>
      <c:spPr>
        <a:solidFill>
          <a:schemeClr val="accent1">
            <a:lumMod val="20000"/>
            <a:lumOff val="80000"/>
          </a:schemeClr>
        </a:solidFill>
        <a:ln w="12700">
          <a:solidFill>
            <a:sysClr val="windowText" lastClr="000000"/>
          </a:solidFill>
        </a:ln>
      </c:spPr>
    </c:plotArea>
    <c:plotVisOnly val="1"/>
    <c:dispBlanksAs val="gap"/>
    <c:showDLblsOverMax val="0"/>
  </c:chart>
  <c:spPr>
    <a:ln>
      <a:solidFill>
        <a:schemeClr val="tx1"/>
      </a:solidFill>
    </a:ln>
    <a:effectLst>
      <a:outerShdw blurRad="50800" dist="38100" dir="8100000" algn="tr" rotWithShape="0">
        <a:prstClr val="black">
          <a:alpha val="40000"/>
        </a:prstClr>
      </a:outerShdw>
    </a:effectLst>
  </c:spPr>
  <c:printSettings>
    <c:headerFooter/>
    <c:pageMargins b="0.75000000000000921" l="0.70000000000000062" r="0.70000000000000062" t="0.75000000000000921" header="0.30000000000000032" footer="0.30000000000000032"/>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873537086058752"/>
          <c:y val="9.2707258806466714E-2"/>
          <c:w val="0.76534567794410313"/>
          <c:h val="0.74626563106439092"/>
        </c:manualLayout>
      </c:layout>
      <c:lineChart>
        <c:grouping val="standard"/>
        <c:varyColors val="0"/>
        <c:ser>
          <c:idx val="0"/>
          <c:order val="0"/>
          <c:tx>
            <c:strRef>
              <c:f>'Rankogram Data'!$M$4</c:f>
              <c:strCache>
                <c:ptCount val="1"/>
                <c:pt idx="0">
                  <c:v>INDOIV</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cat>
            <c:numRef>
              <c:f>'Rankogram Data'!$L$5:$L$100</c:f>
              <c:numCache>
                <c:formatCode>General</c:formatCode>
                <c:ptCount val="8"/>
                <c:pt idx="0">
                  <c:v>1</c:v>
                </c:pt>
                <c:pt idx="1">
                  <c:v>2</c:v>
                </c:pt>
                <c:pt idx="2">
                  <c:v>3</c:v>
                </c:pt>
                <c:pt idx="3">
                  <c:v>4</c:v>
                </c:pt>
                <c:pt idx="4">
                  <c:v>5</c:v>
                </c:pt>
                <c:pt idx="5">
                  <c:v>6</c:v>
                </c:pt>
                <c:pt idx="6">
                  <c:v>7</c:v>
                </c:pt>
                <c:pt idx="7">
                  <c:v>8</c:v>
                </c:pt>
              </c:numCache>
            </c:numRef>
          </c:cat>
          <c:val>
            <c:numRef>
              <c:f>'Rankogram Data'!$M$5:$M$100</c:f>
              <c:numCache>
                <c:formatCode>General</c:formatCode>
                <c:ptCount val="8"/>
                <c:pt idx="0">
                  <c:v>1.387E-2</c:v>
                </c:pt>
                <c:pt idx="1">
                  <c:v>9.1170000000000001E-2</c:v>
                </c:pt>
                <c:pt idx="2">
                  <c:v>0.36159999999999998</c:v>
                </c:pt>
                <c:pt idx="3">
                  <c:v>0.31019999999999998</c:v>
                </c:pt>
                <c:pt idx="4">
                  <c:v>0.1618</c:v>
                </c:pt>
                <c:pt idx="5">
                  <c:v>4.8399999999999999E-2</c:v>
                </c:pt>
                <c:pt idx="6">
                  <c:v>1.2699999999999999E-2</c:v>
                </c:pt>
                <c:pt idx="7">
                  <c:v>2.0000000000000001E-4</c:v>
                </c:pt>
              </c:numCache>
            </c:numRef>
          </c:val>
          <c:smooth val="0"/>
        </c:ser>
        <c:ser>
          <c:idx val="1"/>
          <c:order val="1"/>
          <c:tx>
            <c:strRef>
              <c:f>'Rankogram Data'!$N$4</c:f>
              <c:strCache>
                <c:ptCount val="1"/>
                <c:pt idx="0">
                  <c:v>IBUIV</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cat>
            <c:numRef>
              <c:f>'Rankogram Data'!$L$5:$L$100</c:f>
              <c:numCache>
                <c:formatCode>General</c:formatCode>
                <c:ptCount val="8"/>
                <c:pt idx="0">
                  <c:v>1</c:v>
                </c:pt>
                <c:pt idx="1">
                  <c:v>2</c:v>
                </c:pt>
                <c:pt idx="2">
                  <c:v>3</c:v>
                </c:pt>
                <c:pt idx="3">
                  <c:v>4</c:v>
                </c:pt>
                <c:pt idx="4">
                  <c:v>5</c:v>
                </c:pt>
                <c:pt idx="5">
                  <c:v>6</c:v>
                </c:pt>
                <c:pt idx="6">
                  <c:v>7</c:v>
                </c:pt>
                <c:pt idx="7">
                  <c:v>8</c:v>
                </c:pt>
              </c:numCache>
            </c:numRef>
          </c:cat>
          <c:val>
            <c:numRef>
              <c:f>'Rankogram Data'!$N$5:$N$100</c:f>
              <c:numCache>
                <c:formatCode>General</c:formatCode>
                <c:ptCount val="8"/>
                <c:pt idx="0">
                  <c:v>3.5999999999999999E-3</c:v>
                </c:pt>
                <c:pt idx="1">
                  <c:v>3.193E-2</c:v>
                </c:pt>
                <c:pt idx="2">
                  <c:v>0.15179999999999999</c:v>
                </c:pt>
                <c:pt idx="3">
                  <c:v>0.31929999999999997</c:v>
                </c:pt>
                <c:pt idx="4">
                  <c:v>0.3054</c:v>
                </c:pt>
                <c:pt idx="5">
                  <c:v>0.15390000000000001</c:v>
                </c:pt>
                <c:pt idx="6">
                  <c:v>3.1329999999999997E-2</c:v>
                </c:pt>
                <c:pt idx="7">
                  <c:v>2.7000000000000001E-3</c:v>
                </c:pt>
              </c:numCache>
            </c:numRef>
          </c:val>
          <c:smooth val="0"/>
        </c:ser>
        <c:ser>
          <c:idx val="2"/>
          <c:order val="2"/>
          <c:tx>
            <c:strRef>
              <c:f>'Rankogram Data'!$O$4</c:f>
              <c:strCache>
                <c:ptCount val="1"/>
                <c:pt idx="0">
                  <c:v>IBUPO</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cat>
            <c:numRef>
              <c:f>'Rankogram Data'!$L$5:$L$100</c:f>
              <c:numCache>
                <c:formatCode>General</c:formatCode>
                <c:ptCount val="8"/>
                <c:pt idx="0">
                  <c:v>1</c:v>
                </c:pt>
                <c:pt idx="1">
                  <c:v>2</c:v>
                </c:pt>
                <c:pt idx="2">
                  <c:v>3</c:v>
                </c:pt>
                <c:pt idx="3">
                  <c:v>4</c:v>
                </c:pt>
                <c:pt idx="4">
                  <c:v>5</c:v>
                </c:pt>
                <c:pt idx="5">
                  <c:v>6</c:v>
                </c:pt>
                <c:pt idx="6">
                  <c:v>7</c:v>
                </c:pt>
                <c:pt idx="7">
                  <c:v>8</c:v>
                </c:pt>
              </c:numCache>
            </c:numRef>
          </c:cat>
          <c:val>
            <c:numRef>
              <c:f>'Rankogram Data'!$O$5:$O$100</c:f>
              <c:numCache>
                <c:formatCode>General</c:formatCode>
                <c:ptCount val="8"/>
                <c:pt idx="0">
                  <c:v>0.34970000000000001</c:v>
                </c:pt>
                <c:pt idx="1">
                  <c:v>0.48280000000000001</c:v>
                </c:pt>
                <c:pt idx="2">
                  <c:v>0.1201</c:v>
                </c:pt>
                <c:pt idx="3">
                  <c:v>3.1269999999999999E-2</c:v>
                </c:pt>
                <c:pt idx="4">
                  <c:v>1.137E-2</c:v>
                </c:pt>
                <c:pt idx="5">
                  <c:v>3.6670000000000001E-3</c:v>
                </c:pt>
                <c:pt idx="6">
                  <c:v>1.0330000000000001E-3</c:v>
                </c:pt>
                <c:pt idx="7">
                  <c:v>1E-4</c:v>
                </c:pt>
              </c:numCache>
            </c:numRef>
          </c:val>
          <c:smooth val="0"/>
        </c:ser>
        <c:ser>
          <c:idx val="3"/>
          <c:order val="3"/>
          <c:tx>
            <c:strRef>
              <c:f>'Rankogram Data'!$P$4</c:f>
              <c:strCache>
                <c:ptCount val="1"/>
                <c:pt idx="0">
                  <c:v>PARAPO</c:v>
                </c:pt>
              </c:strCache>
            </c:strRef>
          </c:tx>
          <c:spPr>
            <a:ln w="22225" cap="rnd">
              <a:solidFill>
                <a:schemeClr val="accent4"/>
              </a:solidFill>
              <a:round/>
            </a:ln>
            <a:effectLst/>
          </c:spPr>
          <c:marker>
            <c:symbol val="x"/>
            <c:size val="6"/>
            <c:spPr>
              <a:noFill/>
              <a:ln w="9525">
                <a:solidFill>
                  <a:schemeClr val="accent4"/>
                </a:solidFill>
                <a:round/>
              </a:ln>
              <a:effectLst/>
            </c:spPr>
          </c:marker>
          <c:cat>
            <c:numRef>
              <c:f>'Rankogram Data'!$L$5:$L$100</c:f>
              <c:numCache>
                <c:formatCode>General</c:formatCode>
                <c:ptCount val="8"/>
                <c:pt idx="0">
                  <c:v>1</c:v>
                </c:pt>
                <c:pt idx="1">
                  <c:v>2</c:v>
                </c:pt>
                <c:pt idx="2">
                  <c:v>3</c:v>
                </c:pt>
                <c:pt idx="3">
                  <c:v>4</c:v>
                </c:pt>
                <c:pt idx="4">
                  <c:v>5</c:v>
                </c:pt>
                <c:pt idx="5">
                  <c:v>6</c:v>
                </c:pt>
                <c:pt idx="6">
                  <c:v>7</c:v>
                </c:pt>
                <c:pt idx="7">
                  <c:v>8</c:v>
                </c:pt>
              </c:numCache>
            </c:numRef>
          </c:cat>
          <c:val>
            <c:numRef>
              <c:f>'Rankogram Data'!$P$5:$P$100</c:f>
              <c:numCache>
                <c:formatCode>General</c:formatCode>
                <c:ptCount val="8"/>
                <c:pt idx="0">
                  <c:v>0.5222</c:v>
                </c:pt>
                <c:pt idx="1">
                  <c:v>0.25659999999999999</c:v>
                </c:pt>
                <c:pt idx="2">
                  <c:v>8.6999999999999994E-2</c:v>
                </c:pt>
                <c:pt idx="3">
                  <c:v>4.743E-2</c:v>
                </c:pt>
                <c:pt idx="4">
                  <c:v>4.1230000000000003E-2</c:v>
                </c:pt>
                <c:pt idx="5">
                  <c:v>2.6200000000000001E-2</c:v>
                </c:pt>
                <c:pt idx="6">
                  <c:v>1.583E-2</c:v>
                </c:pt>
                <c:pt idx="7">
                  <c:v>3.5330000000000001E-3</c:v>
                </c:pt>
              </c:numCache>
            </c:numRef>
          </c:val>
          <c:smooth val="0"/>
        </c:ser>
        <c:ser>
          <c:idx val="4"/>
          <c:order val="4"/>
          <c:tx>
            <c:strRef>
              <c:f>'Rankogram Data'!$Q$4</c:f>
              <c:strCache>
                <c:ptCount val="1"/>
                <c:pt idx="0">
                  <c:v>IBUIVHIGHDOSE</c:v>
                </c:pt>
              </c:strCache>
            </c:strRef>
          </c:tx>
          <c:spPr>
            <a:ln w="22225" cap="rnd">
              <a:solidFill>
                <a:schemeClr val="accent5"/>
              </a:solidFill>
              <a:round/>
            </a:ln>
            <a:effectLst/>
          </c:spPr>
          <c:marker>
            <c:symbol val="star"/>
            <c:size val="6"/>
            <c:spPr>
              <a:noFill/>
              <a:ln w="9525">
                <a:solidFill>
                  <a:schemeClr val="accent5"/>
                </a:solidFill>
                <a:round/>
              </a:ln>
              <a:effectLst/>
            </c:spPr>
          </c:marker>
          <c:cat>
            <c:numRef>
              <c:f>'Rankogram Data'!$L$5:$L$100</c:f>
              <c:numCache>
                <c:formatCode>General</c:formatCode>
                <c:ptCount val="8"/>
                <c:pt idx="0">
                  <c:v>1</c:v>
                </c:pt>
                <c:pt idx="1">
                  <c:v>2</c:v>
                </c:pt>
                <c:pt idx="2">
                  <c:v>3</c:v>
                </c:pt>
                <c:pt idx="3">
                  <c:v>4</c:v>
                </c:pt>
                <c:pt idx="4">
                  <c:v>5</c:v>
                </c:pt>
                <c:pt idx="5">
                  <c:v>6</c:v>
                </c:pt>
                <c:pt idx="6">
                  <c:v>7</c:v>
                </c:pt>
                <c:pt idx="7">
                  <c:v>8</c:v>
                </c:pt>
              </c:numCache>
            </c:numRef>
          </c:cat>
          <c:val>
            <c:numRef>
              <c:f>'Rankogram Data'!$Q$5:$Q$100</c:f>
              <c:numCache>
                <c:formatCode>General</c:formatCode>
                <c:ptCount val="8"/>
                <c:pt idx="0">
                  <c:v>1.223E-2</c:v>
                </c:pt>
                <c:pt idx="1">
                  <c:v>1.5169999999999999E-2</c:v>
                </c:pt>
                <c:pt idx="2">
                  <c:v>2.9899999999999999E-2</c:v>
                </c:pt>
                <c:pt idx="3">
                  <c:v>2.5770000000000001E-2</c:v>
                </c:pt>
                <c:pt idx="4">
                  <c:v>4.0899999999999999E-2</c:v>
                </c:pt>
                <c:pt idx="5">
                  <c:v>6.9470000000000004E-2</c:v>
                </c:pt>
                <c:pt idx="6">
                  <c:v>0.15240000000000001</c:v>
                </c:pt>
                <c:pt idx="7">
                  <c:v>0.6542</c:v>
                </c:pt>
              </c:numCache>
            </c:numRef>
          </c:val>
          <c:smooth val="0"/>
        </c:ser>
        <c:ser>
          <c:idx val="5"/>
          <c:order val="5"/>
          <c:tx>
            <c:strRef>
              <c:f>'Rankogram Data'!$R$4</c:f>
              <c:strCache>
                <c:ptCount val="1"/>
                <c:pt idx="0">
                  <c:v>IBUIVCONT</c:v>
                </c:pt>
              </c:strCache>
            </c:strRef>
          </c:tx>
          <c:spPr>
            <a:ln w="22225" cap="rnd">
              <a:solidFill>
                <a:schemeClr val="accent6"/>
              </a:solidFill>
              <a:round/>
            </a:ln>
            <a:effectLst/>
          </c:spPr>
          <c:marker>
            <c:symbol val="circle"/>
            <c:size val="6"/>
            <c:spPr>
              <a:solidFill>
                <a:schemeClr val="accent6"/>
              </a:solidFill>
              <a:ln w="9525">
                <a:solidFill>
                  <a:schemeClr val="accent6"/>
                </a:solidFill>
                <a:round/>
              </a:ln>
              <a:effectLst/>
            </c:spPr>
          </c:marker>
          <c:cat>
            <c:numRef>
              <c:f>'Rankogram Data'!$L$5:$L$100</c:f>
              <c:numCache>
                <c:formatCode>General</c:formatCode>
                <c:ptCount val="8"/>
                <c:pt idx="0">
                  <c:v>1</c:v>
                </c:pt>
                <c:pt idx="1">
                  <c:v>2</c:v>
                </c:pt>
                <c:pt idx="2">
                  <c:v>3</c:v>
                </c:pt>
                <c:pt idx="3">
                  <c:v>4</c:v>
                </c:pt>
                <c:pt idx="4">
                  <c:v>5</c:v>
                </c:pt>
                <c:pt idx="5">
                  <c:v>6</c:v>
                </c:pt>
                <c:pt idx="6">
                  <c:v>7</c:v>
                </c:pt>
                <c:pt idx="7">
                  <c:v>8</c:v>
                </c:pt>
              </c:numCache>
            </c:numRef>
          </c:cat>
          <c:val>
            <c:numRef>
              <c:f>'Rankogram Data'!$R$5:$R$100</c:f>
              <c:numCache>
                <c:formatCode>General</c:formatCode>
                <c:ptCount val="8"/>
                <c:pt idx="0">
                  <c:v>9.2730000000000007E-2</c:v>
                </c:pt>
                <c:pt idx="1">
                  <c:v>9.2499999999999999E-2</c:v>
                </c:pt>
                <c:pt idx="2">
                  <c:v>0.14099999999999999</c:v>
                </c:pt>
                <c:pt idx="3">
                  <c:v>7.8130000000000005E-2</c:v>
                </c:pt>
                <c:pt idx="4">
                  <c:v>9.7769999999999996E-2</c:v>
                </c:pt>
                <c:pt idx="5">
                  <c:v>0.1212</c:v>
                </c:pt>
                <c:pt idx="6">
                  <c:v>0.22620000000000001</c:v>
                </c:pt>
                <c:pt idx="7">
                  <c:v>0.15049999999999999</c:v>
                </c:pt>
              </c:numCache>
            </c:numRef>
          </c:val>
          <c:smooth val="0"/>
        </c:ser>
        <c:ser>
          <c:idx val="6"/>
          <c:order val="6"/>
          <c:tx>
            <c:strRef>
              <c:f>'Rankogram Data'!$S$4</c:f>
              <c:strCache>
                <c:ptCount val="1"/>
                <c:pt idx="0">
                  <c:v>INDOTHERS</c:v>
                </c:pt>
              </c:strCache>
            </c:strRef>
          </c:tx>
          <c:spPr>
            <a:ln w="22225" cap="rnd">
              <a:solidFill>
                <a:schemeClr val="accent1">
                  <a:lumMod val="60000"/>
                </a:schemeClr>
              </a:solidFill>
              <a:round/>
            </a:ln>
            <a:effectLst/>
          </c:spPr>
          <c:marker>
            <c:symbol val="plus"/>
            <c:size val="6"/>
            <c:spPr>
              <a:noFill/>
              <a:ln w="9525">
                <a:solidFill>
                  <a:schemeClr val="accent1">
                    <a:lumMod val="60000"/>
                  </a:schemeClr>
                </a:solidFill>
                <a:round/>
              </a:ln>
              <a:effectLst/>
            </c:spPr>
          </c:marker>
          <c:cat>
            <c:numRef>
              <c:f>'Rankogram Data'!$L$5:$L$100</c:f>
              <c:numCache>
                <c:formatCode>General</c:formatCode>
                <c:ptCount val="8"/>
                <c:pt idx="0">
                  <c:v>1</c:v>
                </c:pt>
                <c:pt idx="1">
                  <c:v>2</c:v>
                </c:pt>
                <c:pt idx="2">
                  <c:v>3</c:v>
                </c:pt>
                <c:pt idx="3">
                  <c:v>4</c:v>
                </c:pt>
                <c:pt idx="4">
                  <c:v>5</c:v>
                </c:pt>
                <c:pt idx="5">
                  <c:v>6</c:v>
                </c:pt>
                <c:pt idx="6">
                  <c:v>7</c:v>
                </c:pt>
                <c:pt idx="7">
                  <c:v>8</c:v>
                </c:pt>
              </c:numCache>
            </c:numRef>
          </c:cat>
          <c:val>
            <c:numRef>
              <c:f>'Rankogram Data'!$S$5:$S$100</c:f>
              <c:numCache>
                <c:formatCode>General</c:formatCode>
                <c:ptCount val="8"/>
                <c:pt idx="0">
                  <c:v>5.1330000000000004E-3</c:v>
                </c:pt>
                <c:pt idx="1">
                  <c:v>2.4199999999999999E-2</c:v>
                </c:pt>
                <c:pt idx="2">
                  <c:v>7.3599999999999999E-2</c:v>
                </c:pt>
                <c:pt idx="3">
                  <c:v>0.10979999999999999</c:v>
                </c:pt>
                <c:pt idx="4">
                  <c:v>0.16020000000000001</c:v>
                </c:pt>
                <c:pt idx="5">
                  <c:v>0.25090000000000001</c:v>
                </c:pt>
                <c:pt idx="6">
                  <c:v>0.27510000000000001</c:v>
                </c:pt>
                <c:pt idx="7">
                  <c:v>0.10100000000000001</c:v>
                </c:pt>
              </c:numCache>
            </c:numRef>
          </c:val>
          <c:smooth val="0"/>
        </c:ser>
        <c:ser>
          <c:idx val="7"/>
          <c:order val="7"/>
          <c:tx>
            <c:strRef>
              <c:f>'Rankogram Data'!$T$4</c:f>
              <c:strCache>
                <c:ptCount val="1"/>
                <c:pt idx="0">
                  <c:v>PLAC_NORX</c:v>
                </c:pt>
              </c:strCache>
            </c:strRef>
          </c:tx>
          <c:spPr>
            <a:ln w="22225" cap="rnd">
              <a:solidFill>
                <a:schemeClr val="accent2">
                  <a:lumMod val="60000"/>
                </a:schemeClr>
              </a:solidFill>
              <a:round/>
            </a:ln>
            <a:effectLst/>
          </c:spPr>
          <c:marker>
            <c:symbol val="dot"/>
            <c:size val="6"/>
            <c:spPr>
              <a:solidFill>
                <a:schemeClr val="accent2">
                  <a:lumMod val="60000"/>
                </a:schemeClr>
              </a:solidFill>
              <a:ln w="9525">
                <a:solidFill>
                  <a:schemeClr val="accent2">
                    <a:lumMod val="60000"/>
                  </a:schemeClr>
                </a:solidFill>
                <a:round/>
              </a:ln>
              <a:effectLst/>
            </c:spPr>
          </c:marker>
          <c:cat>
            <c:numRef>
              <c:f>'Rankogram Data'!$L$5:$L$100</c:f>
              <c:numCache>
                <c:formatCode>General</c:formatCode>
                <c:ptCount val="8"/>
                <c:pt idx="0">
                  <c:v>1</c:v>
                </c:pt>
                <c:pt idx="1">
                  <c:v>2</c:v>
                </c:pt>
                <c:pt idx="2">
                  <c:v>3</c:v>
                </c:pt>
                <c:pt idx="3">
                  <c:v>4</c:v>
                </c:pt>
                <c:pt idx="4">
                  <c:v>5</c:v>
                </c:pt>
                <c:pt idx="5">
                  <c:v>6</c:v>
                </c:pt>
                <c:pt idx="6">
                  <c:v>7</c:v>
                </c:pt>
                <c:pt idx="7">
                  <c:v>8</c:v>
                </c:pt>
              </c:numCache>
            </c:numRef>
          </c:cat>
          <c:val>
            <c:numRef>
              <c:f>'Rankogram Data'!$T$5:$T$100</c:f>
              <c:numCache>
                <c:formatCode>General</c:formatCode>
                <c:ptCount val="8"/>
                <c:pt idx="0">
                  <c:v>5.6669999999999995E-4</c:v>
                </c:pt>
                <c:pt idx="1">
                  <c:v>5.6670000000000002E-3</c:v>
                </c:pt>
                <c:pt idx="2">
                  <c:v>3.5000000000000003E-2</c:v>
                </c:pt>
                <c:pt idx="3">
                  <c:v>7.8E-2</c:v>
                </c:pt>
                <c:pt idx="4">
                  <c:v>0.18129999999999999</c:v>
                </c:pt>
                <c:pt idx="5">
                  <c:v>0.32629999999999998</c:v>
                </c:pt>
                <c:pt idx="6">
                  <c:v>0.28539999999999999</c:v>
                </c:pt>
                <c:pt idx="7">
                  <c:v>8.7730000000000002E-2</c:v>
                </c:pt>
              </c:numCache>
            </c:numRef>
          </c:val>
          <c:smooth val="0"/>
        </c:ser>
        <c:ser>
          <c:idx val="8"/>
          <c:order val="8"/>
          <c:tx>
            <c:strRef>
              <c:f>'Rankogram Data'!$U$4</c:f>
              <c:strCache>
                <c:ptCount val="1"/>
              </c:strCache>
            </c:strRef>
          </c:tx>
          <c:spPr>
            <a:ln w="22225" cap="rnd">
              <a:solidFill>
                <a:schemeClr val="accent3">
                  <a:lumMod val="60000"/>
                </a:schemeClr>
              </a:solidFill>
              <a:round/>
            </a:ln>
            <a:effectLst/>
          </c:spPr>
          <c:marker>
            <c:symbol val="none"/>
          </c:marker>
          <c:cat>
            <c:numRef>
              <c:f>'Rankogram Data'!$L$5:$L$100</c:f>
              <c:numCache>
                <c:formatCode>General</c:formatCode>
                <c:ptCount val="8"/>
                <c:pt idx="0">
                  <c:v>1</c:v>
                </c:pt>
                <c:pt idx="1">
                  <c:v>2</c:v>
                </c:pt>
                <c:pt idx="2">
                  <c:v>3</c:v>
                </c:pt>
                <c:pt idx="3">
                  <c:v>4</c:v>
                </c:pt>
                <c:pt idx="4">
                  <c:v>5</c:v>
                </c:pt>
                <c:pt idx="5">
                  <c:v>6</c:v>
                </c:pt>
                <c:pt idx="6">
                  <c:v>7</c:v>
                </c:pt>
                <c:pt idx="7">
                  <c:v>8</c:v>
                </c:pt>
              </c:numCache>
            </c:numRef>
          </c:cat>
          <c:val>
            <c:numRef>
              <c:f>'Rankogram Data'!$U$5:$U$100</c:f>
            </c:numRef>
          </c:val>
          <c:smooth val="0"/>
        </c:ser>
        <c:ser>
          <c:idx val="9"/>
          <c:order val="9"/>
          <c:tx>
            <c:strRef>
              <c:f>'Rankogram Data'!$V$4</c:f>
              <c:strCache>
                <c:ptCount val="1"/>
              </c:strCache>
            </c:strRef>
          </c:tx>
          <c:spPr>
            <a:ln w="22225" cap="rnd">
              <a:solidFill>
                <a:schemeClr val="accent4">
                  <a:lumMod val="60000"/>
                </a:schemeClr>
              </a:solidFill>
              <a:round/>
            </a:ln>
            <a:effectLst/>
          </c:spPr>
          <c:marker>
            <c:symbol val="none"/>
          </c:marker>
          <c:cat>
            <c:numRef>
              <c:f>'Rankogram Data'!$L$5:$L$100</c:f>
              <c:numCache>
                <c:formatCode>General</c:formatCode>
                <c:ptCount val="8"/>
                <c:pt idx="0">
                  <c:v>1</c:v>
                </c:pt>
                <c:pt idx="1">
                  <c:v>2</c:v>
                </c:pt>
                <c:pt idx="2">
                  <c:v>3</c:v>
                </c:pt>
                <c:pt idx="3">
                  <c:v>4</c:v>
                </c:pt>
                <c:pt idx="4">
                  <c:v>5</c:v>
                </c:pt>
                <c:pt idx="5">
                  <c:v>6</c:v>
                </c:pt>
                <c:pt idx="6">
                  <c:v>7</c:v>
                </c:pt>
                <c:pt idx="7">
                  <c:v>8</c:v>
                </c:pt>
              </c:numCache>
            </c:numRef>
          </c:cat>
          <c:val>
            <c:numRef>
              <c:f>'Rankogram Data'!$V$5:$V$100</c:f>
            </c:numRef>
          </c:val>
          <c:smooth val="0"/>
        </c:ser>
        <c:ser>
          <c:idx val="10"/>
          <c:order val="10"/>
          <c:tx>
            <c:strRef>
              <c:f>'Rankogram Data'!$W$4</c:f>
              <c:strCache>
                <c:ptCount val="1"/>
              </c:strCache>
            </c:strRef>
          </c:tx>
          <c:spPr>
            <a:ln w="22225" cap="rnd">
              <a:solidFill>
                <a:schemeClr val="accent5">
                  <a:lumMod val="60000"/>
                </a:schemeClr>
              </a:solidFill>
              <a:round/>
            </a:ln>
            <a:effectLst/>
          </c:spPr>
          <c:marker>
            <c:symbol val="square"/>
            <c:size val="6"/>
            <c:spPr>
              <a:solidFill>
                <a:schemeClr val="accent5">
                  <a:lumMod val="60000"/>
                </a:schemeClr>
              </a:solidFill>
              <a:ln w="9525">
                <a:solidFill>
                  <a:schemeClr val="accent5">
                    <a:lumMod val="60000"/>
                  </a:schemeClr>
                </a:solidFill>
                <a:round/>
              </a:ln>
              <a:effectLst/>
            </c:spPr>
          </c:marker>
          <c:cat>
            <c:numRef>
              <c:f>'Rankogram Data'!$L$5:$L$100</c:f>
              <c:numCache>
                <c:formatCode>General</c:formatCode>
                <c:ptCount val="8"/>
                <c:pt idx="0">
                  <c:v>1</c:v>
                </c:pt>
                <c:pt idx="1">
                  <c:v>2</c:v>
                </c:pt>
                <c:pt idx="2">
                  <c:v>3</c:v>
                </c:pt>
                <c:pt idx="3">
                  <c:v>4</c:v>
                </c:pt>
                <c:pt idx="4">
                  <c:v>5</c:v>
                </c:pt>
                <c:pt idx="5">
                  <c:v>6</c:v>
                </c:pt>
                <c:pt idx="6">
                  <c:v>7</c:v>
                </c:pt>
                <c:pt idx="7">
                  <c:v>8</c:v>
                </c:pt>
              </c:numCache>
            </c:numRef>
          </c:cat>
          <c:val>
            <c:numRef>
              <c:f>'Rankogram Data'!$W$5:$W$100</c:f>
            </c:numRef>
          </c:val>
          <c:smooth val="0"/>
        </c:ser>
        <c:ser>
          <c:idx val="11"/>
          <c:order val="11"/>
          <c:tx>
            <c:strRef>
              <c:f>'Rankogram Data'!$X$4</c:f>
              <c:strCache>
                <c:ptCount val="1"/>
              </c:strCache>
            </c:strRef>
          </c:tx>
          <c:spPr>
            <a:ln w="22225" cap="rnd">
              <a:solidFill>
                <a:schemeClr val="accent6">
                  <a:lumMod val="60000"/>
                </a:schemeClr>
              </a:solidFill>
              <a:round/>
            </a:ln>
            <a:effectLst/>
          </c:spPr>
          <c:marker>
            <c:symbol val="triangle"/>
            <c:size val="6"/>
            <c:spPr>
              <a:solidFill>
                <a:schemeClr val="accent6">
                  <a:lumMod val="60000"/>
                </a:schemeClr>
              </a:solidFill>
              <a:ln w="9525">
                <a:solidFill>
                  <a:schemeClr val="accent6">
                    <a:lumMod val="60000"/>
                  </a:schemeClr>
                </a:solidFill>
                <a:round/>
              </a:ln>
              <a:effectLst/>
            </c:spPr>
          </c:marker>
          <c:cat>
            <c:numRef>
              <c:f>'Rankogram Data'!$L$5:$L$100</c:f>
              <c:numCache>
                <c:formatCode>General</c:formatCode>
                <c:ptCount val="8"/>
                <c:pt idx="0">
                  <c:v>1</c:v>
                </c:pt>
                <c:pt idx="1">
                  <c:v>2</c:v>
                </c:pt>
                <c:pt idx="2">
                  <c:v>3</c:v>
                </c:pt>
                <c:pt idx="3">
                  <c:v>4</c:v>
                </c:pt>
                <c:pt idx="4">
                  <c:v>5</c:v>
                </c:pt>
                <c:pt idx="5">
                  <c:v>6</c:v>
                </c:pt>
                <c:pt idx="6">
                  <c:v>7</c:v>
                </c:pt>
                <c:pt idx="7">
                  <c:v>8</c:v>
                </c:pt>
              </c:numCache>
            </c:numRef>
          </c:cat>
          <c:val>
            <c:numRef>
              <c:f>'Rankogram Data'!$X$5:$X$100</c:f>
            </c:numRef>
          </c:val>
          <c:smooth val="0"/>
        </c:ser>
        <c:ser>
          <c:idx val="12"/>
          <c:order val="12"/>
          <c:tx>
            <c:strRef>
              <c:f>'Rankogram Data'!$Y$4</c:f>
              <c:strCache>
                <c:ptCount val="1"/>
              </c:strCache>
            </c:strRef>
          </c:tx>
          <c:spPr>
            <a:ln w="22225" cap="rnd">
              <a:solidFill>
                <a:schemeClr val="accent1">
                  <a:lumMod val="80000"/>
                  <a:lumOff val="20000"/>
                </a:schemeClr>
              </a:solidFill>
              <a:round/>
            </a:ln>
            <a:effectLst/>
          </c:spPr>
          <c:marker>
            <c:symbol val="x"/>
            <c:size val="6"/>
            <c:spPr>
              <a:noFill/>
              <a:ln w="9525">
                <a:solidFill>
                  <a:schemeClr val="accent1">
                    <a:lumMod val="80000"/>
                    <a:lumOff val="20000"/>
                  </a:schemeClr>
                </a:solidFill>
                <a:round/>
              </a:ln>
              <a:effectLst/>
            </c:spPr>
          </c:marker>
          <c:cat>
            <c:numRef>
              <c:f>'Rankogram Data'!$L$5:$L$100</c:f>
              <c:numCache>
                <c:formatCode>General</c:formatCode>
                <c:ptCount val="8"/>
                <c:pt idx="0">
                  <c:v>1</c:v>
                </c:pt>
                <c:pt idx="1">
                  <c:v>2</c:v>
                </c:pt>
                <c:pt idx="2">
                  <c:v>3</c:v>
                </c:pt>
                <c:pt idx="3">
                  <c:v>4</c:v>
                </c:pt>
                <c:pt idx="4">
                  <c:v>5</c:v>
                </c:pt>
                <c:pt idx="5">
                  <c:v>6</c:v>
                </c:pt>
                <c:pt idx="6">
                  <c:v>7</c:v>
                </c:pt>
                <c:pt idx="7">
                  <c:v>8</c:v>
                </c:pt>
              </c:numCache>
            </c:numRef>
          </c:cat>
          <c:val>
            <c:numRef>
              <c:f>'Rankogram Data'!$Y$5:$Y$100</c:f>
            </c:numRef>
          </c:val>
          <c:smooth val="0"/>
        </c:ser>
        <c:ser>
          <c:idx val="13"/>
          <c:order val="13"/>
          <c:tx>
            <c:strRef>
              <c:f>'Rankogram Data'!$Z$4</c:f>
              <c:strCache>
                <c:ptCount val="1"/>
              </c:strCache>
            </c:strRef>
          </c:tx>
          <c:spPr>
            <a:ln w="22225" cap="rnd">
              <a:solidFill>
                <a:schemeClr val="accent2">
                  <a:lumMod val="80000"/>
                  <a:lumOff val="20000"/>
                </a:schemeClr>
              </a:solidFill>
              <a:round/>
            </a:ln>
            <a:effectLst/>
          </c:spPr>
          <c:marker>
            <c:symbol val="star"/>
            <c:size val="6"/>
            <c:spPr>
              <a:noFill/>
              <a:ln w="9525">
                <a:solidFill>
                  <a:schemeClr val="accent2">
                    <a:lumMod val="80000"/>
                    <a:lumOff val="20000"/>
                  </a:schemeClr>
                </a:solidFill>
                <a:round/>
              </a:ln>
              <a:effectLst/>
            </c:spPr>
          </c:marker>
          <c:cat>
            <c:numRef>
              <c:f>'Rankogram Data'!$L$5:$L$100</c:f>
              <c:numCache>
                <c:formatCode>General</c:formatCode>
                <c:ptCount val="8"/>
                <c:pt idx="0">
                  <c:v>1</c:v>
                </c:pt>
                <c:pt idx="1">
                  <c:v>2</c:v>
                </c:pt>
                <c:pt idx="2">
                  <c:v>3</c:v>
                </c:pt>
                <c:pt idx="3">
                  <c:v>4</c:v>
                </c:pt>
                <c:pt idx="4">
                  <c:v>5</c:v>
                </c:pt>
                <c:pt idx="5">
                  <c:v>6</c:v>
                </c:pt>
                <c:pt idx="6">
                  <c:v>7</c:v>
                </c:pt>
                <c:pt idx="7">
                  <c:v>8</c:v>
                </c:pt>
              </c:numCache>
            </c:numRef>
          </c:cat>
          <c:val>
            <c:numRef>
              <c:f>'Rankogram Data'!$Z$5:$Z$100</c:f>
            </c:numRef>
          </c:val>
          <c:smooth val="0"/>
        </c:ser>
        <c:ser>
          <c:idx val="14"/>
          <c:order val="14"/>
          <c:tx>
            <c:strRef>
              <c:f>'Rankogram Data'!$AA$4</c:f>
              <c:strCache>
                <c:ptCount val="1"/>
              </c:strCache>
            </c:strRef>
          </c:tx>
          <c:spPr>
            <a:ln w="22225" cap="rnd">
              <a:solidFill>
                <a:schemeClr val="accent3">
                  <a:lumMod val="80000"/>
                  <a:lumOff val="20000"/>
                </a:schemeClr>
              </a:solidFill>
              <a:round/>
            </a:ln>
            <a:effectLst/>
          </c:spPr>
          <c:marker>
            <c:symbol val="circle"/>
            <c:size val="6"/>
            <c:spPr>
              <a:solidFill>
                <a:schemeClr val="accent3">
                  <a:lumMod val="80000"/>
                  <a:lumOff val="20000"/>
                </a:schemeClr>
              </a:solidFill>
              <a:ln w="9525">
                <a:solidFill>
                  <a:schemeClr val="accent3">
                    <a:lumMod val="80000"/>
                    <a:lumOff val="20000"/>
                  </a:schemeClr>
                </a:solidFill>
                <a:round/>
              </a:ln>
              <a:effectLst/>
            </c:spPr>
          </c:marker>
          <c:cat>
            <c:numRef>
              <c:f>'Rankogram Data'!$L$5:$L$100</c:f>
              <c:numCache>
                <c:formatCode>General</c:formatCode>
                <c:ptCount val="8"/>
                <c:pt idx="0">
                  <c:v>1</c:v>
                </c:pt>
                <c:pt idx="1">
                  <c:v>2</c:v>
                </c:pt>
                <c:pt idx="2">
                  <c:v>3</c:v>
                </c:pt>
                <c:pt idx="3">
                  <c:v>4</c:v>
                </c:pt>
                <c:pt idx="4">
                  <c:v>5</c:v>
                </c:pt>
                <c:pt idx="5">
                  <c:v>6</c:v>
                </c:pt>
                <c:pt idx="6">
                  <c:v>7</c:v>
                </c:pt>
                <c:pt idx="7">
                  <c:v>8</c:v>
                </c:pt>
              </c:numCache>
            </c:numRef>
          </c:cat>
          <c:val>
            <c:numRef>
              <c:f>'Rankogram Data'!$AA$5:$AA$100</c:f>
            </c:numRef>
          </c:val>
          <c:smooth val="0"/>
        </c:ser>
        <c:dLbls>
          <c:showLegendKey val="0"/>
          <c:showVal val="0"/>
          <c:showCatName val="0"/>
          <c:showSerName val="0"/>
          <c:showPercent val="0"/>
          <c:showBubbleSize val="0"/>
        </c:dLbls>
        <c:marker val="1"/>
        <c:smooth val="0"/>
        <c:axId val="613121072"/>
        <c:axId val="613119504"/>
      </c:lineChart>
      <c:catAx>
        <c:axId val="61312107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Rank</a:t>
                </a:r>
              </a:p>
            </c:rich>
          </c:tx>
          <c:layout>
            <c:manualLayout>
              <c:xMode val="edge"/>
              <c:yMode val="edge"/>
              <c:x val="0.38751809869920828"/>
              <c:y val="0.88750082016866638"/>
            </c:manualLayout>
          </c:layout>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613119504"/>
        <c:crosses val="autoZero"/>
        <c:auto val="1"/>
        <c:lblAlgn val="ctr"/>
        <c:lblOffset val="100"/>
        <c:noMultiLvlLbl val="0"/>
      </c:catAx>
      <c:valAx>
        <c:axId val="613119504"/>
        <c:scaling>
          <c:orientation val="minMax"/>
          <c:max val="1.05"/>
          <c:min val="0"/>
        </c:scaling>
        <c:delete val="0"/>
        <c:axPos val="l"/>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Probability of Being Ranked</a:t>
                </a:r>
              </a:p>
            </c:rich>
          </c:tx>
          <c:layout/>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121072"/>
        <c:crosses val="autoZero"/>
        <c:crossBetween val="between"/>
        <c:majorUnit val="0.1"/>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833" l="0.70000000000000062" r="0.70000000000000062" t="0.75000000000000833" header="0.30000000000000032" footer="0.30000000000000032"/>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'Inconsistency Data'!$D$4</c:f>
          <c:strCache>
            <c:ptCount val="1"/>
            <c:pt idx="0">
              <c:v>Fixed Effects</c:v>
            </c:pt>
          </c:strCache>
        </c:strRef>
      </c:tx>
      <c:overlay val="0"/>
    </c:title>
    <c:autoTitleDeleted val="0"/>
    <c:plotArea>
      <c:layout>
        <c:manualLayout>
          <c:layoutTarget val="inner"/>
          <c:xMode val="edge"/>
          <c:yMode val="edge"/>
          <c:x val="0.11568285214348206"/>
          <c:y val="0.15631852112438496"/>
          <c:w val="0.7862389725921537"/>
          <c:h val="0.70893448339245879"/>
        </c:manualLayout>
      </c:layout>
      <c:scatterChart>
        <c:scatterStyle val="lineMarker"/>
        <c:varyColors val="0"/>
        <c:ser>
          <c:idx val="0"/>
          <c:order val="0"/>
          <c:spPr>
            <a:ln w="28575">
              <a:noFill/>
            </a:ln>
          </c:spPr>
          <c:marker>
            <c:symbol val="circle"/>
            <c:size val="4"/>
            <c:spPr>
              <a:solidFill>
                <a:srgbClr val="C00000"/>
              </a:solidFill>
              <a:ln>
                <a:solidFill>
                  <a:prstClr val="black"/>
                </a:solidFill>
              </a:ln>
            </c:spPr>
          </c:marker>
          <c:xVal>
            <c:numRef>
              <c:f>'Inconsistency Data'!$G$6:$G$105</c:f>
              <c:numCache>
                <c:formatCode>General</c:formatCode>
                <c:ptCount val="26"/>
              </c:numCache>
            </c:numRef>
          </c:xVal>
          <c:yVal>
            <c:numRef>
              <c:f>'Inconsistency Data'!$E$6:$E$105</c:f>
              <c:numCache>
                <c:formatCode>General</c:formatCode>
                <c:ptCount val="26"/>
              </c:numCache>
            </c:numRef>
          </c:yVal>
          <c:smooth val="0"/>
        </c:ser>
        <c:ser>
          <c:idx val="1"/>
          <c:order val="1"/>
          <c:spPr>
            <a:ln w="25400">
              <a:solidFill>
                <a:prstClr val="black">
                  <a:alpha val="69000"/>
                </a:prstClr>
              </a:solidFill>
              <a:prstDash val="lgDash"/>
            </a:ln>
          </c:spPr>
          <c:marker>
            <c:symbol val="none"/>
          </c:marker>
          <c:xVal>
            <c:numRef>
              <c:f>'Inconsistency Data'!$A$6:$A$7</c:f>
              <c:numCache>
                <c:formatCode>General</c:formatCode>
                <c:ptCount val="2"/>
                <c:pt idx="0">
                  <c:v>0</c:v>
                </c:pt>
                <c:pt idx="1">
                  <c:v>2</c:v>
                </c:pt>
              </c:numCache>
            </c:numRef>
          </c:xVal>
          <c:yVal>
            <c:numRef>
              <c:f>'Inconsistency Data'!$B$6:$B$7</c:f>
              <c:numCache>
                <c:formatCode>General</c:formatCode>
                <c:ptCount val="2"/>
                <c:pt idx="0">
                  <c:v>0</c:v>
                </c:pt>
                <c:pt idx="1">
                  <c:v>2</c:v>
                </c:pt>
              </c:numCache>
            </c:numRef>
          </c:yVal>
          <c:smooth val="0"/>
        </c:ser>
        <c:dLbls>
          <c:showLegendKey val="0"/>
          <c:showVal val="0"/>
          <c:showCatName val="0"/>
          <c:showSerName val="0"/>
          <c:showPercent val="0"/>
          <c:showBubbleSize val="0"/>
        </c:dLbls>
        <c:axId val="613121464"/>
        <c:axId val="613123032"/>
      </c:scatterChart>
      <c:valAx>
        <c:axId val="613121464"/>
        <c:scaling>
          <c:orientation val="minMax"/>
          <c:max val="2"/>
          <c:min val="0"/>
        </c:scaling>
        <c:delete val="0"/>
        <c:axPos val="b"/>
        <c:title>
          <c:tx>
            <c:strRef>
              <c:f>'Inconsistency Data'!$F$5</c:f>
              <c:strCache>
                <c:ptCount val="1"/>
                <c:pt idx="0">
                  <c:v>Consistency Model</c:v>
                </c:pt>
              </c:strCache>
            </c:strRef>
          </c:tx>
          <c:overlay val="0"/>
        </c:title>
        <c:numFmt formatCode="General" sourceLinked="1"/>
        <c:majorTickMark val="out"/>
        <c:minorTickMark val="out"/>
        <c:tickLblPos val="nextTo"/>
        <c:crossAx val="613123032"/>
        <c:crosses val="autoZero"/>
        <c:crossBetween val="midCat"/>
        <c:majorUnit val="0.5"/>
        <c:minorUnit val="0.25"/>
      </c:valAx>
      <c:valAx>
        <c:axId val="613123032"/>
        <c:scaling>
          <c:orientation val="minMax"/>
          <c:max val="2"/>
          <c:min val="0"/>
        </c:scaling>
        <c:delete val="0"/>
        <c:axPos val="l"/>
        <c:title>
          <c:tx>
            <c:strRef>
              <c:f>'Inconsistency Data'!$D$5</c:f>
              <c:strCache>
                <c:ptCount val="1"/>
                <c:pt idx="0">
                  <c:v>Inconsistency Model</c:v>
                </c:pt>
              </c:strCache>
            </c:strRef>
          </c:tx>
          <c:overlay val="0"/>
          <c:txPr>
            <a:bodyPr rot="-5400000" vert="horz"/>
            <a:lstStyle/>
            <a:p>
              <a:pPr>
                <a:defRPr/>
              </a:pPr>
              <a:endParaRPr lang="en-US"/>
            </a:p>
          </c:txPr>
        </c:title>
        <c:numFmt formatCode="General" sourceLinked="1"/>
        <c:majorTickMark val="out"/>
        <c:minorTickMark val="out"/>
        <c:tickLblPos val="nextTo"/>
        <c:crossAx val="613121464"/>
        <c:crosses val="autoZero"/>
        <c:crossBetween val="midCat"/>
        <c:majorUnit val="0.5"/>
        <c:minorUnit val="0.25"/>
      </c:valAx>
      <c:spPr>
        <a:ln>
          <a:solidFill>
            <a:schemeClr val="tx1"/>
          </a:solidFill>
        </a:ln>
        <a:effectLst>
          <a:outerShdw blurRad="50800" dist="38100" dir="8100000" algn="tr" rotWithShape="0">
            <a:prstClr val="black">
              <a:alpha val="40000"/>
            </a:prstClr>
          </a:outerShdw>
        </a:effectLst>
      </c:spPr>
    </c:plotArea>
    <c:plotVisOnly val="1"/>
    <c:dispBlanksAs val="gap"/>
    <c:showDLblsOverMax val="0"/>
  </c:chart>
  <c:spPr>
    <a:solidFill>
      <a:schemeClr val="tx2">
        <a:lumMod val="20000"/>
        <a:lumOff val="80000"/>
      </a:schemeClr>
    </a:solidFill>
    <a:effectLst>
      <a:outerShdw blurRad="50800" dist="38100" dir="8100000" algn="tr" rotWithShape="0">
        <a:prstClr val="black">
          <a:alpha val="40000"/>
        </a:prstClr>
      </a:outerShdw>
    </a:effectLst>
  </c:spPr>
  <c:printSettings>
    <c:headerFooter/>
    <c:pageMargins b="0.75000000000000988" l="0.70000000000000062" r="0.70000000000000062" t="0.75000000000000988"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'Inconsistency Data'!$I$4</c:f>
          <c:strCache>
            <c:ptCount val="1"/>
            <c:pt idx="0">
              <c:v>Random Effects (Vague)</c:v>
            </c:pt>
          </c:strCache>
        </c:strRef>
      </c:tx>
      <c:overlay val="1"/>
      <c:txPr>
        <a:bodyPr/>
        <a:lstStyle/>
        <a:p>
          <a:pPr>
            <a:defRPr sz="1600"/>
          </a:pPr>
          <a:endParaRPr lang="en-US"/>
        </a:p>
      </c:txPr>
    </c:title>
    <c:autoTitleDeleted val="0"/>
    <c:plotArea>
      <c:layout>
        <c:manualLayout>
          <c:layoutTarget val="inner"/>
          <c:xMode val="edge"/>
          <c:yMode val="edge"/>
          <c:x val="0.11568285214348206"/>
          <c:y val="0.15631852112438496"/>
          <c:w val="0.75513756883531957"/>
          <c:h val="0.70893448339245879"/>
        </c:manualLayout>
      </c:layout>
      <c:scatterChart>
        <c:scatterStyle val="lineMarker"/>
        <c:varyColors val="0"/>
        <c:ser>
          <c:idx val="0"/>
          <c:order val="0"/>
          <c:spPr>
            <a:ln w="28575">
              <a:noFill/>
            </a:ln>
          </c:spPr>
          <c:marker>
            <c:symbol val="circle"/>
            <c:size val="4"/>
            <c:spPr>
              <a:solidFill>
                <a:srgbClr val="C00000"/>
              </a:solidFill>
              <a:ln>
                <a:solidFill>
                  <a:prstClr val="black"/>
                </a:solidFill>
              </a:ln>
            </c:spPr>
          </c:marker>
          <c:xVal>
            <c:numRef>
              <c:f>'Inconsistency Data'!$L$6:$L$105</c:f>
              <c:numCache>
                <c:formatCode>General</c:formatCode>
                <c:ptCount val="26"/>
                <c:pt idx="0">
                  <c:v>1.6419999999999999</c:v>
                </c:pt>
                <c:pt idx="1">
                  <c:v>1.859</c:v>
                </c:pt>
                <c:pt idx="2">
                  <c:v>0.79869999999999997</c:v>
                </c:pt>
                <c:pt idx="3">
                  <c:v>0.85199999999999998</c:v>
                </c:pt>
                <c:pt idx="4">
                  <c:v>0.79959999999999998</c:v>
                </c:pt>
                <c:pt idx="5">
                  <c:v>0.69910000000000005</c:v>
                </c:pt>
                <c:pt idx="6">
                  <c:v>0.71160000000000001</c:v>
                </c:pt>
                <c:pt idx="7">
                  <c:v>0.72309999999999997</c:v>
                </c:pt>
                <c:pt idx="8">
                  <c:v>0.75600000000000001</c:v>
                </c:pt>
                <c:pt idx="9">
                  <c:v>0.77100000000000002</c:v>
                </c:pt>
                <c:pt idx="10">
                  <c:v>0.68089999999999995</c:v>
                </c:pt>
                <c:pt idx="11">
                  <c:v>1.3120000000000001</c:v>
                </c:pt>
                <c:pt idx="12">
                  <c:v>0.66159999999999997</c:v>
                </c:pt>
                <c:pt idx="13">
                  <c:v>0.49869999999999998</c:v>
                </c:pt>
                <c:pt idx="14">
                  <c:v>0.61950000000000005</c:v>
                </c:pt>
                <c:pt idx="15">
                  <c:v>0.59950000000000003</c:v>
                </c:pt>
                <c:pt idx="16">
                  <c:v>1.63</c:v>
                </c:pt>
                <c:pt idx="17">
                  <c:v>1.663</c:v>
                </c:pt>
                <c:pt idx="18">
                  <c:v>1.0429999999999999</c:v>
                </c:pt>
                <c:pt idx="19">
                  <c:v>1.032</c:v>
                </c:pt>
                <c:pt idx="20">
                  <c:v>1.1160000000000001</c:v>
                </c:pt>
                <c:pt idx="21">
                  <c:v>1.165</c:v>
                </c:pt>
                <c:pt idx="22">
                  <c:v>0.63300000000000001</c:v>
                </c:pt>
                <c:pt idx="23">
                  <c:v>0.71099999999999997</c:v>
                </c:pt>
                <c:pt idx="24">
                  <c:v>1.0169999999999999</c:v>
                </c:pt>
                <c:pt idx="25">
                  <c:v>1.0940000000000001</c:v>
                </c:pt>
              </c:numCache>
            </c:numRef>
          </c:xVal>
          <c:yVal>
            <c:numRef>
              <c:f>'Inconsistency Data'!$J$6:$J$105</c:f>
              <c:numCache>
                <c:formatCode>General</c:formatCode>
                <c:ptCount val="26"/>
                <c:pt idx="0">
                  <c:v>1.4410000000000001</c:v>
                </c:pt>
                <c:pt idx="1">
                  <c:v>1.655</c:v>
                </c:pt>
                <c:pt idx="2">
                  <c:v>1.048</c:v>
                </c:pt>
                <c:pt idx="3">
                  <c:v>1.0609999999999999</c:v>
                </c:pt>
                <c:pt idx="4">
                  <c:v>0.87350000000000005</c:v>
                </c:pt>
                <c:pt idx="5">
                  <c:v>0.79890000000000005</c:v>
                </c:pt>
                <c:pt idx="6">
                  <c:v>0.78690000000000004</c:v>
                </c:pt>
                <c:pt idx="7">
                  <c:v>0.8</c:v>
                </c:pt>
                <c:pt idx="8">
                  <c:v>0.81540000000000001</c:v>
                </c:pt>
                <c:pt idx="9">
                  <c:v>0.79859999999999998</c:v>
                </c:pt>
                <c:pt idx="10">
                  <c:v>0.53029999999999999</c:v>
                </c:pt>
                <c:pt idx="11">
                  <c:v>1.252</c:v>
                </c:pt>
                <c:pt idx="12">
                  <c:v>0.72189999999999999</c:v>
                </c:pt>
                <c:pt idx="13">
                  <c:v>0.5464</c:v>
                </c:pt>
                <c:pt idx="14">
                  <c:v>0.8669</c:v>
                </c:pt>
                <c:pt idx="15">
                  <c:v>0.84709999999999996</c:v>
                </c:pt>
                <c:pt idx="16">
                  <c:v>1.732</c:v>
                </c:pt>
                <c:pt idx="17">
                  <c:v>1.7589999999999999</c:v>
                </c:pt>
                <c:pt idx="18">
                  <c:v>0.99439999999999995</c:v>
                </c:pt>
                <c:pt idx="19">
                  <c:v>1.0129999999999999</c:v>
                </c:pt>
                <c:pt idx="20">
                  <c:v>1.157</c:v>
                </c:pt>
                <c:pt idx="21">
                  <c:v>1.1859999999999999</c:v>
                </c:pt>
                <c:pt idx="22">
                  <c:v>0.70089999999999997</c:v>
                </c:pt>
                <c:pt idx="23">
                  <c:v>0.77390000000000003</c:v>
                </c:pt>
                <c:pt idx="24">
                  <c:v>1.01</c:v>
                </c:pt>
                <c:pt idx="25">
                  <c:v>1.0960000000000001</c:v>
                </c:pt>
              </c:numCache>
            </c:numRef>
          </c:yVal>
          <c:smooth val="0"/>
        </c:ser>
        <c:ser>
          <c:idx val="1"/>
          <c:order val="1"/>
          <c:spPr>
            <a:ln w="25400">
              <a:solidFill>
                <a:prstClr val="black">
                  <a:alpha val="69000"/>
                </a:prstClr>
              </a:solidFill>
              <a:prstDash val="lgDash"/>
            </a:ln>
          </c:spPr>
          <c:marker>
            <c:symbol val="none"/>
          </c:marker>
          <c:xVal>
            <c:numRef>
              <c:f>'Inconsistency Data'!$A$6:$A$7</c:f>
              <c:numCache>
                <c:formatCode>General</c:formatCode>
                <c:ptCount val="2"/>
                <c:pt idx="0">
                  <c:v>0</c:v>
                </c:pt>
                <c:pt idx="1">
                  <c:v>2</c:v>
                </c:pt>
              </c:numCache>
            </c:numRef>
          </c:xVal>
          <c:yVal>
            <c:numRef>
              <c:f>'Inconsistency Data'!$B$6:$B$7</c:f>
              <c:numCache>
                <c:formatCode>General</c:formatCode>
                <c:ptCount val="2"/>
                <c:pt idx="0">
                  <c:v>0</c:v>
                </c:pt>
                <c:pt idx="1">
                  <c:v>2</c:v>
                </c:pt>
              </c:numCache>
            </c:numRef>
          </c:yVal>
          <c:smooth val="0"/>
        </c:ser>
        <c:dLbls>
          <c:showLegendKey val="0"/>
          <c:showVal val="0"/>
          <c:showCatName val="0"/>
          <c:showSerName val="0"/>
          <c:showPercent val="0"/>
          <c:showBubbleSize val="0"/>
        </c:dLbls>
        <c:axId val="597820752"/>
        <c:axId val="597820360"/>
      </c:scatterChart>
      <c:valAx>
        <c:axId val="597820752"/>
        <c:scaling>
          <c:orientation val="minMax"/>
          <c:max val="2"/>
          <c:min val="0"/>
        </c:scaling>
        <c:delete val="0"/>
        <c:axPos val="b"/>
        <c:title>
          <c:tx>
            <c:strRef>
              <c:f>'Inconsistency Data'!$F$5</c:f>
              <c:strCache>
                <c:ptCount val="1"/>
                <c:pt idx="0">
                  <c:v>Consistency Model</c:v>
                </c:pt>
              </c:strCache>
            </c:strRef>
          </c:tx>
          <c:overlay val="0"/>
        </c:title>
        <c:numFmt formatCode="General" sourceLinked="1"/>
        <c:majorTickMark val="out"/>
        <c:minorTickMark val="out"/>
        <c:tickLblPos val="nextTo"/>
        <c:crossAx val="597820360"/>
        <c:crosses val="autoZero"/>
        <c:crossBetween val="midCat"/>
        <c:majorUnit val="0.5"/>
        <c:minorUnit val="0.25"/>
      </c:valAx>
      <c:valAx>
        <c:axId val="597820360"/>
        <c:scaling>
          <c:orientation val="minMax"/>
          <c:max val="2"/>
          <c:min val="0"/>
        </c:scaling>
        <c:delete val="0"/>
        <c:axPos val="l"/>
        <c:title>
          <c:tx>
            <c:strRef>
              <c:f>'Inconsistency Data'!$D$5</c:f>
              <c:strCache>
                <c:ptCount val="1"/>
                <c:pt idx="0">
                  <c:v>Inconsistency Model</c:v>
                </c:pt>
              </c:strCache>
            </c:strRef>
          </c:tx>
          <c:overlay val="0"/>
          <c:txPr>
            <a:bodyPr rot="-5400000" vert="horz"/>
            <a:lstStyle/>
            <a:p>
              <a:pPr>
                <a:defRPr/>
              </a:pPr>
              <a:endParaRPr lang="en-US"/>
            </a:p>
          </c:txPr>
        </c:title>
        <c:numFmt formatCode="General" sourceLinked="1"/>
        <c:majorTickMark val="out"/>
        <c:minorTickMark val="out"/>
        <c:tickLblPos val="nextTo"/>
        <c:crossAx val="597820752"/>
        <c:crosses val="autoZero"/>
        <c:crossBetween val="midCat"/>
        <c:majorUnit val="0.5"/>
        <c:minorUnit val="0.25"/>
      </c:valAx>
      <c:spPr>
        <a:ln>
          <a:solidFill>
            <a:schemeClr val="tx1"/>
          </a:solidFill>
        </a:ln>
        <a:effectLst>
          <a:outerShdw blurRad="50800" dist="38100" dir="8100000" algn="tr" rotWithShape="0">
            <a:prstClr val="black">
              <a:alpha val="40000"/>
            </a:prstClr>
          </a:outerShdw>
        </a:effectLst>
      </c:spPr>
    </c:plotArea>
    <c:plotVisOnly val="1"/>
    <c:dispBlanksAs val="gap"/>
    <c:showDLblsOverMax val="0"/>
  </c:chart>
  <c:spPr>
    <a:solidFill>
      <a:schemeClr val="tx2">
        <a:lumMod val="20000"/>
        <a:lumOff val="80000"/>
      </a:schemeClr>
    </a:solidFill>
    <a:effectLst>
      <a:outerShdw blurRad="50800" dist="38100" dir="8100000" algn="tr" rotWithShape="0">
        <a:prstClr val="black">
          <a:alpha val="40000"/>
        </a:prstClr>
      </a:outerShdw>
    </a:effectLst>
  </c:spPr>
  <c:printSettings>
    <c:headerFooter/>
    <c:pageMargins b="0.7500000000000101" l="0.70000000000000062" r="0.70000000000000062" t="0.75000000000001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List" dx="16" fmlaLink="'Inconsistency Data'!$V$5" fmlaRange="'Inconsistency Data'!$Z$5:$Z$7" sel="1" val="0"/>
</file>

<file path=xl/drawings/_rels/drawing1.xml.rels><?xml version="1.0" encoding="UTF-8" standalone="yes"?>
<Relationships xmlns="http://schemas.openxmlformats.org/package/2006/relationships"><Relationship Id="rId3" Type="http://schemas.openxmlformats.org/officeDocument/2006/relationships/image" Target="../media/image2.gif"/><Relationship Id="rId2" Type="http://schemas.openxmlformats.org/officeDocument/2006/relationships/image" Target="../media/image1.jpeg"/><Relationship Id="rId1" Type="http://schemas.openxmlformats.org/officeDocument/2006/relationships/hyperlink" Target="http://www.cornerstone-research.com/" TargetMode="External"/><Relationship Id="rId4" Type="http://schemas.openxmlformats.org/officeDocument/2006/relationships/image" Target="../media/image3.jpeg"/></Relationships>
</file>

<file path=xl/drawings/_rels/drawing2.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4.jpeg"/><Relationship Id="rId1" Type="http://schemas.openxmlformats.org/officeDocument/2006/relationships/image" Target="../media/image2.gif"/></Relationships>
</file>

<file path=xl/drawings/_rels/drawing3.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4.jpeg"/></Relationships>
</file>

<file path=xl/drawings/_rels/drawing4.xml.rels><?xml version="1.0" encoding="UTF-8" standalone="yes"?>
<Relationships xmlns="http://schemas.openxmlformats.org/package/2006/relationships"><Relationship Id="rId3" Type="http://schemas.openxmlformats.org/officeDocument/2006/relationships/image" Target="../media/image2.gif"/><Relationship Id="rId2" Type="http://schemas.openxmlformats.org/officeDocument/2006/relationships/image" Target="../media/image3.jpeg"/><Relationship Id="rId1" Type="http://schemas.openxmlformats.org/officeDocument/2006/relationships/image" Target="../media/image4.jpeg"/></Relationships>
</file>

<file path=xl/drawings/_rels/drawing5.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4.jpeg"/></Relationships>
</file>

<file path=xl/drawings/_rels/drawing7.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oneCell">
    <xdr:from>
      <xdr:col>1</xdr:col>
      <xdr:colOff>485775</xdr:colOff>
      <xdr:row>16</xdr:row>
      <xdr:rowOff>151039</xdr:rowOff>
    </xdr:from>
    <xdr:to>
      <xdr:col>8</xdr:col>
      <xdr:colOff>295275</xdr:colOff>
      <xdr:row>22</xdr:row>
      <xdr:rowOff>172811</xdr:rowOff>
    </xdr:to>
    <xdr:pic>
      <xdr:nvPicPr>
        <xdr:cNvPr id="6145" name="Picture 1" descr="http://companyweb/Shared%20Documents/CRG%20Branding/Cornerstone_Logo_CMYK_hi-res.jpg">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1095375" y="3199039"/>
          <a:ext cx="4076700" cy="1164772"/>
        </a:xfrm>
        <a:prstGeom prst="rect">
          <a:avLst/>
        </a:prstGeom>
        <a:noFill/>
      </xdr:spPr>
    </xdr:pic>
    <xdr:clientData/>
  </xdr:twoCellAnchor>
  <xdr:oneCellAnchor>
    <xdr:from>
      <xdr:col>2</xdr:col>
      <xdr:colOff>126565</xdr:colOff>
      <xdr:row>6</xdr:row>
      <xdr:rowOff>57689</xdr:rowOff>
    </xdr:from>
    <xdr:ext cx="7004930" cy="1999712"/>
    <xdr:sp macro="" textlink="">
      <xdr:nvSpPr>
        <xdr:cNvPr id="3" name="Rectangle 2"/>
        <xdr:cNvSpPr/>
      </xdr:nvSpPr>
      <xdr:spPr>
        <a:xfrm>
          <a:off x="1345765" y="1200689"/>
          <a:ext cx="7004930" cy="1999712"/>
        </a:xfrm>
        <a:prstGeom prst="rect">
          <a:avLst/>
        </a:prstGeom>
        <a:gradFill flip="none" rotWithShape="1">
          <a:gsLst>
            <a:gs pos="0">
              <a:srgbClr val="00549E">
                <a:shade val="30000"/>
                <a:satMod val="115000"/>
              </a:srgbClr>
            </a:gs>
            <a:gs pos="50000">
              <a:srgbClr val="00549E">
                <a:shade val="67500"/>
                <a:satMod val="115000"/>
              </a:srgbClr>
            </a:gs>
            <a:gs pos="100000">
              <a:srgbClr val="00549E">
                <a:shade val="100000"/>
                <a:satMod val="115000"/>
              </a:srgbClr>
            </a:gs>
          </a:gsLst>
          <a:lin ang="16200000" scaled="1"/>
          <a:tileRect/>
        </a:gradFill>
      </xdr:spPr>
      <xdr:txBody>
        <a:bodyPr wrap="square" lIns="91440" tIns="45720" rIns="91440" bIns="45720">
          <a:noAutofit/>
        </a:bodyPr>
        <a:lstStyle/>
        <a:p>
          <a:pPr algn="ctr"/>
          <a:r>
            <a:rPr lang="en-US" sz="54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 </a:t>
          </a:r>
          <a:r>
            <a:rPr lang="en-US" sz="54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mn-lt"/>
              <a:ea typeface="+mn-ea"/>
              <a:cs typeface="+mn-cs"/>
            </a:rPr>
            <a:t>NetMetaXL: </a:t>
          </a:r>
          <a:r>
            <a:rPr lang="en-US" sz="32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mn-lt"/>
              <a:ea typeface="+mn-ea"/>
              <a:cs typeface="+mn-cs"/>
            </a:rPr>
            <a:t>Dichotomous Data </a:t>
          </a:r>
          <a:endParaRPr lang="en-US" sz="40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mn-lt"/>
            <a:ea typeface="+mn-ea"/>
            <a:cs typeface="+mn-cs"/>
          </a:endParaRPr>
        </a:p>
        <a:p>
          <a:pPr algn="ctr"/>
          <a:r>
            <a:rPr lang="en-US" sz="20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mn-lt"/>
              <a:ea typeface="+mn-ea"/>
              <a:cs typeface="+mn-cs"/>
            </a:rPr>
            <a:t>An Excel Tool for WinBUGS</a:t>
          </a:r>
        </a:p>
        <a:p>
          <a:pPr algn="ctr"/>
          <a:r>
            <a:rPr lang="en-US" sz="20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mn-lt"/>
              <a:ea typeface="+mn-ea"/>
              <a:cs typeface="+mn-cs"/>
            </a:rPr>
            <a:t>version 1.6.1</a:t>
          </a:r>
        </a:p>
      </xdr:txBody>
    </xdr:sp>
    <xdr:clientData/>
  </xdr:oneCellAnchor>
  <xdr:twoCellAnchor editAs="oneCell">
    <xdr:from>
      <xdr:col>7</xdr:col>
      <xdr:colOff>115167</xdr:colOff>
      <xdr:row>23</xdr:row>
      <xdr:rowOff>19050</xdr:rowOff>
    </xdr:from>
    <xdr:to>
      <xdr:col>9</xdr:col>
      <xdr:colOff>104775</xdr:colOff>
      <xdr:row>26</xdr:row>
      <xdr:rowOff>57150</xdr:rowOff>
    </xdr:to>
    <xdr:grpSp>
      <xdr:nvGrpSpPr>
        <xdr:cNvPr id="5" name="Group 4"/>
        <xdr:cNvGrpSpPr/>
      </xdr:nvGrpSpPr>
      <xdr:grpSpPr>
        <a:xfrm>
          <a:off x="4382367" y="4019550"/>
          <a:ext cx="1208808" cy="609600"/>
          <a:chOff x="2718955" y="1359477"/>
          <a:chExt cx="658091" cy="355023"/>
        </a:xfrm>
      </xdr:grpSpPr>
      <xdr:pic>
        <xdr:nvPicPr>
          <xdr:cNvPr id="6" name="Picture 5"/>
          <xdr:cNvPicPr>
            <a:picLocks noChangeAspect="1"/>
          </xdr:cNvPicPr>
        </xdr:nvPicPr>
        <xdr:blipFill>
          <a:blip xmlns:r="http://schemas.openxmlformats.org/officeDocument/2006/relationships" r:embed="rId3" cstate="print"/>
          <a:stretch>
            <a:fillRect/>
          </a:stretch>
        </xdr:blipFill>
        <xdr:spPr>
          <a:xfrm>
            <a:off x="2718955" y="1359477"/>
            <a:ext cx="658091" cy="355023"/>
          </a:xfrm>
          <a:prstGeom prst="rect">
            <a:avLst/>
          </a:prstGeom>
          <a:effectLst>
            <a:outerShdw blurRad="50800" dist="38100" dir="5400000" algn="t" rotWithShape="0">
              <a:prstClr val="black">
                <a:alpha val="40000"/>
              </a:prstClr>
            </a:outerShdw>
          </a:effectLst>
        </xdr:spPr>
      </xdr:pic>
      <xdr:sp macro="[0]!Sheet14.enter_program" textlink="">
        <xdr:nvSpPr>
          <xdr:cNvPr id="7" name="TextBox 6"/>
          <xdr:cNvSpPr txBox="1"/>
        </xdr:nvSpPr>
        <xdr:spPr>
          <a:xfrm>
            <a:off x="2762250" y="1385453"/>
            <a:ext cx="554182" cy="280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CA" sz="1200" b="1">
                <a:solidFill>
                  <a:schemeClr val="bg1"/>
                </a:solidFill>
              </a:rPr>
              <a:t>Enter</a:t>
            </a:r>
            <a:r>
              <a:rPr lang="en-CA" sz="1200" b="1" baseline="0">
                <a:solidFill>
                  <a:schemeClr val="bg1"/>
                </a:solidFill>
              </a:rPr>
              <a:t> Program</a:t>
            </a:r>
            <a:endParaRPr lang="en-CA" sz="1200" b="1">
              <a:solidFill>
                <a:schemeClr val="bg1"/>
              </a:solidFill>
            </a:endParaRPr>
          </a:p>
        </xdr:txBody>
      </xdr:sp>
    </xdr:grpSp>
    <xdr:clientData/>
  </xdr:twoCellAnchor>
  <xdr:twoCellAnchor editAs="oneCell">
    <xdr:from>
      <xdr:col>8</xdr:col>
      <xdr:colOff>412748</xdr:colOff>
      <xdr:row>16</xdr:row>
      <xdr:rowOff>179462</xdr:rowOff>
    </xdr:from>
    <xdr:to>
      <xdr:col>12</xdr:col>
      <xdr:colOff>762000</xdr:colOff>
      <xdr:row>22</xdr:row>
      <xdr:rowOff>98426</xdr:rowOff>
    </xdr:to>
    <xdr:pic>
      <xdr:nvPicPr>
        <xdr:cNvPr id="9" name="Picture 8"/>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23066" t="7633" r="19642" b="17121"/>
        <a:stretch/>
      </xdr:blipFill>
      <xdr:spPr>
        <a:xfrm>
          <a:off x="5289548" y="2846462"/>
          <a:ext cx="2787652" cy="106196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1491960</xdr:colOff>
      <xdr:row>7</xdr:row>
      <xdr:rowOff>77931</xdr:rowOff>
    </xdr:from>
    <xdr:to>
      <xdr:col>2</xdr:col>
      <xdr:colOff>2150051</xdr:colOff>
      <xdr:row>7</xdr:row>
      <xdr:rowOff>401931</xdr:rowOff>
    </xdr:to>
    <xdr:grpSp>
      <xdr:nvGrpSpPr>
        <xdr:cNvPr id="2" name="Group 1"/>
        <xdr:cNvGrpSpPr/>
      </xdr:nvGrpSpPr>
      <xdr:grpSpPr>
        <a:xfrm>
          <a:off x="2912773" y="1411431"/>
          <a:ext cx="658091" cy="324000"/>
          <a:chOff x="2718955" y="1359477"/>
          <a:chExt cx="658091" cy="355023"/>
        </a:xfrm>
      </xdr:grpSpPr>
      <xdr:pic>
        <xdr:nvPicPr>
          <xdr:cNvPr id="3" name="Picture 2"/>
          <xdr:cNvPicPr>
            <a:picLocks noChangeAspect="1"/>
          </xdr:cNvPicPr>
        </xdr:nvPicPr>
        <xdr:blipFill>
          <a:blip xmlns:r="http://schemas.openxmlformats.org/officeDocument/2006/relationships" r:embed="rId1" cstate="print"/>
          <a:stretch>
            <a:fillRect/>
          </a:stretch>
        </xdr:blipFill>
        <xdr:spPr>
          <a:xfrm>
            <a:off x="2718955" y="1359477"/>
            <a:ext cx="658091" cy="355023"/>
          </a:xfrm>
          <a:prstGeom prst="rect">
            <a:avLst/>
          </a:prstGeom>
          <a:effectLst>
            <a:outerShdw blurRad="50800" dist="38100" dir="5400000" algn="t" rotWithShape="0">
              <a:prstClr val="black">
                <a:alpha val="40000"/>
              </a:prstClr>
            </a:outerShdw>
          </a:effectLst>
        </xdr:spPr>
      </xdr:pic>
      <xdr:sp macro="[0]!Sheet9.winbugs_settings" textlink="" fLocksText="0">
        <xdr:nvSpPr>
          <xdr:cNvPr id="4" name="TextBox 3"/>
          <xdr:cNvSpPr txBox="1"/>
        </xdr:nvSpPr>
        <xdr:spPr>
          <a:xfrm>
            <a:off x="2762250" y="1385453"/>
            <a:ext cx="554182" cy="280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CA" sz="1100" b="1">
                <a:solidFill>
                  <a:schemeClr val="bg1"/>
                </a:solidFill>
              </a:rPr>
              <a:t>Hide</a:t>
            </a:r>
          </a:p>
        </xdr:txBody>
      </xdr:sp>
    </xdr:grpSp>
    <xdr:clientData fLocksWithSheet="0"/>
  </xdr:twoCellAnchor>
  <xdr:twoCellAnchor editAs="oneCell">
    <xdr:from>
      <xdr:col>2</xdr:col>
      <xdr:colOff>1491960</xdr:colOff>
      <xdr:row>12</xdr:row>
      <xdr:rowOff>83126</xdr:rowOff>
    </xdr:from>
    <xdr:to>
      <xdr:col>2</xdr:col>
      <xdr:colOff>2150051</xdr:colOff>
      <xdr:row>12</xdr:row>
      <xdr:rowOff>406977</xdr:rowOff>
    </xdr:to>
    <xdr:grpSp>
      <xdr:nvGrpSpPr>
        <xdr:cNvPr id="8" name="Group 7"/>
        <xdr:cNvGrpSpPr/>
      </xdr:nvGrpSpPr>
      <xdr:grpSpPr>
        <a:xfrm>
          <a:off x="2912773" y="2639001"/>
          <a:ext cx="658091" cy="323851"/>
          <a:chOff x="2718955" y="1359477"/>
          <a:chExt cx="658091" cy="355023"/>
        </a:xfrm>
      </xdr:grpSpPr>
      <xdr:pic>
        <xdr:nvPicPr>
          <xdr:cNvPr id="9" name="Picture 8"/>
          <xdr:cNvPicPr>
            <a:picLocks noChangeAspect="1"/>
          </xdr:cNvPicPr>
        </xdr:nvPicPr>
        <xdr:blipFill>
          <a:blip xmlns:r="http://schemas.openxmlformats.org/officeDocument/2006/relationships" r:embed="rId1" cstate="print"/>
          <a:stretch>
            <a:fillRect/>
          </a:stretch>
        </xdr:blipFill>
        <xdr:spPr>
          <a:xfrm>
            <a:off x="2718955" y="1359477"/>
            <a:ext cx="658091" cy="355023"/>
          </a:xfrm>
          <a:prstGeom prst="rect">
            <a:avLst/>
          </a:prstGeom>
          <a:effectLst>
            <a:outerShdw blurRad="50800" dist="38100" dir="5400000" algn="t" rotWithShape="0">
              <a:prstClr val="black">
                <a:alpha val="40000"/>
              </a:prstClr>
            </a:outerShdw>
          </a:effectLst>
        </xdr:spPr>
      </xdr:pic>
      <xdr:sp macro="[0]!Sheet9.Inits_ranges" textlink="" fLocksText="0">
        <xdr:nvSpPr>
          <xdr:cNvPr id="10" name="TextBox 9"/>
          <xdr:cNvSpPr txBox="1"/>
        </xdr:nvSpPr>
        <xdr:spPr>
          <a:xfrm>
            <a:off x="2762250" y="1385453"/>
            <a:ext cx="554182" cy="3078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CA" sz="1100" b="1">
                <a:solidFill>
                  <a:schemeClr val="bg1"/>
                </a:solidFill>
              </a:rPr>
              <a:t>Hide</a:t>
            </a:r>
          </a:p>
        </xdr:txBody>
      </xdr:sp>
    </xdr:grpSp>
    <xdr:clientData fLocksWithSheet="0"/>
  </xdr:twoCellAnchor>
  <xdr:twoCellAnchor editAs="oneCell">
    <xdr:from>
      <xdr:col>2</xdr:col>
      <xdr:colOff>1491960</xdr:colOff>
      <xdr:row>17</xdr:row>
      <xdr:rowOff>69271</xdr:rowOff>
    </xdr:from>
    <xdr:to>
      <xdr:col>2</xdr:col>
      <xdr:colOff>2150051</xdr:colOff>
      <xdr:row>17</xdr:row>
      <xdr:rowOff>393271</xdr:rowOff>
    </xdr:to>
    <xdr:grpSp>
      <xdr:nvGrpSpPr>
        <xdr:cNvPr id="11" name="Group 10"/>
        <xdr:cNvGrpSpPr/>
      </xdr:nvGrpSpPr>
      <xdr:grpSpPr>
        <a:xfrm>
          <a:off x="2912773" y="3839584"/>
          <a:ext cx="658091" cy="324000"/>
          <a:chOff x="2718955" y="1359477"/>
          <a:chExt cx="658091" cy="355023"/>
        </a:xfrm>
      </xdr:grpSpPr>
      <xdr:pic>
        <xdr:nvPicPr>
          <xdr:cNvPr id="12" name="Picture 11"/>
          <xdr:cNvPicPr>
            <a:picLocks noChangeAspect="1"/>
          </xdr:cNvPicPr>
        </xdr:nvPicPr>
        <xdr:blipFill>
          <a:blip xmlns:r="http://schemas.openxmlformats.org/officeDocument/2006/relationships" r:embed="rId1" cstate="print"/>
          <a:stretch>
            <a:fillRect/>
          </a:stretch>
        </xdr:blipFill>
        <xdr:spPr>
          <a:xfrm>
            <a:off x="2718955" y="1359477"/>
            <a:ext cx="658091" cy="355023"/>
          </a:xfrm>
          <a:prstGeom prst="rect">
            <a:avLst/>
          </a:prstGeom>
          <a:effectLst>
            <a:outerShdw blurRad="50800" dist="38100" dir="5400000" algn="t" rotWithShape="0">
              <a:prstClr val="black">
                <a:alpha val="40000"/>
              </a:prstClr>
            </a:outerShdw>
          </a:effectLst>
        </xdr:spPr>
      </xdr:pic>
      <xdr:sp macro="[0]!Sheet9.program_settings" textlink="" fLocksText="0">
        <xdr:nvSpPr>
          <xdr:cNvPr id="13" name="TextBox 12"/>
          <xdr:cNvSpPr txBox="1"/>
        </xdr:nvSpPr>
        <xdr:spPr>
          <a:xfrm>
            <a:off x="2762250" y="1385453"/>
            <a:ext cx="554182" cy="2944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CA" sz="1100" b="1">
                <a:solidFill>
                  <a:schemeClr val="bg1"/>
                </a:solidFill>
              </a:rPr>
              <a:t>Hide</a:t>
            </a:r>
          </a:p>
        </xdr:txBody>
      </xdr:sp>
    </xdr:grpSp>
    <xdr:clientData fLocksWithSheet="0"/>
  </xdr:twoCellAnchor>
  <xdr:oneCellAnchor>
    <xdr:from>
      <xdr:col>0</xdr:col>
      <xdr:colOff>3099326</xdr:colOff>
      <xdr:row>0</xdr:row>
      <xdr:rowOff>51416</xdr:rowOff>
    </xdr:from>
    <xdr:ext cx="3082360" cy="377209"/>
    <xdr:sp macro="" textlink="">
      <xdr:nvSpPr>
        <xdr:cNvPr id="14" name="Rectangle 13"/>
        <xdr:cNvSpPr/>
      </xdr:nvSpPr>
      <xdr:spPr>
        <a:xfrm>
          <a:off x="813326" y="51416"/>
          <a:ext cx="3082360" cy="377209"/>
        </a:xfrm>
        <a:prstGeom prst="rect">
          <a:avLst/>
        </a:prstGeom>
        <a:gradFill flip="none" rotWithShape="1">
          <a:gsLst>
            <a:gs pos="0">
              <a:srgbClr val="00549E">
                <a:shade val="30000"/>
                <a:satMod val="115000"/>
              </a:srgbClr>
            </a:gs>
            <a:gs pos="50000">
              <a:srgbClr val="00549E">
                <a:shade val="67500"/>
                <a:satMod val="115000"/>
              </a:srgbClr>
            </a:gs>
            <a:gs pos="100000">
              <a:srgbClr val="00549E">
                <a:shade val="100000"/>
                <a:satMod val="115000"/>
              </a:srgbClr>
            </a:gs>
          </a:gsLst>
          <a:lin ang="16200000" scaled="1"/>
          <a:tileRect/>
        </a:gradFill>
      </xdr:spPr>
      <xdr:txBody>
        <a:bodyPr wrap="square" lIns="91440" tIns="45720" rIns="91440" bIns="45720">
          <a:noAutofit/>
        </a:bodyPr>
        <a:lstStyle/>
        <a:p>
          <a:pPr algn="ctr"/>
          <a:r>
            <a:rPr lang="en-US" sz="1800" b="0" cap="none" spc="0">
              <a:ln w="18415" cmpd="sng">
                <a:noFill/>
                <a:prstDash val="solid"/>
              </a:ln>
              <a:solidFill>
                <a:srgbClr val="FFFFFF"/>
              </a:solidFill>
              <a:effectLst>
                <a:outerShdw blurRad="63500" dir="3600000" algn="tl" rotWithShape="0">
                  <a:srgbClr val="000000">
                    <a:alpha val="70000"/>
                  </a:srgbClr>
                </a:outerShdw>
              </a:effectLst>
            </a:rPr>
            <a:t> </a:t>
          </a:r>
          <a:r>
            <a:rPr lang="en-US" sz="1800" b="0" cap="none" spc="0" baseline="0">
              <a:ln w="18415" cmpd="sng">
                <a:noFill/>
                <a:prstDash val="solid"/>
              </a:ln>
              <a:solidFill>
                <a:srgbClr val="FFFFFF"/>
              </a:solidFill>
              <a:effectLst>
                <a:outerShdw blurRad="63500" dir="3600000" algn="tl" rotWithShape="0">
                  <a:srgbClr val="000000">
                    <a:alpha val="70000"/>
                  </a:srgbClr>
                </a:outerShdw>
              </a:effectLst>
              <a:latin typeface="+mn-lt"/>
              <a:ea typeface="+mn-ea"/>
              <a:cs typeface="+mn-cs"/>
            </a:rPr>
            <a:t>NetMetaXL</a:t>
          </a:r>
        </a:p>
      </xdr:txBody>
    </xdr:sp>
    <xdr:clientData/>
  </xdr:oneCellAnchor>
  <xdr:twoCellAnchor editAs="oneCell">
    <xdr:from>
      <xdr:col>0</xdr:col>
      <xdr:colOff>713465</xdr:colOff>
      <xdr:row>2</xdr:row>
      <xdr:rowOff>56054</xdr:rowOff>
    </xdr:from>
    <xdr:to>
      <xdr:col>2</xdr:col>
      <xdr:colOff>1004882</xdr:colOff>
      <xdr:row>4</xdr:row>
      <xdr:rowOff>163094</xdr:rowOff>
    </xdr:to>
    <xdr:pic>
      <xdr:nvPicPr>
        <xdr:cNvPr id="15" name="Picture 1" descr="http://companyweb/Shared%20Documents/CRG%20Branding/Cornerstone_Logo_CMYK_hi-res.jpg"/>
        <xdr:cNvPicPr>
          <a:picLocks noChangeAspect="1" noChangeArrowheads="1"/>
        </xdr:cNvPicPr>
      </xdr:nvPicPr>
      <xdr:blipFill>
        <a:blip xmlns:r="http://schemas.openxmlformats.org/officeDocument/2006/relationships" r:embed="rId2" cstate="print"/>
        <a:srcRect/>
        <a:stretch>
          <a:fillRect/>
        </a:stretch>
      </xdr:blipFill>
      <xdr:spPr bwMode="auto">
        <a:xfrm>
          <a:off x="713465" y="437054"/>
          <a:ext cx="1710642" cy="488040"/>
        </a:xfrm>
        <a:prstGeom prst="rect">
          <a:avLst/>
        </a:prstGeom>
        <a:noFill/>
      </xdr:spPr>
    </xdr:pic>
    <xdr:clientData/>
  </xdr:twoCellAnchor>
  <xdr:twoCellAnchor>
    <xdr:from>
      <xdr:col>4</xdr:col>
      <xdr:colOff>42898</xdr:colOff>
      <xdr:row>18</xdr:row>
      <xdr:rowOff>93661</xdr:rowOff>
    </xdr:from>
    <xdr:to>
      <xdr:col>4</xdr:col>
      <xdr:colOff>323849</xdr:colOff>
      <xdr:row>18</xdr:row>
      <xdr:rowOff>317499</xdr:rowOff>
    </xdr:to>
    <xdr:sp macro="[0]!Sheet9.Find_winbugs_dir" textlink="">
      <xdr:nvSpPr>
        <xdr:cNvPr id="16" name="File"/>
        <xdr:cNvSpPr>
          <a:spLocks noEditPoints="1" noChangeArrowheads="1"/>
        </xdr:cNvSpPr>
      </xdr:nvSpPr>
      <xdr:spPr bwMode="auto">
        <a:xfrm>
          <a:off x="6396073" y="8170861"/>
          <a:ext cx="280951" cy="223838"/>
        </a:xfrm>
        <a:custGeom>
          <a:avLst/>
          <a:gdLst>
            <a:gd name="T0" fmla="*/ 10981 w 21600"/>
            <a:gd name="T1" fmla="*/ 3240 h 21600"/>
            <a:gd name="T2" fmla="*/ 0 w 21600"/>
            <a:gd name="T3" fmla="*/ 10800 h 21600"/>
            <a:gd name="T4" fmla="*/ 10800 w 21600"/>
            <a:gd name="T5" fmla="*/ 21600 h 21600"/>
            <a:gd name="T6" fmla="*/ 21600 w 21600"/>
            <a:gd name="T7" fmla="*/ 10800 h 21600"/>
            <a:gd name="T8" fmla="*/ 0 w 21600"/>
            <a:gd name="T9" fmla="*/ 21600 h 21600"/>
            <a:gd name="T10" fmla="*/ 21600 w 21600"/>
            <a:gd name="T11" fmla="*/ 21600 h 21600"/>
            <a:gd name="T12" fmla="*/ 1086 w 21600"/>
            <a:gd name="T13" fmla="*/ 4628 h 21600"/>
            <a:gd name="T14" fmla="*/ 20635 w 21600"/>
            <a:gd name="T15" fmla="*/ 20289 h 21600"/>
          </a:gdLst>
          <a:ahLst/>
          <a:cxnLst>
            <a:cxn ang="0">
              <a:pos x="T0" y="T1"/>
            </a:cxn>
            <a:cxn ang="0">
              <a:pos x="T2" y="T3"/>
            </a:cxn>
            <a:cxn ang="0">
              <a:pos x="T4" y="T5"/>
            </a:cxn>
            <a:cxn ang="0">
              <a:pos x="T6" y="T7"/>
            </a:cxn>
            <a:cxn ang="0">
              <a:pos x="T8" y="T9"/>
            </a:cxn>
            <a:cxn ang="0">
              <a:pos x="T10" y="T11"/>
            </a:cxn>
          </a:cxnLst>
          <a:rect l="T12" t="T13" r="T14" b="T15"/>
          <a:pathLst>
            <a:path w="21600" h="21600">
              <a:moveTo>
                <a:pt x="19790" y="3240"/>
              </a:moveTo>
              <a:cubicBezTo>
                <a:pt x="10981" y="3240"/>
                <a:pt x="9171" y="3240"/>
                <a:pt x="9050" y="3086"/>
              </a:cubicBezTo>
              <a:cubicBezTo>
                <a:pt x="9050" y="2931"/>
                <a:pt x="8930" y="2777"/>
                <a:pt x="8930" y="2469"/>
              </a:cubicBezTo>
              <a:cubicBezTo>
                <a:pt x="8930" y="2160"/>
                <a:pt x="8809" y="1851"/>
                <a:pt x="8688" y="1389"/>
              </a:cubicBezTo>
              <a:cubicBezTo>
                <a:pt x="8568" y="1080"/>
                <a:pt x="8326" y="771"/>
                <a:pt x="8085" y="463"/>
              </a:cubicBezTo>
              <a:cubicBezTo>
                <a:pt x="7723" y="154"/>
                <a:pt x="7361" y="0"/>
                <a:pt x="7361" y="0"/>
              </a:cubicBezTo>
              <a:cubicBezTo>
                <a:pt x="7361" y="0"/>
                <a:pt x="2293" y="0"/>
                <a:pt x="2051" y="154"/>
              </a:cubicBezTo>
              <a:cubicBezTo>
                <a:pt x="1689" y="309"/>
                <a:pt x="1448" y="463"/>
                <a:pt x="1327" y="771"/>
              </a:cubicBezTo>
              <a:cubicBezTo>
                <a:pt x="1207" y="1080"/>
                <a:pt x="1086" y="1389"/>
                <a:pt x="965" y="1697"/>
              </a:cubicBezTo>
              <a:cubicBezTo>
                <a:pt x="845" y="2160"/>
                <a:pt x="724" y="2314"/>
                <a:pt x="724" y="2469"/>
              </a:cubicBezTo>
              <a:cubicBezTo>
                <a:pt x="603" y="2623"/>
                <a:pt x="603" y="2777"/>
                <a:pt x="483" y="2931"/>
              </a:cubicBezTo>
              <a:cubicBezTo>
                <a:pt x="483" y="3086"/>
                <a:pt x="362" y="3240"/>
                <a:pt x="241" y="3240"/>
              </a:cubicBezTo>
              <a:lnTo>
                <a:pt x="0" y="3394"/>
              </a:lnTo>
              <a:lnTo>
                <a:pt x="0" y="3703"/>
              </a:lnTo>
              <a:lnTo>
                <a:pt x="0" y="10800"/>
              </a:lnTo>
              <a:lnTo>
                <a:pt x="0" y="21600"/>
              </a:lnTo>
              <a:lnTo>
                <a:pt x="10981" y="21600"/>
              </a:lnTo>
              <a:lnTo>
                <a:pt x="21600" y="21600"/>
              </a:lnTo>
              <a:lnTo>
                <a:pt x="21600" y="10800"/>
              </a:lnTo>
              <a:lnTo>
                <a:pt x="21600" y="5246"/>
              </a:lnTo>
              <a:lnTo>
                <a:pt x="21600" y="4783"/>
              </a:lnTo>
              <a:cubicBezTo>
                <a:pt x="21479" y="4320"/>
                <a:pt x="21359" y="4011"/>
                <a:pt x="21117" y="3703"/>
              </a:cubicBezTo>
              <a:cubicBezTo>
                <a:pt x="20876" y="3549"/>
                <a:pt x="20514" y="3394"/>
                <a:pt x="20152" y="3240"/>
              </a:cubicBezTo>
              <a:close/>
            </a:path>
          </a:pathLst>
        </a:custGeom>
        <a:solidFill>
          <a:srgbClr val="FFFFCC"/>
        </a:solidFill>
        <a:ln w="9525">
          <a:solidFill>
            <a:srgbClr val="000000"/>
          </a:solidFill>
          <a:miter lim="800000"/>
          <a:headEnd/>
          <a:tailEnd/>
        </a:ln>
        <a:effectLst>
          <a:outerShdw dist="107763" dir="2700000" algn="ctr" rotWithShape="0">
            <a:srgbClr val="808080"/>
          </a:outerShdw>
        </a:effectLst>
      </xdr:spPr>
    </xdr:sp>
    <xdr:clientData/>
  </xdr:twoCellAnchor>
  <xdr:twoCellAnchor>
    <xdr:from>
      <xdr:col>4</xdr:col>
      <xdr:colOff>42898</xdr:colOff>
      <xdr:row>19</xdr:row>
      <xdr:rowOff>71435</xdr:rowOff>
    </xdr:from>
    <xdr:to>
      <xdr:col>4</xdr:col>
      <xdr:colOff>323849</xdr:colOff>
      <xdr:row>19</xdr:row>
      <xdr:rowOff>295273</xdr:rowOff>
    </xdr:to>
    <xdr:sp macro="[0]!Sheet9.Find_data_dir" textlink="">
      <xdr:nvSpPr>
        <xdr:cNvPr id="17" name="File"/>
        <xdr:cNvSpPr>
          <a:spLocks noEditPoints="1" noChangeArrowheads="1"/>
        </xdr:cNvSpPr>
      </xdr:nvSpPr>
      <xdr:spPr bwMode="auto">
        <a:xfrm>
          <a:off x="6396073" y="8596310"/>
          <a:ext cx="280951" cy="223838"/>
        </a:xfrm>
        <a:custGeom>
          <a:avLst/>
          <a:gdLst>
            <a:gd name="T0" fmla="*/ 10981 w 21600"/>
            <a:gd name="T1" fmla="*/ 3240 h 21600"/>
            <a:gd name="T2" fmla="*/ 0 w 21600"/>
            <a:gd name="T3" fmla="*/ 10800 h 21600"/>
            <a:gd name="T4" fmla="*/ 10800 w 21600"/>
            <a:gd name="T5" fmla="*/ 21600 h 21600"/>
            <a:gd name="T6" fmla="*/ 21600 w 21600"/>
            <a:gd name="T7" fmla="*/ 10800 h 21600"/>
            <a:gd name="T8" fmla="*/ 0 w 21600"/>
            <a:gd name="T9" fmla="*/ 21600 h 21600"/>
            <a:gd name="T10" fmla="*/ 21600 w 21600"/>
            <a:gd name="T11" fmla="*/ 21600 h 21600"/>
            <a:gd name="T12" fmla="*/ 1086 w 21600"/>
            <a:gd name="T13" fmla="*/ 4628 h 21600"/>
            <a:gd name="T14" fmla="*/ 20635 w 21600"/>
            <a:gd name="T15" fmla="*/ 20289 h 21600"/>
          </a:gdLst>
          <a:ahLst/>
          <a:cxnLst>
            <a:cxn ang="0">
              <a:pos x="T0" y="T1"/>
            </a:cxn>
            <a:cxn ang="0">
              <a:pos x="T2" y="T3"/>
            </a:cxn>
            <a:cxn ang="0">
              <a:pos x="T4" y="T5"/>
            </a:cxn>
            <a:cxn ang="0">
              <a:pos x="T6" y="T7"/>
            </a:cxn>
            <a:cxn ang="0">
              <a:pos x="T8" y="T9"/>
            </a:cxn>
            <a:cxn ang="0">
              <a:pos x="T10" y="T11"/>
            </a:cxn>
          </a:cxnLst>
          <a:rect l="T12" t="T13" r="T14" b="T15"/>
          <a:pathLst>
            <a:path w="21600" h="21600">
              <a:moveTo>
                <a:pt x="19790" y="3240"/>
              </a:moveTo>
              <a:cubicBezTo>
                <a:pt x="10981" y="3240"/>
                <a:pt x="9171" y="3240"/>
                <a:pt x="9050" y="3086"/>
              </a:cubicBezTo>
              <a:cubicBezTo>
                <a:pt x="9050" y="2931"/>
                <a:pt x="8930" y="2777"/>
                <a:pt x="8930" y="2469"/>
              </a:cubicBezTo>
              <a:cubicBezTo>
                <a:pt x="8930" y="2160"/>
                <a:pt x="8809" y="1851"/>
                <a:pt x="8688" y="1389"/>
              </a:cubicBezTo>
              <a:cubicBezTo>
                <a:pt x="8568" y="1080"/>
                <a:pt x="8326" y="771"/>
                <a:pt x="8085" y="463"/>
              </a:cubicBezTo>
              <a:cubicBezTo>
                <a:pt x="7723" y="154"/>
                <a:pt x="7361" y="0"/>
                <a:pt x="7361" y="0"/>
              </a:cubicBezTo>
              <a:cubicBezTo>
                <a:pt x="7361" y="0"/>
                <a:pt x="2293" y="0"/>
                <a:pt x="2051" y="154"/>
              </a:cubicBezTo>
              <a:cubicBezTo>
                <a:pt x="1689" y="309"/>
                <a:pt x="1448" y="463"/>
                <a:pt x="1327" y="771"/>
              </a:cubicBezTo>
              <a:cubicBezTo>
                <a:pt x="1207" y="1080"/>
                <a:pt x="1086" y="1389"/>
                <a:pt x="965" y="1697"/>
              </a:cubicBezTo>
              <a:cubicBezTo>
                <a:pt x="845" y="2160"/>
                <a:pt x="724" y="2314"/>
                <a:pt x="724" y="2469"/>
              </a:cubicBezTo>
              <a:cubicBezTo>
                <a:pt x="603" y="2623"/>
                <a:pt x="603" y="2777"/>
                <a:pt x="483" y="2931"/>
              </a:cubicBezTo>
              <a:cubicBezTo>
                <a:pt x="483" y="3086"/>
                <a:pt x="362" y="3240"/>
                <a:pt x="241" y="3240"/>
              </a:cubicBezTo>
              <a:lnTo>
                <a:pt x="0" y="3394"/>
              </a:lnTo>
              <a:lnTo>
                <a:pt x="0" y="3703"/>
              </a:lnTo>
              <a:lnTo>
                <a:pt x="0" y="10800"/>
              </a:lnTo>
              <a:lnTo>
                <a:pt x="0" y="21600"/>
              </a:lnTo>
              <a:lnTo>
                <a:pt x="10981" y="21600"/>
              </a:lnTo>
              <a:lnTo>
                <a:pt x="21600" y="21600"/>
              </a:lnTo>
              <a:lnTo>
                <a:pt x="21600" y="10800"/>
              </a:lnTo>
              <a:lnTo>
                <a:pt x="21600" y="5246"/>
              </a:lnTo>
              <a:lnTo>
                <a:pt x="21600" y="4783"/>
              </a:lnTo>
              <a:cubicBezTo>
                <a:pt x="21479" y="4320"/>
                <a:pt x="21359" y="4011"/>
                <a:pt x="21117" y="3703"/>
              </a:cubicBezTo>
              <a:cubicBezTo>
                <a:pt x="20876" y="3549"/>
                <a:pt x="20514" y="3394"/>
                <a:pt x="20152" y="3240"/>
              </a:cubicBezTo>
              <a:close/>
            </a:path>
          </a:pathLst>
        </a:custGeom>
        <a:solidFill>
          <a:srgbClr val="FFFFCC"/>
        </a:solidFill>
        <a:ln w="9525">
          <a:solidFill>
            <a:srgbClr val="000000"/>
          </a:solidFill>
          <a:miter lim="800000"/>
          <a:headEnd/>
          <a:tailEnd/>
        </a:ln>
        <a:effectLst>
          <a:outerShdw dist="107763" dir="2700000" algn="ctr" rotWithShape="0">
            <a:srgbClr val="808080"/>
          </a:outerShdw>
        </a:effectLst>
      </xdr:spPr>
    </xdr:sp>
    <xdr:clientData/>
  </xdr:twoCellAnchor>
  <xdr:twoCellAnchor>
    <xdr:from>
      <xdr:col>4</xdr:col>
      <xdr:colOff>42898</xdr:colOff>
      <xdr:row>20</xdr:row>
      <xdr:rowOff>96835</xdr:rowOff>
    </xdr:from>
    <xdr:to>
      <xdr:col>4</xdr:col>
      <xdr:colOff>323849</xdr:colOff>
      <xdr:row>20</xdr:row>
      <xdr:rowOff>320673</xdr:rowOff>
    </xdr:to>
    <xdr:sp macro="[0]!Sheet9.Find_results_dir" textlink="">
      <xdr:nvSpPr>
        <xdr:cNvPr id="18" name="File"/>
        <xdr:cNvSpPr>
          <a:spLocks noEditPoints="1" noChangeArrowheads="1"/>
        </xdr:cNvSpPr>
      </xdr:nvSpPr>
      <xdr:spPr bwMode="auto">
        <a:xfrm>
          <a:off x="6396073" y="9040810"/>
          <a:ext cx="280951" cy="223838"/>
        </a:xfrm>
        <a:custGeom>
          <a:avLst/>
          <a:gdLst>
            <a:gd name="T0" fmla="*/ 10981 w 21600"/>
            <a:gd name="T1" fmla="*/ 3240 h 21600"/>
            <a:gd name="T2" fmla="*/ 0 w 21600"/>
            <a:gd name="T3" fmla="*/ 10800 h 21600"/>
            <a:gd name="T4" fmla="*/ 10800 w 21600"/>
            <a:gd name="T5" fmla="*/ 21600 h 21600"/>
            <a:gd name="T6" fmla="*/ 21600 w 21600"/>
            <a:gd name="T7" fmla="*/ 10800 h 21600"/>
            <a:gd name="T8" fmla="*/ 0 w 21600"/>
            <a:gd name="T9" fmla="*/ 21600 h 21600"/>
            <a:gd name="T10" fmla="*/ 21600 w 21600"/>
            <a:gd name="T11" fmla="*/ 21600 h 21600"/>
            <a:gd name="T12" fmla="*/ 1086 w 21600"/>
            <a:gd name="T13" fmla="*/ 4628 h 21600"/>
            <a:gd name="T14" fmla="*/ 20635 w 21600"/>
            <a:gd name="T15" fmla="*/ 20289 h 21600"/>
          </a:gdLst>
          <a:ahLst/>
          <a:cxnLst>
            <a:cxn ang="0">
              <a:pos x="T0" y="T1"/>
            </a:cxn>
            <a:cxn ang="0">
              <a:pos x="T2" y="T3"/>
            </a:cxn>
            <a:cxn ang="0">
              <a:pos x="T4" y="T5"/>
            </a:cxn>
            <a:cxn ang="0">
              <a:pos x="T6" y="T7"/>
            </a:cxn>
            <a:cxn ang="0">
              <a:pos x="T8" y="T9"/>
            </a:cxn>
            <a:cxn ang="0">
              <a:pos x="T10" y="T11"/>
            </a:cxn>
          </a:cxnLst>
          <a:rect l="T12" t="T13" r="T14" b="T15"/>
          <a:pathLst>
            <a:path w="21600" h="21600">
              <a:moveTo>
                <a:pt x="19790" y="3240"/>
              </a:moveTo>
              <a:cubicBezTo>
                <a:pt x="10981" y="3240"/>
                <a:pt x="9171" y="3240"/>
                <a:pt x="9050" y="3086"/>
              </a:cubicBezTo>
              <a:cubicBezTo>
                <a:pt x="9050" y="2931"/>
                <a:pt x="8930" y="2777"/>
                <a:pt x="8930" y="2469"/>
              </a:cubicBezTo>
              <a:cubicBezTo>
                <a:pt x="8930" y="2160"/>
                <a:pt x="8809" y="1851"/>
                <a:pt x="8688" y="1389"/>
              </a:cubicBezTo>
              <a:cubicBezTo>
                <a:pt x="8568" y="1080"/>
                <a:pt x="8326" y="771"/>
                <a:pt x="8085" y="463"/>
              </a:cubicBezTo>
              <a:cubicBezTo>
                <a:pt x="7723" y="154"/>
                <a:pt x="7361" y="0"/>
                <a:pt x="7361" y="0"/>
              </a:cubicBezTo>
              <a:cubicBezTo>
                <a:pt x="7361" y="0"/>
                <a:pt x="2293" y="0"/>
                <a:pt x="2051" y="154"/>
              </a:cubicBezTo>
              <a:cubicBezTo>
                <a:pt x="1689" y="309"/>
                <a:pt x="1448" y="463"/>
                <a:pt x="1327" y="771"/>
              </a:cubicBezTo>
              <a:cubicBezTo>
                <a:pt x="1207" y="1080"/>
                <a:pt x="1086" y="1389"/>
                <a:pt x="965" y="1697"/>
              </a:cubicBezTo>
              <a:cubicBezTo>
                <a:pt x="845" y="2160"/>
                <a:pt x="724" y="2314"/>
                <a:pt x="724" y="2469"/>
              </a:cubicBezTo>
              <a:cubicBezTo>
                <a:pt x="603" y="2623"/>
                <a:pt x="603" y="2777"/>
                <a:pt x="483" y="2931"/>
              </a:cubicBezTo>
              <a:cubicBezTo>
                <a:pt x="483" y="3086"/>
                <a:pt x="362" y="3240"/>
                <a:pt x="241" y="3240"/>
              </a:cubicBezTo>
              <a:lnTo>
                <a:pt x="0" y="3394"/>
              </a:lnTo>
              <a:lnTo>
                <a:pt x="0" y="3703"/>
              </a:lnTo>
              <a:lnTo>
                <a:pt x="0" y="10800"/>
              </a:lnTo>
              <a:lnTo>
                <a:pt x="0" y="21600"/>
              </a:lnTo>
              <a:lnTo>
                <a:pt x="10981" y="21600"/>
              </a:lnTo>
              <a:lnTo>
                <a:pt x="21600" y="21600"/>
              </a:lnTo>
              <a:lnTo>
                <a:pt x="21600" y="10800"/>
              </a:lnTo>
              <a:lnTo>
                <a:pt x="21600" y="5246"/>
              </a:lnTo>
              <a:lnTo>
                <a:pt x="21600" y="4783"/>
              </a:lnTo>
              <a:cubicBezTo>
                <a:pt x="21479" y="4320"/>
                <a:pt x="21359" y="4011"/>
                <a:pt x="21117" y="3703"/>
              </a:cubicBezTo>
              <a:cubicBezTo>
                <a:pt x="20876" y="3549"/>
                <a:pt x="20514" y="3394"/>
                <a:pt x="20152" y="3240"/>
              </a:cubicBezTo>
              <a:close/>
            </a:path>
          </a:pathLst>
        </a:custGeom>
        <a:solidFill>
          <a:srgbClr val="FFFFCC"/>
        </a:solidFill>
        <a:ln w="9525">
          <a:solidFill>
            <a:srgbClr val="000000"/>
          </a:solidFill>
          <a:miter lim="800000"/>
          <a:headEnd/>
          <a:tailEnd/>
        </a:ln>
        <a:effectLst>
          <a:outerShdw dist="107763" dir="2700000" algn="ctr" rotWithShape="0">
            <a:srgbClr val="808080"/>
          </a:outerShdw>
        </a:effectLst>
      </xdr:spPr>
    </xdr:sp>
    <xdr:clientData/>
  </xdr:twoCellAnchor>
  <xdr:twoCellAnchor editAs="oneCell">
    <xdr:from>
      <xdr:col>2</xdr:col>
      <xdr:colOff>1285877</xdr:colOff>
      <xdr:row>2</xdr:row>
      <xdr:rowOff>61989</xdr:rowOff>
    </xdr:from>
    <xdr:to>
      <xdr:col>2</xdr:col>
      <xdr:colOff>2365375</xdr:colOff>
      <xdr:row>4</xdr:row>
      <xdr:rowOff>92227</xdr:rowOff>
    </xdr:to>
    <xdr:pic>
      <xdr:nvPicPr>
        <xdr:cNvPr id="19" name="Picture 18"/>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23066" t="7633" r="19642" b="17121"/>
        <a:stretch/>
      </xdr:blipFill>
      <xdr:spPr>
        <a:xfrm>
          <a:off x="2705102" y="442989"/>
          <a:ext cx="1079498" cy="41123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319087</xdr:colOff>
      <xdr:row>0</xdr:row>
      <xdr:rowOff>744140</xdr:rowOff>
    </xdr:from>
    <xdr:to>
      <xdr:col>7</xdr:col>
      <xdr:colOff>552450</xdr:colOff>
      <xdr:row>1</xdr:row>
      <xdr:rowOff>27384</xdr:rowOff>
    </xdr:to>
    <xdr:sp macro="" textlink="">
      <xdr:nvSpPr>
        <xdr:cNvPr id="14" name="Rectangle 13"/>
        <xdr:cNvSpPr/>
      </xdr:nvSpPr>
      <xdr:spPr>
        <a:xfrm>
          <a:off x="7177087" y="744140"/>
          <a:ext cx="1985963" cy="378619"/>
        </a:xfrm>
        <a:prstGeom prst="rect">
          <a:avLst/>
        </a:prstGeom>
        <a:solidFill>
          <a:schemeClr val="tx2">
            <a:lumMod val="20000"/>
            <a:lumOff val="80000"/>
          </a:schemeClr>
        </a:solidFill>
        <a:ln>
          <a:solidFill>
            <a:schemeClr val="tx1"/>
          </a:solid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CA" sz="1100"/>
        </a:p>
      </xdr:txBody>
    </xdr:sp>
    <xdr:clientData/>
  </xdr:twoCellAnchor>
  <xdr:twoCellAnchor editAs="oneCell">
    <xdr:from>
      <xdr:col>5</xdr:col>
      <xdr:colOff>309562</xdr:colOff>
      <xdr:row>0</xdr:row>
      <xdr:rowOff>221456</xdr:rowOff>
    </xdr:from>
    <xdr:to>
      <xdr:col>7</xdr:col>
      <xdr:colOff>542925</xdr:colOff>
      <xdr:row>0</xdr:row>
      <xdr:rowOff>602456</xdr:rowOff>
    </xdr:to>
    <xdr:sp macro="" textlink="">
      <xdr:nvSpPr>
        <xdr:cNvPr id="13" name="Rectangle 12"/>
        <xdr:cNvSpPr/>
      </xdr:nvSpPr>
      <xdr:spPr>
        <a:xfrm>
          <a:off x="7167562" y="221456"/>
          <a:ext cx="1985963" cy="381000"/>
        </a:xfrm>
        <a:prstGeom prst="rect">
          <a:avLst/>
        </a:prstGeom>
        <a:solidFill>
          <a:schemeClr val="tx2">
            <a:lumMod val="20000"/>
            <a:lumOff val="80000"/>
          </a:schemeClr>
        </a:solidFill>
        <a:ln>
          <a:solidFill>
            <a:schemeClr val="tx1"/>
          </a:solid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CA" sz="1100"/>
        </a:p>
      </xdr:txBody>
    </xdr:sp>
    <xdr:clientData/>
  </xdr:twoCellAnchor>
  <xdr:twoCellAnchor>
    <xdr:from>
      <xdr:col>0</xdr:col>
      <xdr:colOff>271462</xdr:colOff>
      <xdr:row>0</xdr:row>
      <xdr:rowOff>231052</xdr:rowOff>
    </xdr:from>
    <xdr:to>
      <xdr:col>0</xdr:col>
      <xdr:colOff>3015528</xdr:colOff>
      <xdr:row>24</xdr:row>
      <xdr:rowOff>114300</xdr:rowOff>
    </xdr:to>
    <xdr:sp macro="" textlink="">
      <xdr:nvSpPr>
        <xdr:cNvPr id="3" name="Rectangle 2"/>
        <xdr:cNvSpPr/>
      </xdr:nvSpPr>
      <xdr:spPr>
        <a:xfrm>
          <a:off x="271462" y="231052"/>
          <a:ext cx="2744066" cy="5712548"/>
        </a:xfrm>
        <a:prstGeom prst="rect">
          <a:avLst/>
        </a:prstGeom>
        <a:solidFill>
          <a:srgbClr val="00549E"/>
        </a:solidFill>
        <a:ln w="38100">
          <a:solidFill>
            <a:srgbClr val="6F8493"/>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400" b="1"/>
            <a:t>Enter study data in the table to the right.</a:t>
          </a:r>
        </a:p>
        <a:p>
          <a:pPr algn="l"/>
          <a:endParaRPr lang="en-CA" sz="1400" b="1"/>
        </a:p>
        <a:p>
          <a:pPr algn="l"/>
          <a:r>
            <a:rPr lang="en-CA" sz="1400" b="1"/>
            <a:t>Select if events</a:t>
          </a:r>
          <a:r>
            <a:rPr lang="en-CA" sz="1400" b="1" baseline="0"/>
            <a:t> are considered "GOOD" or "BAD".  This affects how treatments are ranked.</a:t>
          </a:r>
        </a:p>
        <a:p>
          <a:pPr algn="l"/>
          <a:endParaRPr lang="en-CA" sz="1400" b="1"/>
        </a:p>
        <a:p>
          <a:pPr algn="l"/>
          <a:r>
            <a:rPr lang="en-CA" sz="1400" b="1"/>
            <a:t>The name of the treatments are  entered</a:t>
          </a:r>
          <a:r>
            <a:rPr lang="en-CA" sz="1400" b="1" baseline="0"/>
            <a:t> in Row 5, starting at Column E (Green Cell).  The treatment with the most studies should be entered  first.</a:t>
          </a:r>
        </a:p>
        <a:p>
          <a:pPr algn="l"/>
          <a:endParaRPr lang="en-CA" sz="1400" b="1" baseline="0"/>
        </a:p>
        <a:p>
          <a:pPr algn="l"/>
          <a:r>
            <a:rPr lang="en-CA" sz="1400" b="1" baseline="0"/>
            <a:t>The names (or reference) of each study are entered in Column D, starting at Row 7 (Green Cell). Each row is a separate study.</a:t>
          </a:r>
        </a:p>
        <a:p>
          <a:pPr algn="l"/>
          <a:endParaRPr lang="en-CA" sz="1400" b="1" baseline="0"/>
        </a:p>
        <a:p>
          <a:pPr algn="l"/>
          <a:r>
            <a:rPr lang="en-CA" sz="1400" b="1" baseline="0"/>
            <a:t>Enter the number of events and number of patients into the corresponding rows (study) and columns (treatment). Each study must have ≥ treatment arms</a:t>
          </a:r>
        </a:p>
        <a:p>
          <a:pPr algn="l"/>
          <a:endParaRPr lang="en-CA" sz="1400" b="1" baseline="0"/>
        </a:p>
        <a:p>
          <a:pPr algn="l"/>
          <a:r>
            <a:rPr lang="en-CA" sz="1400" b="1" baseline="0"/>
            <a:t>LEAVE ALL other cells blank</a:t>
          </a:r>
        </a:p>
        <a:p>
          <a:pPr algn="l"/>
          <a:endParaRPr lang="en-CA" sz="1400" b="1" baseline="0"/>
        </a:p>
        <a:p>
          <a:pPr algn="l"/>
          <a:r>
            <a:rPr lang="en-CA" sz="1400" b="1" baseline="0"/>
            <a:t>Hit the "Convert  Data" button under the "WinBUGS tab.</a:t>
          </a:r>
        </a:p>
        <a:p>
          <a:pPr algn="l"/>
          <a:endParaRPr lang="en-CA" sz="1400" b="1" baseline="0"/>
        </a:p>
        <a:p>
          <a:pPr algn="l"/>
          <a:r>
            <a:rPr lang="en-CA" sz="1400" b="1" baseline="0"/>
            <a:t>Note:  Currently the macro can only  handle up to 50 studies and 15 unique  treatments.  </a:t>
          </a:r>
        </a:p>
        <a:p>
          <a:pPr algn="l"/>
          <a:endParaRPr lang="en-CA" sz="1400" b="1" baseline="0"/>
        </a:p>
      </xdr:txBody>
    </xdr:sp>
    <xdr:clientData/>
  </xdr:twoCellAnchor>
  <xdr:oneCellAnchor>
    <xdr:from>
      <xdr:col>2</xdr:col>
      <xdr:colOff>25978</xdr:colOff>
      <xdr:row>0</xdr:row>
      <xdr:rowOff>69272</xdr:rowOff>
    </xdr:from>
    <xdr:ext cx="3082360" cy="377209"/>
    <xdr:sp macro="" textlink="">
      <xdr:nvSpPr>
        <xdr:cNvPr id="9" name="Rectangle 8"/>
        <xdr:cNvSpPr/>
      </xdr:nvSpPr>
      <xdr:spPr>
        <a:xfrm>
          <a:off x="3429001" y="69272"/>
          <a:ext cx="3082360" cy="377209"/>
        </a:xfrm>
        <a:prstGeom prst="rect">
          <a:avLst/>
        </a:prstGeom>
        <a:gradFill flip="none" rotWithShape="1">
          <a:gsLst>
            <a:gs pos="0">
              <a:srgbClr val="00549E">
                <a:shade val="30000"/>
                <a:satMod val="115000"/>
              </a:srgbClr>
            </a:gs>
            <a:gs pos="50000">
              <a:srgbClr val="00549E">
                <a:shade val="67500"/>
                <a:satMod val="115000"/>
              </a:srgbClr>
            </a:gs>
            <a:gs pos="100000">
              <a:srgbClr val="00549E">
                <a:shade val="100000"/>
                <a:satMod val="115000"/>
              </a:srgbClr>
            </a:gs>
          </a:gsLst>
          <a:lin ang="16200000" scaled="1"/>
          <a:tileRect/>
        </a:gradFill>
      </xdr:spPr>
      <xdr:txBody>
        <a:bodyPr wrap="square" lIns="91440" tIns="45720" rIns="91440" bIns="45720">
          <a:noAutofit/>
        </a:bodyPr>
        <a:lstStyle/>
        <a:p>
          <a:pPr algn="ctr"/>
          <a:r>
            <a:rPr lang="en-US" sz="1800" b="0" cap="none" spc="0">
              <a:ln w="18415" cmpd="sng">
                <a:noFill/>
                <a:prstDash val="solid"/>
              </a:ln>
              <a:solidFill>
                <a:srgbClr val="FFFFFF"/>
              </a:solidFill>
              <a:effectLst>
                <a:outerShdw blurRad="63500" dir="3600000" algn="tl" rotWithShape="0">
                  <a:srgbClr val="000000">
                    <a:alpha val="70000"/>
                  </a:srgbClr>
                </a:outerShdw>
              </a:effectLst>
            </a:rPr>
            <a:t> </a:t>
          </a:r>
          <a:r>
            <a:rPr lang="en-US" sz="1800" b="0" cap="none" spc="0" baseline="0">
              <a:ln w="18415" cmpd="sng">
                <a:noFill/>
                <a:prstDash val="solid"/>
              </a:ln>
              <a:solidFill>
                <a:srgbClr val="FFFFFF"/>
              </a:solidFill>
              <a:effectLst>
                <a:outerShdw blurRad="63500" dir="3600000" algn="tl" rotWithShape="0">
                  <a:srgbClr val="000000">
                    <a:alpha val="70000"/>
                  </a:srgbClr>
                </a:outerShdw>
              </a:effectLst>
              <a:latin typeface="+mn-lt"/>
              <a:ea typeface="+mn-ea"/>
              <a:cs typeface="+mn-cs"/>
            </a:rPr>
            <a:t>NetMetaXL</a:t>
          </a:r>
        </a:p>
      </xdr:txBody>
    </xdr:sp>
    <xdr:clientData/>
  </xdr:oneCellAnchor>
  <xdr:twoCellAnchor editAs="oneCell">
    <xdr:from>
      <xdr:col>1</xdr:col>
      <xdr:colOff>269875</xdr:colOff>
      <xdr:row>0</xdr:row>
      <xdr:rowOff>444500</xdr:rowOff>
    </xdr:from>
    <xdr:to>
      <xdr:col>3</xdr:col>
      <xdr:colOff>1069292</xdr:colOff>
      <xdr:row>0</xdr:row>
      <xdr:rowOff>932540</xdr:rowOff>
    </xdr:to>
    <xdr:pic>
      <xdr:nvPicPr>
        <xdr:cNvPr id="11" name="Picture 1" descr="http://companyweb/Shared%20Documents/CRG%20Branding/Cornerstone_Logo_CMYK_hi-res.jpg"/>
        <xdr:cNvPicPr>
          <a:picLocks noChangeAspect="1" noChangeArrowheads="1"/>
        </xdr:cNvPicPr>
      </xdr:nvPicPr>
      <xdr:blipFill>
        <a:blip xmlns:r="http://schemas.openxmlformats.org/officeDocument/2006/relationships" r:embed="rId1" cstate="print"/>
        <a:srcRect/>
        <a:stretch>
          <a:fillRect/>
        </a:stretch>
      </xdr:blipFill>
      <xdr:spPr bwMode="auto">
        <a:xfrm>
          <a:off x="3365500" y="444500"/>
          <a:ext cx="1712230" cy="488040"/>
        </a:xfrm>
        <a:prstGeom prst="rect">
          <a:avLst/>
        </a:prstGeom>
        <a:noFill/>
      </xdr:spPr>
    </xdr:pic>
    <xdr:clientData/>
  </xdr:twoCellAnchor>
  <xdr:twoCellAnchor editAs="oneCell">
    <xdr:from>
      <xdr:col>5</xdr:col>
      <xdr:colOff>440531</xdr:colOff>
      <xdr:row>0</xdr:row>
      <xdr:rowOff>303607</xdr:rowOff>
    </xdr:from>
    <xdr:to>
      <xdr:col>5</xdr:col>
      <xdr:colOff>659607</xdr:colOff>
      <xdr:row>0</xdr:row>
      <xdr:rowOff>517920</xdr:rowOff>
    </xdr:to>
    <xdr:sp macro="[0]!Sheet1.Events_Good" textlink="">
      <xdr:nvSpPr>
        <xdr:cNvPr id="6" name="Oval 5"/>
        <xdr:cNvSpPr/>
      </xdr:nvSpPr>
      <xdr:spPr>
        <a:xfrm>
          <a:off x="7298531" y="303607"/>
          <a:ext cx="219076" cy="214313"/>
        </a:xfrm>
        <a:prstGeom prst="ellipse">
          <a:avLst/>
        </a:prstGeom>
        <a:solidFill>
          <a:srgbClr val="FFFFFF"/>
        </a:solidFill>
        <a:ln>
          <a:solidFill>
            <a:sysClr val="windowText" lastClr="000000"/>
          </a:solidFill>
        </a:ln>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CA" sz="1100"/>
        </a:p>
      </xdr:txBody>
    </xdr:sp>
    <xdr:clientData fLocksWithSheet="0"/>
  </xdr:twoCellAnchor>
  <xdr:twoCellAnchor editAs="oneCell">
    <xdr:from>
      <xdr:col>5</xdr:col>
      <xdr:colOff>440531</xdr:colOff>
      <xdr:row>0</xdr:row>
      <xdr:rowOff>827484</xdr:rowOff>
    </xdr:from>
    <xdr:to>
      <xdr:col>5</xdr:col>
      <xdr:colOff>659607</xdr:colOff>
      <xdr:row>0</xdr:row>
      <xdr:rowOff>1039416</xdr:rowOff>
    </xdr:to>
    <xdr:sp macro="[0]!Sheet1.Events_Bad" textlink="">
      <xdr:nvSpPr>
        <xdr:cNvPr id="7" name="Oval 6"/>
        <xdr:cNvSpPr/>
      </xdr:nvSpPr>
      <xdr:spPr>
        <a:xfrm>
          <a:off x="7298531" y="827484"/>
          <a:ext cx="219076" cy="211932"/>
        </a:xfrm>
        <a:prstGeom prst="ellipse">
          <a:avLst/>
        </a:prstGeom>
        <a:solidFill>
          <a:srgbClr val="000000"/>
        </a:solidFill>
        <a:ln>
          <a:solidFill>
            <a:sysClr val="windowText" lastClr="000000"/>
          </a:solidFill>
        </a:ln>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CA" sz="1100"/>
        </a:p>
      </xdr:txBody>
    </xdr:sp>
    <xdr:clientData fLocksWithSheet="0"/>
  </xdr:twoCellAnchor>
  <xdr:twoCellAnchor editAs="oneCell">
    <xdr:from>
      <xdr:col>5</xdr:col>
      <xdr:colOff>782615</xdr:colOff>
      <xdr:row>0</xdr:row>
      <xdr:rowOff>758428</xdr:rowOff>
    </xdr:from>
    <xdr:to>
      <xdr:col>7</xdr:col>
      <xdr:colOff>378169</xdr:colOff>
      <xdr:row>0</xdr:row>
      <xdr:rowOff>1089422</xdr:rowOff>
    </xdr:to>
    <xdr:sp macro="" textlink="">
      <xdr:nvSpPr>
        <xdr:cNvPr id="8" name="TextBox 7"/>
        <xdr:cNvSpPr txBox="1"/>
      </xdr:nvSpPr>
      <xdr:spPr>
        <a:xfrm>
          <a:off x="7640615" y="758428"/>
          <a:ext cx="1348154" cy="3309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r>
            <a:rPr lang="en-CA" sz="1200" b="1"/>
            <a:t>Events are "BAD"</a:t>
          </a:r>
        </a:p>
      </xdr:txBody>
    </xdr:sp>
    <xdr:clientData/>
  </xdr:twoCellAnchor>
  <xdr:twoCellAnchor editAs="oneCell">
    <xdr:from>
      <xdr:col>5</xdr:col>
      <xdr:colOff>771525</xdr:colOff>
      <xdr:row>0</xdr:row>
      <xdr:rowOff>234551</xdr:rowOff>
    </xdr:from>
    <xdr:to>
      <xdr:col>7</xdr:col>
      <xdr:colOff>438150</xdr:colOff>
      <xdr:row>0</xdr:row>
      <xdr:rowOff>567926</xdr:rowOff>
    </xdr:to>
    <xdr:sp macro="" textlink="">
      <xdr:nvSpPr>
        <xdr:cNvPr id="12" name="TextBox 11"/>
        <xdr:cNvSpPr txBox="1"/>
      </xdr:nvSpPr>
      <xdr:spPr>
        <a:xfrm>
          <a:off x="7629525" y="234551"/>
          <a:ext cx="1419225"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r>
            <a:rPr lang="en-CA" sz="1200" b="1"/>
            <a:t>Events are "GOOD"</a:t>
          </a:r>
        </a:p>
      </xdr:txBody>
    </xdr:sp>
    <xdr:clientData/>
  </xdr:twoCellAnchor>
  <xdr:twoCellAnchor editAs="oneCell">
    <xdr:from>
      <xdr:col>3</xdr:col>
      <xdr:colOff>1321594</xdr:colOff>
      <xdr:row>0</xdr:row>
      <xdr:rowOff>464344</xdr:rowOff>
    </xdr:from>
    <xdr:to>
      <xdr:col>4</xdr:col>
      <xdr:colOff>424654</xdr:colOff>
      <xdr:row>0</xdr:row>
      <xdr:rowOff>875582</xdr:rowOff>
    </xdr:to>
    <xdr:pic>
      <xdr:nvPicPr>
        <xdr:cNvPr id="15" name="Picture 14"/>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23066" t="7633" r="19642" b="17121"/>
        <a:stretch/>
      </xdr:blipFill>
      <xdr:spPr>
        <a:xfrm>
          <a:off x="5334000" y="464344"/>
          <a:ext cx="1079498" cy="411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5</xdr:col>
      <xdr:colOff>15874</xdr:colOff>
      <xdr:row>1</xdr:row>
      <xdr:rowOff>50801</xdr:rowOff>
    </xdr:from>
    <xdr:to>
      <xdr:col>6</xdr:col>
      <xdr:colOff>1150937</xdr:colOff>
      <xdr:row>10</xdr:row>
      <xdr:rowOff>7936</xdr:rowOff>
    </xdr:to>
    <xdr:sp macro="" textlink="">
      <xdr:nvSpPr>
        <xdr:cNvPr id="2" name="Rectangle 1"/>
        <xdr:cNvSpPr/>
      </xdr:nvSpPr>
      <xdr:spPr>
        <a:xfrm>
          <a:off x="3325812" y="1154114"/>
          <a:ext cx="1881188" cy="1751010"/>
        </a:xfrm>
        <a:prstGeom prst="rect">
          <a:avLst/>
        </a:prstGeom>
        <a:solidFill>
          <a:srgbClr val="00549E"/>
        </a:solidFill>
        <a:ln w="28575">
          <a:solidFill>
            <a:srgbClr val="6F8493"/>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100" b="1"/>
            <a:t>*The Inits</a:t>
          </a:r>
          <a:r>
            <a:rPr lang="en-CA" sz="1100" b="1" baseline="0"/>
            <a:t> statements are randomly derived (specify values on " Settings" sheet) and as such may need to be manually altered to fit specific data if WinBUGs fails to run or if the chains fail to converge.  You can manually adjust these .</a:t>
          </a:r>
        </a:p>
        <a:p>
          <a:pPr algn="l"/>
          <a:endParaRPr lang="en-CA" sz="1100" b="1" baseline="0"/>
        </a:p>
        <a:p>
          <a:pPr algn="l"/>
          <a:endParaRPr lang="en-CA" sz="1100" b="1"/>
        </a:p>
      </xdr:txBody>
    </xdr:sp>
    <xdr:clientData/>
  </xdr:twoCellAnchor>
  <xdr:oneCellAnchor>
    <xdr:from>
      <xdr:col>1</xdr:col>
      <xdr:colOff>15858</xdr:colOff>
      <xdr:row>0</xdr:row>
      <xdr:rowOff>47627</xdr:rowOff>
    </xdr:from>
    <xdr:ext cx="3082360" cy="377209"/>
    <xdr:sp macro="" textlink="">
      <xdr:nvSpPr>
        <xdr:cNvPr id="11" name="Rectangle 10"/>
        <xdr:cNvSpPr/>
      </xdr:nvSpPr>
      <xdr:spPr>
        <a:xfrm>
          <a:off x="436546" y="47627"/>
          <a:ext cx="3082360" cy="377209"/>
        </a:xfrm>
        <a:prstGeom prst="rect">
          <a:avLst/>
        </a:prstGeom>
        <a:gradFill flip="none" rotWithShape="1">
          <a:gsLst>
            <a:gs pos="0">
              <a:srgbClr val="00549E">
                <a:shade val="30000"/>
                <a:satMod val="115000"/>
              </a:srgbClr>
            </a:gs>
            <a:gs pos="50000">
              <a:srgbClr val="00549E">
                <a:shade val="67500"/>
                <a:satMod val="115000"/>
              </a:srgbClr>
            </a:gs>
            <a:gs pos="100000">
              <a:srgbClr val="00549E">
                <a:shade val="100000"/>
                <a:satMod val="115000"/>
              </a:srgbClr>
            </a:gs>
          </a:gsLst>
          <a:lin ang="16200000" scaled="1"/>
          <a:tileRect/>
        </a:gradFill>
      </xdr:spPr>
      <xdr:txBody>
        <a:bodyPr wrap="square" lIns="91440" tIns="45720" rIns="91440" bIns="45720">
          <a:noAutofit/>
        </a:bodyPr>
        <a:lstStyle/>
        <a:p>
          <a:pPr algn="ctr"/>
          <a:r>
            <a:rPr lang="en-US" sz="1800" b="0" cap="none" spc="0">
              <a:ln w="18415" cmpd="sng">
                <a:noFill/>
                <a:prstDash val="solid"/>
              </a:ln>
              <a:solidFill>
                <a:srgbClr val="FFFFFF"/>
              </a:solidFill>
              <a:effectLst>
                <a:outerShdw blurRad="63500" dir="3600000" algn="tl" rotWithShape="0">
                  <a:srgbClr val="000000">
                    <a:alpha val="70000"/>
                  </a:srgbClr>
                </a:outerShdw>
              </a:effectLst>
            </a:rPr>
            <a:t> </a:t>
          </a:r>
          <a:r>
            <a:rPr lang="en-US" sz="1800" b="0" cap="none" spc="0" baseline="0">
              <a:ln w="18415" cmpd="sng">
                <a:noFill/>
                <a:prstDash val="solid"/>
              </a:ln>
              <a:solidFill>
                <a:srgbClr val="FFFFFF"/>
              </a:solidFill>
              <a:effectLst>
                <a:outerShdw blurRad="63500" dir="3600000" algn="tl" rotWithShape="0">
                  <a:srgbClr val="000000">
                    <a:alpha val="70000"/>
                  </a:srgbClr>
                </a:outerShdw>
              </a:effectLst>
              <a:latin typeface="+mn-lt"/>
              <a:ea typeface="+mn-ea"/>
              <a:cs typeface="+mn-cs"/>
            </a:rPr>
            <a:t>Excel Tool for WinBUGS</a:t>
          </a:r>
        </a:p>
      </xdr:txBody>
    </xdr:sp>
    <xdr:clientData/>
  </xdr:oneCellAnchor>
  <xdr:twoCellAnchor editAs="oneCell">
    <xdr:from>
      <xdr:col>0</xdr:col>
      <xdr:colOff>341313</xdr:colOff>
      <xdr:row>0</xdr:row>
      <xdr:rowOff>436562</xdr:rowOff>
    </xdr:from>
    <xdr:to>
      <xdr:col>2</xdr:col>
      <xdr:colOff>172355</xdr:colOff>
      <xdr:row>0</xdr:row>
      <xdr:rowOff>924602</xdr:rowOff>
    </xdr:to>
    <xdr:pic>
      <xdr:nvPicPr>
        <xdr:cNvPr id="16" name="Picture 1" descr="http://companyweb/Shared%20Documents/CRG%20Branding/Cornerstone_Logo_CMYK_hi-res.jpg"/>
        <xdr:cNvPicPr>
          <a:picLocks noChangeAspect="1" noChangeArrowheads="1"/>
        </xdr:cNvPicPr>
      </xdr:nvPicPr>
      <xdr:blipFill>
        <a:blip xmlns:r="http://schemas.openxmlformats.org/officeDocument/2006/relationships" r:embed="rId1" cstate="print"/>
        <a:srcRect/>
        <a:stretch>
          <a:fillRect/>
        </a:stretch>
      </xdr:blipFill>
      <xdr:spPr bwMode="auto">
        <a:xfrm>
          <a:off x="341313" y="436562"/>
          <a:ext cx="1712230" cy="488040"/>
        </a:xfrm>
        <a:prstGeom prst="rect">
          <a:avLst/>
        </a:prstGeom>
        <a:noFill/>
      </xdr:spPr>
    </xdr:pic>
    <xdr:clientData/>
  </xdr:twoCellAnchor>
  <xdr:twoCellAnchor editAs="oneCell">
    <xdr:from>
      <xdr:col>2</xdr:col>
      <xdr:colOff>515938</xdr:colOff>
      <xdr:row>0</xdr:row>
      <xdr:rowOff>436563</xdr:rowOff>
    </xdr:from>
    <xdr:to>
      <xdr:col>5</xdr:col>
      <xdr:colOff>166686</xdr:colOff>
      <xdr:row>0</xdr:row>
      <xdr:rowOff>847801</xdr:rowOff>
    </xdr:to>
    <xdr:pic>
      <xdr:nvPicPr>
        <xdr:cNvPr id="6" name="Picture 5"/>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23066" t="7633" r="19642" b="17121"/>
        <a:stretch/>
      </xdr:blipFill>
      <xdr:spPr>
        <a:xfrm>
          <a:off x="2397126" y="436563"/>
          <a:ext cx="1079498" cy="411238"/>
        </a:xfrm>
        <a:prstGeom prst="rect">
          <a:avLst/>
        </a:prstGeom>
      </xdr:spPr>
    </xdr:pic>
    <xdr:clientData/>
  </xdr:twoCellAnchor>
  <xdr:twoCellAnchor editAs="oneCell">
    <xdr:from>
      <xdr:col>5</xdr:col>
      <xdr:colOff>492125</xdr:colOff>
      <xdr:row>10</xdr:row>
      <xdr:rowOff>142875</xdr:rowOff>
    </xdr:from>
    <xdr:to>
      <xdr:col>6</xdr:col>
      <xdr:colOff>785812</xdr:colOff>
      <xdr:row>13</xdr:row>
      <xdr:rowOff>87313</xdr:rowOff>
    </xdr:to>
    <xdr:grpSp>
      <xdr:nvGrpSpPr>
        <xdr:cNvPr id="7" name="Group 6"/>
        <xdr:cNvGrpSpPr/>
      </xdr:nvGrpSpPr>
      <xdr:grpSpPr>
        <a:xfrm>
          <a:off x="3797300" y="3048000"/>
          <a:ext cx="1036637" cy="515938"/>
          <a:chOff x="2718955" y="1359477"/>
          <a:chExt cx="658091" cy="355023"/>
        </a:xfrm>
      </xdr:grpSpPr>
      <xdr:pic macro="[0]!Group6_Click">
        <xdr:nvPicPr>
          <xdr:cNvPr id="8" name="Picture 7"/>
          <xdr:cNvPicPr>
            <a:picLocks noChangeAspect="1"/>
          </xdr:cNvPicPr>
        </xdr:nvPicPr>
        <xdr:blipFill>
          <a:blip xmlns:r="http://schemas.openxmlformats.org/officeDocument/2006/relationships" r:embed="rId3" cstate="print"/>
          <a:stretch>
            <a:fillRect/>
          </a:stretch>
        </xdr:blipFill>
        <xdr:spPr>
          <a:xfrm>
            <a:off x="2718955" y="1359477"/>
            <a:ext cx="658091" cy="355023"/>
          </a:xfrm>
          <a:prstGeom prst="rect">
            <a:avLst/>
          </a:prstGeom>
          <a:effectLst>
            <a:outerShdw blurRad="50800" dist="38100" dir="5400000" algn="t" rotWithShape="0">
              <a:prstClr val="black">
                <a:alpha val="40000"/>
              </a:prstClr>
            </a:outerShdw>
          </a:effectLst>
        </xdr:spPr>
      </xdr:pic>
      <xdr:sp macro="[0]!Generate_Inits" textlink="" fLocksText="0">
        <xdr:nvSpPr>
          <xdr:cNvPr id="9" name="TextBox 8"/>
          <xdr:cNvSpPr txBox="1"/>
        </xdr:nvSpPr>
        <xdr:spPr>
          <a:xfrm>
            <a:off x="2762250" y="1385454"/>
            <a:ext cx="554182" cy="280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CA" sz="900" b="1">
                <a:solidFill>
                  <a:schemeClr val="bg1"/>
                </a:solidFill>
              </a:rPr>
              <a:t>Re-Generate Inits</a:t>
            </a:r>
          </a:p>
        </xdr:txBody>
      </xdr:sp>
    </xdr:grpSp>
    <xdr:clientData fLocksWithSheet="0"/>
  </xdr:twoCellAnchor>
</xdr:wsDr>
</file>

<file path=xl/drawings/drawing5.xml><?xml version="1.0" encoding="utf-8"?>
<xdr:wsDr xmlns:xdr="http://schemas.openxmlformats.org/drawingml/2006/spreadsheetDrawing" xmlns:a="http://schemas.openxmlformats.org/drawingml/2006/main">
  <xdr:twoCellAnchor>
    <xdr:from>
      <xdr:col>5</xdr:col>
      <xdr:colOff>39687</xdr:colOff>
      <xdr:row>1</xdr:row>
      <xdr:rowOff>106363</xdr:rowOff>
    </xdr:from>
    <xdr:to>
      <xdr:col>6</xdr:col>
      <xdr:colOff>1174750</xdr:colOff>
      <xdr:row>10</xdr:row>
      <xdr:rowOff>71437</xdr:rowOff>
    </xdr:to>
    <xdr:sp macro="" textlink="">
      <xdr:nvSpPr>
        <xdr:cNvPr id="2" name="Rectangle 1"/>
        <xdr:cNvSpPr/>
      </xdr:nvSpPr>
      <xdr:spPr>
        <a:xfrm>
          <a:off x="3344862" y="1211263"/>
          <a:ext cx="1878013" cy="1755774"/>
        </a:xfrm>
        <a:prstGeom prst="rect">
          <a:avLst/>
        </a:prstGeom>
        <a:solidFill>
          <a:srgbClr val="00549E"/>
        </a:solidFill>
        <a:ln w="28575">
          <a:solidFill>
            <a:srgbClr val="6F8493"/>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100" b="1"/>
            <a:t>*The Inits</a:t>
          </a:r>
          <a:r>
            <a:rPr lang="en-CA" sz="1100" b="1" baseline="0"/>
            <a:t> statements are randomly derived (specify values on " Settings" sheet) and as such may need to be manually altered to fit specific data if WinBUGs fails to run or if the chains fail to converge.  You can manually adjust these .</a:t>
          </a:r>
        </a:p>
        <a:p>
          <a:pPr algn="l"/>
          <a:endParaRPr lang="en-CA" sz="1100" b="1" baseline="0"/>
        </a:p>
        <a:p>
          <a:pPr algn="l"/>
          <a:endParaRPr lang="en-CA" sz="1100" b="1"/>
        </a:p>
      </xdr:txBody>
    </xdr:sp>
    <xdr:clientData/>
  </xdr:twoCellAnchor>
  <xdr:oneCellAnchor>
    <xdr:from>
      <xdr:col>1</xdr:col>
      <xdr:colOff>15858</xdr:colOff>
      <xdr:row>0</xdr:row>
      <xdr:rowOff>47627</xdr:rowOff>
    </xdr:from>
    <xdr:ext cx="3082360" cy="377209"/>
    <xdr:sp macro="" textlink="">
      <xdr:nvSpPr>
        <xdr:cNvPr id="3" name="Rectangle 2"/>
        <xdr:cNvSpPr/>
      </xdr:nvSpPr>
      <xdr:spPr>
        <a:xfrm>
          <a:off x="434958" y="47627"/>
          <a:ext cx="3082360" cy="377209"/>
        </a:xfrm>
        <a:prstGeom prst="rect">
          <a:avLst/>
        </a:prstGeom>
        <a:gradFill flip="none" rotWithShape="1">
          <a:gsLst>
            <a:gs pos="0">
              <a:srgbClr val="00549E">
                <a:shade val="30000"/>
                <a:satMod val="115000"/>
              </a:srgbClr>
            </a:gs>
            <a:gs pos="50000">
              <a:srgbClr val="00549E">
                <a:shade val="67500"/>
                <a:satMod val="115000"/>
              </a:srgbClr>
            </a:gs>
            <a:gs pos="100000">
              <a:srgbClr val="00549E">
                <a:shade val="100000"/>
                <a:satMod val="115000"/>
              </a:srgbClr>
            </a:gs>
          </a:gsLst>
          <a:lin ang="16200000" scaled="1"/>
          <a:tileRect/>
        </a:gradFill>
      </xdr:spPr>
      <xdr:txBody>
        <a:bodyPr wrap="square" lIns="91440" tIns="45720" rIns="91440" bIns="45720">
          <a:noAutofit/>
        </a:bodyPr>
        <a:lstStyle/>
        <a:p>
          <a:pPr algn="ctr"/>
          <a:r>
            <a:rPr lang="en-US" sz="1800" b="0" cap="none" spc="0">
              <a:ln w="18415" cmpd="sng">
                <a:noFill/>
                <a:prstDash val="solid"/>
              </a:ln>
              <a:solidFill>
                <a:srgbClr val="FFFFFF"/>
              </a:solidFill>
              <a:effectLst>
                <a:outerShdw blurRad="63500" dir="3600000" algn="tl" rotWithShape="0">
                  <a:srgbClr val="000000">
                    <a:alpha val="70000"/>
                  </a:srgbClr>
                </a:outerShdw>
              </a:effectLst>
            </a:rPr>
            <a:t> </a:t>
          </a:r>
          <a:r>
            <a:rPr lang="en-US" sz="1800" b="0" cap="none" spc="0" baseline="0">
              <a:ln w="18415" cmpd="sng">
                <a:noFill/>
                <a:prstDash val="solid"/>
              </a:ln>
              <a:solidFill>
                <a:srgbClr val="FFFFFF"/>
              </a:solidFill>
              <a:effectLst>
                <a:outerShdw blurRad="63500" dir="3600000" algn="tl" rotWithShape="0">
                  <a:srgbClr val="000000">
                    <a:alpha val="70000"/>
                  </a:srgbClr>
                </a:outerShdw>
              </a:effectLst>
              <a:latin typeface="+mn-lt"/>
              <a:ea typeface="+mn-ea"/>
              <a:cs typeface="+mn-cs"/>
            </a:rPr>
            <a:t>NetMetaXL</a:t>
          </a:r>
        </a:p>
      </xdr:txBody>
    </xdr:sp>
    <xdr:clientData/>
  </xdr:oneCellAnchor>
  <xdr:twoCellAnchor editAs="oneCell">
    <xdr:from>
      <xdr:col>0</xdr:col>
      <xdr:colOff>341313</xdr:colOff>
      <xdr:row>0</xdr:row>
      <xdr:rowOff>436562</xdr:rowOff>
    </xdr:from>
    <xdr:to>
      <xdr:col>2</xdr:col>
      <xdr:colOff>172355</xdr:colOff>
      <xdr:row>0</xdr:row>
      <xdr:rowOff>924602</xdr:rowOff>
    </xdr:to>
    <xdr:pic>
      <xdr:nvPicPr>
        <xdr:cNvPr id="5" name="Picture 1" descr="http://companyweb/Shared%20Documents/CRG%20Branding/Cornerstone_Logo_CMYK_hi-res.jpg"/>
        <xdr:cNvPicPr>
          <a:picLocks noChangeAspect="1" noChangeArrowheads="1"/>
        </xdr:cNvPicPr>
      </xdr:nvPicPr>
      <xdr:blipFill>
        <a:blip xmlns:r="http://schemas.openxmlformats.org/officeDocument/2006/relationships" r:embed="rId1" cstate="print"/>
        <a:srcRect/>
        <a:stretch>
          <a:fillRect/>
        </a:stretch>
      </xdr:blipFill>
      <xdr:spPr bwMode="auto">
        <a:xfrm>
          <a:off x="341313" y="436562"/>
          <a:ext cx="1707467" cy="488040"/>
        </a:xfrm>
        <a:prstGeom prst="rect">
          <a:avLst/>
        </a:prstGeom>
        <a:noFill/>
      </xdr:spPr>
    </xdr:pic>
    <xdr:clientData/>
  </xdr:twoCellAnchor>
  <xdr:twoCellAnchor editAs="oneCell">
    <xdr:from>
      <xdr:col>2</xdr:col>
      <xdr:colOff>571500</xdr:colOff>
      <xdr:row>0</xdr:row>
      <xdr:rowOff>420688</xdr:rowOff>
    </xdr:from>
    <xdr:to>
      <xdr:col>5</xdr:col>
      <xdr:colOff>222248</xdr:colOff>
      <xdr:row>0</xdr:row>
      <xdr:rowOff>831926</xdr:rowOff>
    </xdr:to>
    <xdr:pic>
      <xdr:nvPicPr>
        <xdr:cNvPr id="6" name="Picture 5"/>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23066" t="7633" r="19642" b="17121"/>
        <a:stretch/>
      </xdr:blipFill>
      <xdr:spPr>
        <a:xfrm>
          <a:off x="2452688" y="420688"/>
          <a:ext cx="1079498" cy="4112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601927</xdr:colOff>
      <xdr:row>0</xdr:row>
      <xdr:rowOff>101865</xdr:rowOff>
    </xdr:from>
    <xdr:to>
      <xdr:col>4</xdr:col>
      <xdr:colOff>127000</xdr:colOff>
      <xdr:row>7</xdr:row>
      <xdr:rowOff>101865</xdr:rowOff>
    </xdr:to>
    <xdr:sp macro="" textlink="">
      <xdr:nvSpPr>
        <xdr:cNvPr id="93" name="TextBox 92"/>
        <xdr:cNvSpPr txBox="1"/>
      </xdr:nvSpPr>
      <xdr:spPr>
        <a:xfrm>
          <a:off x="601927" y="101865"/>
          <a:ext cx="3800740" cy="1333500"/>
        </a:xfrm>
        <a:prstGeom prst="rect">
          <a:avLst/>
        </a:prstGeom>
        <a:solidFill>
          <a:srgbClr val="0070C0"/>
        </a:solidFill>
        <a:ln w="9525" cmpd="sng">
          <a:solidFill>
            <a:sysClr val="windowText" lastClr="000000"/>
          </a:solidFill>
        </a:ln>
        <a:effectLst>
          <a:outerShdw blurRad="50800" dist="38100" dir="8100000" algn="tr"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CA" sz="1200" b="1">
              <a:solidFill>
                <a:schemeClr val="bg1"/>
              </a:solidFill>
            </a:rPr>
            <a:t>Please</a:t>
          </a:r>
          <a:r>
            <a:rPr lang="en-CA" sz="1200" b="1" baseline="0">
              <a:solidFill>
                <a:schemeClr val="bg1"/>
              </a:solidFill>
            </a:rPr>
            <a:t> ensure that you have  run the "Convert Data" macro and updated the treatment legend (below) before  running the "Generate Diagram" macro.</a:t>
          </a:r>
          <a:endParaRPr lang="en-CA" sz="1200" b="1">
            <a:solidFill>
              <a:schemeClr val="bg1"/>
            </a:solidFill>
          </a:endParaRPr>
        </a:p>
        <a:p>
          <a:r>
            <a:rPr lang="en-CA" sz="1200" b="1">
              <a:solidFill>
                <a:schemeClr val="bg1"/>
              </a:solidFill>
            </a:rPr>
            <a:t>If</a:t>
          </a:r>
          <a:r>
            <a:rPr lang="en-CA" sz="1200" b="1" baseline="0">
              <a:solidFill>
                <a:schemeClr val="bg1"/>
              </a:solidFill>
            </a:rPr>
            <a:t> the shapes are too crowded, decrease the zoom level and re-generate the graph.  Conversely, if the diagram is too spread out, increase the zoom level and re-generate the graph.</a:t>
          </a:r>
          <a:endParaRPr lang="en-CA" sz="1200" b="1">
            <a:solidFill>
              <a:schemeClr val="bg1"/>
            </a:solidFill>
          </a:endParaRPr>
        </a:p>
      </xdr:txBody>
    </xdr:sp>
    <xdr:clientData/>
  </xdr:twoCellAnchor>
  <xdr:twoCellAnchor>
    <xdr:from>
      <xdr:col>0</xdr:col>
      <xdr:colOff>603249</xdr:colOff>
      <xdr:row>8</xdr:row>
      <xdr:rowOff>52915</xdr:rowOff>
    </xdr:from>
    <xdr:to>
      <xdr:col>4</xdr:col>
      <xdr:colOff>137583</xdr:colOff>
      <xdr:row>16</xdr:row>
      <xdr:rowOff>179917</xdr:rowOff>
    </xdr:to>
    <xdr:sp macro="" textlink="">
      <xdr:nvSpPr>
        <xdr:cNvPr id="114" name="TextBox 113"/>
        <xdr:cNvSpPr txBox="1"/>
      </xdr:nvSpPr>
      <xdr:spPr>
        <a:xfrm>
          <a:off x="603249" y="1576915"/>
          <a:ext cx="3810001" cy="1651002"/>
        </a:xfrm>
        <a:prstGeom prst="rect">
          <a:avLst/>
        </a:prstGeom>
        <a:solidFill>
          <a:srgbClr val="0070C0"/>
        </a:solidFill>
        <a:ln w="9525" cmpd="sng">
          <a:solidFill>
            <a:sysClr val="windowText" lastClr="000000"/>
          </a:solidFill>
        </a:ln>
        <a:effectLst>
          <a:outerShdw blurRad="50800" dist="38100" dir="8100000" algn="tr"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CA" sz="1200" b="1">
              <a:solidFill>
                <a:schemeClr val="bg1"/>
              </a:solidFill>
            </a:rPr>
            <a:t>The area of the circles</a:t>
          </a:r>
          <a:r>
            <a:rPr lang="en-CA" sz="1200" b="1" baseline="0">
              <a:solidFill>
                <a:schemeClr val="bg1"/>
              </a:solidFill>
            </a:rPr>
            <a:t> is based on the total number of patients for each treatment among all trials. </a:t>
          </a:r>
        </a:p>
        <a:p>
          <a:endParaRPr lang="en-CA" sz="1200" b="1" baseline="0">
            <a:solidFill>
              <a:schemeClr val="bg1"/>
            </a:solidFill>
          </a:endParaRPr>
        </a:p>
        <a:p>
          <a:r>
            <a:rPr lang="en-CA" sz="1200" b="1" baseline="0">
              <a:solidFill>
                <a:schemeClr val="bg1"/>
              </a:solidFill>
            </a:rPr>
            <a:t>The thickness of the lines are based on the total number of studies comparing the two treatments.</a:t>
          </a:r>
          <a:endParaRPr lang="en-CA" sz="1200" b="1">
            <a:solidFill>
              <a:schemeClr val="bg1"/>
            </a:solidFill>
          </a:endParaRPr>
        </a:p>
      </xdr:txBody>
    </xdr:sp>
    <xdr:clientData/>
  </xdr:twoCellAnchor>
  <xdr:twoCellAnchor>
    <xdr:from>
      <xdr:col>10</xdr:col>
      <xdr:colOff>10661</xdr:colOff>
      <xdr:row>32</xdr:row>
      <xdr:rowOff>90036</xdr:rowOff>
    </xdr:from>
    <xdr:to>
      <xdr:col>13</xdr:col>
      <xdr:colOff>14739</xdr:colOff>
      <xdr:row>42</xdr:row>
      <xdr:rowOff>8389</xdr:rowOff>
    </xdr:to>
    <xdr:sp macro="" textlink="">
      <xdr:nvSpPr>
        <xdr:cNvPr id="97" name="A"/>
        <xdr:cNvSpPr/>
      </xdr:nvSpPr>
      <xdr:spPr>
        <a:xfrm>
          <a:off x="8316461" y="6271761"/>
          <a:ext cx="1832878" cy="1832878"/>
        </a:xfrm>
        <a:prstGeom prst="ellipse">
          <a:avLst/>
        </a:prstGeom>
        <a:solidFill>
          <a:srgbClr val="C00000"/>
        </a:solidFill>
        <a:ln w="25400">
          <a:solidFill>
            <a:srgbClr val="64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500">
              <a:latin typeface="Garamond" panose="02020404030301010803" pitchFamily="18" charset="0"/>
            </a:rPr>
            <a:t>A</a:t>
          </a:r>
        </a:p>
      </xdr:txBody>
    </xdr:sp>
    <xdr:clientData/>
  </xdr:twoCellAnchor>
  <xdr:twoCellAnchor>
    <xdr:from>
      <xdr:col>13</xdr:col>
      <xdr:colOff>269356</xdr:colOff>
      <xdr:row>58</xdr:row>
      <xdr:rowOff>34406</xdr:rowOff>
    </xdr:from>
    <xdr:to>
      <xdr:col>16</xdr:col>
      <xdr:colOff>86244</xdr:colOff>
      <xdr:row>66</xdr:row>
      <xdr:rowOff>156094</xdr:rowOff>
    </xdr:to>
    <xdr:sp macro="" textlink="">
      <xdr:nvSpPr>
        <xdr:cNvPr id="98" name="B"/>
        <xdr:cNvSpPr/>
      </xdr:nvSpPr>
      <xdr:spPr>
        <a:xfrm>
          <a:off x="10403956" y="11178656"/>
          <a:ext cx="1645688" cy="1645688"/>
        </a:xfrm>
        <a:prstGeom prst="ellipse">
          <a:avLst/>
        </a:prstGeom>
        <a:solidFill>
          <a:srgbClr val="C00000"/>
        </a:solidFill>
        <a:ln w="25400">
          <a:solidFill>
            <a:srgbClr val="64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500">
              <a:latin typeface="Garamond" panose="02020404030301010803" pitchFamily="18" charset="0"/>
            </a:rPr>
            <a:t>B</a:t>
          </a:r>
        </a:p>
      </xdr:txBody>
    </xdr:sp>
    <xdr:clientData/>
  </xdr:twoCellAnchor>
  <xdr:twoCellAnchor>
    <xdr:from>
      <xdr:col>21</xdr:col>
      <xdr:colOff>415201</xdr:colOff>
      <xdr:row>69</xdr:row>
      <xdr:rowOff>142151</xdr:rowOff>
    </xdr:from>
    <xdr:to>
      <xdr:col>23</xdr:col>
      <xdr:colOff>423001</xdr:colOff>
      <xdr:row>76</xdr:row>
      <xdr:rowOff>35651</xdr:rowOff>
    </xdr:to>
    <xdr:sp macro="" textlink="">
      <xdr:nvSpPr>
        <xdr:cNvPr id="99" name="C"/>
        <xdr:cNvSpPr/>
      </xdr:nvSpPr>
      <xdr:spPr>
        <a:xfrm>
          <a:off x="15426601" y="13381901"/>
          <a:ext cx="1227000" cy="1227000"/>
        </a:xfrm>
        <a:prstGeom prst="ellipse">
          <a:avLst/>
        </a:prstGeom>
        <a:solidFill>
          <a:srgbClr val="C00000"/>
        </a:solidFill>
        <a:ln w="25400">
          <a:solidFill>
            <a:srgbClr val="64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latin typeface="Garamond" panose="02020404030301010803" pitchFamily="18" charset="0"/>
            </a:rPr>
            <a:t>C</a:t>
          </a:r>
        </a:p>
      </xdr:txBody>
    </xdr:sp>
    <xdr:clientData/>
  </xdr:twoCellAnchor>
  <xdr:twoCellAnchor>
    <xdr:from>
      <xdr:col>29</xdr:col>
      <xdr:colOff>555357</xdr:colOff>
      <xdr:row>60</xdr:row>
      <xdr:rowOff>66406</xdr:rowOff>
    </xdr:from>
    <xdr:to>
      <xdr:col>31</xdr:col>
      <xdr:colOff>155845</xdr:colOff>
      <xdr:row>64</xdr:row>
      <xdr:rowOff>124094</xdr:rowOff>
    </xdr:to>
    <xdr:sp macro="" textlink="">
      <xdr:nvSpPr>
        <xdr:cNvPr id="100" name="D"/>
        <xdr:cNvSpPr/>
      </xdr:nvSpPr>
      <xdr:spPr>
        <a:xfrm>
          <a:off x="20443557" y="11591656"/>
          <a:ext cx="819688" cy="819688"/>
        </a:xfrm>
        <a:prstGeom prst="ellipse">
          <a:avLst/>
        </a:prstGeom>
        <a:solidFill>
          <a:srgbClr val="C00000"/>
        </a:solidFill>
        <a:ln w="25400">
          <a:solidFill>
            <a:srgbClr val="64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latin typeface="Garamond" panose="02020404030301010803" pitchFamily="18" charset="0"/>
            </a:rPr>
            <a:t>D</a:t>
          </a:r>
        </a:p>
      </xdr:txBody>
    </xdr:sp>
    <xdr:clientData/>
  </xdr:twoCellAnchor>
  <xdr:twoCellAnchor>
    <xdr:from>
      <xdr:col>33</xdr:col>
      <xdr:colOff>330200</xdr:colOff>
      <xdr:row>36</xdr:row>
      <xdr:rowOff>53975</xdr:rowOff>
    </xdr:from>
    <xdr:to>
      <xdr:col>34</xdr:col>
      <xdr:colOff>101600</xdr:colOff>
      <xdr:row>38</xdr:row>
      <xdr:rowOff>53975</xdr:rowOff>
    </xdr:to>
    <xdr:sp macro="" textlink="">
      <xdr:nvSpPr>
        <xdr:cNvPr id="101" name="E"/>
        <xdr:cNvSpPr/>
      </xdr:nvSpPr>
      <xdr:spPr>
        <a:xfrm>
          <a:off x="22656800" y="6997700"/>
          <a:ext cx="381000" cy="381000"/>
        </a:xfrm>
        <a:prstGeom prst="ellipse">
          <a:avLst/>
        </a:prstGeom>
        <a:solidFill>
          <a:srgbClr val="C00000"/>
        </a:solidFill>
        <a:ln w="25400">
          <a:solidFill>
            <a:srgbClr val="64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latin typeface="Garamond" panose="02020404030301010803" pitchFamily="18" charset="0"/>
            </a:rPr>
            <a:t>E</a:t>
          </a:r>
        </a:p>
      </xdr:txBody>
    </xdr:sp>
    <xdr:clientData/>
  </xdr:twoCellAnchor>
  <xdr:twoCellAnchor>
    <xdr:from>
      <xdr:col>30</xdr:col>
      <xdr:colOff>116796</xdr:colOff>
      <xdr:row>11</xdr:row>
      <xdr:rowOff>40596</xdr:rowOff>
    </xdr:from>
    <xdr:to>
      <xdr:col>30</xdr:col>
      <xdr:colOff>594404</xdr:colOff>
      <xdr:row>13</xdr:row>
      <xdr:rowOff>137204</xdr:rowOff>
    </xdr:to>
    <xdr:sp macro="" textlink="">
      <xdr:nvSpPr>
        <xdr:cNvPr id="102" name="F"/>
        <xdr:cNvSpPr/>
      </xdr:nvSpPr>
      <xdr:spPr>
        <a:xfrm>
          <a:off x="20614596" y="2136096"/>
          <a:ext cx="477608" cy="477608"/>
        </a:xfrm>
        <a:prstGeom prst="ellipse">
          <a:avLst/>
        </a:prstGeom>
        <a:solidFill>
          <a:srgbClr val="C00000"/>
        </a:solidFill>
        <a:ln w="25400">
          <a:solidFill>
            <a:srgbClr val="64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latin typeface="Garamond" panose="02020404030301010803" pitchFamily="18" charset="0"/>
            </a:rPr>
            <a:t>F</a:t>
          </a:r>
        </a:p>
      </xdr:txBody>
    </xdr:sp>
    <xdr:clientData/>
  </xdr:twoCellAnchor>
  <xdr:twoCellAnchor>
    <xdr:from>
      <xdr:col>21</xdr:col>
      <xdr:colOff>565417</xdr:colOff>
      <xdr:row>0</xdr:row>
      <xdr:rowOff>0</xdr:rowOff>
    </xdr:from>
    <xdr:to>
      <xdr:col>23</xdr:col>
      <xdr:colOff>272782</xdr:colOff>
      <xdr:row>4</xdr:row>
      <xdr:rowOff>164566</xdr:rowOff>
    </xdr:to>
    <xdr:sp macro="" textlink="">
      <xdr:nvSpPr>
        <xdr:cNvPr id="103" name="G"/>
        <xdr:cNvSpPr/>
      </xdr:nvSpPr>
      <xdr:spPr>
        <a:xfrm>
          <a:off x="15576817" y="0"/>
          <a:ext cx="926565" cy="926566"/>
        </a:xfrm>
        <a:prstGeom prst="ellipse">
          <a:avLst/>
        </a:prstGeom>
        <a:solidFill>
          <a:srgbClr val="C00000"/>
        </a:solidFill>
        <a:ln w="25400">
          <a:solidFill>
            <a:srgbClr val="64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latin typeface="Garamond" panose="02020404030301010803" pitchFamily="18" charset="0"/>
            </a:rPr>
            <a:t>G</a:t>
          </a:r>
        </a:p>
      </xdr:txBody>
    </xdr:sp>
    <xdr:clientData/>
  </xdr:twoCellAnchor>
  <xdr:twoCellAnchor>
    <xdr:from>
      <xdr:col>13</xdr:col>
      <xdr:colOff>504598</xdr:colOff>
      <xdr:row>9</xdr:row>
      <xdr:rowOff>72798</xdr:rowOff>
    </xdr:from>
    <xdr:to>
      <xdr:col>15</xdr:col>
      <xdr:colOff>460601</xdr:colOff>
      <xdr:row>15</xdr:row>
      <xdr:rowOff>105002</xdr:rowOff>
    </xdr:to>
    <xdr:sp macro="" textlink="">
      <xdr:nvSpPr>
        <xdr:cNvPr id="104" name="H"/>
        <xdr:cNvSpPr/>
      </xdr:nvSpPr>
      <xdr:spPr>
        <a:xfrm>
          <a:off x="10639198" y="1787298"/>
          <a:ext cx="1175203" cy="1175204"/>
        </a:xfrm>
        <a:prstGeom prst="ellipse">
          <a:avLst/>
        </a:prstGeom>
        <a:solidFill>
          <a:srgbClr val="C00000"/>
        </a:solidFill>
        <a:ln w="25400">
          <a:solidFill>
            <a:srgbClr val="64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latin typeface="Garamond" panose="02020404030301010803" pitchFamily="18" charset="0"/>
            </a:rPr>
            <a:t>H</a:t>
          </a:r>
        </a:p>
      </xdr:txBody>
    </xdr:sp>
    <xdr:clientData/>
  </xdr:twoCellAnchor>
  <xdr:twoCellAnchor>
    <xdr:from>
      <xdr:col>12</xdr:col>
      <xdr:colOff>355920</xdr:colOff>
      <xdr:row>15</xdr:row>
      <xdr:rowOff>105002</xdr:rowOff>
    </xdr:from>
    <xdr:to>
      <xdr:col>14</xdr:col>
      <xdr:colOff>482600</xdr:colOff>
      <xdr:row>33</xdr:row>
      <xdr:rowOff>167955</xdr:rowOff>
    </xdr:to>
    <xdr:cxnSp macro="">
      <xdr:nvCxnSpPr>
        <xdr:cNvPr id="105" name="Straight Arrow Connector 104"/>
        <xdr:cNvCxnSpPr>
          <a:stCxn id="97" idx="7"/>
          <a:endCxn id="104" idx="4"/>
        </xdr:cNvCxnSpPr>
      </xdr:nvCxnSpPr>
      <xdr:spPr>
        <a:xfrm flipV="1">
          <a:off x="9880920" y="2962502"/>
          <a:ext cx="1345880" cy="3577678"/>
        </a:xfrm>
        <a:prstGeom prst="straightConnector1">
          <a:avLst/>
        </a:prstGeom>
        <a:ln w="762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14739</xdr:colOff>
      <xdr:row>37</xdr:row>
      <xdr:rowOff>53975</xdr:rowOff>
    </xdr:from>
    <xdr:to>
      <xdr:col>30</xdr:col>
      <xdr:colOff>65798</xdr:colOff>
      <xdr:row>60</xdr:row>
      <xdr:rowOff>186447</xdr:rowOff>
    </xdr:to>
    <xdr:cxnSp macro="">
      <xdr:nvCxnSpPr>
        <xdr:cNvPr id="106" name="Straight Arrow Connector 105"/>
        <xdr:cNvCxnSpPr>
          <a:stCxn id="97" idx="6"/>
          <a:endCxn id="100" idx="1"/>
        </xdr:cNvCxnSpPr>
      </xdr:nvCxnSpPr>
      <xdr:spPr>
        <a:xfrm>
          <a:off x="10149339" y="7188200"/>
          <a:ext cx="10414259" cy="4523497"/>
        </a:xfrm>
        <a:prstGeom prst="straightConnector1">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243311</xdr:colOff>
      <xdr:row>62</xdr:row>
      <xdr:rowOff>95250</xdr:rowOff>
    </xdr:from>
    <xdr:to>
      <xdr:col>29</xdr:col>
      <xdr:colOff>555357</xdr:colOff>
      <xdr:row>70</xdr:row>
      <xdr:rowOff>131341</xdr:rowOff>
    </xdr:to>
    <xdr:cxnSp macro="">
      <xdr:nvCxnSpPr>
        <xdr:cNvPr id="107" name="Straight Arrow Connector 106"/>
        <xdr:cNvCxnSpPr>
          <a:stCxn id="99" idx="7"/>
          <a:endCxn id="100" idx="2"/>
        </xdr:cNvCxnSpPr>
      </xdr:nvCxnSpPr>
      <xdr:spPr>
        <a:xfrm flipV="1">
          <a:off x="16473911" y="12001500"/>
          <a:ext cx="3969646" cy="1560091"/>
        </a:xfrm>
        <a:prstGeom prst="straightConnector1">
          <a:avLst/>
        </a:prstGeom>
        <a:ln w="381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454839</xdr:colOff>
      <xdr:row>65</xdr:row>
      <xdr:rowOff>105589</xdr:rowOff>
    </xdr:from>
    <xdr:to>
      <xdr:col>21</xdr:col>
      <xdr:colOff>415201</xdr:colOff>
      <xdr:row>72</xdr:row>
      <xdr:rowOff>184151</xdr:rowOff>
    </xdr:to>
    <xdr:cxnSp macro="">
      <xdr:nvCxnSpPr>
        <xdr:cNvPr id="108" name="Straight Arrow Connector 107"/>
        <xdr:cNvCxnSpPr>
          <a:stCxn id="98" idx="5"/>
          <a:endCxn id="99" idx="2"/>
        </xdr:cNvCxnSpPr>
      </xdr:nvCxnSpPr>
      <xdr:spPr>
        <a:xfrm>
          <a:off x="11808639" y="12583339"/>
          <a:ext cx="3617962" cy="1412062"/>
        </a:xfrm>
        <a:prstGeom prst="straightConnector1">
          <a:avLst/>
        </a:prstGeom>
        <a:ln w="508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482600</xdr:colOff>
      <xdr:row>15</xdr:row>
      <xdr:rowOff>105002</xdr:rowOff>
    </xdr:from>
    <xdr:to>
      <xdr:col>21</xdr:col>
      <xdr:colOff>594891</xdr:colOff>
      <xdr:row>70</xdr:row>
      <xdr:rowOff>131341</xdr:rowOff>
    </xdr:to>
    <xdr:cxnSp macro="">
      <xdr:nvCxnSpPr>
        <xdr:cNvPr id="109" name="Straight Arrow Connector 108"/>
        <xdr:cNvCxnSpPr>
          <a:stCxn id="99" idx="1"/>
          <a:endCxn id="104" idx="4"/>
        </xdr:cNvCxnSpPr>
      </xdr:nvCxnSpPr>
      <xdr:spPr>
        <a:xfrm flipH="1" flipV="1">
          <a:off x="11226800" y="2962502"/>
          <a:ext cx="4379491" cy="10599089"/>
        </a:xfrm>
        <a:prstGeom prst="straightConnector1">
          <a:avLst/>
        </a:prstGeom>
        <a:ln w="508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355920</xdr:colOff>
      <xdr:row>40</xdr:row>
      <xdr:rowOff>120970</xdr:rowOff>
    </xdr:from>
    <xdr:to>
      <xdr:col>21</xdr:col>
      <xdr:colOff>594891</xdr:colOff>
      <xdr:row>70</xdr:row>
      <xdr:rowOff>131341</xdr:rowOff>
    </xdr:to>
    <xdr:cxnSp macro="">
      <xdr:nvCxnSpPr>
        <xdr:cNvPr id="110" name="Straight Arrow Connector 109"/>
        <xdr:cNvCxnSpPr>
          <a:stCxn id="97" idx="5"/>
          <a:endCxn id="99" idx="1"/>
        </xdr:cNvCxnSpPr>
      </xdr:nvCxnSpPr>
      <xdr:spPr>
        <a:xfrm>
          <a:off x="9880920" y="7836220"/>
          <a:ext cx="5725371" cy="5725371"/>
        </a:xfrm>
        <a:prstGeom prst="straightConnector1">
          <a:avLst/>
        </a:prstGeom>
        <a:ln w="381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86244</xdr:colOff>
      <xdr:row>37</xdr:row>
      <xdr:rowOff>188679</xdr:rowOff>
    </xdr:from>
    <xdr:to>
      <xdr:col>33</xdr:col>
      <xdr:colOff>385996</xdr:colOff>
      <xdr:row>62</xdr:row>
      <xdr:rowOff>95250</xdr:rowOff>
    </xdr:to>
    <xdr:cxnSp macro="">
      <xdr:nvCxnSpPr>
        <xdr:cNvPr id="111" name="Straight Arrow Connector 110"/>
        <xdr:cNvCxnSpPr>
          <a:stCxn id="98" idx="6"/>
          <a:endCxn id="101" idx="3"/>
        </xdr:cNvCxnSpPr>
      </xdr:nvCxnSpPr>
      <xdr:spPr>
        <a:xfrm flipV="1">
          <a:off x="12049644" y="7322904"/>
          <a:ext cx="10662952" cy="4678596"/>
        </a:xfrm>
        <a:prstGeom prst="straightConnector1">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355920</xdr:colOff>
      <xdr:row>4</xdr:row>
      <xdr:rowOff>28874</xdr:rowOff>
    </xdr:from>
    <xdr:to>
      <xdr:col>22</xdr:col>
      <xdr:colOff>91509</xdr:colOff>
      <xdr:row>33</xdr:row>
      <xdr:rowOff>167955</xdr:rowOff>
    </xdr:to>
    <xdr:cxnSp macro="">
      <xdr:nvCxnSpPr>
        <xdr:cNvPr id="112" name="Straight Arrow Connector 111"/>
        <xdr:cNvCxnSpPr>
          <a:stCxn id="97" idx="7"/>
          <a:endCxn id="103" idx="3"/>
        </xdr:cNvCxnSpPr>
      </xdr:nvCxnSpPr>
      <xdr:spPr>
        <a:xfrm flipV="1">
          <a:off x="9880920" y="790874"/>
          <a:ext cx="5831589" cy="5749306"/>
        </a:xfrm>
        <a:prstGeom prst="straightConnector1">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355920</xdr:colOff>
      <xdr:row>40</xdr:row>
      <xdr:rowOff>120970</xdr:rowOff>
    </xdr:from>
    <xdr:to>
      <xdr:col>14</xdr:col>
      <xdr:colOff>482600</xdr:colOff>
      <xdr:row>58</xdr:row>
      <xdr:rowOff>34406</xdr:rowOff>
    </xdr:to>
    <xdr:cxnSp macro="">
      <xdr:nvCxnSpPr>
        <xdr:cNvPr id="113" name="Straight Arrow Connector 112"/>
        <xdr:cNvCxnSpPr>
          <a:stCxn id="97" idx="5"/>
          <a:endCxn id="98" idx="0"/>
        </xdr:cNvCxnSpPr>
      </xdr:nvCxnSpPr>
      <xdr:spPr>
        <a:xfrm>
          <a:off x="9880920" y="7836220"/>
          <a:ext cx="1345880" cy="3342436"/>
        </a:xfrm>
        <a:prstGeom prst="straightConnector1">
          <a:avLst/>
        </a:prstGeom>
        <a:ln w="1143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454839</xdr:colOff>
      <xdr:row>13</xdr:row>
      <xdr:rowOff>67260</xdr:rowOff>
    </xdr:from>
    <xdr:to>
      <xdr:col>30</xdr:col>
      <xdr:colOff>186740</xdr:colOff>
      <xdr:row>59</xdr:row>
      <xdr:rowOff>84911</xdr:rowOff>
    </xdr:to>
    <xdr:cxnSp macro="">
      <xdr:nvCxnSpPr>
        <xdr:cNvPr id="115" name="Straight Arrow Connector 114"/>
        <xdr:cNvCxnSpPr>
          <a:stCxn id="98" idx="7"/>
          <a:endCxn id="102" idx="3"/>
        </xdr:cNvCxnSpPr>
      </xdr:nvCxnSpPr>
      <xdr:spPr>
        <a:xfrm flipV="1">
          <a:off x="11808639" y="2543760"/>
          <a:ext cx="8875901" cy="8875901"/>
        </a:xfrm>
        <a:prstGeom prst="straightConnector1">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460601</xdr:colOff>
      <xdr:row>4</xdr:row>
      <xdr:rowOff>28874</xdr:rowOff>
    </xdr:from>
    <xdr:to>
      <xdr:col>22</xdr:col>
      <xdr:colOff>91509</xdr:colOff>
      <xdr:row>12</xdr:row>
      <xdr:rowOff>88900</xdr:rowOff>
    </xdr:to>
    <xdr:cxnSp macro="">
      <xdr:nvCxnSpPr>
        <xdr:cNvPr id="116" name="Straight Arrow Connector 115"/>
        <xdr:cNvCxnSpPr>
          <a:stCxn id="103" idx="3"/>
          <a:endCxn id="104" idx="6"/>
        </xdr:cNvCxnSpPr>
      </xdr:nvCxnSpPr>
      <xdr:spPr>
        <a:xfrm flipH="1">
          <a:off x="11814401" y="790874"/>
          <a:ext cx="3898108" cy="1584026"/>
        </a:xfrm>
        <a:prstGeom prst="straightConnector1">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482600</xdr:colOff>
      <xdr:row>15</xdr:row>
      <xdr:rowOff>105002</xdr:rowOff>
    </xdr:from>
    <xdr:to>
      <xdr:col>14</xdr:col>
      <xdr:colOff>482600</xdr:colOff>
      <xdr:row>58</xdr:row>
      <xdr:rowOff>34406</xdr:rowOff>
    </xdr:to>
    <xdr:cxnSp macro="">
      <xdr:nvCxnSpPr>
        <xdr:cNvPr id="117" name="Straight Arrow Connector 116"/>
        <xdr:cNvCxnSpPr>
          <a:stCxn id="98" idx="0"/>
          <a:endCxn id="104" idx="4"/>
        </xdr:cNvCxnSpPr>
      </xdr:nvCxnSpPr>
      <xdr:spPr>
        <a:xfrm flipV="1">
          <a:off x="11226800" y="2962502"/>
          <a:ext cx="0" cy="8216154"/>
        </a:xfrm>
        <a:prstGeom prst="straightConnector1">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absoluteAnchor>
    <xdr:pos x="5272616" y="232833"/>
    <xdr:ext cx="6219825" cy="1466850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absoluteAnchor>
  <xdr:twoCellAnchor editAs="absolute">
    <xdr:from>
      <xdr:col>2</xdr:col>
      <xdr:colOff>20108</xdr:colOff>
      <xdr:row>9</xdr:row>
      <xdr:rowOff>189442</xdr:rowOff>
    </xdr:from>
    <xdr:to>
      <xdr:col>2</xdr:col>
      <xdr:colOff>1046692</xdr:colOff>
      <xdr:row>12</xdr:row>
      <xdr:rowOff>94192</xdr:rowOff>
    </xdr:to>
    <xdr:sp macro="[0]!draw_forest" textlink="">
      <xdr:nvSpPr>
        <xdr:cNvPr id="3" name="Rounded Rectangle 2"/>
        <xdr:cNvSpPr/>
      </xdr:nvSpPr>
      <xdr:spPr>
        <a:xfrm>
          <a:off x="1286933" y="1970617"/>
          <a:ext cx="1026584" cy="476250"/>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nchorCtr="0"/>
        <a:lstStyle/>
        <a:p>
          <a:pPr algn="ctr"/>
          <a:r>
            <a:rPr lang="en-CA" sz="1050" b="1"/>
            <a:t>Update</a:t>
          </a:r>
          <a:r>
            <a:rPr lang="en-CA" sz="1050" b="1" baseline="0"/>
            <a:t> Forest Plot</a:t>
          </a:r>
          <a:endParaRPr lang="en-CA" sz="1050" b="1"/>
        </a:p>
      </xdr:txBody>
    </xdr:sp>
    <xdr:clientData/>
  </xdr:twoCellAnchor>
  <xdr:twoCellAnchor editAs="oneCell">
    <xdr:from>
      <xdr:col>2</xdr:col>
      <xdr:colOff>818111</xdr:colOff>
      <xdr:row>4</xdr:row>
      <xdr:rowOff>34832</xdr:rowOff>
    </xdr:from>
    <xdr:to>
      <xdr:col>2</xdr:col>
      <xdr:colOff>1325711</xdr:colOff>
      <xdr:row>4</xdr:row>
      <xdr:rowOff>149165</xdr:rowOff>
    </xdr:to>
    <xdr:pic>
      <xdr:nvPicPr>
        <xdr:cNvPr id="4" name="Picture 3"/>
        <xdr:cNvPicPr preferRelativeResize="0">
          <a:picLocks noChangeArrowheads="1"/>
        </xdr:cNvPicPr>
      </xdr:nvPicPr>
      <xdr:blipFill>
        <a:blip xmlns:r="http://schemas.openxmlformats.org/officeDocument/2006/relationships" r:embed="rId2" cstate="print"/>
        <a:srcRect l="4018" t="34010" r="74595" b="29401"/>
        <a:stretch>
          <a:fillRect/>
        </a:stretch>
      </xdr:blipFill>
      <xdr:spPr bwMode="auto">
        <a:xfrm>
          <a:off x="1675361" y="820645"/>
          <a:ext cx="507600" cy="114333"/>
        </a:xfrm>
        <a:prstGeom prst="rect">
          <a:avLst/>
        </a:prstGeom>
        <a:noFill/>
        <a:ln w="1">
          <a:solidFill>
            <a:schemeClr val="tx1"/>
          </a:solidFill>
          <a:miter lim="800000"/>
          <a:headEnd/>
          <a:tailEnd type="none" w="med" len="med"/>
        </a:ln>
        <a:effectLst/>
      </xdr:spPr>
    </xdr:pic>
    <xdr:clientData/>
  </xdr:twoCellAnchor>
  <xdr:twoCellAnchor editAs="oneCell">
    <xdr:from>
      <xdr:col>2</xdr:col>
      <xdr:colOff>818111</xdr:colOff>
      <xdr:row>5</xdr:row>
      <xdr:rowOff>41672</xdr:rowOff>
    </xdr:from>
    <xdr:to>
      <xdr:col>2</xdr:col>
      <xdr:colOff>1326111</xdr:colOff>
      <xdr:row>5</xdr:row>
      <xdr:rowOff>156872</xdr:rowOff>
    </xdr:to>
    <xdr:pic>
      <xdr:nvPicPr>
        <xdr:cNvPr id="5" name="Picture 4"/>
        <xdr:cNvPicPr preferRelativeResize="0">
          <a:picLocks noChangeArrowheads="1"/>
        </xdr:cNvPicPr>
      </xdr:nvPicPr>
      <xdr:blipFill>
        <a:blip xmlns:r="http://schemas.openxmlformats.org/officeDocument/2006/relationships" r:embed="rId2" cstate="print"/>
        <a:srcRect l="78559" t="35299" b="27866"/>
        <a:stretch>
          <a:fillRect/>
        </a:stretch>
      </xdr:blipFill>
      <xdr:spPr bwMode="auto">
        <a:xfrm>
          <a:off x="1675361" y="1029891"/>
          <a:ext cx="508000" cy="115200"/>
        </a:xfrm>
        <a:prstGeom prst="rect">
          <a:avLst/>
        </a:prstGeom>
        <a:noFill/>
        <a:ln w="1">
          <a:solidFill>
            <a:schemeClr val="tx1"/>
          </a:solidFill>
          <a:miter lim="800000"/>
          <a:headEnd/>
          <a:tailEnd type="none" w="med" len="med"/>
        </a:ln>
        <a:effectLst/>
      </xdr:spPr>
    </xdr:pic>
    <xdr:clientData/>
  </xdr:twoCellAnchor>
  <xdr:twoCellAnchor>
    <xdr:from>
      <xdr:col>1</xdr:col>
      <xdr:colOff>285750</xdr:colOff>
      <xdr:row>13</xdr:row>
      <xdr:rowOff>85725</xdr:rowOff>
    </xdr:from>
    <xdr:to>
      <xdr:col>4</xdr:col>
      <xdr:colOff>162984</xdr:colOff>
      <xdr:row>18</xdr:row>
      <xdr:rowOff>133350</xdr:rowOff>
    </xdr:to>
    <xdr:sp macro="" textlink="">
      <xdr:nvSpPr>
        <xdr:cNvPr id="6" name="TextBox 5"/>
        <xdr:cNvSpPr txBox="1"/>
      </xdr:nvSpPr>
      <xdr:spPr>
        <a:xfrm>
          <a:off x="685800" y="2628900"/>
          <a:ext cx="4182534" cy="1000125"/>
        </a:xfrm>
        <a:prstGeom prst="rect">
          <a:avLst/>
        </a:prstGeom>
        <a:solidFill>
          <a:srgbClr val="0070C0"/>
        </a:solidFill>
        <a:ln w="9525" cmpd="sng">
          <a:solidFill>
            <a:sysClr val="windowText" lastClr="000000"/>
          </a:solidFill>
        </a:ln>
        <a:effectLst>
          <a:outerShdw blurRad="50800" dist="38100" dir="8100000" algn="tr"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CA" sz="900" b="1">
              <a:solidFill>
                <a:schemeClr val="bg1"/>
              </a:solidFill>
            </a:rPr>
            <a:t>Please</a:t>
          </a:r>
          <a:r>
            <a:rPr lang="en-CA" sz="900" b="1" baseline="0">
              <a:solidFill>
                <a:schemeClr val="bg1"/>
              </a:solidFill>
            </a:rPr>
            <a:t> n</a:t>
          </a:r>
          <a:r>
            <a:rPr lang="en-CA" sz="900" b="1">
              <a:solidFill>
                <a:schemeClr val="bg1"/>
              </a:solidFill>
            </a:rPr>
            <a:t>ote:</a:t>
          </a:r>
        </a:p>
        <a:p>
          <a:r>
            <a:rPr lang="en-CA" sz="900" b="1" baseline="0">
              <a:solidFill>
                <a:schemeClr val="bg1"/>
              </a:solidFill>
            </a:rPr>
            <a:t>The forest plot sorts the comparisons based on the treatment ranks from the "top" analysis.  In rare circumstances, two different model analyses may not rank treatments in the same order.  In these cases the results for the bottom analyses will be incorrect.  This bug will be fixed in the future.  Forest plots of a single analyses are not affected and are displayed correctly.</a:t>
          </a:r>
          <a:endParaRPr lang="en-CA" sz="900" b="1">
            <a:solidFill>
              <a:schemeClr val="bg1"/>
            </a:solidFill>
          </a:endParaRPr>
        </a:p>
      </xdr:txBody>
    </xdr:sp>
    <xdr:clientData/>
  </xdr:twoCellAnchor>
</xdr:wsDr>
</file>

<file path=xl/drawings/drawing8.xml><?xml version="1.0" encoding="utf-8"?>
<c:userShapes xmlns:c="http://schemas.openxmlformats.org/drawingml/2006/chart">
  <cdr:absSizeAnchor xmlns:cdr="http://schemas.openxmlformats.org/drawingml/2006/chartDrawing">
    <cdr:from>
      <cdr:x>0.5462</cdr:x>
      <cdr:y>0.94583</cdr:y>
    </cdr:from>
    <cdr:ext cx="508000" cy="165100"/>
    <cdr:pic>
      <cdr:nvPicPr>
        <cdr:cNvPr id="212" name="Picture 211" hidden="1"/>
        <cdr:cNvPicPr preferRelativeResize="0">
          <a:picLocks xmlns:a="http://schemas.openxmlformats.org/drawingml/2006/main" noChangeArrowheads="1"/>
        </cdr:cNvPicPr>
      </cdr:nvPicPr>
      <cdr:blipFill>
        <a:blip xmlns:a="http://schemas.openxmlformats.org/drawingml/2006/main" xmlns:r="http://schemas.openxmlformats.org/officeDocument/2006/relationships" r:embed="rId1" cstate="print"/>
        <a:srcRect xmlns:a="http://schemas.openxmlformats.org/drawingml/2006/main" l="78559" t="35299" b="27866"/>
        <a:stretch xmlns:a="http://schemas.openxmlformats.org/drawingml/2006/main">
          <a:fillRect/>
        </a:stretch>
      </cdr:blipFill>
      <cdr:spPr bwMode="auto">
        <a:xfrm xmlns:a="http://schemas.openxmlformats.org/drawingml/2006/main">
          <a:off x="3397268" y="5765800"/>
          <a:ext cx="508000" cy="165100"/>
        </a:xfrm>
        <a:prstGeom xmlns:a="http://schemas.openxmlformats.org/drawingml/2006/main" prst="rect">
          <a:avLst/>
        </a:prstGeom>
        <a:noFill xmlns:a="http://schemas.openxmlformats.org/drawingml/2006/main"/>
        <a:ln xmlns:a="http://schemas.openxmlformats.org/drawingml/2006/main" w="1">
          <a:noFill/>
          <a:miter lim="800000"/>
          <a:headEnd/>
          <a:tailEnd type="none" w="med" len="med"/>
        </a:ln>
        <a:effectLst xmlns:a="http://schemas.openxmlformats.org/drawingml/2006/main"/>
      </cdr:spPr>
    </cdr:pic>
  </cdr:absSizeAnchor>
  <cdr:absSizeAnchor xmlns:cdr="http://schemas.openxmlformats.org/drawingml/2006/chartDrawing">
    <cdr:from>
      <cdr:x>0.39814</cdr:x>
      <cdr:y>0.97619</cdr:y>
    </cdr:from>
    <cdr:ext cx="635000" cy="165100"/>
    <cdr:pic>
      <cdr:nvPicPr>
        <cdr:cNvPr id="211" name="Picture 210"/>
        <cdr:cNvPicPr preferRelativeResize="0">
          <a:picLocks xmlns:a="http://schemas.openxmlformats.org/drawingml/2006/main" noChangeArrowheads="1"/>
        </cdr:cNvPicPr>
      </cdr:nvPicPr>
      <cdr:blipFill>
        <a:blip xmlns:a="http://schemas.openxmlformats.org/drawingml/2006/main" xmlns:r="http://schemas.openxmlformats.org/officeDocument/2006/relationships" r:embed="rId1" cstate="print"/>
        <a:srcRect xmlns:a="http://schemas.openxmlformats.org/drawingml/2006/main" t="30695" r="74595" b="29401"/>
        <a:stretch xmlns:a="http://schemas.openxmlformats.org/drawingml/2006/main">
          <a:fillRect/>
        </a:stretch>
      </cdr:blipFill>
      <cdr:spPr bwMode="auto">
        <a:xfrm xmlns:a="http://schemas.openxmlformats.org/drawingml/2006/main">
          <a:off x="2476364" y="14319250"/>
          <a:ext cx="635000" cy="165100"/>
        </a:xfrm>
        <a:prstGeom xmlns:a="http://schemas.openxmlformats.org/drawingml/2006/main" prst="rect">
          <a:avLst/>
        </a:prstGeom>
        <a:noFill xmlns:a="http://schemas.openxmlformats.org/drawingml/2006/main"/>
        <a:ln xmlns:a="http://schemas.openxmlformats.org/drawingml/2006/main" w="1">
          <a:noFill/>
          <a:miter lim="800000"/>
          <a:headEnd/>
          <a:tailEnd type="none" w="med" len="med"/>
        </a:ln>
        <a:effectLst xmlns:a="http://schemas.openxmlformats.org/drawingml/2006/main"/>
      </cdr:spPr>
    </cdr:pic>
  </cdr:absSizeAnchor>
  <cdr:relSizeAnchor xmlns:cdr="http://schemas.openxmlformats.org/drawingml/2006/chartDrawing">
    <cdr:from>
      <cdr:x>0.01021</cdr:x>
      <cdr:y>0.90823</cdr:y>
    </cdr:from>
    <cdr:to>
      <cdr:x>0.31649</cdr:x>
      <cdr:y>0.94286</cdr:y>
    </cdr:to>
    <cdr:sp macro="" textlink="">
      <cdr:nvSpPr>
        <cdr:cNvPr id="2" name="TextBox 1"/>
        <cdr:cNvSpPr txBox="1"/>
      </cdr:nvSpPr>
      <cdr:spPr>
        <a:xfrm xmlns:a="http://schemas.openxmlformats.org/drawingml/2006/main">
          <a:off x="63500" y="133223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IBUPO versus PARAPO</a:t>
          </a:r>
        </a:p>
      </cdr:txBody>
    </cdr:sp>
  </cdr:relSizeAnchor>
  <cdr:relSizeAnchor xmlns:cdr="http://schemas.openxmlformats.org/drawingml/2006/chartDrawing">
    <cdr:from>
      <cdr:x>0.75498</cdr:x>
      <cdr:y>0.90823</cdr:y>
    </cdr:from>
    <cdr:to>
      <cdr:x>1</cdr:x>
      <cdr:y>0.92554</cdr:y>
    </cdr:to>
    <cdr:sp macro="" textlink="">
      <cdr:nvSpPr>
        <cdr:cNvPr id="3" name="TextBox 2"/>
        <cdr:cNvSpPr txBox="1"/>
      </cdr:nvSpPr>
      <cdr:spPr>
        <a:xfrm xmlns:a="http://schemas.openxmlformats.org/drawingml/2006/main">
          <a:off x="4815044" y="133223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1.09 (0.47 – 2.65)</a:t>
          </a:r>
        </a:p>
      </cdr:txBody>
    </cdr:sp>
  </cdr:relSizeAnchor>
  <cdr:relSizeAnchor xmlns:cdr="http://schemas.openxmlformats.org/drawingml/2006/chartDrawing">
    <cdr:from>
      <cdr:x>0.01021</cdr:x>
      <cdr:y>0.87619</cdr:y>
    </cdr:from>
    <cdr:to>
      <cdr:x>0.31649</cdr:x>
      <cdr:y>0.91082</cdr:y>
    </cdr:to>
    <cdr:sp macro="" textlink="">
      <cdr:nvSpPr>
        <cdr:cNvPr id="4" name="TextBox 3"/>
        <cdr:cNvSpPr txBox="1"/>
      </cdr:nvSpPr>
      <cdr:spPr>
        <a:xfrm xmlns:a="http://schemas.openxmlformats.org/drawingml/2006/main">
          <a:off x="63500" y="128524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INDOTHERS versus PLAC_NORX</a:t>
          </a:r>
        </a:p>
      </cdr:txBody>
    </cdr:sp>
  </cdr:relSizeAnchor>
  <cdr:relSizeAnchor xmlns:cdr="http://schemas.openxmlformats.org/drawingml/2006/chartDrawing">
    <cdr:from>
      <cdr:x>0.75498</cdr:x>
      <cdr:y>0.87619</cdr:y>
    </cdr:from>
    <cdr:to>
      <cdr:x>1</cdr:x>
      <cdr:y>0.89351</cdr:y>
    </cdr:to>
    <cdr:sp macro="" textlink="">
      <cdr:nvSpPr>
        <cdr:cNvPr id="5" name="TextBox 4"/>
        <cdr:cNvSpPr txBox="1"/>
      </cdr:nvSpPr>
      <cdr:spPr>
        <a:xfrm xmlns:a="http://schemas.openxmlformats.org/drawingml/2006/main">
          <a:off x="4815044" y="128524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0.98 (0.50 – 1.92)</a:t>
          </a:r>
        </a:p>
      </cdr:txBody>
    </cdr:sp>
  </cdr:relSizeAnchor>
  <cdr:relSizeAnchor xmlns:cdr="http://schemas.openxmlformats.org/drawingml/2006/chartDrawing">
    <cdr:from>
      <cdr:x>0.01021</cdr:x>
      <cdr:y>0.84416</cdr:y>
    </cdr:from>
    <cdr:to>
      <cdr:x>0.31649</cdr:x>
      <cdr:y>0.87879</cdr:y>
    </cdr:to>
    <cdr:sp macro="" textlink="">
      <cdr:nvSpPr>
        <cdr:cNvPr id="6" name="TextBox 5"/>
        <cdr:cNvSpPr txBox="1"/>
      </cdr:nvSpPr>
      <cdr:spPr>
        <a:xfrm xmlns:a="http://schemas.openxmlformats.org/drawingml/2006/main">
          <a:off x="63500" y="123825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IBUIVCONT versus INDOTHERS</a:t>
          </a:r>
        </a:p>
      </cdr:txBody>
    </cdr:sp>
  </cdr:relSizeAnchor>
  <cdr:relSizeAnchor xmlns:cdr="http://schemas.openxmlformats.org/drawingml/2006/chartDrawing">
    <cdr:from>
      <cdr:x>0.75498</cdr:x>
      <cdr:y>0.84416</cdr:y>
    </cdr:from>
    <cdr:to>
      <cdr:x>1</cdr:x>
      <cdr:y>0.86147</cdr:y>
    </cdr:to>
    <cdr:sp macro="" textlink="">
      <cdr:nvSpPr>
        <cdr:cNvPr id="7" name="TextBox 6"/>
        <cdr:cNvSpPr txBox="1"/>
      </cdr:nvSpPr>
      <cdr:spPr>
        <a:xfrm xmlns:a="http://schemas.openxmlformats.org/drawingml/2006/main">
          <a:off x="4815044" y="123825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0.91 (0.25 – 3.22)</a:t>
          </a:r>
        </a:p>
      </cdr:txBody>
    </cdr:sp>
  </cdr:relSizeAnchor>
  <cdr:relSizeAnchor xmlns:cdr="http://schemas.openxmlformats.org/drawingml/2006/chartDrawing">
    <cdr:from>
      <cdr:x>0.01021</cdr:x>
      <cdr:y>0.81212</cdr:y>
    </cdr:from>
    <cdr:to>
      <cdr:x>0.31649</cdr:x>
      <cdr:y>0.84675</cdr:y>
    </cdr:to>
    <cdr:sp macro="" textlink="">
      <cdr:nvSpPr>
        <cdr:cNvPr id="8" name="TextBox 7"/>
        <cdr:cNvSpPr txBox="1"/>
      </cdr:nvSpPr>
      <cdr:spPr>
        <a:xfrm xmlns:a="http://schemas.openxmlformats.org/drawingml/2006/main">
          <a:off x="63500" y="119126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INDOIV versus IBUIV</a:t>
          </a:r>
        </a:p>
      </cdr:txBody>
    </cdr:sp>
  </cdr:relSizeAnchor>
  <cdr:relSizeAnchor xmlns:cdr="http://schemas.openxmlformats.org/drawingml/2006/chartDrawing">
    <cdr:from>
      <cdr:x>0.75498</cdr:x>
      <cdr:y>0.81212</cdr:y>
    </cdr:from>
    <cdr:to>
      <cdr:x>1</cdr:x>
      <cdr:y>0.82944</cdr:y>
    </cdr:to>
    <cdr:sp macro="" textlink="">
      <cdr:nvSpPr>
        <cdr:cNvPr id="9" name="TextBox 8"/>
        <cdr:cNvSpPr txBox="1"/>
      </cdr:nvSpPr>
      <cdr:spPr>
        <a:xfrm xmlns:a="http://schemas.openxmlformats.org/drawingml/2006/main">
          <a:off x="4815044" y="119126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0.91 (0.65 – 1.28)</a:t>
          </a:r>
        </a:p>
      </cdr:txBody>
    </cdr:sp>
  </cdr:relSizeAnchor>
  <cdr:relSizeAnchor xmlns:cdr="http://schemas.openxmlformats.org/drawingml/2006/chartDrawing">
    <cdr:from>
      <cdr:x>0.01021</cdr:x>
      <cdr:y>0.78095</cdr:y>
    </cdr:from>
    <cdr:to>
      <cdr:x>0.31649</cdr:x>
      <cdr:y>0.81558</cdr:y>
    </cdr:to>
    <cdr:sp macro="" textlink="">
      <cdr:nvSpPr>
        <cdr:cNvPr id="10" name="TextBox 9"/>
        <cdr:cNvSpPr txBox="1"/>
      </cdr:nvSpPr>
      <cdr:spPr>
        <a:xfrm xmlns:a="http://schemas.openxmlformats.org/drawingml/2006/main">
          <a:off x="63500" y="114554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IBUIVCONT versus PLAC_NORX</a:t>
          </a:r>
        </a:p>
      </cdr:txBody>
    </cdr:sp>
  </cdr:relSizeAnchor>
  <cdr:relSizeAnchor xmlns:cdr="http://schemas.openxmlformats.org/drawingml/2006/chartDrawing">
    <cdr:from>
      <cdr:x>0.75498</cdr:x>
      <cdr:y>0.78095</cdr:y>
    </cdr:from>
    <cdr:to>
      <cdr:x>1</cdr:x>
      <cdr:y>0.79827</cdr:y>
    </cdr:to>
    <cdr:sp macro="" textlink="">
      <cdr:nvSpPr>
        <cdr:cNvPr id="11" name="TextBox 10"/>
        <cdr:cNvSpPr txBox="1"/>
      </cdr:nvSpPr>
      <cdr:spPr>
        <a:xfrm xmlns:a="http://schemas.openxmlformats.org/drawingml/2006/main">
          <a:off x="4815044" y="114554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0.90 (0.28 – 2.88)</a:t>
          </a:r>
        </a:p>
      </cdr:txBody>
    </cdr:sp>
  </cdr:relSizeAnchor>
  <cdr:relSizeAnchor xmlns:cdr="http://schemas.openxmlformats.org/drawingml/2006/chartDrawing">
    <cdr:from>
      <cdr:x>0.01021</cdr:x>
      <cdr:y>0.74892</cdr:y>
    </cdr:from>
    <cdr:to>
      <cdr:x>0.31649</cdr:x>
      <cdr:y>0.78355</cdr:y>
    </cdr:to>
    <cdr:sp macro="" textlink="">
      <cdr:nvSpPr>
        <cdr:cNvPr id="12" name="TextBox 11"/>
        <cdr:cNvSpPr txBox="1"/>
      </cdr:nvSpPr>
      <cdr:spPr>
        <a:xfrm xmlns:a="http://schemas.openxmlformats.org/drawingml/2006/main">
          <a:off x="63500" y="109855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 versus IBUIVCONT</a:t>
          </a:r>
        </a:p>
      </cdr:txBody>
    </cdr:sp>
  </cdr:relSizeAnchor>
  <cdr:relSizeAnchor xmlns:cdr="http://schemas.openxmlformats.org/drawingml/2006/chartDrawing">
    <cdr:from>
      <cdr:x>0.75498</cdr:x>
      <cdr:y>0.74892</cdr:y>
    </cdr:from>
    <cdr:to>
      <cdr:x>1</cdr:x>
      <cdr:y>0.76623</cdr:y>
    </cdr:to>
    <cdr:sp macro="" textlink="">
      <cdr:nvSpPr>
        <cdr:cNvPr id="13" name="TextBox 12"/>
        <cdr:cNvSpPr txBox="1"/>
      </cdr:nvSpPr>
      <cdr:spPr>
        <a:xfrm xmlns:a="http://schemas.openxmlformats.org/drawingml/2006/main">
          <a:off x="4815044" y="109855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0.88 (0.31 – 2.55)</a:t>
          </a:r>
        </a:p>
      </cdr:txBody>
    </cdr:sp>
  </cdr:relSizeAnchor>
  <cdr:relSizeAnchor xmlns:cdr="http://schemas.openxmlformats.org/drawingml/2006/chartDrawing">
    <cdr:from>
      <cdr:x>0.01021</cdr:x>
      <cdr:y>0.71688</cdr:y>
    </cdr:from>
    <cdr:to>
      <cdr:x>0.31649</cdr:x>
      <cdr:y>0.75152</cdr:y>
    </cdr:to>
    <cdr:sp macro="" textlink="">
      <cdr:nvSpPr>
        <cdr:cNvPr id="14" name="TextBox 13"/>
        <cdr:cNvSpPr txBox="1"/>
      </cdr:nvSpPr>
      <cdr:spPr>
        <a:xfrm xmlns:a="http://schemas.openxmlformats.org/drawingml/2006/main">
          <a:off x="63500" y="105156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 versus INDOTHERS</a:t>
          </a:r>
        </a:p>
      </cdr:txBody>
    </cdr:sp>
  </cdr:relSizeAnchor>
  <cdr:relSizeAnchor xmlns:cdr="http://schemas.openxmlformats.org/drawingml/2006/chartDrawing">
    <cdr:from>
      <cdr:x>0.75498</cdr:x>
      <cdr:y>0.71688</cdr:y>
    </cdr:from>
    <cdr:to>
      <cdr:x>1</cdr:x>
      <cdr:y>0.7342</cdr:y>
    </cdr:to>
    <cdr:sp macro="" textlink="">
      <cdr:nvSpPr>
        <cdr:cNvPr id="15" name="TextBox 14"/>
        <cdr:cNvSpPr txBox="1"/>
      </cdr:nvSpPr>
      <cdr:spPr>
        <a:xfrm xmlns:a="http://schemas.openxmlformats.org/drawingml/2006/main">
          <a:off x="4815044" y="105156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0.81 (0.43 – 1.54)</a:t>
          </a:r>
        </a:p>
      </cdr:txBody>
    </cdr:sp>
  </cdr:relSizeAnchor>
  <cdr:relSizeAnchor xmlns:cdr="http://schemas.openxmlformats.org/drawingml/2006/chartDrawing">
    <cdr:from>
      <cdr:x>0.01021</cdr:x>
      <cdr:y>0.68485</cdr:y>
    </cdr:from>
    <cdr:to>
      <cdr:x>0.31649</cdr:x>
      <cdr:y>0.71948</cdr:y>
    </cdr:to>
    <cdr:sp macro="" textlink="">
      <cdr:nvSpPr>
        <cdr:cNvPr id="16" name="TextBox 15"/>
        <cdr:cNvSpPr txBox="1"/>
      </cdr:nvSpPr>
      <cdr:spPr>
        <a:xfrm xmlns:a="http://schemas.openxmlformats.org/drawingml/2006/main">
          <a:off x="63500" y="100457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INDOIV versus IBUIVCONT</a:t>
          </a:r>
        </a:p>
      </cdr:txBody>
    </cdr:sp>
  </cdr:relSizeAnchor>
  <cdr:relSizeAnchor xmlns:cdr="http://schemas.openxmlformats.org/drawingml/2006/chartDrawing">
    <cdr:from>
      <cdr:x>0.75498</cdr:x>
      <cdr:y>0.68485</cdr:y>
    </cdr:from>
    <cdr:to>
      <cdr:x>1</cdr:x>
      <cdr:y>0.70216</cdr:y>
    </cdr:to>
    <cdr:sp macro="" textlink="">
      <cdr:nvSpPr>
        <cdr:cNvPr id="17" name="TextBox 16"/>
        <cdr:cNvSpPr txBox="1"/>
      </cdr:nvSpPr>
      <cdr:spPr>
        <a:xfrm xmlns:a="http://schemas.openxmlformats.org/drawingml/2006/main">
          <a:off x="4815044" y="100457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0.80 (0.27 – 2.47)</a:t>
          </a:r>
        </a:p>
      </cdr:txBody>
    </cdr:sp>
  </cdr:relSizeAnchor>
  <cdr:relSizeAnchor xmlns:cdr="http://schemas.openxmlformats.org/drawingml/2006/chartDrawing">
    <cdr:from>
      <cdr:x>0.01021</cdr:x>
      <cdr:y>0.65281</cdr:y>
    </cdr:from>
    <cdr:to>
      <cdr:x>0.31649</cdr:x>
      <cdr:y>0.68745</cdr:y>
    </cdr:to>
    <cdr:sp macro="" textlink="">
      <cdr:nvSpPr>
        <cdr:cNvPr id="18" name="TextBox 17"/>
        <cdr:cNvSpPr txBox="1"/>
      </cdr:nvSpPr>
      <cdr:spPr>
        <a:xfrm xmlns:a="http://schemas.openxmlformats.org/drawingml/2006/main">
          <a:off x="63500" y="95758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 versus PLAC_NORX</a:t>
          </a:r>
        </a:p>
      </cdr:txBody>
    </cdr:sp>
  </cdr:relSizeAnchor>
  <cdr:relSizeAnchor xmlns:cdr="http://schemas.openxmlformats.org/drawingml/2006/chartDrawing">
    <cdr:from>
      <cdr:x>0.75498</cdr:x>
      <cdr:y>0.65281</cdr:y>
    </cdr:from>
    <cdr:to>
      <cdr:x>1</cdr:x>
      <cdr:y>0.67013</cdr:y>
    </cdr:to>
    <cdr:sp macro="" textlink="">
      <cdr:nvSpPr>
        <cdr:cNvPr id="19" name="TextBox 18"/>
        <cdr:cNvSpPr txBox="1"/>
      </cdr:nvSpPr>
      <cdr:spPr>
        <a:xfrm xmlns:a="http://schemas.openxmlformats.org/drawingml/2006/main">
          <a:off x="4815044" y="95758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0.80 (0.48 – 1.32)</a:t>
          </a:r>
        </a:p>
      </cdr:txBody>
    </cdr:sp>
  </cdr:relSizeAnchor>
  <cdr:relSizeAnchor xmlns:cdr="http://schemas.openxmlformats.org/drawingml/2006/chartDrawing">
    <cdr:from>
      <cdr:x>0.01021</cdr:x>
      <cdr:y>0.62165</cdr:y>
    </cdr:from>
    <cdr:to>
      <cdr:x>0.31649</cdr:x>
      <cdr:y>0.65628</cdr:y>
    </cdr:to>
    <cdr:sp macro="" textlink="">
      <cdr:nvSpPr>
        <cdr:cNvPr id="20" name="TextBox 19"/>
        <cdr:cNvSpPr txBox="1"/>
      </cdr:nvSpPr>
      <cdr:spPr>
        <a:xfrm xmlns:a="http://schemas.openxmlformats.org/drawingml/2006/main">
          <a:off x="63500" y="91186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INDOIV versus INDOTHERS</a:t>
          </a:r>
        </a:p>
      </cdr:txBody>
    </cdr:sp>
  </cdr:relSizeAnchor>
  <cdr:relSizeAnchor xmlns:cdr="http://schemas.openxmlformats.org/drawingml/2006/chartDrawing">
    <cdr:from>
      <cdr:x>0.75498</cdr:x>
      <cdr:y>0.62165</cdr:y>
    </cdr:from>
    <cdr:to>
      <cdr:x>1</cdr:x>
      <cdr:y>0.63896</cdr:y>
    </cdr:to>
    <cdr:sp macro="" textlink="">
      <cdr:nvSpPr>
        <cdr:cNvPr id="21" name="TextBox 20"/>
        <cdr:cNvSpPr txBox="1"/>
      </cdr:nvSpPr>
      <cdr:spPr>
        <a:xfrm xmlns:a="http://schemas.openxmlformats.org/drawingml/2006/main">
          <a:off x="4815044" y="91186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0.74 (0.43 – 1.27)</a:t>
          </a:r>
        </a:p>
      </cdr:txBody>
    </cdr:sp>
  </cdr:relSizeAnchor>
  <cdr:relSizeAnchor xmlns:cdr="http://schemas.openxmlformats.org/drawingml/2006/chartDrawing">
    <cdr:from>
      <cdr:x>0.01021</cdr:x>
      <cdr:y>0.58961</cdr:y>
    </cdr:from>
    <cdr:to>
      <cdr:x>0.31649</cdr:x>
      <cdr:y>0.62424</cdr:y>
    </cdr:to>
    <cdr:sp macro="" textlink="">
      <cdr:nvSpPr>
        <cdr:cNvPr id="22" name="TextBox 21"/>
        <cdr:cNvSpPr txBox="1"/>
      </cdr:nvSpPr>
      <cdr:spPr>
        <a:xfrm xmlns:a="http://schemas.openxmlformats.org/drawingml/2006/main">
          <a:off x="63500" y="86487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INDOIV versus PLAC_NORX</a:t>
          </a:r>
        </a:p>
      </cdr:txBody>
    </cdr:sp>
  </cdr:relSizeAnchor>
  <cdr:relSizeAnchor xmlns:cdr="http://schemas.openxmlformats.org/drawingml/2006/chartDrawing">
    <cdr:from>
      <cdr:x>0.75498</cdr:x>
      <cdr:y>0.58961</cdr:y>
    </cdr:from>
    <cdr:to>
      <cdr:x>1</cdr:x>
      <cdr:y>0.60693</cdr:y>
    </cdr:to>
    <cdr:sp macro="" textlink="">
      <cdr:nvSpPr>
        <cdr:cNvPr id="23" name="TextBox 22"/>
        <cdr:cNvSpPr txBox="1"/>
      </cdr:nvSpPr>
      <cdr:spPr>
        <a:xfrm xmlns:a="http://schemas.openxmlformats.org/drawingml/2006/main">
          <a:off x="4815044" y="86487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0.73 (0.45 – 1.12)</a:t>
          </a:r>
        </a:p>
      </cdr:txBody>
    </cdr:sp>
  </cdr:relSizeAnchor>
  <cdr:relSizeAnchor xmlns:cdr="http://schemas.openxmlformats.org/drawingml/2006/chartDrawing">
    <cdr:from>
      <cdr:x>0.01021</cdr:x>
      <cdr:y>0.55758</cdr:y>
    </cdr:from>
    <cdr:to>
      <cdr:x>0.31649</cdr:x>
      <cdr:y>0.59221</cdr:y>
    </cdr:to>
    <cdr:sp macro="" textlink="">
      <cdr:nvSpPr>
        <cdr:cNvPr id="24" name="TextBox 23"/>
        <cdr:cNvSpPr txBox="1"/>
      </cdr:nvSpPr>
      <cdr:spPr>
        <a:xfrm xmlns:a="http://schemas.openxmlformats.org/drawingml/2006/main">
          <a:off x="63500" y="81788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IBUPO versus INDOIV</a:t>
          </a:r>
        </a:p>
      </cdr:txBody>
    </cdr:sp>
  </cdr:relSizeAnchor>
  <cdr:relSizeAnchor xmlns:cdr="http://schemas.openxmlformats.org/drawingml/2006/chartDrawing">
    <cdr:from>
      <cdr:x>0.75498</cdr:x>
      <cdr:y>0.55758</cdr:y>
    </cdr:from>
    <cdr:to>
      <cdr:x>1</cdr:x>
      <cdr:y>0.57489</cdr:y>
    </cdr:to>
    <cdr:sp macro="" textlink="">
      <cdr:nvSpPr>
        <cdr:cNvPr id="25" name="TextBox 24"/>
        <cdr:cNvSpPr txBox="1"/>
      </cdr:nvSpPr>
      <cdr:spPr>
        <a:xfrm xmlns:a="http://schemas.openxmlformats.org/drawingml/2006/main">
          <a:off x="4815044" y="81788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0.68 (0.40 – 1.14)</a:t>
          </a:r>
        </a:p>
      </cdr:txBody>
    </cdr:sp>
  </cdr:relSizeAnchor>
  <cdr:relSizeAnchor xmlns:cdr="http://schemas.openxmlformats.org/drawingml/2006/chartDrawing">
    <cdr:from>
      <cdr:x>0.01021</cdr:x>
      <cdr:y>0.52554</cdr:y>
    </cdr:from>
    <cdr:to>
      <cdr:x>0.31649</cdr:x>
      <cdr:y>0.56017</cdr:y>
    </cdr:to>
    <cdr:sp macro="" textlink="">
      <cdr:nvSpPr>
        <cdr:cNvPr id="26" name="TextBox 25"/>
        <cdr:cNvSpPr txBox="1"/>
      </cdr:nvSpPr>
      <cdr:spPr>
        <a:xfrm xmlns:a="http://schemas.openxmlformats.org/drawingml/2006/main">
          <a:off x="63500" y="77089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PARAPO versus INDOIV</a:t>
          </a:r>
        </a:p>
      </cdr:txBody>
    </cdr:sp>
  </cdr:relSizeAnchor>
  <cdr:relSizeAnchor xmlns:cdr="http://schemas.openxmlformats.org/drawingml/2006/chartDrawing">
    <cdr:from>
      <cdr:x>0.75498</cdr:x>
      <cdr:y>0.52554</cdr:y>
    </cdr:from>
    <cdr:to>
      <cdr:x>1</cdr:x>
      <cdr:y>0.54286</cdr:y>
    </cdr:to>
    <cdr:sp macro="" textlink="">
      <cdr:nvSpPr>
        <cdr:cNvPr id="27" name="TextBox 26"/>
        <cdr:cNvSpPr txBox="1"/>
      </cdr:nvSpPr>
      <cdr:spPr>
        <a:xfrm xmlns:a="http://schemas.openxmlformats.org/drawingml/2006/main">
          <a:off x="4815044" y="77089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0.63 (0.25 – 1.53)</a:t>
          </a:r>
        </a:p>
      </cdr:txBody>
    </cdr:sp>
  </cdr:relSizeAnchor>
  <cdr:relSizeAnchor xmlns:cdr="http://schemas.openxmlformats.org/drawingml/2006/chartDrawing">
    <cdr:from>
      <cdr:x>0.01021</cdr:x>
      <cdr:y>0.49437</cdr:y>
    </cdr:from>
    <cdr:to>
      <cdr:x>0.31649</cdr:x>
      <cdr:y>0.529</cdr:y>
    </cdr:to>
    <cdr:sp macro="" textlink="">
      <cdr:nvSpPr>
        <cdr:cNvPr id="28" name="TextBox 27"/>
        <cdr:cNvSpPr txBox="1"/>
      </cdr:nvSpPr>
      <cdr:spPr>
        <a:xfrm xmlns:a="http://schemas.openxmlformats.org/drawingml/2006/main">
          <a:off x="63500" y="72517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IBUPO versus IBUIV</a:t>
          </a:r>
        </a:p>
      </cdr:txBody>
    </cdr:sp>
  </cdr:relSizeAnchor>
  <cdr:relSizeAnchor xmlns:cdr="http://schemas.openxmlformats.org/drawingml/2006/chartDrawing">
    <cdr:from>
      <cdr:x>0.75498</cdr:x>
      <cdr:y>0.49437</cdr:y>
    </cdr:from>
    <cdr:to>
      <cdr:x>1</cdr:x>
      <cdr:y>0.51169</cdr:y>
    </cdr:to>
    <cdr:sp macro="" textlink="">
      <cdr:nvSpPr>
        <cdr:cNvPr id="29" name="TextBox 28"/>
        <cdr:cNvSpPr txBox="1"/>
      </cdr:nvSpPr>
      <cdr:spPr>
        <a:xfrm xmlns:a="http://schemas.openxmlformats.org/drawingml/2006/main">
          <a:off x="4815044" y="72517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0.62 (0.36 – 1.03)</a:t>
          </a:r>
        </a:p>
      </cdr:txBody>
    </cdr:sp>
  </cdr:relSizeAnchor>
  <cdr:relSizeAnchor xmlns:cdr="http://schemas.openxmlformats.org/drawingml/2006/chartDrawing">
    <cdr:from>
      <cdr:x>0.01021</cdr:x>
      <cdr:y>0.46234</cdr:y>
    </cdr:from>
    <cdr:to>
      <cdr:x>0.31649</cdr:x>
      <cdr:y>0.49697</cdr:y>
    </cdr:to>
    <cdr:sp macro="" textlink="">
      <cdr:nvSpPr>
        <cdr:cNvPr id="30" name="TextBox 29"/>
        <cdr:cNvSpPr txBox="1"/>
      </cdr:nvSpPr>
      <cdr:spPr>
        <a:xfrm xmlns:a="http://schemas.openxmlformats.org/drawingml/2006/main">
          <a:off x="63500" y="67818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PLAC_NORX versus IBUIVHIGHDOSE</a:t>
          </a:r>
        </a:p>
      </cdr:txBody>
    </cdr:sp>
  </cdr:relSizeAnchor>
  <cdr:relSizeAnchor xmlns:cdr="http://schemas.openxmlformats.org/drawingml/2006/chartDrawing">
    <cdr:from>
      <cdr:x>0.75498</cdr:x>
      <cdr:y>0.46234</cdr:y>
    </cdr:from>
    <cdr:to>
      <cdr:x>1</cdr:x>
      <cdr:y>0.47965</cdr:y>
    </cdr:to>
    <cdr:sp macro="" textlink="">
      <cdr:nvSpPr>
        <cdr:cNvPr id="31" name="TextBox 30"/>
        <cdr:cNvSpPr txBox="1"/>
      </cdr:nvSpPr>
      <cdr:spPr>
        <a:xfrm xmlns:a="http://schemas.openxmlformats.org/drawingml/2006/main">
          <a:off x="4815044" y="67818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0.58 (0.17 – 2.02)</a:t>
          </a:r>
        </a:p>
      </cdr:txBody>
    </cdr:sp>
  </cdr:relSizeAnchor>
  <cdr:relSizeAnchor xmlns:cdr="http://schemas.openxmlformats.org/drawingml/2006/chartDrawing">
    <cdr:from>
      <cdr:x>0.01021</cdr:x>
      <cdr:y>0.4303</cdr:y>
    </cdr:from>
    <cdr:to>
      <cdr:x>0.31649</cdr:x>
      <cdr:y>0.46494</cdr:y>
    </cdr:to>
    <cdr:sp macro="" textlink="">
      <cdr:nvSpPr>
        <cdr:cNvPr id="192" name="TextBox 191"/>
        <cdr:cNvSpPr txBox="1"/>
      </cdr:nvSpPr>
      <cdr:spPr>
        <a:xfrm xmlns:a="http://schemas.openxmlformats.org/drawingml/2006/main">
          <a:off x="63500" y="63119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PARAPO versus IBUIV</a:t>
          </a:r>
        </a:p>
      </cdr:txBody>
    </cdr:sp>
  </cdr:relSizeAnchor>
  <cdr:relSizeAnchor xmlns:cdr="http://schemas.openxmlformats.org/drawingml/2006/chartDrawing">
    <cdr:from>
      <cdr:x>0.75498</cdr:x>
      <cdr:y>0.4303</cdr:y>
    </cdr:from>
    <cdr:to>
      <cdr:x>1</cdr:x>
      <cdr:y>0.44762</cdr:y>
    </cdr:to>
    <cdr:sp macro="" textlink="">
      <cdr:nvSpPr>
        <cdr:cNvPr id="193" name="TextBox 192"/>
        <cdr:cNvSpPr txBox="1"/>
      </cdr:nvSpPr>
      <cdr:spPr>
        <a:xfrm xmlns:a="http://schemas.openxmlformats.org/drawingml/2006/main">
          <a:off x="4815044" y="63119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0.57 (0.22 – 1.38)</a:t>
          </a:r>
        </a:p>
      </cdr:txBody>
    </cdr:sp>
  </cdr:relSizeAnchor>
  <cdr:relSizeAnchor xmlns:cdr="http://schemas.openxmlformats.org/drawingml/2006/chartDrawing">
    <cdr:from>
      <cdr:x>0.01021</cdr:x>
      <cdr:y>0.39827</cdr:y>
    </cdr:from>
    <cdr:to>
      <cdr:x>0.31649</cdr:x>
      <cdr:y>0.4329</cdr:y>
    </cdr:to>
    <cdr:sp macro="" textlink="">
      <cdr:nvSpPr>
        <cdr:cNvPr id="194" name="TextBox 193"/>
        <cdr:cNvSpPr txBox="1"/>
      </cdr:nvSpPr>
      <cdr:spPr>
        <a:xfrm xmlns:a="http://schemas.openxmlformats.org/drawingml/2006/main">
          <a:off x="63500" y="58420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INDOTHERS versus IBUIVHIGHDOSE</a:t>
          </a:r>
        </a:p>
      </cdr:txBody>
    </cdr:sp>
  </cdr:relSizeAnchor>
  <cdr:relSizeAnchor xmlns:cdr="http://schemas.openxmlformats.org/drawingml/2006/chartDrawing">
    <cdr:from>
      <cdr:x>0.75498</cdr:x>
      <cdr:y>0.39827</cdr:y>
    </cdr:from>
    <cdr:to>
      <cdr:x>1</cdr:x>
      <cdr:y>0.41558</cdr:y>
    </cdr:to>
    <cdr:sp macro="" textlink="">
      <cdr:nvSpPr>
        <cdr:cNvPr id="195" name="TextBox 194"/>
        <cdr:cNvSpPr txBox="1"/>
      </cdr:nvSpPr>
      <cdr:spPr>
        <a:xfrm xmlns:a="http://schemas.openxmlformats.org/drawingml/2006/main">
          <a:off x="4815044" y="58420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0.57 (0.16 – 2.11)</a:t>
          </a:r>
        </a:p>
      </cdr:txBody>
    </cdr:sp>
  </cdr:relSizeAnchor>
  <cdr:relSizeAnchor xmlns:cdr="http://schemas.openxmlformats.org/drawingml/2006/chartDrawing">
    <cdr:from>
      <cdr:x>0.01021</cdr:x>
      <cdr:y>0.36623</cdr:y>
    </cdr:from>
    <cdr:to>
      <cdr:x>0.31649</cdr:x>
      <cdr:y>0.40087</cdr:y>
    </cdr:to>
    <cdr:sp macro="" textlink="">
      <cdr:nvSpPr>
        <cdr:cNvPr id="196" name="TextBox 195"/>
        <cdr:cNvSpPr txBox="1"/>
      </cdr:nvSpPr>
      <cdr:spPr>
        <a:xfrm xmlns:a="http://schemas.openxmlformats.org/drawingml/2006/main">
          <a:off x="63500" y="53721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IBUPO versus IBUIVCONT</a:t>
          </a:r>
        </a:p>
      </cdr:txBody>
    </cdr:sp>
  </cdr:relSizeAnchor>
  <cdr:relSizeAnchor xmlns:cdr="http://schemas.openxmlformats.org/drawingml/2006/chartDrawing">
    <cdr:from>
      <cdr:x>0.75498</cdr:x>
      <cdr:y>0.36623</cdr:y>
    </cdr:from>
    <cdr:to>
      <cdr:x>1</cdr:x>
      <cdr:y>0.38355</cdr:y>
    </cdr:to>
    <cdr:sp macro="" textlink="">
      <cdr:nvSpPr>
        <cdr:cNvPr id="197" name="TextBox 196"/>
        <cdr:cNvSpPr txBox="1"/>
      </cdr:nvSpPr>
      <cdr:spPr>
        <a:xfrm xmlns:a="http://schemas.openxmlformats.org/drawingml/2006/main">
          <a:off x="4815044" y="53721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0.55 (0.17 – 1.83)</a:t>
          </a:r>
        </a:p>
      </cdr:txBody>
    </cdr:sp>
  </cdr:relSizeAnchor>
  <cdr:relSizeAnchor xmlns:cdr="http://schemas.openxmlformats.org/drawingml/2006/chartDrawing">
    <cdr:from>
      <cdr:x>0.01021</cdr:x>
      <cdr:y>0.33506</cdr:y>
    </cdr:from>
    <cdr:to>
      <cdr:x>0.31649</cdr:x>
      <cdr:y>0.3697</cdr:y>
    </cdr:to>
    <cdr:sp macro="" textlink="">
      <cdr:nvSpPr>
        <cdr:cNvPr id="198" name="TextBox 197"/>
        <cdr:cNvSpPr txBox="1"/>
      </cdr:nvSpPr>
      <cdr:spPr>
        <a:xfrm xmlns:a="http://schemas.openxmlformats.org/drawingml/2006/main">
          <a:off x="63500" y="49149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IBUIVCONT versus IBUIVHIGHDOSE</a:t>
          </a:r>
        </a:p>
      </cdr:txBody>
    </cdr:sp>
  </cdr:relSizeAnchor>
  <cdr:relSizeAnchor xmlns:cdr="http://schemas.openxmlformats.org/drawingml/2006/chartDrawing">
    <cdr:from>
      <cdr:x>0.75498</cdr:x>
      <cdr:y>0.33506</cdr:y>
    </cdr:from>
    <cdr:to>
      <cdr:x>1</cdr:x>
      <cdr:y>0.35238</cdr:y>
    </cdr:to>
    <cdr:sp macro="" textlink="">
      <cdr:nvSpPr>
        <cdr:cNvPr id="199" name="TextBox 198"/>
        <cdr:cNvSpPr txBox="1"/>
      </cdr:nvSpPr>
      <cdr:spPr>
        <a:xfrm xmlns:a="http://schemas.openxmlformats.org/drawingml/2006/main">
          <a:off x="4815044" y="49149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0.53 (0.11 – 2.41)</a:t>
          </a:r>
        </a:p>
      </cdr:txBody>
    </cdr:sp>
  </cdr:relSizeAnchor>
  <cdr:relSizeAnchor xmlns:cdr="http://schemas.openxmlformats.org/drawingml/2006/chartDrawing">
    <cdr:from>
      <cdr:x>0.01021</cdr:x>
      <cdr:y>0.30303</cdr:y>
    </cdr:from>
    <cdr:to>
      <cdr:x>0.31649</cdr:x>
      <cdr:y>0.33766</cdr:y>
    </cdr:to>
    <cdr:sp macro="" textlink="">
      <cdr:nvSpPr>
        <cdr:cNvPr id="200" name="TextBox 199"/>
        <cdr:cNvSpPr txBox="1"/>
      </cdr:nvSpPr>
      <cdr:spPr>
        <a:xfrm xmlns:a="http://schemas.openxmlformats.org/drawingml/2006/main">
          <a:off x="63500" y="44450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IBUPO versus INDOTHERS</a:t>
          </a:r>
        </a:p>
      </cdr:txBody>
    </cdr:sp>
  </cdr:relSizeAnchor>
  <cdr:relSizeAnchor xmlns:cdr="http://schemas.openxmlformats.org/drawingml/2006/chartDrawing">
    <cdr:from>
      <cdr:x>0.75498</cdr:x>
      <cdr:y>0.30303</cdr:y>
    </cdr:from>
    <cdr:to>
      <cdr:x>1</cdr:x>
      <cdr:y>0.32035</cdr:y>
    </cdr:to>
    <cdr:sp macro="" textlink="">
      <cdr:nvSpPr>
        <cdr:cNvPr id="201" name="TextBox 200"/>
        <cdr:cNvSpPr txBox="1"/>
      </cdr:nvSpPr>
      <cdr:spPr>
        <a:xfrm xmlns:a="http://schemas.openxmlformats.org/drawingml/2006/main">
          <a:off x="4815044" y="44450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0.50 (0.24 – 1.02)</a:t>
          </a:r>
        </a:p>
      </cdr:txBody>
    </cdr:sp>
  </cdr:relSizeAnchor>
  <cdr:relSizeAnchor xmlns:cdr="http://schemas.openxmlformats.org/drawingml/2006/chartDrawing">
    <cdr:from>
      <cdr:x>0.01021</cdr:x>
      <cdr:y>0.271</cdr:y>
    </cdr:from>
    <cdr:to>
      <cdr:x>0.31649</cdr:x>
      <cdr:y>0.30563</cdr:y>
    </cdr:to>
    <cdr:sp macro="" textlink="">
      <cdr:nvSpPr>
        <cdr:cNvPr id="202" name="TextBox 201"/>
        <cdr:cNvSpPr txBox="1"/>
      </cdr:nvSpPr>
      <cdr:spPr>
        <a:xfrm xmlns:a="http://schemas.openxmlformats.org/drawingml/2006/main">
          <a:off x="63500" y="39751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PARAPO versus IBUIVCONT</a:t>
          </a:r>
        </a:p>
      </cdr:txBody>
    </cdr:sp>
  </cdr:relSizeAnchor>
  <cdr:relSizeAnchor xmlns:cdr="http://schemas.openxmlformats.org/drawingml/2006/chartDrawing">
    <cdr:from>
      <cdr:x>0.75498</cdr:x>
      <cdr:y>0.271</cdr:y>
    </cdr:from>
    <cdr:to>
      <cdr:x>1</cdr:x>
      <cdr:y>0.28831</cdr:y>
    </cdr:to>
    <cdr:sp macro="" textlink="">
      <cdr:nvSpPr>
        <cdr:cNvPr id="203" name="TextBox 202"/>
        <cdr:cNvSpPr txBox="1"/>
      </cdr:nvSpPr>
      <cdr:spPr>
        <a:xfrm xmlns:a="http://schemas.openxmlformats.org/drawingml/2006/main">
          <a:off x="4815044" y="39751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0.50 (0.13 – 2.11)</a:t>
          </a:r>
        </a:p>
      </cdr:txBody>
    </cdr:sp>
  </cdr:relSizeAnchor>
  <cdr:relSizeAnchor xmlns:cdr="http://schemas.openxmlformats.org/drawingml/2006/chartDrawing">
    <cdr:from>
      <cdr:x>0.01021</cdr:x>
      <cdr:y>0.23896</cdr:y>
    </cdr:from>
    <cdr:to>
      <cdr:x>0.31649</cdr:x>
      <cdr:y>0.27359</cdr:y>
    </cdr:to>
    <cdr:sp macro="" textlink="">
      <cdr:nvSpPr>
        <cdr:cNvPr id="204" name="TextBox 203"/>
        <cdr:cNvSpPr txBox="1"/>
      </cdr:nvSpPr>
      <cdr:spPr>
        <a:xfrm xmlns:a="http://schemas.openxmlformats.org/drawingml/2006/main">
          <a:off x="63500" y="35052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IBUPO versus PLAC_NORX</a:t>
          </a:r>
        </a:p>
      </cdr:txBody>
    </cdr:sp>
  </cdr:relSizeAnchor>
  <cdr:relSizeAnchor xmlns:cdr="http://schemas.openxmlformats.org/drawingml/2006/chartDrawing">
    <cdr:from>
      <cdr:x>0.75498</cdr:x>
      <cdr:y>0.23896</cdr:y>
    </cdr:from>
    <cdr:to>
      <cdr:x>1</cdr:x>
      <cdr:y>0.25628</cdr:y>
    </cdr:to>
    <cdr:sp macro="" textlink="">
      <cdr:nvSpPr>
        <cdr:cNvPr id="205" name="TextBox 204"/>
        <cdr:cNvSpPr txBox="1"/>
      </cdr:nvSpPr>
      <cdr:spPr>
        <a:xfrm xmlns:a="http://schemas.openxmlformats.org/drawingml/2006/main">
          <a:off x="4815044" y="35052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0.50 (0.28 – 0.84)</a:t>
          </a:r>
        </a:p>
      </cdr:txBody>
    </cdr:sp>
  </cdr:relSizeAnchor>
  <cdr:relSizeAnchor xmlns:cdr="http://schemas.openxmlformats.org/drawingml/2006/chartDrawing">
    <cdr:from>
      <cdr:x>0.01021</cdr:x>
      <cdr:y>0.20779</cdr:y>
    </cdr:from>
    <cdr:to>
      <cdr:x>0.31649</cdr:x>
      <cdr:y>0.24242</cdr:y>
    </cdr:to>
    <cdr:sp macro="" textlink="">
      <cdr:nvSpPr>
        <cdr:cNvPr id="206" name="TextBox 205"/>
        <cdr:cNvSpPr txBox="1"/>
      </cdr:nvSpPr>
      <cdr:spPr>
        <a:xfrm xmlns:a="http://schemas.openxmlformats.org/drawingml/2006/main">
          <a:off x="63500" y="30480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 versus IBUIVHIGHDOSE</a:t>
          </a:r>
        </a:p>
      </cdr:txBody>
    </cdr:sp>
  </cdr:relSizeAnchor>
  <cdr:relSizeAnchor xmlns:cdr="http://schemas.openxmlformats.org/drawingml/2006/chartDrawing">
    <cdr:from>
      <cdr:x>0.75498</cdr:x>
      <cdr:y>0.20779</cdr:y>
    </cdr:from>
    <cdr:to>
      <cdr:x>1</cdr:x>
      <cdr:y>0.22511</cdr:y>
    </cdr:to>
    <cdr:sp macro="" textlink="">
      <cdr:nvSpPr>
        <cdr:cNvPr id="207" name="TextBox 206"/>
        <cdr:cNvSpPr txBox="1"/>
      </cdr:nvSpPr>
      <cdr:spPr>
        <a:xfrm xmlns:a="http://schemas.openxmlformats.org/drawingml/2006/main">
          <a:off x="4815044" y="30480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0.47 (0.15 – 1.41)</a:t>
          </a:r>
        </a:p>
      </cdr:txBody>
    </cdr:sp>
  </cdr:relSizeAnchor>
  <cdr:relSizeAnchor xmlns:cdr="http://schemas.openxmlformats.org/drawingml/2006/chartDrawing">
    <cdr:from>
      <cdr:x>0.01021</cdr:x>
      <cdr:y>0.17576</cdr:y>
    </cdr:from>
    <cdr:to>
      <cdr:x>0.31649</cdr:x>
      <cdr:y>0.21039</cdr:y>
    </cdr:to>
    <cdr:sp macro="" textlink="">
      <cdr:nvSpPr>
        <cdr:cNvPr id="208" name="TextBox 207"/>
        <cdr:cNvSpPr txBox="1"/>
      </cdr:nvSpPr>
      <cdr:spPr>
        <a:xfrm xmlns:a="http://schemas.openxmlformats.org/drawingml/2006/main">
          <a:off x="63500" y="25781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PARAPO versus INDOTHERS</a:t>
          </a:r>
        </a:p>
      </cdr:txBody>
    </cdr:sp>
  </cdr:relSizeAnchor>
  <cdr:relSizeAnchor xmlns:cdr="http://schemas.openxmlformats.org/drawingml/2006/chartDrawing">
    <cdr:from>
      <cdr:x>0.75498</cdr:x>
      <cdr:y>0.17576</cdr:y>
    </cdr:from>
    <cdr:to>
      <cdr:x>1</cdr:x>
      <cdr:y>0.19307</cdr:y>
    </cdr:to>
    <cdr:sp macro="" textlink="">
      <cdr:nvSpPr>
        <cdr:cNvPr id="209" name="TextBox 208"/>
        <cdr:cNvSpPr txBox="1"/>
      </cdr:nvSpPr>
      <cdr:spPr>
        <a:xfrm xmlns:a="http://schemas.openxmlformats.org/drawingml/2006/main">
          <a:off x="4815044" y="25781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0.46 (0.17 – 1.27)</a:t>
          </a:r>
        </a:p>
      </cdr:txBody>
    </cdr:sp>
  </cdr:relSizeAnchor>
  <cdr:relSizeAnchor xmlns:cdr="http://schemas.openxmlformats.org/drawingml/2006/chartDrawing">
    <cdr:from>
      <cdr:x>0.01021</cdr:x>
      <cdr:y>0.14372</cdr:y>
    </cdr:from>
    <cdr:to>
      <cdr:x>0.31649</cdr:x>
      <cdr:y>0.17835</cdr:y>
    </cdr:to>
    <cdr:sp macro="" textlink="">
      <cdr:nvSpPr>
        <cdr:cNvPr id="210" name="TextBox 209"/>
        <cdr:cNvSpPr txBox="1"/>
      </cdr:nvSpPr>
      <cdr:spPr>
        <a:xfrm xmlns:a="http://schemas.openxmlformats.org/drawingml/2006/main">
          <a:off x="63500" y="21082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PARAPO versus PLAC_NORX</a:t>
          </a:r>
        </a:p>
      </cdr:txBody>
    </cdr:sp>
  </cdr:relSizeAnchor>
  <cdr:relSizeAnchor xmlns:cdr="http://schemas.openxmlformats.org/drawingml/2006/chartDrawing">
    <cdr:from>
      <cdr:x>0.75498</cdr:x>
      <cdr:y>0.14372</cdr:y>
    </cdr:from>
    <cdr:to>
      <cdr:x>1</cdr:x>
      <cdr:y>0.16104</cdr:y>
    </cdr:to>
    <cdr:sp macro="" textlink="">
      <cdr:nvSpPr>
        <cdr:cNvPr id="213" name="TextBox 212"/>
        <cdr:cNvSpPr txBox="1"/>
      </cdr:nvSpPr>
      <cdr:spPr>
        <a:xfrm xmlns:a="http://schemas.openxmlformats.org/drawingml/2006/main">
          <a:off x="4815044" y="21082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0.46 (0.17 – 1.12)</a:t>
          </a:r>
        </a:p>
      </cdr:txBody>
    </cdr:sp>
  </cdr:relSizeAnchor>
  <cdr:relSizeAnchor xmlns:cdr="http://schemas.openxmlformats.org/drawingml/2006/chartDrawing">
    <cdr:from>
      <cdr:x>0.01021</cdr:x>
      <cdr:y>0.11169</cdr:y>
    </cdr:from>
    <cdr:to>
      <cdr:x>0.31649</cdr:x>
      <cdr:y>0.14632</cdr:y>
    </cdr:to>
    <cdr:sp macro="" textlink="">
      <cdr:nvSpPr>
        <cdr:cNvPr id="214" name="TextBox 213"/>
        <cdr:cNvSpPr txBox="1"/>
      </cdr:nvSpPr>
      <cdr:spPr>
        <a:xfrm xmlns:a="http://schemas.openxmlformats.org/drawingml/2006/main">
          <a:off x="63500" y="16383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INDOIV versus IBUIVHIGHDOSE</a:t>
          </a:r>
        </a:p>
      </cdr:txBody>
    </cdr:sp>
  </cdr:relSizeAnchor>
  <cdr:relSizeAnchor xmlns:cdr="http://schemas.openxmlformats.org/drawingml/2006/chartDrawing">
    <cdr:from>
      <cdr:x>0.75498</cdr:x>
      <cdr:y>0.11169</cdr:y>
    </cdr:from>
    <cdr:to>
      <cdr:x>1</cdr:x>
      <cdr:y>0.129</cdr:y>
    </cdr:to>
    <cdr:sp macro="" textlink="">
      <cdr:nvSpPr>
        <cdr:cNvPr id="215" name="TextBox 214"/>
        <cdr:cNvSpPr txBox="1"/>
      </cdr:nvSpPr>
      <cdr:spPr>
        <a:xfrm xmlns:a="http://schemas.openxmlformats.org/drawingml/2006/main">
          <a:off x="4815044" y="16383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0.42 (0.12 – 1.37)</a:t>
          </a:r>
        </a:p>
      </cdr:txBody>
    </cdr:sp>
  </cdr:relSizeAnchor>
  <cdr:relSizeAnchor xmlns:cdr="http://schemas.openxmlformats.org/drawingml/2006/chartDrawing">
    <cdr:from>
      <cdr:x>0.01021</cdr:x>
      <cdr:y>0.07965</cdr:y>
    </cdr:from>
    <cdr:to>
      <cdr:x>0.31649</cdr:x>
      <cdr:y>0.11429</cdr:y>
    </cdr:to>
    <cdr:sp macro="" textlink="">
      <cdr:nvSpPr>
        <cdr:cNvPr id="216" name="TextBox 215"/>
        <cdr:cNvSpPr txBox="1"/>
      </cdr:nvSpPr>
      <cdr:spPr>
        <a:xfrm xmlns:a="http://schemas.openxmlformats.org/drawingml/2006/main">
          <a:off x="63500" y="11684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IBUPO versus IBUIVHIGHDOSE</a:t>
          </a:r>
        </a:p>
      </cdr:txBody>
    </cdr:sp>
  </cdr:relSizeAnchor>
  <cdr:relSizeAnchor xmlns:cdr="http://schemas.openxmlformats.org/drawingml/2006/chartDrawing">
    <cdr:from>
      <cdr:x>0.75498</cdr:x>
      <cdr:y>0.07965</cdr:y>
    </cdr:from>
    <cdr:to>
      <cdr:x>1</cdr:x>
      <cdr:y>0.09697</cdr:y>
    </cdr:to>
    <cdr:sp macro="" textlink="">
      <cdr:nvSpPr>
        <cdr:cNvPr id="217" name="TextBox 216"/>
        <cdr:cNvSpPr txBox="1"/>
      </cdr:nvSpPr>
      <cdr:spPr>
        <a:xfrm xmlns:a="http://schemas.openxmlformats.org/drawingml/2006/main">
          <a:off x="4815044" y="11684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0.29 (0.08 – 1.00)</a:t>
          </a:r>
        </a:p>
      </cdr:txBody>
    </cdr:sp>
  </cdr:relSizeAnchor>
  <cdr:relSizeAnchor xmlns:cdr="http://schemas.openxmlformats.org/drawingml/2006/chartDrawing">
    <cdr:from>
      <cdr:x>0.01021</cdr:x>
      <cdr:y>0.04848</cdr:y>
    </cdr:from>
    <cdr:to>
      <cdr:x>0.31649</cdr:x>
      <cdr:y>0.08312</cdr:y>
    </cdr:to>
    <cdr:sp macro="" textlink="">
      <cdr:nvSpPr>
        <cdr:cNvPr id="218" name="TextBox 217"/>
        <cdr:cNvSpPr txBox="1"/>
      </cdr:nvSpPr>
      <cdr:spPr>
        <a:xfrm xmlns:a="http://schemas.openxmlformats.org/drawingml/2006/main">
          <a:off x="63500" y="7112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PARAPO versus IBUIVHIGHDOSE</a:t>
          </a:r>
        </a:p>
      </cdr:txBody>
    </cdr:sp>
  </cdr:relSizeAnchor>
  <cdr:relSizeAnchor xmlns:cdr="http://schemas.openxmlformats.org/drawingml/2006/chartDrawing">
    <cdr:from>
      <cdr:x>0.75498</cdr:x>
      <cdr:y>0.04848</cdr:y>
    </cdr:from>
    <cdr:to>
      <cdr:x>1</cdr:x>
      <cdr:y>0.0658</cdr:y>
    </cdr:to>
    <cdr:sp macro="" textlink="">
      <cdr:nvSpPr>
        <cdr:cNvPr id="219" name="TextBox 218"/>
        <cdr:cNvSpPr txBox="1"/>
      </cdr:nvSpPr>
      <cdr:spPr>
        <a:xfrm xmlns:a="http://schemas.openxmlformats.org/drawingml/2006/main">
          <a:off x="4815044" y="7112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0.27 (0.06 – 1.11)</a:t>
          </a:r>
        </a:p>
      </cdr:txBody>
    </cdr:sp>
  </cdr:relSizeAnchor>
  <cdr:relSizeAnchor xmlns:cdr="http://schemas.openxmlformats.org/drawingml/2006/chartDrawing">
    <cdr:from>
      <cdr:x>0.01021</cdr:x>
      <cdr:y>0.00433</cdr:y>
    </cdr:from>
    <cdr:to>
      <cdr:x>0.41858</cdr:x>
      <cdr:y>0.03896</cdr:y>
    </cdr:to>
    <cdr:sp macro="" textlink="">
      <cdr:nvSpPr>
        <cdr:cNvPr id="220" name="TextBox 219"/>
        <cdr:cNvSpPr txBox="1"/>
      </cdr:nvSpPr>
      <cdr:spPr>
        <a:xfrm xmlns:a="http://schemas.openxmlformats.org/drawingml/2006/main">
          <a:off x="63500" y="63500"/>
          <a:ext cx="2540000" cy="508000"/>
        </a:xfrm>
        <a:prstGeom xmlns:a="http://schemas.openxmlformats.org/drawingml/2006/main" prst="rect">
          <a:avLst/>
        </a:prstGeom>
      </cdr:spPr>
      <cdr:txBody>
        <a:bodyPr xmlns:a="http://schemas.openxmlformats.org/drawingml/2006/main" vertOverflow="clip" vert="horz" rtlCol="0" anchor="b"/>
        <a:lstStyle xmlns:a="http://schemas.openxmlformats.org/drawingml/2006/main"/>
        <a:p xmlns:a="http://schemas.openxmlformats.org/drawingml/2006/main">
          <a:pPr algn="l"/>
          <a:r>
            <a:rPr lang="en-US" sz="1400" b="1" u="words"/>
            <a:t>Treatment 1 vs. Treatment 2</a:t>
          </a:r>
        </a:p>
      </cdr:txBody>
    </cdr:sp>
  </cdr:relSizeAnchor>
  <cdr:relSizeAnchor xmlns:cdr="http://schemas.openxmlformats.org/drawingml/2006/chartDrawing">
    <cdr:from>
      <cdr:x>0.75498</cdr:x>
      <cdr:y>0.00433</cdr:y>
    </cdr:from>
    <cdr:to>
      <cdr:x>1</cdr:x>
      <cdr:y>0.03896</cdr:y>
    </cdr:to>
    <cdr:sp macro="" textlink="">
      <cdr:nvSpPr>
        <cdr:cNvPr id="221" name="TextBox 220"/>
        <cdr:cNvSpPr txBox="1"/>
      </cdr:nvSpPr>
      <cdr:spPr>
        <a:xfrm xmlns:a="http://schemas.openxmlformats.org/drawingml/2006/main">
          <a:off x="4815044" y="63500"/>
          <a:ext cx="1524000" cy="508000"/>
        </a:xfrm>
        <a:prstGeom xmlns:a="http://schemas.openxmlformats.org/drawingml/2006/main" prst="rect">
          <a:avLst/>
        </a:prstGeom>
      </cdr:spPr>
      <cdr:txBody>
        <a:bodyPr xmlns:a="http://schemas.openxmlformats.org/drawingml/2006/main" vertOverflow="clip" vert="horz" rtlCol="0" anchor="b"/>
        <a:lstStyle xmlns:a="http://schemas.openxmlformats.org/drawingml/2006/main"/>
        <a:p xmlns:a="http://schemas.openxmlformats.org/drawingml/2006/main">
          <a:pPr algn="l"/>
          <a:r>
            <a:rPr lang="en-US" sz="1400" b="1" u="words"/>
            <a:t>O.R. (95% Cr.I.)</a:t>
          </a:r>
        </a:p>
      </cdr:txBody>
    </cdr:sp>
  </cdr:relSizeAnchor>
  <cdr:relSizeAnchor xmlns:cdr="http://schemas.openxmlformats.org/drawingml/2006/chartDrawing">
    <cdr:from>
      <cdr:x>0.3573</cdr:x>
      <cdr:y>0.95584</cdr:y>
    </cdr:from>
    <cdr:to>
      <cdr:x>0.60233</cdr:x>
      <cdr:y>0.97316</cdr:y>
    </cdr:to>
    <cdr:sp macro="" textlink="">
      <cdr:nvSpPr>
        <cdr:cNvPr id="222" name="TextBox 221"/>
        <cdr:cNvSpPr txBox="1"/>
      </cdr:nvSpPr>
      <cdr:spPr>
        <a:xfrm xmlns:a="http://schemas.openxmlformats.org/drawingml/2006/main">
          <a:off x="2222364" y="14020800"/>
          <a:ext cx="1524000" cy="254000"/>
        </a:xfrm>
        <a:prstGeom xmlns:a="http://schemas.openxmlformats.org/drawingml/2006/main" prst="rect">
          <a:avLst/>
        </a:prstGeom>
      </cdr:spPr>
      <cdr:txBody>
        <a:bodyPr xmlns:a="http://schemas.openxmlformats.org/drawingml/2006/main" vertOverflow="clip" vert="horz" rtlCol="0" anchor="b"/>
        <a:lstStyle xmlns:a="http://schemas.openxmlformats.org/drawingml/2006/main"/>
        <a:p xmlns:a="http://schemas.openxmlformats.org/drawingml/2006/main">
          <a:pPr algn="l"/>
          <a:r>
            <a:rPr lang="en-US" sz="900" b="1"/>
            <a:t>Favours Treatment 1</a:t>
          </a:r>
        </a:p>
      </cdr:txBody>
    </cdr:sp>
  </cdr:relSizeAnchor>
  <cdr:relSizeAnchor xmlns:cdr="http://schemas.openxmlformats.org/drawingml/2006/chartDrawing">
    <cdr:from>
      <cdr:x>0.56996</cdr:x>
      <cdr:y>0.95584</cdr:y>
    </cdr:from>
    <cdr:to>
      <cdr:x>0.81498</cdr:x>
      <cdr:y>0.97316</cdr:y>
    </cdr:to>
    <cdr:sp macro="" textlink="">
      <cdr:nvSpPr>
        <cdr:cNvPr id="223" name="TextBox 222"/>
        <cdr:cNvSpPr txBox="1"/>
      </cdr:nvSpPr>
      <cdr:spPr>
        <a:xfrm xmlns:a="http://schemas.openxmlformats.org/drawingml/2006/main">
          <a:off x="3545044" y="14020800"/>
          <a:ext cx="1524000" cy="254000"/>
        </a:xfrm>
        <a:prstGeom xmlns:a="http://schemas.openxmlformats.org/drawingml/2006/main" prst="rect">
          <a:avLst/>
        </a:prstGeom>
      </cdr:spPr>
      <cdr:txBody>
        <a:bodyPr xmlns:a="http://schemas.openxmlformats.org/drawingml/2006/main" vertOverflow="clip" vert="horz" rtlCol="0" anchor="b"/>
        <a:lstStyle xmlns:a="http://schemas.openxmlformats.org/drawingml/2006/main"/>
        <a:p xmlns:a="http://schemas.openxmlformats.org/drawingml/2006/main">
          <a:pPr algn="l"/>
          <a:r>
            <a:rPr lang="en-US" sz="900" b="1"/>
            <a:t>Favours Treatment 2</a:t>
          </a:r>
        </a:p>
      </cdr:txBody>
    </cdr:sp>
  </cdr:relSizeAnchor>
  <cdr:relSizeAnchor xmlns:cdr="http://schemas.openxmlformats.org/drawingml/2006/chartDrawing">
    <cdr:from>
      <cdr:x>0.47981</cdr:x>
      <cdr:y>0.97316</cdr:y>
    </cdr:from>
    <cdr:to>
      <cdr:x>0.8307</cdr:x>
      <cdr:y>0.99048</cdr:y>
    </cdr:to>
    <cdr:sp macro="" textlink="">
      <cdr:nvSpPr>
        <cdr:cNvPr id="224" name="TextBox 223"/>
        <cdr:cNvSpPr txBox="1"/>
      </cdr:nvSpPr>
      <cdr:spPr>
        <a:xfrm xmlns:a="http://schemas.openxmlformats.org/drawingml/2006/main">
          <a:off x="2984364" y="14274800"/>
          <a:ext cx="2182420" cy="254000"/>
        </a:xfrm>
        <a:prstGeom xmlns:a="http://schemas.openxmlformats.org/drawingml/2006/main" prst="rect">
          <a:avLst/>
        </a:prstGeom>
      </cdr:spPr>
      <cdr:txBody>
        <a:bodyPr xmlns:a="http://schemas.openxmlformats.org/drawingml/2006/main" vertOverflow="clip" vert="horz" rtlCol="0" anchor="b"/>
        <a:lstStyle xmlns:a="http://schemas.openxmlformats.org/drawingml/2006/main"/>
        <a:p xmlns:a="http://schemas.openxmlformats.org/drawingml/2006/main">
          <a:pPr algn="l"/>
          <a:r>
            <a:rPr lang="en-US" sz="900" b="1"/>
            <a:t>Random Effects (Non-informative Prior)</a:t>
          </a:r>
        </a:p>
      </cdr:txBody>
    </cdr:sp>
  </cdr:relSizeAnchor>
  <cdr:relSizeAnchor xmlns:cdr="http://schemas.openxmlformats.org/drawingml/2006/chartDrawing">
    <cdr:from>
      <cdr:x>0.01021</cdr:x>
      <cdr:y>0.93853</cdr:y>
    </cdr:from>
    <cdr:to>
      <cdr:x>0.3238</cdr:x>
      <cdr:y>0.9645</cdr:y>
    </cdr:to>
    <cdr:sp macro="" textlink="">
      <cdr:nvSpPr>
        <cdr:cNvPr id="225" name="TextBox 224"/>
        <cdr:cNvSpPr txBox="1"/>
      </cdr:nvSpPr>
      <cdr:spPr>
        <a:xfrm xmlns:a="http://schemas.openxmlformats.org/drawingml/2006/main">
          <a:off x="63499" y="13766800"/>
          <a:ext cx="1950509" cy="381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800"/>
            <a:t>Heterogeneity (Non-informative) = 0.2031 
95% CrI (0.01238 – 0.5413)</a:t>
          </a:r>
        </a:p>
      </cdr:txBody>
    </cdr:sp>
  </cdr:relSizeAnchor>
  <cdr:relSizeAnchor xmlns:cdr="http://schemas.openxmlformats.org/drawingml/2006/chartDrawing">
    <cdr:from>
      <cdr:x>0.01021</cdr:x>
      <cdr:y>0.95584</cdr:y>
    </cdr:from>
    <cdr:to>
      <cdr:x>0.29607</cdr:x>
      <cdr:y>0.98182</cdr:y>
    </cdr:to>
    <cdr:sp macro="" textlink="">
      <cdr:nvSpPr>
        <cdr:cNvPr id="226" name="TextBox 225"/>
        <cdr:cNvSpPr txBox="1"/>
      </cdr:nvSpPr>
      <cdr:spPr>
        <a:xfrm xmlns:a="http://schemas.openxmlformats.org/drawingml/2006/main">
          <a:off x="63500" y="14020800"/>
          <a:ext cx="1778000" cy="381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endParaRPr lang="en-US" sz="800"/>
        </a:p>
      </cdr:txBody>
    </cdr:sp>
  </cdr:relSizeAnchor>
</c:userShapes>
</file>

<file path=xl/drawings/drawing9.xml><?xml version="1.0" encoding="utf-8"?>
<xdr:wsDr xmlns:xdr="http://schemas.openxmlformats.org/drawingml/2006/spreadsheetDrawing" xmlns:a="http://schemas.openxmlformats.org/drawingml/2006/main">
  <xdr:twoCellAnchor editAs="absolute">
    <xdr:from>
      <xdr:col>0</xdr:col>
      <xdr:colOff>333375</xdr:colOff>
      <xdr:row>5</xdr:row>
      <xdr:rowOff>361949</xdr:rowOff>
    </xdr:from>
    <xdr:to>
      <xdr:col>3</xdr:col>
      <xdr:colOff>333375</xdr:colOff>
      <xdr:row>6</xdr:row>
      <xdr:rowOff>390525</xdr:rowOff>
    </xdr:to>
    <xdr:sp macro="" textlink="">
      <xdr:nvSpPr>
        <xdr:cNvPr id="2" name="Rectangle 1"/>
        <xdr:cNvSpPr/>
      </xdr:nvSpPr>
      <xdr:spPr>
        <a:xfrm>
          <a:off x="333375" y="2066924"/>
          <a:ext cx="3609975" cy="533401"/>
        </a:xfrm>
        <a:prstGeom prst="rect">
          <a:avLst/>
        </a:prstGeom>
        <a:solidFill>
          <a:srgbClr val="00549E"/>
        </a:solidFill>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200" b="0" baseline="0">
              <a:solidFill>
                <a:schemeClr val="lt1"/>
              </a:solidFill>
              <a:latin typeface="+mn-lt"/>
              <a:ea typeface="+mn-ea"/>
              <a:cs typeface="+mn-cs"/>
            </a:rPr>
            <a:t>Please note, the results of the plot are read from top to bottom and left to right.  </a:t>
          </a:r>
          <a:endParaRPr lang="en-CA" sz="1200" b="0" baseline="0"/>
        </a:p>
      </xdr:txBody>
    </xdr:sp>
    <xdr:clientData/>
  </xdr:twoCellAnchor>
  <xdr:twoCellAnchor editAs="absolute">
    <xdr:from>
      <xdr:col>2</xdr:col>
      <xdr:colOff>266700</xdr:colOff>
      <xdr:row>4</xdr:row>
      <xdr:rowOff>247650</xdr:rowOff>
    </xdr:from>
    <xdr:to>
      <xdr:col>2</xdr:col>
      <xdr:colOff>1314450</xdr:colOff>
      <xdr:row>5</xdr:row>
      <xdr:rowOff>219075</xdr:rowOff>
    </xdr:to>
    <xdr:sp macro="[0]!step_plot" textlink="">
      <xdr:nvSpPr>
        <xdr:cNvPr id="3" name="Rounded Rectangle 2"/>
        <xdr:cNvSpPr/>
      </xdr:nvSpPr>
      <xdr:spPr>
        <a:xfrm>
          <a:off x="1695450" y="1447800"/>
          <a:ext cx="1047750" cy="476250"/>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nchorCtr="0"/>
        <a:lstStyle/>
        <a:p>
          <a:pPr algn="ctr"/>
          <a:r>
            <a:rPr lang="en-CA" sz="1050" b="1"/>
            <a:t>Draw Step</a:t>
          </a:r>
          <a:r>
            <a:rPr lang="en-CA" sz="1050" b="1" baseline="0"/>
            <a:t>  Plot</a:t>
          </a:r>
          <a:endParaRPr lang="en-CA" sz="1050" b="1"/>
        </a:p>
      </xdr:txBody>
    </xdr:sp>
    <xdr:clientData/>
  </xdr:twoCellAnchor>
  <xdr:twoCellAnchor>
    <xdr:from>
      <xdr:col>4</xdr:col>
      <xdr:colOff>523874</xdr:colOff>
      <xdr:row>1</xdr:row>
      <xdr:rowOff>57150</xdr:rowOff>
    </xdr:from>
    <xdr:to>
      <xdr:col>9</xdr:col>
      <xdr:colOff>266699</xdr:colOff>
      <xdr:row>3</xdr:row>
      <xdr:rowOff>47625</xdr:rowOff>
    </xdr:to>
    <xdr:sp macro="" textlink="$Y$6">
      <xdr:nvSpPr>
        <xdr:cNvPr id="4" name="TextBox 3"/>
        <xdr:cNvSpPr txBox="1"/>
      </xdr:nvSpPr>
      <xdr:spPr>
        <a:xfrm>
          <a:off x="6019799" y="657225"/>
          <a:ext cx="4467225" cy="390525"/>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fld id="{D5F7C08B-9DCF-4733-B86A-A1DCF154E9CC}" type="TxLink">
            <a:rPr lang="en-US" sz="1600" b="1" i="0" u="none" strike="noStrike">
              <a:solidFill>
                <a:srgbClr val="000000"/>
              </a:solidFill>
              <a:latin typeface="Calibri"/>
            </a:rPr>
            <a:pPr algn="l"/>
            <a:t>OR &lt;1 Means the Treatment in Top Left is Better</a:t>
          </a:fld>
          <a:endParaRPr lang="en-CA" sz="2000" b="1"/>
        </a:p>
      </xdr:txBody>
    </xdr:sp>
    <xdr:clientData/>
  </xdr:twoCellAnchor>
</xdr:wsDr>
</file>

<file path=xl/drawings/drawing10.xml><?xml version="1.0" encoding="utf-8"?>
<xdr:wsDr xmlns:xdr="http://schemas.openxmlformats.org/drawingml/2006/spreadsheetDrawing" xmlns:a="http://schemas.openxmlformats.org/drawingml/2006/main">
  <xdr:absoluteAnchor>
    <xdr:pos x="4905375" y="381000"/>
    <xdr:ext cx="8667750" cy="629443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twoCellAnchor>
    <xdr:from>
      <xdr:col>2</xdr:col>
      <xdr:colOff>123825</xdr:colOff>
      <xdr:row>9</xdr:row>
      <xdr:rowOff>180975</xdr:rowOff>
    </xdr:from>
    <xdr:to>
      <xdr:col>2</xdr:col>
      <xdr:colOff>1066800</xdr:colOff>
      <xdr:row>12</xdr:row>
      <xdr:rowOff>85725</xdr:rowOff>
    </xdr:to>
    <xdr:sp macro="[0]!Sheet22.draw_rank" textlink="">
      <xdr:nvSpPr>
        <xdr:cNvPr id="3" name="Rounded Rectangle 2"/>
        <xdr:cNvSpPr/>
      </xdr:nvSpPr>
      <xdr:spPr>
        <a:xfrm>
          <a:off x="1524000" y="1171575"/>
          <a:ext cx="942975" cy="476250"/>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nchorCtr="0"/>
        <a:lstStyle/>
        <a:p>
          <a:pPr algn="ctr"/>
          <a:r>
            <a:rPr lang="en-CA" sz="1050" b="1"/>
            <a:t>Draw Rankogram</a:t>
          </a:r>
        </a:p>
      </xdr:txBody>
    </xdr:sp>
    <xdr:clientData/>
  </xdr:twoCellAnchor>
  <xdr:twoCellAnchor>
    <xdr:from>
      <xdr:col>2</xdr:col>
      <xdr:colOff>1190625</xdr:colOff>
      <xdr:row>9</xdr:row>
      <xdr:rowOff>180975</xdr:rowOff>
    </xdr:from>
    <xdr:to>
      <xdr:col>2</xdr:col>
      <xdr:colOff>2143125</xdr:colOff>
      <xdr:row>12</xdr:row>
      <xdr:rowOff>85725</xdr:rowOff>
    </xdr:to>
    <xdr:sp macro="[0]!Sheet22.update_rank" textlink="">
      <xdr:nvSpPr>
        <xdr:cNvPr id="4" name="Rounded Rectangle 3"/>
        <xdr:cNvSpPr/>
      </xdr:nvSpPr>
      <xdr:spPr>
        <a:xfrm>
          <a:off x="2590800" y="1171575"/>
          <a:ext cx="952500" cy="476250"/>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nchorCtr="0"/>
        <a:lstStyle/>
        <a:p>
          <a:pPr algn="ctr"/>
          <a:r>
            <a:rPr lang="en-CA" sz="1050" b="1"/>
            <a:t>Update Rankogram</a:t>
          </a:r>
        </a:p>
      </xdr:txBody>
    </xdr:sp>
    <xdr:clientData/>
  </xdr:twoCellAnchor>
</xdr:wsDr>
</file>

<file path=xl/drawings/drawing11.xml><?xml version="1.0" encoding="utf-8"?>
<c:userShapes xmlns:c="http://schemas.openxmlformats.org/drawingml/2006/chart">
  <cdr:relSizeAnchor xmlns:cdr="http://schemas.openxmlformats.org/drawingml/2006/chartDrawing">
    <cdr:from>
      <cdr:x>0.17028</cdr:x>
      <cdr:y>0.94221</cdr:y>
    </cdr:from>
    <cdr:to>
      <cdr:x>0.62715</cdr:x>
      <cdr:y>0.94348</cdr:y>
    </cdr:to>
    <cdr:sp macro="" textlink="">
      <cdr:nvSpPr>
        <cdr:cNvPr id="2" name="Straight Arrow Connector 1"/>
        <cdr:cNvSpPr/>
      </cdr:nvSpPr>
      <cdr:spPr>
        <a:xfrm xmlns:a="http://schemas.openxmlformats.org/drawingml/2006/main" flipV="1">
          <a:off x="1475953" y="5930670"/>
          <a:ext cx="3960035" cy="7994"/>
        </a:xfrm>
        <a:prstGeom xmlns:a="http://schemas.openxmlformats.org/drawingml/2006/main" prst="straightConnector1">
          <a:avLst/>
        </a:prstGeom>
        <a:noFill xmlns:a="http://schemas.openxmlformats.org/drawingml/2006/main"/>
        <a:ln xmlns:a="http://schemas.openxmlformats.org/drawingml/2006/main" w="19050" cap="flat" cmpd="sng" algn="ctr">
          <a:solidFill>
            <a:sysClr val="windowText" lastClr="000000"/>
          </a:solidFill>
          <a:prstDash val="solid"/>
          <a:tailEnd type="arrow"/>
        </a:ln>
        <a:effectLst xmlns:a="http://schemas.openxmlformats.org/drawingml/2006/mai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endParaRPr lang="en-US"/>
        </a:p>
      </cdr:txBody>
    </cdr:sp>
  </cdr:relSizeAnchor>
  <cdr:relSizeAnchor xmlns:cdr="http://schemas.openxmlformats.org/drawingml/2006/chartDrawing">
    <cdr:from>
      <cdr:x>0.10758</cdr:x>
      <cdr:y>0.91686</cdr:y>
    </cdr:from>
    <cdr:to>
      <cdr:x>0.17802</cdr:x>
      <cdr:y>0.95974</cdr:y>
    </cdr:to>
    <cdr:sp macro="" textlink="">
      <cdr:nvSpPr>
        <cdr:cNvPr id="3" name="TextBox 2"/>
        <cdr:cNvSpPr txBox="1"/>
      </cdr:nvSpPr>
      <cdr:spPr>
        <a:xfrm xmlns:a="http://schemas.openxmlformats.org/drawingml/2006/main">
          <a:off x="932484" y="5771140"/>
          <a:ext cx="610565" cy="26990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l"/>
          <a:r>
            <a:rPr lang="en-CA" sz="1400" b="1"/>
            <a:t>Best</a:t>
          </a:r>
        </a:p>
      </cdr:txBody>
    </cdr:sp>
  </cdr:relSizeAnchor>
  <cdr:relSizeAnchor xmlns:cdr="http://schemas.openxmlformats.org/drawingml/2006/chartDrawing">
    <cdr:from>
      <cdr:x>0.63315</cdr:x>
      <cdr:y>0.91686</cdr:y>
    </cdr:from>
    <cdr:to>
      <cdr:x>0.71319</cdr:x>
      <cdr:y>0.95974</cdr:y>
    </cdr:to>
    <cdr:sp macro="" textlink="">
      <cdr:nvSpPr>
        <cdr:cNvPr id="4" name="TextBox 1"/>
        <cdr:cNvSpPr txBox="1"/>
      </cdr:nvSpPr>
      <cdr:spPr>
        <a:xfrm xmlns:a="http://schemas.openxmlformats.org/drawingml/2006/main">
          <a:off x="5487984" y="5771140"/>
          <a:ext cx="693741" cy="26990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l"/>
          <a:r>
            <a:rPr lang="en-CA" sz="1400" b="1"/>
            <a:t>Worse</a:t>
          </a:r>
        </a:p>
      </cdr:txBody>
    </cdr:sp>
  </cdr:relSizeAnchor>
</c:userShapes>
</file>

<file path=xl/drawings/drawing12.xml><?xml version="1.0" encoding="utf-8"?>
<xdr:wsDr xmlns:xdr="http://schemas.openxmlformats.org/drawingml/2006/spreadsheetDrawing" xmlns:a="http://schemas.openxmlformats.org/drawingml/2006/main">
  <xdr:twoCellAnchor editAs="absolute">
    <xdr:from>
      <xdr:col>3</xdr:col>
      <xdr:colOff>66675</xdr:colOff>
      <xdr:row>1</xdr:row>
      <xdr:rowOff>19049</xdr:rowOff>
    </xdr:from>
    <xdr:to>
      <xdr:col>5</xdr:col>
      <xdr:colOff>365175</xdr:colOff>
      <xdr:row>1</xdr:row>
      <xdr:rowOff>3114675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7</xdr:col>
      <xdr:colOff>381000</xdr:colOff>
      <xdr:row>1</xdr:row>
      <xdr:rowOff>85724</xdr:rowOff>
    </xdr:from>
    <xdr:to>
      <xdr:col>10</xdr:col>
      <xdr:colOff>450900</xdr:colOff>
      <xdr:row>1</xdr:row>
      <xdr:rowOff>3181350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733425</xdr:colOff>
      <xdr:row>1</xdr:row>
      <xdr:rowOff>428625</xdr:rowOff>
    </xdr:from>
    <xdr:to>
      <xdr:col>16</xdr:col>
      <xdr:colOff>0</xdr:colOff>
      <xdr:row>1</xdr:row>
      <xdr:rowOff>1495425</xdr:rowOff>
    </xdr:to>
    <xdr:sp macro="" textlink="">
      <xdr:nvSpPr>
        <xdr:cNvPr id="6" name="Rectangle 5"/>
        <xdr:cNvSpPr/>
      </xdr:nvSpPr>
      <xdr:spPr>
        <a:xfrm>
          <a:off x="11887200" y="619125"/>
          <a:ext cx="2000250" cy="1066800"/>
        </a:xfrm>
        <a:prstGeom prst="rect">
          <a:avLst/>
        </a:prstGeom>
        <a:solidFill>
          <a:srgbClr val="00549E"/>
        </a:solidFill>
        <a:ln w="28575">
          <a:solidFill>
            <a:srgbClr val="6F8493"/>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100" b="1" baseline="0"/>
            <a:t>Click the desired data point on the graph to add label.</a:t>
          </a:r>
        </a:p>
        <a:p>
          <a:pPr algn="l"/>
          <a:endParaRPr lang="en-CA" sz="1100" b="1" baseline="0"/>
        </a:p>
        <a:p>
          <a:pPr algn="l"/>
          <a:r>
            <a:rPr lang="en-CA" sz="1100" b="1"/>
            <a:t>Choose the label text from</a:t>
          </a:r>
          <a:r>
            <a:rPr lang="en-CA" sz="1100" b="1" baseline="0"/>
            <a:t> the selection  below.</a:t>
          </a:r>
          <a:endParaRPr lang="en-CA" sz="1100" b="1"/>
        </a:p>
      </xdr:txBody>
    </xdr:sp>
    <xdr:clientData/>
  </xdr:twoCellAnchor>
  <xdr:twoCellAnchor>
    <xdr:from>
      <xdr:col>10</xdr:col>
      <xdr:colOff>733425</xdr:colOff>
      <xdr:row>1</xdr:row>
      <xdr:rowOff>47624</xdr:rowOff>
    </xdr:from>
    <xdr:to>
      <xdr:col>15</xdr:col>
      <xdr:colOff>28575</xdr:colOff>
      <xdr:row>1</xdr:row>
      <xdr:rowOff>361949</xdr:rowOff>
    </xdr:to>
    <xdr:sp macro="" textlink="">
      <xdr:nvSpPr>
        <xdr:cNvPr id="7" name="TextBox 6"/>
        <xdr:cNvSpPr txBox="1"/>
      </xdr:nvSpPr>
      <xdr:spPr>
        <a:xfrm>
          <a:off x="11887200" y="238124"/>
          <a:ext cx="1257300"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CA" sz="1400" b="1" u="sng"/>
            <a:t>Data Labels</a:t>
          </a:r>
        </a:p>
      </xdr:txBody>
    </xdr:sp>
    <xdr:clientData/>
  </xdr:twoCellAnchor>
  <xdr:twoCellAnchor>
    <xdr:from>
      <xdr:col>10</xdr:col>
      <xdr:colOff>733425</xdr:colOff>
      <xdr:row>1</xdr:row>
      <xdr:rowOff>2162175</xdr:rowOff>
    </xdr:from>
    <xdr:to>
      <xdr:col>11</xdr:col>
      <xdr:colOff>914400</xdr:colOff>
      <xdr:row>1</xdr:row>
      <xdr:rowOff>2638425</xdr:rowOff>
    </xdr:to>
    <xdr:sp macro="[0]!DeleteInconsistencyLabels" textlink="">
      <xdr:nvSpPr>
        <xdr:cNvPr id="8" name="Rounded Rectangle 7"/>
        <xdr:cNvSpPr/>
      </xdr:nvSpPr>
      <xdr:spPr>
        <a:xfrm>
          <a:off x="11887200" y="2352675"/>
          <a:ext cx="952500" cy="476250"/>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nchorCtr="0"/>
        <a:lstStyle/>
        <a:p>
          <a:pPr algn="ctr"/>
          <a:r>
            <a:rPr lang="en-CA" sz="1050" b="1"/>
            <a:t>Delete Labels</a:t>
          </a:r>
        </a:p>
      </xdr:txBody>
    </xdr:sp>
    <xdr:clientData/>
  </xdr:twoCellAnchor>
  <mc:AlternateContent xmlns:mc="http://schemas.openxmlformats.org/markup-compatibility/2006">
    <mc:Choice xmlns:a14="http://schemas.microsoft.com/office/drawing/2010/main" Requires="a14">
      <xdr:twoCellAnchor editAs="oneCell">
        <xdr:from>
          <xdr:col>10</xdr:col>
          <xdr:colOff>723900</xdr:colOff>
          <xdr:row>1</xdr:row>
          <xdr:rowOff>1600200</xdr:rowOff>
        </xdr:from>
        <xdr:to>
          <xdr:col>16</xdr:col>
          <xdr:colOff>333375</xdr:colOff>
          <xdr:row>1</xdr:row>
          <xdr:rowOff>2009775</xdr:rowOff>
        </xdr:to>
        <xdr:sp macro="" textlink="">
          <xdr:nvSpPr>
            <xdr:cNvPr id="1027" name="List Box 3" hidden="1">
              <a:extLst>
                <a:ext uri="{63B3BB69-23CF-44E3-9099-C40C66FF867C}">
                  <a14:compatExt spid="_x0000_s10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4</xdr:col>
      <xdr:colOff>214312</xdr:colOff>
      <xdr:row>7</xdr:row>
      <xdr:rowOff>15876</xdr:rowOff>
    </xdr:from>
    <xdr:to>
      <xdr:col>7</xdr:col>
      <xdr:colOff>1180378</xdr:colOff>
      <xdr:row>14</xdr:row>
      <xdr:rowOff>119063</xdr:rowOff>
    </xdr:to>
    <xdr:sp macro="" textlink="">
      <xdr:nvSpPr>
        <xdr:cNvPr id="5" name="Rectangle 4"/>
        <xdr:cNvSpPr/>
      </xdr:nvSpPr>
      <xdr:spPr>
        <a:xfrm>
          <a:off x="6572250" y="1357314"/>
          <a:ext cx="2744066" cy="1476374"/>
        </a:xfrm>
        <a:prstGeom prst="rect">
          <a:avLst/>
        </a:prstGeom>
        <a:solidFill>
          <a:srgbClr val="00549E"/>
        </a:solidFill>
        <a:ln w="38100">
          <a:solidFill>
            <a:srgbClr val="6F8493"/>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400" b="1" baseline="0"/>
            <a:t>This Sheet contains control variables used to run the analysese.  Values on this sheet should not be altered as this is done automatically by the tool when required.</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customProperty" Target="../customProperty1.bin"/><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customProperty" Target="../customProperty2.bin"/><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customProperty" Target="../customProperty3.bin"/></Relationships>
</file>

<file path=xl/worksheets/_rels/sheet15.xml.rels><?xml version="1.0" encoding="UTF-8" standalone="yes"?>
<Relationships xmlns="http://schemas.openxmlformats.org/package/2006/relationships"><Relationship Id="rId1" Type="http://schemas.openxmlformats.org/officeDocument/2006/relationships/customProperty" Target="../customProperty4.bin"/></Relationships>
</file>

<file path=xl/worksheets/_rels/sheet20.xml.rels><?xml version="1.0" encoding="UTF-8" standalone="yes"?>
<Relationships xmlns="http://schemas.openxmlformats.org/package/2006/relationships"><Relationship Id="rId1" Type="http://schemas.openxmlformats.org/officeDocument/2006/relationships/customProperty" Target="../customProperty5.bin"/></Relationships>
</file>

<file path=xl/worksheets/_rels/sheet21.xml.rels><?xml version="1.0" encoding="UTF-8" standalone="yes"?>
<Relationships xmlns="http://schemas.openxmlformats.org/package/2006/relationships"><Relationship Id="rId1" Type="http://schemas.openxmlformats.org/officeDocument/2006/relationships/customProperty" Target="../customProperty6.bin"/></Relationships>
</file>

<file path=xl/worksheets/_rels/sheet22.xml.rels><?xml version="1.0" encoding="UTF-8" standalone="yes"?>
<Relationships xmlns="http://schemas.openxmlformats.org/package/2006/relationships"><Relationship Id="rId1" Type="http://schemas.openxmlformats.org/officeDocument/2006/relationships/customProperty" Target="../customProperty7.bin"/></Relationships>
</file>

<file path=xl/worksheets/_rels/sheet25.xml.rels><?xml version="1.0" encoding="UTF-8" standalone="yes"?>
<Relationships xmlns="http://schemas.openxmlformats.org/package/2006/relationships"><Relationship Id="rId1" Type="http://schemas.openxmlformats.org/officeDocument/2006/relationships/customProperty" Target="../customProperty8.bin"/></Relationships>
</file>

<file path=xl/worksheets/_rels/sheet26.xml.rels><?xml version="1.0" encoding="UTF-8" standalone="yes"?>
<Relationships xmlns="http://schemas.openxmlformats.org/package/2006/relationships"><Relationship Id="rId1" Type="http://schemas.openxmlformats.org/officeDocument/2006/relationships/customProperty" Target="../customProperty9.bin"/></Relationships>
</file>

<file path=xl/worksheets/_rels/sheet27.xml.rels><?xml version="1.0" encoding="UTF-8" standalone="yes"?>
<Relationships xmlns="http://schemas.openxmlformats.org/package/2006/relationships"><Relationship Id="rId1" Type="http://schemas.openxmlformats.org/officeDocument/2006/relationships/customProperty" Target="../customProperty10.bin"/></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customProperty" Target="../customProperty11.bin"/><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00549E"/>
  </sheetPr>
  <dimension ref="C1:M46"/>
  <sheetViews>
    <sheetView showGridLines="0" topLeftCell="A3" workbookViewId="0">
      <selection activeCell="F4" sqref="F4"/>
    </sheetView>
  </sheetViews>
  <sheetFormatPr defaultRowHeight="15" x14ac:dyDescent="0.25"/>
  <cols>
    <col min="13" max="13" width="15.42578125" customWidth="1"/>
  </cols>
  <sheetData>
    <row r="1" hidden="1" x14ac:dyDescent="0.25"/>
    <row r="2" hidden="1" x14ac:dyDescent="0.25"/>
    <row r="29" spans="3:13" x14ac:dyDescent="0.25">
      <c r="C29" s="7" t="s">
        <v>129</v>
      </c>
    </row>
    <row r="30" spans="3:13" x14ac:dyDescent="0.25">
      <c r="C30" s="230" t="s">
        <v>250</v>
      </c>
      <c r="D30" s="230"/>
      <c r="E30" s="230"/>
      <c r="F30" s="230"/>
      <c r="G30" s="230"/>
      <c r="H30" s="230"/>
      <c r="I30" s="230"/>
      <c r="J30" s="230"/>
      <c r="K30" s="230"/>
      <c r="L30" s="230"/>
      <c r="M30" s="230"/>
    </row>
    <row r="31" spans="3:13" x14ac:dyDescent="0.25">
      <c r="C31" s="230"/>
      <c r="D31" s="230"/>
      <c r="E31" s="230"/>
      <c r="F31" s="230"/>
      <c r="G31" s="230"/>
      <c r="H31" s="230"/>
      <c r="I31" s="230"/>
      <c r="J31" s="230"/>
      <c r="K31" s="230"/>
      <c r="L31" s="230"/>
      <c r="M31" s="230"/>
    </row>
    <row r="32" spans="3:13" x14ac:dyDescent="0.25">
      <c r="C32" s="230"/>
      <c r="D32" s="230"/>
      <c r="E32" s="230"/>
      <c r="F32" s="230"/>
      <c r="G32" s="230"/>
      <c r="H32" s="230"/>
      <c r="I32" s="230"/>
      <c r="J32" s="230"/>
      <c r="K32" s="230"/>
      <c r="L32" s="230"/>
      <c r="M32" s="230"/>
    </row>
    <row r="33" spans="3:13" x14ac:dyDescent="0.25">
      <c r="C33" s="230"/>
      <c r="D33" s="230"/>
      <c r="E33" s="230"/>
      <c r="F33" s="230"/>
      <c r="G33" s="230"/>
      <c r="H33" s="230"/>
      <c r="I33" s="230"/>
      <c r="J33" s="230"/>
      <c r="K33" s="230"/>
      <c r="L33" s="230"/>
      <c r="M33" s="230"/>
    </row>
    <row r="34" spans="3:13" x14ac:dyDescent="0.25">
      <c r="C34" s="230"/>
      <c r="D34" s="230"/>
      <c r="E34" s="230"/>
      <c r="F34" s="230"/>
      <c r="G34" s="230"/>
      <c r="H34" s="230"/>
      <c r="I34" s="230"/>
      <c r="J34" s="230"/>
      <c r="K34" s="230"/>
      <c r="L34" s="230"/>
      <c r="M34" s="230"/>
    </row>
    <row r="35" spans="3:13" x14ac:dyDescent="0.25">
      <c r="C35" s="230"/>
      <c r="D35" s="230"/>
      <c r="E35" s="230"/>
      <c r="F35" s="230"/>
      <c r="G35" s="230"/>
      <c r="H35" s="230"/>
      <c r="I35" s="230"/>
      <c r="J35" s="230"/>
      <c r="K35" s="230"/>
      <c r="L35" s="230"/>
      <c r="M35" s="230"/>
    </row>
    <row r="36" spans="3:13" x14ac:dyDescent="0.25">
      <c r="C36" s="230"/>
      <c r="D36" s="230"/>
      <c r="E36" s="230"/>
      <c r="F36" s="230"/>
      <c r="G36" s="230"/>
      <c r="H36" s="230"/>
      <c r="I36" s="230"/>
      <c r="J36" s="230"/>
      <c r="K36" s="230"/>
      <c r="L36" s="230"/>
      <c r="M36" s="230"/>
    </row>
    <row r="37" spans="3:13" x14ac:dyDescent="0.25">
      <c r="C37" s="230"/>
      <c r="D37" s="230"/>
      <c r="E37" s="230"/>
      <c r="F37" s="230"/>
      <c r="G37" s="230"/>
      <c r="H37" s="230"/>
      <c r="I37" s="230"/>
      <c r="J37" s="230"/>
      <c r="K37" s="230"/>
      <c r="L37" s="230"/>
      <c r="M37" s="230"/>
    </row>
    <row r="38" spans="3:13" x14ac:dyDescent="0.25">
      <c r="C38" s="230"/>
      <c r="D38" s="230"/>
      <c r="E38" s="230"/>
      <c r="F38" s="230"/>
      <c r="G38" s="230"/>
      <c r="H38" s="230"/>
      <c r="I38" s="230"/>
      <c r="J38" s="230"/>
      <c r="K38" s="230"/>
      <c r="L38" s="230"/>
      <c r="M38" s="230"/>
    </row>
    <row r="39" spans="3:13" x14ac:dyDescent="0.25">
      <c r="C39" s="230"/>
      <c r="D39" s="230"/>
      <c r="E39" s="230"/>
      <c r="F39" s="230"/>
      <c r="G39" s="230"/>
      <c r="H39" s="230"/>
      <c r="I39" s="230"/>
      <c r="J39" s="230"/>
      <c r="K39" s="230"/>
      <c r="L39" s="230"/>
      <c r="M39" s="230"/>
    </row>
    <row r="40" spans="3:13" x14ac:dyDescent="0.25">
      <c r="C40" s="230"/>
      <c r="D40" s="230"/>
      <c r="E40" s="230"/>
      <c r="F40" s="230"/>
      <c r="G40" s="230"/>
      <c r="H40" s="230"/>
      <c r="I40" s="230"/>
      <c r="J40" s="230"/>
      <c r="K40" s="230"/>
      <c r="L40" s="230"/>
      <c r="M40" s="230"/>
    </row>
    <row r="41" spans="3:13" x14ac:dyDescent="0.25">
      <c r="C41" s="230"/>
      <c r="D41" s="230"/>
      <c r="E41" s="230"/>
      <c r="F41" s="230"/>
      <c r="G41" s="230"/>
      <c r="H41" s="230"/>
      <c r="I41" s="230"/>
      <c r="J41" s="230"/>
      <c r="K41" s="230"/>
      <c r="L41" s="230"/>
      <c r="M41" s="230"/>
    </row>
    <row r="42" spans="3:13" x14ac:dyDescent="0.25">
      <c r="C42" s="230"/>
      <c r="D42" s="230"/>
      <c r="E42" s="230"/>
      <c r="F42" s="230"/>
      <c r="G42" s="230"/>
      <c r="H42" s="230"/>
      <c r="I42" s="230"/>
      <c r="J42" s="230"/>
      <c r="K42" s="230"/>
      <c r="L42" s="230"/>
      <c r="M42" s="230"/>
    </row>
    <row r="43" spans="3:13" x14ac:dyDescent="0.25">
      <c r="C43" s="230"/>
      <c r="D43" s="230"/>
      <c r="E43" s="230"/>
      <c r="F43" s="230"/>
      <c r="G43" s="230"/>
      <c r="H43" s="230"/>
      <c r="I43" s="230"/>
      <c r="J43" s="230"/>
      <c r="K43" s="230"/>
      <c r="L43" s="230"/>
      <c r="M43" s="230"/>
    </row>
    <row r="44" spans="3:13" x14ac:dyDescent="0.25">
      <c r="C44" s="230"/>
      <c r="D44" s="230"/>
      <c r="E44" s="230"/>
      <c r="F44" s="230"/>
      <c r="G44" s="230"/>
      <c r="H44" s="230"/>
      <c r="I44" s="230"/>
      <c r="J44" s="230"/>
      <c r="K44" s="230"/>
      <c r="L44" s="230"/>
      <c r="M44" s="230"/>
    </row>
    <row r="45" spans="3:13" x14ac:dyDescent="0.25">
      <c r="C45" s="230"/>
      <c r="D45" s="230"/>
      <c r="E45" s="230"/>
      <c r="F45" s="230"/>
      <c r="G45" s="230"/>
      <c r="H45" s="230"/>
      <c r="I45" s="230"/>
      <c r="J45" s="230"/>
      <c r="K45" s="230"/>
      <c r="L45" s="230"/>
      <c r="M45" s="230"/>
    </row>
    <row r="46" spans="3:13" x14ac:dyDescent="0.25">
      <c r="C46" s="230"/>
      <c r="D46" s="230"/>
      <c r="E46" s="230"/>
      <c r="F46" s="230"/>
      <c r="G46" s="230"/>
      <c r="H46" s="230"/>
      <c r="I46" s="230"/>
      <c r="J46" s="230"/>
      <c r="K46" s="230"/>
      <c r="L46" s="230"/>
      <c r="M46" s="230"/>
    </row>
  </sheetData>
  <mergeCells count="1">
    <mergeCell ref="C30:M46"/>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92D050"/>
  </sheetPr>
  <dimension ref="B2:P31"/>
  <sheetViews>
    <sheetView showGridLines="0" topLeftCell="A22" zoomScale="120" zoomScaleNormal="120" workbookViewId="0">
      <selection activeCell="L15" sqref="L15"/>
    </sheetView>
  </sheetViews>
  <sheetFormatPr defaultRowHeight="15" x14ac:dyDescent="0.25"/>
  <cols>
    <col min="1" max="1" width="12.140625" customWidth="1"/>
    <col min="3" max="3" width="44.7109375" customWidth="1"/>
    <col min="4" max="4" width="29.28515625" customWidth="1"/>
    <col min="5" max="5" width="8.28515625" customWidth="1"/>
    <col min="8" max="8" width="37.140625" customWidth="1"/>
    <col min="9" max="9" width="10" customWidth="1"/>
  </cols>
  <sheetData>
    <row r="2" spans="2:16" x14ac:dyDescent="0.25">
      <c r="P2" t="s">
        <v>230</v>
      </c>
    </row>
    <row r="3" spans="2:16" x14ac:dyDescent="0.25">
      <c r="P3" t="s">
        <v>229</v>
      </c>
    </row>
    <row r="8" spans="2:16" ht="33.75" customHeight="1" thickBot="1" x14ac:dyDescent="0.3">
      <c r="B8" s="21" t="s">
        <v>116</v>
      </c>
      <c r="C8" s="19"/>
      <c r="D8" s="11"/>
    </row>
    <row r="9" spans="2:16" ht="15.75" customHeight="1" thickTop="1" x14ac:dyDescent="0.25">
      <c r="B9" s="20"/>
      <c r="C9" s="18" t="s">
        <v>35</v>
      </c>
      <c r="D9" s="173">
        <v>10000</v>
      </c>
      <c r="F9" s="231" t="s">
        <v>118</v>
      </c>
      <c r="G9" s="232"/>
      <c r="H9" s="233"/>
    </row>
    <row r="10" spans="2:16" ht="15.75" thickBot="1" x14ac:dyDescent="0.3">
      <c r="B10" s="20"/>
      <c r="C10" s="18" t="s">
        <v>36</v>
      </c>
      <c r="D10" s="174">
        <v>10000</v>
      </c>
      <c r="F10" s="234"/>
      <c r="G10" s="235"/>
      <c r="H10" s="236"/>
    </row>
    <row r="11" spans="2:16" ht="15.75" customHeight="1" thickTop="1" x14ac:dyDescent="0.25">
      <c r="B11" s="20"/>
      <c r="C11" s="18" t="s">
        <v>68</v>
      </c>
      <c r="D11" s="168" t="b">
        <v>1</v>
      </c>
      <c r="F11" s="231" t="s">
        <v>117</v>
      </c>
      <c r="G11" s="232"/>
      <c r="H11" s="233"/>
    </row>
    <row r="12" spans="2:16" ht="15.75" thickBot="1" x14ac:dyDescent="0.3">
      <c r="B12" s="20"/>
      <c r="C12" s="18" t="s">
        <v>67</v>
      </c>
      <c r="D12" s="169" t="b">
        <v>1</v>
      </c>
      <c r="F12" s="240"/>
      <c r="G12" s="241"/>
      <c r="H12" s="242"/>
    </row>
    <row r="13" spans="2:16" ht="34.5" customHeight="1" thickTop="1" thickBot="1" x14ac:dyDescent="0.3">
      <c r="B13" s="21" t="s">
        <v>71</v>
      </c>
    </row>
    <row r="14" spans="2:16" ht="15.75" customHeight="1" thickTop="1" x14ac:dyDescent="0.25">
      <c r="B14" s="20"/>
      <c r="C14" s="18" t="s">
        <v>136</v>
      </c>
      <c r="D14" s="167">
        <v>0</v>
      </c>
      <c r="F14" s="231" t="s">
        <v>119</v>
      </c>
      <c r="G14" s="232"/>
      <c r="H14" s="233"/>
    </row>
    <row r="15" spans="2:16" ht="15" customHeight="1" x14ac:dyDescent="0.25">
      <c r="B15" s="20"/>
      <c r="C15" s="18" t="s">
        <v>137</v>
      </c>
      <c r="D15" s="168">
        <v>2</v>
      </c>
      <c r="F15" s="240"/>
      <c r="G15" s="241"/>
      <c r="H15" s="242"/>
    </row>
    <row r="16" spans="2:16" ht="15" customHeight="1" x14ac:dyDescent="0.25">
      <c r="B16" s="20"/>
      <c r="C16" s="18" t="s">
        <v>270</v>
      </c>
      <c r="D16" s="168">
        <v>1</v>
      </c>
      <c r="F16" s="240"/>
      <c r="G16" s="241"/>
      <c r="H16" s="242"/>
    </row>
    <row r="17" spans="2:8" ht="15.75" customHeight="1" thickBot="1" x14ac:dyDescent="0.3">
      <c r="B17" s="20"/>
      <c r="C17" s="18" t="s">
        <v>271</v>
      </c>
      <c r="D17" s="169">
        <v>2</v>
      </c>
      <c r="F17" s="234"/>
      <c r="G17" s="235"/>
      <c r="H17" s="236"/>
    </row>
    <row r="18" spans="2:8" ht="33.75" customHeight="1" thickTop="1" thickBot="1" x14ac:dyDescent="0.3">
      <c r="B18" s="21" t="s">
        <v>115</v>
      </c>
    </row>
    <row r="19" spans="2:8" ht="35.25" customHeight="1" thickTop="1" thickBot="1" x14ac:dyDescent="0.3">
      <c r="C19" s="24" t="s">
        <v>34</v>
      </c>
      <c r="D19" s="170" t="s">
        <v>298</v>
      </c>
      <c r="E19" t="s">
        <v>82</v>
      </c>
      <c r="F19" s="237" t="s">
        <v>133</v>
      </c>
      <c r="G19" s="238"/>
      <c r="H19" s="239"/>
    </row>
    <row r="20" spans="2:8" ht="33" customHeight="1" thickTop="1" x14ac:dyDescent="0.25">
      <c r="C20" s="25" t="s">
        <v>48</v>
      </c>
      <c r="D20" s="170" t="s">
        <v>314</v>
      </c>
      <c r="F20" s="231" t="s">
        <v>138</v>
      </c>
      <c r="G20" s="232"/>
      <c r="H20" s="233"/>
    </row>
    <row r="21" spans="2:8" ht="33" customHeight="1" thickBot="1" x14ac:dyDescent="0.3">
      <c r="C21" s="24" t="s">
        <v>49</v>
      </c>
      <c r="D21" s="170" t="s">
        <v>315</v>
      </c>
      <c r="F21" s="234"/>
      <c r="G21" s="235"/>
      <c r="H21" s="236"/>
    </row>
    <row r="22" spans="2:8" ht="15.75" customHeight="1" thickTop="1" x14ac:dyDescent="0.25">
      <c r="C22" s="18" t="s">
        <v>56</v>
      </c>
      <c r="D22" s="171" t="s">
        <v>58</v>
      </c>
      <c r="F22" s="231" t="s">
        <v>120</v>
      </c>
      <c r="G22" s="232"/>
      <c r="H22" s="233"/>
    </row>
    <row r="23" spans="2:8" ht="15.75" thickBot="1" x14ac:dyDescent="0.3">
      <c r="C23" s="18" t="s">
        <v>57</v>
      </c>
      <c r="D23" s="171" t="s">
        <v>59</v>
      </c>
      <c r="F23" s="234"/>
      <c r="G23" s="235"/>
      <c r="H23" s="236"/>
    </row>
    <row r="24" spans="2:8" ht="15.75" thickTop="1" x14ac:dyDescent="0.25">
      <c r="C24" s="18" t="s">
        <v>51</v>
      </c>
      <c r="D24" s="171" t="s">
        <v>60</v>
      </c>
    </row>
    <row r="25" spans="2:8" x14ac:dyDescent="0.25">
      <c r="C25" s="18" t="s">
        <v>52</v>
      </c>
      <c r="D25" s="171" t="s">
        <v>61</v>
      </c>
    </row>
    <row r="26" spans="2:8" x14ac:dyDescent="0.25">
      <c r="C26" s="18" t="s">
        <v>50</v>
      </c>
      <c r="D26" s="171" t="s">
        <v>62</v>
      </c>
    </row>
    <row r="27" spans="2:8" x14ac:dyDescent="0.25">
      <c r="C27" s="18" t="s">
        <v>53</v>
      </c>
      <c r="D27" s="171" t="s">
        <v>63</v>
      </c>
    </row>
    <row r="28" spans="2:8" x14ac:dyDescent="0.25">
      <c r="C28" s="18" t="s">
        <v>55</v>
      </c>
      <c r="D28" s="171" t="s">
        <v>64</v>
      </c>
    </row>
    <row r="29" spans="2:8" ht="15.75" thickBot="1" x14ac:dyDescent="0.3">
      <c r="C29" s="18" t="s">
        <v>54</v>
      </c>
      <c r="D29" s="171" t="s">
        <v>65</v>
      </c>
    </row>
    <row r="30" spans="2:8" ht="15.75" customHeight="1" thickTop="1" thickBot="1" x14ac:dyDescent="0.3">
      <c r="C30" s="18" t="s">
        <v>273</v>
      </c>
      <c r="D30" s="176" t="b">
        <v>1</v>
      </c>
      <c r="F30" s="237" t="s">
        <v>274</v>
      </c>
      <c r="G30" s="238"/>
      <c r="H30" s="239"/>
    </row>
    <row r="31" spans="2:8" ht="15.75" thickTop="1" x14ac:dyDescent="0.25"/>
  </sheetData>
  <sheetProtection formatRows="0"/>
  <mergeCells count="7">
    <mergeCell ref="F9:H10"/>
    <mergeCell ref="F30:H30"/>
    <mergeCell ref="F11:H12"/>
    <mergeCell ref="F14:H17"/>
    <mergeCell ref="F19:H19"/>
    <mergeCell ref="F20:H21"/>
    <mergeCell ref="F22:H23"/>
  </mergeCells>
  <dataValidations count="1">
    <dataValidation type="list" allowBlank="1" showInputMessage="1" showErrorMessage="1" sqref="D11:D12 D30">
      <formula1>"True, False"</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92D050"/>
  </sheetPr>
  <dimension ref="C1:AH57"/>
  <sheetViews>
    <sheetView showGridLines="0" topLeftCell="B1" zoomScale="80" zoomScaleNormal="80" workbookViewId="0">
      <selection activeCell="I34" sqref="I34:T34"/>
    </sheetView>
  </sheetViews>
  <sheetFormatPr defaultRowHeight="15" x14ac:dyDescent="0.25"/>
  <cols>
    <col min="1" max="1" width="46.42578125" customWidth="1"/>
    <col min="2" max="2" width="4.5703125" customWidth="1"/>
    <col min="4" max="4" width="29.5703125" customWidth="1"/>
    <col min="5" max="34" width="13.140625" customWidth="1"/>
  </cols>
  <sheetData>
    <row r="1" spans="3:34" ht="86.25" customHeight="1" thickBot="1" x14ac:dyDescent="0.3"/>
    <row r="2" spans="3:34" ht="15.75" thickBot="1" x14ac:dyDescent="0.3">
      <c r="C2" s="141">
        <f>COUNTIF(D7:D56,"&lt;&gt;")</f>
        <v>32</v>
      </c>
      <c r="D2" s="142" t="s">
        <v>14</v>
      </c>
      <c r="G2" s="60"/>
      <c r="H2" s="60"/>
    </row>
    <row r="3" spans="3:34" ht="19.5" thickBot="1" x14ac:dyDescent="0.35">
      <c r="C3" s="143">
        <f>COUNTIF(E5:AH5,"&lt;&gt;")</f>
        <v>8</v>
      </c>
      <c r="D3" s="142" t="s">
        <v>15</v>
      </c>
      <c r="E3" s="245" t="s">
        <v>231</v>
      </c>
      <c r="F3" s="246"/>
      <c r="G3" s="246"/>
      <c r="H3" s="246"/>
      <c r="I3" s="246"/>
      <c r="J3" s="246"/>
      <c r="K3" s="246"/>
      <c r="L3" s="246"/>
      <c r="M3" s="246"/>
      <c r="N3" s="246"/>
      <c r="O3" s="246"/>
      <c r="P3" s="246"/>
      <c r="Q3" s="246"/>
      <c r="R3" s="246"/>
      <c r="S3" s="246"/>
      <c r="T3" s="246"/>
      <c r="U3" s="246"/>
      <c r="V3" s="246"/>
      <c r="W3" s="246"/>
      <c r="X3" s="246"/>
      <c r="Y3" s="246"/>
      <c r="Z3" s="246"/>
      <c r="AA3" s="246"/>
      <c r="AB3" s="246"/>
      <c r="AC3" s="246"/>
      <c r="AD3" s="246"/>
      <c r="AE3" s="246"/>
      <c r="AF3" s="246"/>
      <c r="AG3" s="246"/>
      <c r="AH3" s="247"/>
    </row>
    <row r="4" spans="3:34" ht="15.75" thickBot="1" x14ac:dyDescent="0.3">
      <c r="C4" s="143">
        <f>COUNTIF(F7:F56,"&lt;&gt;")</f>
        <v>20</v>
      </c>
      <c r="D4" s="142" t="s">
        <v>114</v>
      </c>
      <c r="E4" s="243">
        <v>1</v>
      </c>
      <c r="F4" s="244"/>
      <c r="G4" s="243">
        <f>E4+1</f>
        <v>2</v>
      </c>
      <c r="H4" s="244"/>
      <c r="I4" s="243">
        <f>G4+1</f>
        <v>3</v>
      </c>
      <c r="J4" s="244"/>
      <c r="K4" s="243">
        <f>I4+1</f>
        <v>4</v>
      </c>
      <c r="L4" s="244"/>
      <c r="M4" s="243">
        <f>K4+1</f>
        <v>5</v>
      </c>
      <c r="N4" s="244"/>
      <c r="O4" s="243">
        <f>M4+1</f>
        <v>6</v>
      </c>
      <c r="P4" s="244"/>
      <c r="Q4" s="243">
        <f>O4+1</f>
        <v>7</v>
      </c>
      <c r="R4" s="244"/>
      <c r="S4" s="243">
        <f>Q4+1</f>
        <v>8</v>
      </c>
      <c r="T4" s="244"/>
      <c r="U4" s="243">
        <f>S4+1</f>
        <v>9</v>
      </c>
      <c r="V4" s="244"/>
      <c r="W4" s="243">
        <f>U4+1</f>
        <v>10</v>
      </c>
      <c r="X4" s="244"/>
      <c r="Y4" s="243">
        <f>W4+1</f>
        <v>11</v>
      </c>
      <c r="Z4" s="244"/>
      <c r="AA4" s="243">
        <f>Y4+1</f>
        <v>12</v>
      </c>
      <c r="AB4" s="244"/>
      <c r="AC4" s="243">
        <f>AA4+1</f>
        <v>13</v>
      </c>
      <c r="AD4" s="244"/>
      <c r="AE4" s="243">
        <f>AC4+1</f>
        <v>14</v>
      </c>
      <c r="AF4" s="244"/>
      <c r="AG4" s="243">
        <f>AE4+1</f>
        <v>15</v>
      </c>
      <c r="AH4" s="244"/>
    </row>
    <row r="5" spans="3:34" ht="19.5" customHeight="1" thickBot="1" x14ac:dyDescent="0.3">
      <c r="C5" s="255" t="s">
        <v>9</v>
      </c>
      <c r="D5" s="140" t="s">
        <v>241</v>
      </c>
      <c r="E5" s="253" t="s">
        <v>352</v>
      </c>
      <c r="F5" s="254"/>
      <c r="G5" s="251" t="s">
        <v>353</v>
      </c>
      <c r="H5" s="252"/>
      <c r="I5" s="251" t="s">
        <v>354</v>
      </c>
      <c r="J5" s="252"/>
      <c r="K5" s="251" t="s">
        <v>355</v>
      </c>
      <c r="L5" s="252"/>
      <c r="M5" s="251" t="s">
        <v>356</v>
      </c>
      <c r="N5" s="252"/>
      <c r="O5" s="251" t="s">
        <v>358</v>
      </c>
      <c r="P5" s="252"/>
      <c r="Q5" s="251" t="s">
        <v>359</v>
      </c>
      <c r="R5" s="252"/>
      <c r="S5" s="251" t="s">
        <v>360</v>
      </c>
      <c r="T5" s="252"/>
      <c r="U5" s="251"/>
      <c r="V5" s="252"/>
      <c r="W5" s="251"/>
      <c r="X5" s="252"/>
      <c r="Y5" s="251"/>
      <c r="Z5" s="252"/>
      <c r="AA5" s="251"/>
      <c r="AB5" s="252"/>
      <c r="AC5" s="251"/>
      <c r="AD5" s="252"/>
      <c r="AE5" s="251"/>
      <c r="AF5" s="252"/>
      <c r="AG5" s="251"/>
      <c r="AH5" s="252"/>
    </row>
    <row r="6" spans="3:34" ht="32.25" customHeight="1" thickBot="1" x14ac:dyDescent="0.3">
      <c r="C6" s="256"/>
      <c r="D6" s="140" t="s">
        <v>10</v>
      </c>
      <c r="E6" s="75" t="s">
        <v>11</v>
      </c>
      <c r="F6" s="76" t="s">
        <v>12</v>
      </c>
      <c r="G6" s="75" t="s">
        <v>11</v>
      </c>
      <c r="H6" s="76" t="s">
        <v>12</v>
      </c>
      <c r="I6" s="75" t="s">
        <v>11</v>
      </c>
      <c r="J6" s="76" t="s">
        <v>12</v>
      </c>
      <c r="K6" s="75" t="s">
        <v>11</v>
      </c>
      <c r="L6" s="76" t="s">
        <v>12</v>
      </c>
      <c r="M6" s="75" t="s">
        <v>11</v>
      </c>
      <c r="N6" s="76" t="s">
        <v>12</v>
      </c>
      <c r="O6" s="75" t="s">
        <v>11</v>
      </c>
      <c r="P6" s="76" t="s">
        <v>12</v>
      </c>
      <c r="Q6" s="75" t="s">
        <v>11</v>
      </c>
      <c r="R6" s="76" t="s">
        <v>12</v>
      </c>
      <c r="S6" s="75" t="s">
        <v>11</v>
      </c>
      <c r="T6" s="76" t="s">
        <v>12</v>
      </c>
      <c r="U6" s="75" t="s">
        <v>11</v>
      </c>
      <c r="V6" s="76" t="s">
        <v>12</v>
      </c>
      <c r="W6" s="75" t="s">
        <v>11</v>
      </c>
      <c r="X6" s="76" t="s">
        <v>12</v>
      </c>
      <c r="Y6" s="75" t="s">
        <v>11</v>
      </c>
      <c r="Z6" s="76" t="s">
        <v>12</v>
      </c>
      <c r="AA6" s="75" t="s">
        <v>11</v>
      </c>
      <c r="AB6" s="76" t="s">
        <v>12</v>
      </c>
      <c r="AC6" s="75" t="s">
        <v>11</v>
      </c>
      <c r="AD6" s="76" t="s">
        <v>12</v>
      </c>
      <c r="AE6" s="75" t="s">
        <v>11</v>
      </c>
      <c r="AF6" s="76" t="s">
        <v>12</v>
      </c>
      <c r="AG6" s="75" t="s">
        <v>11</v>
      </c>
      <c r="AH6" s="76" t="s">
        <v>12</v>
      </c>
    </row>
    <row r="7" spans="3:34" x14ac:dyDescent="0.25">
      <c r="C7" s="78">
        <v>1</v>
      </c>
      <c r="D7" s="93">
        <v>2</v>
      </c>
      <c r="E7" s="62">
        <v>58</v>
      </c>
      <c r="F7" s="63">
        <v>68</v>
      </c>
      <c r="G7" s="62"/>
      <c r="H7" s="63"/>
      <c r="I7" s="62"/>
      <c r="J7" s="63"/>
      <c r="K7" s="62"/>
      <c r="L7" s="63"/>
      <c r="M7" s="62"/>
      <c r="N7" s="63"/>
      <c r="O7" s="62"/>
      <c r="P7" s="63"/>
      <c r="Q7" s="62"/>
      <c r="R7" s="63"/>
      <c r="S7" s="62">
        <v>53</v>
      </c>
      <c r="T7" s="63">
        <v>68</v>
      </c>
      <c r="U7" s="62"/>
      <c r="V7" s="63"/>
      <c r="W7" s="62"/>
      <c r="X7" s="63"/>
      <c r="Y7" s="62"/>
      <c r="Z7" s="63"/>
      <c r="AA7" s="62"/>
      <c r="AB7" s="63"/>
      <c r="AC7" s="62"/>
      <c r="AD7" s="63"/>
      <c r="AE7" s="62"/>
      <c r="AF7" s="63"/>
      <c r="AG7" s="62"/>
      <c r="AH7" s="63"/>
    </row>
    <row r="8" spans="3:34" x14ac:dyDescent="0.25">
      <c r="C8" s="79">
        <v>2</v>
      </c>
      <c r="D8" s="61">
        <v>4</v>
      </c>
      <c r="E8" s="62">
        <v>6</v>
      </c>
      <c r="F8" s="63">
        <v>39</v>
      </c>
      <c r="G8" s="62"/>
      <c r="H8" s="63"/>
      <c r="I8" s="62"/>
      <c r="J8" s="63"/>
      <c r="K8" s="62">
        <v>5</v>
      </c>
      <c r="L8" s="63">
        <v>38</v>
      </c>
      <c r="M8" s="62"/>
      <c r="N8" s="63"/>
      <c r="O8" s="62"/>
      <c r="P8" s="63"/>
      <c r="Q8" s="62"/>
      <c r="R8" s="63"/>
      <c r="S8" s="62"/>
      <c r="T8" s="63"/>
      <c r="U8" s="62"/>
      <c r="V8" s="63"/>
      <c r="W8" s="62"/>
      <c r="X8" s="63"/>
      <c r="Y8" s="62"/>
      <c r="Z8" s="63"/>
      <c r="AA8" s="62"/>
      <c r="AB8" s="63"/>
      <c r="AC8" s="62"/>
      <c r="AD8" s="63"/>
      <c r="AE8" s="62"/>
      <c r="AF8" s="63"/>
      <c r="AG8" s="62"/>
      <c r="AH8" s="63"/>
    </row>
    <row r="9" spans="3:34" x14ac:dyDescent="0.25">
      <c r="C9" s="79">
        <v>3</v>
      </c>
      <c r="D9" s="61">
        <v>7</v>
      </c>
      <c r="E9" s="62"/>
      <c r="F9" s="63"/>
      <c r="G9" s="62"/>
      <c r="H9" s="63"/>
      <c r="I9" s="62">
        <v>5</v>
      </c>
      <c r="J9" s="63">
        <v>80</v>
      </c>
      <c r="K9" s="62">
        <v>4</v>
      </c>
      <c r="L9" s="63">
        <v>80</v>
      </c>
      <c r="M9" s="62"/>
      <c r="N9" s="63"/>
      <c r="O9" s="62"/>
      <c r="P9" s="63"/>
      <c r="Q9" s="62"/>
      <c r="R9" s="63"/>
      <c r="S9" s="62"/>
      <c r="T9" s="63"/>
      <c r="U9" s="62"/>
      <c r="V9" s="63"/>
      <c r="W9" s="62"/>
      <c r="X9" s="63"/>
      <c r="Y9" s="62"/>
      <c r="Z9" s="63"/>
      <c r="AA9" s="62"/>
      <c r="AB9" s="63"/>
      <c r="AC9" s="62"/>
      <c r="AD9" s="63"/>
      <c r="AE9" s="62"/>
      <c r="AF9" s="63"/>
      <c r="AG9" s="62"/>
      <c r="AH9" s="63"/>
    </row>
    <row r="10" spans="3:34" x14ac:dyDescent="0.25">
      <c r="C10" s="79">
        <v>4</v>
      </c>
      <c r="D10" s="61">
        <v>8</v>
      </c>
      <c r="E10" s="62"/>
      <c r="F10" s="63"/>
      <c r="G10" s="62">
        <v>19</v>
      </c>
      <c r="H10" s="63">
        <v>34</v>
      </c>
      <c r="I10" s="62">
        <v>17</v>
      </c>
      <c r="J10" s="63">
        <v>36</v>
      </c>
      <c r="K10" s="62"/>
      <c r="L10" s="63"/>
      <c r="M10" s="62"/>
      <c r="N10" s="63"/>
      <c r="O10" s="62"/>
      <c r="P10" s="63"/>
      <c r="Q10" s="62"/>
      <c r="R10" s="63"/>
      <c r="S10" s="62"/>
      <c r="T10" s="63"/>
      <c r="U10" s="62"/>
      <c r="V10" s="63"/>
      <c r="W10" s="62"/>
      <c r="X10" s="63"/>
      <c r="Y10" s="62"/>
      <c r="Z10" s="63"/>
      <c r="AA10" s="62"/>
      <c r="AB10" s="63"/>
      <c r="AC10" s="62"/>
      <c r="AD10" s="63"/>
      <c r="AE10" s="62"/>
      <c r="AF10" s="63"/>
      <c r="AG10" s="62"/>
      <c r="AH10" s="63"/>
    </row>
    <row r="11" spans="3:34" x14ac:dyDescent="0.25">
      <c r="C11" s="79">
        <v>5</v>
      </c>
      <c r="D11" s="61">
        <v>9</v>
      </c>
      <c r="E11" s="62"/>
      <c r="F11" s="63"/>
      <c r="G11" s="62">
        <v>13</v>
      </c>
      <c r="H11" s="63">
        <v>50</v>
      </c>
      <c r="I11" s="62">
        <v>11</v>
      </c>
      <c r="J11" s="63">
        <v>52</v>
      </c>
      <c r="K11" s="62"/>
      <c r="L11" s="63"/>
      <c r="M11" s="62"/>
      <c r="N11" s="63"/>
      <c r="O11" s="62"/>
      <c r="P11" s="63"/>
      <c r="Q11" s="62"/>
      <c r="R11" s="63"/>
      <c r="S11" s="62"/>
      <c r="T11" s="63"/>
      <c r="U11" s="62"/>
      <c r="V11" s="63"/>
      <c r="W11" s="62"/>
      <c r="X11" s="63"/>
      <c r="Y11" s="62"/>
      <c r="Z11" s="63"/>
      <c r="AA11" s="62"/>
      <c r="AB11" s="63"/>
      <c r="AC11" s="62"/>
      <c r="AD11" s="63"/>
      <c r="AE11" s="62"/>
      <c r="AF11" s="63"/>
      <c r="AG11" s="62"/>
      <c r="AH11" s="63"/>
    </row>
    <row r="12" spans="3:34" x14ac:dyDescent="0.25">
      <c r="C12" s="79">
        <v>6</v>
      </c>
      <c r="D12" s="61">
        <v>10</v>
      </c>
      <c r="E12" s="62"/>
      <c r="F12" s="63"/>
      <c r="G12" s="62"/>
      <c r="H12" s="63"/>
      <c r="I12" s="62">
        <v>0</v>
      </c>
      <c r="J12" s="63">
        <v>33</v>
      </c>
      <c r="K12" s="62"/>
      <c r="L12" s="63"/>
      <c r="M12" s="62"/>
      <c r="N12" s="63"/>
      <c r="O12" s="62"/>
      <c r="P12" s="63"/>
      <c r="Q12" s="62"/>
      <c r="R12" s="63"/>
      <c r="S12" s="62">
        <v>1</v>
      </c>
      <c r="T12" s="63">
        <v>33</v>
      </c>
      <c r="U12" s="62"/>
      <c r="V12" s="63"/>
      <c r="W12" s="62"/>
      <c r="X12" s="63"/>
      <c r="Y12" s="62"/>
      <c r="Z12" s="63"/>
      <c r="AA12" s="62"/>
      <c r="AB12" s="63"/>
      <c r="AC12" s="62"/>
      <c r="AD12" s="63"/>
      <c r="AE12" s="62"/>
      <c r="AF12" s="63"/>
      <c r="AG12" s="62"/>
      <c r="AH12" s="63"/>
    </row>
    <row r="13" spans="3:34" x14ac:dyDescent="0.25">
      <c r="C13" s="79">
        <v>7</v>
      </c>
      <c r="D13" s="61">
        <v>11</v>
      </c>
      <c r="E13" s="62"/>
      <c r="F13" s="63"/>
      <c r="G13" s="62">
        <v>3</v>
      </c>
      <c r="H13" s="63">
        <v>32</v>
      </c>
      <c r="I13" s="62">
        <v>2</v>
      </c>
      <c r="J13" s="63">
        <v>32</v>
      </c>
      <c r="K13" s="62"/>
      <c r="L13" s="63"/>
      <c r="M13" s="62"/>
      <c r="N13" s="63"/>
      <c r="O13" s="62"/>
      <c r="P13" s="63"/>
      <c r="Q13" s="62"/>
      <c r="R13" s="63"/>
      <c r="S13" s="62"/>
      <c r="T13" s="63"/>
      <c r="U13" s="62"/>
      <c r="V13" s="63"/>
      <c r="W13" s="62"/>
      <c r="X13" s="63"/>
      <c r="Y13" s="62"/>
      <c r="Z13" s="63"/>
      <c r="AA13" s="62"/>
      <c r="AB13" s="63"/>
      <c r="AC13" s="62"/>
      <c r="AD13" s="63"/>
      <c r="AE13" s="62"/>
      <c r="AF13" s="63"/>
      <c r="AG13" s="62"/>
      <c r="AH13" s="63"/>
    </row>
    <row r="14" spans="3:34" x14ac:dyDescent="0.25">
      <c r="C14" s="79">
        <v>8</v>
      </c>
      <c r="D14" s="61">
        <v>13</v>
      </c>
      <c r="E14" s="62">
        <v>7</v>
      </c>
      <c r="F14" s="63">
        <v>15</v>
      </c>
      <c r="G14" s="62"/>
      <c r="H14" s="63"/>
      <c r="I14" s="62">
        <v>6</v>
      </c>
      <c r="J14" s="63">
        <v>15</v>
      </c>
      <c r="K14" s="62"/>
      <c r="L14" s="63"/>
      <c r="M14" s="62"/>
      <c r="N14" s="63"/>
      <c r="O14" s="62"/>
      <c r="P14" s="63"/>
      <c r="Q14" s="62"/>
      <c r="R14" s="63"/>
      <c r="S14" s="62"/>
      <c r="T14" s="63"/>
      <c r="U14" s="62"/>
      <c r="V14" s="63"/>
      <c r="W14" s="62"/>
      <c r="X14" s="63"/>
      <c r="Y14" s="62"/>
      <c r="Z14" s="63"/>
      <c r="AA14" s="62"/>
      <c r="AB14" s="63"/>
      <c r="AC14" s="62"/>
      <c r="AD14" s="63"/>
      <c r="AE14" s="62"/>
      <c r="AF14" s="63"/>
      <c r="AG14" s="62"/>
      <c r="AH14" s="63"/>
    </row>
    <row r="15" spans="3:34" x14ac:dyDescent="0.25">
      <c r="C15" s="79">
        <v>9</v>
      </c>
      <c r="D15" s="61">
        <v>15</v>
      </c>
      <c r="E15" s="62">
        <v>7</v>
      </c>
      <c r="F15" s="63">
        <v>20</v>
      </c>
      <c r="G15" s="62"/>
      <c r="H15" s="63"/>
      <c r="I15" s="62"/>
      <c r="J15" s="63"/>
      <c r="K15" s="62"/>
      <c r="L15" s="63"/>
      <c r="M15" s="62"/>
      <c r="N15" s="63"/>
      <c r="O15" s="62"/>
      <c r="P15" s="63"/>
      <c r="Q15" s="62"/>
      <c r="R15" s="63"/>
      <c r="S15" s="62">
        <v>13</v>
      </c>
      <c r="T15" s="63">
        <v>19</v>
      </c>
      <c r="U15" s="62"/>
      <c r="V15" s="63"/>
      <c r="W15" s="62"/>
      <c r="X15" s="63"/>
      <c r="Y15" s="62"/>
      <c r="Z15" s="63"/>
      <c r="AA15" s="62"/>
      <c r="AB15" s="63"/>
      <c r="AC15" s="62"/>
      <c r="AD15" s="63"/>
      <c r="AE15" s="62"/>
      <c r="AF15" s="63"/>
      <c r="AG15" s="62"/>
      <c r="AH15" s="63"/>
    </row>
    <row r="16" spans="3:34" x14ac:dyDescent="0.25">
      <c r="C16" s="79">
        <v>10</v>
      </c>
      <c r="D16" s="61">
        <v>18</v>
      </c>
      <c r="E16" s="62"/>
      <c r="F16" s="63"/>
      <c r="G16" s="62">
        <v>10</v>
      </c>
      <c r="H16" s="63">
        <v>35</v>
      </c>
      <c r="I16" s="62"/>
      <c r="J16" s="63"/>
      <c r="K16" s="62"/>
      <c r="L16" s="63"/>
      <c r="M16" s="62">
        <v>16</v>
      </c>
      <c r="N16" s="63">
        <v>35</v>
      </c>
      <c r="O16" s="62"/>
      <c r="P16" s="63"/>
      <c r="Q16" s="62"/>
      <c r="R16" s="63"/>
      <c r="S16" s="62"/>
      <c r="T16" s="63"/>
      <c r="U16" s="62"/>
      <c r="V16" s="63"/>
      <c r="W16" s="62"/>
      <c r="X16" s="63"/>
      <c r="Y16" s="62"/>
      <c r="Z16" s="63"/>
      <c r="AA16" s="62"/>
      <c r="AB16" s="63"/>
      <c r="AC16" s="62"/>
      <c r="AD16" s="63"/>
      <c r="AE16" s="62"/>
      <c r="AF16" s="63"/>
      <c r="AG16" s="62"/>
      <c r="AH16" s="63"/>
    </row>
    <row r="17" spans="3:34" x14ac:dyDescent="0.25">
      <c r="C17" s="79">
        <v>11</v>
      </c>
      <c r="D17" s="61">
        <v>21</v>
      </c>
      <c r="E17" s="62">
        <v>31</v>
      </c>
      <c r="F17" s="63">
        <v>50</v>
      </c>
      <c r="G17" s="62"/>
      <c r="H17" s="63"/>
      <c r="I17" s="62"/>
      <c r="J17" s="63"/>
      <c r="K17" s="62"/>
      <c r="L17" s="63"/>
      <c r="M17" s="62"/>
      <c r="N17" s="63"/>
      <c r="O17" s="62"/>
      <c r="P17" s="63"/>
      <c r="Q17" s="62">
        <v>32</v>
      </c>
      <c r="R17" s="63">
        <v>55</v>
      </c>
      <c r="S17" s="62"/>
      <c r="T17" s="63"/>
      <c r="U17" s="62"/>
      <c r="V17" s="63"/>
      <c r="W17" s="62"/>
      <c r="X17" s="63"/>
      <c r="Y17" s="62"/>
      <c r="Z17" s="63"/>
      <c r="AA17" s="62"/>
      <c r="AB17" s="63"/>
      <c r="AC17" s="62"/>
      <c r="AD17" s="63"/>
      <c r="AE17" s="62"/>
      <c r="AF17" s="63"/>
      <c r="AG17" s="62"/>
      <c r="AH17" s="63"/>
    </row>
    <row r="18" spans="3:34" x14ac:dyDescent="0.25">
      <c r="C18" s="79">
        <v>12</v>
      </c>
      <c r="D18" s="61">
        <v>22</v>
      </c>
      <c r="E18" s="62">
        <v>11</v>
      </c>
      <c r="F18" s="63">
        <v>44</v>
      </c>
      <c r="G18" s="62"/>
      <c r="H18" s="63"/>
      <c r="I18" s="62"/>
      <c r="J18" s="63"/>
      <c r="K18" s="62"/>
      <c r="L18" s="63"/>
      <c r="M18" s="62"/>
      <c r="N18" s="63"/>
      <c r="O18" s="62"/>
      <c r="P18" s="63"/>
      <c r="Q18" s="62"/>
      <c r="R18" s="63"/>
      <c r="S18" s="62">
        <v>15</v>
      </c>
      <c r="T18" s="63">
        <v>48</v>
      </c>
      <c r="U18" s="62"/>
      <c r="V18" s="63"/>
      <c r="W18" s="62"/>
      <c r="X18" s="63"/>
      <c r="Y18" s="62"/>
      <c r="Z18" s="63"/>
      <c r="AA18" s="62"/>
      <c r="AB18" s="63"/>
      <c r="AC18" s="62"/>
      <c r="AD18" s="63"/>
      <c r="AE18" s="62"/>
      <c r="AF18" s="63"/>
      <c r="AG18" s="62"/>
      <c r="AH18" s="63"/>
    </row>
    <row r="19" spans="3:34" x14ac:dyDescent="0.25">
      <c r="C19" s="79">
        <v>13</v>
      </c>
      <c r="D19" s="61">
        <v>24</v>
      </c>
      <c r="E19" s="62">
        <v>13</v>
      </c>
      <c r="F19" s="63">
        <v>81</v>
      </c>
      <c r="G19" s="62">
        <v>23</v>
      </c>
      <c r="H19" s="63">
        <v>94</v>
      </c>
      <c r="I19" s="62"/>
      <c r="J19" s="63"/>
      <c r="K19" s="62"/>
      <c r="L19" s="63"/>
      <c r="M19" s="62"/>
      <c r="N19" s="63"/>
      <c r="O19" s="62"/>
      <c r="P19" s="63"/>
      <c r="Q19" s="62"/>
      <c r="R19" s="63"/>
      <c r="S19" s="62"/>
      <c r="T19" s="63"/>
      <c r="U19" s="62"/>
      <c r="V19" s="63"/>
      <c r="W19" s="62"/>
      <c r="X19" s="63"/>
      <c r="Y19" s="62"/>
      <c r="Z19" s="63"/>
      <c r="AA19" s="62"/>
      <c r="AB19" s="63"/>
      <c r="AC19" s="62"/>
      <c r="AD19" s="63"/>
      <c r="AE19" s="62"/>
      <c r="AF19" s="63"/>
      <c r="AG19" s="62"/>
      <c r="AH19" s="63"/>
    </row>
    <row r="20" spans="3:34" x14ac:dyDescent="0.25">
      <c r="C20" s="79">
        <v>14</v>
      </c>
      <c r="D20" s="61">
        <v>25</v>
      </c>
      <c r="E20" s="62"/>
      <c r="F20" s="63"/>
      <c r="G20" s="62">
        <v>12</v>
      </c>
      <c r="H20" s="63">
        <v>56</v>
      </c>
      <c r="I20" s="62"/>
      <c r="J20" s="63"/>
      <c r="K20" s="62"/>
      <c r="L20" s="63"/>
      <c r="M20" s="62"/>
      <c r="N20" s="63"/>
      <c r="O20" s="62">
        <v>13</v>
      </c>
      <c r="P20" s="63">
        <v>55</v>
      </c>
      <c r="Q20" s="62"/>
      <c r="R20" s="63"/>
      <c r="S20" s="62"/>
      <c r="T20" s="63"/>
      <c r="U20" s="62"/>
      <c r="V20" s="63"/>
      <c r="W20" s="62"/>
      <c r="X20" s="63"/>
      <c r="Y20" s="62"/>
      <c r="Z20" s="63"/>
      <c r="AA20" s="62"/>
      <c r="AB20" s="63"/>
      <c r="AC20" s="62"/>
      <c r="AD20" s="63"/>
      <c r="AE20" s="62"/>
      <c r="AF20" s="63"/>
      <c r="AG20" s="62"/>
      <c r="AH20" s="63"/>
    </row>
    <row r="21" spans="3:34" x14ac:dyDescent="0.25">
      <c r="C21" s="79">
        <v>15</v>
      </c>
      <c r="D21" s="61">
        <v>27</v>
      </c>
      <c r="E21" s="62">
        <v>2</v>
      </c>
      <c r="F21" s="63">
        <v>11</v>
      </c>
      <c r="G21" s="62"/>
      <c r="H21" s="63"/>
      <c r="I21" s="62"/>
      <c r="J21" s="63"/>
      <c r="K21" s="62"/>
      <c r="L21" s="63"/>
      <c r="M21" s="62"/>
      <c r="N21" s="63"/>
      <c r="O21" s="62"/>
      <c r="P21" s="63"/>
      <c r="Q21" s="62"/>
      <c r="R21" s="63"/>
      <c r="S21" s="62">
        <v>8</v>
      </c>
      <c r="T21" s="63">
        <v>13</v>
      </c>
      <c r="U21" s="62"/>
      <c r="V21" s="63"/>
      <c r="W21" s="62"/>
      <c r="X21" s="63"/>
      <c r="Y21" s="62"/>
      <c r="Z21" s="63"/>
      <c r="AA21" s="62"/>
      <c r="AB21" s="63"/>
      <c r="AC21" s="62"/>
      <c r="AD21" s="63"/>
      <c r="AE21" s="62"/>
      <c r="AF21" s="63"/>
      <c r="AG21" s="62"/>
      <c r="AH21" s="63"/>
    </row>
    <row r="22" spans="3:34" x14ac:dyDescent="0.25">
      <c r="C22" s="79">
        <v>16</v>
      </c>
      <c r="D22" s="61">
        <v>30</v>
      </c>
      <c r="E22" s="62"/>
      <c r="F22" s="63"/>
      <c r="G22" s="62"/>
      <c r="H22" s="63"/>
      <c r="I22" s="62"/>
      <c r="J22" s="63"/>
      <c r="K22" s="62"/>
      <c r="L22" s="63"/>
      <c r="M22" s="62"/>
      <c r="N22" s="63"/>
      <c r="O22" s="62"/>
      <c r="P22" s="63"/>
      <c r="Q22" s="62">
        <v>1</v>
      </c>
      <c r="R22" s="63">
        <v>12</v>
      </c>
      <c r="S22" s="62">
        <v>1</v>
      </c>
      <c r="T22" s="63">
        <v>11</v>
      </c>
      <c r="U22" s="62"/>
      <c r="V22" s="63"/>
      <c r="W22" s="62"/>
      <c r="X22" s="63"/>
      <c r="Y22" s="62"/>
      <c r="Z22" s="63"/>
      <c r="AA22" s="62"/>
      <c r="AB22" s="63"/>
      <c r="AC22" s="62"/>
      <c r="AD22" s="63"/>
      <c r="AE22" s="62"/>
      <c r="AF22" s="63"/>
      <c r="AG22" s="62"/>
      <c r="AH22" s="63"/>
    </row>
    <row r="23" spans="3:34" x14ac:dyDescent="0.25">
      <c r="C23" s="79">
        <v>17</v>
      </c>
      <c r="D23" s="61">
        <v>36</v>
      </c>
      <c r="E23" s="62">
        <v>12</v>
      </c>
      <c r="F23" s="63">
        <v>64</v>
      </c>
      <c r="G23" s="62"/>
      <c r="H23" s="63"/>
      <c r="I23" s="62"/>
      <c r="J23" s="63"/>
      <c r="K23" s="62"/>
      <c r="L23" s="63"/>
      <c r="M23" s="62"/>
      <c r="N23" s="63"/>
      <c r="O23" s="62"/>
      <c r="P23" s="63"/>
      <c r="Q23" s="62">
        <v>17</v>
      </c>
      <c r="R23" s="63">
        <v>63</v>
      </c>
      <c r="S23" s="62"/>
      <c r="T23" s="63"/>
      <c r="U23" s="62"/>
      <c r="V23" s="63"/>
      <c r="W23" s="62"/>
      <c r="X23" s="63"/>
      <c r="Y23" s="62"/>
      <c r="Z23" s="63"/>
      <c r="AA23" s="62"/>
      <c r="AB23" s="63"/>
      <c r="AC23" s="62"/>
      <c r="AD23" s="63"/>
      <c r="AE23" s="62"/>
      <c r="AF23" s="63"/>
      <c r="AG23" s="62"/>
      <c r="AH23" s="63"/>
    </row>
    <row r="24" spans="3:34" x14ac:dyDescent="0.25">
      <c r="C24" s="79">
        <v>18</v>
      </c>
      <c r="D24" s="61">
        <v>46</v>
      </c>
      <c r="E24" s="62"/>
      <c r="F24" s="63"/>
      <c r="G24" s="62"/>
      <c r="H24" s="63"/>
      <c r="I24" s="62">
        <v>8</v>
      </c>
      <c r="J24" s="63">
        <v>31</v>
      </c>
      <c r="K24" s="62"/>
      <c r="L24" s="63"/>
      <c r="M24" s="62"/>
      <c r="N24" s="63"/>
      <c r="O24" s="62"/>
      <c r="P24" s="63"/>
      <c r="Q24" s="62"/>
      <c r="R24" s="63"/>
      <c r="S24" s="62">
        <v>13</v>
      </c>
      <c r="T24" s="63">
        <v>31</v>
      </c>
      <c r="U24" s="62"/>
      <c r="V24" s="63"/>
      <c r="W24" s="62"/>
      <c r="X24" s="63"/>
      <c r="Y24" s="62"/>
      <c r="Z24" s="63"/>
      <c r="AA24" s="62"/>
      <c r="AB24" s="63"/>
      <c r="AC24" s="62"/>
      <c r="AD24" s="63"/>
      <c r="AE24" s="62"/>
      <c r="AF24" s="63"/>
      <c r="AG24" s="62"/>
      <c r="AH24" s="63"/>
    </row>
    <row r="25" spans="3:34" x14ac:dyDescent="0.25">
      <c r="C25" s="79">
        <v>19</v>
      </c>
      <c r="D25" s="61">
        <v>47</v>
      </c>
      <c r="E25" s="62"/>
      <c r="F25" s="63"/>
      <c r="G25" s="62">
        <v>17</v>
      </c>
      <c r="H25" s="63">
        <v>54</v>
      </c>
      <c r="I25" s="62"/>
      <c r="J25" s="63"/>
      <c r="K25" s="62"/>
      <c r="L25" s="63"/>
      <c r="M25" s="62"/>
      <c r="N25" s="63"/>
      <c r="O25" s="62"/>
      <c r="P25" s="63"/>
      <c r="Q25" s="62"/>
      <c r="R25" s="63"/>
      <c r="S25" s="62">
        <v>16</v>
      </c>
      <c r="T25" s="63">
        <v>51</v>
      </c>
      <c r="U25" s="62"/>
      <c r="V25" s="63"/>
      <c r="W25" s="62"/>
      <c r="X25" s="63"/>
      <c r="Y25" s="62"/>
      <c r="Z25" s="63"/>
      <c r="AA25" s="62"/>
      <c r="AB25" s="63"/>
      <c r="AC25" s="62"/>
      <c r="AD25" s="63"/>
      <c r="AE25" s="62"/>
      <c r="AF25" s="63"/>
      <c r="AG25" s="62"/>
      <c r="AH25" s="63"/>
    </row>
    <row r="26" spans="3:34" x14ac:dyDescent="0.25">
      <c r="C26" s="79">
        <v>20</v>
      </c>
      <c r="D26" s="61">
        <v>48</v>
      </c>
      <c r="E26" s="62">
        <v>9</v>
      </c>
      <c r="F26" s="63">
        <v>46</v>
      </c>
      <c r="G26" s="62"/>
      <c r="H26" s="63"/>
      <c r="I26" s="62"/>
      <c r="J26" s="63"/>
      <c r="K26" s="62"/>
      <c r="L26" s="63"/>
      <c r="M26" s="62"/>
      <c r="N26" s="63"/>
      <c r="O26" s="62"/>
      <c r="P26" s="63"/>
      <c r="Q26" s="62">
        <v>10</v>
      </c>
      <c r="R26" s="63">
        <v>47</v>
      </c>
      <c r="S26" s="62"/>
      <c r="T26" s="63"/>
      <c r="U26" s="62"/>
      <c r="V26" s="63"/>
      <c r="W26" s="62"/>
      <c r="X26" s="63"/>
      <c r="Y26" s="62"/>
      <c r="Z26" s="63"/>
      <c r="AA26" s="62"/>
      <c r="AB26" s="63"/>
      <c r="AC26" s="62"/>
      <c r="AD26" s="63"/>
      <c r="AE26" s="62"/>
      <c r="AF26" s="63"/>
      <c r="AG26" s="62"/>
      <c r="AH26" s="63"/>
    </row>
    <row r="27" spans="3:34" x14ac:dyDescent="0.25">
      <c r="C27" s="79">
        <v>21</v>
      </c>
      <c r="D27" s="61">
        <v>49</v>
      </c>
      <c r="E27" s="62">
        <v>19</v>
      </c>
      <c r="F27" s="63">
        <v>59</v>
      </c>
      <c r="G27" s="62">
        <v>18</v>
      </c>
      <c r="H27" s="63">
        <v>60</v>
      </c>
      <c r="I27" s="62"/>
      <c r="J27" s="63"/>
      <c r="K27" s="62"/>
      <c r="L27" s="63"/>
      <c r="M27" s="62"/>
      <c r="N27" s="63"/>
      <c r="O27" s="62"/>
      <c r="P27" s="63"/>
      <c r="Q27" s="62"/>
      <c r="R27" s="63"/>
      <c r="S27" s="62"/>
      <c r="T27" s="63"/>
      <c r="U27" s="62"/>
      <c r="V27" s="63"/>
      <c r="W27" s="62"/>
      <c r="X27" s="63"/>
      <c r="Y27" s="62"/>
      <c r="Z27" s="63"/>
      <c r="AA27" s="62"/>
      <c r="AB27" s="63"/>
      <c r="AC27" s="62"/>
      <c r="AD27" s="63"/>
      <c r="AE27" s="62"/>
      <c r="AF27" s="63"/>
      <c r="AG27" s="62"/>
      <c r="AH27" s="63"/>
    </row>
    <row r="28" spans="3:34" x14ac:dyDescent="0.25">
      <c r="C28" s="79">
        <v>22</v>
      </c>
      <c r="D28" s="61">
        <v>50</v>
      </c>
      <c r="E28" s="62">
        <v>8</v>
      </c>
      <c r="F28" s="63">
        <v>31</v>
      </c>
      <c r="G28" s="62">
        <v>7</v>
      </c>
      <c r="H28" s="63">
        <v>32</v>
      </c>
      <c r="I28" s="62"/>
      <c r="J28" s="63"/>
      <c r="K28" s="62"/>
      <c r="L28" s="63"/>
      <c r="M28" s="62"/>
      <c r="N28" s="63"/>
      <c r="O28" s="62"/>
      <c r="P28" s="63"/>
      <c r="Q28" s="62"/>
      <c r="R28" s="63"/>
      <c r="S28" s="62"/>
      <c r="T28" s="63"/>
      <c r="U28" s="62"/>
      <c r="V28" s="63"/>
      <c r="W28" s="62"/>
      <c r="X28" s="63"/>
      <c r="Y28" s="62"/>
      <c r="Z28" s="63"/>
      <c r="AA28" s="62"/>
      <c r="AB28" s="63"/>
      <c r="AC28" s="62"/>
      <c r="AD28" s="63"/>
      <c r="AE28" s="62"/>
      <c r="AF28" s="63"/>
      <c r="AG28" s="62"/>
      <c r="AH28" s="63"/>
    </row>
    <row r="29" spans="3:34" x14ac:dyDescent="0.25">
      <c r="C29" s="79">
        <v>23</v>
      </c>
      <c r="D29" s="61">
        <v>51</v>
      </c>
      <c r="E29" s="62">
        <v>6</v>
      </c>
      <c r="F29" s="63">
        <v>9</v>
      </c>
      <c r="G29" s="62"/>
      <c r="H29" s="63"/>
      <c r="I29" s="62">
        <v>6</v>
      </c>
      <c r="J29" s="63">
        <v>9</v>
      </c>
      <c r="K29" s="62"/>
      <c r="L29" s="63"/>
      <c r="M29" s="62"/>
      <c r="N29" s="63"/>
      <c r="O29" s="62"/>
      <c r="P29" s="63"/>
      <c r="Q29" s="62"/>
      <c r="R29" s="63"/>
      <c r="S29" s="62"/>
      <c r="T29" s="63"/>
      <c r="U29" s="62"/>
      <c r="V29" s="63"/>
      <c r="W29" s="62"/>
      <c r="X29" s="63"/>
      <c r="Y29" s="62"/>
      <c r="Z29" s="63"/>
      <c r="AA29" s="62"/>
      <c r="AB29" s="63"/>
      <c r="AC29" s="62"/>
      <c r="AD29" s="63"/>
      <c r="AE29" s="62"/>
      <c r="AF29" s="63"/>
      <c r="AG29" s="62"/>
      <c r="AH29" s="63"/>
    </row>
    <row r="30" spans="3:34" x14ac:dyDescent="0.25">
      <c r="C30" s="79">
        <v>24</v>
      </c>
      <c r="D30" s="61">
        <v>52</v>
      </c>
      <c r="E30" s="62">
        <v>6</v>
      </c>
      <c r="F30" s="63">
        <v>31</v>
      </c>
      <c r="G30" s="62"/>
      <c r="H30" s="63"/>
      <c r="I30" s="62"/>
      <c r="J30" s="63"/>
      <c r="K30" s="62"/>
      <c r="L30" s="63"/>
      <c r="M30" s="62"/>
      <c r="N30" s="63"/>
      <c r="O30" s="62"/>
      <c r="P30" s="63"/>
      <c r="Q30" s="62">
        <v>13</v>
      </c>
      <c r="R30" s="63">
        <v>30</v>
      </c>
      <c r="S30" s="62"/>
      <c r="T30" s="63"/>
      <c r="U30" s="62"/>
      <c r="V30" s="63"/>
      <c r="W30" s="62"/>
      <c r="X30" s="63"/>
      <c r="Y30" s="62"/>
      <c r="Z30" s="63"/>
      <c r="AA30" s="62"/>
      <c r="AB30" s="63"/>
      <c r="AC30" s="62"/>
      <c r="AD30" s="63"/>
      <c r="AE30" s="62"/>
      <c r="AF30" s="63"/>
      <c r="AG30" s="62"/>
      <c r="AH30" s="63"/>
    </row>
    <row r="31" spans="3:34" x14ac:dyDescent="0.25">
      <c r="C31" s="79">
        <v>25</v>
      </c>
      <c r="D31" s="61">
        <v>53</v>
      </c>
      <c r="E31" s="62">
        <v>29</v>
      </c>
      <c r="F31" s="63">
        <v>74</v>
      </c>
      <c r="G31" s="62">
        <v>39</v>
      </c>
      <c r="H31" s="63">
        <v>74</v>
      </c>
      <c r="I31" s="62"/>
      <c r="J31" s="63"/>
      <c r="K31" s="62"/>
      <c r="L31" s="63"/>
      <c r="M31" s="62"/>
      <c r="N31" s="63"/>
      <c r="O31" s="62"/>
      <c r="P31" s="63"/>
      <c r="Q31" s="62"/>
      <c r="R31" s="63"/>
      <c r="S31" s="62"/>
      <c r="T31" s="63"/>
      <c r="U31" s="62"/>
      <c r="V31" s="63"/>
      <c r="W31" s="62"/>
      <c r="X31" s="63"/>
      <c r="Y31" s="62"/>
      <c r="Z31" s="63"/>
      <c r="AA31" s="62"/>
      <c r="AB31" s="63"/>
      <c r="AC31" s="62"/>
      <c r="AD31" s="63"/>
      <c r="AE31" s="62"/>
      <c r="AF31" s="63"/>
      <c r="AG31" s="62"/>
      <c r="AH31" s="63"/>
    </row>
    <row r="32" spans="3:34" x14ac:dyDescent="0.25">
      <c r="C32" s="79">
        <v>26</v>
      </c>
      <c r="D32" s="61">
        <v>57</v>
      </c>
      <c r="E32" s="62">
        <v>8</v>
      </c>
      <c r="F32" s="63">
        <v>24</v>
      </c>
      <c r="G32" s="62">
        <v>8</v>
      </c>
      <c r="H32" s="63">
        <v>22</v>
      </c>
      <c r="I32" s="62"/>
      <c r="J32" s="63"/>
      <c r="K32" s="62"/>
      <c r="L32" s="63"/>
      <c r="M32" s="62"/>
      <c r="N32" s="63"/>
      <c r="O32" s="62"/>
      <c r="P32" s="63"/>
      <c r="Q32" s="62"/>
      <c r="R32" s="63"/>
      <c r="S32" s="62"/>
      <c r="T32" s="63"/>
      <c r="U32" s="62"/>
      <c r="V32" s="63"/>
      <c r="W32" s="62"/>
      <c r="X32" s="63"/>
      <c r="Y32" s="62"/>
      <c r="Z32" s="63"/>
      <c r="AA32" s="62"/>
      <c r="AB32" s="63"/>
      <c r="AC32" s="62"/>
      <c r="AD32" s="63"/>
      <c r="AE32" s="62"/>
      <c r="AF32" s="63"/>
      <c r="AG32" s="62"/>
      <c r="AH32" s="63"/>
    </row>
    <row r="33" spans="3:34" ht="15.75" customHeight="1" x14ac:dyDescent="0.25">
      <c r="C33" s="79">
        <v>27</v>
      </c>
      <c r="D33" s="61">
        <v>58</v>
      </c>
      <c r="E33" s="62">
        <v>9</v>
      </c>
      <c r="F33" s="63">
        <v>28</v>
      </c>
      <c r="G33" s="62"/>
      <c r="H33" s="63"/>
      <c r="I33" s="62"/>
      <c r="J33" s="63"/>
      <c r="K33" s="62"/>
      <c r="L33" s="63"/>
      <c r="M33" s="62"/>
      <c r="N33" s="63"/>
      <c r="O33" s="62"/>
      <c r="P33" s="63"/>
      <c r="Q33" s="62"/>
      <c r="R33" s="63"/>
      <c r="S33" s="62">
        <v>6</v>
      </c>
      <c r="T33" s="63">
        <v>27</v>
      </c>
      <c r="U33" s="62"/>
      <c r="V33" s="63"/>
      <c r="W33" s="62"/>
      <c r="X33" s="63"/>
      <c r="Y33" s="62"/>
      <c r="Z33" s="63"/>
      <c r="AA33" s="62"/>
      <c r="AB33" s="63"/>
      <c r="AC33" s="62"/>
      <c r="AD33" s="63"/>
      <c r="AE33" s="62"/>
      <c r="AF33" s="63"/>
      <c r="AG33" s="62"/>
      <c r="AH33" s="63"/>
    </row>
    <row r="34" spans="3:34" x14ac:dyDescent="0.25">
      <c r="C34" s="79">
        <v>28</v>
      </c>
      <c r="D34" s="61">
        <v>60</v>
      </c>
      <c r="E34" s="62"/>
      <c r="F34" s="63"/>
      <c r="G34" s="62"/>
      <c r="H34" s="63"/>
      <c r="I34" s="62">
        <v>11</v>
      </c>
      <c r="J34" s="63">
        <v>32</v>
      </c>
      <c r="K34" s="62"/>
      <c r="L34" s="63"/>
      <c r="M34" s="62"/>
      <c r="N34" s="63"/>
      <c r="O34" s="62"/>
      <c r="P34" s="63"/>
      <c r="Q34" s="62"/>
      <c r="R34" s="63"/>
      <c r="S34" s="62">
        <v>21</v>
      </c>
      <c r="T34" s="63">
        <v>32</v>
      </c>
      <c r="U34" s="62"/>
      <c r="V34" s="63"/>
      <c r="W34" s="62"/>
      <c r="X34" s="63"/>
      <c r="Y34" s="62"/>
      <c r="Z34" s="63"/>
      <c r="AA34" s="62"/>
      <c r="AB34" s="63"/>
      <c r="AC34" s="62"/>
      <c r="AD34" s="63"/>
      <c r="AE34" s="62"/>
      <c r="AF34" s="63"/>
      <c r="AG34" s="62"/>
      <c r="AH34" s="63"/>
    </row>
    <row r="35" spans="3:34" x14ac:dyDescent="0.25">
      <c r="C35" s="79">
        <v>29</v>
      </c>
      <c r="D35" s="61">
        <v>62</v>
      </c>
      <c r="E35" s="62">
        <v>7</v>
      </c>
      <c r="F35" s="63">
        <v>24</v>
      </c>
      <c r="G35" s="62">
        <v>7</v>
      </c>
      <c r="H35" s="63">
        <v>23</v>
      </c>
      <c r="I35" s="62"/>
      <c r="J35" s="63"/>
      <c r="K35" s="62"/>
      <c r="L35" s="63"/>
      <c r="M35" s="62"/>
      <c r="N35" s="63"/>
      <c r="O35" s="62"/>
      <c r="P35" s="63"/>
      <c r="Q35" s="62"/>
      <c r="R35" s="63"/>
      <c r="S35" s="62"/>
      <c r="T35" s="63"/>
      <c r="U35" s="62"/>
      <c r="V35" s="63"/>
      <c r="W35" s="62"/>
      <c r="X35" s="63"/>
      <c r="Y35" s="62"/>
      <c r="Z35" s="63"/>
      <c r="AA35" s="62"/>
      <c r="AB35" s="63"/>
      <c r="AC35" s="62"/>
      <c r="AD35" s="63"/>
      <c r="AE35" s="62"/>
      <c r="AF35" s="63"/>
      <c r="AG35" s="62"/>
      <c r="AH35" s="63"/>
    </row>
    <row r="36" spans="3:34" x14ac:dyDescent="0.25">
      <c r="C36" s="79">
        <v>30</v>
      </c>
      <c r="D36" s="61">
        <v>63</v>
      </c>
      <c r="E36" s="62">
        <v>8</v>
      </c>
      <c r="F36" s="63">
        <v>19</v>
      </c>
      <c r="G36" s="62">
        <v>5</v>
      </c>
      <c r="H36" s="63">
        <v>16</v>
      </c>
      <c r="I36" s="62"/>
      <c r="J36" s="63"/>
      <c r="K36" s="62"/>
      <c r="L36" s="63"/>
      <c r="M36" s="62"/>
      <c r="N36" s="63"/>
      <c r="O36" s="62"/>
      <c r="P36" s="63"/>
      <c r="Q36" s="62"/>
      <c r="R36" s="63"/>
      <c r="S36" s="62"/>
      <c r="T36" s="63"/>
      <c r="U36" s="62"/>
      <c r="V36" s="63"/>
      <c r="W36" s="62"/>
      <c r="X36" s="63"/>
      <c r="Y36" s="62"/>
      <c r="Z36" s="63"/>
      <c r="AA36" s="62"/>
      <c r="AB36" s="63"/>
      <c r="AC36" s="62"/>
      <c r="AD36" s="63"/>
      <c r="AE36" s="62"/>
      <c r="AF36" s="63"/>
      <c r="AG36" s="62"/>
      <c r="AH36" s="63"/>
    </row>
    <row r="37" spans="3:34" x14ac:dyDescent="0.25">
      <c r="C37" s="79">
        <v>31</v>
      </c>
      <c r="D37" s="61">
        <v>66</v>
      </c>
      <c r="E37" s="62">
        <v>51</v>
      </c>
      <c r="F37" s="63">
        <v>73</v>
      </c>
      <c r="G37" s="62">
        <v>45</v>
      </c>
      <c r="H37" s="63">
        <v>71</v>
      </c>
      <c r="I37" s="62"/>
      <c r="J37" s="63"/>
      <c r="K37" s="62"/>
      <c r="L37" s="63"/>
      <c r="M37" s="62"/>
      <c r="N37" s="63"/>
      <c r="O37" s="62"/>
      <c r="P37" s="63"/>
      <c r="Q37" s="62"/>
      <c r="R37" s="63"/>
      <c r="S37" s="62"/>
      <c r="T37" s="63"/>
      <c r="U37" s="62"/>
      <c r="V37" s="63"/>
      <c r="W37" s="62"/>
      <c r="X37" s="63"/>
      <c r="Y37" s="62"/>
      <c r="Z37" s="63"/>
      <c r="AA37" s="62"/>
      <c r="AB37" s="63"/>
      <c r="AC37" s="62"/>
      <c r="AD37" s="63"/>
      <c r="AE37" s="62"/>
      <c r="AF37" s="63"/>
      <c r="AG37" s="62"/>
      <c r="AH37" s="63"/>
    </row>
    <row r="38" spans="3:34" x14ac:dyDescent="0.25">
      <c r="C38" s="79">
        <v>32</v>
      </c>
      <c r="D38" s="61">
        <v>68</v>
      </c>
      <c r="E38" s="62"/>
      <c r="F38" s="63"/>
      <c r="G38" s="62"/>
      <c r="H38" s="63"/>
      <c r="I38" s="62">
        <v>6</v>
      </c>
      <c r="J38" s="63">
        <v>43</v>
      </c>
      <c r="K38" s="62">
        <v>5</v>
      </c>
      <c r="L38" s="63">
        <v>44</v>
      </c>
      <c r="M38" s="62"/>
      <c r="N38" s="63"/>
      <c r="O38" s="62"/>
      <c r="P38" s="63"/>
      <c r="Q38" s="62"/>
      <c r="R38" s="63"/>
      <c r="S38" s="62"/>
      <c r="T38" s="63"/>
      <c r="U38" s="62"/>
      <c r="V38" s="63"/>
      <c r="W38" s="62"/>
      <c r="X38" s="63"/>
      <c r="Y38" s="62"/>
      <c r="Z38" s="63"/>
      <c r="AA38" s="62"/>
      <c r="AB38" s="63"/>
      <c r="AC38" s="62"/>
      <c r="AD38" s="63"/>
      <c r="AE38" s="62"/>
      <c r="AF38" s="63"/>
      <c r="AG38" s="62"/>
      <c r="AH38" s="63"/>
    </row>
    <row r="39" spans="3:34" x14ac:dyDescent="0.25">
      <c r="C39" s="79">
        <v>33</v>
      </c>
      <c r="D39" s="61"/>
      <c r="E39" s="62"/>
      <c r="F39" s="63"/>
      <c r="G39" s="62"/>
      <c r="H39" s="63"/>
      <c r="I39" s="62"/>
      <c r="J39" s="63"/>
      <c r="K39" s="62"/>
      <c r="L39" s="63"/>
      <c r="M39" s="62"/>
      <c r="N39" s="63"/>
      <c r="O39" s="62"/>
      <c r="P39" s="63"/>
      <c r="Q39" s="62"/>
      <c r="R39" s="63"/>
      <c r="S39" s="62"/>
      <c r="T39" s="63"/>
      <c r="U39" s="62"/>
      <c r="V39" s="63"/>
      <c r="W39" s="62"/>
      <c r="X39" s="63"/>
      <c r="Y39" s="62"/>
      <c r="Z39" s="63"/>
      <c r="AA39" s="62"/>
      <c r="AB39" s="63"/>
      <c r="AC39" s="62"/>
      <c r="AD39" s="63"/>
      <c r="AE39" s="62"/>
      <c r="AF39" s="63"/>
      <c r="AG39" s="62"/>
      <c r="AH39" s="63"/>
    </row>
    <row r="40" spans="3:34" x14ac:dyDescent="0.25">
      <c r="C40" s="79">
        <v>34</v>
      </c>
      <c r="D40" s="61"/>
      <c r="E40" s="62"/>
      <c r="F40" s="63"/>
      <c r="G40" s="62"/>
      <c r="H40" s="63"/>
      <c r="I40" s="62"/>
      <c r="J40" s="63"/>
      <c r="K40" s="62"/>
      <c r="L40" s="63"/>
      <c r="M40" s="62"/>
      <c r="N40" s="63"/>
      <c r="O40" s="62"/>
      <c r="P40" s="63"/>
      <c r="Q40" s="62"/>
      <c r="R40" s="63"/>
      <c r="S40" s="62"/>
      <c r="T40" s="63"/>
      <c r="U40" s="62"/>
      <c r="V40" s="63"/>
      <c r="W40" s="62"/>
      <c r="X40" s="63"/>
      <c r="Y40" s="62"/>
      <c r="Z40" s="63"/>
      <c r="AA40" s="62"/>
      <c r="AB40" s="63"/>
      <c r="AC40" s="62"/>
      <c r="AD40" s="63"/>
      <c r="AE40" s="62"/>
      <c r="AF40" s="63"/>
      <c r="AG40" s="62"/>
      <c r="AH40" s="63"/>
    </row>
    <row r="41" spans="3:34" x14ac:dyDescent="0.25">
      <c r="C41" s="79">
        <v>35</v>
      </c>
      <c r="D41" s="61"/>
      <c r="E41" s="62"/>
      <c r="F41" s="63"/>
      <c r="G41" s="62"/>
      <c r="H41" s="63"/>
      <c r="I41" s="62"/>
      <c r="J41" s="63"/>
      <c r="K41" s="62"/>
      <c r="L41" s="63"/>
      <c r="M41" s="62"/>
      <c r="N41" s="63"/>
      <c r="O41" s="62"/>
      <c r="P41" s="63"/>
      <c r="Q41" s="62"/>
      <c r="R41" s="63"/>
      <c r="S41" s="62"/>
      <c r="T41" s="63"/>
      <c r="U41" s="62"/>
      <c r="V41" s="63"/>
      <c r="W41" s="62"/>
      <c r="X41" s="63"/>
      <c r="Y41" s="62"/>
      <c r="Z41" s="63"/>
      <c r="AA41" s="62"/>
      <c r="AB41" s="63"/>
      <c r="AC41" s="62"/>
      <c r="AD41" s="63"/>
      <c r="AE41" s="62"/>
      <c r="AF41" s="63"/>
      <c r="AG41" s="62"/>
      <c r="AH41" s="63"/>
    </row>
    <row r="42" spans="3:34" x14ac:dyDescent="0.25">
      <c r="C42" s="79">
        <v>36</v>
      </c>
      <c r="D42" s="61"/>
      <c r="E42" s="62"/>
      <c r="F42" s="63"/>
      <c r="G42" s="62"/>
      <c r="H42" s="63"/>
      <c r="I42" s="62"/>
      <c r="J42" s="63"/>
      <c r="K42" s="62"/>
      <c r="L42" s="63"/>
      <c r="M42" s="62"/>
      <c r="N42" s="63"/>
      <c r="O42" s="62"/>
      <c r="P42" s="63"/>
      <c r="Q42" s="62"/>
      <c r="R42" s="63"/>
      <c r="S42" s="62"/>
      <c r="T42" s="63"/>
      <c r="U42" s="62"/>
      <c r="V42" s="63"/>
      <c r="W42" s="62"/>
      <c r="X42" s="63"/>
      <c r="Y42" s="62"/>
      <c r="Z42" s="63"/>
      <c r="AA42" s="62"/>
      <c r="AB42" s="63"/>
      <c r="AC42" s="62"/>
      <c r="AD42" s="63"/>
      <c r="AE42" s="62"/>
      <c r="AF42" s="63"/>
      <c r="AG42" s="62"/>
      <c r="AH42" s="63"/>
    </row>
    <row r="43" spans="3:34" x14ac:dyDescent="0.25">
      <c r="C43" s="79">
        <v>37</v>
      </c>
      <c r="D43" s="61"/>
      <c r="E43" s="62"/>
      <c r="F43" s="63"/>
      <c r="G43" s="62"/>
      <c r="H43" s="63"/>
      <c r="I43" s="62"/>
      <c r="J43" s="63"/>
      <c r="K43" s="62"/>
      <c r="L43" s="63"/>
      <c r="M43" s="62"/>
      <c r="N43" s="63"/>
      <c r="O43" s="62"/>
      <c r="P43" s="63"/>
      <c r="Q43" s="62"/>
      <c r="R43" s="63"/>
      <c r="S43" s="62"/>
      <c r="T43" s="63"/>
      <c r="U43" s="62"/>
      <c r="V43" s="63"/>
      <c r="W43" s="62"/>
      <c r="X43" s="63"/>
      <c r="Y43" s="62"/>
      <c r="Z43" s="63"/>
      <c r="AA43" s="62"/>
      <c r="AB43" s="63"/>
      <c r="AC43" s="62"/>
      <c r="AD43" s="63"/>
      <c r="AE43" s="62"/>
      <c r="AF43" s="63"/>
      <c r="AG43" s="62"/>
      <c r="AH43" s="63"/>
    </row>
    <row r="44" spans="3:34" x14ac:dyDescent="0.25">
      <c r="C44" s="79">
        <v>38</v>
      </c>
      <c r="D44" s="61"/>
      <c r="E44" s="62"/>
      <c r="F44" s="63"/>
      <c r="G44" s="62"/>
      <c r="H44" s="63"/>
      <c r="I44" s="62"/>
      <c r="J44" s="63"/>
      <c r="K44" s="62"/>
      <c r="L44" s="63"/>
      <c r="M44" s="62"/>
      <c r="N44" s="63"/>
      <c r="O44" s="62"/>
      <c r="P44" s="63"/>
      <c r="Q44" s="62"/>
      <c r="R44" s="63"/>
      <c r="S44" s="62"/>
      <c r="T44" s="63"/>
      <c r="U44" s="62"/>
      <c r="V44" s="63"/>
      <c r="W44" s="62"/>
      <c r="X44" s="63"/>
      <c r="Y44" s="62"/>
      <c r="Z44" s="63"/>
      <c r="AA44" s="62"/>
      <c r="AB44" s="63"/>
      <c r="AC44" s="62"/>
      <c r="AD44" s="63"/>
      <c r="AE44" s="62"/>
      <c r="AF44" s="63"/>
      <c r="AG44" s="62"/>
      <c r="AH44" s="63"/>
    </row>
    <row r="45" spans="3:34" x14ac:dyDescent="0.25">
      <c r="C45" s="79">
        <v>39</v>
      </c>
      <c r="D45" s="61"/>
      <c r="E45" s="62"/>
      <c r="F45" s="63"/>
      <c r="G45" s="62"/>
      <c r="H45" s="63"/>
      <c r="I45" s="62"/>
      <c r="J45" s="63"/>
      <c r="K45" s="62"/>
      <c r="L45" s="63"/>
      <c r="M45" s="62"/>
      <c r="N45" s="63"/>
      <c r="O45" s="62"/>
      <c r="P45" s="63"/>
      <c r="Q45" s="62"/>
      <c r="R45" s="63"/>
      <c r="S45" s="62"/>
      <c r="T45" s="63"/>
      <c r="U45" s="62"/>
      <c r="V45" s="63"/>
      <c r="W45" s="62"/>
      <c r="X45" s="63"/>
      <c r="Y45" s="62"/>
      <c r="Z45" s="63"/>
      <c r="AA45" s="62"/>
      <c r="AB45" s="63"/>
      <c r="AC45" s="62"/>
      <c r="AD45" s="63"/>
      <c r="AE45" s="62"/>
      <c r="AF45" s="63"/>
      <c r="AG45" s="62"/>
      <c r="AH45" s="63"/>
    </row>
    <row r="46" spans="3:34" x14ac:dyDescent="0.25">
      <c r="C46" s="79">
        <v>40</v>
      </c>
      <c r="D46" s="61"/>
      <c r="E46" s="62"/>
      <c r="F46" s="63"/>
      <c r="G46" s="62"/>
      <c r="H46" s="63"/>
      <c r="I46" s="62"/>
      <c r="J46" s="63"/>
      <c r="K46" s="62"/>
      <c r="L46" s="63"/>
      <c r="M46" s="62"/>
      <c r="N46" s="63"/>
      <c r="O46" s="62"/>
      <c r="P46" s="63"/>
      <c r="Q46" s="62"/>
      <c r="R46" s="63"/>
      <c r="S46" s="62"/>
      <c r="T46" s="63"/>
      <c r="U46" s="62"/>
      <c r="V46" s="63"/>
      <c r="W46" s="62"/>
      <c r="X46" s="63"/>
      <c r="Y46" s="62"/>
      <c r="Z46" s="63"/>
      <c r="AA46" s="62"/>
      <c r="AB46" s="63"/>
      <c r="AC46" s="62"/>
      <c r="AD46" s="63"/>
      <c r="AE46" s="62"/>
      <c r="AF46" s="63"/>
      <c r="AG46" s="62"/>
      <c r="AH46" s="63"/>
    </row>
    <row r="47" spans="3:34" x14ac:dyDescent="0.25">
      <c r="C47" s="79">
        <v>41</v>
      </c>
      <c r="D47" s="61"/>
      <c r="E47" s="62"/>
      <c r="F47" s="63"/>
      <c r="G47" s="62"/>
      <c r="H47" s="63"/>
      <c r="I47" s="62"/>
      <c r="J47" s="63"/>
      <c r="K47" s="62"/>
      <c r="L47" s="63"/>
      <c r="M47" s="62"/>
      <c r="N47" s="63"/>
      <c r="O47" s="62"/>
      <c r="P47" s="63"/>
      <c r="Q47" s="62"/>
      <c r="R47" s="63"/>
      <c r="S47" s="62"/>
      <c r="T47" s="63"/>
      <c r="U47" s="62"/>
      <c r="V47" s="63"/>
      <c r="W47" s="62"/>
      <c r="X47" s="63"/>
      <c r="Y47" s="62"/>
      <c r="Z47" s="63"/>
      <c r="AA47" s="62"/>
      <c r="AB47" s="63"/>
      <c r="AC47" s="62"/>
      <c r="AD47" s="63"/>
      <c r="AE47" s="62"/>
      <c r="AF47" s="63"/>
      <c r="AG47" s="62"/>
      <c r="AH47" s="63"/>
    </row>
    <row r="48" spans="3:34" x14ac:dyDescent="0.25">
      <c r="C48" s="79">
        <v>42</v>
      </c>
      <c r="D48" s="61"/>
      <c r="E48" s="62"/>
      <c r="F48" s="63"/>
      <c r="G48" s="62"/>
      <c r="H48" s="63"/>
      <c r="I48" s="62"/>
      <c r="J48" s="63"/>
      <c r="K48" s="62"/>
      <c r="L48" s="63"/>
      <c r="M48" s="62"/>
      <c r="N48" s="63"/>
      <c r="O48" s="62"/>
      <c r="P48" s="63"/>
      <c r="Q48" s="62"/>
      <c r="R48" s="63"/>
      <c r="S48" s="62"/>
      <c r="T48" s="63"/>
      <c r="U48" s="62"/>
      <c r="V48" s="63"/>
      <c r="W48" s="62"/>
      <c r="X48" s="63"/>
      <c r="Y48" s="62"/>
      <c r="Z48" s="63"/>
      <c r="AA48" s="62"/>
      <c r="AB48" s="63"/>
      <c r="AC48" s="62"/>
      <c r="AD48" s="63"/>
      <c r="AE48" s="62"/>
      <c r="AF48" s="63"/>
      <c r="AG48" s="62"/>
      <c r="AH48" s="63"/>
    </row>
    <row r="49" spans="3:34" x14ac:dyDescent="0.25">
      <c r="C49" s="79">
        <v>43</v>
      </c>
      <c r="D49" s="61"/>
      <c r="E49" s="62"/>
      <c r="F49" s="63"/>
      <c r="G49" s="62"/>
      <c r="H49" s="63"/>
      <c r="I49" s="62"/>
      <c r="J49" s="63"/>
      <c r="K49" s="62"/>
      <c r="L49" s="63"/>
      <c r="M49" s="62"/>
      <c r="N49" s="63"/>
      <c r="O49" s="62"/>
      <c r="P49" s="63"/>
      <c r="Q49" s="62"/>
      <c r="R49" s="63"/>
      <c r="S49" s="62"/>
      <c r="T49" s="63"/>
      <c r="U49" s="62"/>
      <c r="V49" s="63"/>
      <c r="W49" s="62"/>
      <c r="X49" s="63"/>
      <c r="Y49" s="62"/>
      <c r="Z49" s="63"/>
      <c r="AA49" s="62"/>
      <c r="AB49" s="63"/>
      <c r="AC49" s="62"/>
      <c r="AD49" s="63"/>
      <c r="AE49" s="62"/>
      <c r="AF49" s="63"/>
      <c r="AG49" s="62"/>
      <c r="AH49" s="63"/>
    </row>
    <row r="50" spans="3:34" x14ac:dyDescent="0.25">
      <c r="C50" s="79">
        <v>44</v>
      </c>
      <c r="D50" s="61"/>
      <c r="E50" s="62"/>
      <c r="F50" s="63"/>
      <c r="G50" s="62"/>
      <c r="H50" s="63"/>
      <c r="I50" s="62"/>
      <c r="J50" s="63"/>
      <c r="K50" s="62"/>
      <c r="L50" s="63"/>
      <c r="M50" s="62"/>
      <c r="N50" s="63"/>
      <c r="O50" s="62"/>
      <c r="P50" s="63"/>
      <c r="Q50" s="62"/>
      <c r="R50" s="63"/>
      <c r="S50" s="62"/>
      <c r="T50" s="63"/>
      <c r="U50" s="62"/>
      <c r="V50" s="63"/>
      <c r="W50" s="62"/>
      <c r="X50" s="63"/>
      <c r="Y50" s="62"/>
      <c r="Z50" s="63"/>
      <c r="AA50" s="62"/>
      <c r="AB50" s="63"/>
      <c r="AC50" s="62"/>
      <c r="AD50" s="63"/>
      <c r="AE50" s="62"/>
      <c r="AF50" s="63"/>
      <c r="AG50" s="62"/>
      <c r="AH50" s="63"/>
    </row>
    <row r="51" spans="3:34" x14ac:dyDescent="0.25">
      <c r="C51" s="79">
        <v>45</v>
      </c>
      <c r="D51" s="61"/>
      <c r="E51" s="62"/>
      <c r="F51" s="63"/>
      <c r="G51" s="62"/>
      <c r="H51" s="63"/>
      <c r="I51" s="62"/>
      <c r="J51" s="63"/>
      <c r="K51" s="62"/>
      <c r="L51" s="63"/>
      <c r="M51" s="62"/>
      <c r="N51" s="63"/>
      <c r="O51" s="62"/>
      <c r="P51" s="63"/>
      <c r="Q51" s="62"/>
      <c r="R51" s="63"/>
      <c r="S51" s="62"/>
      <c r="T51" s="63"/>
      <c r="U51" s="62"/>
      <c r="V51" s="63"/>
      <c r="W51" s="62"/>
      <c r="X51" s="63"/>
      <c r="Y51" s="62"/>
      <c r="Z51" s="63"/>
      <c r="AA51" s="62"/>
      <c r="AB51" s="63"/>
      <c r="AC51" s="62"/>
      <c r="AD51" s="63"/>
      <c r="AE51" s="62"/>
      <c r="AF51" s="63"/>
      <c r="AG51" s="62"/>
      <c r="AH51" s="63"/>
    </row>
    <row r="52" spans="3:34" ht="15.75" customHeight="1" x14ac:dyDescent="0.25">
      <c r="C52" s="79">
        <v>46</v>
      </c>
      <c r="D52" s="61"/>
      <c r="E52" s="62"/>
      <c r="F52" s="63"/>
      <c r="G52" s="62"/>
      <c r="H52" s="63"/>
      <c r="I52" s="62"/>
      <c r="J52" s="63"/>
      <c r="K52" s="62"/>
      <c r="L52" s="63"/>
      <c r="M52" s="62"/>
      <c r="N52" s="63"/>
      <c r="O52" s="62"/>
      <c r="P52" s="63"/>
      <c r="Q52" s="62"/>
      <c r="R52" s="63"/>
      <c r="S52" s="62"/>
      <c r="T52" s="63"/>
      <c r="U52" s="62"/>
      <c r="V52" s="63"/>
      <c r="W52" s="62"/>
      <c r="X52" s="63"/>
      <c r="Y52" s="62"/>
      <c r="Z52" s="63"/>
      <c r="AA52" s="62"/>
      <c r="AB52" s="63"/>
      <c r="AC52" s="62"/>
      <c r="AD52" s="63"/>
      <c r="AE52" s="62"/>
      <c r="AF52" s="63"/>
      <c r="AG52" s="62"/>
      <c r="AH52" s="63"/>
    </row>
    <row r="53" spans="3:34" x14ac:dyDescent="0.25">
      <c r="C53" s="79">
        <v>47</v>
      </c>
      <c r="D53" s="61"/>
      <c r="E53" s="62"/>
      <c r="F53" s="63"/>
      <c r="G53" s="62"/>
      <c r="H53" s="63"/>
      <c r="I53" s="62"/>
      <c r="J53" s="63"/>
      <c r="K53" s="62"/>
      <c r="L53" s="63"/>
      <c r="M53" s="62"/>
      <c r="N53" s="63"/>
      <c r="O53" s="62"/>
      <c r="P53" s="63"/>
      <c r="Q53" s="62"/>
      <c r="R53" s="63"/>
      <c r="S53" s="62"/>
      <c r="T53" s="63"/>
      <c r="U53" s="62"/>
      <c r="V53" s="63"/>
      <c r="W53" s="62"/>
      <c r="X53" s="63"/>
      <c r="Y53" s="62"/>
      <c r="Z53" s="63"/>
      <c r="AA53" s="62"/>
      <c r="AB53" s="63"/>
      <c r="AC53" s="62"/>
      <c r="AD53" s="63"/>
      <c r="AE53" s="62"/>
      <c r="AF53" s="63"/>
      <c r="AG53" s="62"/>
      <c r="AH53" s="63"/>
    </row>
    <row r="54" spans="3:34" x14ac:dyDescent="0.25">
      <c r="C54" s="79">
        <v>48</v>
      </c>
      <c r="D54" s="61"/>
      <c r="E54" s="62"/>
      <c r="F54" s="63"/>
      <c r="G54" s="62"/>
      <c r="H54" s="63"/>
      <c r="I54" s="62"/>
      <c r="J54" s="63"/>
      <c r="K54" s="62"/>
      <c r="L54" s="63"/>
      <c r="M54" s="62"/>
      <c r="N54" s="63"/>
      <c r="O54" s="62"/>
      <c r="P54" s="63"/>
      <c r="Q54" s="62"/>
      <c r="R54" s="63"/>
      <c r="S54" s="62"/>
      <c r="T54" s="63"/>
      <c r="U54" s="62"/>
      <c r="V54" s="63"/>
      <c r="W54" s="62"/>
      <c r="X54" s="63"/>
      <c r="Y54" s="62"/>
      <c r="Z54" s="63"/>
      <c r="AA54" s="62"/>
      <c r="AB54" s="63"/>
      <c r="AC54" s="62"/>
      <c r="AD54" s="63"/>
      <c r="AE54" s="62"/>
      <c r="AF54" s="63"/>
      <c r="AG54" s="62"/>
      <c r="AH54" s="63"/>
    </row>
    <row r="55" spans="3:34" x14ac:dyDescent="0.25">
      <c r="C55" s="79">
        <v>49</v>
      </c>
      <c r="D55" s="61"/>
      <c r="E55" s="62"/>
      <c r="F55" s="63"/>
      <c r="G55" s="62"/>
      <c r="H55" s="63"/>
      <c r="I55" s="62"/>
      <c r="J55" s="63"/>
      <c r="K55" s="62"/>
      <c r="L55" s="63"/>
      <c r="M55" s="62"/>
      <c r="N55" s="63"/>
      <c r="O55" s="62"/>
      <c r="P55" s="63"/>
      <c r="Q55" s="62"/>
      <c r="R55" s="63"/>
      <c r="S55" s="62"/>
      <c r="T55" s="63"/>
      <c r="U55" s="62"/>
      <c r="V55" s="63"/>
      <c r="W55" s="62"/>
      <c r="X55" s="63"/>
      <c r="Y55" s="62"/>
      <c r="Z55" s="63"/>
      <c r="AA55" s="62"/>
      <c r="AB55" s="63"/>
      <c r="AC55" s="62"/>
      <c r="AD55" s="63"/>
      <c r="AE55" s="62"/>
      <c r="AF55" s="63"/>
      <c r="AG55" s="62"/>
      <c r="AH55" s="63"/>
    </row>
    <row r="56" spans="3:34" ht="15.75" thickBot="1" x14ac:dyDescent="0.3">
      <c r="C56" s="80">
        <v>50</v>
      </c>
      <c r="D56" s="61"/>
      <c r="E56" s="62"/>
      <c r="F56" s="63"/>
      <c r="G56" s="62"/>
      <c r="H56" s="63"/>
      <c r="I56" s="62"/>
      <c r="J56" s="63"/>
      <c r="K56" s="62"/>
      <c r="L56" s="63"/>
      <c r="M56" s="62"/>
      <c r="N56" s="63"/>
      <c r="O56" s="62"/>
      <c r="P56" s="63"/>
      <c r="Q56" s="62"/>
      <c r="R56" s="63"/>
      <c r="S56" s="62"/>
      <c r="T56" s="63"/>
      <c r="U56" s="62"/>
      <c r="V56" s="63"/>
      <c r="W56" s="62"/>
      <c r="X56" s="63"/>
      <c r="Y56" s="62"/>
      <c r="Z56" s="63"/>
      <c r="AA56" s="62"/>
      <c r="AB56" s="63"/>
      <c r="AC56" s="62"/>
      <c r="AD56" s="63"/>
      <c r="AE56" s="62"/>
      <c r="AF56" s="63"/>
      <c r="AG56" s="62"/>
      <c r="AH56" s="63"/>
    </row>
    <row r="57" spans="3:34" ht="15.75" thickBot="1" x14ac:dyDescent="0.3">
      <c r="C57" s="77">
        <f>MIN(patient_totals)</f>
        <v>35</v>
      </c>
      <c r="D57" s="77">
        <f>SUM(patient_totals)</f>
        <v>2618</v>
      </c>
      <c r="E57" s="248">
        <f>IF(SUM(F7:F56)=0,"",SUM(F7:F56))</f>
        <v>810</v>
      </c>
      <c r="F57" s="249"/>
      <c r="G57" s="248">
        <f>IF(SUM(H7:H56)=0,"",SUM(H7:H56))</f>
        <v>653</v>
      </c>
      <c r="H57" s="249"/>
      <c r="I57" s="248">
        <f>IF(SUM(J7:J56)=0,"",SUM(J7:J56))</f>
        <v>363</v>
      </c>
      <c r="J57" s="249"/>
      <c r="K57" s="248">
        <f>IF(SUM(L7:L56)=0,"",SUM(L7:L56))</f>
        <v>162</v>
      </c>
      <c r="L57" s="249"/>
      <c r="M57" s="248">
        <f>IF(SUM(N7:N56)=0,"",SUM(N7:N56))</f>
        <v>35</v>
      </c>
      <c r="N57" s="249"/>
      <c r="O57" s="248">
        <f>IF(SUM(P7:P56)=0,"",SUM(P7:P56))</f>
        <v>55</v>
      </c>
      <c r="P57" s="249"/>
      <c r="Q57" s="248">
        <f>IF(SUM(R7:R56)=0,"",SUM(R7:R56))</f>
        <v>207</v>
      </c>
      <c r="R57" s="249"/>
      <c r="S57" s="248">
        <f>IF(SUM(T7:T56)=0,"",SUM(T7:T56))</f>
        <v>333</v>
      </c>
      <c r="T57" s="249"/>
      <c r="U57" s="248" t="str">
        <f>IF(SUM(V7:V56)=0,"",SUM(V7:V56))</f>
        <v/>
      </c>
      <c r="V57" s="249"/>
      <c r="W57" s="248" t="str">
        <f>IF(SUM(X7:X56)=0,"",SUM(X7:X56))</f>
        <v/>
      </c>
      <c r="X57" s="249"/>
      <c r="Y57" s="248" t="str">
        <f>IF(SUM(Z7:Z56)=0,"",SUM(Z7:Z56))</f>
        <v/>
      </c>
      <c r="Z57" s="249"/>
      <c r="AA57" s="248" t="str">
        <f>IF(SUM(AB7:AB56)=0,"",SUM(AB7:AB56))</f>
        <v/>
      </c>
      <c r="AB57" s="249"/>
      <c r="AC57" s="248" t="str">
        <f>IF(SUM(AD7:AD56)=0,"",SUM(AD7:AD56))</f>
        <v/>
      </c>
      <c r="AD57" s="249"/>
      <c r="AE57" s="248" t="str">
        <f>IF(SUM(AF7:AF56)=0,"",SUM(AF7:AF56))</f>
        <v/>
      </c>
      <c r="AF57" s="249"/>
      <c r="AG57" s="250" t="str">
        <f>IF(SUM(AH7:AH56)=0,"",SUM(AH7:AH56))</f>
        <v/>
      </c>
      <c r="AH57" s="249"/>
    </row>
  </sheetData>
  <sheetProtection selectLockedCells="1"/>
  <mergeCells count="47">
    <mergeCell ref="C5:C6"/>
    <mergeCell ref="E4:F4"/>
    <mergeCell ref="G4:H4"/>
    <mergeCell ref="I4:J4"/>
    <mergeCell ref="O5:P5"/>
    <mergeCell ref="Q5:R5"/>
    <mergeCell ref="S5:T5"/>
    <mergeCell ref="E5:F5"/>
    <mergeCell ref="G5:H5"/>
    <mergeCell ref="I5:J5"/>
    <mergeCell ref="K5:L5"/>
    <mergeCell ref="M5:N5"/>
    <mergeCell ref="AA5:AB5"/>
    <mergeCell ref="AC5:AD5"/>
    <mergeCell ref="AE5:AF5"/>
    <mergeCell ref="AG5:AH5"/>
    <mergeCell ref="U5:V5"/>
    <mergeCell ref="W5:X5"/>
    <mergeCell ref="Y5:Z5"/>
    <mergeCell ref="E57:F57"/>
    <mergeCell ref="G57:H57"/>
    <mergeCell ref="I57:J57"/>
    <mergeCell ref="K57:L57"/>
    <mergeCell ref="M57:N57"/>
    <mergeCell ref="O57:P57"/>
    <mergeCell ref="Q57:R57"/>
    <mergeCell ref="S57:T57"/>
    <mergeCell ref="U57:V57"/>
    <mergeCell ref="W57:X57"/>
    <mergeCell ref="Y57:Z57"/>
    <mergeCell ref="AA57:AB57"/>
    <mergeCell ref="AC57:AD57"/>
    <mergeCell ref="AE57:AF57"/>
    <mergeCell ref="AG57:AH57"/>
    <mergeCell ref="AE4:AF4"/>
    <mergeCell ref="AG4:AH4"/>
    <mergeCell ref="E3:AH3"/>
    <mergeCell ref="U4:V4"/>
    <mergeCell ref="W4:X4"/>
    <mergeCell ref="Y4:Z4"/>
    <mergeCell ref="AA4:AB4"/>
    <mergeCell ref="AC4:AD4"/>
    <mergeCell ref="K4:L4"/>
    <mergeCell ref="M4:N4"/>
    <mergeCell ref="O4:P4"/>
    <mergeCell ref="Q4:R4"/>
    <mergeCell ref="S4:T4"/>
  </mergeCells>
  <conditionalFormatting sqref="D8">
    <cfRule type="expression" dxfId="82" priority="83">
      <formula>$D7&lt;&gt;""</formula>
    </cfRule>
  </conditionalFormatting>
  <conditionalFormatting sqref="D9">
    <cfRule type="expression" dxfId="81" priority="82">
      <formula>$D8&lt;&gt;""</formula>
    </cfRule>
  </conditionalFormatting>
  <conditionalFormatting sqref="D10:D56">
    <cfRule type="expression" dxfId="80" priority="81">
      <formula>$D9&lt;&gt;""</formula>
    </cfRule>
  </conditionalFormatting>
  <conditionalFormatting sqref="G5:H5">
    <cfRule type="expression" dxfId="79" priority="80">
      <formula>E$5&lt;&gt;""</formula>
    </cfRule>
  </conditionalFormatting>
  <conditionalFormatting sqref="I5:AH5">
    <cfRule type="expression" dxfId="78" priority="79">
      <formula>G$5&lt;&gt;""</formula>
    </cfRule>
  </conditionalFormatting>
  <conditionalFormatting sqref="E7">
    <cfRule type="expression" dxfId="77" priority="76">
      <formula>AND($D7&lt;&gt;"",E$5&lt;&gt;"")</formula>
    </cfRule>
  </conditionalFormatting>
  <conditionalFormatting sqref="F7">
    <cfRule type="expression" dxfId="76" priority="75">
      <formula>AND($D7&lt;&gt;"",E$5&lt;&gt;"")</formula>
    </cfRule>
  </conditionalFormatting>
  <conditionalFormatting sqref="E8:E16 E21:E56">
    <cfRule type="expression" dxfId="75" priority="74">
      <formula>AND($D8&lt;&gt;"",E$5&lt;&gt;"")</formula>
    </cfRule>
  </conditionalFormatting>
  <conditionalFormatting sqref="F8:F16 F21:F56">
    <cfRule type="expression" dxfId="74" priority="73">
      <formula>AND($D8&lt;&gt;"",E$5&lt;&gt;"")</formula>
    </cfRule>
  </conditionalFormatting>
  <conditionalFormatting sqref="G7">
    <cfRule type="expression" dxfId="73" priority="72">
      <formula>AND($D7&lt;&gt;"",G$5&lt;&gt;"")</formula>
    </cfRule>
  </conditionalFormatting>
  <conditionalFormatting sqref="H7">
    <cfRule type="expression" dxfId="72" priority="71">
      <formula>AND($D7&lt;&gt;"",G$5&lt;&gt;"")</formula>
    </cfRule>
  </conditionalFormatting>
  <conditionalFormatting sqref="I7 K7 M7 O7 Q7 S7 U7 W7 Y7 AA7 AC7 AE7 AG7">
    <cfRule type="expression" dxfId="71" priority="70">
      <formula>AND($D7&lt;&gt;"",I$5&lt;&gt;"")</formula>
    </cfRule>
  </conditionalFormatting>
  <conditionalFormatting sqref="J7 L7 N7 P7 R7 T7 V7 X7 Z7 AB7 AD7 AF7 AH7">
    <cfRule type="expression" dxfId="70" priority="69">
      <formula>AND($D7&lt;&gt;"",I$5&lt;&gt;"")</formula>
    </cfRule>
  </conditionalFormatting>
  <conditionalFormatting sqref="G8:G12 G15 G23:G56">
    <cfRule type="expression" dxfId="69" priority="68">
      <formula>AND($D8&lt;&gt;"",G$5&lt;&gt;"")</formula>
    </cfRule>
  </conditionalFormatting>
  <conditionalFormatting sqref="H8:H12 H15 H23:H56">
    <cfRule type="expression" dxfId="68" priority="67">
      <formula>AND($D8&lt;&gt;"",G$5&lt;&gt;"")</formula>
    </cfRule>
  </conditionalFormatting>
  <conditionalFormatting sqref="I8:I11 O8:O17 Q8:Q17 S8:S17 U8:U18 W8:W14 Y8:Y56 AA8:AA56 AC8:AC56 AE8:AE56 AG8:AG56 K8:K11 M8:M17 K13:K17 I23:I56 W16:W18 K23:K56 M23:M56 S22:S56 Q22:Q56 O22:O56 W20:W56 U20:U56">
    <cfRule type="expression" dxfId="67" priority="66">
      <formula>AND($D8&lt;&gt;"",I$5&lt;&gt;"")</formula>
    </cfRule>
  </conditionalFormatting>
  <conditionalFormatting sqref="J8:J11 P8:P17 R8:R17 T8:T17 V8:V18 X8:X14 Z8:Z56 AB8:AB56 AD8:AD56 AF8:AF56 AH8:AH56 L8:L11 N8:N17 L13:L17 J23:J56 X16:X18 L23:L56 N23:N56 T22:T56 R22:R56 P22:P56 X20:X56 V20:V56">
    <cfRule type="expression" dxfId="66" priority="65">
      <formula>AND($D8&lt;&gt;"",I$5&lt;&gt;"")</formula>
    </cfRule>
  </conditionalFormatting>
  <conditionalFormatting sqref="M11:M17">
    <cfRule type="expression" dxfId="65" priority="64">
      <formula>AND($D11&lt;&gt;"",M$5&lt;&gt;"")</formula>
    </cfRule>
  </conditionalFormatting>
  <conditionalFormatting sqref="N11:N17">
    <cfRule type="expression" dxfId="64" priority="63">
      <formula>AND($D11&lt;&gt;"",M$5&lt;&gt;"")</formula>
    </cfRule>
  </conditionalFormatting>
  <conditionalFormatting sqref="M7">
    <cfRule type="expression" dxfId="63" priority="62">
      <formula>AND($D7&lt;&gt;"",M$5&lt;&gt;"")</formula>
    </cfRule>
  </conditionalFormatting>
  <conditionalFormatting sqref="N7">
    <cfRule type="expression" dxfId="62" priority="61">
      <formula>AND($D7&lt;&gt;"",M$5&lt;&gt;"")</formula>
    </cfRule>
  </conditionalFormatting>
  <conditionalFormatting sqref="K11">
    <cfRule type="expression" dxfId="61" priority="60">
      <formula>AND($D11&lt;&gt;"",K$5&lt;&gt;"")</formula>
    </cfRule>
  </conditionalFormatting>
  <conditionalFormatting sqref="L11">
    <cfRule type="expression" dxfId="60" priority="59">
      <formula>AND($D11&lt;&gt;"",K$5&lt;&gt;"")</formula>
    </cfRule>
  </conditionalFormatting>
  <conditionalFormatting sqref="K11">
    <cfRule type="expression" dxfId="59" priority="58">
      <formula>AND($D11&lt;&gt;"",K$5&lt;&gt;"")</formula>
    </cfRule>
  </conditionalFormatting>
  <conditionalFormatting sqref="L11">
    <cfRule type="expression" dxfId="58" priority="57">
      <formula>AND($D11&lt;&gt;"",K$5&lt;&gt;"")</formula>
    </cfRule>
  </conditionalFormatting>
  <conditionalFormatting sqref="M8">
    <cfRule type="expression" dxfId="57" priority="56">
      <formula>AND($D8&lt;&gt;"",M$5&lt;&gt;"")</formula>
    </cfRule>
  </conditionalFormatting>
  <conditionalFormatting sqref="N8">
    <cfRule type="expression" dxfId="56" priority="55">
      <formula>AND($D8&lt;&gt;"",M$5&lt;&gt;"")</formula>
    </cfRule>
  </conditionalFormatting>
  <conditionalFormatting sqref="G5:H5">
    <cfRule type="expression" dxfId="55" priority="54">
      <formula>E$5&lt;&gt;""</formula>
    </cfRule>
  </conditionalFormatting>
  <conditionalFormatting sqref="I5:R5">
    <cfRule type="expression" dxfId="54" priority="53">
      <formula>G$5&lt;&gt;""</formula>
    </cfRule>
  </conditionalFormatting>
  <conditionalFormatting sqref="G5:H5">
    <cfRule type="expression" dxfId="53" priority="52">
      <formula>E$5&lt;&gt;""</formula>
    </cfRule>
  </conditionalFormatting>
  <conditionalFormatting sqref="I5:R5">
    <cfRule type="expression" dxfId="52" priority="51">
      <formula>G$5&lt;&gt;""</formula>
    </cfRule>
  </conditionalFormatting>
  <conditionalFormatting sqref="K12 I12">
    <cfRule type="expression" dxfId="51" priority="50">
      <formula>AND($D12&lt;&gt;"",I$5&lt;&gt;"")</formula>
    </cfRule>
  </conditionalFormatting>
  <conditionalFormatting sqref="L12 J12">
    <cfRule type="expression" dxfId="50" priority="49">
      <formula>AND($D12&lt;&gt;"",I$5&lt;&gt;"")</formula>
    </cfRule>
  </conditionalFormatting>
  <conditionalFormatting sqref="G13">
    <cfRule type="expression" dxfId="49" priority="48">
      <formula>AND($D13&lt;&gt;"",G$5&lt;&gt;"")</formula>
    </cfRule>
  </conditionalFormatting>
  <conditionalFormatting sqref="H13">
    <cfRule type="expression" dxfId="48" priority="47">
      <formula>AND($D13&lt;&gt;"",G$5&lt;&gt;"")</formula>
    </cfRule>
  </conditionalFormatting>
  <conditionalFormatting sqref="I13">
    <cfRule type="expression" dxfId="47" priority="46">
      <formula>AND($D13&lt;&gt;"",I$5&lt;&gt;"")</formula>
    </cfRule>
  </conditionalFormatting>
  <conditionalFormatting sqref="J13">
    <cfRule type="expression" dxfId="46" priority="45">
      <formula>AND($D13&lt;&gt;"",I$5&lt;&gt;"")</formula>
    </cfRule>
  </conditionalFormatting>
  <conditionalFormatting sqref="G14">
    <cfRule type="expression" dxfId="45" priority="44">
      <formula>AND($D14&lt;&gt;"",G$5&lt;&gt;"")</formula>
    </cfRule>
  </conditionalFormatting>
  <conditionalFormatting sqref="H14">
    <cfRule type="expression" dxfId="44" priority="43">
      <formula>AND($D14&lt;&gt;"",G$5&lt;&gt;"")</formula>
    </cfRule>
  </conditionalFormatting>
  <conditionalFormatting sqref="I14">
    <cfRule type="expression" dxfId="43" priority="42">
      <formula>AND($D14&lt;&gt;"",I$5&lt;&gt;"")</formula>
    </cfRule>
  </conditionalFormatting>
  <conditionalFormatting sqref="J14">
    <cfRule type="expression" dxfId="42" priority="41">
      <formula>AND($D14&lt;&gt;"",I$5&lt;&gt;"")</formula>
    </cfRule>
  </conditionalFormatting>
  <conditionalFormatting sqref="I15">
    <cfRule type="expression" dxfId="41" priority="40">
      <formula>AND($D15&lt;&gt;"",I$5&lt;&gt;"")</formula>
    </cfRule>
  </conditionalFormatting>
  <conditionalFormatting sqref="J15">
    <cfRule type="expression" dxfId="40" priority="39">
      <formula>AND($D15&lt;&gt;"",I$5&lt;&gt;"")</formula>
    </cfRule>
  </conditionalFormatting>
  <conditionalFormatting sqref="W15">
    <cfRule type="expression" dxfId="39" priority="38">
      <formula>AND($D15&lt;&gt;"",W$5&lt;&gt;"")</formula>
    </cfRule>
  </conditionalFormatting>
  <conditionalFormatting sqref="X15">
    <cfRule type="expression" dxfId="38" priority="37">
      <formula>AND($D15&lt;&gt;"",W$5&lt;&gt;"")</formula>
    </cfRule>
  </conditionalFormatting>
  <conditionalFormatting sqref="G16">
    <cfRule type="expression" dxfId="37" priority="36">
      <formula>AND($D16&lt;&gt;"",G$5&lt;&gt;"")</formula>
    </cfRule>
  </conditionalFormatting>
  <conditionalFormatting sqref="H16">
    <cfRule type="expression" dxfId="36" priority="35">
      <formula>AND($D16&lt;&gt;"",G$5&lt;&gt;"")</formula>
    </cfRule>
  </conditionalFormatting>
  <conditionalFormatting sqref="I16">
    <cfRule type="expression" dxfId="35" priority="34">
      <formula>AND($D16&lt;&gt;"",I$5&lt;&gt;"")</formula>
    </cfRule>
  </conditionalFormatting>
  <conditionalFormatting sqref="J16">
    <cfRule type="expression" dxfId="34" priority="33">
      <formula>AND($D16&lt;&gt;"",I$5&lt;&gt;"")</formula>
    </cfRule>
  </conditionalFormatting>
  <conditionalFormatting sqref="E17">
    <cfRule type="expression" dxfId="33" priority="32">
      <formula>AND($D17&lt;&gt;"",E$5&lt;&gt;"")</formula>
    </cfRule>
  </conditionalFormatting>
  <conditionalFormatting sqref="F17">
    <cfRule type="expression" dxfId="32" priority="31">
      <formula>AND($D17&lt;&gt;"",E$5&lt;&gt;"")</formula>
    </cfRule>
  </conditionalFormatting>
  <conditionalFormatting sqref="G17">
    <cfRule type="expression" dxfId="31" priority="30">
      <formula>AND($D17&lt;&gt;"",G$5&lt;&gt;"")</formula>
    </cfRule>
  </conditionalFormatting>
  <conditionalFormatting sqref="H17">
    <cfRule type="expression" dxfId="30" priority="29">
      <formula>AND($D17&lt;&gt;"",G$5&lt;&gt;"")</formula>
    </cfRule>
  </conditionalFormatting>
  <conditionalFormatting sqref="I17">
    <cfRule type="expression" dxfId="29" priority="28">
      <formula>AND($D17&lt;&gt;"",I$5&lt;&gt;"")</formula>
    </cfRule>
  </conditionalFormatting>
  <conditionalFormatting sqref="J17">
    <cfRule type="expression" dxfId="28" priority="27">
      <formula>AND($D17&lt;&gt;"",I$5&lt;&gt;"")</formula>
    </cfRule>
  </conditionalFormatting>
  <conditionalFormatting sqref="E18">
    <cfRule type="expression" dxfId="27" priority="26">
      <formula>AND($D18&lt;&gt;"",E$5&lt;&gt;"")</formula>
    </cfRule>
  </conditionalFormatting>
  <conditionalFormatting sqref="F18">
    <cfRule type="expression" dxfId="26" priority="25">
      <formula>AND($D18&lt;&gt;"",E$5&lt;&gt;"")</formula>
    </cfRule>
  </conditionalFormatting>
  <conditionalFormatting sqref="G18">
    <cfRule type="expression" dxfId="25" priority="24">
      <formula>AND($D18&lt;&gt;"",G$5&lt;&gt;"")</formula>
    </cfRule>
  </conditionalFormatting>
  <conditionalFormatting sqref="H18">
    <cfRule type="expression" dxfId="24" priority="23">
      <formula>AND($D18&lt;&gt;"",G$5&lt;&gt;"")</formula>
    </cfRule>
  </conditionalFormatting>
  <conditionalFormatting sqref="I18 K18 M18 S18 Q18 O18">
    <cfRule type="expression" dxfId="23" priority="22">
      <formula>AND($D18&lt;&gt;"",I$5&lt;&gt;"")</formula>
    </cfRule>
  </conditionalFormatting>
  <conditionalFormatting sqref="J18 L18 N18 T18 R18 P18">
    <cfRule type="expression" dxfId="22" priority="21">
      <formula>AND($D18&lt;&gt;"",I$5&lt;&gt;"")</formula>
    </cfRule>
  </conditionalFormatting>
  <conditionalFormatting sqref="E19">
    <cfRule type="expression" dxfId="21" priority="20">
      <formula>AND($D19&lt;&gt;"",E$5&lt;&gt;"")</formula>
    </cfRule>
  </conditionalFormatting>
  <conditionalFormatting sqref="F19">
    <cfRule type="expression" dxfId="20" priority="19">
      <formula>AND($D19&lt;&gt;"",E$5&lt;&gt;"")</formula>
    </cfRule>
  </conditionalFormatting>
  <conditionalFormatting sqref="G19">
    <cfRule type="expression" dxfId="19" priority="18">
      <formula>AND($D19&lt;&gt;"",G$5&lt;&gt;"")</formula>
    </cfRule>
  </conditionalFormatting>
  <conditionalFormatting sqref="H19">
    <cfRule type="expression" dxfId="18" priority="17">
      <formula>AND($D19&lt;&gt;"",G$5&lt;&gt;"")</formula>
    </cfRule>
  </conditionalFormatting>
  <conditionalFormatting sqref="I19 K19 M19 S19 Q19 O19 W19 U19">
    <cfRule type="expression" dxfId="17" priority="16">
      <formula>AND($D19&lt;&gt;"",I$5&lt;&gt;"")</formula>
    </cfRule>
  </conditionalFormatting>
  <conditionalFormatting sqref="J19 L19 N19 T19 R19 P19 X19 V19">
    <cfRule type="expression" dxfId="16" priority="15">
      <formula>AND($D19&lt;&gt;"",I$5&lt;&gt;"")</formula>
    </cfRule>
  </conditionalFormatting>
  <conditionalFormatting sqref="E20">
    <cfRule type="expression" dxfId="15" priority="14">
      <formula>AND($D20&lt;&gt;"",E$5&lt;&gt;"")</formula>
    </cfRule>
  </conditionalFormatting>
  <conditionalFormatting sqref="F20">
    <cfRule type="expression" dxfId="14" priority="13">
      <formula>AND($D20&lt;&gt;"",E$5&lt;&gt;"")</formula>
    </cfRule>
  </conditionalFormatting>
  <conditionalFormatting sqref="G20">
    <cfRule type="expression" dxfId="13" priority="12">
      <formula>AND($D20&lt;&gt;"",G$5&lt;&gt;"")</formula>
    </cfRule>
  </conditionalFormatting>
  <conditionalFormatting sqref="H20">
    <cfRule type="expression" dxfId="12" priority="11">
      <formula>AND($D20&lt;&gt;"",G$5&lt;&gt;"")</formula>
    </cfRule>
  </conditionalFormatting>
  <conditionalFormatting sqref="I20 K20 M20 S20 Q20 O20">
    <cfRule type="expression" dxfId="11" priority="10">
      <formula>AND($D20&lt;&gt;"",I$5&lt;&gt;"")</formula>
    </cfRule>
  </conditionalFormatting>
  <conditionalFormatting sqref="J20 L20 N20 T20 R20 P20">
    <cfRule type="expression" dxfId="10" priority="9">
      <formula>AND($D20&lt;&gt;"",I$5&lt;&gt;"")</formula>
    </cfRule>
  </conditionalFormatting>
  <conditionalFormatting sqref="G21">
    <cfRule type="expression" dxfId="9" priority="8">
      <formula>AND($D21&lt;&gt;"",G$5&lt;&gt;"")</formula>
    </cfRule>
  </conditionalFormatting>
  <conditionalFormatting sqref="H21">
    <cfRule type="expression" dxfId="8" priority="7">
      <formula>AND($D21&lt;&gt;"",G$5&lt;&gt;"")</formula>
    </cfRule>
  </conditionalFormatting>
  <conditionalFormatting sqref="I21 K21 M21 S21 Q21 O21">
    <cfRule type="expression" dxfId="7" priority="6">
      <formula>AND($D21&lt;&gt;"",I$5&lt;&gt;"")</formula>
    </cfRule>
  </conditionalFormatting>
  <conditionalFormatting sqref="J21 L21 N21 T21 R21 P21">
    <cfRule type="expression" dxfId="6" priority="5">
      <formula>AND($D21&lt;&gt;"",I$5&lt;&gt;"")</formula>
    </cfRule>
  </conditionalFormatting>
  <conditionalFormatting sqref="G22">
    <cfRule type="expression" dxfId="5" priority="4">
      <formula>AND($D22&lt;&gt;"",G$5&lt;&gt;"")</formula>
    </cfRule>
  </conditionalFormatting>
  <conditionalFormatting sqref="H22">
    <cfRule type="expression" dxfId="4" priority="3">
      <formula>AND($D22&lt;&gt;"",G$5&lt;&gt;"")</formula>
    </cfRule>
  </conditionalFormatting>
  <conditionalFormatting sqref="I22 K22 M22">
    <cfRule type="expression" dxfId="3" priority="2">
      <formula>AND($D22&lt;&gt;"",I$5&lt;&gt;"")</formula>
    </cfRule>
  </conditionalFormatting>
  <conditionalFormatting sqref="J22 L22 N22">
    <cfRule type="expression" dxfId="2" priority="1">
      <formula>AND($D22&lt;&gt;"",I$5&lt;&gt;"")</formula>
    </cfRule>
  </conditionalFormatting>
  <dataValidations count="1">
    <dataValidation type="custom" allowBlank="1" showInputMessage="1" showErrorMessage="1" sqref="D19">
      <formula1>D18&lt;&gt;""</formula1>
    </dataValidation>
  </dataValidations>
  <pageMargins left="0.7" right="0.7" top="0.75" bottom="0.75" header="0.3" footer="0.3"/>
  <pageSetup orientation="portrait" r:id="rId1"/>
  <customProperties>
    <customPr name="SSCSheetTrackingNo" r:id="rId2"/>
  </customProperties>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B3:T59"/>
  <sheetViews>
    <sheetView showGridLines="0" workbookViewId="0">
      <selection activeCell="D6" sqref="D6:T53"/>
    </sheetView>
  </sheetViews>
  <sheetFormatPr defaultRowHeight="15" x14ac:dyDescent="0.25"/>
  <cols>
    <col min="2" max="2" width="14" customWidth="1"/>
    <col min="4" max="4" width="10.7109375" customWidth="1"/>
    <col min="5" max="5" width="39.42578125" customWidth="1"/>
  </cols>
  <sheetData>
    <row r="3" spans="2:20" ht="15.75" thickBot="1" x14ac:dyDescent="0.3">
      <c r="B3" t="s">
        <v>272</v>
      </c>
    </row>
    <row r="4" spans="2:20" ht="28.5" customHeight="1" x14ac:dyDescent="0.25">
      <c r="B4" s="19">
        <f>MAX(B5:B53)</f>
        <v>0.63047093152999878</v>
      </c>
      <c r="C4" s="28" t="s">
        <v>9</v>
      </c>
      <c r="D4" s="29" t="s">
        <v>139</v>
      </c>
      <c r="E4" s="30" t="s">
        <v>140</v>
      </c>
      <c r="F4" s="30">
        <v>1</v>
      </c>
      <c r="G4" s="30">
        <v>2</v>
      </c>
      <c r="H4" s="30">
        <v>3</v>
      </c>
      <c r="I4" s="30">
        <v>4</v>
      </c>
      <c r="J4" s="30">
        <v>5</v>
      </c>
      <c r="K4" s="30">
        <v>6</v>
      </c>
      <c r="L4" s="30">
        <v>7</v>
      </c>
      <c r="M4" s="30">
        <v>8</v>
      </c>
      <c r="N4" s="30">
        <v>9</v>
      </c>
      <c r="O4" s="30">
        <v>10</v>
      </c>
      <c r="P4" s="30">
        <v>11</v>
      </c>
      <c r="Q4" s="30">
        <v>12</v>
      </c>
      <c r="R4" s="30">
        <v>13</v>
      </c>
      <c r="S4" s="30">
        <v>14</v>
      </c>
      <c r="T4" s="33">
        <v>15</v>
      </c>
    </row>
    <row r="5" spans="2:20" x14ac:dyDescent="0.25">
      <c r="B5" s="31">
        <v>0.63047093152999878</v>
      </c>
      <c r="C5" s="26">
        <f>IF('WINBUGS data'!F17&lt;&gt;"",'WINBUGS data'!F17,"")</f>
        <v>1</v>
      </c>
      <c r="D5" s="31">
        <f>IFERROR(INDEX('WINBUGS data'!$F$17:$ZZ$65,MATCH(C5,'WINBUGS data'!$F$17:$F$65,0),MATCH("na[]",'WINBUGS data'!$F$16:$ZZ$16,0)),"")</f>
        <v>2</v>
      </c>
      <c r="E5" s="31" t="str">
        <f>CONCATENATE(IF(ISNUMBER(F5),F5,""),IF(ISNUMBER(G5),","&amp;G5,""),IF(ISNUMBER(H5),","&amp;H5,""),IF(ISNUMBER(I5),","&amp;I5,""),IF(ISNUMBER(J5),","&amp;J5,""),IF(ISNUMBER(K5),","&amp;K5,""),IF(ISNUMBER(L5),","&amp;L5,""),IF(ISNUMBER(M5),","&amp;M5,""),IF(ISNUMBER(N5),","&amp;N5,""),IF(ISNUMBER(O5),","&amp;O5,""),IF(ISNUMBER(P5),","&amp;P5,""),IF(ISNUMBER(Q5),","&amp;Q5,""),IF(ISNUMBER(R5),","&amp;R5,""),IF(ISNUMBER(S5),","&amp;S5,""),IF(ISNUMBER(T5),","&amp;T5,""))</f>
        <v>1,8</v>
      </c>
      <c r="F5" s="31">
        <f>IFERROR(INDEX('WINBUGS data'!$F$17:$ZZ$65,MATCH($C5,'WINBUGS data'!$F$17:$F$65,0),MATCH("t[,"&amp;F$4 &amp;"]",'WINBUGS data'!$F$16:$ZZ$16,0)),"")</f>
        <v>1</v>
      </c>
      <c r="G5" s="31">
        <f>IFERROR(INDEX('WINBUGS data'!$F$17:$ZZ$65,MATCH($C5,'WINBUGS data'!$F$17:$F$65,0),MATCH("t[,"&amp;G$4 &amp;"]",'WINBUGS data'!$F$16:$ZZ$16,0)),"")</f>
        <v>8</v>
      </c>
      <c r="H5" s="31" t="str">
        <f>IFERROR(INDEX('WINBUGS data'!$F$17:$ZZ$65,MATCH($C5,'WINBUGS data'!$F$17:$F$65,0),MATCH("t[,"&amp;H$4 &amp;"]",'WINBUGS data'!$F$16:$ZZ$16,0)),"")</f>
        <v>NA</v>
      </c>
      <c r="I5" s="31" t="str">
        <f>IFERROR(INDEX('WINBUGS data'!$F$17:$ZZ$65,MATCH($C5,'WINBUGS data'!$F$17:$F$65,0),MATCH("t[,"&amp;I$4 &amp;"]",'WINBUGS data'!$F$16:$ZZ$16,0)),"")</f>
        <v>NA</v>
      </c>
      <c r="J5" s="31" t="str">
        <f>IFERROR(INDEX('WINBUGS data'!$F$17:$ZZ$65,MATCH($C5,'WINBUGS data'!$F$17:$F$65,0),MATCH("t[,"&amp;J$4 &amp;"]",'WINBUGS data'!$F$16:$ZZ$16,0)),"")</f>
        <v>NA</v>
      </c>
      <c r="K5" s="31" t="str">
        <f>IFERROR(INDEX('WINBUGS data'!$F$17:$ZZ$65,MATCH($C5,'WINBUGS data'!$F$17:$F$65,0),MATCH("t[,"&amp;K$4 &amp;"]",'WINBUGS data'!$F$16:$ZZ$16,0)),"")</f>
        <v>NA</v>
      </c>
      <c r="L5" s="31" t="str">
        <f>IFERROR(INDEX('WINBUGS data'!$F$17:$ZZ$65,MATCH($C5,'WINBUGS data'!$F$17:$F$65,0),MATCH("t[,"&amp;L$4 &amp;"]",'WINBUGS data'!$F$16:$ZZ$16,0)),"")</f>
        <v>NA</v>
      </c>
      <c r="M5" s="31" t="str">
        <f>IFERROR(INDEX('WINBUGS data'!$F$17:$ZZ$65,MATCH($C5,'WINBUGS data'!$F$17:$F$65,0),MATCH("t[,"&amp;M$4 &amp;"]",'WINBUGS data'!$F$16:$ZZ$16,0)),"")</f>
        <v>NA</v>
      </c>
      <c r="N5" s="31" t="str">
        <f>IFERROR(INDEX('WINBUGS data'!$F$17:$ZZ$65,MATCH($C5,'WINBUGS data'!$F$17:$F$65,0),MATCH("t[,"&amp;N$4 &amp;"]",'WINBUGS data'!$F$16:$ZZ$16,0)),"")</f>
        <v/>
      </c>
      <c r="O5" s="31" t="str">
        <f>IFERROR(INDEX('WINBUGS data'!$F$17:$ZZ$65,MATCH($C5,'WINBUGS data'!$F$17:$F$65,0),MATCH("t[,"&amp;O$4 &amp;"]",'WINBUGS data'!$F$16:$ZZ$16,0)),"")</f>
        <v/>
      </c>
      <c r="P5" s="31" t="str">
        <f>IFERROR(INDEX('WINBUGS data'!$F$17:$ZZ$65,MATCH($C5,'WINBUGS data'!$F$17:$F$65,0),MATCH("t[,"&amp;P$4 &amp;"]",'WINBUGS data'!$F$16:$ZZ$16,0)),"")</f>
        <v/>
      </c>
      <c r="Q5" s="31" t="str">
        <f>IFERROR(INDEX('WINBUGS data'!$F$17:$ZZ$65,MATCH($C5,'WINBUGS data'!$F$17:$F$65,0),MATCH("t[,"&amp;Q$4 &amp;"]",'WINBUGS data'!$F$16:$ZZ$16,0)),"")</f>
        <v/>
      </c>
      <c r="R5" s="31" t="str">
        <f>IFERROR(INDEX('WINBUGS data'!$F$17:$ZZ$65,MATCH($C5,'WINBUGS data'!$F$17:$F$65,0),MATCH("t[,"&amp;R$4 &amp;"]",'WINBUGS data'!$F$16:$ZZ$16,0)),"")</f>
        <v/>
      </c>
      <c r="S5" s="31" t="str">
        <f>IFERROR(INDEX('WINBUGS data'!$F$17:$ZZ$65,MATCH($C5,'WINBUGS data'!$F$17:$F$65,0),MATCH("t[,"&amp;S$4 &amp;"]",'WINBUGS data'!$F$16:$ZZ$16,0)),"")</f>
        <v/>
      </c>
      <c r="T5" s="1" t="str">
        <f>IFERROR(INDEX('WINBUGS data'!$F$17:$ZZ$65,MATCH($C5,'WINBUGS data'!$F$17:$F$65,0),MATCH("t[,"&amp;T$4 &amp;"]",'WINBUGS data'!$F$16:$ZZ$16,0)),"")</f>
        <v/>
      </c>
    </row>
    <row r="6" spans="2:20" x14ac:dyDescent="0.25">
      <c r="B6" s="31">
        <v>0.44183275103569031</v>
      </c>
      <c r="C6" s="26">
        <f>IF('WINBUGS data'!F18&lt;&gt;"",'WINBUGS data'!F18,"")</f>
        <v>2</v>
      </c>
      <c r="D6" s="31">
        <f>IFERROR(INDEX('WINBUGS data'!$F$17:$ZZ$65,MATCH(C6,'WINBUGS data'!$F$17:$F$65,0),MATCH("na[]",'WINBUGS data'!$F$16:$ZZ$16,0)),"")</f>
        <v>2</v>
      </c>
      <c r="E6" s="31" t="str">
        <f t="shared" ref="E6:E53" si="0">CONCATENATE(IF(ISNUMBER(F6),F6,""),IF(ISNUMBER(G6),","&amp;G6,""),IF(ISNUMBER(H6),","&amp;H6,""),IF(ISNUMBER(I6),","&amp;I6,""),IF(ISNUMBER(J6),","&amp;J6,""),IF(ISNUMBER(K6),","&amp;K6,""),IF(ISNUMBER(L6),","&amp;L6,""),IF(ISNUMBER(M6),","&amp;M6,""),IF(ISNUMBER(N6),","&amp;N6,""),IF(ISNUMBER(O6),","&amp;O6,""),IF(ISNUMBER(P6),","&amp;P6,""),IF(ISNUMBER(Q6),","&amp;Q6,""),IF(ISNUMBER(R6),","&amp;R6,""),IF(ISNUMBER(S6),","&amp;S6,""),IF(ISNUMBER(T6),","&amp;T6,""))</f>
        <v>1,4</v>
      </c>
      <c r="F6" s="31">
        <f>IFERROR(INDEX('WINBUGS data'!$F$17:$ZZ$65,MATCH($C6,'WINBUGS data'!$F$17:$F$65,0),MATCH("t[,"&amp;F$4 &amp;"]",'WINBUGS data'!$F$16:$ZZ$16,0)),"")</f>
        <v>1</v>
      </c>
      <c r="G6" s="31">
        <f>IFERROR(INDEX('WINBUGS data'!$F$17:$ZZ$65,MATCH($C6,'WINBUGS data'!$F$17:$F$65,0),MATCH("t[,"&amp;G$4 &amp;"]",'WINBUGS data'!$F$16:$ZZ$16,0)),"")</f>
        <v>4</v>
      </c>
      <c r="H6" s="31" t="str">
        <f>IFERROR(INDEX('WINBUGS data'!$F$17:$ZZ$65,MATCH($C6,'WINBUGS data'!$F$17:$F$65,0),MATCH("t[,"&amp;H$4 &amp;"]",'WINBUGS data'!$F$16:$ZZ$16,0)),"")</f>
        <v>NA</v>
      </c>
      <c r="I6" s="31" t="str">
        <f>IFERROR(INDEX('WINBUGS data'!$F$17:$ZZ$65,MATCH($C6,'WINBUGS data'!$F$17:$F$65,0),MATCH("t[,"&amp;I$4 &amp;"]",'WINBUGS data'!$F$16:$ZZ$16,0)),"")</f>
        <v>NA</v>
      </c>
      <c r="J6" s="31" t="str">
        <f>IFERROR(INDEX('WINBUGS data'!$F$17:$ZZ$65,MATCH($C6,'WINBUGS data'!$F$17:$F$65,0),MATCH("t[,"&amp;J$4 &amp;"]",'WINBUGS data'!$F$16:$ZZ$16,0)),"")</f>
        <v>NA</v>
      </c>
      <c r="K6" s="31" t="str">
        <f>IFERROR(INDEX('WINBUGS data'!$F$17:$ZZ$65,MATCH($C6,'WINBUGS data'!$F$17:$F$65,0),MATCH("t[,"&amp;K$4 &amp;"]",'WINBUGS data'!$F$16:$ZZ$16,0)),"")</f>
        <v>NA</v>
      </c>
      <c r="L6" s="31" t="str">
        <f>IFERROR(INDEX('WINBUGS data'!$F$17:$ZZ$65,MATCH($C6,'WINBUGS data'!$F$17:$F$65,0),MATCH("t[,"&amp;L$4 &amp;"]",'WINBUGS data'!$F$16:$ZZ$16,0)),"")</f>
        <v>NA</v>
      </c>
      <c r="M6" s="31" t="str">
        <f>IFERROR(INDEX('WINBUGS data'!$F$17:$ZZ$65,MATCH($C6,'WINBUGS data'!$F$17:$F$65,0),MATCH("t[,"&amp;M$4 &amp;"]",'WINBUGS data'!$F$16:$ZZ$16,0)),"")</f>
        <v>NA</v>
      </c>
      <c r="N6" s="31" t="str">
        <f>IFERROR(INDEX('WINBUGS data'!$F$17:$ZZ$65,MATCH($C6,'WINBUGS data'!$F$17:$F$65,0),MATCH("t[,"&amp;N$4 &amp;"]",'WINBUGS data'!$F$16:$ZZ$16,0)),"")</f>
        <v/>
      </c>
      <c r="O6" s="31" t="str">
        <f>IFERROR(INDEX('WINBUGS data'!$F$17:$ZZ$65,MATCH($C6,'WINBUGS data'!$F$17:$F$65,0),MATCH("t[,"&amp;O$4 &amp;"]",'WINBUGS data'!$F$16:$ZZ$16,0)),"")</f>
        <v/>
      </c>
      <c r="P6" s="31" t="str">
        <f>IFERROR(INDEX('WINBUGS data'!$F$17:$ZZ$65,MATCH($C6,'WINBUGS data'!$F$17:$F$65,0),MATCH("t[,"&amp;P$4 &amp;"]",'WINBUGS data'!$F$16:$ZZ$16,0)),"")</f>
        <v/>
      </c>
      <c r="Q6" s="31" t="str">
        <f>IFERROR(INDEX('WINBUGS data'!$F$17:$ZZ$65,MATCH($C6,'WINBUGS data'!$F$17:$F$65,0),MATCH("t[,"&amp;Q$4 &amp;"]",'WINBUGS data'!$F$16:$ZZ$16,0)),"")</f>
        <v/>
      </c>
      <c r="R6" s="31" t="str">
        <f>IFERROR(INDEX('WINBUGS data'!$F$17:$ZZ$65,MATCH($C6,'WINBUGS data'!$F$17:$F$65,0),MATCH("t[,"&amp;R$4 &amp;"]",'WINBUGS data'!$F$16:$ZZ$16,0)),"")</f>
        <v/>
      </c>
      <c r="S6" s="31" t="str">
        <f>IFERROR(INDEX('WINBUGS data'!$F$17:$ZZ$65,MATCH($C6,'WINBUGS data'!$F$17:$F$65,0),MATCH("t[,"&amp;S$4 &amp;"]",'WINBUGS data'!$F$16:$ZZ$16,0)),"")</f>
        <v/>
      </c>
      <c r="T6" s="1" t="str">
        <f>IFERROR(INDEX('WINBUGS data'!$F$17:$ZZ$65,MATCH($C6,'WINBUGS data'!$F$17:$F$65,0),MATCH("t[,"&amp;T$4 &amp;"]",'WINBUGS data'!$F$16:$ZZ$16,0)),"")</f>
        <v/>
      </c>
    </row>
    <row r="7" spans="2:20" x14ac:dyDescent="0.25">
      <c r="B7" s="31">
        <v>0.32062622904777527</v>
      </c>
      <c r="C7" s="26">
        <f>IF('WINBUGS data'!F19&lt;&gt;"",'WINBUGS data'!F19,"")</f>
        <v>3</v>
      </c>
      <c r="D7" s="31">
        <f>IFERROR(INDEX('WINBUGS data'!$F$17:$ZZ$65,MATCH(C7,'WINBUGS data'!$F$17:$F$65,0),MATCH("na[]",'WINBUGS data'!$F$16:$ZZ$16,0)),"")</f>
        <v>2</v>
      </c>
      <c r="E7" s="31" t="str">
        <f t="shared" si="0"/>
        <v>3,4</v>
      </c>
      <c r="F7" s="31">
        <f>IFERROR(INDEX('WINBUGS data'!$F$17:$ZZ$65,MATCH($C7,'WINBUGS data'!$F$17:$F$65,0),MATCH("t[,"&amp;F$4 &amp;"]",'WINBUGS data'!$F$16:$ZZ$16,0)),"")</f>
        <v>3</v>
      </c>
      <c r="G7" s="31">
        <f>IFERROR(INDEX('WINBUGS data'!$F$17:$ZZ$65,MATCH($C7,'WINBUGS data'!$F$17:$F$65,0),MATCH("t[,"&amp;G$4 &amp;"]",'WINBUGS data'!$F$16:$ZZ$16,0)),"")</f>
        <v>4</v>
      </c>
      <c r="H7" s="31" t="str">
        <f>IFERROR(INDEX('WINBUGS data'!$F$17:$ZZ$65,MATCH($C7,'WINBUGS data'!$F$17:$F$65,0),MATCH("t[,"&amp;H$4 &amp;"]",'WINBUGS data'!$F$16:$ZZ$16,0)),"")</f>
        <v>NA</v>
      </c>
      <c r="I7" s="31" t="str">
        <f>IFERROR(INDEX('WINBUGS data'!$F$17:$ZZ$65,MATCH($C7,'WINBUGS data'!$F$17:$F$65,0),MATCH("t[,"&amp;I$4 &amp;"]",'WINBUGS data'!$F$16:$ZZ$16,0)),"")</f>
        <v>NA</v>
      </c>
      <c r="J7" s="31" t="str">
        <f>IFERROR(INDEX('WINBUGS data'!$F$17:$ZZ$65,MATCH($C7,'WINBUGS data'!$F$17:$F$65,0),MATCH("t[,"&amp;J$4 &amp;"]",'WINBUGS data'!$F$16:$ZZ$16,0)),"")</f>
        <v>NA</v>
      </c>
      <c r="K7" s="31" t="str">
        <f>IFERROR(INDEX('WINBUGS data'!$F$17:$ZZ$65,MATCH($C7,'WINBUGS data'!$F$17:$F$65,0),MATCH("t[,"&amp;K$4 &amp;"]",'WINBUGS data'!$F$16:$ZZ$16,0)),"")</f>
        <v>NA</v>
      </c>
      <c r="L7" s="31" t="str">
        <f>IFERROR(INDEX('WINBUGS data'!$F$17:$ZZ$65,MATCH($C7,'WINBUGS data'!$F$17:$F$65,0),MATCH("t[,"&amp;L$4 &amp;"]",'WINBUGS data'!$F$16:$ZZ$16,0)),"")</f>
        <v>NA</v>
      </c>
      <c r="M7" s="31" t="str">
        <f>IFERROR(INDEX('WINBUGS data'!$F$17:$ZZ$65,MATCH($C7,'WINBUGS data'!$F$17:$F$65,0),MATCH("t[,"&amp;M$4 &amp;"]",'WINBUGS data'!$F$16:$ZZ$16,0)),"")</f>
        <v>NA</v>
      </c>
      <c r="N7" s="31" t="str">
        <f>IFERROR(INDEX('WINBUGS data'!$F$17:$ZZ$65,MATCH($C7,'WINBUGS data'!$F$17:$F$65,0),MATCH("t[,"&amp;N$4 &amp;"]",'WINBUGS data'!$F$16:$ZZ$16,0)),"")</f>
        <v/>
      </c>
      <c r="O7" s="31" t="str">
        <f>IFERROR(INDEX('WINBUGS data'!$F$17:$ZZ$65,MATCH($C7,'WINBUGS data'!$F$17:$F$65,0),MATCH("t[,"&amp;O$4 &amp;"]",'WINBUGS data'!$F$16:$ZZ$16,0)),"")</f>
        <v/>
      </c>
      <c r="P7" s="31" t="str">
        <f>IFERROR(INDEX('WINBUGS data'!$F$17:$ZZ$65,MATCH($C7,'WINBUGS data'!$F$17:$F$65,0),MATCH("t[,"&amp;P$4 &amp;"]",'WINBUGS data'!$F$16:$ZZ$16,0)),"")</f>
        <v/>
      </c>
      <c r="Q7" s="31" t="str">
        <f>IFERROR(INDEX('WINBUGS data'!$F$17:$ZZ$65,MATCH($C7,'WINBUGS data'!$F$17:$F$65,0),MATCH("t[,"&amp;Q$4 &amp;"]",'WINBUGS data'!$F$16:$ZZ$16,0)),"")</f>
        <v/>
      </c>
      <c r="R7" s="31" t="str">
        <f>IFERROR(INDEX('WINBUGS data'!$F$17:$ZZ$65,MATCH($C7,'WINBUGS data'!$F$17:$F$65,0),MATCH("t[,"&amp;R$4 &amp;"]",'WINBUGS data'!$F$16:$ZZ$16,0)),"")</f>
        <v/>
      </c>
      <c r="S7" s="31" t="str">
        <f>IFERROR(INDEX('WINBUGS data'!$F$17:$ZZ$65,MATCH($C7,'WINBUGS data'!$F$17:$F$65,0),MATCH("t[,"&amp;S$4 &amp;"]",'WINBUGS data'!$F$16:$ZZ$16,0)),"")</f>
        <v/>
      </c>
      <c r="T7" s="1" t="str">
        <f>IFERROR(INDEX('WINBUGS data'!$F$17:$ZZ$65,MATCH($C7,'WINBUGS data'!$F$17:$F$65,0),MATCH("t[,"&amp;T$4 &amp;"]",'WINBUGS data'!$F$16:$ZZ$16,0)),"")</f>
        <v/>
      </c>
    </row>
    <row r="8" spans="2:20" x14ac:dyDescent="0.25">
      <c r="B8" s="31">
        <v>0.32062622904777527</v>
      </c>
      <c r="C8" s="26">
        <f>IF('WINBUGS data'!F20&lt;&gt;"",'WINBUGS data'!F20,"")</f>
        <v>4</v>
      </c>
      <c r="D8" s="31">
        <f>IFERROR(INDEX('WINBUGS data'!$F$17:$ZZ$65,MATCH(C8,'WINBUGS data'!$F$17:$F$65,0),MATCH("na[]",'WINBUGS data'!$F$16:$ZZ$16,0)),"")</f>
        <v>2</v>
      </c>
      <c r="E8" s="31" t="str">
        <f t="shared" si="0"/>
        <v>2,3</v>
      </c>
      <c r="F8" s="31">
        <f>IFERROR(INDEX('WINBUGS data'!$F$17:$ZZ$65,MATCH($C8,'WINBUGS data'!$F$17:$F$65,0),MATCH("t[,"&amp;F$4 &amp;"]",'WINBUGS data'!$F$16:$ZZ$16,0)),"")</f>
        <v>2</v>
      </c>
      <c r="G8" s="31">
        <f>IFERROR(INDEX('WINBUGS data'!$F$17:$ZZ$65,MATCH($C8,'WINBUGS data'!$F$17:$F$65,0),MATCH("t[,"&amp;G$4 &amp;"]",'WINBUGS data'!$F$16:$ZZ$16,0)),"")</f>
        <v>3</v>
      </c>
      <c r="H8" s="31" t="str">
        <f>IFERROR(INDEX('WINBUGS data'!$F$17:$ZZ$65,MATCH($C8,'WINBUGS data'!$F$17:$F$65,0),MATCH("t[,"&amp;H$4 &amp;"]",'WINBUGS data'!$F$16:$ZZ$16,0)),"")</f>
        <v>NA</v>
      </c>
      <c r="I8" s="31" t="str">
        <f>IFERROR(INDEX('WINBUGS data'!$F$17:$ZZ$65,MATCH($C8,'WINBUGS data'!$F$17:$F$65,0),MATCH("t[,"&amp;I$4 &amp;"]",'WINBUGS data'!$F$16:$ZZ$16,0)),"")</f>
        <v>NA</v>
      </c>
      <c r="J8" s="31" t="str">
        <f>IFERROR(INDEX('WINBUGS data'!$F$17:$ZZ$65,MATCH($C8,'WINBUGS data'!$F$17:$F$65,0),MATCH("t[,"&amp;J$4 &amp;"]",'WINBUGS data'!$F$16:$ZZ$16,0)),"")</f>
        <v>NA</v>
      </c>
      <c r="K8" s="31" t="str">
        <f>IFERROR(INDEX('WINBUGS data'!$F$17:$ZZ$65,MATCH($C8,'WINBUGS data'!$F$17:$F$65,0),MATCH("t[,"&amp;K$4 &amp;"]",'WINBUGS data'!$F$16:$ZZ$16,0)),"")</f>
        <v>NA</v>
      </c>
      <c r="L8" s="31" t="str">
        <f>IFERROR(INDEX('WINBUGS data'!$F$17:$ZZ$65,MATCH($C8,'WINBUGS data'!$F$17:$F$65,0),MATCH("t[,"&amp;L$4 &amp;"]",'WINBUGS data'!$F$16:$ZZ$16,0)),"")</f>
        <v>NA</v>
      </c>
      <c r="M8" s="31" t="str">
        <f>IFERROR(INDEX('WINBUGS data'!$F$17:$ZZ$65,MATCH($C8,'WINBUGS data'!$F$17:$F$65,0),MATCH("t[,"&amp;M$4 &amp;"]",'WINBUGS data'!$F$16:$ZZ$16,0)),"")</f>
        <v>NA</v>
      </c>
      <c r="N8" s="31" t="str">
        <f>IFERROR(INDEX('WINBUGS data'!$F$17:$ZZ$65,MATCH($C8,'WINBUGS data'!$F$17:$F$65,0),MATCH("t[,"&amp;N$4 &amp;"]",'WINBUGS data'!$F$16:$ZZ$16,0)),"")</f>
        <v/>
      </c>
      <c r="O8" s="31" t="str">
        <f>IFERROR(INDEX('WINBUGS data'!$F$17:$ZZ$65,MATCH($C8,'WINBUGS data'!$F$17:$F$65,0),MATCH("t[,"&amp;O$4 &amp;"]",'WINBUGS data'!$F$16:$ZZ$16,0)),"")</f>
        <v/>
      </c>
      <c r="P8" s="31" t="str">
        <f>IFERROR(INDEX('WINBUGS data'!$F$17:$ZZ$65,MATCH($C8,'WINBUGS data'!$F$17:$F$65,0),MATCH("t[,"&amp;P$4 &amp;"]",'WINBUGS data'!$F$16:$ZZ$16,0)),"")</f>
        <v/>
      </c>
      <c r="Q8" s="31" t="str">
        <f>IFERROR(INDEX('WINBUGS data'!$F$17:$ZZ$65,MATCH($C8,'WINBUGS data'!$F$17:$F$65,0),MATCH("t[,"&amp;Q$4 &amp;"]",'WINBUGS data'!$F$16:$ZZ$16,0)),"")</f>
        <v/>
      </c>
      <c r="R8" s="31" t="str">
        <f>IFERROR(INDEX('WINBUGS data'!$F$17:$ZZ$65,MATCH($C8,'WINBUGS data'!$F$17:$F$65,0),MATCH("t[,"&amp;R$4 &amp;"]",'WINBUGS data'!$F$16:$ZZ$16,0)),"")</f>
        <v/>
      </c>
      <c r="S8" s="31" t="str">
        <f>IFERROR(INDEX('WINBUGS data'!$F$17:$ZZ$65,MATCH($C8,'WINBUGS data'!$F$17:$F$65,0),MATCH("t[,"&amp;S$4 &amp;"]",'WINBUGS data'!$F$16:$ZZ$16,0)),"")</f>
        <v/>
      </c>
      <c r="T8" s="1" t="str">
        <f>IFERROR(INDEX('WINBUGS data'!$F$17:$ZZ$65,MATCH($C8,'WINBUGS data'!$F$17:$F$65,0),MATCH("t[,"&amp;T$4 &amp;"]",'WINBUGS data'!$F$16:$ZZ$16,0)),"")</f>
        <v/>
      </c>
    </row>
    <row r="9" spans="2:20" x14ac:dyDescent="0.25">
      <c r="B9" s="31">
        <v>0.36359062790870667</v>
      </c>
      <c r="C9" s="26">
        <f>IF('WINBUGS data'!F21&lt;&gt;"",'WINBUGS data'!F21,"")</f>
        <v>5</v>
      </c>
      <c r="D9" s="31">
        <f>IFERROR(INDEX('WINBUGS data'!$F$17:$ZZ$65,MATCH(C9,'WINBUGS data'!$F$17:$F$65,0),MATCH("na[]",'WINBUGS data'!$F$16:$ZZ$16,0)),"")</f>
        <v>2</v>
      </c>
      <c r="E9" s="31" t="str">
        <f t="shared" si="0"/>
        <v>2,3</v>
      </c>
      <c r="F9" s="31">
        <f>IFERROR(INDEX('WINBUGS data'!$F$17:$ZZ$65,MATCH($C9,'WINBUGS data'!$F$17:$F$65,0),MATCH("t[,"&amp;F$4 &amp;"]",'WINBUGS data'!$F$16:$ZZ$16,0)),"")</f>
        <v>2</v>
      </c>
      <c r="G9" s="31">
        <f>IFERROR(INDEX('WINBUGS data'!$F$17:$ZZ$65,MATCH($C9,'WINBUGS data'!$F$17:$F$65,0),MATCH("t[,"&amp;G$4 &amp;"]",'WINBUGS data'!$F$16:$ZZ$16,0)),"")</f>
        <v>3</v>
      </c>
      <c r="H9" s="31" t="str">
        <f>IFERROR(INDEX('WINBUGS data'!$F$17:$ZZ$65,MATCH($C9,'WINBUGS data'!$F$17:$F$65,0),MATCH("t[,"&amp;H$4 &amp;"]",'WINBUGS data'!$F$16:$ZZ$16,0)),"")</f>
        <v>NA</v>
      </c>
      <c r="I9" s="31" t="str">
        <f>IFERROR(INDEX('WINBUGS data'!$F$17:$ZZ$65,MATCH($C9,'WINBUGS data'!$F$17:$F$65,0),MATCH("t[,"&amp;I$4 &amp;"]",'WINBUGS data'!$F$16:$ZZ$16,0)),"")</f>
        <v>NA</v>
      </c>
      <c r="J9" s="31" t="str">
        <f>IFERROR(INDEX('WINBUGS data'!$F$17:$ZZ$65,MATCH($C9,'WINBUGS data'!$F$17:$F$65,0),MATCH("t[,"&amp;J$4 &amp;"]",'WINBUGS data'!$F$16:$ZZ$16,0)),"")</f>
        <v>NA</v>
      </c>
      <c r="K9" s="31" t="str">
        <f>IFERROR(INDEX('WINBUGS data'!$F$17:$ZZ$65,MATCH($C9,'WINBUGS data'!$F$17:$F$65,0),MATCH("t[,"&amp;K$4 &amp;"]",'WINBUGS data'!$F$16:$ZZ$16,0)),"")</f>
        <v>NA</v>
      </c>
      <c r="L9" s="31" t="str">
        <f>IFERROR(INDEX('WINBUGS data'!$F$17:$ZZ$65,MATCH($C9,'WINBUGS data'!$F$17:$F$65,0),MATCH("t[,"&amp;L$4 &amp;"]",'WINBUGS data'!$F$16:$ZZ$16,0)),"")</f>
        <v>NA</v>
      </c>
      <c r="M9" s="31" t="str">
        <f>IFERROR(INDEX('WINBUGS data'!$F$17:$ZZ$65,MATCH($C9,'WINBUGS data'!$F$17:$F$65,0),MATCH("t[,"&amp;M$4 &amp;"]",'WINBUGS data'!$F$16:$ZZ$16,0)),"")</f>
        <v>NA</v>
      </c>
      <c r="N9" s="31" t="str">
        <f>IFERROR(INDEX('WINBUGS data'!$F$17:$ZZ$65,MATCH($C9,'WINBUGS data'!$F$17:$F$65,0),MATCH("t[,"&amp;N$4 &amp;"]",'WINBUGS data'!$F$16:$ZZ$16,0)),"")</f>
        <v/>
      </c>
      <c r="O9" s="31" t="str">
        <f>IFERROR(INDEX('WINBUGS data'!$F$17:$ZZ$65,MATCH($C9,'WINBUGS data'!$F$17:$F$65,0),MATCH("t[,"&amp;O$4 &amp;"]",'WINBUGS data'!$F$16:$ZZ$16,0)),"")</f>
        <v/>
      </c>
      <c r="P9" s="31" t="str">
        <f>IFERROR(INDEX('WINBUGS data'!$F$17:$ZZ$65,MATCH($C9,'WINBUGS data'!$F$17:$F$65,0),MATCH("t[,"&amp;P$4 &amp;"]",'WINBUGS data'!$F$16:$ZZ$16,0)),"")</f>
        <v/>
      </c>
      <c r="Q9" s="31" t="str">
        <f>IFERROR(INDEX('WINBUGS data'!$F$17:$ZZ$65,MATCH($C9,'WINBUGS data'!$F$17:$F$65,0),MATCH("t[,"&amp;Q$4 &amp;"]",'WINBUGS data'!$F$16:$ZZ$16,0)),"")</f>
        <v/>
      </c>
      <c r="R9" s="31" t="str">
        <f>IFERROR(INDEX('WINBUGS data'!$F$17:$ZZ$65,MATCH($C9,'WINBUGS data'!$F$17:$F$65,0),MATCH("t[,"&amp;R$4 &amp;"]",'WINBUGS data'!$F$16:$ZZ$16,0)),"")</f>
        <v/>
      </c>
      <c r="S9" s="31" t="str">
        <f>IFERROR(INDEX('WINBUGS data'!$F$17:$ZZ$65,MATCH($C9,'WINBUGS data'!$F$17:$F$65,0),MATCH("t[,"&amp;S$4 &amp;"]",'WINBUGS data'!$F$16:$ZZ$16,0)),"")</f>
        <v/>
      </c>
      <c r="T9" s="1" t="str">
        <f>IFERROR(INDEX('WINBUGS data'!$F$17:$ZZ$65,MATCH($C9,'WINBUGS data'!$F$17:$F$65,0),MATCH("t[,"&amp;T$4 &amp;"]",'WINBUGS data'!$F$16:$ZZ$16,0)),"")</f>
        <v/>
      </c>
    </row>
    <row r="10" spans="2:20" x14ac:dyDescent="0.25">
      <c r="B10" s="31">
        <v>0.40371066331863403</v>
      </c>
      <c r="C10" s="26">
        <f>IF('WINBUGS data'!F22&lt;&gt;"",'WINBUGS data'!F22,"")</f>
        <v>6</v>
      </c>
      <c r="D10" s="31">
        <f>IFERROR(INDEX('WINBUGS data'!$F$17:$ZZ$65,MATCH(C10,'WINBUGS data'!$F$17:$F$65,0),MATCH("na[]",'WINBUGS data'!$F$16:$ZZ$16,0)),"")</f>
        <v>2</v>
      </c>
      <c r="E10" s="31" t="str">
        <f t="shared" si="0"/>
        <v>3,8</v>
      </c>
      <c r="F10" s="31">
        <f>IFERROR(INDEX('WINBUGS data'!$F$17:$ZZ$65,MATCH($C10,'WINBUGS data'!$F$17:$F$65,0),MATCH("t[,"&amp;F$4 &amp;"]",'WINBUGS data'!$F$16:$ZZ$16,0)),"")</f>
        <v>3</v>
      </c>
      <c r="G10" s="31">
        <f>IFERROR(INDEX('WINBUGS data'!$F$17:$ZZ$65,MATCH($C10,'WINBUGS data'!$F$17:$F$65,0),MATCH("t[,"&amp;G$4 &amp;"]",'WINBUGS data'!$F$16:$ZZ$16,0)),"")</f>
        <v>8</v>
      </c>
      <c r="H10" s="31" t="str">
        <f>IFERROR(INDEX('WINBUGS data'!$F$17:$ZZ$65,MATCH($C10,'WINBUGS data'!$F$17:$F$65,0),MATCH("t[,"&amp;H$4 &amp;"]",'WINBUGS data'!$F$16:$ZZ$16,0)),"")</f>
        <v>NA</v>
      </c>
      <c r="I10" s="31" t="str">
        <f>IFERROR(INDEX('WINBUGS data'!$F$17:$ZZ$65,MATCH($C10,'WINBUGS data'!$F$17:$F$65,0),MATCH("t[,"&amp;I$4 &amp;"]",'WINBUGS data'!$F$16:$ZZ$16,0)),"")</f>
        <v>NA</v>
      </c>
      <c r="J10" s="31" t="str">
        <f>IFERROR(INDEX('WINBUGS data'!$F$17:$ZZ$65,MATCH($C10,'WINBUGS data'!$F$17:$F$65,0),MATCH("t[,"&amp;J$4 &amp;"]",'WINBUGS data'!$F$16:$ZZ$16,0)),"")</f>
        <v>NA</v>
      </c>
      <c r="K10" s="31" t="str">
        <f>IFERROR(INDEX('WINBUGS data'!$F$17:$ZZ$65,MATCH($C10,'WINBUGS data'!$F$17:$F$65,0),MATCH("t[,"&amp;K$4 &amp;"]",'WINBUGS data'!$F$16:$ZZ$16,0)),"")</f>
        <v>NA</v>
      </c>
      <c r="L10" s="31" t="str">
        <f>IFERROR(INDEX('WINBUGS data'!$F$17:$ZZ$65,MATCH($C10,'WINBUGS data'!$F$17:$F$65,0),MATCH("t[,"&amp;L$4 &amp;"]",'WINBUGS data'!$F$16:$ZZ$16,0)),"")</f>
        <v>NA</v>
      </c>
      <c r="M10" s="31" t="str">
        <f>IFERROR(INDEX('WINBUGS data'!$F$17:$ZZ$65,MATCH($C10,'WINBUGS data'!$F$17:$F$65,0),MATCH("t[,"&amp;M$4 &amp;"]",'WINBUGS data'!$F$16:$ZZ$16,0)),"")</f>
        <v>NA</v>
      </c>
      <c r="N10" s="31" t="str">
        <f>IFERROR(INDEX('WINBUGS data'!$F$17:$ZZ$65,MATCH($C10,'WINBUGS data'!$F$17:$F$65,0),MATCH("t[,"&amp;N$4 &amp;"]",'WINBUGS data'!$F$16:$ZZ$16,0)),"")</f>
        <v/>
      </c>
      <c r="O10" s="31" t="str">
        <f>IFERROR(INDEX('WINBUGS data'!$F$17:$ZZ$65,MATCH($C10,'WINBUGS data'!$F$17:$F$65,0),MATCH("t[,"&amp;O$4 &amp;"]",'WINBUGS data'!$F$16:$ZZ$16,0)),"")</f>
        <v/>
      </c>
      <c r="P10" s="31" t="str">
        <f>IFERROR(INDEX('WINBUGS data'!$F$17:$ZZ$65,MATCH($C10,'WINBUGS data'!$F$17:$F$65,0),MATCH("t[,"&amp;P$4 &amp;"]",'WINBUGS data'!$F$16:$ZZ$16,0)),"")</f>
        <v/>
      </c>
      <c r="Q10" s="31" t="str">
        <f>IFERROR(INDEX('WINBUGS data'!$F$17:$ZZ$65,MATCH($C10,'WINBUGS data'!$F$17:$F$65,0),MATCH("t[,"&amp;Q$4 &amp;"]",'WINBUGS data'!$F$16:$ZZ$16,0)),"")</f>
        <v/>
      </c>
      <c r="R10" s="31" t="str">
        <f>IFERROR(INDEX('WINBUGS data'!$F$17:$ZZ$65,MATCH($C10,'WINBUGS data'!$F$17:$F$65,0),MATCH("t[,"&amp;R$4 &amp;"]",'WINBUGS data'!$F$16:$ZZ$16,0)),"")</f>
        <v/>
      </c>
      <c r="S10" s="31" t="str">
        <f>IFERROR(INDEX('WINBUGS data'!$F$17:$ZZ$65,MATCH($C10,'WINBUGS data'!$F$17:$F$65,0),MATCH("t[,"&amp;S$4 &amp;"]",'WINBUGS data'!$F$16:$ZZ$16,0)),"")</f>
        <v/>
      </c>
      <c r="T10" s="1" t="str">
        <f>IFERROR(INDEX('WINBUGS data'!$F$17:$ZZ$65,MATCH($C10,'WINBUGS data'!$F$17:$F$65,0),MATCH("t[,"&amp;T$4 &amp;"]",'WINBUGS data'!$F$16:$ZZ$16,0)),"")</f>
        <v/>
      </c>
    </row>
    <row r="11" spans="2:20" x14ac:dyDescent="0.25">
      <c r="B11" s="31">
        <v>0.41823282837867737</v>
      </c>
      <c r="C11" s="26">
        <f>IF('WINBUGS data'!F23&lt;&gt;"",'WINBUGS data'!F23,"")</f>
        <v>7</v>
      </c>
      <c r="D11" s="31">
        <f>IFERROR(INDEX('WINBUGS data'!$F$17:$ZZ$65,MATCH(C11,'WINBUGS data'!$F$17:$F$65,0),MATCH("na[]",'WINBUGS data'!$F$16:$ZZ$16,0)),"")</f>
        <v>2</v>
      </c>
      <c r="E11" s="31" t="str">
        <f t="shared" si="0"/>
        <v>2,3</v>
      </c>
      <c r="F11" s="31">
        <f>IFERROR(INDEX('WINBUGS data'!$F$17:$ZZ$65,MATCH($C11,'WINBUGS data'!$F$17:$F$65,0),MATCH("t[,"&amp;F$4 &amp;"]",'WINBUGS data'!$F$16:$ZZ$16,0)),"")</f>
        <v>2</v>
      </c>
      <c r="G11" s="31">
        <f>IFERROR(INDEX('WINBUGS data'!$F$17:$ZZ$65,MATCH($C11,'WINBUGS data'!$F$17:$F$65,0),MATCH("t[,"&amp;G$4 &amp;"]",'WINBUGS data'!$F$16:$ZZ$16,0)),"")</f>
        <v>3</v>
      </c>
      <c r="H11" s="31" t="str">
        <f>IFERROR(INDEX('WINBUGS data'!$F$17:$ZZ$65,MATCH($C11,'WINBUGS data'!$F$17:$F$65,0),MATCH("t[,"&amp;H$4 &amp;"]",'WINBUGS data'!$F$16:$ZZ$16,0)),"")</f>
        <v>NA</v>
      </c>
      <c r="I11" s="31" t="str">
        <f>IFERROR(INDEX('WINBUGS data'!$F$17:$ZZ$65,MATCH($C11,'WINBUGS data'!$F$17:$F$65,0),MATCH("t[,"&amp;I$4 &amp;"]",'WINBUGS data'!$F$16:$ZZ$16,0)),"")</f>
        <v>NA</v>
      </c>
      <c r="J11" s="31" t="str">
        <f>IFERROR(INDEX('WINBUGS data'!$F$17:$ZZ$65,MATCH($C11,'WINBUGS data'!$F$17:$F$65,0),MATCH("t[,"&amp;J$4 &amp;"]",'WINBUGS data'!$F$16:$ZZ$16,0)),"")</f>
        <v>NA</v>
      </c>
      <c r="K11" s="31" t="str">
        <f>IFERROR(INDEX('WINBUGS data'!$F$17:$ZZ$65,MATCH($C11,'WINBUGS data'!$F$17:$F$65,0),MATCH("t[,"&amp;K$4 &amp;"]",'WINBUGS data'!$F$16:$ZZ$16,0)),"")</f>
        <v>NA</v>
      </c>
      <c r="L11" s="31" t="str">
        <f>IFERROR(INDEX('WINBUGS data'!$F$17:$ZZ$65,MATCH($C11,'WINBUGS data'!$F$17:$F$65,0),MATCH("t[,"&amp;L$4 &amp;"]",'WINBUGS data'!$F$16:$ZZ$16,0)),"")</f>
        <v>NA</v>
      </c>
      <c r="M11" s="31" t="str">
        <f>IFERROR(INDEX('WINBUGS data'!$F$17:$ZZ$65,MATCH($C11,'WINBUGS data'!$F$17:$F$65,0),MATCH("t[,"&amp;M$4 &amp;"]",'WINBUGS data'!$F$16:$ZZ$16,0)),"")</f>
        <v>NA</v>
      </c>
      <c r="N11" s="31" t="str">
        <f>IFERROR(INDEX('WINBUGS data'!$F$17:$ZZ$65,MATCH($C11,'WINBUGS data'!$F$17:$F$65,0),MATCH("t[,"&amp;N$4 &amp;"]",'WINBUGS data'!$F$16:$ZZ$16,0)),"")</f>
        <v/>
      </c>
      <c r="O11" s="31" t="str">
        <f>IFERROR(INDEX('WINBUGS data'!$F$17:$ZZ$65,MATCH($C11,'WINBUGS data'!$F$17:$F$65,0),MATCH("t[,"&amp;O$4 &amp;"]",'WINBUGS data'!$F$16:$ZZ$16,0)),"")</f>
        <v/>
      </c>
      <c r="P11" s="31" t="str">
        <f>IFERROR(INDEX('WINBUGS data'!$F$17:$ZZ$65,MATCH($C11,'WINBUGS data'!$F$17:$F$65,0),MATCH("t[,"&amp;P$4 &amp;"]",'WINBUGS data'!$F$16:$ZZ$16,0)),"")</f>
        <v/>
      </c>
      <c r="Q11" s="31" t="str">
        <f>IFERROR(INDEX('WINBUGS data'!$F$17:$ZZ$65,MATCH($C11,'WINBUGS data'!$F$17:$F$65,0),MATCH("t[,"&amp;Q$4 &amp;"]",'WINBUGS data'!$F$16:$ZZ$16,0)),"")</f>
        <v/>
      </c>
      <c r="R11" s="31" t="str">
        <f>IFERROR(INDEX('WINBUGS data'!$F$17:$ZZ$65,MATCH($C11,'WINBUGS data'!$F$17:$F$65,0),MATCH("t[,"&amp;R$4 &amp;"]",'WINBUGS data'!$F$16:$ZZ$16,0)),"")</f>
        <v/>
      </c>
      <c r="S11" s="31" t="str">
        <f>IFERROR(INDEX('WINBUGS data'!$F$17:$ZZ$65,MATCH($C11,'WINBUGS data'!$F$17:$F$65,0),MATCH("t[,"&amp;S$4 &amp;"]",'WINBUGS data'!$F$16:$ZZ$16,0)),"")</f>
        <v/>
      </c>
      <c r="T11" s="1" t="str">
        <f>IFERROR(INDEX('WINBUGS data'!$F$17:$ZZ$65,MATCH($C11,'WINBUGS data'!$F$17:$F$65,0),MATCH("t[,"&amp;T$4 &amp;"]",'WINBUGS data'!$F$16:$ZZ$16,0)),"")</f>
        <v/>
      </c>
    </row>
    <row r="12" spans="2:20" x14ac:dyDescent="0.25">
      <c r="B12" s="31">
        <v>0.26826399564743042</v>
      </c>
      <c r="C12" s="26">
        <f>IF('WINBUGS data'!F24&lt;&gt;"",'WINBUGS data'!F24,"")</f>
        <v>8</v>
      </c>
      <c r="D12" s="31">
        <f>IFERROR(INDEX('WINBUGS data'!$F$17:$ZZ$65,MATCH(C12,'WINBUGS data'!$F$17:$F$65,0),MATCH("na[]",'WINBUGS data'!$F$16:$ZZ$16,0)),"")</f>
        <v>2</v>
      </c>
      <c r="E12" s="31" t="str">
        <f t="shared" si="0"/>
        <v>1,3</v>
      </c>
      <c r="F12" s="31">
        <f>IFERROR(INDEX('WINBUGS data'!$F$17:$ZZ$65,MATCH($C12,'WINBUGS data'!$F$17:$F$65,0),MATCH("t[,"&amp;F$4 &amp;"]",'WINBUGS data'!$F$16:$ZZ$16,0)),"")</f>
        <v>1</v>
      </c>
      <c r="G12" s="31">
        <f>IFERROR(INDEX('WINBUGS data'!$F$17:$ZZ$65,MATCH($C12,'WINBUGS data'!$F$17:$F$65,0),MATCH("t[,"&amp;G$4 &amp;"]",'WINBUGS data'!$F$16:$ZZ$16,0)),"")</f>
        <v>3</v>
      </c>
      <c r="H12" s="31" t="str">
        <f>IFERROR(INDEX('WINBUGS data'!$F$17:$ZZ$65,MATCH($C12,'WINBUGS data'!$F$17:$F$65,0),MATCH("t[,"&amp;H$4 &amp;"]",'WINBUGS data'!$F$16:$ZZ$16,0)),"")</f>
        <v>NA</v>
      </c>
      <c r="I12" s="31" t="str">
        <f>IFERROR(INDEX('WINBUGS data'!$F$17:$ZZ$65,MATCH($C12,'WINBUGS data'!$F$17:$F$65,0),MATCH("t[,"&amp;I$4 &amp;"]",'WINBUGS data'!$F$16:$ZZ$16,0)),"")</f>
        <v>NA</v>
      </c>
      <c r="J12" s="31" t="str">
        <f>IFERROR(INDEX('WINBUGS data'!$F$17:$ZZ$65,MATCH($C12,'WINBUGS data'!$F$17:$F$65,0),MATCH("t[,"&amp;J$4 &amp;"]",'WINBUGS data'!$F$16:$ZZ$16,0)),"")</f>
        <v>NA</v>
      </c>
      <c r="K12" s="31" t="str">
        <f>IFERROR(INDEX('WINBUGS data'!$F$17:$ZZ$65,MATCH($C12,'WINBUGS data'!$F$17:$F$65,0),MATCH("t[,"&amp;K$4 &amp;"]",'WINBUGS data'!$F$16:$ZZ$16,0)),"")</f>
        <v>NA</v>
      </c>
      <c r="L12" s="31" t="str">
        <f>IFERROR(INDEX('WINBUGS data'!$F$17:$ZZ$65,MATCH($C12,'WINBUGS data'!$F$17:$F$65,0),MATCH("t[,"&amp;L$4 &amp;"]",'WINBUGS data'!$F$16:$ZZ$16,0)),"")</f>
        <v>NA</v>
      </c>
      <c r="M12" s="31" t="str">
        <f>IFERROR(INDEX('WINBUGS data'!$F$17:$ZZ$65,MATCH($C12,'WINBUGS data'!$F$17:$F$65,0),MATCH("t[,"&amp;M$4 &amp;"]",'WINBUGS data'!$F$16:$ZZ$16,0)),"")</f>
        <v>NA</v>
      </c>
      <c r="N12" s="31" t="str">
        <f>IFERROR(INDEX('WINBUGS data'!$F$17:$ZZ$65,MATCH($C12,'WINBUGS data'!$F$17:$F$65,0),MATCH("t[,"&amp;N$4 &amp;"]",'WINBUGS data'!$F$16:$ZZ$16,0)),"")</f>
        <v/>
      </c>
      <c r="O12" s="31" t="str">
        <f>IFERROR(INDEX('WINBUGS data'!$F$17:$ZZ$65,MATCH($C12,'WINBUGS data'!$F$17:$F$65,0),MATCH("t[,"&amp;O$4 &amp;"]",'WINBUGS data'!$F$16:$ZZ$16,0)),"")</f>
        <v/>
      </c>
      <c r="P12" s="31" t="str">
        <f>IFERROR(INDEX('WINBUGS data'!$F$17:$ZZ$65,MATCH($C12,'WINBUGS data'!$F$17:$F$65,0),MATCH("t[,"&amp;P$4 &amp;"]",'WINBUGS data'!$F$16:$ZZ$16,0)),"")</f>
        <v/>
      </c>
      <c r="Q12" s="31" t="str">
        <f>IFERROR(INDEX('WINBUGS data'!$F$17:$ZZ$65,MATCH($C12,'WINBUGS data'!$F$17:$F$65,0),MATCH("t[,"&amp;Q$4 &amp;"]",'WINBUGS data'!$F$16:$ZZ$16,0)),"")</f>
        <v/>
      </c>
      <c r="R12" s="31" t="str">
        <f>IFERROR(INDEX('WINBUGS data'!$F$17:$ZZ$65,MATCH($C12,'WINBUGS data'!$F$17:$F$65,0),MATCH("t[,"&amp;R$4 &amp;"]",'WINBUGS data'!$F$16:$ZZ$16,0)),"")</f>
        <v/>
      </c>
      <c r="S12" s="31" t="str">
        <f>IFERROR(INDEX('WINBUGS data'!$F$17:$ZZ$65,MATCH($C12,'WINBUGS data'!$F$17:$F$65,0),MATCH("t[,"&amp;S$4 &amp;"]",'WINBUGS data'!$F$16:$ZZ$16,0)),"")</f>
        <v/>
      </c>
      <c r="T12" s="1" t="str">
        <f>IFERROR(INDEX('WINBUGS data'!$F$17:$ZZ$65,MATCH($C12,'WINBUGS data'!$F$17:$F$65,0),MATCH("t[,"&amp;T$4 &amp;"]",'WINBUGS data'!$F$16:$ZZ$16,0)),"")</f>
        <v/>
      </c>
    </row>
    <row r="13" spans="2:20" x14ac:dyDescent="0.25">
      <c r="B13" s="31">
        <v>0.25647997856140137</v>
      </c>
      <c r="C13" s="26">
        <f>IF('WINBUGS data'!F25&lt;&gt;"",'WINBUGS data'!F25,"")</f>
        <v>9</v>
      </c>
      <c r="D13" s="31">
        <f>IFERROR(INDEX('WINBUGS data'!$F$17:$ZZ$65,MATCH(C13,'WINBUGS data'!$F$17:$F$65,0),MATCH("na[]",'WINBUGS data'!$F$16:$ZZ$16,0)),"")</f>
        <v>2</v>
      </c>
      <c r="E13" s="31" t="str">
        <f t="shared" si="0"/>
        <v>1,8</v>
      </c>
      <c r="F13" s="31">
        <f>IFERROR(INDEX('WINBUGS data'!$F$17:$ZZ$65,MATCH($C13,'WINBUGS data'!$F$17:$F$65,0),MATCH("t[,"&amp;F$4 &amp;"]",'WINBUGS data'!$F$16:$ZZ$16,0)),"")</f>
        <v>1</v>
      </c>
      <c r="G13" s="31">
        <f>IFERROR(INDEX('WINBUGS data'!$F$17:$ZZ$65,MATCH($C13,'WINBUGS data'!$F$17:$F$65,0),MATCH("t[,"&amp;G$4 &amp;"]",'WINBUGS data'!$F$16:$ZZ$16,0)),"")</f>
        <v>8</v>
      </c>
      <c r="H13" s="31" t="str">
        <f>IFERROR(INDEX('WINBUGS data'!$F$17:$ZZ$65,MATCH($C13,'WINBUGS data'!$F$17:$F$65,0),MATCH("t[,"&amp;H$4 &amp;"]",'WINBUGS data'!$F$16:$ZZ$16,0)),"")</f>
        <v>NA</v>
      </c>
      <c r="I13" s="31" t="str">
        <f>IFERROR(INDEX('WINBUGS data'!$F$17:$ZZ$65,MATCH($C13,'WINBUGS data'!$F$17:$F$65,0),MATCH("t[,"&amp;I$4 &amp;"]",'WINBUGS data'!$F$16:$ZZ$16,0)),"")</f>
        <v>NA</v>
      </c>
      <c r="J13" s="31" t="str">
        <f>IFERROR(INDEX('WINBUGS data'!$F$17:$ZZ$65,MATCH($C13,'WINBUGS data'!$F$17:$F$65,0),MATCH("t[,"&amp;J$4 &amp;"]",'WINBUGS data'!$F$16:$ZZ$16,0)),"")</f>
        <v>NA</v>
      </c>
      <c r="K13" s="31" t="str">
        <f>IFERROR(INDEX('WINBUGS data'!$F$17:$ZZ$65,MATCH($C13,'WINBUGS data'!$F$17:$F$65,0),MATCH("t[,"&amp;K$4 &amp;"]",'WINBUGS data'!$F$16:$ZZ$16,0)),"")</f>
        <v>NA</v>
      </c>
      <c r="L13" s="31" t="str">
        <f>IFERROR(INDEX('WINBUGS data'!$F$17:$ZZ$65,MATCH($C13,'WINBUGS data'!$F$17:$F$65,0),MATCH("t[,"&amp;L$4 &amp;"]",'WINBUGS data'!$F$16:$ZZ$16,0)),"")</f>
        <v>NA</v>
      </c>
      <c r="M13" s="31" t="str">
        <f>IFERROR(INDEX('WINBUGS data'!$F$17:$ZZ$65,MATCH($C13,'WINBUGS data'!$F$17:$F$65,0),MATCH("t[,"&amp;M$4 &amp;"]",'WINBUGS data'!$F$16:$ZZ$16,0)),"")</f>
        <v>NA</v>
      </c>
      <c r="N13" s="31" t="str">
        <f>IFERROR(INDEX('WINBUGS data'!$F$17:$ZZ$65,MATCH($C13,'WINBUGS data'!$F$17:$F$65,0),MATCH("t[,"&amp;N$4 &amp;"]",'WINBUGS data'!$F$16:$ZZ$16,0)),"")</f>
        <v/>
      </c>
      <c r="O13" s="31" t="str">
        <f>IFERROR(INDEX('WINBUGS data'!$F$17:$ZZ$65,MATCH($C13,'WINBUGS data'!$F$17:$F$65,0),MATCH("t[,"&amp;O$4 &amp;"]",'WINBUGS data'!$F$16:$ZZ$16,0)),"")</f>
        <v/>
      </c>
      <c r="P13" s="31" t="str">
        <f>IFERROR(INDEX('WINBUGS data'!$F$17:$ZZ$65,MATCH($C13,'WINBUGS data'!$F$17:$F$65,0),MATCH("t[,"&amp;P$4 &amp;"]",'WINBUGS data'!$F$16:$ZZ$16,0)),"")</f>
        <v/>
      </c>
      <c r="Q13" s="31" t="str">
        <f>IFERROR(INDEX('WINBUGS data'!$F$17:$ZZ$65,MATCH($C13,'WINBUGS data'!$F$17:$F$65,0),MATCH("t[,"&amp;Q$4 &amp;"]",'WINBUGS data'!$F$16:$ZZ$16,0)),"")</f>
        <v/>
      </c>
      <c r="R13" s="31" t="str">
        <f>IFERROR(INDEX('WINBUGS data'!$F$17:$ZZ$65,MATCH($C13,'WINBUGS data'!$F$17:$F$65,0),MATCH("t[,"&amp;R$4 &amp;"]",'WINBUGS data'!$F$16:$ZZ$16,0)),"")</f>
        <v/>
      </c>
      <c r="S13" s="31" t="str">
        <f>IFERROR(INDEX('WINBUGS data'!$F$17:$ZZ$65,MATCH($C13,'WINBUGS data'!$F$17:$F$65,0),MATCH("t[,"&amp;S$4 &amp;"]",'WINBUGS data'!$F$16:$ZZ$16,0)),"")</f>
        <v/>
      </c>
      <c r="T13" s="1" t="str">
        <f>IFERROR(INDEX('WINBUGS data'!$F$17:$ZZ$65,MATCH($C13,'WINBUGS data'!$F$17:$F$65,0),MATCH("t[,"&amp;T$4 &amp;"]",'WINBUGS data'!$F$16:$ZZ$16,0)),"")</f>
        <v/>
      </c>
    </row>
    <row r="14" spans="2:20" x14ac:dyDescent="0.25">
      <c r="B14" s="31">
        <v>0.17627924680709839</v>
      </c>
      <c r="C14" s="26">
        <f>IF('WINBUGS data'!F26&lt;&gt;"",'WINBUGS data'!F26,"")</f>
        <v>10</v>
      </c>
      <c r="D14" s="31">
        <f>IFERROR(INDEX('WINBUGS data'!$F$17:$ZZ$65,MATCH(C14,'WINBUGS data'!$F$17:$F$65,0),MATCH("na[]",'WINBUGS data'!$F$16:$ZZ$16,0)),"")</f>
        <v>2</v>
      </c>
      <c r="E14" s="31" t="str">
        <f t="shared" si="0"/>
        <v>2,5</v>
      </c>
      <c r="F14" s="31">
        <f>IFERROR(INDEX('WINBUGS data'!$F$17:$ZZ$65,MATCH($C14,'WINBUGS data'!$F$17:$F$65,0),MATCH("t[,"&amp;F$4 &amp;"]",'WINBUGS data'!$F$16:$ZZ$16,0)),"")</f>
        <v>2</v>
      </c>
      <c r="G14" s="31">
        <f>IFERROR(INDEX('WINBUGS data'!$F$17:$ZZ$65,MATCH($C14,'WINBUGS data'!$F$17:$F$65,0),MATCH("t[,"&amp;G$4 &amp;"]",'WINBUGS data'!$F$16:$ZZ$16,0)),"")</f>
        <v>5</v>
      </c>
      <c r="H14" s="31" t="str">
        <f>IFERROR(INDEX('WINBUGS data'!$F$17:$ZZ$65,MATCH($C14,'WINBUGS data'!$F$17:$F$65,0),MATCH("t[,"&amp;H$4 &amp;"]",'WINBUGS data'!$F$16:$ZZ$16,0)),"")</f>
        <v>NA</v>
      </c>
      <c r="I14" s="31" t="str">
        <f>IFERROR(INDEX('WINBUGS data'!$F$17:$ZZ$65,MATCH($C14,'WINBUGS data'!$F$17:$F$65,0),MATCH("t[,"&amp;I$4 &amp;"]",'WINBUGS data'!$F$16:$ZZ$16,0)),"")</f>
        <v>NA</v>
      </c>
      <c r="J14" s="31" t="str">
        <f>IFERROR(INDEX('WINBUGS data'!$F$17:$ZZ$65,MATCH($C14,'WINBUGS data'!$F$17:$F$65,0),MATCH("t[,"&amp;J$4 &amp;"]",'WINBUGS data'!$F$16:$ZZ$16,0)),"")</f>
        <v>NA</v>
      </c>
      <c r="K14" s="31" t="str">
        <f>IFERROR(INDEX('WINBUGS data'!$F$17:$ZZ$65,MATCH($C14,'WINBUGS data'!$F$17:$F$65,0),MATCH("t[,"&amp;K$4 &amp;"]",'WINBUGS data'!$F$16:$ZZ$16,0)),"")</f>
        <v>NA</v>
      </c>
      <c r="L14" s="31" t="str">
        <f>IFERROR(INDEX('WINBUGS data'!$F$17:$ZZ$65,MATCH($C14,'WINBUGS data'!$F$17:$F$65,0),MATCH("t[,"&amp;L$4 &amp;"]",'WINBUGS data'!$F$16:$ZZ$16,0)),"")</f>
        <v>NA</v>
      </c>
      <c r="M14" s="31" t="str">
        <f>IFERROR(INDEX('WINBUGS data'!$F$17:$ZZ$65,MATCH($C14,'WINBUGS data'!$F$17:$F$65,0),MATCH("t[,"&amp;M$4 &amp;"]",'WINBUGS data'!$F$16:$ZZ$16,0)),"")</f>
        <v>NA</v>
      </c>
      <c r="N14" s="31" t="str">
        <f>IFERROR(INDEX('WINBUGS data'!$F$17:$ZZ$65,MATCH($C14,'WINBUGS data'!$F$17:$F$65,0),MATCH("t[,"&amp;N$4 &amp;"]",'WINBUGS data'!$F$16:$ZZ$16,0)),"")</f>
        <v/>
      </c>
      <c r="O14" s="31" t="str">
        <f>IFERROR(INDEX('WINBUGS data'!$F$17:$ZZ$65,MATCH($C14,'WINBUGS data'!$F$17:$F$65,0),MATCH("t[,"&amp;O$4 &amp;"]",'WINBUGS data'!$F$16:$ZZ$16,0)),"")</f>
        <v/>
      </c>
      <c r="P14" s="31" t="str">
        <f>IFERROR(INDEX('WINBUGS data'!$F$17:$ZZ$65,MATCH($C14,'WINBUGS data'!$F$17:$F$65,0),MATCH("t[,"&amp;P$4 &amp;"]",'WINBUGS data'!$F$16:$ZZ$16,0)),"")</f>
        <v/>
      </c>
      <c r="Q14" s="31" t="str">
        <f>IFERROR(INDEX('WINBUGS data'!$F$17:$ZZ$65,MATCH($C14,'WINBUGS data'!$F$17:$F$65,0),MATCH("t[,"&amp;Q$4 &amp;"]",'WINBUGS data'!$F$16:$ZZ$16,0)),"")</f>
        <v/>
      </c>
      <c r="R14" s="31" t="str">
        <f>IFERROR(INDEX('WINBUGS data'!$F$17:$ZZ$65,MATCH($C14,'WINBUGS data'!$F$17:$F$65,0),MATCH("t[,"&amp;R$4 &amp;"]",'WINBUGS data'!$F$16:$ZZ$16,0)),"")</f>
        <v/>
      </c>
      <c r="S14" s="31" t="str">
        <f>IFERROR(INDEX('WINBUGS data'!$F$17:$ZZ$65,MATCH($C14,'WINBUGS data'!$F$17:$F$65,0),MATCH("t[,"&amp;S$4 &amp;"]",'WINBUGS data'!$F$16:$ZZ$16,0)),"")</f>
        <v/>
      </c>
      <c r="T14" s="1" t="str">
        <f>IFERROR(INDEX('WINBUGS data'!$F$17:$ZZ$65,MATCH($C14,'WINBUGS data'!$F$17:$F$65,0),MATCH("t[,"&amp;T$4 &amp;"]",'WINBUGS data'!$F$16:$ZZ$16,0)),"")</f>
        <v/>
      </c>
    </row>
    <row r="15" spans="2:20" x14ac:dyDescent="0.25">
      <c r="B15" s="31">
        <v>0.39629256725311279</v>
      </c>
      <c r="C15" s="26">
        <f>IF('WINBUGS data'!F27&lt;&gt;"",'WINBUGS data'!F27,"")</f>
        <v>11</v>
      </c>
      <c r="D15" s="31">
        <f>IFERROR(INDEX('WINBUGS data'!$F$17:$ZZ$65,MATCH(C15,'WINBUGS data'!$F$17:$F$65,0),MATCH("na[]",'WINBUGS data'!$F$16:$ZZ$16,0)),"")</f>
        <v>2</v>
      </c>
      <c r="E15" s="31" t="str">
        <f t="shared" si="0"/>
        <v>1,7</v>
      </c>
      <c r="F15" s="31">
        <f>IFERROR(INDEX('WINBUGS data'!$F$17:$ZZ$65,MATCH($C15,'WINBUGS data'!$F$17:$F$65,0),MATCH("t[,"&amp;F$4 &amp;"]",'WINBUGS data'!$F$16:$ZZ$16,0)),"")</f>
        <v>1</v>
      </c>
      <c r="G15" s="31">
        <f>IFERROR(INDEX('WINBUGS data'!$F$17:$ZZ$65,MATCH($C15,'WINBUGS data'!$F$17:$F$65,0),MATCH("t[,"&amp;G$4 &amp;"]",'WINBUGS data'!$F$16:$ZZ$16,0)),"")</f>
        <v>7</v>
      </c>
      <c r="H15" s="31" t="str">
        <f>IFERROR(INDEX('WINBUGS data'!$F$17:$ZZ$65,MATCH($C15,'WINBUGS data'!$F$17:$F$65,0),MATCH("t[,"&amp;H$4 &amp;"]",'WINBUGS data'!$F$16:$ZZ$16,0)),"")</f>
        <v>NA</v>
      </c>
      <c r="I15" s="31" t="str">
        <f>IFERROR(INDEX('WINBUGS data'!$F$17:$ZZ$65,MATCH($C15,'WINBUGS data'!$F$17:$F$65,0),MATCH("t[,"&amp;I$4 &amp;"]",'WINBUGS data'!$F$16:$ZZ$16,0)),"")</f>
        <v>NA</v>
      </c>
      <c r="J15" s="31" t="str">
        <f>IFERROR(INDEX('WINBUGS data'!$F$17:$ZZ$65,MATCH($C15,'WINBUGS data'!$F$17:$F$65,0),MATCH("t[,"&amp;J$4 &amp;"]",'WINBUGS data'!$F$16:$ZZ$16,0)),"")</f>
        <v>NA</v>
      </c>
      <c r="K15" s="31" t="str">
        <f>IFERROR(INDEX('WINBUGS data'!$F$17:$ZZ$65,MATCH($C15,'WINBUGS data'!$F$17:$F$65,0),MATCH("t[,"&amp;K$4 &amp;"]",'WINBUGS data'!$F$16:$ZZ$16,0)),"")</f>
        <v>NA</v>
      </c>
      <c r="L15" s="31" t="str">
        <f>IFERROR(INDEX('WINBUGS data'!$F$17:$ZZ$65,MATCH($C15,'WINBUGS data'!$F$17:$F$65,0),MATCH("t[,"&amp;L$4 &amp;"]",'WINBUGS data'!$F$16:$ZZ$16,0)),"")</f>
        <v>NA</v>
      </c>
      <c r="M15" s="31" t="str">
        <f>IFERROR(INDEX('WINBUGS data'!$F$17:$ZZ$65,MATCH($C15,'WINBUGS data'!$F$17:$F$65,0),MATCH("t[,"&amp;M$4 &amp;"]",'WINBUGS data'!$F$16:$ZZ$16,0)),"")</f>
        <v>NA</v>
      </c>
      <c r="N15" s="31" t="str">
        <f>IFERROR(INDEX('WINBUGS data'!$F$17:$ZZ$65,MATCH($C15,'WINBUGS data'!$F$17:$F$65,0),MATCH("t[,"&amp;N$4 &amp;"]",'WINBUGS data'!$F$16:$ZZ$16,0)),"")</f>
        <v/>
      </c>
      <c r="O15" s="31" t="str">
        <f>IFERROR(INDEX('WINBUGS data'!$F$17:$ZZ$65,MATCH($C15,'WINBUGS data'!$F$17:$F$65,0),MATCH("t[,"&amp;O$4 &amp;"]",'WINBUGS data'!$F$16:$ZZ$16,0)),"")</f>
        <v/>
      </c>
      <c r="P15" s="31" t="str">
        <f>IFERROR(INDEX('WINBUGS data'!$F$17:$ZZ$65,MATCH($C15,'WINBUGS data'!$F$17:$F$65,0),MATCH("t[,"&amp;P$4 &amp;"]",'WINBUGS data'!$F$16:$ZZ$16,0)),"")</f>
        <v/>
      </c>
      <c r="Q15" s="31" t="str">
        <f>IFERROR(INDEX('WINBUGS data'!$F$17:$ZZ$65,MATCH($C15,'WINBUGS data'!$F$17:$F$65,0),MATCH("t[,"&amp;Q$4 &amp;"]",'WINBUGS data'!$F$16:$ZZ$16,0)),"")</f>
        <v/>
      </c>
      <c r="R15" s="31" t="str">
        <f>IFERROR(INDEX('WINBUGS data'!$F$17:$ZZ$65,MATCH($C15,'WINBUGS data'!$F$17:$F$65,0),MATCH("t[,"&amp;R$4 &amp;"]",'WINBUGS data'!$F$16:$ZZ$16,0)),"")</f>
        <v/>
      </c>
      <c r="S15" s="31" t="str">
        <f>IFERROR(INDEX('WINBUGS data'!$F$17:$ZZ$65,MATCH($C15,'WINBUGS data'!$F$17:$F$65,0),MATCH("t[,"&amp;S$4 &amp;"]",'WINBUGS data'!$F$16:$ZZ$16,0)),"")</f>
        <v/>
      </c>
      <c r="T15" s="1" t="str">
        <f>IFERROR(INDEX('WINBUGS data'!$F$17:$ZZ$65,MATCH($C15,'WINBUGS data'!$F$17:$F$65,0),MATCH("t[,"&amp;T$4 &amp;"]",'WINBUGS data'!$F$16:$ZZ$16,0)),"")</f>
        <v/>
      </c>
    </row>
    <row r="16" spans="2:20" x14ac:dyDescent="0.25">
      <c r="B16" s="31">
        <v>0.15415067970752716</v>
      </c>
      <c r="C16" s="26">
        <f>IF('WINBUGS data'!F28&lt;&gt;"",'WINBUGS data'!F28,"")</f>
        <v>12</v>
      </c>
      <c r="D16" s="31">
        <f>IFERROR(INDEX('WINBUGS data'!$F$17:$ZZ$65,MATCH(C16,'WINBUGS data'!$F$17:$F$65,0),MATCH("na[]",'WINBUGS data'!$F$16:$ZZ$16,0)),"")</f>
        <v>2</v>
      </c>
      <c r="E16" s="31" t="str">
        <f t="shared" si="0"/>
        <v>1,8</v>
      </c>
      <c r="F16" s="31">
        <f>IFERROR(INDEX('WINBUGS data'!$F$17:$ZZ$65,MATCH($C16,'WINBUGS data'!$F$17:$F$65,0),MATCH("t[,"&amp;F$4 &amp;"]",'WINBUGS data'!$F$16:$ZZ$16,0)),"")</f>
        <v>1</v>
      </c>
      <c r="G16" s="31">
        <f>IFERROR(INDEX('WINBUGS data'!$F$17:$ZZ$65,MATCH($C16,'WINBUGS data'!$F$17:$F$65,0),MATCH("t[,"&amp;G$4 &amp;"]",'WINBUGS data'!$F$16:$ZZ$16,0)),"")</f>
        <v>8</v>
      </c>
      <c r="H16" s="31" t="str">
        <f>IFERROR(INDEX('WINBUGS data'!$F$17:$ZZ$65,MATCH($C16,'WINBUGS data'!$F$17:$F$65,0),MATCH("t[,"&amp;H$4 &amp;"]",'WINBUGS data'!$F$16:$ZZ$16,0)),"")</f>
        <v>NA</v>
      </c>
      <c r="I16" s="31" t="str">
        <f>IFERROR(INDEX('WINBUGS data'!$F$17:$ZZ$65,MATCH($C16,'WINBUGS data'!$F$17:$F$65,0),MATCH("t[,"&amp;I$4 &amp;"]",'WINBUGS data'!$F$16:$ZZ$16,0)),"")</f>
        <v>NA</v>
      </c>
      <c r="J16" s="31" t="str">
        <f>IFERROR(INDEX('WINBUGS data'!$F$17:$ZZ$65,MATCH($C16,'WINBUGS data'!$F$17:$F$65,0),MATCH("t[,"&amp;J$4 &amp;"]",'WINBUGS data'!$F$16:$ZZ$16,0)),"")</f>
        <v>NA</v>
      </c>
      <c r="K16" s="31" t="str">
        <f>IFERROR(INDEX('WINBUGS data'!$F$17:$ZZ$65,MATCH($C16,'WINBUGS data'!$F$17:$F$65,0),MATCH("t[,"&amp;K$4 &amp;"]",'WINBUGS data'!$F$16:$ZZ$16,0)),"")</f>
        <v>NA</v>
      </c>
      <c r="L16" s="31" t="str">
        <f>IFERROR(INDEX('WINBUGS data'!$F$17:$ZZ$65,MATCH($C16,'WINBUGS data'!$F$17:$F$65,0),MATCH("t[,"&amp;L$4 &amp;"]",'WINBUGS data'!$F$16:$ZZ$16,0)),"")</f>
        <v>NA</v>
      </c>
      <c r="M16" s="31" t="str">
        <f>IFERROR(INDEX('WINBUGS data'!$F$17:$ZZ$65,MATCH($C16,'WINBUGS data'!$F$17:$F$65,0),MATCH("t[,"&amp;M$4 &amp;"]",'WINBUGS data'!$F$16:$ZZ$16,0)),"")</f>
        <v>NA</v>
      </c>
      <c r="N16" s="31" t="str">
        <f>IFERROR(INDEX('WINBUGS data'!$F$17:$ZZ$65,MATCH($C16,'WINBUGS data'!$F$17:$F$65,0),MATCH("t[,"&amp;N$4 &amp;"]",'WINBUGS data'!$F$16:$ZZ$16,0)),"")</f>
        <v/>
      </c>
      <c r="O16" s="31" t="str">
        <f>IFERROR(INDEX('WINBUGS data'!$F$17:$ZZ$65,MATCH($C16,'WINBUGS data'!$F$17:$F$65,0),MATCH("t[,"&amp;O$4 &amp;"]",'WINBUGS data'!$F$16:$ZZ$16,0)),"")</f>
        <v/>
      </c>
      <c r="P16" s="31" t="str">
        <f>IFERROR(INDEX('WINBUGS data'!$F$17:$ZZ$65,MATCH($C16,'WINBUGS data'!$F$17:$F$65,0),MATCH("t[,"&amp;P$4 &amp;"]",'WINBUGS data'!$F$16:$ZZ$16,0)),"")</f>
        <v/>
      </c>
      <c r="Q16" s="31" t="str">
        <f>IFERROR(INDEX('WINBUGS data'!$F$17:$ZZ$65,MATCH($C16,'WINBUGS data'!$F$17:$F$65,0),MATCH("t[,"&amp;Q$4 &amp;"]",'WINBUGS data'!$F$16:$ZZ$16,0)),"")</f>
        <v/>
      </c>
      <c r="R16" s="31" t="str">
        <f>IFERROR(INDEX('WINBUGS data'!$F$17:$ZZ$65,MATCH($C16,'WINBUGS data'!$F$17:$F$65,0),MATCH("t[,"&amp;R$4 &amp;"]",'WINBUGS data'!$F$16:$ZZ$16,0)),"")</f>
        <v/>
      </c>
      <c r="S16" s="31" t="str">
        <f>IFERROR(INDEX('WINBUGS data'!$F$17:$ZZ$65,MATCH($C16,'WINBUGS data'!$F$17:$F$65,0),MATCH("t[,"&amp;S$4 &amp;"]",'WINBUGS data'!$F$16:$ZZ$16,0)),"")</f>
        <v/>
      </c>
      <c r="T16" s="1" t="str">
        <f>IFERROR(INDEX('WINBUGS data'!$F$17:$ZZ$65,MATCH($C16,'WINBUGS data'!$F$17:$F$65,0),MATCH("t[,"&amp;T$4 &amp;"]",'WINBUGS data'!$F$16:$ZZ$16,0)),"")</f>
        <v/>
      </c>
    </row>
    <row r="17" spans="2:20" x14ac:dyDescent="0.25">
      <c r="B17" s="31"/>
      <c r="C17" s="26">
        <f>IF('WINBUGS data'!F29&lt;&gt;"",'WINBUGS data'!F29,"")</f>
        <v>13</v>
      </c>
      <c r="D17" s="31">
        <f>IFERROR(INDEX('WINBUGS data'!$F$17:$ZZ$65,MATCH(C17,'WINBUGS data'!$F$17:$F$65,0),MATCH("na[]",'WINBUGS data'!$F$16:$ZZ$16,0)),"")</f>
        <v>2</v>
      </c>
      <c r="E17" s="31" t="str">
        <f t="shared" si="0"/>
        <v>1,2</v>
      </c>
      <c r="F17" s="31">
        <f>IFERROR(INDEX('WINBUGS data'!$F$17:$ZZ$65,MATCH($C17,'WINBUGS data'!$F$17:$F$65,0),MATCH("t[,"&amp;F$4 &amp;"]",'WINBUGS data'!$F$16:$ZZ$16,0)),"")</f>
        <v>1</v>
      </c>
      <c r="G17" s="31">
        <f>IFERROR(INDEX('WINBUGS data'!$F$17:$ZZ$65,MATCH($C17,'WINBUGS data'!$F$17:$F$65,0),MATCH("t[,"&amp;G$4 &amp;"]",'WINBUGS data'!$F$16:$ZZ$16,0)),"")</f>
        <v>2</v>
      </c>
      <c r="H17" s="31" t="str">
        <f>IFERROR(INDEX('WINBUGS data'!$F$17:$ZZ$65,MATCH($C17,'WINBUGS data'!$F$17:$F$65,0),MATCH("t[,"&amp;H$4 &amp;"]",'WINBUGS data'!$F$16:$ZZ$16,0)),"")</f>
        <v>NA</v>
      </c>
      <c r="I17" s="31" t="str">
        <f>IFERROR(INDEX('WINBUGS data'!$F$17:$ZZ$65,MATCH($C17,'WINBUGS data'!$F$17:$F$65,0),MATCH("t[,"&amp;I$4 &amp;"]",'WINBUGS data'!$F$16:$ZZ$16,0)),"")</f>
        <v>NA</v>
      </c>
      <c r="J17" s="31" t="str">
        <f>IFERROR(INDEX('WINBUGS data'!$F$17:$ZZ$65,MATCH($C17,'WINBUGS data'!$F$17:$F$65,0),MATCH("t[,"&amp;J$4 &amp;"]",'WINBUGS data'!$F$16:$ZZ$16,0)),"")</f>
        <v>NA</v>
      </c>
      <c r="K17" s="31" t="str">
        <f>IFERROR(INDEX('WINBUGS data'!$F$17:$ZZ$65,MATCH($C17,'WINBUGS data'!$F$17:$F$65,0),MATCH("t[,"&amp;K$4 &amp;"]",'WINBUGS data'!$F$16:$ZZ$16,0)),"")</f>
        <v>NA</v>
      </c>
      <c r="L17" s="31" t="str">
        <f>IFERROR(INDEX('WINBUGS data'!$F$17:$ZZ$65,MATCH($C17,'WINBUGS data'!$F$17:$F$65,0),MATCH("t[,"&amp;L$4 &amp;"]",'WINBUGS data'!$F$16:$ZZ$16,0)),"")</f>
        <v>NA</v>
      </c>
      <c r="M17" s="31" t="str">
        <f>IFERROR(INDEX('WINBUGS data'!$F$17:$ZZ$65,MATCH($C17,'WINBUGS data'!$F$17:$F$65,0),MATCH("t[,"&amp;M$4 &amp;"]",'WINBUGS data'!$F$16:$ZZ$16,0)),"")</f>
        <v>NA</v>
      </c>
      <c r="N17" s="31" t="str">
        <f>IFERROR(INDEX('WINBUGS data'!$F$17:$ZZ$65,MATCH($C17,'WINBUGS data'!$F$17:$F$65,0),MATCH("t[,"&amp;N$4 &amp;"]",'WINBUGS data'!$F$16:$ZZ$16,0)),"")</f>
        <v/>
      </c>
      <c r="O17" s="31" t="str">
        <f>IFERROR(INDEX('WINBUGS data'!$F$17:$ZZ$65,MATCH($C17,'WINBUGS data'!$F$17:$F$65,0),MATCH("t[,"&amp;O$4 &amp;"]",'WINBUGS data'!$F$16:$ZZ$16,0)),"")</f>
        <v/>
      </c>
      <c r="P17" s="31" t="str">
        <f>IFERROR(INDEX('WINBUGS data'!$F$17:$ZZ$65,MATCH($C17,'WINBUGS data'!$F$17:$F$65,0),MATCH("t[,"&amp;P$4 &amp;"]",'WINBUGS data'!$F$16:$ZZ$16,0)),"")</f>
        <v/>
      </c>
      <c r="Q17" s="31" t="str">
        <f>IFERROR(INDEX('WINBUGS data'!$F$17:$ZZ$65,MATCH($C17,'WINBUGS data'!$F$17:$F$65,0),MATCH("t[,"&amp;Q$4 &amp;"]",'WINBUGS data'!$F$16:$ZZ$16,0)),"")</f>
        <v/>
      </c>
      <c r="R17" s="31" t="str">
        <f>IFERROR(INDEX('WINBUGS data'!$F$17:$ZZ$65,MATCH($C17,'WINBUGS data'!$F$17:$F$65,0),MATCH("t[,"&amp;R$4 &amp;"]",'WINBUGS data'!$F$16:$ZZ$16,0)),"")</f>
        <v/>
      </c>
      <c r="S17" s="31" t="str">
        <f>IFERROR(INDEX('WINBUGS data'!$F$17:$ZZ$65,MATCH($C17,'WINBUGS data'!$F$17:$F$65,0),MATCH("t[,"&amp;S$4 &amp;"]",'WINBUGS data'!$F$16:$ZZ$16,0)),"")</f>
        <v/>
      </c>
      <c r="T17" s="1" t="str">
        <f>IFERROR(INDEX('WINBUGS data'!$F$17:$ZZ$65,MATCH($C17,'WINBUGS data'!$F$17:$F$65,0),MATCH("t[,"&amp;T$4 &amp;"]",'WINBUGS data'!$F$16:$ZZ$16,0)),"")</f>
        <v/>
      </c>
    </row>
    <row r="18" spans="2:20" x14ac:dyDescent="0.25">
      <c r="B18" s="31"/>
      <c r="C18" s="26">
        <f>IF('WINBUGS data'!F30&lt;&gt;"",'WINBUGS data'!F30,"")</f>
        <v>14</v>
      </c>
      <c r="D18" s="31">
        <f>IFERROR(INDEX('WINBUGS data'!$F$17:$ZZ$65,MATCH(C18,'WINBUGS data'!$F$17:$F$65,0),MATCH("na[]",'WINBUGS data'!$F$16:$ZZ$16,0)),"")</f>
        <v>2</v>
      </c>
      <c r="E18" s="31" t="str">
        <f t="shared" si="0"/>
        <v>2,6</v>
      </c>
      <c r="F18" s="31">
        <f>IFERROR(INDEX('WINBUGS data'!$F$17:$ZZ$65,MATCH($C18,'WINBUGS data'!$F$17:$F$65,0),MATCH("t[,"&amp;F$4 &amp;"]",'WINBUGS data'!$F$16:$ZZ$16,0)),"")</f>
        <v>2</v>
      </c>
      <c r="G18" s="31">
        <f>IFERROR(INDEX('WINBUGS data'!$F$17:$ZZ$65,MATCH($C18,'WINBUGS data'!$F$17:$F$65,0),MATCH("t[,"&amp;G$4 &amp;"]",'WINBUGS data'!$F$16:$ZZ$16,0)),"")</f>
        <v>6</v>
      </c>
      <c r="H18" s="31" t="str">
        <f>IFERROR(INDEX('WINBUGS data'!$F$17:$ZZ$65,MATCH($C18,'WINBUGS data'!$F$17:$F$65,0),MATCH("t[,"&amp;H$4 &amp;"]",'WINBUGS data'!$F$16:$ZZ$16,0)),"")</f>
        <v>NA</v>
      </c>
      <c r="I18" s="31" t="str">
        <f>IFERROR(INDEX('WINBUGS data'!$F$17:$ZZ$65,MATCH($C18,'WINBUGS data'!$F$17:$F$65,0),MATCH("t[,"&amp;I$4 &amp;"]",'WINBUGS data'!$F$16:$ZZ$16,0)),"")</f>
        <v>NA</v>
      </c>
      <c r="J18" s="31" t="str">
        <f>IFERROR(INDEX('WINBUGS data'!$F$17:$ZZ$65,MATCH($C18,'WINBUGS data'!$F$17:$F$65,0),MATCH("t[,"&amp;J$4 &amp;"]",'WINBUGS data'!$F$16:$ZZ$16,0)),"")</f>
        <v>NA</v>
      </c>
      <c r="K18" s="31" t="str">
        <f>IFERROR(INDEX('WINBUGS data'!$F$17:$ZZ$65,MATCH($C18,'WINBUGS data'!$F$17:$F$65,0),MATCH("t[,"&amp;K$4 &amp;"]",'WINBUGS data'!$F$16:$ZZ$16,0)),"")</f>
        <v>NA</v>
      </c>
      <c r="L18" s="31" t="str">
        <f>IFERROR(INDEX('WINBUGS data'!$F$17:$ZZ$65,MATCH($C18,'WINBUGS data'!$F$17:$F$65,0),MATCH("t[,"&amp;L$4 &amp;"]",'WINBUGS data'!$F$16:$ZZ$16,0)),"")</f>
        <v>NA</v>
      </c>
      <c r="M18" s="31" t="str">
        <f>IFERROR(INDEX('WINBUGS data'!$F$17:$ZZ$65,MATCH($C18,'WINBUGS data'!$F$17:$F$65,0),MATCH("t[,"&amp;M$4 &amp;"]",'WINBUGS data'!$F$16:$ZZ$16,0)),"")</f>
        <v>NA</v>
      </c>
      <c r="N18" s="31" t="str">
        <f>IFERROR(INDEX('WINBUGS data'!$F$17:$ZZ$65,MATCH($C18,'WINBUGS data'!$F$17:$F$65,0),MATCH("t[,"&amp;N$4 &amp;"]",'WINBUGS data'!$F$16:$ZZ$16,0)),"")</f>
        <v/>
      </c>
      <c r="O18" s="31" t="str">
        <f>IFERROR(INDEX('WINBUGS data'!$F$17:$ZZ$65,MATCH($C18,'WINBUGS data'!$F$17:$F$65,0),MATCH("t[,"&amp;O$4 &amp;"]",'WINBUGS data'!$F$16:$ZZ$16,0)),"")</f>
        <v/>
      </c>
      <c r="P18" s="31" t="str">
        <f>IFERROR(INDEX('WINBUGS data'!$F$17:$ZZ$65,MATCH($C18,'WINBUGS data'!$F$17:$F$65,0),MATCH("t[,"&amp;P$4 &amp;"]",'WINBUGS data'!$F$16:$ZZ$16,0)),"")</f>
        <v/>
      </c>
      <c r="Q18" s="31" t="str">
        <f>IFERROR(INDEX('WINBUGS data'!$F$17:$ZZ$65,MATCH($C18,'WINBUGS data'!$F$17:$F$65,0),MATCH("t[,"&amp;Q$4 &amp;"]",'WINBUGS data'!$F$16:$ZZ$16,0)),"")</f>
        <v/>
      </c>
      <c r="R18" s="31" t="str">
        <f>IFERROR(INDEX('WINBUGS data'!$F$17:$ZZ$65,MATCH($C18,'WINBUGS data'!$F$17:$F$65,0),MATCH("t[,"&amp;R$4 &amp;"]",'WINBUGS data'!$F$16:$ZZ$16,0)),"")</f>
        <v/>
      </c>
      <c r="S18" s="31" t="str">
        <f>IFERROR(INDEX('WINBUGS data'!$F$17:$ZZ$65,MATCH($C18,'WINBUGS data'!$F$17:$F$65,0),MATCH("t[,"&amp;S$4 &amp;"]",'WINBUGS data'!$F$16:$ZZ$16,0)),"")</f>
        <v/>
      </c>
      <c r="T18" s="1" t="str">
        <f>IFERROR(INDEX('WINBUGS data'!$F$17:$ZZ$65,MATCH($C18,'WINBUGS data'!$F$17:$F$65,0),MATCH("t[,"&amp;T$4 &amp;"]",'WINBUGS data'!$F$16:$ZZ$16,0)),"")</f>
        <v/>
      </c>
    </row>
    <row r="19" spans="2:20" x14ac:dyDescent="0.25">
      <c r="B19" s="31"/>
      <c r="C19" s="26">
        <f>IF('WINBUGS data'!F31&lt;&gt;"",'WINBUGS data'!F31,"")</f>
        <v>15</v>
      </c>
      <c r="D19" s="31">
        <f>IFERROR(INDEX('WINBUGS data'!$F$17:$ZZ$65,MATCH(C19,'WINBUGS data'!$F$17:$F$65,0),MATCH("na[]",'WINBUGS data'!$F$16:$ZZ$16,0)),"")</f>
        <v>2</v>
      </c>
      <c r="E19" s="31" t="str">
        <f t="shared" si="0"/>
        <v>1,8</v>
      </c>
      <c r="F19" s="31">
        <f>IFERROR(INDEX('WINBUGS data'!$F$17:$ZZ$65,MATCH($C19,'WINBUGS data'!$F$17:$F$65,0),MATCH("t[,"&amp;F$4 &amp;"]",'WINBUGS data'!$F$16:$ZZ$16,0)),"")</f>
        <v>1</v>
      </c>
      <c r="G19" s="31">
        <f>IFERROR(INDEX('WINBUGS data'!$F$17:$ZZ$65,MATCH($C19,'WINBUGS data'!$F$17:$F$65,0),MATCH("t[,"&amp;G$4 &amp;"]",'WINBUGS data'!$F$16:$ZZ$16,0)),"")</f>
        <v>8</v>
      </c>
      <c r="H19" s="31" t="str">
        <f>IFERROR(INDEX('WINBUGS data'!$F$17:$ZZ$65,MATCH($C19,'WINBUGS data'!$F$17:$F$65,0),MATCH("t[,"&amp;H$4 &amp;"]",'WINBUGS data'!$F$16:$ZZ$16,0)),"")</f>
        <v>NA</v>
      </c>
      <c r="I19" s="31" t="str">
        <f>IFERROR(INDEX('WINBUGS data'!$F$17:$ZZ$65,MATCH($C19,'WINBUGS data'!$F$17:$F$65,0),MATCH("t[,"&amp;I$4 &amp;"]",'WINBUGS data'!$F$16:$ZZ$16,0)),"")</f>
        <v>NA</v>
      </c>
      <c r="J19" s="31" t="str">
        <f>IFERROR(INDEX('WINBUGS data'!$F$17:$ZZ$65,MATCH($C19,'WINBUGS data'!$F$17:$F$65,0),MATCH("t[,"&amp;J$4 &amp;"]",'WINBUGS data'!$F$16:$ZZ$16,0)),"")</f>
        <v>NA</v>
      </c>
      <c r="K19" s="31" t="str">
        <f>IFERROR(INDEX('WINBUGS data'!$F$17:$ZZ$65,MATCH($C19,'WINBUGS data'!$F$17:$F$65,0),MATCH("t[,"&amp;K$4 &amp;"]",'WINBUGS data'!$F$16:$ZZ$16,0)),"")</f>
        <v>NA</v>
      </c>
      <c r="L19" s="31" t="str">
        <f>IFERROR(INDEX('WINBUGS data'!$F$17:$ZZ$65,MATCH($C19,'WINBUGS data'!$F$17:$F$65,0),MATCH("t[,"&amp;L$4 &amp;"]",'WINBUGS data'!$F$16:$ZZ$16,0)),"")</f>
        <v>NA</v>
      </c>
      <c r="M19" s="31" t="str">
        <f>IFERROR(INDEX('WINBUGS data'!$F$17:$ZZ$65,MATCH($C19,'WINBUGS data'!$F$17:$F$65,0),MATCH("t[,"&amp;M$4 &amp;"]",'WINBUGS data'!$F$16:$ZZ$16,0)),"")</f>
        <v>NA</v>
      </c>
      <c r="N19" s="31" t="str">
        <f>IFERROR(INDEX('WINBUGS data'!$F$17:$ZZ$65,MATCH($C19,'WINBUGS data'!$F$17:$F$65,0),MATCH("t[,"&amp;N$4 &amp;"]",'WINBUGS data'!$F$16:$ZZ$16,0)),"")</f>
        <v/>
      </c>
      <c r="O19" s="31" t="str">
        <f>IFERROR(INDEX('WINBUGS data'!$F$17:$ZZ$65,MATCH($C19,'WINBUGS data'!$F$17:$F$65,0),MATCH("t[,"&amp;O$4 &amp;"]",'WINBUGS data'!$F$16:$ZZ$16,0)),"")</f>
        <v/>
      </c>
      <c r="P19" s="31" t="str">
        <f>IFERROR(INDEX('WINBUGS data'!$F$17:$ZZ$65,MATCH($C19,'WINBUGS data'!$F$17:$F$65,0),MATCH("t[,"&amp;P$4 &amp;"]",'WINBUGS data'!$F$16:$ZZ$16,0)),"")</f>
        <v/>
      </c>
      <c r="Q19" s="31" t="str">
        <f>IFERROR(INDEX('WINBUGS data'!$F$17:$ZZ$65,MATCH($C19,'WINBUGS data'!$F$17:$F$65,0),MATCH("t[,"&amp;Q$4 &amp;"]",'WINBUGS data'!$F$16:$ZZ$16,0)),"")</f>
        <v/>
      </c>
      <c r="R19" s="31" t="str">
        <f>IFERROR(INDEX('WINBUGS data'!$F$17:$ZZ$65,MATCH($C19,'WINBUGS data'!$F$17:$F$65,0),MATCH("t[,"&amp;R$4 &amp;"]",'WINBUGS data'!$F$16:$ZZ$16,0)),"")</f>
        <v/>
      </c>
      <c r="S19" s="31" t="str">
        <f>IFERROR(INDEX('WINBUGS data'!$F$17:$ZZ$65,MATCH($C19,'WINBUGS data'!$F$17:$F$65,0),MATCH("t[,"&amp;S$4 &amp;"]",'WINBUGS data'!$F$16:$ZZ$16,0)),"")</f>
        <v/>
      </c>
      <c r="T19" s="1" t="str">
        <f>IFERROR(INDEX('WINBUGS data'!$F$17:$ZZ$65,MATCH($C19,'WINBUGS data'!$F$17:$F$65,0),MATCH("t[,"&amp;T$4 &amp;"]",'WINBUGS data'!$F$16:$ZZ$16,0)),"")</f>
        <v/>
      </c>
    </row>
    <row r="20" spans="2:20" x14ac:dyDescent="0.25">
      <c r="B20" s="31"/>
      <c r="C20" s="26">
        <f>IF('WINBUGS data'!F32&lt;&gt;"",'WINBUGS data'!F32,"")</f>
        <v>16</v>
      </c>
      <c r="D20" s="31">
        <f>IFERROR(INDEX('WINBUGS data'!$F$17:$ZZ$65,MATCH(C20,'WINBUGS data'!$F$17:$F$65,0),MATCH("na[]",'WINBUGS data'!$F$16:$ZZ$16,0)),"")</f>
        <v>2</v>
      </c>
      <c r="E20" s="31" t="str">
        <f t="shared" si="0"/>
        <v>7,8</v>
      </c>
      <c r="F20" s="31">
        <f>IFERROR(INDEX('WINBUGS data'!$F$17:$ZZ$65,MATCH($C20,'WINBUGS data'!$F$17:$F$65,0),MATCH("t[,"&amp;F$4 &amp;"]",'WINBUGS data'!$F$16:$ZZ$16,0)),"")</f>
        <v>7</v>
      </c>
      <c r="G20" s="31">
        <f>IFERROR(INDEX('WINBUGS data'!$F$17:$ZZ$65,MATCH($C20,'WINBUGS data'!$F$17:$F$65,0),MATCH("t[,"&amp;G$4 &amp;"]",'WINBUGS data'!$F$16:$ZZ$16,0)),"")</f>
        <v>8</v>
      </c>
      <c r="H20" s="31" t="str">
        <f>IFERROR(INDEX('WINBUGS data'!$F$17:$ZZ$65,MATCH($C20,'WINBUGS data'!$F$17:$F$65,0),MATCH("t[,"&amp;H$4 &amp;"]",'WINBUGS data'!$F$16:$ZZ$16,0)),"")</f>
        <v>NA</v>
      </c>
      <c r="I20" s="31" t="str">
        <f>IFERROR(INDEX('WINBUGS data'!$F$17:$ZZ$65,MATCH($C20,'WINBUGS data'!$F$17:$F$65,0),MATCH("t[,"&amp;I$4 &amp;"]",'WINBUGS data'!$F$16:$ZZ$16,0)),"")</f>
        <v>NA</v>
      </c>
      <c r="J20" s="31" t="str">
        <f>IFERROR(INDEX('WINBUGS data'!$F$17:$ZZ$65,MATCH($C20,'WINBUGS data'!$F$17:$F$65,0),MATCH("t[,"&amp;J$4 &amp;"]",'WINBUGS data'!$F$16:$ZZ$16,0)),"")</f>
        <v>NA</v>
      </c>
      <c r="K20" s="31" t="str">
        <f>IFERROR(INDEX('WINBUGS data'!$F$17:$ZZ$65,MATCH($C20,'WINBUGS data'!$F$17:$F$65,0),MATCH("t[,"&amp;K$4 &amp;"]",'WINBUGS data'!$F$16:$ZZ$16,0)),"")</f>
        <v>NA</v>
      </c>
      <c r="L20" s="31" t="str">
        <f>IFERROR(INDEX('WINBUGS data'!$F$17:$ZZ$65,MATCH($C20,'WINBUGS data'!$F$17:$F$65,0),MATCH("t[,"&amp;L$4 &amp;"]",'WINBUGS data'!$F$16:$ZZ$16,0)),"")</f>
        <v>NA</v>
      </c>
      <c r="M20" s="31" t="str">
        <f>IFERROR(INDEX('WINBUGS data'!$F$17:$ZZ$65,MATCH($C20,'WINBUGS data'!$F$17:$F$65,0),MATCH("t[,"&amp;M$4 &amp;"]",'WINBUGS data'!$F$16:$ZZ$16,0)),"")</f>
        <v>NA</v>
      </c>
      <c r="N20" s="31" t="str">
        <f>IFERROR(INDEX('WINBUGS data'!$F$17:$ZZ$65,MATCH($C20,'WINBUGS data'!$F$17:$F$65,0),MATCH("t[,"&amp;N$4 &amp;"]",'WINBUGS data'!$F$16:$ZZ$16,0)),"")</f>
        <v/>
      </c>
      <c r="O20" s="31" t="str">
        <f>IFERROR(INDEX('WINBUGS data'!$F$17:$ZZ$65,MATCH($C20,'WINBUGS data'!$F$17:$F$65,0),MATCH("t[,"&amp;O$4 &amp;"]",'WINBUGS data'!$F$16:$ZZ$16,0)),"")</f>
        <v/>
      </c>
      <c r="P20" s="31" t="str">
        <f>IFERROR(INDEX('WINBUGS data'!$F$17:$ZZ$65,MATCH($C20,'WINBUGS data'!$F$17:$F$65,0),MATCH("t[,"&amp;P$4 &amp;"]",'WINBUGS data'!$F$16:$ZZ$16,0)),"")</f>
        <v/>
      </c>
      <c r="Q20" s="31" t="str">
        <f>IFERROR(INDEX('WINBUGS data'!$F$17:$ZZ$65,MATCH($C20,'WINBUGS data'!$F$17:$F$65,0),MATCH("t[,"&amp;Q$4 &amp;"]",'WINBUGS data'!$F$16:$ZZ$16,0)),"")</f>
        <v/>
      </c>
      <c r="R20" s="31" t="str">
        <f>IFERROR(INDEX('WINBUGS data'!$F$17:$ZZ$65,MATCH($C20,'WINBUGS data'!$F$17:$F$65,0),MATCH("t[,"&amp;R$4 &amp;"]",'WINBUGS data'!$F$16:$ZZ$16,0)),"")</f>
        <v/>
      </c>
      <c r="S20" s="31" t="str">
        <f>IFERROR(INDEX('WINBUGS data'!$F$17:$ZZ$65,MATCH($C20,'WINBUGS data'!$F$17:$F$65,0),MATCH("t[,"&amp;S$4 &amp;"]",'WINBUGS data'!$F$16:$ZZ$16,0)),"")</f>
        <v/>
      </c>
      <c r="T20" s="1" t="str">
        <f>IFERROR(INDEX('WINBUGS data'!$F$17:$ZZ$65,MATCH($C20,'WINBUGS data'!$F$17:$F$65,0),MATCH("t[,"&amp;T$4 &amp;"]",'WINBUGS data'!$F$16:$ZZ$16,0)),"")</f>
        <v/>
      </c>
    </row>
    <row r="21" spans="2:20" x14ac:dyDescent="0.25">
      <c r="B21" s="31"/>
      <c r="C21" s="26">
        <f>IF('WINBUGS data'!F33&lt;&gt;"",'WINBUGS data'!F33,"")</f>
        <v>17</v>
      </c>
      <c r="D21" s="31">
        <f>IFERROR(INDEX('WINBUGS data'!$F$17:$ZZ$65,MATCH(C21,'WINBUGS data'!$F$17:$F$65,0),MATCH("na[]",'WINBUGS data'!$F$16:$ZZ$16,0)),"")</f>
        <v>2</v>
      </c>
      <c r="E21" s="31" t="str">
        <f t="shared" si="0"/>
        <v>1,7</v>
      </c>
      <c r="F21" s="31">
        <f>IFERROR(INDEX('WINBUGS data'!$F$17:$ZZ$65,MATCH($C21,'WINBUGS data'!$F$17:$F$65,0),MATCH("t[,"&amp;F$4 &amp;"]",'WINBUGS data'!$F$16:$ZZ$16,0)),"")</f>
        <v>1</v>
      </c>
      <c r="G21" s="31">
        <f>IFERROR(INDEX('WINBUGS data'!$F$17:$ZZ$65,MATCH($C21,'WINBUGS data'!$F$17:$F$65,0),MATCH("t[,"&amp;G$4 &amp;"]",'WINBUGS data'!$F$16:$ZZ$16,0)),"")</f>
        <v>7</v>
      </c>
      <c r="H21" s="31" t="str">
        <f>IFERROR(INDEX('WINBUGS data'!$F$17:$ZZ$65,MATCH($C21,'WINBUGS data'!$F$17:$F$65,0),MATCH("t[,"&amp;H$4 &amp;"]",'WINBUGS data'!$F$16:$ZZ$16,0)),"")</f>
        <v>NA</v>
      </c>
      <c r="I21" s="31" t="str">
        <f>IFERROR(INDEX('WINBUGS data'!$F$17:$ZZ$65,MATCH($C21,'WINBUGS data'!$F$17:$F$65,0),MATCH("t[,"&amp;I$4 &amp;"]",'WINBUGS data'!$F$16:$ZZ$16,0)),"")</f>
        <v>NA</v>
      </c>
      <c r="J21" s="31" t="str">
        <f>IFERROR(INDEX('WINBUGS data'!$F$17:$ZZ$65,MATCH($C21,'WINBUGS data'!$F$17:$F$65,0),MATCH("t[,"&amp;J$4 &amp;"]",'WINBUGS data'!$F$16:$ZZ$16,0)),"")</f>
        <v>NA</v>
      </c>
      <c r="K21" s="31" t="str">
        <f>IFERROR(INDEX('WINBUGS data'!$F$17:$ZZ$65,MATCH($C21,'WINBUGS data'!$F$17:$F$65,0),MATCH("t[,"&amp;K$4 &amp;"]",'WINBUGS data'!$F$16:$ZZ$16,0)),"")</f>
        <v>NA</v>
      </c>
      <c r="L21" s="31" t="str">
        <f>IFERROR(INDEX('WINBUGS data'!$F$17:$ZZ$65,MATCH($C21,'WINBUGS data'!$F$17:$F$65,0),MATCH("t[,"&amp;L$4 &amp;"]",'WINBUGS data'!$F$16:$ZZ$16,0)),"")</f>
        <v>NA</v>
      </c>
      <c r="M21" s="31" t="str">
        <f>IFERROR(INDEX('WINBUGS data'!$F$17:$ZZ$65,MATCH($C21,'WINBUGS data'!$F$17:$F$65,0),MATCH("t[,"&amp;M$4 &amp;"]",'WINBUGS data'!$F$16:$ZZ$16,0)),"")</f>
        <v>NA</v>
      </c>
      <c r="N21" s="31" t="str">
        <f>IFERROR(INDEX('WINBUGS data'!$F$17:$ZZ$65,MATCH($C21,'WINBUGS data'!$F$17:$F$65,0),MATCH("t[,"&amp;N$4 &amp;"]",'WINBUGS data'!$F$16:$ZZ$16,0)),"")</f>
        <v/>
      </c>
      <c r="O21" s="31" t="str">
        <f>IFERROR(INDEX('WINBUGS data'!$F$17:$ZZ$65,MATCH($C21,'WINBUGS data'!$F$17:$F$65,0),MATCH("t[,"&amp;O$4 &amp;"]",'WINBUGS data'!$F$16:$ZZ$16,0)),"")</f>
        <v/>
      </c>
      <c r="P21" s="31" t="str">
        <f>IFERROR(INDEX('WINBUGS data'!$F$17:$ZZ$65,MATCH($C21,'WINBUGS data'!$F$17:$F$65,0),MATCH("t[,"&amp;P$4 &amp;"]",'WINBUGS data'!$F$16:$ZZ$16,0)),"")</f>
        <v/>
      </c>
      <c r="Q21" s="31" t="str">
        <f>IFERROR(INDEX('WINBUGS data'!$F$17:$ZZ$65,MATCH($C21,'WINBUGS data'!$F$17:$F$65,0),MATCH("t[,"&amp;Q$4 &amp;"]",'WINBUGS data'!$F$16:$ZZ$16,0)),"")</f>
        <v/>
      </c>
      <c r="R21" s="31" t="str">
        <f>IFERROR(INDEX('WINBUGS data'!$F$17:$ZZ$65,MATCH($C21,'WINBUGS data'!$F$17:$F$65,0),MATCH("t[,"&amp;R$4 &amp;"]",'WINBUGS data'!$F$16:$ZZ$16,0)),"")</f>
        <v/>
      </c>
      <c r="S21" s="31" t="str">
        <f>IFERROR(INDEX('WINBUGS data'!$F$17:$ZZ$65,MATCH($C21,'WINBUGS data'!$F$17:$F$65,0),MATCH("t[,"&amp;S$4 &amp;"]",'WINBUGS data'!$F$16:$ZZ$16,0)),"")</f>
        <v/>
      </c>
      <c r="T21" s="1" t="str">
        <f>IFERROR(INDEX('WINBUGS data'!$F$17:$ZZ$65,MATCH($C21,'WINBUGS data'!$F$17:$F$65,0),MATCH("t[,"&amp;T$4 &amp;"]",'WINBUGS data'!$F$16:$ZZ$16,0)),"")</f>
        <v/>
      </c>
    </row>
    <row r="22" spans="2:20" x14ac:dyDescent="0.25">
      <c r="B22" s="31"/>
      <c r="C22" s="26">
        <f>IF('WINBUGS data'!F34&lt;&gt;"",'WINBUGS data'!F34,"")</f>
        <v>18</v>
      </c>
      <c r="D22" s="31">
        <f>IFERROR(INDEX('WINBUGS data'!$F$17:$ZZ$65,MATCH(C22,'WINBUGS data'!$F$17:$F$65,0),MATCH("na[]",'WINBUGS data'!$F$16:$ZZ$16,0)),"")</f>
        <v>2</v>
      </c>
      <c r="E22" s="31" t="str">
        <f t="shared" si="0"/>
        <v>3,8</v>
      </c>
      <c r="F22" s="31">
        <f>IFERROR(INDEX('WINBUGS data'!$F$17:$ZZ$65,MATCH($C22,'WINBUGS data'!$F$17:$F$65,0),MATCH("t[,"&amp;F$4 &amp;"]",'WINBUGS data'!$F$16:$ZZ$16,0)),"")</f>
        <v>3</v>
      </c>
      <c r="G22" s="31">
        <f>IFERROR(INDEX('WINBUGS data'!$F$17:$ZZ$65,MATCH($C22,'WINBUGS data'!$F$17:$F$65,0),MATCH("t[,"&amp;G$4 &amp;"]",'WINBUGS data'!$F$16:$ZZ$16,0)),"")</f>
        <v>8</v>
      </c>
      <c r="H22" s="31" t="str">
        <f>IFERROR(INDEX('WINBUGS data'!$F$17:$ZZ$65,MATCH($C22,'WINBUGS data'!$F$17:$F$65,0),MATCH("t[,"&amp;H$4 &amp;"]",'WINBUGS data'!$F$16:$ZZ$16,0)),"")</f>
        <v>NA</v>
      </c>
      <c r="I22" s="31" t="str">
        <f>IFERROR(INDEX('WINBUGS data'!$F$17:$ZZ$65,MATCH($C22,'WINBUGS data'!$F$17:$F$65,0),MATCH("t[,"&amp;I$4 &amp;"]",'WINBUGS data'!$F$16:$ZZ$16,0)),"")</f>
        <v>NA</v>
      </c>
      <c r="J22" s="31" t="str">
        <f>IFERROR(INDEX('WINBUGS data'!$F$17:$ZZ$65,MATCH($C22,'WINBUGS data'!$F$17:$F$65,0),MATCH("t[,"&amp;J$4 &amp;"]",'WINBUGS data'!$F$16:$ZZ$16,0)),"")</f>
        <v>NA</v>
      </c>
      <c r="K22" s="31" t="str">
        <f>IFERROR(INDEX('WINBUGS data'!$F$17:$ZZ$65,MATCH($C22,'WINBUGS data'!$F$17:$F$65,0),MATCH("t[,"&amp;K$4 &amp;"]",'WINBUGS data'!$F$16:$ZZ$16,0)),"")</f>
        <v>NA</v>
      </c>
      <c r="L22" s="31" t="str">
        <f>IFERROR(INDEX('WINBUGS data'!$F$17:$ZZ$65,MATCH($C22,'WINBUGS data'!$F$17:$F$65,0),MATCH("t[,"&amp;L$4 &amp;"]",'WINBUGS data'!$F$16:$ZZ$16,0)),"")</f>
        <v>NA</v>
      </c>
      <c r="M22" s="31" t="str">
        <f>IFERROR(INDEX('WINBUGS data'!$F$17:$ZZ$65,MATCH($C22,'WINBUGS data'!$F$17:$F$65,0),MATCH("t[,"&amp;M$4 &amp;"]",'WINBUGS data'!$F$16:$ZZ$16,0)),"")</f>
        <v>NA</v>
      </c>
      <c r="N22" s="31" t="str">
        <f>IFERROR(INDEX('WINBUGS data'!$F$17:$ZZ$65,MATCH($C22,'WINBUGS data'!$F$17:$F$65,0),MATCH("t[,"&amp;N$4 &amp;"]",'WINBUGS data'!$F$16:$ZZ$16,0)),"")</f>
        <v/>
      </c>
      <c r="O22" s="31" t="str">
        <f>IFERROR(INDEX('WINBUGS data'!$F$17:$ZZ$65,MATCH($C22,'WINBUGS data'!$F$17:$F$65,0),MATCH("t[,"&amp;O$4 &amp;"]",'WINBUGS data'!$F$16:$ZZ$16,0)),"")</f>
        <v/>
      </c>
      <c r="P22" s="31" t="str">
        <f>IFERROR(INDEX('WINBUGS data'!$F$17:$ZZ$65,MATCH($C22,'WINBUGS data'!$F$17:$F$65,0),MATCH("t[,"&amp;P$4 &amp;"]",'WINBUGS data'!$F$16:$ZZ$16,0)),"")</f>
        <v/>
      </c>
      <c r="Q22" s="31" t="str">
        <f>IFERROR(INDEX('WINBUGS data'!$F$17:$ZZ$65,MATCH($C22,'WINBUGS data'!$F$17:$F$65,0),MATCH("t[,"&amp;Q$4 &amp;"]",'WINBUGS data'!$F$16:$ZZ$16,0)),"")</f>
        <v/>
      </c>
      <c r="R22" s="31" t="str">
        <f>IFERROR(INDEX('WINBUGS data'!$F$17:$ZZ$65,MATCH($C22,'WINBUGS data'!$F$17:$F$65,0),MATCH("t[,"&amp;R$4 &amp;"]",'WINBUGS data'!$F$16:$ZZ$16,0)),"")</f>
        <v/>
      </c>
      <c r="S22" s="31" t="str">
        <f>IFERROR(INDEX('WINBUGS data'!$F$17:$ZZ$65,MATCH($C22,'WINBUGS data'!$F$17:$F$65,0),MATCH("t[,"&amp;S$4 &amp;"]",'WINBUGS data'!$F$16:$ZZ$16,0)),"")</f>
        <v/>
      </c>
      <c r="T22" s="1" t="str">
        <f>IFERROR(INDEX('WINBUGS data'!$F$17:$ZZ$65,MATCH($C22,'WINBUGS data'!$F$17:$F$65,0),MATCH("t[,"&amp;T$4 &amp;"]",'WINBUGS data'!$F$16:$ZZ$16,0)),"")</f>
        <v/>
      </c>
    </row>
    <row r="23" spans="2:20" x14ac:dyDescent="0.25">
      <c r="B23" s="31"/>
      <c r="C23" s="26">
        <f>IF('WINBUGS data'!F35&lt;&gt;"",'WINBUGS data'!F35,"")</f>
        <v>19</v>
      </c>
      <c r="D23" s="31">
        <f>IFERROR(INDEX('WINBUGS data'!$F$17:$ZZ$65,MATCH(C23,'WINBUGS data'!$F$17:$F$65,0),MATCH("na[]",'WINBUGS data'!$F$16:$ZZ$16,0)),"")</f>
        <v>2</v>
      </c>
      <c r="E23" s="31" t="str">
        <f t="shared" si="0"/>
        <v>2,8</v>
      </c>
      <c r="F23" s="31">
        <f>IFERROR(INDEX('WINBUGS data'!$F$17:$ZZ$65,MATCH($C23,'WINBUGS data'!$F$17:$F$65,0),MATCH("t[,"&amp;F$4 &amp;"]",'WINBUGS data'!$F$16:$ZZ$16,0)),"")</f>
        <v>2</v>
      </c>
      <c r="G23" s="31">
        <f>IFERROR(INDEX('WINBUGS data'!$F$17:$ZZ$65,MATCH($C23,'WINBUGS data'!$F$17:$F$65,0),MATCH("t[,"&amp;G$4 &amp;"]",'WINBUGS data'!$F$16:$ZZ$16,0)),"")</f>
        <v>8</v>
      </c>
      <c r="H23" s="31" t="str">
        <f>IFERROR(INDEX('WINBUGS data'!$F$17:$ZZ$65,MATCH($C23,'WINBUGS data'!$F$17:$F$65,0),MATCH("t[,"&amp;H$4 &amp;"]",'WINBUGS data'!$F$16:$ZZ$16,0)),"")</f>
        <v>NA</v>
      </c>
      <c r="I23" s="31" t="str">
        <f>IFERROR(INDEX('WINBUGS data'!$F$17:$ZZ$65,MATCH($C23,'WINBUGS data'!$F$17:$F$65,0),MATCH("t[,"&amp;I$4 &amp;"]",'WINBUGS data'!$F$16:$ZZ$16,0)),"")</f>
        <v>NA</v>
      </c>
      <c r="J23" s="31" t="str">
        <f>IFERROR(INDEX('WINBUGS data'!$F$17:$ZZ$65,MATCH($C23,'WINBUGS data'!$F$17:$F$65,0),MATCH("t[,"&amp;J$4 &amp;"]",'WINBUGS data'!$F$16:$ZZ$16,0)),"")</f>
        <v>NA</v>
      </c>
      <c r="K23" s="31" t="str">
        <f>IFERROR(INDEX('WINBUGS data'!$F$17:$ZZ$65,MATCH($C23,'WINBUGS data'!$F$17:$F$65,0),MATCH("t[,"&amp;K$4 &amp;"]",'WINBUGS data'!$F$16:$ZZ$16,0)),"")</f>
        <v>NA</v>
      </c>
      <c r="L23" s="31" t="str">
        <f>IFERROR(INDEX('WINBUGS data'!$F$17:$ZZ$65,MATCH($C23,'WINBUGS data'!$F$17:$F$65,0),MATCH("t[,"&amp;L$4 &amp;"]",'WINBUGS data'!$F$16:$ZZ$16,0)),"")</f>
        <v>NA</v>
      </c>
      <c r="M23" s="31" t="str">
        <f>IFERROR(INDEX('WINBUGS data'!$F$17:$ZZ$65,MATCH($C23,'WINBUGS data'!$F$17:$F$65,0),MATCH("t[,"&amp;M$4 &amp;"]",'WINBUGS data'!$F$16:$ZZ$16,0)),"")</f>
        <v>NA</v>
      </c>
      <c r="N23" s="31" t="str">
        <f>IFERROR(INDEX('WINBUGS data'!$F$17:$ZZ$65,MATCH($C23,'WINBUGS data'!$F$17:$F$65,0),MATCH("t[,"&amp;N$4 &amp;"]",'WINBUGS data'!$F$16:$ZZ$16,0)),"")</f>
        <v/>
      </c>
      <c r="O23" s="31" t="str">
        <f>IFERROR(INDEX('WINBUGS data'!$F$17:$ZZ$65,MATCH($C23,'WINBUGS data'!$F$17:$F$65,0),MATCH("t[,"&amp;O$4 &amp;"]",'WINBUGS data'!$F$16:$ZZ$16,0)),"")</f>
        <v/>
      </c>
      <c r="P23" s="31" t="str">
        <f>IFERROR(INDEX('WINBUGS data'!$F$17:$ZZ$65,MATCH($C23,'WINBUGS data'!$F$17:$F$65,0),MATCH("t[,"&amp;P$4 &amp;"]",'WINBUGS data'!$F$16:$ZZ$16,0)),"")</f>
        <v/>
      </c>
      <c r="Q23" s="31" t="str">
        <f>IFERROR(INDEX('WINBUGS data'!$F$17:$ZZ$65,MATCH($C23,'WINBUGS data'!$F$17:$F$65,0),MATCH("t[,"&amp;Q$4 &amp;"]",'WINBUGS data'!$F$16:$ZZ$16,0)),"")</f>
        <v/>
      </c>
      <c r="R23" s="31" t="str">
        <f>IFERROR(INDEX('WINBUGS data'!$F$17:$ZZ$65,MATCH($C23,'WINBUGS data'!$F$17:$F$65,0),MATCH("t[,"&amp;R$4 &amp;"]",'WINBUGS data'!$F$16:$ZZ$16,0)),"")</f>
        <v/>
      </c>
      <c r="S23" s="31" t="str">
        <f>IFERROR(INDEX('WINBUGS data'!$F$17:$ZZ$65,MATCH($C23,'WINBUGS data'!$F$17:$F$65,0),MATCH("t[,"&amp;S$4 &amp;"]",'WINBUGS data'!$F$16:$ZZ$16,0)),"")</f>
        <v/>
      </c>
      <c r="T23" s="1" t="str">
        <f>IFERROR(INDEX('WINBUGS data'!$F$17:$ZZ$65,MATCH($C23,'WINBUGS data'!$F$17:$F$65,0),MATCH("t[,"&amp;T$4 &amp;"]",'WINBUGS data'!$F$16:$ZZ$16,0)),"")</f>
        <v/>
      </c>
    </row>
    <row r="24" spans="2:20" x14ac:dyDescent="0.25">
      <c r="B24" s="31"/>
      <c r="C24" s="26">
        <f>IF('WINBUGS data'!F36&lt;&gt;"",'WINBUGS data'!F36,"")</f>
        <v>20</v>
      </c>
      <c r="D24" s="31">
        <f>IFERROR(INDEX('WINBUGS data'!$F$17:$ZZ$65,MATCH(C24,'WINBUGS data'!$F$17:$F$65,0),MATCH("na[]",'WINBUGS data'!$F$16:$ZZ$16,0)),"")</f>
        <v>2</v>
      </c>
      <c r="E24" s="31" t="str">
        <f t="shared" si="0"/>
        <v>1,7</v>
      </c>
      <c r="F24" s="31">
        <f>IFERROR(INDEX('WINBUGS data'!$F$17:$ZZ$65,MATCH($C24,'WINBUGS data'!$F$17:$F$65,0),MATCH("t[,"&amp;F$4 &amp;"]",'WINBUGS data'!$F$16:$ZZ$16,0)),"")</f>
        <v>1</v>
      </c>
      <c r="G24" s="31">
        <f>IFERROR(INDEX('WINBUGS data'!$F$17:$ZZ$65,MATCH($C24,'WINBUGS data'!$F$17:$F$65,0),MATCH("t[,"&amp;G$4 &amp;"]",'WINBUGS data'!$F$16:$ZZ$16,0)),"")</f>
        <v>7</v>
      </c>
      <c r="H24" s="31" t="str">
        <f>IFERROR(INDEX('WINBUGS data'!$F$17:$ZZ$65,MATCH($C24,'WINBUGS data'!$F$17:$F$65,0),MATCH("t[,"&amp;H$4 &amp;"]",'WINBUGS data'!$F$16:$ZZ$16,0)),"")</f>
        <v>NA</v>
      </c>
      <c r="I24" s="31" t="str">
        <f>IFERROR(INDEX('WINBUGS data'!$F$17:$ZZ$65,MATCH($C24,'WINBUGS data'!$F$17:$F$65,0),MATCH("t[,"&amp;I$4 &amp;"]",'WINBUGS data'!$F$16:$ZZ$16,0)),"")</f>
        <v>NA</v>
      </c>
      <c r="J24" s="31" t="str">
        <f>IFERROR(INDEX('WINBUGS data'!$F$17:$ZZ$65,MATCH($C24,'WINBUGS data'!$F$17:$F$65,0),MATCH("t[,"&amp;J$4 &amp;"]",'WINBUGS data'!$F$16:$ZZ$16,0)),"")</f>
        <v>NA</v>
      </c>
      <c r="K24" s="31" t="str">
        <f>IFERROR(INDEX('WINBUGS data'!$F$17:$ZZ$65,MATCH($C24,'WINBUGS data'!$F$17:$F$65,0),MATCH("t[,"&amp;K$4 &amp;"]",'WINBUGS data'!$F$16:$ZZ$16,0)),"")</f>
        <v>NA</v>
      </c>
      <c r="L24" s="31" t="str">
        <f>IFERROR(INDEX('WINBUGS data'!$F$17:$ZZ$65,MATCH($C24,'WINBUGS data'!$F$17:$F$65,0),MATCH("t[,"&amp;L$4 &amp;"]",'WINBUGS data'!$F$16:$ZZ$16,0)),"")</f>
        <v>NA</v>
      </c>
      <c r="M24" s="31" t="str">
        <f>IFERROR(INDEX('WINBUGS data'!$F$17:$ZZ$65,MATCH($C24,'WINBUGS data'!$F$17:$F$65,0),MATCH("t[,"&amp;M$4 &amp;"]",'WINBUGS data'!$F$16:$ZZ$16,0)),"")</f>
        <v>NA</v>
      </c>
      <c r="N24" s="31" t="str">
        <f>IFERROR(INDEX('WINBUGS data'!$F$17:$ZZ$65,MATCH($C24,'WINBUGS data'!$F$17:$F$65,0),MATCH("t[,"&amp;N$4 &amp;"]",'WINBUGS data'!$F$16:$ZZ$16,0)),"")</f>
        <v/>
      </c>
      <c r="O24" s="31" t="str">
        <f>IFERROR(INDEX('WINBUGS data'!$F$17:$ZZ$65,MATCH($C24,'WINBUGS data'!$F$17:$F$65,0),MATCH("t[,"&amp;O$4 &amp;"]",'WINBUGS data'!$F$16:$ZZ$16,0)),"")</f>
        <v/>
      </c>
      <c r="P24" s="31" t="str">
        <f>IFERROR(INDEX('WINBUGS data'!$F$17:$ZZ$65,MATCH($C24,'WINBUGS data'!$F$17:$F$65,0),MATCH("t[,"&amp;P$4 &amp;"]",'WINBUGS data'!$F$16:$ZZ$16,0)),"")</f>
        <v/>
      </c>
      <c r="Q24" s="31" t="str">
        <f>IFERROR(INDEX('WINBUGS data'!$F$17:$ZZ$65,MATCH($C24,'WINBUGS data'!$F$17:$F$65,0),MATCH("t[,"&amp;Q$4 &amp;"]",'WINBUGS data'!$F$16:$ZZ$16,0)),"")</f>
        <v/>
      </c>
      <c r="R24" s="31" t="str">
        <f>IFERROR(INDEX('WINBUGS data'!$F$17:$ZZ$65,MATCH($C24,'WINBUGS data'!$F$17:$F$65,0),MATCH("t[,"&amp;R$4 &amp;"]",'WINBUGS data'!$F$16:$ZZ$16,0)),"")</f>
        <v/>
      </c>
      <c r="S24" s="31" t="str">
        <f>IFERROR(INDEX('WINBUGS data'!$F$17:$ZZ$65,MATCH($C24,'WINBUGS data'!$F$17:$F$65,0),MATCH("t[,"&amp;S$4 &amp;"]",'WINBUGS data'!$F$16:$ZZ$16,0)),"")</f>
        <v/>
      </c>
      <c r="T24" s="1" t="str">
        <f>IFERROR(INDEX('WINBUGS data'!$F$17:$ZZ$65,MATCH($C24,'WINBUGS data'!$F$17:$F$65,0),MATCH("t[,"&amp;T$4 &amp;"]",'WINBUGS data'!$F$16:$ZZ$16,0)),"")</f>
        <v/>
      </c>
    </row>
    <row r="25" spans="2:20" x14ac:dyDescent="0.25">
      <c r="B25" s="31"/>
      <c r="C25" s="26">
        <f>IF('WINBUGS data'!F37&lt;&gt;"",'WINBUGS data'!F37,"")</f>
        <v>21</v>
      </c>
      <c r="D25" s="31">
        <f>IFERROR(INDEX('WINBUGS data'!$F$17:$ZZ$65,MATCH(C25,'WINBUGS data'!$F$17:$F$65,0),MATCH("na[]",'WINBUGS data'!$F$16:$ZZ$16,0)),"")</f>
        <v>2</v>
      </c>
      <c r="E25" s="31" t="str">
        <f t="shared" si="0"/>
        <v>1,2</v>
      </c>
      <c r="F25" s="31">
        <f>IFERROR(INDEX('WINBUGS data'!$F$17:$ZZ$65,MATCH($C25,'WINBUGS data'!$F$17:$F$65,0),MATCH("t[,"&amp;F$4 &amp;"]",'WINBUGS data'!$F$16:$ZZ$16,0)),"")</f>
        <v>1</v>
      </c>
      <c r="G25" s="31">
        <f>IFERROR(INDEX('WINBUGS data'!$F$17:$ZZ$65,MATCH($C25,'WINBUGS data'!$F$17:$F$65,0),MATCH("t[,"&amp;G$4 &amp;"]",'WINBUGS data'!$F$16:$ZZ$16,0)),"")</f>
        <v>2</v>
      </c>
      <c r="H25" s="31" t="str">
        <f>IFERROR(INDEX('WINBUGS data'!$F$17:$ZZ$65,MATCH($C25,'WINBUGS data'!$F$17:$F$65,0),MATCH("t[,"&amp;H$4 &amp;"]",'WINBUGS data'!$F$16:$ZZ$16,0)),"")</f>
        <v>NA</v>
      </c>
      <c r="I25" s="31" t="str">
        <f>IFERROR(INDEX('WINBUGS data'!$F$17:$ZZ$65,MATCH($C25,'WINBUGS data'!$F$17:$F$65,0),MATCH("t[,"&amp;I$4 &amp;"]",'WINBUGS data'!$F$16:$ZZ$16,0)),"")</f>
        <v>NA</v>
      </c>
      <c r="J25" s="31" t="str">
        <f>IFERROR(INDEX('WINBUGS data'!$F$17:$ZZ$65,MATCH($C25,'WINBUGS data'!$F$17:$F$65,0),MATCH("t[,"&amp;J$4 &amp;"]",'WINBUGS data'!$F$16:$ZZ$16,0)),"")</f>
        <v>NA</v>
      </c>
      <c r="K25" s="31" t="str">
        <f>IFERROR(INDEX('WINBUGS data'!$F$17:$ZZ$65,MATCH($C25,'WINBUGS data'!$F$17:$F$65,0),MATCH("t[,"&amp;K$4 &amp;"]",'WINBUGS data'!$F$16:$ZZ$16,0)),"")</f>
        <v>NA</v>
      </c>
      <c r="L25" s="31" t="str">
        <f>IFERROR(INDEX('WINBUGS data'!$F$17:$ZZ$65,MATCH($C25,'WINBUGS data'!$F$17:$F$65,0),MATCH("t[,"&amp;L$4 &amp;"]",'WINBUGS data'!$F$16:$ZZ$16,0)),"")</f>
        <v>NA</v>
      </c>
      <c r="M25" s="31" t="str">
        <f>IFERROR(INDEX('WINBUGS data'!$F$17:$ZZ$65,MATCH($C25,'WINBUGS data'!$F$17:$F$65,0),MATCH("t[,"&amp;M$4 &amp;"]",'WINBUGS data'!$F$16:$ZZ$16,0)),"")</f>
        <v>NA</v>
      </c>
      <c r="N25" s="31" t="str">
        <f>IFERROR(INDEX('WINBUGS data'!$F$17:$ZZ$65,MATCH($C25,'WINBUGS data'!$F$17:$F$65,0),MATCH("t[,"&amp;N$4 &amp;"]",'WINBUGS data'!$F$16:$ZZ$16,0)),"")</f>
        <v/>
      </c>
      <c r="O25" s="31" t="str">
        <f>IFERROR(INDEX('WINBUGS data'!$F$17:$ZZ$65,MATCH($C25,'WINBUGS data'!$F$17:$F$65,0),MATCH("t[,"&amp;O$4 &amp;"]",'WINBUGS data'!$F$16:$ZZ$16,0)),"")</f>
        <v/>
      </c>
      <c r="P25" s="31" t="str">
        <f>IFERROR(INDEX('WINBUGS data'!$F$17:$ZZ$65,MATCH($C25,'WINBUGS data'!$F$17:$F$65,0),MATCH("t[,"&amp;P$4 &amp;"]",'WINBUGS data'!$F$16:$ZZ$16,0)),"")</f>
        <v/>
      </c>
      <c r="Q25" s="31" t="str">
        <f>IFERROR(INDEX('WINBUGS data'!$F$17:$ZZ$65,MATCH($C25,'WINBUGS data'!$F$17:$F$65,0),MATCH("t[,"&amp;Q$4 &amp;"]",'WINBUGS data'!$F$16:$ZZ$16,0)),"")</f>
        <v/>
      </c>
      <c r="R25" s="31" t="str">
        <f>IFERROR(INDEX('WINBUGS data'!$F$17:$ZZ$65,MATCH($C25,'WINBUGS data'!$F$17:$F$65,0),MATCH("t[,"&amp;R$4 &amp;"]",'WINBUGS data'!$F$16:$ZZ$16,0)),"")</f>
        <v/>
      </c>
      <c r="S25" s="31" t="str">
        <f>IFERROR(INDEX('WINBUGS data'!$F$17:$ZZ$65,MATCH($C25,'WINBUGS data'!$F$17:$F$65,0),MATCH("t[,"&amp;S$4 &amp;"]",'WINBUGS data'!$F$16:$ZZ$16,0)),"")</f>
        <v/>
      </c>
      <c r="T25" s="1" t="str">
        <f>IFERROR(INDEX('WINBUGS data'!$F$17:$ZZ$65,MATCH($C25,'WINBUGS data'!$F$17:$F$65,0),MATCH("t[,"&amp;T$4 &amp;"]",'WINBUGS data'!$F$16:$ZZ$16,0)),"")</f>
        <v/>
      </c>
    </row>
    <row r="26" spans="2:20" x14ac:dyDescent="0.25">
      <c r="B26" s="31"/>
      <c r="C26" s="26">
        <f>IF('WINBUGS data'!F38&lt;&gt;"",'WINBUGS data'!F38,"")</f>
        <v>22</v>
      </c>
      <c r="D26" s="31">
        <f>IFERROR(INDEX('WINBUGS data'!$F$17:$ZZ$65,MATCH(C26,'WINBUGS data'!$F$17:$F$65,0),MATCH("na[]",'WINBUGS data'!$F$16:$ZZ$16,0)),"")</f>
        <v>2</v>
      </c>
      <c r="E26" s="31" t="str">
        <f t="shared" si="0"/>
        <v>1,2</v>
      </c>
      <c r="F26" s="31">
        <f>IFERROR(INDEX('WINBUGS data'!$F$17:$ZZ$65,MATCH($C26,'WINBUGS data'!$F$17:$F$65,0),MATCH("t[,"&amp;F$4 &amp;"]",'WINBUGS data'!$F$16:$ZZ$16,0)),"")</f>
        <v>1</v>
      </c>
      <c r="G26" s="31">
        <f>IFERROR(INDEX('WINBUGS data'!$F$17:$ZZ$65,MATCH($C26,'WINBUGS data'!$F$17:$F$65,0),MATCH("t[,"&amp;G$4 &amp;"]",'WINBUGS data'!$F$16:$ZZ$16,0)),"")</f>
        <v>2</v>
      </c>
      <c r="H26" s="31" t="str">
        <f>IFERROR(INDEX('WINBUGS data'!$F$17:$ZZ$65,MATCH($C26,'WINBUGS data'!$F$17:$F$65,0),MATCH("t[,"&amp;H$4 &amp;"]",'WINBUGS data'!$F$16:$ZZ$16,0)),"")</f>
        <v>NA</v>
      </c>
      <c r="I26" s="31" t="str">
        <f>IFERROR(INDEX('WINBUGS data'!$F$17:$ZZ$65,MATCH($C26,'WINBUGS data'!$F$17:$F$65,0),MATCH("t[,"&amp;I$4 &amp;"]",'WINBUGS data'!$F$16:$ZZ$16,0)),"")</f>
        <v>NA</v>
      </c>
      <c r="J26" s="31" t="str">
        <f>IFERROR(INDEX('WINBUGS data'!$F$17:$ZZ$65,MATCH($C26,'WINBUGS data'!$F$17:$F$65,0),MATCH("t[,"&amp;J$4 &amp;"]",'WINBUGS data'!$F$16:$ZZ$16,0)),"")</f>
        <v>NA</v>
      </c>
      <c r="K26" s="31" t="str">
        <f>IFERROR(INDEX('WINBUGS data'!$F$17:$ZZ$65,MATCH($C26,'WINBUGS data'!$F$17:$F$65,0),MATCH("t[,"&amp;K$4 &amp;"]",'WINBUGS data'!$F$16:$ZZ$16,0)),"")</f>
        <v>NA</v>
      </c>
      <c r="L26" s="31" t="str">
        <f>IFERROR(INDEX('WINBUGS data'!$F$17:$ZZ$65,MATCH($C26,'WINBUGS data'!$F$17:$F$65,0),MATCH("t[,"&amp;L$4 &amp;"]",'WINBUGS data'!$F$16:$ZZ$16,0)),"")</f>
        <v>NA</v>
      </c>
      <c r="M26" s="31" t="str">
        <f>IFERROR(INDEX('WINBUGS data'!$F$17:$ZZ$65,MATCH($C26,'WINBUGS data'!$F$17:$F$65,0),MATCH("t[,"&amp;M$4 &amp;"]",'WINBUGS data'!$F$16:$ZZ$16,0)),"")</f>
        <v>NA</v>
      </c>
      <c r="N26" s="31" t="str">
        <f>IFERROR(INDEX('WINBUGS data'!$F$17:$ZZ$65,MATCH($C26,'WINBUGS data'!$F$17:$F$65,0),MATCH("t[,"&amp;N$4 &amp;"]",'WINBUGS data'!$F$16:$ZZ$16,0)),"")</f>
        <v/>
      </c>
      <c r="O26" s="31" t="str">
        <f>IFERROR(INDEX('WINBUGS data'!$F$17:$ZZ$65,MATCH($C26,'WINBUGS data'!$F$17:$F$65,0),MATCH("t[,"&amp;O$4 &amp;"]",'WINBUGS data'!$F$16:$ZZ$16,0)),"")</f>
        <v/>
      </c>
      <c r="P26" s="31" t="str">
        <f>IFERROR(INDEX('WINBUGS data'!$F$17:$ZZ$65,MATCH($C26,'WINBUGS data'!$F$17:$F$65,0),MATCH("t[,"&amp;P$4 &amp;"]",'WINBUGS data'!$F$16:$ZZ$16,0)),"")</f>
        <v/>
      </c>
      <c r="Q26" s="31" t="str">
        <f>IFERROR(INDEX('WINBUGS data'!$F$17:$ZZ$65,MATCH($C26,'WINBUGS data'!$F$17:$F$65,0),MATCH("t[,"&amp;Q$4 &amp;"]",'WINBUGS data'!$F$16:$ZZ$16,0)),"")</f>
        <v/>
      </c>
      <c r="R26" s="31" t="str">
        <f>IFERROR(INDEX('WINBUGS data'!$F$17:$ZZ$65,MATCH($C26,'WINBUGS data'!$F$17:$F$65,0),MATCH("t[,"&amp;R$4 &amp;"]",'WINBUGS data'!$F$16:$ZZ$16,0)),"")</f>
        <v/>
      </c>
      <c r="S26" s="31" t="str">
        <f>IFERROR(INDEX('WINBUGS data'!$F$17:$ZZ$65,MATCH($C26,'WINBUGS data'!$F$17:$F$65,0),MATCH("t[,"&amp;S$4 &amp;"]",'WINBUGS data'!$F$16:$ZZ$16,0)),"")</f>
        <v/>
      </c>
      <c r="T26" s="1" t="str">
        <f>IFERROR(INDEX('WINBUGS data'!$F$17:$ZZ$65,MATCH($C26,'WINBUGS data'!$F$17:$F$65,0),MATCH("t[,"&amp;T$4 &amp;"]",'WINBUGS data'!$F$16:$ZZ$16,0)),"")</f>
        <v/>
      </c>
    </row>
    <row r="27" spans="2:20" x14ac:dyDescent="0.25">
      <c r="B27" s="31"/>
      <c r="C27" s="26">
        <f>IF('WINBUGS data'!F39&lt;&gt;"",'WINBUGS data'!F39,"")</f>
        <v>23</v>
      </c>
      <c r="D27" s="31">
        <f>IFERROR(INDEX('WINBUGS data'!$F$17:$ZZ$65,MATCH(C27,'WINBUGS data'!$F$17:$F$65,0),MATCH("na[]",'WINBUGS data'!$F$16:$ZZ$16,0)),"")</f>
        <v>2</v>
      </c>
      <c r="E27" s="31" t="str">
        <f t="shared" si="0"/>
        <v>1,3</v>
      </c>
      <c r="F27" s="31">
        <f>IFERROR(INDEX('WINBUGS data'!$F$17:$ZZ$65,MATCH($C27,'WINBUGS data'!$F$17:$F$65,0),MATCH("t[,"&amp;F$4 &amp;"]",'WINBUGS data'!$F$16:$ZZ$16,0)),"")</f>
        <v>1</v>
      </c>
      <c r="G27" s="31">
        <f>IFERROR(INDEX('WINBUGS data'!$F$17:$ZZ$65,MATCH($C27,'WINBUGS data'!$F$17:$F$65,0),MATCH("t[,"&amp;G$4 &amp;"]",'WINBUGS data'!$F$16:$ZZ$16,0)),"")</f>
        <v>3</v>
      </c>
      <c r="H27" s="31" t="str">
        <f>IFERROR(INDEX('WINBUGS data'!$F$17:$ZZ$65,MATCH($C27,'WINBUGS data'!$F$17:$F$65,0),MATCH("t[,"&amp;H$4 &amp;"]",'WINBUGS data'!$F$16:$ZZ$16,0)),"")</f>
        <v>NA</v>
      </c>
      <c r="I27" s="31" t="str">
        <f>IFERROR(INDEX('WINBUGS data'!$F$17:$ZZ$65,MATCH($C27,'WINBUGS data'!$F$17:$F$65,0),MATCH("t[,"&amp;I$4 &amp;"]",'WINBUGS data'!$F$16:$ZZ$16,0)),"")</f>
        <v>NA</v>
      </c>
      <c r="J27" s="31" t="str">
        <f>IFERROR(INDEX('WINBUGS data'!$F$17:$ZZ$65,MATCH($C27,'WINBUGS data'!$F$17:$F$65,0),MATCH("t[,"&amp;J$4 &amp;"]",'WINBUGS data'!$F$16:$ZZ$16,0)),"")</f>
        <v>NA</v>
      </c>
      <c r="K27" s="31" t="str">
        <f>IFERROR(INDEX('WINBUGS data'!$F$17:$ZZ$65,MATCH($C27,'WINBUGS data'!$F$17:$F$65,0),MATCH("t[,"&amp;K$4 &amp;"]",'WINBUGS data'!$F$16:$ZZ$16,0)),"")</f>
        <v>NA</v>
      </c>
      <c r="L27" s="31" t="str">
        <f>IFERROR(INDEX('WINBUGS data'!$F$17:$ZZ$65,MATCH($C27,'WINBUGS data'!$F$17:$F$65,0),MATCH("t[,"&amp;L$4 &amp;"]",'WINBUGS data'!$F$16:$ZZ$16,0)),"")</f>
        <v>NA</v>
      </c>
      <c r="M27" s="31" t="str">
        <f>IFERROR(INDEX('WINBUGS data'!$F$17:$ZZ$65,MATCH($C27,'WINBUGS data'!$F$17:$F$65,0),MATCH("t[,"&amp;M$4 &amp;"]",'WINBUGS data'!$F$16:$ZZ$16,0)),"")</f>
        <v>NA</v>
      </c>
      <c r="N27" s="31" t="str">
        <f>IFERROR(INDEX('WINBUGS data'!$F$17:$ZZ$65,MATCH($C27,'WINBUGS data'!$F$17:$F$65,0),MATCH("t[,"&amp;N$4 &amp;"]",'WINBUGS data'!$F$16:$ZZ$16,0)),"")</f>
        <v/>
      </c>
      <c r="O27" s="31" t="str">
        <f>IFERROR(INDEX('WINBUGS data'!$F$17:$ZZ$65,MATCH($C27,'WINBUGS data'!$F$17:$F$65,0),MATCH("t[,"&amp;O$4 &amp;"]",'WINBUGS data'!$F$16:$ZZ$16,0)),"")</f>
        <v/>
      </c>
      <c r="P27" s="31" t="str">
        <f>IFERROR(INDEX('WINBUGS data'!$F$17:$ZZ$65,MATCH($C27,'WINBUGS data'!$F$17:$F$65,0),MATCH("t[,"&amp;P$4 &amp;"]",'WINBUGS data'!$F$16:$ZZ$16,0)),"")</f>
        <v/>
      </c>
      <c r="Q27" s="31" t="str">
        <f>IFERROR(INDEX('WINBUGS data'!$F$17:$ZZ$65,MATCH($C27,'WINBUGS data'!$F$17:$F$65,0),MATCH("t[,"&amp;Q$4 &amp;"]",'WINBUGS data'!$F$16:$ZZ$16,0)),"")</f>
        <v/>
      </c>
      <c r="R27" s="31" t="str">
        <f>IFERROR(INDEX('WINBUGS data'!$F$17:$ZZ$65,MATCH($C27,'WINBUGS data'!$F$17:$F$65,0),MATCH("t[,"&amp;R$4 &amp;"]",'WINBUGS data'!$F$16:$ZZ$16,0)),"")</f>
        <v/>
      </c>
      <c r="S27" s="31" t="str">
        <f>IFERROR(INDEX('WINBUGS data'!$F$17:$ZZ$65,MATCH($C27,'WINBUGS data'!$F$17:$F$65,0),MATCH("t[,"&amp;S$4 &amp;"]",'WINBUGS data'!$F$16:$ZZ$16,0)),"")</f>
        <v/>
      </c>
      <c r="T27" s="1" t="str">
        <f>IFERROR(INDEX('WINBUGS data'!$F$17:$ZZ$65,MATCH($C27,'WINBUGS data'!$F$17:$F$65,0),MATCH("t[,"&amp;T$4 &amp;"]",'WINBUGS data'!$F$16:$ZZ$16,0)),"")</f>
        <v/>
      </c>
    </row>
    <row r="28" spans="2:20" x14ac:dyDescent="0.25">
      <c r="B28" s="31"/>
      <c r="C28" s="26">
        <f>IF('WINBUGS data'!F40&lt;&gt;"",'WINBUGS data'!F40,"")</f>
        <v>24</v>
      </c>
      <c r="D28" s="31">
        <f>IFERROR(INDEX('WINBUGS data'!$F$17:$ZZ$65,MATCH(C28,'WINBUGS data'!$F$17:$F$65,0),MATCH("na[]",'WINBUGS data'!$F$16:$ZZ$16,0)),"")</f>
        <v>2</v>
      </c>
      <c r="E28" s="31" t="str">
        <f t="shared" si="0"/>
        <v>1,7</v>
      </c>
      <c r="F28" s="31">
        <f>IFERROR(INDEX('WINBUGS data'!$F$17:$ZZ$65,MATCH($C28,'WINBUGS data'!$F$17:$F$65,0),MATCH("t[,"&amp;F$4 &amp;"]",'WINBUGS data'!$F$16:$ZZ$16,0)),"")</f>
        <v>1</v>
      </c>
      <c r="G28" s="31">
        <f>IFERROR(INDEX('WINBUGS data'!$F$17:$ZZ$65,MATCH($C28,'WINBUGS data'!$F$17:$F$65,0),MATCH("t[,"&amp;G$4 &amp;"]",'WINBUGS data'!$F$16:$ZZ$16,0)),"")</f>
        <v>7</v>
      </c>
      <c r="H28" s="31" t="str">
        <f>IFERROR(INDEX('WINBUGS data'!$F$17:$ZZ$65,MATCH($C28,'WINBUGS data'!$F$17:$F$65,0),MATCH("t[,"&amp;H$4 &amp;"]",'WINBUGS data'!$F$16:$ZZ$16,0)),"")</f>
        <v>NA</v>
      </c>
      <c r="I28" s="31" t="str">
        <f>IFERROR(INDEX('WINBUGS data'!$F$17:$ZZ$65,MATCH($C28,'WINBUGS data'!$F$17:$F$65,0),MATCH("t[,"&amp;I$4 &amp;"]",'WINBUGS data'!$F$16:$ZZ$16,0)),"")</f>
        <v>NA</v>
      </c>
      <c r="J28" s="31" t="str">
        <f>IFERROR(INDEX('WINBUGS data'!$F$17:$ZZ$65,MATCH($C28,'WINBUGS data'!$F$17:$F$65,0),MATCH("t[,"&amp;J$4 &amp;"]",'WINBUGS data'!$F$16:$ZZ$16,0)),"")</f>
        <v>NA</v>
      </c>
      <c r="K28" s="31" t="str">
        <f>IFERROR(INDEX('WINBUGS data'!$F$17:$ZZ$65,MATCH($C28,'WINBUGS data'!$F$17:$F$65,0),MATCH("t[,"&amp;K$4 &amp;"]",'WINBUGS data'!$F$16:$ZZ$16,0)),"")</f>
        <v>NA</v>
      </c>
      <c r="L28" s="31" t="str">
        <f>IFERROR(INDEX('WINBUGS data'!$F$17:$ZZ$65,MATCH($C28,'WINBUGS data'!$F$17:$F$65,0),MATCH("t[,"&amp;L$4 &amp;"]",'WINBUGS data'!$F$16:$ZZ$16,0)),"")</f>
        <v>NA</v>
      </c>
      <c r="M28" s="31" t="str">
        <f>IFERROR(INDEX('WINBUGS data'!$F$17:$ZZ$65,MATCH($C28,'WINBUGS data'!$F$17:$F$65,0),MATCH("t[,"&amp;M$4 &amp;"]",'WINBUGS data'!$F$16:$ZZ$16,0)),"")</f>
        <v>NA</v>
      </c>
      <c r="N28" s="31" t="str">
        <f>IFERROR(INDEX('WINBUGS data'!$F$17:$ZZ$65,MATCH($C28,'WINBUGS data'!$F$17:$F$65,0),MATCH("t[,"&amp;N$4 &amp;"]",'WINBUGS data'!$F$16:$ZZ$16,0)),"")</f>
        <v/>
      </c>
      <c r="O28" s="31" t="str">
        <f>IFERROR(INDEX('WINBUGS data'!$F$17:$ZZ$65,MATCH($C28,'WINBUGS data'!$F$17:$F$65,0),MATCH("t[,"&amp;O$4 &amp;"]",'WINBUGS data'!$F$16:$ZZ$16,0)),"")</f>
        <v/>
      </c>
      <c r="P28" s="31" t="str">
        <f>IFERROR(INDEX('WINBUGS data'!$F$17:$ZZ$65,MATCH($C28,'WINBUGS data'!$F$17:$F$65,0),MATCH("t[,"&amp;P$4 &amp;"]",'WINBUGS data'!$F$16:$ZZ$16,0)),"")</f>
        <v/>
      </c>
      <c r="Q28" s="31" t="str">
        <f>IFERROR(INDEX('WINBUGS data'!$F$17:$ZZ$65,MATCH($C28,'WINBUGS data'!$F$17:$F$65,0),MATCH("t[,"&amp;Q$4 &amp;"]",'WINBUGS data'!$F$16:$ZZ$16,0)),"")</f>
        <v/>
      </c>
      <c r="R28" s="31" t="str">
        <f>IFERROR(INDEX('WINBUGS data'!$F$17:$ZZ$65,MATCH($C28,'WINBUGS data'!$F$17:$F$65,0),MATCH("t[,"&amp;R$4 &amp;"]",'WINBUGS data'!$F$16:$ZZ$16,0)),"")</f>
        <v/>
      </c>
      <c r="S28" s="31" t="str">
        <f>IFERROR(INDEX('WINBUGS data'!$F$17:$ZZ$65,MATCH($C28,'WINBUGS data'!$F$17:$F$65,0),MATCH("t[,"&amp;S$4 &amp;"]",'WINBUGS data'!$F$16:$ZZ$16,0)),"")</f>
        <v/>
      </c>
      <c r="T28" s="1" t="str">
        <f>IFERROR(INDEX('WINBUGS data'!$F$17:$ZZ$65,MATCH($C28,'WINBUGS data'!$F$17:$F$65,0),MATCH("t[,"&amp;T$4 &amp;"]",'WINBUGS data'!$F$16:$ZZ$16,0)),"")</f>
        <v/>
      </c>
    </row>
    <row r="29" spans="2:20" x14ac:dyDescent="0.25">
      <c r="B29" s="31"/>
      <c r="C29" s="26">
        <f>IF('WINBUGS data'!F41&lt;&gt;"",'WINBUGS data'!F41,"")</f>
        <v>25</v>
      </c>
      <c r="D29" s="31">
        <f>IFERROR(INDEX('WINBUGS data'!$F$17:$ZZ$65,MATCH(C29,'WINBUGS data'!$F$17:$F$65,0),MATCH("na[]",'WINBUGS data'!$F$16:$ZZ$16,0)),"")</f>
        <v>2</v>
      </c>
      <c r="E29" s="31" t="str">
        <f t="shared" si="0"/>
        <v>1,2</v>
      </c>
      <c r="F29" s="31">
        <f>IFERROR(INDEX('WINBUGS data'!$F$17:$ZZ$65,MATCH($C29,'WINBUGS data'!$F$17:$F$65,0),MATCH("t[,"&amp;F$4 &amp;"]",'WINBUGS data'!$F$16:$ZZ$16,0)),"")</f>
        <v>1</v>
      </c>
      <c r="G29" s="31">
        <f>IFERROR(INDEX('WINBUGS data'!$F$17:$ZZ$65,MATCH($C29,'WINBUGS data'!$F$17:$F$65,0),MATCH("t[,"&amp;G$4 &amp;"]",'WINBUGS data'!$F$16:$ZZ$16,0)),"")</f>
        <v>2</v>
      </c>
      <c r="H29" s="31" t="str">
        <f>IFERROR(INDEX('WINBUGS data'!$F$17:$ZZ$65,MATCH($C29,'WINBUGS data'!$F$17:$F$65,0),MATCH("t[,"&amp;H$4 &amp;"]",'WINBUGS data'!$F$16:$ZZ$16,0)),"")</f>
        <v>NA</v>
      </c>
      <c r="I29" s="31" t="str">
        <f>IFERROR(INDEX('WINBUGS data'!$F$17:$ZZ$65,MATCH($C29,'WINBUGS data'!$F$17:$F$65,0),MATCH("t[,"&amp;I$4 &amp;"]",'WINBUGS data'!$F$16:$ZZ$16,0)),"")</f>
        <v>NA</v>
      </c>
      <c r="J29" s="31" t="str">
        <f>IFERROR(INDEX('WINBUGS data'!$F$17:$ZZ$65,MATCH($C29,'WINBUGS data'!$F$17:$F$65,0),MATCH("t[,"&amp;J$4 &amp;"]",'WINBUGS data'!$F$16:$ZZ$16,0)),"")</f>
        <v>NA</v>
      </c>
      <c r="K29" s="31" t="str">
        <f>IFERROR(INDEX('WINBUGS data'!$F$17:$ZZ$65,MATCH($C29,'WINBUGS data'!$F$17:$F$65,0),MATCH("t[,"&amp;K$4 &amp;"]",'WINBUGS data'!$F$16:$ZZ$16,0)),"")</f>
        <v>NA</v>
      </c>
      <c r="L29" s="31" t="str">
        <f>IFERROR(INDEX('WINBUGS data'!$F$17:$ZZ$65,MATCH($C29,'WINBUGS data'!$F$17:$F$65,0),MATCH("t[,"&amp;L$4 &amp;"]",'WINBUGS data'!$F$16:$ZZ$16,0)),"")</f>
        <v>NA</v>
      </c>
      <c r="M29" s="31" t="str">
        <f>IFERROR(INDEX('WINBUGS data'!$F$17:$ZZ$65,MATCH($C29,'WINBUGS data'!$F$17:$F$65,0),MATCH("t[,"&amp;M$4 &amp;"]",'WINBUGS data'!$F$16:$ZZ$16,0)),"")</f>
        <v>NA</v>
      </c>
      <c r="N29" s="31" t="str">
        <f>IFERROR(INDEX('WINBUGS data'!$F$17:$ZZ$65,MATCH($C29,'WINBUGS data'!$F$17:$F$65,0),MATCH("t[,"&amp;N$4 &amp;"]",'WINBUGS data'!$F$16:$ZZ$16,0)),"")</f>
        <v/>
      </c>
      <c r="O29" s="31" t="str">
        <f>IFERROR(INDEX('WINBUGS data'!$F$17:$ZZ$65,MATCH($C29,'WINBUGS data'!$F$17:$F$65,0),MATCH("t[,"&amp;O$4 &amp;"]",'WINBUGS data'!$F$16:$ZZ$16,0)),"")</f>
        <v/>
      </c>
      <c r="P29" s="31" t="str">
        <f>IFERROR(INDEX('WINBUGS data'!$F$17:$ZZ$65,MATCH($C29,'WINBUGS data'!$F$17:$F$65,0),MATCH("t[,"&amp;P$4 &amp;"]",'WINBUGS data'!$F$16:$ZZ$16,0)),"")</f>
        <v/>
      </c>
      <c r="Q29" s="31" t="str">
        <f>IFERROR(INDEX('WINBUGS data'!$F$17:$ZZ$65,MATCH($C29,'WINBUGS data'!$F$17:$F$65,0),MATCH("t[,"&amp;Q$4 &amp;"]",'WINBUGS data'!$F$16:$ZZ$16,0)),"")</f>
        <v/>
      </c>
      <c r="R29" s="31" t="str">
        <f>IFERROR(INDEX('WINBUGS data'!$F$17:$ZZ$65,MATCH($C29,'WINBUGS data'!$F$17:$F$65,0),MATCH("t[,"&amp;R$4 &amp;"]",'WINBUGS data'!$F$16:$ZZ$16,0)),"")</f>
        <v/>
      </c>
      <c r="S29" s="31" t="str">
        <f>IFERROR(INDEX('WINBUGS data'!$F$17:$ZZ$65,MATCH($C29,'WINBUGS data'!$F$17:$F$65,0),MATCH("t[,"&amp;S$4 &amp;"]",'WINBUGS data'!$F$16:$ZZ$16,0)),"")</f>
        <v/>
      </c>
      <c r="T29" s="1" t="str">
        <f>IFERROR(INDEX('WINBUGS data'!$F$17:$ZZ$65,MATCH($C29,'WINBUGS data'!$F$17:$F$65,0),MATCH("t[,"&amp;T$4 &amp;"]",'WINBUGS data'!$F$16:$ZZ$16,0)),"")</f>
        <v/>
      </c>
    </row>
    <row r="30" spans="2:20" x14ac:dyDescent="0.25">
      <c r="B30" s="31"/>
      <c r="C30" s="26">
        <f>IF('WINBUGS data'!F42&lt;&gt;"",'WINBUGS data'!F42,"")</f>
        <v>26</v>
      </c>
      <c r="D30" s="31">
        <f>IFERROR(INDEX('WINBUGS data'!$F$17:$ZZ$65,MATCH(C30,'WINBUGS data'!$F$17:$F$65,0),MATCH("na[]",'WINBUGS data'!$F$16:$ZZ$16,0)),"")</f>
        <v>2</v>
      </c>
      <c r="E30" s="31" t="str">
        <f t="shared" si="0"/>
        <v>1,2</v>
      </c>
      <c r="F30" s="31">
        <f>IFERROR(INDEX('WINBUGS data'!$F$17:$ZZ$65,MATCH($C30,'WINBUGS data'!$F$17:$F$65,0),MATCH("t[,"&amp;F$4 &amp;"]",'WINBUGS data'!$F$16:$ZZ$16,0)),"")</f>
        <v>1</v>
      </c>
      <c r="G30" s="31">
        <f>IFERROR(INDEX('WINBUGS data'!$F$17:$ZZ$65,MATCH($C30,'WINBUGS data'!$F$17:$F$65,0),MATCH("t[,"&amp;G$4 &amp;"]",'WINBUGS data'!$F$16:$ZZ$16,0)),"")</f>
        <v>2</v>
      </c>
      <c r="H30" s="31" t="str">
        <f>IFERROR(INDEX('WINBUGS data'!$F$17:$ZZ$65,MATCH($C30,'WINBUGS data'!$F$17:$F$65,0),MATCH("t[,"&amp;H$4 &amp;"]",'WINBUGS data'!$F$16:$ZZ$16,0)),"")</f>
        <v>NA</v>
      </c>
      <c r="I30" s="31" t="str">
        <f>IFERROR(INDEX('WINBUGS data'!$F$17:$ZZ$65,MATCH($C30,'WINBUGS data'!$F$17:$F$65,0),MATCH("t[,"&amp;I$4 &amp;"]",'WINBUGS data'!$F$16:$ZZ$16,0)),"")</f>
        <v>NA</v>
      </c>
      <c r="J30" s="31" t="str">
        <f>IFERROR(INDEX('WINBUGS data'!$F$17:$ZZ$65,MATCH($C30,'WINBUGS data'!$F$17:$F$65,0),MATCH("t[,"&amp;J$4 &amp;"]",'WINBUGS data'!$F$16:$ZZ$16,0)),"")</f>
        <v>NA</v>
      </c>
      <c r="K30" s="31" t="str">
        <f>IFERROR(INDEX('WINBUGS data'!$F$17:$ZZ$65,MATCH($C30,'WINBUGS data'!$F$17:$F$65,0),MATCH("t[,"&amp;K$4 &amp;"]",'WINBUGS data'!$F$16:$ZZ$16,0)),"")</f>
        <v>NA</v>
      </c>
      <c r="L30" s="31" t="str">
        <f>IFERROR(INDEX('WINBUGS data'!$F$17:$ZZ$65,MATCH($C30,'WINBUGS data'!$F$17:$F$65,0),MATCH("t[,"&amp;L$4 &amp;"]",'WINBUGS data'!$F$16:$ZZ$16,0)),"")</f>
        <v>NA</v>
      </c>
      <c r="M30" s="31" t="str">
        <f>IFERROR(INDEX('WINBUGS data'!$F$17:$ZZ$65,MATCH($C30,'WINBUGS data'!$F$17:$F$65,0),MATCH("t[,"&amp;M$4 &amp;"]",'WINBUGS data'!$F$16:$ZZ$16,0)),"")</f>
        <v>NA</v>
      </c>
      <c r="N30" s="31" t="str">
        <f>IFERROR(INDEX('WINBUGS data'!$F$17:$ZZ$65,MATCH($C30,'WINBUGS data'!$F$17:$F$65,0),MATCH("t[,"&amp;N$4 &amp;"]",'WINBUGS data'!$F$16:$ZZ$16,0)),"")</f>
        <v/>
      </c>
      <c r="O30" s="31" t="str">
        <f>IFERROR(INDEX('WINBUGS data'!$F$17:$ZZ$65,MATCH($C30,'WINBUGS data'!$F$17:$F$65,0),MATCH("t[,"&amp;O$4 &amp;"]",'WINBUGS data'!$F$16:$ZZ$16,0)),"")</f>
        <v/>
      </c>
      <c r="P30" s="31" t="str">
        <f>IFERROR(INDEX('WINBUGS data'!$F$17:$ZZ$65,MATCH($C30,'WINBUGS data'!$F$17:$F$65,0),MATCH("t[,"&amp;P$4 &amp;"]",'WINBUGS data'!$F$16:$ZZ$16,0)),"")</f>
        <v/>
      </c>
      <c r="Q30" s="31" t="str">
        <f>IFERROR(INDEX('WINBUGS data'!$F$17:$ZZ$65,MATCH($C30,'WINBUGS data'!$F$17:$F$65,0),MATCH("t[,"&amp;Q$4 &amp;"]",'WINBUGS data'!$F$16:$ZZ$16,0)),"")</f>
        <v/>
      </c>
      <c r="R30" s="31" t="str">
        <f>IFERROR(INDEX('WINBUGS data'!$F$17:$ZZ$65,MATCH($C30,'WINBUGS data'!$F$17:$F$65,0),MATCH("t[,"&amp;R$4 &amp;"]",'WINBUGS data'!$F$16:$ZZ$16,0)),"")</f>
        <v/>
      </c>
      <c r="S30" s="31" t="str">
        <f>IFERROR(INDEX('WINBUGS data'!$F$17:$ZZ$65,MATCH($C30,'WINBUGS data'!$F$17:$F$65,0),MATCH("t[,"&amp;S$4 &amp;"]",'WINBUGS data'!$F$16:$ZZ$16,0)),"")</f>
        <v/>
      </c>
      <c r="T30" s="1" t="str">
        <f>IFERROR(INDEX('WINBUGS data'!$F$17:$ZZ$65,MATCH($C30,'WINBUGS data'!$F$17:$F$65,0),MATCH("t[,"&amp;T$4 &amp;"]",'WINBUGS data'!$F$16:$ZZ$16,0)),"")</f>
        <v/>
      </c>
    </row>
    <row r="31" spans="2:20" x14ac:dyDescent="0.25">
      <c r="B31" s="31"/>
      <c r="C31" s="26">
        <f>IF('WINBUGS data'!F43&lt;&gt;"",'WINBUGS data'!F43,"")</f>
        <v>27</v>
      </c>
      <c r="D31" s="31">
        <f>IFERROR(INDEX('WINBUGS data'!$F$17:$ZZ$65,MATCH(C31,'WINBUGS data'!$F$17:$F$65,0),MATCH("na[]",'WINBUGS data'!$F$16:$ZZ$16,0)),"")</f>
        <v>2</v>
      </c>
      <c r="E31" s="31" t="str">
        <f t="shared" si="0"/>
        <v>1,8</v>
      </c>
      <c r="F31" s="31">
        <f>IFERROR(INDEX('WINBUGS data'!$F$17:$ZZ$65,MATCH($C31,'WINBUGS data'!$F$17:$F$65,0),MATCH("t[,"&amp;F$4 &amp;"]",'WINBUGS data'!$F$16:$ZZ$16,0)),"")</f>
        <v>1</v>
      </c>
      <c r="G31" s="31">
        <f>IFERROR(INDEX('WINBUGS data'!$F$17:$ZZ$65,MATCH($C31,'WINBUGS data'!$F$17:$F$65,0),MATCH("t[,"&amp;G$4 &amp;"]",'WINBUGS data'!$F$16:$ZZ$16,0)),"")</f>
        <v>8</v>
      </c>
      <c r="H31" s="31" t="str">
        <f>IFERROR(INDEX('WINBUGS data'!$F$17:$ZZ$65,MATCH($C31,'WINBUGS data'!$F$17:$F$65,0),MATCH("t[,"&amp;H$4 &amp;"]",'WINBUGS data'!$F$16:$ZZ$16,0)),"")</f>
        <v>NA</v>
      </c>
      <c r="I31" s="31" t="str">
        <f>IFERROR(INDEX('WINBUGS data'!$F$17:$ZZ$65,MATCH($C31,'WINBUGS data'!$F$17:$F$65,0),MATCH("t[,"&amp;I$4 &amp;"]",'WINBUGS data'!$F$16:$ZZ$16,0)),"")</f>
        <v>NA</v>
      </c>
      <c r="J31" s="31" t="str">
        <f>IFERROR(INDEX('WINBUGS data'!$F$17:$ZZ$65,MATCH($C31,'WINBUGS data'!$F$17:$F$65,0),MATCH("t[,"&amp;J$4 &amp;"]",'WINBUGS data'!$F$16:$ZZ$16,0)),"")</f>
        <v>NA</v>
      </c>
      <c r="K31" s="31" t="str">
        <f>IFERROR(INDEX('WINBUGS data'!$F$17:$ZZ$65,MATCH($C31,'WINBUGS data'!$F$17:$F$65,0),MATCH("t[,"&amp;K$4 &amp;"]",'WINBUGS data'!$F$16:$ZZ$16,0)),"")</f>
        <v>NA</v>
      </c>
      <c r="L31" s="31" t="str">
        <f>IFERROR(INDEX('WINBUGS data'!$F$17:$ZZ$65,MATCH($C31,'WINBUGS data'!$F$17:$F$65,0),MATCH("t[,"&amp;L$4 &amp;"]",'WINBUGS data'!$F$16:$ZZ$16,0)),"")</f>
        <v>NA</v>
      </c>
      <c r="M31" s="31" t="str">
        <f>IFERROR(INDEX('WINBUGS data'!$F$17:$ZZ$65,MATCH($C31,'WINBUGS data'!$F$17:$F$65,0),MATCH("t[,"&amp;M$4 &amp;"]",'WINBUGS data'!$F$16:$ZZ$16,0)),"")</f>
        <v>NA</v>
      </c>
      <c r="N31" s="31" t="str">
        <f>IFERROR(INDEX('WINBUGS data'!$F$17:$ZZ$65,MATCH($C31,'WINBUGS data'!$F$17:$F$65,0),MATCH("t[,"&amp;N$4 &amp;"]",'WINBUGS data'!$F$16:$ZZ$16,0)),"")</f>
        <v/>
      </c>
      <c r="O31" s="31" t="str">
        <f>IFERROR(INDEX('WINBUGS data'!$F$17:$ZZ$65,MATCH($C31,'WINBUGS data'!$F$17:$F$65,0),MATCH("t[,"&amp;O$4 &amp;"]",'WINBUGS data'!$F$16:$ZZ$16,0)),"")</f>
        <v/>
      </c>
      <c r="P31" s="31" t="str">
        <f>IFERROR(INDEX('WINBUGS data'!$F$17:$ZZ$65,MATCH($C31,'WINBUGS data'!$F$17:$F$65,0),MATCH("t[,"&amp;P$4 &amp;"]",'WINBUGS data'!$F$16:$ZZ$16,0)),"")</f>
        <v/>
      </c>
      <c r="Q31" s="31" t="str">
        <f>IFERROR(INDEX('WINBUGS data'!$F$17:$ZZ$65,MATCH($C31,'WINBUGS data'!$F$17:$F$65,0),MATCH("t[,"&amp;Q$4 &amp;"]",'WINBUGS data'!$F$16:$ZZ$16,0)),"")</f>
        <v/>
      </c>
      <c r="R31" s="31" t="str">
        <f>IFERROR(INDEX('WINBUGS data'!$F$17:$ZZ$65,MATCH($C31,'WINBUGS data'!$F$17:$F$65,0),MATCH("t[,"&amp;R$4 &amp;"]",'WINBUGS data'!$F$16:$ZZ$16,0)),"")</f>
        <v/>
      </c>
      <c r="S31" s="31" t="str">
        <f>IFERROR(INDEX('WINBUGS data'!$F$17:$ZZ$65,MATCH($C31,'WINBUGS data'!$F$17:$F$65,0),MATCH("t[,"&amp;S$4 &amp;"]",'WINBUGS data'!$F$16:$ZZ$16,0)),"")</f>
        <v/>
      </c>
      <c r="T31" s="1" t="str">
        <f>IFERROR(INDEX('WINBUGS data'!$F$17:$ZZ$65,MATCH($C31,'WINBUGS data'!$F$17:$F$65,0),MATCH("t[,"&amp;T$4 &amp;"]",'WINBUGS data'!$F$16:$ZZ$16,0)),"")</f>
        <v/>
      </c>
    </row>
    <row r="32" spans="2:20" x14ac:dyDescent="0.25">
      <c r="B32" s="31"/>
      <c r="C32" s="26">
        <f>IF('WINBUGS data'!F44&lt;&gt;"",'WINBUGS data'!F44,"")</f>
        <v>28</v>
      </c>
      <c r="D32" s="31">
        <f>IFERROR(INDEX('WINBUGS data'!$F$17:$ZZ$65,MATCH(C32,'WINBUGS data'!$F$17:$F$65,0),MATCH("na[]",'WINBUGS data'!$F$16:$ZZ$16,0)),"")</f>
        <v>2</v>
      </c>
      <c r="E32" s="31" t="str">
        <f t="shared" si="0"/>
        <v>3,8</v>
      </c>
      <c r="F32" s="31">
        <f>IFERROR(INDEX('WINBUGS data'!$F$17:$ZZ$65,MATCH($C32,'WINBUGS data'!$F$17:$F$65,0),MATCH("t[,"&amp;F$4 &amp;"]",'WINBUGS data'!$F$16:$ZZ$16,0)),"")</f>
        <v>3</v>
      </c>
      <c r="G32" s="31">
        <f>IFERROR(INDEX('WINBUGS data'!$F$17:$ZZ$65,MATCH($C32,'WINBUGS data'!$F$17:$F$65,0),MATCH("t[,"&amp;G$4 &amp;"]",'WINBUGS data'!$F$16:$ZZ$16,0)),"")</f>
        <v>8</v>
      </c>
      <c r="H32" s="31" t="str">
        <f>IFERROR(INDEX('WINBUGS data'!$F$17:$ZZ$65,MATCH($C32,'WINBUGS data'!$F$17:$F$65,0),MATCH("t[,"&amp;H$4 &amp;"]",'WINBUGS data'!$F$16:$ZZ$16,0)),"")</f>
        <v>NA</v>
      </c>
      <c r="I32" s="31" t="str">
        <f>IFERROR(INDEX('WINBUGS data'!$F$17:$ZZ$65,MATCH($C32,'WINBUGS data'!$F$17:$F$65,0),MATCH("t[,"&amp;I$4 &amp;"]",'WINBUGS data'!$F$16:$ZZ$16,0)),"")</f>
        <v>NA</v>
      </c>
      <c r="J32" s="31" t="str">
        <f>IFERROR(INDEX('WINBUGS data'!$F$17:$ZZ$65,MATCH($C32,'WINBUGS data'!$F$17:$F$65,0),MATCH("t[,"&amp;J$4 &amp;"]",'WINBUGS data'!$F$16:$ZZ$16,0)),"")</f>
        <v>NA</v>
      </c>
      <c r="K32" s="31" t="str">
        <f>IFERROR(INDEX('WINBUGS data'!$F$17:$ZZ$65,MATCH($C32,'WINBUGS data'!$F$17:$F$65,0),MATCH("t[,"&amp;K$4 &amp;"]",'WINBUGS data'!$F$16:$ZZ$16,0)),"")</f>
        <v>NA</v>
      </c>
      <c r="L32" s="31" t="str">
        <f>IFERROR(INDEX('WINBUGS data'!$F$17:$ZZ$65,MATCH($C32,'WINBUGS data'!$F$17:$F$65,0),MATCH("t[,"&amp;L$4 &amp;"]",'WINBUGS data'!$F$16:$ZZ$16,0)),"")</f>
        <v>NA</v>
      </c>
      <c r="M32" s="31" t="str">
        <f>IFERROR(INDEX('WINBUGS data'!$F$17:$ZZ$65,MATCH($C32,'WINBUGS data'!$F$17:$F$65,0),MATCH("t[,"&amp;M$4 &amp;"]",'WINBUGS data'!$F$16:$ZZ$16,0)),"")</f>
        <v>NA</v>
      </c>
      <c r="N32" s="31" t="str">
        <f>IFERROR(INDEX('WINBUGS data'!$F$17:$ZZ$65,MATCH($C32,'WINBUGS data'!$F$17:$F$65,0),MATCH("t[,"&amp;N$4 &amp;"]",'WINBUGS data'!$F$16:$ZZ$16,0)),"")</f>
        <v/>
      </c>
      <c r="O32" s="31" t="str">
        <f>IFERROR(INDEX('WINBUGS data'!$F$17:$ZZ$65,MATCH($C32,'WINBUGS data'!$F$17:$F$65,0),MATCH("t[,"&amp;O$4 &amp;"]",'WINBUGS data'!$F$16:$ZZ$16,0)),"")</f>
        <v/>
      </c>
      <c r="P32" s="31" t="str">
        <f>IFERROR(INDEX('WINBUGS data'!$F$17:$ZZ$65,MATCH($C32,'WINBUGS data'!$F$17:$F$65,0),MATCH("t[,"&amp;P$4 &amp;"]",'WINBUGS data'!$F$16:$ZZ$16,0)),"")</f>
        <v/>
      </c>
      <c r="Q32" s="31" t="str">
        <f>IFERROR(INDEX('WINBUGS data'!$F$17:$ZZ$65,MATCH($C32,'WINBUGS data'!$F$17:$F$65,0),MATCH("t[,"&amp;Q$4 &amp;"]",'WINBUGS data'!$F$16:$ZZ$16,0)),"")</f>
        <v/>
      </c>
      <c r="R32" s="31" t="str">
        <f>IFERROR(INDEX('WINBUGS data'!$F$17:$ZZ$65,MATCH($C32,'WINBUGS data'!$F$17:$F$65,0),MATCH("t[,"&amp;R$4 &amp;"]",'WINBUGS data'!$F$16:$ZZ$16,0)),"")</f>
        <v/>
      </c>
      <c r="S32" s="31" t="str">
        <f>IFERROR(INDEX('WINBUGS data'!$F$17:$ZZ$65,MATCH($C32,'WINBUGS data'!$F$17:$F$65,0),MATCH("t[,"&amp;S$4 &amp;"]",'WINBUGS data'!$F$16:$ZZ$16,0)),"")</f>
        <v/>
      </c>
      <c r="T32" s="1" t="str">
        <f>IFERROR(INDEX('WINBUGS data'!$F$17:$ZZ$65,MATCH($C32,'WINBUGS data'!$F$17:$F$65,0),MATCH("t[,"&amp;T$4 &amp;"]",'WINBUGS data'!$F$16:$ZZ$16,0)),"")</f>
        <v/>
      </c>
    </row>
    <row r="33" spans="2:20" x14ac:dyDescent="0.25">
      <c r="B33" s="31"/>
      <c r="C33" s="26">
        <f>IF('WINBUGS data'!F45&lt;&gt;"",'WINBUGS data'!F45,"")</f>
        <v>29</v>
      </c>
      <c r="D33" s="31">
        <f>IFERROR(INDEX('WINBUGS data'!$F$17:$ZZ$65,MATCH(C33,'WINBUGS data'!$F$17:$F$65,0),MATCH("na[]",'WINBUGS data'!$F$16:$ZZ$16,0)),"")</f>
        <v>2</v>
      </c>
      <c r="E33" s="31" t="str">
        <f t="shared" si="0"/>
        <v>1,2</v>
      </c>
      <c r="F33" s="31">
        <f>IFERROR(INDEX('WINBUGS data'!$F$17:$ZZ$65,MATCH($C33,'WINBUGS data'!$F$17:$F$65,0),MATCH("t[,"&amp;F$4 &amp;"]",'WINBUGS data'!$F$16:$ZZ$16,0)),"")</f>
        <v>1</v>
      </c>
      <c r="G33" s="31">
        <f>IFERROR(INDEX('WINBUGS data'!$F$17:$ZZ$65,MATCH($C33,'WINBUGS data'!$F$17:$F$65,0),MATCH("t[,"&amp;G$4 &amp;"]",'WINBUGS data'!$F$16:$ZZ$16,0)),"")</f>
        <v>2</v>
      </c>
      <c r="H33" s="31" t="str">
        <f>IFERROR(INDEX('WINBUGS data'!$F$17:$ZZ$65,MATCH($C33,'WINBUGS data'!$F$17:$F$65,0),MATCH("t[,"&amp;H$4 &amp;"]",'WINBUGS data'!$F$16:$ZZ$16,0)),"")</f>
        <v>NA</v>
      </c>
      <c r="I33" s="31" t="str">
        <f>IFERROR(INDEX('WINBUGS data'!$F$17:$ZZ$65,MATCH($C33,'WINBUGS data'!$F$17:$F$65,0),MATCH("t[,"&amp;I$4 &amp;"]",'WINBUGS data'!$F$16:$ZZ$16,0)),"")</f>
        <v>NA</v>
      </c>
      <c r="J33" s="31" t="str">
        <f>IFERROR(INDEX('WINBUGS data'!$F$17:$ZZ$65,MATCH($C33,'WINBUGS data'!$F$17:$F$65,0),MATCH("t[,"&amp;J$4 &amp;"]",'WINBUGS data'!$F$16:$ZZ$16,0)),"")</f>
        <v>NA</v>
      </c>
      <c r="K33" s="31" t="str">
        <f>IFERROR(INDEX('WINBUGS data'!$F$17:$ZZ$65,MATCH($C33,'WINBUGS data'!$F$17:$F$65,0),MATCH("t[,"&amp;K$4 &amp;"]",'WINBUGS data'!$F$16:$ZZ$16,0)),"")</f>
        <v>NA</v>
      </c>
      <c r="L33" s="31" t="str">
        <f>IFERROR(INDEX('WINBUGS data'!$F$17:$ZZ$65,MATCH($C33,'WINBUGS data'!$F$17:$F$65,0),MATCH("t[,"&amp;L$4 &amp;"]",'WINBUGS data'!$F$16:$ZZ$16,0)),"")</f>
        <v>NA</v>
      </c>
      <c r="M33" s="31" t="str">
        <f>IFERROR(INDEX('WINBUGS data'!$F$17:$ZZ$65,MATCH($C33,'WINBUGS data'!$F$17:$F$65,0),MATCH("t[,"&amp;M$4 &amp;"]",'WINBUGS data'!$F$16:$ZZ$16,0)),"")</f>
        <v>NA</v>
      </c>
      <c r="N33" s="31" t="str">
        <f>IFERROR(INDEX('WINBUGS data'!$F$17:$ZZ$65,MATCH($C33,'WINBUGS data'!$F$17:$F$65,0),MATCH("t[,"&amp;N$4 &amp;"]",'WINBUGS data'!$F$16:$ZZ$16,0)),"")</f>
        <v/>
      </c>
      <c r="O33" s="31" t="str">
        <f>IFERROR(INDEX('WINBUGS data'!$F$17:$ZZ$65,MATCH($C33,'WINBUGS data'!$F$17:$F$65,0),MATCH("t[,"&amp;O$4 &amp;"]",'WINBUGS data'!$F$16:$ZZ$16,0)),"")</f>
        <v/>
      </c>
      <c r="P33" s="31" t="str">
        <f>IFERROR(INDEX('WINBUGS data'!$F$17:$ZZ$65,MATCH($C33,'WINBUGS data'!$F$17:$F$65,0),MATCH("t[,"&amp;P$4 &amp;"]",'WINBUGS data'!$F$16:$ZZ$16,0)),"")</f>
        <v/>
      </c>
      <c r="Q33" s="31" t="str">
        <f>IFERROR(INDEX('WINBUGS data'!$F$17:$ZZ$65,MATCH($C33,'WINBUGS data'!$F$17:$F$65,0),MATCH("t[,"&amp;Q$4 &amp;"]",'WINBUGS data'!$F$16:$ZZ$16,0)),"")</f>
        <v/>
      </c>
      <c r="R33" s="31" t="str">
        <f>IFERROR(INDEX('WINBUGS data'!$F$17:$ZZ$65,MATCH($C33,'WINBUGS data'!$F$17:$F$65,0),MATCH("t[,"&amp;R$4 &amp;"]",'WINBUGS data'!$F$16:$ZZ$16,0)),"")</f>
        <v/>
      </c>
      <c r="S33" s="31" t="str">
        <f>IFERROR(INDEX('WINBUGS data'!$F$17:$ZZ$65,MATCH($C33,'WINBUGS data'!$F$17:$F$65,0),MATCH("t[,"&amp;S$4 &amp;"]",'WINBUGS data'!$F$16:$ZZ$16,0)),"")</f>
        <v/>
      </c>
      <c r="T33" s="1" t="str">
        <f>IFERROR(INDEX('WINBUGS data'!$F$17:$ZZ$65,MATCH($C33,'WINBUGS data'!$F$17:$F$65,0),MATCH("t[,"&amp;T$4 &amp;"]",'WINBUGS data'!$F$16:$ZZ$16,0)),"")</f>
        <v/>
      </c>
    </row>
    <row r="34" spans="2:20" x14ac:dyDescent="0.25">
      <c r="B34" s="31"/>
      <c r="C34" s="26">
        <f>IF('WINBUGS data'!F46&lt;&gt;"",'WINBUGS data'!F46,"")</f>
        <v>30</v>
      </c>
      <c r="D34" s="31">
        <f>IFERROR(INDEX('WINBUGS data'!$F$17:$ZZ$65,MATCH(C34,'WINBUGS data'!$F$17:$F$65,0),MATCH("na[]",'WINBUGS data'!$F$16:$ZZ$16,0)),"")</f>
        <v>2</v>
      </c>
      <c r="E34" s="31" t="str">
        <f t="shared" si="0"/>
        <v>1,2</v>
      </c>
      <c r="F34" s="31">
        <f>IFERROR(INDEX('WINBUGS data'!$F$17:$ZZ$65,MATCH($C34,'WINBUGS data'!$F$17:$F$65,0),MATCH("t[,"&amp;F$4 &amp;"]",'WINBUGS data'!$F$16:$ZZ$16,0)),"")</f>
        <v>1</v>
      </c>
      <c r="G34" s="31">
        <f>IFERROR(INDEX('WINBUGS data'!$F$17:$ZZ$65,MATCH($C34,'WINBUGS data'!$F$17:$F$65,0),MATCH("t[,"&amp;G$4 &amp;"]",'WINBUGS data'!$F$16:$ZZ$16,0)),"")</f>
        <v>2</v>
      </c>
      <c r="H34" s="31" t="str">
        <f>IFERROR(INDEX('WINBUGS data'!$F$17:$ZZ$65,MATCH($C34,'WINBUGS data'!$F$17:$F$65,0),MATCH("t[,"&amp;H$4 &amp;"]",'WINBUGS data'!$F$16:$ZZ$16,0)),"")</f>
        <v>NA</v>
      </c>
      <c r="I34" s="31" t="str">
        <f>IFERROR(INDEX('WINBUGS data'!$F$17:$ZZ$65,MATCH($C34,'WINBUGS data'!$F$17:$F$65,0),MATCH("t[,"&amp;I$4 &amp;"]",'WINBUGS data'!$F$16:$ZZ$16,0)),"")</f>
        <v>NA</v>
      </c>
      <c r="J34" s="31" t="str">
        <f>IFERROR(INDEX('WINBUGS data'!$F$17:$ZZ$65,MATCH($C34,'WINBUGS data'!$F$17:$F$65,0),MATCH("t[,"&amp;J$4 &amp;"]",'WINBUGS data'!$F$16:$ZZ$16,0)),"")</f>
        <v>NA</v>
      </c>
      <c r="K34" s="31" t="str">
        <f>IFERROR(INDEX('WINBUGS data'!$F$17:$ZZ$65,MATCH($C34,'WINBUGS data'!$F$17:$F$65,0),MATCH("t[,"&amp;K$4 &amp;"]",'WINBUGS data'!$F$16:$ZZ$16,0)),"")</f>
        <v>NA</v>
      </c>
      <c r="L34" s="31" t="str">
        <f>IFERROR(INDEX('WINBUGS data'!$F$17:$ZZ$65,MATCH($C34,'WINBUGS data'!$F$17:$F$65,0),MATCH("t[,"&amp;L$4 &amp;"]",'WINBUGS data'!$F$16:$ZZ$16,0)),"")</f>
        <v>NA</v>
      </c>
      <c r="M34" s="31" t="str">
        <f>IFERROR(INDEX('WINBUGS data'!$F$17:$ZZ$65,MATCH($C34,'WINBUGS data'!$F$17:$F$65,0),MATCH("t[,"&amp;M$4 &amp;"]",'WINBUGS data'!$F$16:$ZZ$16,0)),"")</f>
        <v>NA</v>
      </c>
      <c r="N34" s="31" t="str">
        <f>IFERROR(INDEX('WINBUGS data'!$F$17:$ZZ$65,MATCH($C34,'WINBUGS data'!$F$17:$F$65,0),MATCH("t[,"&amp;N$4 &amp;"]",'WINBUGS data'!$F$16:$ZZ$16,0)),"")</f>
        <v/>
      </c>
      <c r="O34" s="31" t="str">
        <f>IFERROR(INDEX('WINBUGS data'!$F$17:$ZZ$65,MATCH($C34,'WINBUGS data'!$F$17:$F$65,0),MATCH("t[,"&amp;O$4 &amp;"]",'WINBUGS data'!$F$16:$ZZ$16,0)),"")</f>
        <v/>
      </c>
      <c r="P34" s="31" t="str">
        <f>IFERROR(INDEX('WINBUGS data'!$F$17:$ZZ$65,MATCH($C34,'WINBUGS data'!$F$17:$F$65,0),MATCH("t[,"&amp;P$4 &amp;"]",'WINBUGS data'!$F$16:$ZZ$16,0)),"")</f>
        <v/>
      </c>
      <c r="Q34" s="31" t="str">
        <f>IFERROR(INDEX('WINBUGS data'!$F$17:$ZZ$65,MATCH($C34,'WINBUGS data'!$F$17:$F$65,0),MATCH("t[,"&amp;Q$4 &amp;"]",'WINBUGS data'!$F$16:$ZZ$16,0)),"")</f>
        <v/>
      </c>
      <c r="R34" s="31" t="str">
        <f>IFERROR(INDEX('WINBUGS data'!$F$17:$ZZ$65,MATCH($C34,'WINBUGS data'!$F$17:$F$65,0),MATCH("t[,"&amp;R$4 &amp;"]",'WINBUGS data'!$F$16:$ZZ$16,0)),"")</f>
        <v/>
      </c>
      <c r="S34" s="31" t="str">
        <f>IFERROR(INDEX('WINBUGS data'!$F$17:$ZZ$65,MATCH($C34,'WINBUGS data'!$F$17:$F$65,0),MATCH("t[,"&amp;S$4 &amp;"]",'WINBUGS data'!$F$16:$ZZ$16,0)),"")</f>
        <v/>
      </c>
      <c r="T34" s="1" t="str">
        <f>IFERROR(INDEX('WINBUGS data'!$F$17:$ZZ$65,MATCH($C34,'WINBUGS data'!$F$17:$F$65,0),MATCH("t[,"&amp;T$4 &amp;"]",'WINBUGS data'!$F$16:$ZZ$16,0)),"")</f>
        <v/>
      </c>
    </row>
    <row r="35" spans="2:20" x14ac:dyDescent="0.25">
      <c r="B35" s="31"/>
      <c r="C35" s="26">
        <f>IF('WINBUGS data'!F47&lt;&gt;"",'WINBUGS data'!F47,"")</f>
        <v>31</v>
      </c>
      <c r="D35" s="31">
        <f>IFERROR(INDEX('WINBUGS data'!$F$17:$ZZ$65,MATCH(C35,'WINBUGS data'!$F$17:$F$65,0),MATCH("na[]",'WINBUGS data'!$F$16:$ZZ$16,0)),"")</f>
        <v>2</v>
      </c>
      <c r="E35" s="31" t="str">
        <f t="shared" si="0"/>
        <v>1,2</v>
      </c>
      <c r="F35" s="31">
        <f>IFERROR(INDEX('WINBUGS data'!$F$17:$ZZ$65,MATCH($C35,'WINBUGS data'!$F$17:$F$65,0),MATCH("t[,"&amp;F$4 &amp;"]",'WINBUGS data'!$F$16:$ZZ$16,0)),"")</f>
        <v>1</v>
      </c>
      <c r="G35" s="31">
        <f>IFERROR(INDEX('WINBUGS data'!$F$17:$ZZ$65,MATCH($C35,'WINBUGS data'!$F$17:$F$65,0),MATCH("t[,"&amp;G$4 &amp;"]",'WINBUGS data'!$F$16:$ZZ$16,0)),"")</f>
        <v>2</v>
      </c>
      <c r="H35" s="31" t="str">
        <f>IFERROR(INDEX('WINBUGS data'!$F$17:$ZZ$65,MATCH($C35,'WINBUGS data'!$F$17:$F$65,0),MATCH("t[,"&amp;H$4 &amp;"]",'WINBUGS data'!$F$16:$ZZ$16,0)),"")</f>
        <v>NA</v>
      </c>
      <c r="I35" s="31" t="str">
        <f>IFERROR(INDEX('WINBUGS data'!$F$17:$ZZ$65,MATCH($C35,'WINBUGS data'!$F$17:$F$65,0),MATCH("t[,"&amp;I$4 &amp;"]",'WINBUGS data'!$F$16:$ZZ$16,0)),"")</f>
        <v>NA</v>
      </c>
      <c r="J35" s="31" t="str">
        <f>IFERROR(INDEX('WINBUGS data'!$F$17:$ZZ$65,MATCH($C35,'WINBUGS data'!$F$17:$F$65,0),MATCH("t[,"&amp;J$4 &amp;"]",'WINBUGS data'!$F$16:$ZZ$16,0)),"")</f>
        <v>NA</v>
      </c>
      <c r="K35" s="31" t="str">
        <f>IFERROR(INDEX('WINBUGS data'!$F$17:$ZZ$65,MATCH($C35,'WINBUGS data'!$F$17:$F$65,0),MATCH("t[,"&amp;K$4 &amp;"]",'WINBUGS data'!$F$16:$ZZ$16,0)),"")</f>
        <v>NA</v>
      </c>
      <c r="L35" s="31" t="str">
        <f>IFERROR(INDEX('WINBUGS data'!$F$17:$ZZ$65,MATCH($C35,'WINBUGS data'!$F$17:$F$65,0),MATCH("t[,"&amp;L$4 &amp;"]",'WINBUGS data'!$F$16:$ZZ$16,0)),"")</f>
        <v>NA</v>
      </c>
      <c r="M35" s="31" t="str">
        <f>IFERROR(INDEX('WINBUGS data'!$F$17:$ZZ$65,MATCH($C35,'WINBUGS data'!$F$17:$F$65,0),MATCH("t[,"&amp;M$4 &amp;"]",'WINBUGS data'!$F$16:$ZZ$16,0)),"")</f>
        <v>NA</v>
      </c>
      <c r="N35" s="31" t="str">
        <f>IFERROR(INDEX('WINBUGS data'!$F$17:$ZZ$65,MATCH($C35,'WINBUGS data'!$F$17:$F$65,0),MATCH("t[,"&amp;N$4 &amp;"]",'WINBUGS data'!$F$16:$ZZ$16,0)),"")</f>
        <v/>
      </c>
      <c r="O35" s="31" t="str">
        <f>IFERROR(INDEX('WINBUGS data'!$F$17:$ZZ$65,MATCH($C35,'WINBUGS data'!$F$17:$F$65,0),MATCH("t[,"&amp;O$4 &amp;"]",'WINBUGS data'!$F$16:$ZZ$16,0)),"")</f>
        <v/>
      </c>
      <c r="P35" s="31" t="str">
        <f>IFERROR(INDEX('WINBUGS data'!$F$17:$ZZ$65,MATCH($C35,'WINBUGS data'!$F$17:$F$65,0),MATCH("t[,"&amp;P$4 &amp;"]",'WINBUGS data'!$F$16:$ZZ$16,0)),"")</f>
        <v/>
      </c>
      <c r="Q35" s="31" t="str">
        <f>IFERROR(INDEX('WINBUGS data'!$F$17:$ZZ$65,MATCH($C35,'WINBUGS data'!$F$17:$F$65,0),MATCH("t[,"&amp;Q$4 &amp;"]",'WINBUGS data'!$F$16:$ZZ$16,0)),"")</f>
        <v/>
      </c>
      <c r="R35" s="31" t="str">
        <f>IFERROR(INDEX('WINBUGS data'!$F$17:$ZZ$65,MATCH($C35,'WINBUGS data'!$F$17:$F$65,0),MATCH("t[,"&amp;R$4 &amp;"]",'WINBUGS data'!$F$16:$ZZ$16,0)),"")</f>
        <v/>
      </c>
      <c r="S35" s="31" t="str">
        <f>IFERROR(INDEX('WINBUGS data'!$F$17:$ZZ$65,MATCH($C35,'WINBUGS data'!$F$17:$F$65,0),MATCH("t[,"&amp;S$4 &amp;"]",'WINBUGS data'!$F$16:$ZZ$16,0)),"")</f>
        <v/>
      </c>
      <c r="T35" s="1" t="str">
        <f>IFERROR(INDEX('WINBUGS data'!$F$17:$ZZ$65,MATCH($C35,'WINBUGS data'!$F$17:$F$65,0),MATCH("t[,"&amp;T$4 &amp;"]",'WINBUGS data'!$F$16:$ZZ$16,0)),"")</f>
        <v/>
      </c>
    </row>
    <row r="36" spans="2:20" x14ac:dyDescent="0.25">
      <c r="B36" s="31"/>
      <c r="C36" s="26">
        <f>IF('WINBUGS data'!F48&lt;&gt;"",'WINBUGS data'!F48,"")</f>
        <v>32</v>
      </c>
      <c r="D36" s="31">
        <f>IFERROR(INDEX('WINBUGS data'!$F$17:$ZZ$65,MATCH(C36,'WINBUGS data'!$F$17:$F$65,0),MATCH("na[]",'WINBUGS data'!$F$16:$ZZ$16,0)),"")</f>
        <v>2</v>
      </c>
      <c r="E36" s="31" t="str">
        <f t="shared" si="0"/>
        <v>3,4</v>
      </c>
      <c r="F36" s="31">
        <f>IFERROR(INDEX('WINBUGS data'!$F$17:$ZZ$65,MATCH($C36,'WINBUGS data'!$F$17:$F$65,0),MATCH("t[,"&amp;F$4 &amp;"]",'WINBUGS data'!$F$16:$ZZ$16,0)),"")</f>
        <v>3</v>
      </c>
      <c r="G36" s="31">
        <f>IFERROR(INDEX('WINBUGS data'!$F$17:$ZZ$65,MATCH($C36,'WINBUGS data'!$F$17:$F$65,0),MATCH("t[,"&amp;G$4 &amp;"]",'WINBUGS data'!$F$16:$ZZ$16,0)),"")</f>
        <v>4</v>
      </c>
      <c r="H36" s="31" t="str">
        <f>IFERROR(INDEX('WINBUGS data'!$F$17:$ZZ$65,MATCH($C36,'WINBUGS data'!$F$17:$F$65,0),MATCH("t[,"&amp;H$4 &amp;"]",'WINBUGS data'!$F$16:$ZZ$16,0)),"")</f>
        <v>NA</v>
      </c>
      <c r="I36" s="31" t="str">
        <f>IFERROR(INDEX('WINBUGS data'!$F$17:$ZZ$65,MATCH($C36,'WINBUGS data'!$F$17:$F$65,0),MATCH("t[,"&amp;I$4 &amp;"]",'WINBUGS data'!$F$16:$ZZ$16,0)),"")</f>
        <v>NA</v>
      </c>
      <c r="J36" s="31" t="str">
        <f>IFERROR(INDEX('WINBUGS data'!$F$17:$ZZ$65,MATCH($C36,'WINBUGS data'!$F$17:$F$65,0),MATCH("t[,"&amp;J$4 &amp;"]",'WINBUGS data'!$F$16:$ZZ$16,0)),"")</f>
        <v>NA</v>
      </c>
      <c r="K36" s="31" t="str">
        <f>IFERROR(INDEX('WINBUGS data'!$F$17:$ZZ$65,MATCH($C36,'WINBUGS data'!$F$17:$F$65,0),MATCH("t[,"&amp;K$4 &amp;"]",'WINBUGS data'!$F$16:$ZZ$16,0)),"")</f>
        <v>NA</v>
      </c>
      <c r="L36" s="31" t="str">
        <f>IFERROR(INDEX('WINBUGS data'!$F$17:$ZZ$65,MATCH($C36,'WINBUGS data'!$F$17:$F$65,0),MATCH("t[,"&amp;L$4 &amp;"]",'WINBUGS data'!$F$16:$ZZ$16,0)),"")</f>
        <v>NA</v>
      </c>
      <c r="M36" s="31" t="str">
        <f>IFERROR(INDEX('WINBUGS data'!$F$17:$ZZ$65,MATCH($C36,'WINBUGS data'!$F$17:$F$65,0),MATCH("t[,"&amp;M$4 &amp;"]",'WINBUGS data'!$F$16:$ZZ$16,0)),"")</f>
        <v>NA</v>
      </c>
      <c r="N36" s="31" t="str">
        <f>IFERROR(INDEX('WINBUGS data'!$F$17:$ZZ$65,MATCH($C36,'WINBUGS data'!$F$17:$F$65,0),MATCH("t[,"&amp;N$4 &amp;"]",'WINBUGS data'!$F$16:$ZZ$16,0)),"")</f>
        <v/>
      </c>
      <c r="O36" s="31" t="str">
        <f>IFERROR(INDEX('WINBUGS data'!$F$17:$ZZ$65,MATCH($C36,'WINBUGS data'!$F$17:$F$65,0),MATCH("t[,"&amp;O$4 &amp;"]",'WINBUGS data'!$F$16:$ZZ$16,0)),"")</f>
        <v/>
      </c>
      <c r="P36" s="31" t="str">
        <f>IFERROR(INDEX('WINBUGS data'!$F$17:$ZZ$65,MATCH($C36,'WINBUGS data'!$F$17:$F$65,0),MATCH("t[,"&amp;P$4 &amp;"]",'WINBUGS data'!$F$16:$ZZ$16,0)),"")</f>
        <v/>
      </c>
      <c r="Q36" s="31" t="str">
        <f>IFERROR(INDEX('WINBUGS data'!$F$17:$ZZ$65,MATCH($C36,'WINBUGS data'!$F$17:$F$65,0),MATCH("t[,"&amp;Q$4 &amp;"]",'WINBUGS data'!$F$16:$ZZ$16,0)),"")</f>
        <v/>
      </c>
      <c r="R36" s="31" t="str">
        <f>IFERROR(INDEX('WINBUGS data'!$F$17:$ZZ$65,MATCH($C36,'WINBUGS data'!$F$17:$F$65,0),MATCH("t[,"&amp;R$4 &amp;"]",'WINBUGS data'!$F$16:$ZZ$16,0)),"")</f>
        <v/>
      </c>
      <c r="S36" s="31" t="str">
        <f>IFERROR(INDEX('WINBUGS data'!$F$17:$ZZ$65,MATCH($C36,'WINBUGS data'!$F$17:$F$65,0),MATCH("t[,"&amp;S$4 &amp;"]",'WINBUGS data'!$F$16:$ZZ$16,0)),"")</f>
        <v/>
      </c>
      <c r="T36" s="1" t="str">
        <f>IFERROR(INDEX('WINBUGS data'!$F$17:$ZZ$65,MATCH($C36,'WINBUGS data'!$F$17:$F$65,0),MATCH("t[,"&amp;T$4 &amp;"]",'WINBUGS data'!$F$16:$ZZ$16,0)),"")</f>
        <v/>
      </c>
    </row>
    <row r="37" spans="2:20" x14ac:dyDescent="0.25">
      <c r="B37" s="31"/>
      <c r="C37" s="26" t="str">
        <f>IF('WINBUGS data'!F49&lt;&gt;"",'WINBUGS data'!F49,"")</f>
        <v/>
      </c>
      <c r="D37" s="31" t="str">
        <f>IFERROR(INDEX('WINBUGS data'!$F$17:$ZZ$65,MATCH(C37,'WINBUGS data'!$F$17:$F$65,0),MATCH("na[]",'WINBUGS data'!$F$16:$ZZ$16,0)),"")</f>
        <v/>
      </c>
      <c r="E37" s="31" t="str">
        <f t="shared" si="0"/>
        <v/>
      </c>
      <c r="F37" s="31" t="str">
        <f>IFERROR(INDEX('WINBUGS data'!$F$17:$ZZ$65,MATCH($C37,'WINBUGS data'!$F$17:$F$65,0),MATCH("t[,"&amp;F$4 &amp;"]",'WINBUGS data'!$F$16:$ZZ$16,0)),"")</f>
        <v/>
      </c>
      <c r="G37" s="31" t="str">
        <f>IFERROR(INDEX('WINBUGS data'!$F$17:$ZZ$65,MATCH($C37,'WINBUGS data'!$F$17:$F$65,0),MATCH("t[,"&amp;G$4 &amp;"]",'WINBUGS data'!$F$16:$ZZ$16,0)),"")</f>
        <v/>
      </c>
      <c r="H37" s="31" t="str">
        <f>IFERROR(INDEX('WINBUGS data'!$F$17:$ZZ$65,MATCH($C37,'WINBUGS data'!$F$17:$F$65,0),MATCH("t[,"&amp;H$4 &amp;"]",'WINBUGS data'!$F$16:$ZZ$16,0)),"")</f>
        <v/>
      </c>
      <c r="I37" s="31" t="str">
        <f>IFERROR(INDEX('WINBUGS data'!$F$17:$ZZ$65,MATCH($C37,'WINBUGS data'!$F$17:$F$65,0),MATCH("t[,"&amp;I$4 &amp;"]",'WINBUGS data'!$F$16:$ZZ$16,0)),"")</f>
        <v/>
      </c>
      <c r="J37" s="31" t="str">
        <f>IFERROR(INDEX('WINBUGS data'!$F$17:$ZZ$65,MATCH($C37,'WINBUGS data'!$F$17:$F$65,0),MATCH("t[,"&amp;J$4 &amp;"]",'WINBUGS data'!$F$16:$ZZ$16,0)),"")</f>
        <v/>
      </c>
      <c r="K37" s="31" t="str">
        <f>IFERROR(INDEX('WINBUGS data'!$F$17:$ZZ$65,MATCH($C37,'WINBUGS data'!$F$17:$F$65,0),MATCH("t[,"&amp;K$4 &amp;"]",'WINBUGS data'!$F$16:$ZZ$16,0)),"")</f>
        <v/>
      </c>
      <c r="L37" s="31" t="str">
        <f>IFERROR(INDEX('WINBUGS data'!$F$17:$ZZ$65,MATCH($C37,'WINBUGS data'!$F$17:$F$65,0),MATCH("t[,"&amp;L$4 &amp;"]",'WINBUGS data'!$F$16:$ZZ$16,0)),"")</f>
        <v/>
      </c>
      <c r="M37" s="31" t="str">
        <f>IFERROR(INDEX('WINBUGS data'!$F$17:$ZZ$65,MATCH($C37,'WINBUGS data'!$F$17:$F$65,0),MATCH("t[,"&amp;M$4 &amp;"]",'WINBUGS data'!$F$16:$ZZ$16,0)),"")</f>
        <v/>
      </c>
      <c r="N37" s="31" t="str">
        <f>IFERROR(INDEX('WINBUGS data'!$F$17:$ZZ$65,MATCH($C37,'WINBUGS data'!$F$17:$F$65,0),MATCH("t[,"&amp;N$4 &amp;"]",'WINBUGS data'!$F$16:$ZZ$16,0)),"")</f>
        <v/>
      </c>
      <c r="O37" s="31" t="str">
        <f>IFERROR(INDEX('WINBUGS data'!$F$17:$ZZ$65,MATCH($C37,'WINBUGS data'!$F$17:$F$65,0),MATCH("t[,"&amp;O$4 &amp;"]",'WINBUGS data'!$F$16:$ZZ$16,0)),"")</f>
        <v/>
      </c>
      <c r="P37" s="31" t="str">
        <f>IFERROR(INDEX('WINBUGS data'!$F$17:$ZZ$65,MATCH($C37,'WINBUGS data'!$F$17:$F$65,0),MATCH("t[,"&amp;P$4 &amp;"]",'WINBUGS data'!$F$16:$ZZ$16,0)),"")</f>
        <v/>
      </c>
      <c r="Q37" s="31" t="str">
        <f>IFERROR(INDEX('WINBUGS data'!$F$17:$ZZ$65,MATCH($C37,'WINBUGS data'!$F$17:$F$65,0),MATCH("t[,"&amp;Q$4 &amp;"]",'WINBUGS data'!$F$16:$ZZ$16,0)),"")</f>
        <v/>
      </c>
      <c r="R37" s="31" t="str">
        <f>IFERROR(INDEX('WINBUGS data'!$F$17:$ZZ$65,MATCH($C37,'WINBUGS data'!$F$17:$F$65,0),MATCH("t[,"&amp;R$4 &amp;"]",'WINBUGS data'!$F$16:$ZZ$16,0)),"")</f>
        <v/>
      </c>
      <c r="S37" s="31" t="str">
        <f>IFERROR(INDEX('WINBUGS data'!$F$17:$ZZ$65,MATCH($C37,'WINBUGS data'!$F$17:$F$65,0),MATCH("t[,"&amp;S$4 &amp;"]",'WINBUGS data'!$F$16:$ZZ$16,0)),"")</f>
        <v/>
      </c>
      <c r="T37" s="1" t="str">
        <f>IFERROR(INDEX('WINBUGS data'!$F$17:$ZZ$65,MATCH($C37,'WINBUGS data'!$F$17:$F$65,0),MATCH("t[,"&amp;T$4 &amp;"]",'WINBUGS data'!$F$16:$ZZ$16,0)),"")</f>
        <v/>
      </c>
    </row>
    <row r="38" spans="2:20" x14ac:dyDescent="0.25">
      <c r="B38" s="31"/>
      <c r="C38" s="26" t="str">
        <f>IF('WINBUGS data'!F50&lt;&gt;"",'WINBUGS data'!F50,"")</f>
        <v/>
      </c>
      <c r="D38" s="31" t="str">
        <f>IFERROR(INDEX('WINBUGS data'!$F$17:$ZZ$65,MATCH(C38,'WINBUGS data'!$F$17:$F$65,0),MATCH("na[]",'WINBUGS data'!$F$16:$ZZ$16,0)),"")</f>
        <v/>
      </c>
      <c r="E38" s="31" t="str">
        <f t="shared" si="0"/>
        <v/>
      </c>
      <c r="F38" s="31" t="str">
        <f>IFERROR(INDEX('WINBUGS data'!$F$17:$ZZ$65,MATCH($C38,'WINBUGS data'!$F$17:$F$65,0),MATCH("t[,"&amp;F$4 &amp;"]",'WINBUGS data'!$F$16:$ZZ$16,0)),"")</f>
        <v/>
      </c>
      <c r="G38" s="31" t="str">
        <f>IFERROR(INDEX('WINBUGS data'!$F$17:$ZZ$65,MATCH($C38,'WINBUGS data'!$F$17:$F$65,0),MATCH("t[,"&amp;G$4 &amp;"]",'WINBUGS data'!$F$16:$ZZ$16,0)),"")</f>
        <v/>
      </c>
      <c r="H38" s="31" t="str">
        <f>IFERROR(INDEX('WINBUGS data'!$F$17:$ZZ$65,MATCH($C38,'WINBUGS data'!$F$17:$F$65,0),MATCH("t[,"&amp;H$4 &amp;"]",'WINBUGS data'!$F$16:$ZZ$16,0)),"")</f>
        <v/>
      </c>
      <c r="I38" s="31" t="str">
        <f>IFERROR(INDEX('WINBUGS data'!$F$17:$ZZ$65,MATCH($C38,'WINBUGS data'!$F$17:$F$65,0),MATCH("t[,"&amp;I$4 &amp;"]",'WINBUGS data'!$F$16:$ZZ$16,0)),"")</f>
        <v/>
      </c>
      <c r="J38" s="31" t="str">
        <f>IFERROR(INDEX('WINBUGS data'!$F$17:$ZZ$65,MATCH($C38,'WINBUGS data'!$F$17:$F$65,0),MATCH("t[,"&amp;J$4 &amp;"]",'WINBUGS data'!$F$16:$ZZ$16,0)),"")</f>
        <v/>
      </c>
      <c r="K38" s="31" t="str">
        <f>IFERROR(INDEX('WINBUGS data'!$F$17:$ZZ$65,MATCH($C38,'WINBUGS data'!$F$17:$F$65,0),MATCH("t[,"&amp;K$4 &amp;"]",'WINBUGS data'!$F$16:$ZZ$16,0)),"")</f>
        <v/>
      </c>
      <c r="L38" s="31" t="str">
        <f>IFERROR(INDEX('WINBUGS data'!$F$17:$ZZ$65,MATCH($C38,'WINBUGS data'!$F$17:$F$65,0),MATCH("t[,"&amp;L$4 &amp;"]",'WINBUGS data'!$F$16:$ZZ$16,0)),"")</f>
        <v/>
      </c>
      <c r="M38" s="31" t="str">
        <f>IFERROR(INDEX('WINBUGS data'!$F$17:$ZZ$65,MATCH($C38,'WINBUGS data'!$F$17:$F$65,0),MATCH("t[,"&amp;M$4 &amp;"]",'WINBUGS data'!$F$16:$ZZ$16,0)),"")</f>
        <v/>
      </c>
      <c r="N38" s="31" t="str">
        <f>IFERROR(INDEX('WINBUGS data'!$F$17:$ZZ$65,MATCH($C38,'WINBUGS data'!$F$17:$F$65,0),MATCH("t[,"&amp;N$4 &amp;"]",'WINBUGS data'!$F$16:$ZZ$16,0)),"")</f>
        <v/>
      </c>
      <c r="O38" s="31" t="str">
        <f>IFERROR(INDEX('WINBUGS data'!$F$17:$ZZ$65,MATCH($C38,'WINBUGS data'!$F$17:$F$65,0),MATCH("t[,"&amp;O$4 &amp;"]",'WINBUGS data'!$F$16:$ZZ$16,0)),"")</f>
        <v/>
      </c>
      <c r="P38" s="31" t="str">
        <f>IFERROR(INDEX('WINBUGS data'!$F$17:$ZZ$65,MATCH($C38,'WINBUGS data'!$F$17:$F$65,0),MATCH("t[,"&amp;P$4 &amp;"]",'WINBUGS data'!$F$16:$ZZ$16,0)),"")</f>
        <v/>
      </c>
      <c r="Q38" s="31" t="str">
        <f>IFERROR(INDEX('WINBUGS data'!$F$17:$ZZ$65,MATCH($C38,'WINBUGS data'!$F$17:$F$65,0),MATCH("t[,"&amp;Q$4 &amp;"]",'WINBUGS data'!$F$16:$ZZ$16,0)),"")</f>
        <v/>
      </c>
      <c r="R38" s="31" t="str">
        <f>IFERROR(INDEX('WINBUGS data'!$F$17:$ZZ$65,MATCH($C38,'WINBUGS data'!$F$17:$F$65,0),MATCH("t[,"&amp;R$4 &amp;"]",'WINBUGS data'!$F$16:$ZZ$16,0)),"")</f>
        <v/>
      </c>
      <c r="S38" s="31" t="str">
        <f>IFERROR(INDEX('WINBUGS data'!$F$17:$ZZ$65,MATCH($C38,'WINBUGS data'!$F$17:$F$65,0),MATCH("t[,"&amp;S$4 &amp;"]",'WINBUGS data'!$F$16:$ZZ$16,0)),"")</f>
        <v/>
      </c>
      <c r="T38" s="1" t="str">
        <f>IFERROR(INDEX('WINBUGS data'!$F$17:$ZZ$65,MATCH($C38,'WINBUGS data'!$F$17:$F$65,0),MATCH("t[,"&amp;T$4 &amp;"]",'WINBUGS data'!$F$16:$ZZ$16,0)),"")</f>
        <v/>
      </c>
    </row>
    <row r="39" spans="2:20" x14ac:dyDescent="0.25">
      <c r="B39" s="31"/>
      <c r="C39" s="26" t="str">
        <f>IF('WINBUGS data'!F51&lt;&gt;"",'WINBUGS data'!F51,"")</f>
        <v/>
      </c>
      <c r="D39" s="31" t="str">
        <f>IFERROR(INDEX('WINBUGS data'!$F$17:$ZZ$65,MATCH(C39,'WINBUGS data'!$F$17:$F$65,0),MATCH("na[]",'WINBUGS data'!$F$16:$ZZ$16,0)),"")</f>
        <v/>
      </c>
      <c r="E39" s="31" t="str">
        <f t="shared" si="0"/>
        <v/>
      </c>
      <c r="F39" s="31" t="str">
        <f>IFERROR(INDEX('WINBUGS data'!$F$17:$ZZ$65,MATCH($C39,'WINBUGS data'!$F$17:$F$65,0),MATCH("t[,"&amp;F$4 &amp;"]",'WINBUGS data'!$F$16:$ZZ$16,0)),"")</f>
        <v/>
      </c>
      <c r="G39" s="31" t="str">
        <f>IFERROR(INDEX('WINBUGS data'!$F$17:$ZZ$65,MATCH($C39,'WINBUGS data'!$F$17:$F$65,0),MATCH("t[,"&amp;G$4 &amp;"]",'WINBUGS data'!$F$16:$ZZ$16,0)),"")</f>
        <v/>
      </c>
      <c r="H39" s="31" t="str">
        <f>IFERROR(INDEX('WINBUGS data'!$F$17:$ZZ$65,MATCH($C39,'WINBUGS data'!$F$17:$F$65,0),MATCH("t[,"&amp;H$4 &amp;"]",'WINBUGS data'!$F$16:$ZZ$16,0)),"")</f>
        <v/>
      </c>
      <c r="I39" s="31" t="str">
        <f>IFERROR(INDEX('WINBUGS data'!$F$17:$ZZ$65,MATCH($C39,'WINBUGS data'!$F$17:$F$65,0),MATCH("t[,"&amp;I$4 &amp;"]",'WINBUGS data'!$F$16:$ZZ$16,0)),"")</f>
        <v/>
      </c>
      <c r="J39" s="31" t="str">
        <f>IFERROR(INDEX('WINBUGS data'!$F$17:$ZZ$65,MATCH($C39,'WINBUGS data'!$F$17:$F$65,0),MATCH("t[,"&amp;J$4 &amp;"]",'WINBUGS data'!$F$16:$ZZ$16,0)),"")</f>
        <v/>
      </c>
      <c r="K39" s="31" t="str">
        <f>IFERROR(INDEX('WINBUGS data'!$F$17:$ZZ$65,MATCH($C39,'WINBUGS data'!$F$17:$F$65,0),MATCH("t[,"&amp;K$4 &amp;"]",'WINBUGS data'!$F$16:$ZZ$16,0)),"")</f>
        <v/>
      </c>
      <c r="L39" s="31" t="str">
        <f>IFERROR(INDEX('WINBUGS data'!$F$17:$ZZ$65,MATCH($C39,'WINBUGS data'!$F$17:$F$65,0),MATCH("t[,"&amp;L$4 &amp;"]",'WINBUGS data'!$F$16:$ZZ$16,0)),"")</f>
        <v/>
      </c>
      <c r="M39" s="31" t="str">
        <f>IFERROR(INDEX('WINBUGS data'!$F$17:$ZZ$65,MATCH($C39,'WINBUGS data'!$F$17:$F$65,0),MATCH("t[,"&amp;M$4 &amp;"]",'WINBUGS data'!$F$16:$ZZ$16,0)),"")</f>
        <v/>
      </c>
      <c r="N39" s="31" t="str">
        <f>IFERROR(INDEX('WINBUGS data'!$F$17:$ZZ$65,MATCH($C39,'WINBUGS data'!$F$17:$F$65,0),MATCH("t[,"&amp;N$4 &amp;"]",'WINBUGS data'!$F$16:$ZZ$16,0)),"")</f>
        <v/>
      </c>
      <c r="O39" s="31" t="str">
        <f>IFERROR(INDEX('WINBUGS data'!$F$17:$ZZ$65,MATCH($C39,'WINBUGS data'!$F$17:$F$65,0),MATCH("t[,"&amp;O$4 &amp;"]",'WINBUGS data'!$F$16:$ZZ$16,0)),"")</f>
        <v/>
      </c>
      <c r="P39" s="31" t="str">
        <f>IFERROR(INDEX('WINBUGS data'!$F$17:$ZZ$65,MATCH($C39,'WINBUGS data'!$F$17:$F$65,0),MATCH("t[,"&amp;P$4 &amp;"]",'WINBUGS data'!$F$16:$ZZ$16,0)),"")</f>
        <v/>
      </c>
      <c r="Q39" s="31" t="str">
        <f>IFERROR(INDEX('WINBUGS data'!$F$17:$ZZ$65,MATCH($C39,'WINBUGS data'!$F$17:$F$65,0),MATCH("t[,"&amp;Q$4 &amp;"]",'WINBUGS data'!$F$16:$ZZ$16,0)),"")</f>
        <v/>
      </c>
      <c r="R39" s="31" t="str">
        <f>IFERROR(INDEX('WINBUGS data'!$F$17:$ZZ$65,MATCH($C39,'WINBUGS data'!$F$17:$F$65,0),MATCH("t[,"&amp;R$4 &amp;"]",'WINBUGS data'!$F$16:$ZZ$16,0)),"")</f>
        <v/>
      </c>
      <c r="S39" s="31" t="str">
        <f>IFERROR(INDEX('WINBUGS data'!$F$17:$ZZ$65,MATCH($C39,'WINBUGS data'!$F$17:$F$65,0),MATCH("t[,"&amp;S$4 &amp;"]",'WINBUGS data'!$F$16:$ZZ$16,0)),"")</f>
        <v/>
      </c>
      <c r="T39" s="1" t="str">
        <f>IFERROR(INDEX('WINBUGS data'!$F$17:$ZZ$65,MATCH($C39,'WINBUGS data'!$F$17:$F$65,0),MATCH("t[,"&amp;T$4 &amp;"]",'WINBUGS data'!$F$16:$ZZ$16,0)),"")</f>
        <v/>
      </c>
    </row>
    <row r="40" spans="2:20" x14ac:dyDescent="0.25">
      <c r="B40" s="31"/>
      <c r="C40" s="26" t="str">
        <f>IF('WINBUGS data'!F52&lt;&gt;"",'WINBUGS data'!F52,"")</f>
        <v/>
      </c>
      <c r="D40" s="31" t="str">
        <f>IFERROR(INDEX('WINBUGS data'!$F$17:$ZZ$65,MATCH(C40,'WINBUGS data'!$F$17:$F$65,0),MATCH("na[]",'WINBUGS data'!$F$16:$ZZ$16,0)),"")</f>
        <v/>
      </c>
      <c r="E40" s="31" t="str">
        <f t="shared" si="0"/>
        <v/>
      </c>
      <c r="F40" s="31" t="str">
        <f>IFERROR(INDEX('WINBUGS data'!$F$17:$ZZ$65,MATCH($C40,'WINBUGS data'!$F$17:$F$65,0),MATCH("t[,"&amp;F$4 &amp;"]",'WINBUGS data'!$F$16:$ZZ$16,0)),"")</f>
        <v/>
      </c>
      <c r="G40" s="31" t="str">
        <f>IFERROR(INDEX('WINBUGS data'!$F$17:$ZZ$65,MATCH($C40,'WINBUGS data'!$F$17:$F$65,0),MATCH("t[,"&amp;G$4 &amp;"]",'WINBUGS data'!$F$16:$ZZ$16,0)),"")</f>
        <v/>
      </c>
      <c r="H40" s="31" t="str">
        <f>IFERROR(INDEX('WINBUGS data'!$F$17:$ZZ$65,MATCH($C40,'WINBUGS data'!$F$17:$F$65,0),MATCH("t[,"&amp;H$4 &amp;"]",'WINBUGS data'!$F$16:$ZZ$16,0)),"")</f>
        <v/>
      </c>
      <c r="I40" s="31" t="str">
        <f>IFERROR(INDEX('WINBUGS data'!$F$17:$ZZ$65,MATCH($C40,'WINBUGS data'!$F$17:$F$65,0),MATCH("t[,"&amp;I$4 &amp;"]",'WINBUGS data'!$F$16:$ZZ$16,0)),"")</f>
        <v/>
      </c>
      <c r="J40" s="31" t="str">
        <f>IFERROR(INDEX('WINBUGS data'!$F$17:$ZZ$65,MATCH($C40,'WINBUGS data'!$F$17:$F$65,0),MATCH("t[,"&amp;J$4 &amp;"]",'WINBUGS data'!$F$16:$ZZ$16,0)),"")</f>
        <v/>
      </c>
      <c r="K40" s="31" t="str">
        <f>IFERROR(INDEX('WINBUGS data'!$F$17:$ZZ$65,MATCH($C40,'WINBUGS data'!$F$17:$F$65,0),MATCH("t[,"&amp;K$4 &amp;"]",'WINBUGS data'!$F$16:$ZZ$16,0)),"")</f>
        <v/>
      </c>
      <c r="L40" s="31" t="str">
        <f>IFERROR(INDEX('WINBUGS data'!$F$17:$ZZ$65,MATCH($C40,'WINBUGS data'!$F$17:$F$65,0),MATCH("t[,"&amp;L$4 &amp;"]",'WINBUGS data'!$F$16:$ZZ$16,0)),"")</f>
        <v/>
      </c>
      <c r="M40" s="31" t="str">
        <f>IFERROR(INDEX('WINBUGS data'!$F$17:$ZZ$65,MATCH($C40,'WINBUGS data'!$F$17:$F$65,0),MATCH("t[,"&amp;M$4 &amp;"]",'WINBUGS data'!$F$16:$ZZ$16,0)),"")</f>
        <v/>
      </c>
      <c r="N40" s="31" t="str">
        <f>IFERROR(INDEX('WINBUGS data'!$F$17:$ZZ$65,MATCH($C40,'WINBUGS data'!$F$17:$F$65,0),MATCH("t[,"&amp;N$4 &amp;"]",'WINBUGS data'!$F$16:$ZZ$16,0)),"")</f>
        <v/>
      </c>
      <c r="O40" s="31" t="str">
        <f>IFERROR(INDEX('WINBUGS data'!$F$17:$ZZ$65,MATCH($C40,'WINBUGS data'!$F$17:$F$65,0),MATCH("t[,"&amp;O$4 &amp;"]",'WINBUGS data'!$F$16:$ZZ$16,0)),"")</f>
        <v/>
      </c>
      <c r="P40" s="31" t="str">
        <f>IFERROR(INDEX('WINBUGS data'!$F$17:$ZZ$65,MATCH($C40,'WINBUGS data'!$F$17:$F$65,0),MATCH("t[,"&amp;P$4 &amp;"]",'WINBUGS data'!$F$16:$ZZ$16,0)),"")</f>
        <v/>
      </c>
      <c r="Q40" s="31" t="str">
        <f>IFERROR(INDEX('WINBUGS data'!$F$17:$ZZ$65,MATCH($C40,'WINBUGS data'!$F$17:$F$65,0),MATCH("t[,"&amp;Q$4 &amp;"]",'WINBUGS data'!$F$16:$ZZ$16,0)),"")</f>
        <v/>
      </c>
      <c r="R40" s="31" t="str">
        <f>IFERROR(INDEX('WINBUGS data'!$F$17:$ZZ$65,MATCH($C40,'WINBUGS data'!$F$17:$F$65,0),MATCH("t[,"&amp;R$4 &amp;"]",'WINBUGS data'!$F$16:$ZZ$16,0)),"")</f>
        <v/>
      </c>
      <c r="S40" s="31" t="str">
        <f>IFERROR(INDEX('WINBUGS data'!$F$17:$ZZ$65,MATCH($C40,'WINBUGS data'!$F$17:$F$65,0),MATCH("t[,"&amp;S$4 &amp;"]",'WINBUGS data'!$F$16:$ZZ$16,0)),"")</f>
        <v/>
      </c>
      <c r="T40" s="1" t="str">
        <f>IFERROR(INDEX('WINBUGS data'!$F$17:$ZZ$65,MATCH($C40,'WINBUGS data'!$F$17:$F$65,0),MATCH("t[,"&amp;T$4 &amp;"]",'WINBUGS data'!$F$16:$ZZ$16,0)),"")</f>
        <v/>
      </c>
    </row>
    <row r="41" spans="2:20" x14ac:dyDescent="0.25">
      <c r="B41" s="31"/>
      <c r="C41" s="26" t="str">
        <f>IF('WINBUGS data'!F53&lt;&gt;"",'WINBUGS data'!F53,"")</f>
        <v/>
      </c>
      <c r="D41" s="31" t="str">
        <f>IFERROR(INDEX('WINBUGS data'!$F$17:$ZZ$65,MATCH(C41,'WINBUGS data'!$F$17:$F$65,0),MATCH("na[]",'WINBUGS data'!$F$16:$ZZ$16,0)),"")</f>
        <v/>
      </c>
      <c r="E41" s="31" t="str">
        <f t="shared" si="0"/>
        <v/>
      </c>
      <c r="F41" s="31" t="str">
        <f>IFERROR(INDEX('WINBUGS data'!$F$17:$ZZ$65,MATCH($C41,'WINBUGS data'!$F$17:$F$65,0),MATCH("t[,"&amp;F$4 &amp;"]",'WINBUGS data'!$F$16:$ZZ$16,0)),"")</f>
        <v/>
      </c>
      <c r="G41" s="31" t="str">
        <f>IFERROR(INDEX('WINBUGS data'!$F$17:$ZZ$65,MATCH($C41,'WINBUGS data'!$F$17:$F$65,0),MATCH("t[,"&amp;G$4 &amp;"]",'WINBUGS data'!$F$16:$ZZ$16,0)),"")</f>
        <v/>
      </c>
      <c r="H41" s="31" t="str">
        <f>IFERROR(INDEX('WINBUGS data'!$F$17:$ZZ$65,MATCH($C41,'WINBUGS data'!$F$17:$F$65,0),MATCH("t[,"&amp;H$4 &amp;"]",'WINBUGS data'!$F$16:$ZZ$16,0)),"")</f>
        <v/>
      </c>
      <c r="I41" s="31" t="str">
        <f>IFERROR(INDEX('WINBUGS data'!$F$17:$ZZ$65,MATCH($C41,'WINBUGS data'!$F$17:$F$65,0),MATCH("t[,"&amp;I$4 &amp;"]",'WINBUGS data'!$F$16:$ZZ$16,0)),"")</f>
        <v/>
      </c>
      <c r="J41" s="31" t="str">
        <f>IFERROR(INDEX('WINBUGS data'!$F$17:$ZZ$65,MATCH($C41,'WINBUGS data'!$F$17:$F$65,0),MATCH("t[,"&amp;J$4 &amp;"]",'WINBUGS data'!$F$16:$ZZ$16,0)),"")</f>
        <v/>
      </c>
      <c r="K41" s="31" t="str">
        <f>IFERROR(INDEX('WINBUGS data'!$F$17:$ZZ$65,MATCH($C41,'WINBUGS data'!$F$17:$F$65,0),MATCH("t[,"&amp;K$4 &amp;"]",'WINBUGS data'!$F$16:$ZZ$16,0)),"")</f>
        <v/>
      </c>
      <c r="L41" s="31" t="str">
        <f>IFERROR(INDEX('WINBUGS data'!$F$17:$ZZ$65,MATCH($C41,'WINBUGS data'!$F$17:$F$65,0),MATCH("t[,"&amp;L$4 &amp;"]",'WINBUGS data'!$F$16:$ZZ$16,0)),"")</f>
        <v/>
      </c>
      <c r="M41" s="31" t="str">
        <f>IFERROR(INDEX('WINBUGS data'!$F$17:$ZZ$65,MATCH($C41,'WINBUGS data'!$F$17:$F$65,0),MATCH("t[,"&amp;M$4 &amp;"]",'WINBUGS data'!$F$16:$ZZ$16,0)),"")</f>
        <v/>
      </c>
      <c r="N41" s="31" t="str">
        <f>IFERROR(INDEX('WINBUGS data'!$F$17:$ZZ$65,MATCH($C41,'WINBUGS data'!$F$17:$F$65,0),MATCH("t[,"&amp;N$4 &amp;"]",'WINBUGS data'!$F$16:$ZZ$16,0)),"")</f>
        <v/>
      </c>
      <c r="O41" s="31" t="str">
        <f>IFERROR(INDEX('WINBUGS data'!$F$17:$ZZ$65,MATCH($C41,'WINBUGS data'!$F$17:$F$65,0),MATCH("t[,"&amp;O$4 &amp;"]",'WINBUGS data'!$F$16:$ZZ$16,0)),"")</f>
        <v/>
      </c>
      <c r="P41" s="31" t="str">
        <f>IFERROR(INDEX('WINBUGS data'!$F$17:$ZZ$65,MATCH($C41,'WINBUGS data'!$F$17:$F$65,0),MATCH("t[,"&amp;P$4 &amp;"]",'WINBUGS data'!$F$16:$ZZ$16,0)),"")</f>
        <v/>
      </c>
      <c r="Q41" s="31" t="str">
        <f>IFERROR(INDEX('WINBUGS data'!$F$17:$ZZ$65,MATCH($C41,'WINBUGS data'!$F$17:$F$65,0),MATCH("t[,"&amp;Q$4 &amp;"]",'WINBUGS data'!$F$16:$ZZ$16,0)),"")</f>
        <v/>
      </c>
      <c r="R41" s="31" t="str">
        <f>IFERROR(INDEX('WINBUGS data'!$F$17:$ZZ$65,MATCH($C41,'WINBUGS data'!$F$17:$F$65,0),MATCH("t[,"&amp;R$4 &amp;"]",'WINBUGS data'!$F$16:$ZZ$16,0)),"")</f>
        <v/>
      </c>
      <c r="S41" s="31" t="str">
        <f>IFERROR(INDEX('WINBUGS data'!$F$17:$ZZ$65,MATCH($C41,'WINBUGS data'!$F$17:$F$65,0),MATCH("t[,"&amp;S$4 &amp;"]",'WINBUGS data'!$F$16:$ZZ$16,0)),"")</f>
        <v/>
      </c>
      <c r="T41" s="1" t="str">
        <f>IFERROR(INDEX('WINBUGS data'!$F$17:$ZZ$65,MATCH($C41,'WINBUGS data'!$F$17:$F$65,0),MATCH("t[,"&amp;T$4 &amp;"]",'WINBUGS data'!$F$16:$ZZ$16,0)),"")</f>
        <v/>
      </c>
    </row>
    <row r="42" spans="2:20" x14ac:dyDescent="0.25">
      <c r="B42" s="31"/>
      <c r="C42" s="26" t="str">
        <f>IF('WINBUGS data'!F54&lt;&gt;"",'WINBUGS data'!F54,"")</f>
        <v/>
      </c>
      <c r="D42" s="31" t="str">
        <f>IFERROR(INDEX('WINBUGS data'!$F$17:$ZZ$65,MATCH(C42,'WINBUGS data'!$F$17:$F$65,0),MATCH("na[]",'WINBUGS data'!$F$16:$ZZ$16,0)),"")</f>
        <v/>
      </c>
      <c r="E42" s="31" t="str">
        <f t="shared" si="0"/>
        <v/>
      </c>
      <c r="F42" s="31" t="str">
        <f>IFERROR(INDEX('WINBUGS data'!$F$17:$ZZ$65,MATCH($C42,'WINBUGS data'!$F$17:$F$65,0),MATCH("t[,"&amp;F$4 &amp;"]",'WINBUGS data'!$F$16:$ZZ$16,0)),"")</f>
        <v/>
      </c>
      <c r="G42" s="31" t="str">
        <f>IFERROR(INDEX('WINBUGS data'!$F$17:$ZZ$65,MATCH($C42,'WINBUGS data'!$F$17:$F$65,0),MATCH("t[,"&amp;G$4 &amp;"]",'WINBUGS data'!$F$16:$ZZ$16,0)),"")</f>
        <v/>
      </c>
      <c r="H42" s="31" t="str">
        <f>IFERROR(INDEX('WINBUGS data'!$F$17:$ZZ$65,MATCH($C42,'WINBUGS data'!$F$17:$F$65,0),MATCH("t[,"&amp;H$4 &amp;"]",'WINBUGS data'!$F$16:$ZZ$16,0)),"")</f>
        <v/>
      </c>
      <c r="I42" s="31" t="str">
        <f>IFERROR(INDEX('WINBUGS data'!$F$17:$ZZ$65,MATCH($C42,'WINBUGS data'!$F$17:$F$65,0),MATCH("t[,"&amp;I$4 &amp;"]",'WINBUGS data'!$F$16:$ZZ$16,0)),"")</f>
        <v/>
      </c>
      <c r="J42" s="31" t="str">
        <f>IFERROR(INDEX('WINBUGS data'!$F$17:$ZZ$65,MATCH($C42,'WINBUGS data'!$F$17:$F$65,0),MATCH("t[,"&amp;J$4 &amp;"]",'WINBUGS data'!$F$16:$ZZ$16,0)),"")</f>
        <v/>
      </c>
      <c r="K42" s="31" t="str">
        <f>IFERROR(INDEX('WINBUGS data'!$F$17:$ZZ$65,MATCH($C42,'WINBUGS data'!$F$17:$F$65,0),MATCH("t[,"&amp;K$4 &amp;"]",'WINBUGS data'!$F$16:$ZZ$16,0)),"")</f>
        <v/>
      </c>
      <c r="L42" s="31" t="str">
        <f>IFERROR(INDEX('WINBUGS data'!$F$17:$ZZ$65,MATCH($C42,'WINBUGS data'!$F$17:$F$65,0),MATCH("t[,"&amp;L$4 &amp;"]",'WINBUGS data'!$F$16:$ZZ$16,0)),"")</f>
        <v/>
      </c>
      <c r="M42" s="31" t="str">
        <f>IFERROR(INDEX('WINBUGS data'!$F$17:$ZZ$65,MATCH($C42,'WINBUGS data'!$F$17:$F$65,0),MATCH("t[,"&amp;M$4 &amp;"]",'WINBUGS data'!$F$16:$ZZ$16,0)),"")</f>
        <v/>
      </c>
      <c r="N42" s="31" t="str">
        <f>IFERROR(INDEX('WINBUGS data'!$F$17:$ZZ$65,MATCH($C42,'WINBUGS data'!$F$17:$F$65,0),MATCH("t[,"&amp;N$4 &amp;"]",'WINBUGS data'!$F$16:$ZZ$16,0)),"")</f>
        <v/>
      </c>
      <c r="O42" s="31" t="str">
        <f>IFERROR(INDEX('WINBUGS data'!$F$17:$ZZ$65,MATCH($C42,'WINBUGS data'!$F$17:$F$65,0),MATCH("t[,"&amp;O$4 &amp;"]",'WINBUGS data'!$F$16:$ZZ$16,0)),"")</f>
        <v/>
      </c>
      <c r="P42" s="31" t="str">
        <f>IFERROR(INDEX('WINBUGS data'!$F$17:$ZZ$65,MATCH($C42,'WINBUGS data'!$F$17:$F$65,0),MATCH("t[,"&amp;P$4 &amp;"]",'WINBUGS data'!$F$16:$ZZ$16,0)),"")</f>
        <v/>
      </c>
      <c r="Q42" s="31" t="str">
        <f>IFERROR(INDEX('WINBUGS data'!$F$17:$ZZ$65,MATCH($C42,'WINBUGS data'!$F$17:$F$65,0),MATCH("t[,"&amp;Q$4 &amp;"]",'WINBUGS data'!$F$16:$ZZ$16,0)),"")</f>
        <v/>
      </c>
      <c r="R42" s="31" t="str">
        <f>IFERROR(INDEX('WINBUGS data'!$F$17:$ZZ$65,MATCH($C42,'WINBUGS data'!$F$17:$F$65,0),MATCH("t[,"&amp;R$4 &amp;"]",'WINBUGS data'!$F$16:$ZZ$16,0)),"")</f>
        <v/>
      </c>
      <c r="S42" s="31" t="str">
        <f>IFERROR(INDEX('WINBUGS data'!$F$17:$ZZ$65,MATCH($C42,'WINBUGS data'!$F$17:$F$65,0),MATCH("t[,"&amp;S$4 &amp;"]",'WINBUGS data'!$F$16:$ZZ$16,0)),"")</f>
        <v/>
      </c>
      <c r="T42" s="1" t="str">
        <f>IFERROR(INDEX('WINBUGS data'!$F$17:$ZZ$65,MATCH($C42,'WINBUGS data'!$F$17:$F$65,0),MATCH("t[,"&amp;T$4 &amp;"]",'WINBUGS data'!$F$16:$ZZ$16,0)),"")</f>
        <v/>
      </c>
    </row>
    <row r="43" spans="2:20" x14ac:dyDescent="0.25">
      <c r="B43" s="31"/>
      <c r="C43" s="26" t="str">
        <f>IF('WINBUGS data'!F55&lt;&gt;"",'WINBUGS data'!F55,"")</f>
        <v/>
      </c>
      <c r="D43" s="31" t="str">
        <f>IFERROR(INDEX('WINBUGS data'!$F$17:$ZZ$65,MATCH(C43,'WINBUGS data'!$F$17:$F$65,0),MATCH("na[]",'WINBUGS data'!$F$16:$ZZ$16,0)),"")</f>
        <v/>
      </c>
      <c r="E43" s="31" t="str">
        <f t="shared" si="0"/>
        <v/>
      </c>
      <c r="F43" s="31" t="str">
        <f>IFERROR(INDEX('WINBUGS data'!$F$17:$ZZ$65,MATCH($C43,'WINBUGS data'!$F$17:$F$65,0),MATCH("t[,"&amp;F$4 &amp;"]",'WINBUGS data'!$F$16:$ZZ$16,0)),"")</f>
        <v/>
      </c>
      <c r="G43" s="31" t="str">
        <f>IFERROR(INDEX('WINBUGS data'!$F$17:$ZZ$65,MATCH($C43,'WINBUGS data'!$F$17:$F$65,0),MATCH("t[,"&amp;G$4 &amp;"]",'WINBUGS data'!$F$16:$ZZ$16,0)),"")</f>
        <v/>
      </c>
      <c r="H43" s="31" t="str">
        <f>IFERROR(INDEX('WINBUGS data'!$F$17:$ZZ$65,MATCH($C43,'WINBUGS data'!$F$17:$F$65,0),MATCH("t[,"&amp;H$4 &amp;"]",'WINBUGS data'!$F$16:$ZZ$16,0)),"")</f>
        <v/>
      </c>
      <c r="I43" s="31" t="str">
        <f>IFERROR(INDEX('WINBUGS data'!$F$17:$ZZ$65,MATCH($C43,'WINBUGS data'!$F$17:$F$65,0),MATCH("t[,"&amp;I$4 &amp;"]",'WINBUGS data'!$F$16:$ZZ$16,0)),"")</f>
        <v/>
      </c>
      <c r="J43" s="31" t="str">
        <f>IFERROR(INDEX('WINBUGS data'!$F$17:$ZZ$65,MATCH($C43,'WINBUGS data'!$F$17:$F$65,0),MATCH("t[,"&amp;J$4 &amp;"]",'WINBUGS data'!$F$16:$ZZ$16,0)),"")</f>
        <v/>
      </c>
      <c r="K43" s="31" t="str">
        <f>IFERROR(INDEX('WINBUGS data'!$F$17:$ZZ$65,MATCH($C43,'WINBUGS data'!$F$17:$F$65,0),MATCH("t[,"&amp;K$4 &amp;"]",'WINBUGS data'!$F$16:$ZZ$16,0)),"")</f>
        <v/>
      </c>
      <c r="L43" s="31" t="str">
        <f>IFERROR(INDEX('WINBUGS data'!$F$17:$ZZ$65,MATCH($C43,'WINBUGS data'!$F$17:$F$65,0),MATCH("t[,"&amp;L$4 &amp;"]",'WINBUGS data'!$F$16:$ZZ$16,0)),"")</f>
        <v/>
      </c>
      <c r="M43" s="31" t="str">
        <f>IFERROR(INDEX('WINBUGS data'!$F$17:$ZZ$65,MATCH($C43,'WINBUGS data'!$F$17:$F$65,0),MATCH("t[,"&amp;M$4 &amp;"]",'WINBUGS data'!$F$16:$ZZ$16,0)),"")</f>
        <v/>
      </c>
      <c r="N43" s="31" t="str">
        <f>IFERROR(INDEX('WINBUGS data'!$F$17:$ZZ$65,MATCH($C43,'WINBUGS data'!$F$17:$F$65,0),MATCH("t[,"&amp;N$4 &amp;"]",'WINBUGS data'!$F$16:$ZZ$16,0)),"")</f>
        <v/>
      </c>
      <c r="O43" s="31" t="str">
        <f>IFERROR(INDEX('WINBUGS data'!$F$17:$ZZ$65,MATCH($C43,'WINBUGS data'!$F$17:$F$65,0),MATCH("t[,"&amp;O$4 &amp;"]",'WINBUGS data'!$F$16:$ZZ$16,0)),"")</f>
        <v/>
      </c>
      <c r="P43" s="31" t="str">
        <f>IFERROR(INDEX('WINBUGS data'!$F$17:$ZZ$65,MATCH($C43,'WINBUGS data'!$F$17:$F$65,0),MATCH("t[,"&amp;P$4 &amp;"]",'WINBUGS data'!$F$16:$ZZ$16,0)),"")</f>
        <v/>
      </c>
      <c r="Q43" s="31" t="str">
        <f>IFERROR(INDEX('WINBUGS data'!$F$17:$ZZ$65,MATCH($C43,'WINBUGS data'!$F$17:$F$65,0),MATCH("t[,"&amp;Q$4 &amp;"]",'WINBUGS data'!$F$16:$ZZ$16,0)),"")</f>
        <v/>
      </c>
      <c r="R43" s="31" t="str">
        <f>IFERROR(INDEX('WINBUGS data'!$F$17:$ZZ$65,MATCH($C43,'WINBUGS data'!$F$17:$F$65,0),MATCH("t[,"&amp;R$4 &amp;"]",'WINBUGS data'!$F$16:$ZZ$16,0)),"")</f>
        <v/>
      </c>
      <c r="S43" s="31" t="str">
        <f>IFERROR(INDEX('WINBUGS data'!$F$17:$ZZ$65,MATCH($C43,'WINBUGS data'!$F$17:$F$65,0),MATCH("t[,"&amp;S$4 &amp;"]",'WINBUGS data'!$F$16:$ZZ$16,0)),"")</f>
        <v/>
      </c>
      <c r="T43" s="1" t="str">
        <f>IFERROR(INDEX('WINBUGS data'!$F$17:$ZZ$65,MATCH($C43,'WINBUGS data'!$F$17:$F$65,0),MATCH("t[,"&amp;T$4 &amp;"]",'WINBUGS data'!$F$16:$ZZ$16,0)),"")</f>
        <v/>
      </c>
    </row>
    <row r="44" spans="2:20" x14ac:dyDescent="0.25">
      <c r="B44" s="31"/>
      <c r="C44" s="26" t="str">
        <f>IF('WINBUGS data'!F56&lt;&gt;"",'WINBUGS data'!F56,"")</f>
        <v/>
      </c>
      <c r="D44" s="31" t="str">
        <f>IFERROR(INDEX('WINBUGS data'!$F$17:$ZZ$65,MATCH(C44,'WINBUGS data'!$F$17:$F$65,0),MATCH("na[]",'WINBUGS data'!$F$16:$ZZ$16,0)),"")</f>
        <v/>
      </c>
      <c r="E44" s="31" t="str">
        <f t="shared" si="0"/>
        <v/>
      </c>
      <c r="F44" s="31" t="str">
        <f>IFERROR(INDEX('WINBUGS data'!$F$17:$ZZ$65,MATCH($C44,'WINBUGS data'!$F$17:$F$65,0),MATCH("t[,"&amp;F$4 &amp;"]",'WINBUGS data'!$F$16:$ZZ$16,0)),"")</f>
        <v/>
      </c>
      <c r="G44" s="31" t="str">
        <f>IFERROR(INDEX('WINBUGS data'!$F$17:$ZZ$65,MATCH($C44,'WINBUGS data'!$F$17:$F$65,0),MATCH("t[,"&amp;G$4 &amp;"]",'WINBUGS data'!$F$16:$ZZ$16,0)),"")</f>
        <v/>
      </c>
      <c r="H44" s="31" t="str">
        <f>IFERROR(INDEX('WINBUGS data'!$F$17:$ZZ$65,MATCH($C44,'WINBUGS data'!$F$17:$F$65,0),MATCH("t[,"&amp;H$4 &amp;"]",'WINBUGS data'!$F$16:$ZZ$16,0)),"")</f>
        <v/>
      </c>
      <c r="I44" s="31" t="str">
        <f>IFERROR(INDEX('WINBUGS data'!$F$17:$ZZ$65,MATCH($C44,'WINBUGS data'!$F$17:$F$65,0),MATCH("t[,"&amp;I$4 &amp;"]",'WINBUGS data'!$F$16:$ZZ$16,0)),"")</f>
        <v/>
      </c>
      <c r="J44" s="31" t="str">
        <f>IFERROR(INDEX('WINBUGS data'!$F$17:$ZZ$65,MATCH($C44,'WINBUGS data'!$F$17:$F$65,0),MATCH("t[,"&amp;J$4 &amp;"]",'WINBUGS data'!$F$16:$ZZ$16,0)),"")</f>
        <v/>
      </c>
      <c r="K44" s="31" t="str">
        <f>IFERROR(INDEX('WINBUGS data'!$F$17:$ZZ$65,MATCH($C44,'WINBUGS data'!$F$17:$F$65,0),MATCH("t[,"&amp;K$4 &amp;"]",'WINBUGS data'!$F$16:$ZZ$16,0)),"")</f>
        <v/>
      </c>
      <c r="L44" s="31" t="str">
        <f>IFERROR(INDEX('WINBUGS data'!$F$17:$ZZ$65,MATCH($C44,'WINBUGS data'!$F$17:$F$65,0),MATCH("t[,"&amp;L$4 &amp;"]",'WINBUGS data'!$F$16:$ZZ$16,0)),"")</f>
        <v/>
      </c>
      <c r="M44" s="31" t="str">
        <f>IFERROR(INDEX('WINBUGS data'!$F$17:$ZZ$65,MATCH($C44,'WINBUGS data'!$F$17:$F$65,0),MATCH("t[,"&amp;M$4 &amp;"]",'WINBUGS data'!$F$16:$ZZ$16,0)),"")</f>
        <v/>
      </c>
      <c r="N44" s="31" t="str">
        <f>IFERROR(INDEX('WINBUGS data'!$F$17:$ZZ$65,MATCH($C44,'WINBUGS data'!$F$17:$F$65,0),MATCH("t[,"&amp;N$4 &amp;"]",'WINBUGS data'!$F$16:$ZZ$16,0)),"")</f>
        <v/>
      </c>
      <c r="O44" s="31" t="str">
        <f>IFERROR(INDEX('WINBUGS data'!$F$17:$ZZ$65,MATCH($C44,'WINBUGS data'!$F$17:$F$65,0),MATCH("t[,"&amp;O$4 &amp;"]",'WINBUGS data'!$F$16:$ZZ$16,0)),"")</f>
        <v/>
      </c>
      <c r="P44" s="31" t="str">
        <f>IFERROR(INDEX('WINBUGS data'!$F$17:$ZZ$65,MATCH($C44,'WINBUGS data'!$F$17:$F$65,0),MATCH("t[,"&amp;P$4 &amp;"]",'WINBUGS data'!$F$16:$ZZ$16,0)),"")</f>
        <v/>
      </c>
      <c r="Q44" s="31" t="str">
        <f>IFERROR(INDEX('WINBUGS data'!$F$17:$ZZ$65,MATCH($C44,'WINBUGS data'!$F$17:$F$65,0),MATCH("t[,"&amp;Q$4 &amp;"]",'WINBUGS data'!$F$16:$ZZ$16,0)),"")</f>
        <v/>
      </c>
      <c r="R44" s="31" t="str">
        <f>IFERROR(INDEX('WINBUGS data'!$F$17:$ZZ$65,MATCH($C44,'WINBUGS data'!$F$17:$F$65,0),MATCH("t[,"&amp;R$4 &amp;"]",'WINBUGS data'!$F$16:$ZZ$16,0)),"")</f>
        <v/>
      </c>
      <c r="S44" s="31" t="str">
        <f>IFERROR(INDEX('WINBUGS data'!$F$17:$ZZ$65,MATCH($C44,'WINBUGS data'!$F$17:$F$65,0),MATCH("t[,"&amp;S$4 &amp;"]",'WINBUGS data'!$F$16:$ZZ$16,0)),"")</f>
        <v/>
      </c>
      <c r="T44" s="1" t="str">
        <f>IFERROR(INDEX('WINBUGS data'!$F$17:$ZZ$65,MATCH($C44,'WINBUGS data'!$F$17:$F$65,0),MATCH("t[,"&amp;T$4 &amp;"]",'WINBUGS data'!$F$16:$ZZ$16,0)),"")</f>
        <v/>
      </c>
    </row>
    <row r="45" spans="2:20" x14ac:dyDescent="0.25">
      <c r="B45" s="31"/>
      <c r="C45" s="26" t="str">
        <f>IF('WINBUGS data'!F57&lt;&gt;"",'WINBUGS data'!F57,"")</f>
        <v/>
      </c>
      <c r="D45" s="31" t="str">
        <f>IFERROR(INDEX('WINBUGS data'!$F$17:$ZZ$65,MATCH(C45,'WINBUGS data'!$F$17:$F$65,0),MATCH("na[]",'WINBUGS data'!$F$16:$ZZ$16,0)),"")</f>
        <v/>
      </c>
      <c r="E45" s="31" t="str">
        <f t="shared" si="0"/>
        <v/>
      </c>
      <c r="F45" s="31" t="str">
        <f>IFERROR(INDEX('WINBUGS data'!$F$17:$ZZ$65,MATCH($C45,'WINBUGS data'!$F$17:$F$65,0),MATCH("t[,"&amp;F$4 &amp;"]",'WINBUGS data'!$F$16:$ZZ$16,0)),"")</f>
        <v/>
      </c>
      <c r="G45" s="31" t="str">
        <f>IFERROR(INDEX('WINBUGS data'!$F$17:$ZZ$65,MATCH($C45,'WINBUGS data'!$F$17:$F$65,0),MATCH("t[,"&amp;G$4 &amp;"]",'WINBUGS data'!$F$16:$ZZ$16,0)),"")</f>
        <v/>
      </c>
      <c r="H45" s="31" t="str">
        <f>IFERROR(INDEX('WINBUGS data'!$F$17:$ZZ$65,MATCH($C45,'WINBUGS data'!$F$17:$F$65,0),MATCH("t[,"&amp;H$4 &amp;"]",'WINBUGS data'!$F$16:$ZZ$16,0)),"")</f>
        <v/>
      </c>
      <c r="I45" s="31" t="str">
        <f>IFERROR(INDEX('WINBUGS data'!$F$17:$ZZ$65,MATCH($C45,'WINBUGS data'!$F$17:$F$65,0),MATCH("t[,"&amp;I$4 &amp;"]",'WINBUGS data'!$F$16:$ZZ$16,0)),"")</f>
        <v/>
      </c>
      <c r="J45" s="31" t="str">
        <f>IFERROR(INDEX('WINBUGS data'!$F$17:$ZZ$65,MATCH($C45,'WINBUGS data'!$F$17:$F$65,0),MATCH("t[,"&amp;J$4 &amp;"]",'WINBUGS data'!$F$16:$ZZ$16,0)),"")</f>
        <v/>
      </c>
      <c r="K45" s="31" t="str">
        <f>IFERROR(INDEX('WINBUGS data'!$F$17:$ZZ$65,MATCH($C45,'WINBUGS data'!$F$17:$F$65,0),MATCH("t[,"&amp;K$4 &amp;"]",'WINBUGS data'!$F$16:$ZZ$16,0)),"")</f>
        <v/>
      </c>
      <c r="L45" s="31" t="str">
        <f>IFERROR(INDEX('WINBUGS data'!$F$17:$ZZ$65,MATCH($C45,'WINBUGS data'!$F$17:$F$65,0),MATCH("t[,"&amp;L$4 &amp;"]",'WINBUGS data'!$F$16:$ZZ$16,0)),"")</f>
        <v/>
      </c>
      <c r="M45" s="31" t="str">
        <f>IFERROR(INDEX('WINBUGS data'!$F$17:$ZZ$65,MATCH($C45,'WINBUGS data'!$F$17:$F$65,0),MATCH("t[,"&amp;M$4 &amp;"]",'WINBUGS data'!$F$16:$ZZ$16,0)),"")</f>
        <v/>
      </c>
      <c r="N45" s="31" t="str">
        <f>IFERROR(INDEX('WINBUGS data'!$F$17:$ZZ$65,MATCH($C45,'WINBUGS data'!$F$17:$F$65,0),MATCH("t[,"&amp;N$4 &amp;"]",'WINBUGS data'!$F$16:$ZZ$16,0)),"")</f>
        <v/>
      </c>
      <c r="O45" s="31" t="str">
        <f>IFERROR(INDEX('WINBUGS data'!$F$17:$ZZ$65,MATCH($C45,'WINBUGS data'!$F$17:$F$65,0),MATCH("t[,"&amp;O$4 &amp;"]",'WINBUGS data'!$F$16:$ZZ$16,0)),"")</f>
        <v/>
      </c>
      <c r="P45" s="31" t="str">
        <f>IFERROR(INDEX('WINBUGS data'!$F$17:$ZZ$65,MATCH($C45,'WINBUGS data'!$F$17:$F$65,0),MATCH("t[,"&amp;P$4 &amp;"]",'WINBUGS data'!$F$16:$ZZ$16,0)),"")</f>
        <v/>
      </c>
      <c r="Q45" s="31" t="str">
        <f>IFERROR(INDEX('WINBUGS data'!$F$17:$ZZ$65,MATCH($C45,'WINBUGS data'!$F$17:$F$65,0),MATCH("t[,"&amp;Q$4 &amp;"]",'WINBUGS data'!$F$16:$ZZ$16,0)),"")</f>
        <v/>
      </c>
      <c r="R45" s="31" t="str">
        <f>IFERROR(INDEX('WINBUGS data'!$F$17:$ZZ$65,MATCH($C45,'WINBUGS data'!$F$17:$F$65,0),MATCH("t[,"&amp;R$4 &amp;"]",'WINBUGS data'!$F$16:$ZZ$16,0)),"")</f>
        <v/>
      </c>
      <c r="S45" s="31" t="str">
        <f>IFERROR(INDEX('WINBUGS data'!$F$17:$ZZ$65,MATCH($C45,'WINBUGS data'!$F$17:$F$65,0),MATCH("t[,"&amp;S$4 &amp;"]",'WINBUGS data'!$F$16:$ZZ$16,0)),"")</f>
        <v/>
      </c>
      <c r="T45" s="1" t="str">
        <f>IFERROR(INDEX('WINBUGS data'!$F$17:$ZZ$65,MATCH($C45,'WINBUGS data'!$F$17:$F$65,0),MATCH("t[,"&amp;T$4 &amp;"]",'WINBUGS data'!$F$16:$ZZ$16,0)),"")</f>
        <v/>
      </c>
    </row>
    <row r="46" spans="2:20" x14ac:dyDescent="0.25">
      <c r="B46" s="31"/>
      <c r="C46" s="26" t="str">
        <f>IF('WINBUGS data'!F58&lt;&gt;"",'WINBUGS data'!F58,"")</f>
        <v/>
      </c>
      <c r="D46" s="31" t="str">
        <f>IFERROR(INDEX('WINBUGS data'!$F$17:$ZZ$65,MATCH(C46,'WINBUGS data'!$F$17:$F$65,0),MATCH("na[]",'WINBUGS data'!$F$16:$ZZ$16,0)),"")</f>
        <v/>
      </c>
      <c r="E46" s="31" t="str">
        <f t="shared" si="0"/>
        <v/>
      </c>
      <c r="F46" s="31" t="str">
        <f>IFERROR(INDEX('WINBUGS data'!$F$17:$ZZ$65,MATCH($C46,'WINBUGS data'!$F$17:$F$65,0),MATCH("t[,"&amp;F$4 &amp;"]",'WINBUGS data'!$F$16:$ZZ$16,0)),"")</f>
        <v/>
      </c>
      <c r="G46" s="31" t="str">
        <f>IFERROR(INDEX('WINBUGS data'!$F$17:$ZZ$65,MATCH($C46,'WINBUGS data'!$F$17:$F$65,0),MATCH("t[,"&amp;G$4 &amp;"]",'WINBUGS data'!$F$16:$ZZ$16,0)),"")</f>
        <v/>
      </c>
      <c r="H46" s="31" t="str">
        <f>IFERROR(INDEX('WINBUGS data'!$F$17:$ZZ$65,MATCH($C46,'WINBUGS data'!$F$17:$F$65,0),MATCH("t[,"&amp;H$4 &amp;"]",'WINBUGS data'!$F$16:$ZZ$16,0)),"")</f>
        <v/>
      </c>
      <c r="I46" s="31" t="str">
        <f>IFERROR(INDEX('WINBUGS data'!$F$17:$ZZ$65,MATCH($C46,'WINBUGS data'!$F$17:$F$65,0),MATCH("t[,"&amp;I$4 &amp;"]",'WINBUGS data'!$F$16:$ZZ$16,0)),"")</f>
        <v/>
      </c>
      <c r="J46" s="31" t="str">
        <f>IFERROR(INDEX('WINBUGS data'!$F$17:$ZZ$65,MATCH($C46,'WINBUGS data'!$F$17:$F$65,0),MATCH("t[,"&amp;J$4 &amp;"]",'WINBUGS data'!$F$16:$ZZ$16,0)),"")</f>
        <v/>
      </c>
      <c r="K46" s="31" t="str">
        <f>IFERROR(INDEX('WINBUGS data'!$F$17:$ZZ$65,MATCH($C46,'WINBUGS data'!$F$17:$F$65,0),MATCH("t[,"&amp;K$4 &amp;"]",'WINBUGS data'!$F$16:$ZZ$16,0)),"")</f>
        <v/>
      </c>
      <c r="L46" s="31" t="str">
        <f>IFERROR(INDEX('WINBUGS data'!$F$17:$ZZ$65,MATCH($C46,'WINBUGS data'!$F$17:$F$65,0),MATCH("t[,"&amp;L$4 &amp;"]",'WINBUGS data'!$F$16:$ZZ$16,0)),"")</f>
        <v/>
      </c>
      <c r="M46" s="31" t="str">
        <f>IFERROR(INDEX('WINBUGS data'!$F$17:$ZZ$65,MATCH($C46,'WINBUGS data'!$F$17:$F$65,0),MATCH("t[,"&amp;M$4 &amp;"]",'WINBUGS data'!$F$16:$ZZ$16,0)),"")</f>
        <v/>
      </c>
      <c r="N46" s="31" t="str">
        <f>IFERROR(INDEX('WINBUGS data'!$F$17:$ZZ$65,MATCH($C46,'WINBUGS data'!$F$17:$F$65,0),MATCH("t[,"&amp;N$4 &amp;"]",'WINBUGS data'!$F$16:$ZZ$16,0)),"")</f>
        <v/>
      </c>
      <c r="O46" s="31" t="str">
        <f>IFERROR(INDEX('WINBUGS data'!$F$17:$ZZ$65,MATCH($C46,'WINBUGS data'!$F$17:$F$65,0),MATCH("t[,"&amp;O$4 &amp;"]",'WINBUGS data'!$F$16:$ZZ$16,0)),"")</f>
        <v/>
      </c>
      <c r="P46" s="31" t="str">
        <f>IFERROR(INDEX('WINBUGS data'!$F$17:$ZZ$65,MATCH($C46,'WINBUGS data'!$F$17:$F$65,0),MATCH("t[,"&amp;P$4 &amp;"]",'WINBUGS data'!$F$16:$ZZ$16,0)),"")</f>
        <v/>
      </c>
      <c r="Q46" s="31" t="str">
        <f>IFERROR(INDEX('WINBUGS data'!$F$17:$ZZ$65,MATCH($C46,'WINBUGS data'!$F$17:$F$65,0),MATCH("t[,"&amp;Q$4 &amp;"]",'WINBUGS data'!$F$16:$ZZ$16,0)),"")</f>
        <v/>
      </c>
      <c r="R46" s="31" t="str">
        <f>IFERROR(INDEX('WINBUGS data'!$F$17:$ZZ$65,MATCH($C46,'WINBUGS data'!$F$17:$F$65,0),MATCH("t[,"&amp;R$4 &amp;"]",'WINBUGS data'!$F$16:$ZZ$16,0)),"")</f>
        <v/>
      </c>
      <c r="S46" s="31" t="str">
        <f>IFERROR(INDEX('WINBUGS data'!$F$17:$ZZ$65,MATCH($C46,'WINBUGS data'!$F$17:$F$65,0),MATCH("t[,"&amp;S$4 &amp;"]",'WINBUGS data'!$F$16:$ZZ$16,0)),"")</f>
        <v/>
      </c>
      <c r="T46" s="1" t="str">
        <f>IFERROR(INDEX('WINBUGS data'!$F$17:$ZZ$65,MATCH($C46,'WINBUGS data'!$F$17:$F$65,0),MATCH("t[,"&amp;T$4 &amp;"]",'WINBUGS data'!$F$16:$ZZ$16,0)),"")</f>
        <v/>
      </c>
    </row>
    <row r="47" spans="2:20" x14ac:dyDescent="0.25">
      <c r="B47" s="31"/>
      <c r="C47" s="26" t="str">
        <f>IF('WINBUGS data'!F59&lt;&gt;"",'WINBUGS data'!F59,"")</f>
        <v/>
      </c>
      <c r="D47" s="31" t="str">
        <f>IFERROR(INDEX('WINBUGS data'!$F$17:$ZZ$65,MATCH(C47,'WINBUGS data'!$F$17:$F$65,0),MATCH("na[]",'WINBUGS data'!$F$16:$ZZ$16,0)),"")</f>
        <v/>
      </c>
      <c r="E47" s="31" t="str">
        <f t="shared" si="0"/>
        <v/>
      </c>
      <c r="F47" s="31" t="str">
        <f>IFERROR(INDEX('WINBUGS data'!$F$17:$ZZ$65,MATCH($C47,'WINBUGS data'!$F$17:$F$65,0),MATCH("t[,"&amp;F$4 &amp;"]",'WINBUGS data'!$F$16:$ZZ$16,0)),"")</f>
        <v/>
      </c>
      <c r="G47" s="31" t="str">
        <f>IFERROR(INDEX('WINBUGS data'!$F$17:$ZZ$65,MATCH($C47,'WINBUGS data'!$F$17:$F$65,0),MATCH("t[,"&amp;G$4 &amp;"]",'WINBUGS data'!$F$16:$ZZ$16,0)),"")</f>
        <v/>
      </c>
      <c r="H47" s="31" t="str">
        <f>IFERROR(INDEX('WINBUGS data'!$F$17:$ZZ$65,MATCH($C47,'WINBUGS data'!$F$17:$F$65,0),MATCH("t[,"&amp;H$4 &amp;"]",'WINBUGS data'!$F$16:$ZZ$16,0)),"")</f>
        <v/>
      </c>
      <c r="I47" s="31" t="str">
        <f>IFERROR(INDEX('WINBUGS data'!$F$17:$ZZ$65,MATCH($C47,'WINBUGS data'!$F$17:$F$65,0),MATCH("t[,"&amp;I$4 &amp;"]",'WINBUGS data'!$F$16:$ZZ$16,0)),"")</f>
        <v/>
      </c>
      <c r="J47" s="31" t="str">
        <f>IFERROR(INDEX('WINBUGS data'!$F$17:$ZZ$65,MATCH($C47,'WINBUGS data'!$F$17:$F$65,0),MATCH("t[,"&amp;J$4 &amp;"]",'WINBUGS data'!$F$16:$ZZ$16,0)),"")</f>
        <v/>
      </c>
      <c r="K47" s="31" t="str">
        <f>IFERROR(INDEX('WINBUGS data'!$F$17:$ZZ$65,MATCH($C47,'WINBUGS data'!$F$17:$F$65,0),MATCH("t[,"&amp;K$4 &amp;"]",'WINBUGS data'!$F$16:$ZZ$16,0)),"")</f>
        <v/>
      </c>
      <c r="L47" s="31" t="str">
        <f>IFERROR(INDEX('WINBUGS data'!$F$17:$ZZ$65,MATCH($C47,'WINBUGS data'!$F$17:$F$65,0),MATCH("t[,"&amp;L$4 &amp;"]",'WINBUGS data'!$F$16:$ZZ$16,0)),"")</f>
        <v/>
      </c>
      <c r="M47" s="31" t="str">
        <f>IFERROR(INDEX('WINBUGS data'!$F$17:$ZZ$65,MATCH($C47,'WINBUGS data'!$F$17:$F$65,0),MATCH("t[,"&amp;M$4 &amp;"]",'WINBUGS data'!$F$16:$ZZ$16,0)),"")</f>
        <v/>
      </c>
      <c r="N47" s="31" t="str">
        <f>IFERROR(INDEX('WINBUGS data'!$F$17:$ZZ$65,MATCH($C47,'WINBUGS data'!$F$17:$F$65,0),MATCH("t[,"&amp;N$4 &amp;"]",'WINBUGS data'!$F$16:$ZZ$16,0)),"")</f>
        <v/>
      </c>
      <c r="O47" s="31" t="str">
        <f>IFERROR(INDEX('WINBUGS data'!$F$17:$ZZ$65,MATCH($C47,'WINBUGS data'!$F$17:$F$65,0),MATCH("t[,"&amp;O$4 &amp;"]",'WINBUGS data'!$F$16:$ZZ$16,0)),"")</f>
        <v/>
      </c>
      <c r="P47" s="31" t="str">
        <f>IFERROR(INDEX('WINBUGS data'!$F$17:$ZZ$65,MATCH($C47,'WINBUGS data'!$F$17:$F$65,0),MATCH("t[,"&amp;P$4 &amp;"]",'WINBUGS data'!$F$16:$ZZ$16,0)),"")</f>
        <v/>
      </c>
      <c r="Q47" s="31" t="str">
        <f>IFERROR(INDEX('WINBUGS data'!$F$17:$ZZ$65,MATCH($C47,'WINBUGS data'!$F$17:$F$65,0),MATCH("t[,"&amp;Q$4 &amp;"]",'WINBUGS data'!$F$16:$ZZ$16,0)),"")</f>
        <v/>
      </c>
      <c r="R47" s="31" t="str">
        <f>IFERROR(INDEX('WINBUGS data'!$F$17:$ZZ$65,MATCH($C47,'WINBUGS data'!$F$17:$F$65,0),MATCH("t[,"&amp;R$4 &amp;"]",'WINBUGS data'!$F$16:$ZZ$16,0)),"")</f>
        <v/>
      </c>
      <c r="S47" s="31" t="str">
        <f>IFERROR(INDEX('WINBUGS data'!$F$17:$ZZ$65,MATCH($C47,'WINBUGS data'!$F$17:$F$65,0),MATCH("t[,"&amp;S$4 &amp;"]",'WINBUGS data'!$F$16:$ZZ$16,0)),"")</f>
        <v/>
      </c>
      <c r="T47" s="1" t="str">
        <f>IFERROR(INDEX('WINBUGS data'!$F$17:$ZZ$65,MATCH($C47,'WINBUGS data'!$F$17:$F$65,0),MATCH("t[,"&amp;T$4 &amp;"]",'WINBUGS data'!$F$16:$ZZ$16,0)),"")</f>
        <v/>
      </c>
    </row>
    <row r="48" spans="2:20" x14ac:dyDescent="0.25">
      <c r="B48" s="31"/>
      <c r="C48" s="26" t="str">
        <f>IF('WINBUGS data'!F60&lt;&gt;"",'WINBUGS data'!F60,"")</f>
        <v/>
      </c>
      <c r="D48" s="31" t="str">
        <f>IFERROR(INDEX('WINBUGS data'!$F$17:$ZZ$65,MATCH(C48,'WINBUGS data'!$F$17:$F$65,0),MATCH("na[]",'WINBUGS data'!$F$16:$ZZ$16,0)),"")</f>
        <v/>
      </c>
      <c r="E48" s="31" t="str">
        <f t="shared" si="0"/>
        <v/>
      </c>
      <c r="F48" s="31" t="str">
        <f>IFERROR(INDEX('WINBUGS data'!$F$17:$ZZ$65,MATCH($C48,'WINBUGS data'!$F$17:$F$65,0),MATCH("t[,"&amp;F$4 &amp;"]",'WINBUGS data'!$F$16:$ZZ$16,0)),"")</f>
        <v/>
      </c>
      <c r="G48" s="31" t="str">
        <f>IFERROR(INDEX('WINBUGS data'!$F$17:$ZZ$65,MATCH($C48,'WINBUGS data'!$F$17:$F$65,0),MATCH("t[,"&amp;G$4 &amp;"]",'WINBUGS data'!$F$16:$ZZ$16,0)),"")</f>
        <v/>
      </c>
      <c r="H48" s="31" t="str">
        <f>IFERROR(INDEX('WINBUGS data'!$F$17:$ZZ$65,MATCH($C48,'WINBUGS data'!$F$17:$F$65,0),MATCH("t[,"&amp;H$4 &amp;"]",'WINBUGS data'!$F$16:$ZZ$16,0)),"")</f>
        <v/>
      </c>
      <c r="I48" s="31" t="str">
        <f>IFERROR(INDEX('WINBUGS data'!$F$17:$ZZ$65,MATCH($C48,'WINBUGS data'!$F$17:$F$65,0),MATCH("t[,"&amp;I$4 &amp;"]",'WINBUGS data'!$F$16:$ZZ$16,0)),"")</f>
        <v/>
      </c>
      <c r="J48" s="31" t="str">
        <f>IFERROR(INDEX('WINBUGS data'!$F$17:$ZZ$65,MATCH($C48,'WINBUGS data'!$F$17:$F$65,0),MATCH("t[,"&amp;J$4 &amp;"]",'WINBUGS data'!$F$16:$ZZ$16,0)),"")</f>
        <v/>
      </c>
      <c r="K48" s="31" t="str">
        <f>IFERROR(INDEX('WINBUGS data'!$F$17:$ZZ$65,MATCH($C48,'WINBUGS data'!$F$17:$F$65,0),MATCH("t[,"&amp;K$4 &amp;"]",'WINBUGS data'!$F$16:$ZZ$16,0)),"")</f>
        <v/>
      </c>
      <c r="L48" s="31" t="str">
        <f>IFERROR(INDEX('WINBUGS data'!$F$17:$ZZ$65,MATCH($C48,'WINBUGS data'!$F$17:$F$65,0),MATCH("t[,"&amp;L$4 &amp;"]",'WINBUGS data'!$F$16:$ZZ$16,0)),"")</f>
        <v/>
      </c>
      <c r="M48" s="31" t="str">
        <f>IFERROR(INDEX('WINBUGS data'!$F$17:$ZZ$65,MATCH($C48,'WINBUGS data'!$F$17:$F$65,0),MATCH("t[,"&amp;M$4 &amp;"]",'WINBUGS data'!$F$16:$ZZ$16,0)),"")</f>
        <v/>
      </c>
      <c r="N48" s="31" t="str">
        <f>IFERROR(INDEX('WINBUGS data'!$F$17:$ZZ$65,MATCH($C48,'WINBUGS data'!$F$17:$F$65,0),MATCH("t[,"&amp;N$4 &amp;"]",'WINBUGS data'!$F$16:$ZZ$16,0)),"")</f>
        <v/>
      </c>
      <c r="O48" s="31" t="str">
        <f>IFERROR(INDEX('WINBUGS data'!$F$17:$ZZ$65,MATCH($C48,'WINBUGS data'!$F$17:$F$65,0),MATCH("t[,"&amp;O$4 &amp;"]",'WINBUGS data'!$F$16:$ZZ$16,0)),"")</f>
        <v/>
      </c>
      <c r="P48" s="31" t="str">
        <f>IFERROR(INDEX('WINBUGS data'!$F$17:$ZZ$65,MATCH($C48,'WINBUGS data'!$F$17:$F$65,0),MATCH("t[,"&amp;P$4 &amp;"]",'WINBUGS data'!$F$16:$ZZ$16,0)),"")</f>
        <v/>
      </c>
      <c r="Q48" s="31" t="str">
        <f>IFERROR(INDEX('WINBUGS data'!$F$17:$ZZ$65,MATCH($C48,'WINBUGS data'!$F$17:$F$65,0),MATCH("t[,"&amp;Q$4 &amp;"]",'WINBUGS data'!$F$16:$ZZ$16,0)),"")</f>
        <v/>
      </c>
      <c r="R48" s="31" t="str">
        <f>IFERROR(INDEX('WINBUGS data'!$F$17:$ZZ$65,MATCH($C48,'WINBUGS data'!$F$17:$F$65,0),MATCH("t[,"&amp;R$4 &amp;"]",'WINBUGS data'!$F$16:$ZZ$16,0)),"")</f>
        <v/>
      </c>
      <c r="S48" s="31" t="str">
        <f>IFERROR(INDEX('WINBUGS data'!$F$17:$ZZ$65,MATCH($C48,'WINBUGS data'!$F$17:$F$65,0),MATCH("t[,"&amp;S$4 &amp;"]",'WINBUGS data'!$F$16:$ZZ$16,0)),"")</f>
        <v/>
      </c>
      <c r="T48" s="1" t="str">
        <f>IFERROR(INDEX('WINBUGS data'!$F$17:$ZZ$65,MATCH($C48,'WINBUGS data'!$F$17:$F$65,0),MATCH("t[,"&amp;T$4 &amp;"]",'WINBUGS data'!$F$16:$ZZ$16,0)),"")</f>
        <v/>
      </c>
    </row>
    <row r="49" spans="2:20" x14ac:dyDescent="0.25">
      <c r="B49" s="31"/>
      <c r="C49" s="26" t="str">
        <f>IF('WINBUGS data'!F61&lt;&gt;"",'WINBUGS data'!F61,"")</f>
        <v/>
      </c>
      <c r="D49" s="31" t="str">
        <f>IFERROR(INDEX('WINBUGS data'!$F$17:$ZZ$65,MATCH(C49,'WINBUGS data'!$F$17:$F$65,0),MATCH("na[]",'WINBUGS data'!$F$16:$ZZ$16,0)),"")</f>
        <v/>
      </c>
      <c r="E49" s="31" t="str">
        <f t="shared" si="0"/>
        <v/>
      </c>
      <c r="F49" s="31" t="str">
        <f>IFERROR(INDEX('WINBUGS data'!$F$17:$ZZ$65,MATCH($C49,'WINBUGS data'!$F$17:$F$65,0),MATCH("t[,"&amp;F$4 &amp;"]",'WINBUGS data'!$F$16:$ZZ$16,0)),"")</f>
        <v/>
      </c>
      <c r="G49" s="31" t="str">
        <f>IFERROR(INDEX('WINBUGS data'!$F$17:$ZZ$65,MATCH($C49,'WINBUGS data'!$F$17:$F$65,0),MATCH("t[,"&amp;G$4 &amp;"]",'WINBUGS data'!$F$16:$ZZ$16,0)),"")</f>
        <v/>
      </c>
      <c r="H49" s="31" t="str">
        <f>IFERROR(INDEX('WINBUGS data'!$F$17:$ZZ$65,MATCH($C49,'WINBUGS data'!$F$17:$F$65,0),MATCH("t[,"&amp;H$4 &amp;"]",'WINBUGS data'!$F$16:$ZZ$16,0)),"")</f>
        <v/>
      </c>
      <c r="I49" s="31" t="str">
        <f>IFERROR(INDEX('WINBUGS data'!$F$17:$ZZ$65,MATCH($C49,'WINBUGS data'!$F$17:$F$65,0),MATCH("t[,"&amp;I$4 &amp;"]",'WINBUGS data'!$F$16:$ZZ$16,0)),"")</f>
        <v/>
      </c>
      <c r="J49" s="31" t="str">
        <f>IFERROR(INDEX('WINBUGS data'!$F$17:$ZZ$65,MATCH($C49,'WINBUGS data'!$F$17:$F$65,0),MATCH("t[,"&amp;J$4 &amp;"]",'WINBUGS data'!$F$16:$ZZ$16,0)),"")</f>
        <v/>
      </c>
      <c r="K49" s="31" t="str">
        <f>IFERROR(INDEX('WINBUGS data'!$F$17:$ZZ$65,MATCH($C49,'WINBUGS data'!$F$17:$F$65,0),MATCH("t[,"&amp;K$4 &amp;"]",'WINBUGS data'!$F$16:$ZZ$16,0)),"")</f>
        <v/>
      </c>
      <c r="L49" s="31" t="str">
        <f>IFERROR(INDEX('WINBUGS data'!$F$17:$ZZ$65,MATCH($C49,'WINBUGS data'!$F$17:$F$65,0),MATCH("t[,"&amp;L$4 &amp;"]",'WINBUGS data'!$F$16:$ZZ$16,0)),"")</f>
        <v/>
      </c>
      <c r="M49" s="31" t="str">
        <f>IFERROR(INDEX('WINBUGS data'!$F$17:$ZZ$65,MATCH($C49,'WINBUGS data'!$F$17:$F$65,0),MATCH("t[,"&amp;M$4 &amp;"]",'WINBUGS data'!$F$16:$ZZ$16,0)),"")</f>
        <v/>
      </c>
      <c r="N49" s="31" t="str">
        <f>IFERROR(INDEX('WINBUGS data'!$F$17:$ZZ$65,MATCH($C49,'WINBUGS data'!$F$17:$F$65,0),MATCH("t[,"&amp;N$4 &amp;"]",'WINBUGS data'!$F$16:$ZZ$16,0)),"")</f>
        <v/>
      </c>
      <c r="O49" s="31" t="str">
        <f>IFERROR(INDEX('WINBUGS data'!$F$17:$ZZ$65,MATCH($C49,'WINBUGS data'!$F$17:$F$65,0),MATCH("t[,"&amp;O$4 &amp;"]",'WINBUGS data'!$F$16:$ZZ$16,0)),"")</f>
        <v/>
      </c>
      <c r="P49" s="31" t="str">
        <f>IFERROR(INDEX('WINBUGS data'!$F$17:$ZZ$65,MATCH($C49,'WINBUGS data'!$F$17:$F$65,0),MATCH("t[,"&amp;P$4 &amp;"]",'WINBUGS data'!$F$16:$ZZ$16,0)),"")</f>
        <v/>
      </c>
      <c r="Q49" s="31" t="str">
        <f>IFERROR(INDEX('WINBUGS data'!$F$17:$ZZ$65,MATCH($C49,'WINBUGS data'!$F$17:$F$65,0),MATCH("t[,"&amp;Q$4 &amp;"]",'WINBUGS data'!$F$16:$ZZ$16,0)),"")</f>
        <v/>
      </c>
      <c r="R49" s="31" t="str">
        <f>IFERROR(INDEX('WINBUGS data'!$F$17:$ZZ$65,MATCH($C49,'WINBUGS data'!$F$17:$F$65,0),MATCH("t[,"&amp;R$4 &amp;"]",'WINBUGS data'!$F$16:$ZZ$16,0)),"")</f>
        <v/>
      </c>
      <c r="S49" s="31" t="str">
        <f>IFERROR(INDEX('WINBUGS data'!$F$17:$ZZ$65,MATCH($C49,'WINBUGS data'!$F$17:$F$65,0),MATCH("t[,"&amp;S$4 &amp;"]",'WINBUGS data'!$F$16:$ZZ$16,0)),"")</f>
        <v/>
      </c>
      <c r="T49" s="1" t="str">
        <f>IFERROR(INDEX('WINBUGS data'!$F$17:$ZZ$65,MATCH($C49,'WINBUGS data'!$F$17:$F$65,0),MATCH("t[,"&amp;T$4 &amp;"]",'WINBUGS data'!$F$16:$ZZ$16,0)),"")</f>
        <v/>
      </c>
    </row>
    <row r="50" spans="2:20" x14ac:dyDescent="0.25">
      <c r="B50" s="31"/>
      <c r="C50" s="26" t="str">
        <f>IF('WINBUGS data'!F62&lt;&gt;"",'WINBUGS data'!F62,"")</f>
        <v/>
      </c>
      <c r="D50" s="31" t="str">
        <f>IFERROR(INDEX('WINBUGS data'!$F$17:$ZZ$65,MATCH(C50,'WINBUGS data'!$F$17:$F$65,0),MATCH("na[]",'WINBUGS data'!$F$16:$ZZ$16,0)),"")</f>
        <v/>
      </c>
      <c r="E50" s="31" t="str">
        <f t="shared" si="0"/>
        <v/>
      </c>
      <c r="F50" s="31" t="str">
        <f>IFERROR(INDEX('WINBUGS data'!$F$17:$ZZ$65,MATCH($C50,'WINBUGS data'!$F$17:$F$65,0),MATCH("t[,"&amp;F$4 &amp;"]",'WINBUGS data'!$F$16:$ZZ$16,0)),"")</f>
        <v/>
      </c>
      <c r="G50" s="31" t="str">
        <f>IFERROR(INDEX('WINBUGS data'!$F$17:$ZZ$65,MATCH($C50,'WINBUGS data'!$F$17:$F$65,0),MATCH("t[,"&amp;G$4 &amp;"]",'WINBUGS data'!$F$16:$ZZ$16,0)),"")</f>
        <v/>
      </c>
      <c r="H50" s="31" t="str">
        <f>IFERROR(INDEX('WINBUGS data'!$F$17:$ZZ$65,MATCH($C50,'WINBUGS data'!$F$17:$F$65,0),MATCH("t[,"&amp;H$4 &amp;"]",'WINBUGS data'!$F$16:$ZZ$16,0)),"")</f>
        <v/>
      </c>
      <c r="I50" s="31" t="str">
        <f>IFERROR(INDEX('WINBUGS data'!$F$17:$ZZ$65,MATCH($C50,'WINBUGS data'!$F$17:$F$65,0),MATCH("t[,"&amp;I$4 &amp;"]",'WINBUGS data'!$F$16:$ZZ$16,0)),"")</f>
        <v/>
      </c>
      <c r="J50" s="31" t="str">
        <f>IFERROR(INDEX('WINBUGS data'!$F$17:$ZZ$65,MATCH($C50,'WINBUGS data'!$F$17:$F$65,0),MATCH("t[,"&amp;J$4 &amp;"]",'WINBUGS data'!$F$16:$ZZ$16,0)),"")</f>
        <v/>
      </c>
      <c r="K50" s="31" t="str">
        <f>IFERROR(INDEX('WINBUGS data'!$F$17:$ZZ$65,MATCH($C50,'WINBUGS data'!$F$17:$F$65,0),MATCH("t[,"&amp;K$4 &amp;"]",'WINBUGS data'!$F$16:$ZZ$16,0)),"")</f>
        <v/>
      </c>
      <c r="L50" s="31" t="str">
        <f>IFERROR(INDEX('WINBUGS data'!$F$17:$ZZ$65,MATCH($C50,'WINBUGS data'!$F$17:$F$65,0),MATCH("t[,"&amp;L$4 &amp;"]",'WINBUGS data'!$F$16:$ZZ$16,0)),"")</f>
        <v/>
      </c>
      <c r="M50" s="31" t="str">
        <f>IFERROR(INDEX('WINBUGS data'!$F$17:$ZZ$65,MATCH($C50,'WINBUGS data'!$F$17:$F$65,0),MATCH("t[,"&amp;M$4 &amp;"]",'WINBUGS data'!$F$16:$ZZ$16,0)),"")</f>
        <v/>
      </c>
      <c r="N50" s="31" t="str">
        <f>IFERROR(INDEX('WINBUGS data'!$F$17:$ZZ$65,MATCH($C50,'WINBUGS data'!$F$17:$F$65,0),MATCH("t[,"&amp;N$4 &amp;"]",'WINBUGS data'!$F$16:$ZZ$16,0)),"")</f>
        <v/>
      </c>
      <c r="O50" s="31" t="str">
        <f>IFERROR(INDEX('WINBUGS data'!$F$17:$ZZ$65,MATCH($C50,'WINBUGS data'!$F$17:$F$65,0),MATCH("t[,"&amp;O$4 &amp;"]",'WINBUGS data'!$F$16:$ZZ$16,0)),"")</f>
        <v/>
      </c>
      <c r="P50" s="31" t="str">
        <f>IFERROR(INDEX('WINBUGS data'!$F$17:$ZZ$65,MATCH($C50,'WINBUGS data'!$F$17:$F$65,0),MATCH("t[,"&amp;P$4 &amp;"]",'WINBUGS data'!$F$16:$ZZ$16,0)),"")</f>
        <v/>
      </c>
      <c r="Q50" s="31" t="str">
        <f>IFERROR(INDEX('WINBUGS data'!$F$17:$ZZ$65,MATCH($C50,'WINBUGS data'!$F$17:$F$65,0),MATCH("t[,"&amp;Q$4 &amp;"]",'WINBUGS data'!$F$16:$ZZ$16,0)),"")</f>
        <v/>
      </c>
      <c r="R50" s="31" t="str">
        <f>IFERROR(INDEX('WINBUGS data'!$F$17:$ZZ$65,MATCH($C50,'WINBUGS data'!$F$17:$F$65,0),MATCH("t[,"&amp;R$4 &amp;"]",'WINBUGS data'!$F$16:$ZZ$16,0)),"")</f>
        <v/>
      </c>
      <c r="S50" s="31" t="str">
        <f>IFERROR(INDEX('WINBUGS data'!$F$17:$ZZ$65,MATCH($C50,'WINBUGS data'!$F$17:$F$65,0),MATCH("t[,"&amp;S$4 &amp;"]",'WINBUGS data'!$F$16:$ZZ$16,0)),"")</f>
        <v/>
      </c>
      <c r="T50" s="1" t="str">
        <f>IFERROR(INDEX('WINBUGS data'!$F$17:$ZZ$65,MATCH($C50,'WINBUGS data'!$F$17:$F$65,0),MATCH("t[,"&amp;T$4 &amp;"]",'WINBUGS data'!$F$16:$ZZ$16,0)),"")</f>
        <v/>
      </c>
    </row>
    <row r="51" spans="2:20" x14ac:dyDescent="0.25">
      <c r="B51" s="31"/>
      <c r="C51" s="26" t="str">
        <f>IF('WINBUGS data'!F63&lt;&gt;"",'WINBUGS data'!F63,"")</f>
        <v/>
      </c>
      <c r="D51" s="31" t="str">
        <f>IFERROR(INDEX('WINBUGS data'!$F$17:$ZZ$65,MATCH(C51,'WINBUGS data'!$F$17:$F$65,0),MATCH("na[]",'WINBUGS data'!$F$16:$ZZ$16,0)),"")</f>
        <v/>
      </c>
      <c r="E51" s="31" t="str">
        <f t="shared" si="0"/>
        <v/>
      </c>
      <c r="F51" s="31" t="str">
        <f>IFERROR(INDEX('WINBUGS data'!$F$17:$ZZ$65,MATCH($C51,'WINBUGS data'!$F$17:$F$65,0),MATCH("t[,"&amp;F$4 &amp;"]",'WINBUGS data'!$F$16:$ZZ$16,0)),"")</f>
        <v/>
      </c>
      <c r="G51" s="31" t="str">
        <f>IFERROR(INDEX('WINBUGS data'!$F$17:$ZZ$65,MATCH($C51,'WINBUGS data'!$F$17:$F$65,0),MATCH("t[,"&amp;G$4 &amp;"]",'WINBUGS data'!$F$16:$ZZ$16,0)),"")</f>
        <v/>
      </c>
      <c r="H51" s="31" t="str">
        <f>IFERROR(INDEX('WINBUGS data'!$F$17:$ZZ$65,MATCH($C51,'WINBUGS data'!$F$17:$F$65,0),MATCH("t[,"&amp;H$4 &amp;"]",'WINBUGS data'!$F$16:$ZZ$16,0)),"")</f>
        <v/>
      </c>
      <c r="I51" s="31" t="str">
        <f>IFERROR(INDEX('WINBUGS data'!$F$17:$ZZ$65,MATCH($C51,'WINBUGS data'!$F$17:$F$65,0),MATCH("t[,"&amp;I$4 &amp;"]",'WINBUGS data'!$F$16:$ZZ$16,0)),"")</f>
        <v/>
      </c>
      <c r="J51" s="31" t="str">
        <f>IFERROR(INDEX('WINBUGS data'!$F$17:$ZZ$65,MATCH($C51,'WINBUGS data'!$F$17:$F$65,0),MATCH("t[,"&amp;J$4 &amp;"]",'WINBUGS data'!$F$16:$ZZ$16,0)),"")</f>
        <v/>
      </c>
      <c r="K51" s="31" t="str">
        <f>IFERROR(INDEX('WINBUGS data'!$F$17:$ZZ$65,MATCH($C51,'WINBUGS data'!$F$17:$F$65,0),MATCH("t[,"&amp;K$4 &amp;"]",'WINBUGS data'!$F$16:$ZZ$16,0)),"")</f>
        <v/>
      </c>
      <c r="L51" s="31" t="str">
        <f>IFERROR(INDEX('WINBUGS data'!$F$17:$ZZ$65,MATCH($C51,'WINBUGS data'!$F$17:$F$65,0),MATCH("t[,"&amp;L$4 &amp;"]",'WINBUGS data'!$F$16:$ZZ$16,0)),"")</f>
        <v/>
      </c>
      <c r="M51" s="31" t="str">
        <f>IFERROR(INDEX('WINBUGS data'!$F$17:$ZZ$65,MATCH($C51,'WINBUGS data'!$F$17:$F$65,0),MATCH("t[,"&amp;M$4 &amp;"]",'WINBUGS data'!$F$16:$ZZ$16,0)),"")</f>
        <v/>
      </c>
      <c r="N51" s="31" t="str">
        <f>IFERROR(INDEX('WINBUGS data'!$F$17:$ZZ$65,MATCH($C51,'WINBUGS data'!$F$17:$F$65,0),MATCH("t[,"&amp;N$4 &amp;"]",'WINBUGS data'!$F$16:$ZZ$16,0)),"")</f>
        <v/>
      </c>
      <c r="O51" s="31" t="str">
        <f>IFERROR(INDEX('WINBUGS data'!$F$17:$ZZ$65,MATCH($C51,'WINBUGS data'!$F$17:$F$65,0),MATCH("t[,"&amp;O$4 &amp;"]",'WINBUGS data'!$F$16:$ZZ$16,0)),"")</f>
        <v/>
      </c>
      <c r="P51" s="31" t="str">
        <f>IFERROR(INDEX('WINBUGS data'!$F$17:$ZZ$65,MATCH($C51,'WINBUGS data'!$F$17:$F$65,0),MATCH("t[,"&amp;P$4 &amp;"]",'WINBUGS data'!$F$16:$ZZ$16,0)),"")</f>
        <v/>
      </c>
      <c r="Q51" s="31" t="str">
        <f>IFERROR(INDEX('WINBUGS data'!$F$17:$ZZ$65,MATCH($C51,'WINBUGS data'!$F$17:$F$65,0),MATCH("t[,"&amp;Q$4 &amp;"]",'WINBUGS data'!$F$16:$ZZ$16,0)),"")</f>
        <v/>
      </c>
      <c r="R51" s="31" t="str">
        <f>IFERROR(INDEX('WINBUGS data'!$F$17:$ZZ$65,MATCH($C51,'WINBUGS data'!$F$17:$F$65,0),MATCH("t[,"&amp;R$4 &amp;"]",'WINBUGS data'!$F$16:$ZZ$16,0)),"")</f>
        <v/>
      </c>
      <c r="S51" s="31" t="str">
        <f>IFERROR(INDEX('WINBUGS data'!$F$17:$ZZ$65,MATCH($C51,'WINBUGS data'!$F$17:$F$65,0),MATCH("t[,"&amp;S$4 &amp;"]",'WINBUGS data'!$F$16:$ZZ$16,0)),"")</f>
        <v/>
      </c>
      <c r="T51" s="1" t="str">
        <f>IFERROR(INDEX('WINBUGS data'!$F$17:$ZZ$65,MATCH($C51,'WINBUGS data'!$F$17:$F$65,0),MATCH("t[,"&amp;T$4 &amp;"]",'WINBUGS data'!$F$16:$ZZ$16,0)),"")</f>
        <v/>
      </c>
    </row>
    <row r="52" spans="2:20" x14ac:dyDescent="0.25">
      <c r="B52" s="31"/>
      <c r="C52" s="26" t="str">
        <f>IF('WINBUGS data'!F64&lt;&gt;"",'WINBUGS data'!F64,"")</f>
        <v/>
      </c>
      <c r="D52" s="31" t="str">
        <f>IFERROR(INDEX('WINBUGS data'!$F$17:$ZZ$65,MATCH(C52,'WINBUGS data'!$F$17:$F$65,0),MATCH("na[]",'WINBUGS data'!$F$16:$ZZ$16,0)),"")</f>
        <v/>
      </c>
      <c r="E52" s="31" t="str">
        <f t="shared" si="0"/>
        <v/>
      </c>
      <c r="F52" s="31" t="str">
        <f>IFERROR(INDEX('WINBUGS data'!$F$17:$ZZ$65,MATCH($C52,'WINBUGS data'!$F$17:$F$65,0),MATCH("t[,"&amp;F$4 &amp;"]",'WINBUGS data'!$F$16:$ZZ$16,0)),"")</f>
        <v/>
      </c>
      <c r="G52" s="31" t="str">
        <f>IFERROR(INDEX('WINBUGS data'!$F$17:$ZZ$65,MATCH($C52,'WINBUGS data'!$F$17:$F$65,0),MATCH("t[,"&amp;G$4 &amp;"]",'WINBUGS data'!$F$16:$ZZ$16,0)),"")</f>
        <v/>
      </c>
      <c r="H52" s="31" t="str">
        <f>IFERROR(INDEX('WINBUGS data'!$F$17:$ZZ$65,MATCH($C52,'WINBUGS data'!$F$17:$F$65,0),MATCH("t[,"&amp;H$4 &amp;"]",'WINBUGS data'!$F$16:$ZZ$16,0)),"")</f>
        <v/>
      </c>
      <c r="I52" s="31" t="str">
        <f>IFERROR(INDEX('WINBUGS data'!$F$17:$ZZ$65,MATCH($C52,'WINBUGS data'!$F$17:$F$65,0),MATCH("t[,"&amp;I$4 &amp;"]",'WINBUGS data'!$F$16:$ZZ$16,0)),"")</f>
        <v/>
      </c>
      <c r="J52" s="31" t="str">
        <f>IFERROR(INDEX('WINBUGS data'!$F$17:$ZZ$65,MATCH($C52,'WINBUGS data'!$F$17:$F$65,0),MATCH("t[,"&amp;J$4 &amp;"]",'WINBUGS data'!$F$16:$ZZ$16,0)),"")</f>
        <v/>
      </c>
      <c r="K52" s="31" t="str">
        <f>IFERROR(INDEX('WINBUGS data'!$F$17:$ZZ$65,MATCH($C52,'WINBUGS data'!$F$17:$F$65,0),MATCH("t[,"&amp;K$4 &amp;"]",'WINBUGS data'!$F$16:$ZZ$16,0)),"")</f>
        <v/>
      </c>
      <c r="L52" s="31" t="str">
        <f>IFERROR(INDEX('WINBUGS data'!$F$17:$ZZ$65,MATCH($C52,'WINBUGS data'!$F$17:$F$65,0),MATCH("t[,"&amp;L$4 &amp;"]",'WINBUGS data'!$F$16:$ZZ$16,0)),"")</f>
        <v/>
      </c>
      <c r="M52" s="31" t="str">
        <f>IFERROR(INDEX('WINBUGS data'!$F$17:$ZZ$65,MATCH($C52,'WINBUGS data'!$F$17:$F$65,0),MATCH("t[,"&amp;M$4 &amp;"]",'WINBUGS data'!$F$16:$ZZ$16,0)),"")</f>
        <v/>
      </c>
      <c r="N52" s="31" t="str">
        <f>IFERROR(INDEX('WINBUGS data'!$F$17:$ZZ$65,MATCH($C52,'WINBUGS data'!$F$17:$F$65,0),MATCH("t[,"&amp;N$4 &amp;"]",'WINBUGS data'!$F$16:$ZZ$16,0)),"")</f>
        <v/>
      </c>
      <c r="O52" s="31" t="str">
        <f>IFERROR(INDEX('WINBUGS data'!$F$17:$ZZ$65,MATCH($C52,'WINBUGS data'!$F$17:$F$65,0),MATCH("t[,"&amp;O$4 &amp;"]",'WINBUGS data'!$F$16:$ZZ$16,0)),"")</f>
        <v/>
      </c>
      <c r="P52" s="31" t="str">
        <f>IFERROR(INDEX('WINBUGS data'!$F$17:$ZZ$65,MATCH($C52,'WINBUGS data'!$F$17:$F$65,0),MATCH("t[,"&amp;P$4 &amp;"]",'WINBUGS data'!$F$16:$ZZ$16,0)),"")</f>
        <v/>
      </c>
      <c r="Q52" s="31" t="str">
        <f>IFERROR(INDEX('WINBUGS data'!$F$17:$ZZ$65,MATCH($C52,'WINBUGS data'!$F$17:$F$65,0),MATCH("t[,"&amp;Q$4 &amp;"]",'WINBUGS data'!$F$16:$ZZ$16,0)),"")</f>
        <v/>
      </c>
      <c r="R52" s="31" t="str">
        <f>IFERROR(INDEX('WINBUGS data'!$F$17:$ZZ$65,MATCH($C52,'WINBUGS data'!$F$17:$F$65,0),MATCH("t[,"&amp;R$4 &amp;"]",'WINBUGS data'!$F$16:$ZZ$16,0)),"")</f>
        <v/>
      </c>
      <c r="S52" s="31" t="str">
        <f>IFERROR(INDEX('WINBUGS data'!$F$17:$ZZ$65,MATCH($C52,'WINBUGS data'!$F$17:$F$65,0),MATCH("t[,"&amp;S$4 &amp;"]",'WINBUGS data'!$F$16:$ZZ$16,0)),"")</f>
        <v/>
      </c>
      <c r="T52" s="1" t="str">
        <f>IFERROR(INDEX('WINBUGS data'!$F$17:$ZZ$65,MATCH($C52,'WINBUGS data'!$F$17:$F$65,0),MATCH("t[,"&amp;T$4 &amp;"]",'WINBUGS data'!$F$16:$ZZ$16,0)),"")</f>
        <v/>
      </c>
    </row>
    <row r="53" spans="2:20" ht="15.75" thickBot="1" x14ac:dyDescent="0.3">
      <c r="B53" s="31"/>
      <c r="C53" s="27" t="str">
        <f>IF('WINBUGS data'!F65&lt;&gt;"",'WINBUGS data'!F65,"")</f>
        <v/>
      </c>
      <c r="D53" s="32" t="str">
        <f>IFERROR(INDEX('WINBUGS data'!$F$17:$ZZ$65,MATCH(C53,'WINBUGS data'!$F$17:$F$65,0),MATCH("na[]",'WINBUGS data'!$F$16:$ZZ$16,0)),"")</f>
        <v/>
      </c>
      <c r="E53" s="32" t="str">
        <f t="shared" si="0"/>
        <v/>
      </c>
      <c r="F53" s="32" t="str">
        <f>IFERROR(INDEX('WINBUGS data'!$F$17:$ZZ$65,MATCH($C53,'WINBUGS data'!$F$17:$F$65,0),MATCH("t[,"&amp;F$4 &amp;"]",'WINBUGS data'!$F$16:$ZZ$16,0)),"")</f>
        <v/>
      </c>
      <c r="G53" s="32" t="str">
        <f>IFERROR(INDEX('WINBUGS data'!$F$17:$ZZ$65,MATCH($C53,'WINBUGS data'!$F$17:$F$65,0),MATCH("t[,"&amp;G$4 &amp;"]",'WINBUGS data'!$F$16:$ZZ$16,0)),"")</f>
        <v/>
      </c>
      <c r="H53" s="32" t="str">
        <f>IFERROR(INDEX('WINBUGS data'!$F$17:$ZZ$65,MATCH($C53,'WINBUGS data'!$F$17:$F$65,0),MATCH("t[,"&amp;H$4 &amp;"]",'WINBUGS data'!$F$16:$ZZ$16,0)),"")</f>
        <v/>
      </c>
      <c r="I53" s="32" t="str">
        <f>IFERROR(INDEX('WINBUGS data'!$F$17:$ZZ$65,MATCH($C53,'WINBUGS data'!$F$17:$F$65,0),MATCH("t[,"&amp;I$4 &amp;"]",'WINBUGS data'!$F$16:$ZZ$16,0)),"")</f>
        <v/>
      </c>
      <c r="J53" s="32" t="str">
        <f>IFERROR(INDEX('WINBUGS data'!$F$17:$ZZ$65,MATCH($C53,'WINBUGS data'!$F$17:$F$65,0),MATCH("t[,"&amp;J$4 &amp;"]",'WINBUGS data'!$F$16:$ZZ$16,0)),"")</f>
        <v/>
      </c>
      <c r="K53" s="32" t="str">
        <f>IFERROR(INDEX('WINBUGS data'!$F$17:$ZZ$65,MATCH($C53,'WINBUGS data'!$F$17:$F$65,0),MATCH("t[,"&amp;K$4 &amp;"]",'WINBUGS data'!$F$16:$ZZ$16,0)),"")</f>
        <v/>
      </c>
      <c r="L53" s="32" t="str">
        <f>IFERROR(INDEX('WINBUGS data'!$F$17:$ZZ$65,MATCH($C53,'WINBUGS data'!$F$17:$F$65,0),MATCH("t[,"&amp;L$4 &amp;"]",'WINBUGS data'!$F$16:$ZZ$16,0)),"")</f>
        <v/>
      </c>
      <c r="M53" s="32" t="str">
        <f>IFERROR(INDEX('WINBUGS data'!$F$17:$ZZ$65,MATCH($C53,'WINBUGS data'!$F$17:$F$65,0),MATCH("t[,"&amp;M$4 &amp;"]",'WINBUGS data'!$F$16:$ZZ$16,0)),"")</f>
        <v/>
      </c>
      <c r="N53" s="32" t="str">
        <f>IFERROR(INDEX('WINBUGS data'!$F$17:$ZZ$65,MATCH($C53,'WINBUGS data'!$F$17:$F$65,0),MATCH("t[,"&amp;N$4 &amp;"]",'WINBUGS data'!$F$16:$ZZ$16,0)),"")</f>
        <v/>
      </c>
      <c r="O53" s="32" t="str">
        <f>IFERROR(INDEX('WINBUGS data'!$F$17:$ZZ$65,MATCH($C53,'WINBUGS data'!$F$17:$F$65,0),MATCH("t[,"&amp;O$4 &amp;"]",'WINBUGS data'!$F$16:$ZZ$16,0)),"")</f>
        <v/>
      </c>
      <c r="P53" s="32" t="str">
        <f>IFERROR(INDEX('WINBUGS data'!$F$17:$ZZ$65,MATCH($C53,'WINBUGS data'!$F$17:$F$65,0),MATCH("t[,"&amp;P$4 &amp;"]",'WINBUGS data'!$F$16:$ZZ$16,0)),"")</f>
        <v/>
      </c>
      <c r="Q53" s="32" t="str">
        <f>IFERROR(INDEX('WINBUGS data'!$F$17:$ZZ$65,MATCH($C53,'WINBUGS data'!$F$17:$F$65,0),MATCH("t[,"&amp;Q$4 &amp;"]",'WINBUGS data'!$F$16:$ZZ$16,0)),"")</f>
        <v/>
      </c>
      <c r="R53" s="32" t="str">
        <f>IFERROR(INDEX('WINBUGS data'!$F$17:$ZZ$65,MATCH($C53,'WINBUGS data'!$F$17:$F$65,0),MATCH("t[,"&amp;R$4 &amp;"]",'WINBUGS data'!$F$16:$ZZ$16,0)),"")</f>
        <v/>
      </c>
      <c r="S53" s="32" t="str">
        <f>IFERROR(INDEX('WINBUGS data'!$F$17:$ZZ$65,MATCH($C53,'WINBUGS data'!$F$17:$F$65,0),MATCH("t[,"&amp;S$4 &amp;"]",'WINBUGS data'!$F$16:$ZZ$16,0)),"")</f>
        <v/>
      </c>
      <c r="T53" s="2" t="str">
        <f>IFERROR(INDEX('WINBUGS data'!$F$17:$ZZ$65,MATCH($C53,'WINBUGS data'!$F$17:$F$65,0),MATCH("t[,"&amp;T$4 &amp;"]",'WINBUGS data'!$F$16:$ZZ$16,0)),"")</f>
        <v/>
      </c>
    </row>
    <row r="54" spans="2:20" x14ac:dyDescent="0.25">
      <c r="C54" s="19" t="str">
        <f>IF('WINBUGS data'!F62&lt;&gt;"",'WINBUGS data'!F62,"")</f>
        <v/>
      </c>
      <c r="D54" s="16" t="str">
        <f>IFERROR(INDEX('WINBUGS data'!$F$12:$AI$26,MATCH(C54,'WINBUGS data'!$F$12:$F$26,0),MATCH("na[]",'WINBUGS data'!$F$12:$AI$12,0)),"")</f>
        <v/>
      </c>
      <c r="E54" t="str">
        <f t="shared" ref="E54:E59" si="1">CONCATENATE(IF(ISNUMBER(F54),F54,""),IF(ISNUMBER(G54),","&amp;G54,""),IF(ISNUMBER(H54),","&amp;H54,""),IF(ISNUMBER(I54),","&amp;I54,""),IF(ISNUMBER(J54),","&amp;J54,""),IF(ISNUMBER(K54),","&amp;K54,""),IF(ISNUMBER(L54),","&amp;L54,""),IF(ISNUMBER(M54),","&amp;M54,""),IF(ISNUMBER(N54),","&amp;N54,""),IF(ISNUMBER(O54),","&amp;O54,""),IF(ISNUMBER(P54),","&amp;P54,""),IF(ISNUMBER(Q54),","&amp;Q54,""),IF(ISNUMBER(R54),","&amp;R54,""),IF(ISNUMBER(S54),","&amp;S54,""),IF(ISNUMBER(T54),","&amp;T54,""))</f>
        <v/>
      </c>
      <c r="F54" t="str">
        <f>IFERROR(INDEX('WINBUGS data'!$F$12:$AI$26,MATCH($C54,'WINBUGS data'!$F$12:$F$26,0),MATCH("t[,"&amp;F$4 &amp;"]",'WINBUGS data'!$F$12:$AI$12,0)),"")</f>
        <v/>
      </c>
      <c r="G54" t="str">
        <f>IFERROR(INDEX('WINBUGS data'!$F$12:$AI$26,MATCH($C54,'WINBUGS data'!$F$12:$F$26,0),MATCH("t[,"&amp;G$4 &amp;"]",'WINBUGS data'!$F$12:$AI$12,0)),"")</f>
        <v/>
      </c>
      <c r="H54" t="str">
        <f>IFERROR(INDEX('WINBUGS data'!$F$12:$AI$26,MATCH($C54,'WINBUGS data'!$F$12:$F$26,0),MATCH("t[,"&amp;H$4 &amp;"]",'WINBUGS data'!$F$12:$AI$12,0)),"")</f>
        <v/>
      </c>
      <c r="I54" t="str">
        <f>IFERROR(INDEX('WINBUGS data'!$F$12:$AI$26,MATCH($C54,'WINBUGS data'!$F$12:$F$26,0),MATCH("t[,"&amp;I$4 &amp;"]",'WINBUGS data'!$F$12:$AI$12,0)),"")</f>
        <v/>
      </c>
      <c r="J54" t="str">
        <f>IFERROR(INDEX('WINBUGS data'!$F$12:$AI$26,MATCH($C54,'WINBUGS data'!$F$12:$F$26,0),MATCH("t[,"&amp;J$4 &amp;"]",'WINBUGS data'!$F$12:$AI$12,0)),"")</f>
        <v/>
      </c>
      <c r="K54" t="str">
        <f>IFERROR(INDEX('WINBUGS data'!$F$12:$AI$26,MATCH($C54,'WINBUGS data'!$F$12:$F$26,0),MATCH("t[,"&amp;K$4 &amp;"]",'WINBUGS data'!$F$12:$AI$12,0)),"")</f>
        <v/>
      </c>
      <c r="L54" t="str">
        <f>IFERROR(INDEX('WINBUGS data'!$F$12:$AI$26,MATCH($C54,'WINBUGS data'!$F$12:$F$26,0),MATCH("t[,"&amp;L$4 &amp;"]",'WINBUGS data'!$F$12:$AI$12,0)),"")</f>
        <v/>
      </c>
      <c r="M54" t="str">
        <f>IFERROR(INDEX('WINBUGS data'!$F$12:$AI$26,MATCH($C54,'WINBUGS data'!$F$12:$F$26,0),MATCH("t[,"&amp;M$4 &amp;"]",'WINBUGS data'!$F$12:$AI$12,0)),"")</f>
        <v/>
      </c>
      <c r="N54" t="str">
        <f>IFERROR(INDEX('WINBUGS data'!$F$12:$AI$26,MATCH($C54,'WINBUGS data'!$F$12:$F$26,0),MATCH("t[,"&amp;N$4 &amp;"]",'WINBUGS data'!$F$12:$AI$12,0)),"")</f>
        <v/>
      </c>
      <c r="O54" t="str">
        <f>IFERROR(INDEX('WINBUGS data'!$F$12:$AI$26,MATCH($C54,'WINBUGS data'!$F$12:$F$26,0),MATCH("t[,"&amp;O$4 &amp;"]",'WINBUGS data'!$F$12:$AI$12,0)),"")</f>
        <v/>
      </c>
      <c r="P54" t="str">
        <f>IFERROR(INDEX('WINBUGS data'!$F$12:$AI$26,MATCH($C54,'WINBUGS data'!$F$12:$F$26,0),MATCH("t[,"&amp;P$4 &amp;"]",'WINBUGS data'!$F$12:$AI$12,0)),"")</f>
        <v/>
      </c>
      <c r="Q54" t="str">
        <f>IFERROR(INDEX('WINBUGS data'!$F$12:$AI$26,MATCH($C54,'WINBUGS data'!$F$12:$F$26,0),MATCH("t[,"&amp;Q$4 &amp;"]",'WINBUGS data'!$F$12:$AI$12,0)),"")</f>
        <v/>
      </c>
      <c r="R54" t="str">
        <f>IFERROR(INDEX('WINBUGS data'!$F$12:$AI$26,MATCH($C54,'WINBUGS data'!$F$12:$F$26,0),MATCH("t[,"&amp;R$4 &amp;"]",'WINBUGS data'!$F$12:$AI$12,0)),"")</f>
        <v/>
      </c>
      <c r="S54" t="str">
        <f>IFERROR(INDEX('WINBUGS data'!$F$12:$AI$26,MATCH($C54,'WINBUGS data'!$F$12:$F$26,0),MATCH("t[,"&amp;S$4 &amp;"]",'WINBUGS data'!$F$12:$AI$12,0)),"")</f>
        <v/>
      </c>
      <c r="T54" t="str">
        <f>IFERROR(INDEX('WINBUGS data'!$F$12:$AI$26,MATCH($C54,'WINBUGS data'!$F$12:$F$26,0),MATCH("t[,"&amp;T$4 &amp;"]",'WINBUGS data'!$F$12:$AI$12,0)),"")</f>
        <v/>
      </c>
    </row>
    <row r="55" spans="2:20" x14ac:dyDescent="0.25">
      <c r="C55" s="19" t="str">
        <f>IF('WINBUGS data'!F63&lt;&gt;"",'WINBUGS data'!F63,"")</f>
        <v/>
      </c>
      <c r="D55" s="16" t="str">
        <f>IFERROR(INDEX('WINBUGS data'!$F$12:$AI$26,MATCH(C55,'WINBUGS data'!$F$12:$F$26,0),MATCH("na[]",'WINBUGS data'!$F$12:$AI$12,0)),"")</f>
        <v/>
      </c>
      <c r="E55" t="str">
        <f t="shared" si="1"/>
        <v/>
      </c>
      <c r="F55" t="str">
        <f>IFERROR(INDEX('WINBUGS data'!$F$12:$AI$26,MATCH($C55,'WINBUGS data'!$F$12:$F$26,0),MATCH("t[,"&amp;F$4 &amp;"]",'WINBUGS data'!$F$12:$AI$12,0)),"")</f>
        <v/>
      </c>
      <c r="G55" t="str">
        <f>IFERROR(INDEX('WINBUGS data'!$F$12:$AI$26,MATCH($C55,'WINBUGS data'!$F$12:$F$26,0),MATCH("t[,"&amp;G$4 &amp;"]",'WINBUGS data'!$F$12:$AI$12,0)),"")</f>
        <v/>
      </c>
      <c r="H55" t="str">
        <f>IFERROR(INDEX('WINBUGS data'!$F$12:$AI$26,MATCH($C55,'WINBUGS data'!$F$12:$F$26,0),MATCH("t[,"&amp;H$4 &amp;"]",'WINBUGS data'!$F$12:$AI$12,0)),"")</f>
        <v/>
      </c>
      <c r="I55" t="str">
        <f>IFERROR(INDEX('WINBUGS data'!$F$12:$AI$26,MATCH($C55,'WINBUGS data'!$F$12:$F$26,0),MATCH("t[,"&amp;I$4 &amp;"]",'WINBUGS data'!$F$12:$AI$12,0)),"")</f>
        <v/>
      </c>
      <c r="J55" t="str">
        <f>IFERROR(INDEX('WINBUGS data'!$F$12:$AI$26,MATCH($C55,'WINBUGS data'!$F$12:$F$26,0),MATCH("t[,"&amp;J$4 &amp;"]",'WINBUGS data'!$F$12:$AI$12,0)),"")</f>
        <v/>
      </c>
      <c r="K55" t="str">
        <f>IFERROR(INDEX('WINBUGS data'!$F$12:$AI$26,MATCH($C55,'WINBUGS data'!$F$12:$F$26,0),MATCH("t[,"&amp;K$4 &amp;"]",'WINBUGS data'!$F$12:$AI$12,0)),"")</f>
        <v/>
      </c>
      <c r="L55" t="str">
        <f>IFERROR(INDEX('WINBUGS data'!$F$12:$AI$26,MATCH($C55,'WINBUGS data'!$F$12:$F$26,0),MATCH("t[,"&amp;L$4 &amp;"]",'WINBUGS data'!$F$12:$AI$12,0)),"")</f>
        <v/>
      </c>
      <c r="M55" t="str">
        <f>IFERROR(INDEX('WINBUGS data'!$F$12:$AI$26,MATCH($C55,'WINBUGS data'!$F$12:$F$26,0),MATCH("t[,"&amp;M$4 &amp;"]",'WINBUGS data'!$F$12:$AI$12,0)),"")</f>
        <v/>
      </c>
      <c r="N55" t="str">
        <f>IFERROR(INDEX('WINBUGS data'!$F$12:$AI$26,MATCH($C55,'WINBUGS data'!$F$12:$F$26,0),MATCH("t[,"&amp;N$4 &amp;"]",'WINBUGS data'!$F$12:$AI$12,0)),"")</f>
        <v/>
      </c>
      <c r="O55" t="str">
        <f>IFERROR(INDEX('WINBUGS data'!$F$12:$AI$26,MATCH($C55,'WINBUGS data'!$F$12:$F$26,0),MATCH("t[,"&amp;O$4 &amp;"]",'WINBUGS data'!$F$12:$AI$12,0)),"")</f>
        <v/>
      </c>
      <c r="P55" t="str">
        <f>IFERROR(INDEX('WINBUGS data'!$F$12:$AI$26,MATCH($C55,'WINBUGS data'!$F$12:$F$26,0),MATCH("t[,"&amp;P$4 &amp;"]",'WINBUGS data'!$F$12:$AI$12,0)),"")</f>
        <v/>
      </c>
      <c r="Q55" t="str">
        <f>IFERROR(INDEX('WINBUGS data'!$F$12:$AI$26,MATCH($C55,'WINBUGS data'!$F$12:$F$26,0),MATCH("t[,"&amp;Q$4 &amp;"]",'WINBUGS data'!$F$12:$AI$12,0)),"")</f>
        <v/>
      </c>
      <c r="R55" t="str">
        <f>IFERROR(INDEX('WINBUGS data'!$F$12:$AI$26,MATCH($C55,'WINBUGS data'!$F$12:$F$26,0),MATCH("t[,"&amp;R$4 &amp;"]",'WINBUGS data'!$F$12:$AI$12,0)),"")</f>
        <v/>
      </c>
      <c r="S55" t="str">
        <f>IFERROR(INDEX('WINBUGS data'!$F$12:$AI$26,MATCH($C55,'WINBUGS data'!$F$12:$F$26,0),MATCH("t[,"&amp;S$4 &amp;"]",'WINBUGS data'!$F$12:$AI$12,0)),"")</f>
        <v/>
      </c>
      <c r="T55" t="str">
        <f>IFERROR(INDEX('WINBUGS data'!$F$12:$AI$26,MATCH($C55,'WINBUGS data'!$F$12:$F$26,0),MATCH("t[,"&amp;T$4 &amp;"]",'WINBUGS data'!$F$12:$AI$12,0)),"")</f>
        <v/>
      </c>
    </row>
    <row r="56" spans="2:20" x14ac:dyDescent="0.25">
      <c r="C56" s="19" t="str">
        <f>IF('WINBUGS data'!F64&lt;&gt;"",'WINBUGS data'!F64,"")</f>
        <v/>
      </c>
      <c r="D56" s="16" t="str">
        <f>IFERROR(INDEX('WINBUGS data'!$F$12:$AI$26,MATCH(C56,'WINBUGS data'!$F$12:$F$26,0),MATCH("na[]",'WINBUGS data'!$F$12:$AI$12,0)),"")</f>
        <v/>
      </c>
      <c r="E56" t="str">
        <f t="shared" si="1"/>
        <v/>
      </c>
      <c r="F56" t="str">
        <f>IFERROR(INDEX('WINBUGS data'!$F$12:$AI$26,MATCH($C56,'WINBUGS data'!$F$12:$F$26,0),MATCH("t[,"&amp;F$4 &amp;"]",'WINBUGS data'!$F$12:$AI$12,0)),"")</f>
        <v/>
      </c>
      <c r="G56" t="str">
        <f>IFERROR(INDEX('WINBUGS data'!$F$12:$AI$26,MATCH($C56,'WINBUGS data'!$F$12:$F$26,0),MATCH("t[,"&amp;G$4 &amp;"]",'WINBUGS data'!$F$12:$AI$12,0)),"")</f>
        <v/>
      </c>
      <c r="H56" t="str">
        <f>IFERROR(INDEX('WINBUGS data'!$F$12:$AI$26,MATCH($C56,'WINBUGS data'!$F$12:$F$26,0),MATCH("t[,"&amp;H$4 &amp;"]",'WINBUGS data'!$F$12:$AI$12,0)),"")</f>
        <v/>
      </c>
      <c r="I56" t="str">
        <f>IFERROR(INDEX('WINBUGS data'!$F$12:$AI$26,MATCH($C56,'WINBUGS data'!$F$12:$F$26,0),MATCH("t[,"&amp;I$4 &amp;"]",'WINBUGS data'!$F$12:$AI$12,0)),"")</f>
        <v/>
      </c>
      <c r="J56" t="str">
        <f>IFERROR(INDEX('WINBUGS data'!$F$12:$AI$26,MATCH($C56,'WINBUGS data'!$F$12:$F$26,0),MATCH("t[,"&amp;J$4 &amp;"]",'WINBUGS data'!$F$12:$AI$12,0)),"")</f>
        <v/>
      </c>
      <c r="K56" t="str">
        <f>IFERROR(INDEX('WINBUGS data'!$F$12:$AI$26,MATCH($C56,'WINBUGS data'!$F$12:$F$26,0),MATCH("t[,"&amp;K$4 &amp;"]",'WINBUGS data'!$F$12:$AI$12,0)),"")</f>
        <v/>
      </c>
      <c r="L56" t="str">
        <f>IFERROR(INDEX('WINBUGS data'!$F$12:$AI$26,MATCH($C56,'WINBUGS data'!$F$12:$F$26,0),MATCH("t[,"&amp;L$4 &amp;"]",'WINBUGS data'!$F$12:$AI$12,0)),"")</f>
        <v/>
      </c>
      <c r="M56" t="str">
        <f>IFERROR(INDEX('WINBUGS data'!$F$12:$AI$26,MATCH($C56,'WINBUGS data'!$F$12:$F$26,0),MATCH("t[,"&amp;M$4 &amp;"]",'WINBUGS data'!$F$12:$AI$12,0)),"")</f>
        <v/>
      </c>
      <c r="N56" t="str">
        <f>IFERROR(INDEX('WINBUGS data'!$F$12:$AI$26,MATCH($C56,'WINBUGS data'!$F$12:$F$26,0),MATCH("t[,"&amp;N$4 &amp;"]",'WINBUGS data'!$F$12:$AI$12,0)),"")</f>
        <v/>
      </c>
      <c r="O56" t="str">
        <f>IFERROR(INDEX('WINBUGS data'!$F$12:$AI$26,MATCH($C56,'WINBUGS data'!$F$12:$F$26,0),MATCH("t[,"&amp;O$4 &amp;"]",'WINBUGS data'!$F$12:$AI$12,0)),"")</f>
        <v/>
      </c>
      <c r="P56" t="str">
        <f>IFERROR(INDEX('WINBUGS data'!$F$12:$AI$26,MATCH($C56,'WINBUGS data'!$F$12:$F$26,0),MATCH("t[,"&amp;P$4 &amp;"]",'WINBUGS data'!$F$12:$AI$12,0)),"")</f>
        <v/>
      </c>
      <c r="Q56" t="str">
        <f>IFERROR(INDEX('WINBUGS data'!$F$12:$AI$26,MATCH($C56,'WINBUGS data'!$F$12:$F$26,0),MATCH("t[,"&amp;Q$4 &amp;"]",'WINBUGS data'!$F$12:$AI$12,0)),"")</f>
        <v/>
      </c>
      <c r="R56" t="str">
        <f>IFERROR(INDEX('WINBUGS data'!$F$12:$AI$26,MATCH($C56,'WINBUGS data'!$F$12:$F$26,0),MATCH("t[,"&amp;R$4 &amp;"]",'WINBUGS data'!$F$12:$AI$12,0)),"")</f>
        <v/>
      </c>
      <c r="S56" t="str">
        <f>IFERROR(INDEX('WINBUGS data'!$F$12:$AI$26,MATCH($C56,'WINBUGS data'!$F$12:$F$26,0),MATCH("t[,"&amp;S$4 &amp;"]",'WINBUGS data'!$F$12:$AI$12,0)),"")</f>
        <v/>
      </c>
      <c r="T56" t="str">
        <f>IFERROR(INDEX('WINBUGS data'!$F$12:$AI$26,MATCH($C56,'WINBUGS data'!$F$12:$F$26,0),MATCH("t[,"&amp;T$4 &amp;"]",'WINBUGS data'!$F$12:$AI$12,0)),"")</f>
        <v/>
      </c>
    </row>
    <row r="57" spans="2:20" x14ac:dyDescent="0.25">
      <c r="C57" s="19" t="str">
        <f>IF('WINBUGS data'!F65&lt;&gt;"",'WINBUGS data'!F65,"")</f>
        <v/>
      </c>
      <c r="D57" t="str">
        <f>IFERROR(INDEX('WINBUGS data'!$F$12:$AI$26,MATCH(C57,'WINBUGS data'!$F$12:$F$26,0),MATCH("na[]",'WINBUGS data'!$F$12:$AI$12,0)),"")</f>
        <v/>
      </c>
      <c r="E57" t="str">
        <f t="shared" si="1"/>
        <v/>
      </c>
      <c r="F57" t="str">
        <f>IFERROR(INDEX('WINBUGS data'!$F$12:$AI$26,MATCH($C57,'WINBUGS data'!$F$12:$F$26,0),MATCH("t[,"&amp;F$4 &amp;"]",'WINBUGS data'!$F$12:$AI$12,0)),"")</f>
        <v/>
      </c>
      <c r="G57" t="str">
        <f>IFERROR(INDEX('WINBUGS data'!$F$12:$AI$26,MATCH($C57,'WINBUGS data'!$F$12:$F$26,0),MATCH("t[,"&amp;G$4 &amp;"]",'WINBUGS data'!$F$12:$AI$12,0)),"")</f>
        <v/>
      </c>
      <c r="H57" t="str">
        <f>IFERROR(INDEX('WINBUGS data'!$F$12:$AI$26,MATCH($C57,'WINBUGS data'!$F$12:$F$26,0),MATCH("t[,"&amp;H$4 &amp;"]",'WINBUGS data'!$F$12:$AI$12,0)),"")</f>
        <v/>
      </c>
      <c r="I57" t="str">
        <f>IFERROR(INDEX('WINBUGS data'!$F$12:$AI$26,MATCH($C57,'WINBUGS data'!$F$12:$F$26,0),MATCH("t[,"&amp;I$4 &amp;"]",'WINBUGS data'!$F$12:$AI$12,0)),"")</f>
        <v/>
      </c>
      <c r="J57" t="str">
        <f>IFERROR(INDEX('WINBUGS data'!$F$12:$AI$26,MATCH($C57,'WINBUGS data'!$F$12:$F$26,0),MATCH("t[,"&amp;J$4 &amp;"]",'WINBUGS data'!$F$12:$AI$12,0)),"")</f>
        <v/>
      </c>
      <c r="K57" t="str">
        <f>IFERROR(INDEX('WINBUGS data'!$F$12:$AI$26,MATCH($C57,'WINBUGS data'!$F$12:$F$26,0),MATCH("t[,"&amp;K$4 &amp;"]",'WINBUGS data'!$F$12:$AI$12,0)),"")</f>
        <v/>
      </c>
      <c r="L57" t="str">
        <f>IFERROR(INDEX('WINBUGS data'!$F$12:$AI$26,MATCH($C57,'WINBUGS data'!$F$12:$F$26,0),MATCH("t[,"&amp;L$4 &amp;"]",'WINBUGS data'!$F$12:$AI$12,0)),"")</f>
        <v/>
      </c>
      <c r="M57" t="str">
        <f>IFERROR(INDEX('WINBUGS data'!$F$12:$AI$26,MATCH($C57,'WINBUGS data'!$F$12:$F$26,0),MATCH("t[,"&amp;M$4 &amp;"]",'WINBUGS data'!$F$12:$AI$12,0)),"")</f>
        <v/>
      </c>
      <c r="N57" t="str">
        <f>IFERROR(INDEX('WINBUGS data'!$F$12:$AI$26,MATCH($C57,'WINBUGS data'!$F$12:$F$26,0),MATCH("t[,"&amp;N$4 &amp;"]",'WINBUGS data'!$F$12:$AI$12,0)),"")</f>
        <v/>
      </c>
      <c r="O57" t="str">
        <f>IFERROR(INDEX('WINBUGS data'!$F$12:$AI$26,MATCH($C57,'WINBUGS data'!$F$12:$F$26,0),MATCH("t[,"&amp;O$4 &amp;"]",'WINBUGS data'!$F$12:$AI$12,0)),"")</f>
        <v/>
      </c>
      <c r="P57" t="str">
        <f>IFERROR(INDEX('WINBUGS data'!$F$12:$AI$26,MATCH($C57,'WINBUGS data'!$F$12:$F$26,0),MATCH("t[,"&amp;P$4 &amp;"]",'WINBUGS data'!$F$12:$AI$12,0)),"")</f>
        <v/>
      </c>
      <c r="Q57" t="str">
        <f>IFERROR(INDEX('WINBUGS data'!$F$12:$AI$26,MATCH($C57,'WINBUGS data'!$F$12:$F$26,0),MATCH("t[,"&amp;Q$4 &amp;"]",'WINBUGS data'!$F$12:$AI$12,0)),"")</f>
        <v/>
      </c>
      <c r="R57" t="str">
        <f>IFERROR(INDEX('WINBUGS data'!$F$12:$AI$26,MATCH($C57,'WINBUGS data'!$F$12:$F$26,0),MATCH("t[,"&amp;R$4 &amp;"]",'WINBUGS data'!$F$12:$AI$12,0)),"")</f>
        <v/>
      </c>
      <c r="S57" t="str">
        <f>IFERROR(INDEX('WINBUGS data'!$F$12:$AI$26,MATCH($C57,'WINBUGS data'!$F$12:$F$26,0),MATCH("t[,"&amp;S$4 &amp;"]",'WINBUGS data'!$F$12:$AI$12,0)),"")</f>
        <v/>
      </c>
      <c r="T57" t="str">
        <f>IFERROR(INDEX('WINBUGS data'!$F$12:$AI$26,MATCH($C57,'WINBUGS data'!$F$12:$F$26,0),MATCH("t[,"&amp;T$4 &amp;"]",'WINBUGS data'!$F$12:$AI$12,0)),"")</f>
        <v/>
      </c>
    </row>
    <row r="58" spans="2:20" x14ac:dyDescent="0.25">
      <c r="C58" s="19" t="str">
        <f>IF('WINBUGS data'!F66&lt;&gt;"",'WINBUGS data'!F66,"")</f>
        <v/>
      </c>
      <c r="D58" t="str">
        <f>IFERROR(INDEX('WINBUGS data'!$F$12:$AI$26,MATCH(C58,'WINBUGS data'!$F$12:$F$26,0),MATCH("na[]",'WINBUGS data'!$F$12:$AI$12,0)),"")</f>
        <v/>
      </c>
      <c r="E58" t="str">
        <f t="shared" si="1"/>
        <v/>
      </c>
      <c r="F58" t="str">
        <f>IFERROR(INDEX('WINBUGS data'!$F$12:$AI$26,MATCH($C58,'WINBUGS data'!$F$12:$F$26,0),MATCH("t[,"&amp;F$4 &amp;"]",'WINBUGS data'!$F$12:$AI$12,0)),"")</f>
        <v/>
      </c>
      <c r="G58" t="str">
        <f>IFERROR(INDEX('WINBUGS data'!$F$12:$AI$26,MATCH($C58,'WINBUGS data'!$F$12:$F$26,0),MATCH("t[,"&amp;G$4 &amp;"]",'WINBUGS data'!$F$12:$AI$12,0)),"")</f>
        <v/>
      </c>
      <c r="H58" t="str">
        <f>IFERROR(INDEX('WINBUGS data'!$F$12:$AI$26,MATCH($C58,'WINBUGS data'!$F$12:$F$26,0),MATCH("t[,"&amp;H$4 &amp;"]",'WINBUGS data'!$F$12:$AI$12,0)),"")</f>
        <v/>
      </c>
      <c r="I58" t="str">
        <f>IFERROR(INDEX('WINBUGS data'!$F$12:$AI$26,MATCH($C58,'WINBUGS data'!$F$12:$F$26,0),MATCH("t[,"&amp;I$4 &amp;"]",'WINBUGS data'!$F$12:$AI$12,0)),"")</f>
        <v/>
      </c>
      <c r="J58" t="str">
        <f>IFERROR(INDEX('WINBUGS data'!$F$12:$AI$26,MATCH($C58,'WINBUGS data'!$F$12:$F$26,0),MATCH("t[,"&amp;J$4 &amp;"]",'WINBUGS data'!$F$12:$AI$12,0)),"")</f>
        <v/>
      </c>
      <c r="K58" t="str">
        <f>IFERROR(INDEX('WINBUGS data'!$F$12:$AI$26,MATCH($C58,'WINBUGS data'!$F$12:$F$26,0),MATCH("t[,"&amp;K$4 &amp;"]",'WINBUGS data'!$F$12:$AI$12,0)),"")</f>
        <v/>
      </c>
      <c r="L58" t="str">
        <f>IFERROR(INDEX('WINBUGS data'!$F$12:$AI$26,MATCH($C58,'WINBUGS data'!$F$12:$F$26,0),MATCH("t[,"&amp;L$4 &amp;"]",'WINBUGS data'!$F$12:$AI$12,0)),"")</f>
        <v/>
      </c>
      <c r="M58" t="str">
        <f>IFERROR(INDEX('WINBUGS data'!$F$12:$AI$26,MATCH($C58,'WINBUGS data'!$F$12:$F$26,0),MATCH("t[,"&amp;M$4 &amp;"]",'WINBUGS data'!$F$12:$AI$12,0)),"")</f>
        <v/>
      </c>
      <c r="N58" t="str">
        <f>IFERROR(INDEX('WINBUGS data'!$F$12:$AI$26,MATCH($C58,'WINBUGS data'!$F$12:$F$26,0),MATCH("t[,"&amp;N$4 &amp;"]",'WINBUGS data'!$F$12:$AI$12,0)),"")</f>
        <v/>
      </c>
      <c r="O58" t="str">
        <f>IFERROR(INDEX('WINBUGS data'!$F$12:$AI$26,MATCH($C58,'WINBUGS data'!$F$12:$F$26,0),MATCH("t[,"&amp;O$4 &amp;"]",'WINBUGS data'!$F$12:$AI$12,0)),"")</f>
        <v/>
      </c>
      <c r="P58" t="str">
        <f>IFERROR(INDEX('WINBUGS data'!$F$12:$AI$26,MATCH($C58,'WINBUGS data'!$F$12:$F$26,0),MATCH("t[,"&amp;P$4 &amp;"]",'WINBUGS data'!$F$12:$AI$12,0)),"")</f>
        <v/>
      </c>
      <c r="Q58" t="str">
        <f>IFERROR(INDEX('WINBUGS data'!$F$12:$AI$26,MATCH($C58,'WINBUGS data'!$F$12:$F$26,0),MATCH("t[,"&amp;Q$4 &amp;"]",'WINBUGS data'!$F$12:$AI$12,0)),"")</f>
        <v/>
      </c>
      <c r="R58" t="str">
        <f>IFERROR(INDEX('WINBUGS data'!$F$12:$AI$26,MATCH($C58,'WINBUGS data'!$F$12:$F$26,0),MATCH("t[,"&amp;R$4 &amp;"]",'WINBUGS data'!$F$12:$AI$12,0)),"")</f>
        <v/>
      </c>
      <c r="S58" t="str">
        <f>IFERROR(INDEX('WINBUGS data'!$F$12:$AI$26,MATCH($C58,'WINBUGS data'!$F$12:$F$26,0),MATCH("t[,"&amp;S$4 &amp;"]",'WINBUGS data'!$F$12:$AI$12,0)),"")</f>
        <v/>
      </c>
      <c r="T58" t="str">
        <f>IFERROR(INDEX('WINBUGS data'!$F$12:$AI$26,MATCH($C58,'WINBUGS data'!$F$12:$F$26,0),MATCH("t[,"&amp;T$4 &amp;"]",'WINBUGS data'!$F$12:$AI$12,0)),"")</f>
        <v/>
      </c>
    </row>
    <row r="59" spans="2:20" x14ac:dyDescent="0.25">
      <c r="C59" s="19" t="str">
        <f>IF('WINBUGS data'!F67&lt;&gt;"",'WINBUGS data'!F67,"")</f>
        <v/>
      </c>
      <c r="D59" t="str">
        <f>IFERROR(INDEX('WINBUGS data'!$F$12:$AI$26,MATCH(C59,'WINBUGS data'!$F$12:$F$26,0),MATCH("na[]",'WINBUGS data'!$F$12:$AI$12,0)),"")</f>
        <v/>
      </c>
      <c r="E59" t="str">
        <f t="shared" si="1"/>
        <v/>
      </c>
      <c r="F59" t="str">
        <f>IFERROR(INDEX('WINBUGS data'!$F$12:$AI$26,MATCH($C59,'WINBUGS data'!$F$12:$F$26,0),MATCH("t[,"&amp;F$4 &amp;"]",'WINBUGS data'!$F$12:$AI$12,0)),"")</f>
        <v/>
      </c>
      <c r="G59" t="str">
        <f>IFERROR(INDEX('WINBUGS data'!$F$12:$AI$26,MATCH($C59,'WINBUGS data'!$F$12:$F$26,0),MATCH("t[,"&amp;G$4 &amp;"]",'WINBUGS data'!$F$12:$AI$12,0)),"")</f>
        <v/>
      </c>
      <c r="H59" t="str">
        <f>IFERROR(INDEX('WINBUGS data'!$F$12:$AI$26,MATCH($C59,'WINBUGS data'!$F$12:$F$26,0),MATCH("t[,"&amp;H$4 &amp;"]",'WINBUGS data'!$F$12:$AI$12,0)),"")</f>
        <v/>
      </c>
      <c r="I59" t="str">
        <f>IFERROR(INDEX('WINBUGS data'!$F$12:$AI$26,MATCH($C59,'WINBUGS data'!$F$12:$F$26,0),MATCH("t[,"&amp;I$4 &amp;"]",'WINBUGS data'!$F$12:$AI$12,0)),"")</f>
        <v/>
      </c>
      <c r="J59" t="str">
        <f>IFERROR(INDEX('WINBUGS data'!$F$12:$AI$26,MATCH($C59,'WINBUGS data'!$F$12:$F$26,0),MATCH("t[,"&amp;J$4 &amp;"]",'WINBUGS data'!$F$12:$AI$12,0)),"")</f>
        <v/>
      </c>
      <c r="K59" t="str">
        <f>IFERROR(INDEX('WINBUGS data'!$F$12:$AI$26,MATCH($C59,'WINBUGS data'!$F$12:$F$26,0),MATCH("t[,"&amp;K$4 &amp;"]",'WINBUGS data'!$F$12:$AI$12,0)),"")</f>
        <v/>
      </c>
      <c r="L59" t="str">
        <f>IFERROR(INDEX('WINBUGS data'!$F$12:$AI$26,MATCH($C59,'WINBUGS data'!$F$12:$F$26,0),MATCH("t[,"&amp;L$4 &amp;"]",'WINBUGS data'!$F$12:$AI$12,0)),"")</f>
        <v/>
      </c>
      <c r="M59" t="str">
        <f>IFERROR(INDEX('WINBUGS data'!$F$12:$AI$26,MATCH($C59,'WINBUGS data'!$F$12:$F$26,0),MATCH("t[,"&amp;M$4 &amp;"]",'WINBUGS data'!$F$12:$AI$12,0)),"")</f>
        <v/>
      </c>
      <c r="N59" t="str">
        <f>IFERROR(INDEX('WINBUGS data'!$F$12:$AI$26,MATCH($C59,'WINBUGS data'!$F$12:$F$26,0),MATCH("t[,"&amp;N$4 &amp;"]",'WINBUGS data'!$F$12:$AI$12,0)),"")</f>
        <v/>
      </c>
      <c r="O59" t="str">
        <f>IFERROR(INDEX('WINBUGS data'!$F$12:$AI$26,MATCH($C59,'WINBUGS data'!$F$12:$F$26,0),MATCH("t[,"&amp;O$4 &amp;"]",'WINBUGS data'!$F$12:$AI$12,0)),"")</f>
        <v/>
      </c>
      <c r="P59" t="str">
        <f>IFERROR(INDEX('WINBUGS data'!$F$12:$AI$26,MATCH($C59,'WINBUGS data'!$F$12:$F$26,0),MATCH("t[,"&amp;P$4 &amp;"]",'WINBUGS data'!$F$12:$AI$12,0)),"")</f>
        <v/>
      </c>
      <c r="Q59" t="str">
        <f>IFERROR(INDEX('WINBUGS data'!$F$12:$AI$26,MATCH($C59,'WINBUGS data'!$F$12:$F$26,0),MATCH("t[,"&amp;Q$4 &amp;"]",'WINBUGS data'!$F$12:$AI$12,0)),"")</f>
        <v/>
      </c>
      <c r="R59" t="str">
        <f>IFERROR(INDEX('WINBUGS data'!$F$12:$AI$26,MATCH($C59,'WINBUGS data'!$F$12:$F$26,0),MATCH("t[,"&amp;R$4 &amp;"]",'WINBUGS data'!$F$12:$AI$12,0)),"")</f>
        <v/>
      </c>
      <c r="S59" t="str">
        <f>IFERROR(INDEX('WINBUGS data'!$F$12:$AI$26,MATCH($C59,'WINBUGS data'!$F$12:$F$26,0),MATCH("t[,"&amp;S$4 &amp;"]",'WINBUGS data'!$F$12:$AI$12,0)),"")</f>
        <v/>
      </c>
      <c r="T59" t="str">
        <f>IFERROR(INDEX('WINBUGS data'!$F$12:$AI$26,MATCH($C59,'WINBUGS data'!$F$12:$F$26,0),MATCH("t[,"&amp;T$4 &amp;"]",'WINBUGS data'!$F$12:$AI$12,0)),"")</f>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3"/>
  </sheetPr>
  <dimension ref="B1:AF62"/>
  <sheetViews>
    <sheetView showGridLines="0" zoomScale="120" zoomScaleNormal="120" workbookViewId="0">
      <selection activeCell="H9" sqref="H9"/>
    </sheetView>
  </sheetViews>
  <sheetFormatPr defaultRowHeight="15" x14ac:dyDescent="0.25"/>
  <cols>
    <col min="1" max="1" width="6.28515625" customWidth="1"/>
    <col min="2" max="2" width="21.85546875" customWidth="1"/>
    <col min="3" max="3" width="12.5703125" bestFit="1" customWidth="1"/>
    <col min="4" max="4" width="8.85546875" customWidth="1"/>
    <col min="5" max="5" width="8.85546875" hidden="1" customWidth="1"/>
    <col min="6" max="6" width="11.140625" customWidth="1"/>
    <col min="7" max="7" width="20" customWidth="1"/>
    <col min="8" max="11" width="9.140625" bestFit="1" customWidth="1"/>
    <col min="12" max="12" width="8.7109375" bestFit="1" customWidth="1"/>
    <col min="13" max="13" width="9.140625" bestFit="1" customWidth="1"/>
    <col min="14" max="14" width="4.7109375" bestFit="1" customWidth="1"/>
    <col min="15" max="15" width="5.140625" bestFit="1" customWidth="1"/>
    <col min="16" max="16" width="4.7109375" bestFit="1" customWidth="1"/>
    <col min="17" max="17" width="5.140625" bestFit="1" customWidth="1"/>
  </cols>
  <sheetData>
    <row r="1" spans="2:32" ht="87" customHeight="1" thickBot="1" x14ac:dyDescent="0.3">
      <c r="J1" s="22" t="s">
        <v>121</v>
      </c>
    </row>
    <row r="2" spans="2:32" ht="19.5" thickBot="1" x14ac:dyDescent="0.35">
      <c r="B2" s="257" t="s">
        <v>13</v>
      </c>
      <c r="C2" s="258"/>
      <c r="H2" s="9" t="s">
        <v>264</v>
      </c>
      <c r="I2" s="10"/>
      <c r="J2" s="10"/>
      <c r="K2" s="10"/>
      <c r="L2" s="10"/>
      <c r="M2" s="10"/>
      <c r="N2" s="10"/>
      <c r="O2" s="10"/>
      <c r="P2" s="10"/>
      <c r="Q2" s="10"/>
      <c r="R2" s="10"/>
      <c r="S2" s="10"/>
      <c r="T2" s="10"/>
    </row>
    <row r="3" spans="2:32" ht="15.75" thickBot="1" x14ac:dyDescent="0.3">
      <c r="B3" s="4" t="s">
        <v>8</v>
      </c>
      <c r="C3" s="3" t="s">
        <v>7</v>
      </c>
      <c r="H3" t="s">
        <v>718</v>
      </c>
    </row>
    <row r="4" spans="2:32" x14ac:dyDescent="0.25">
      <c r="B4" s="5" t="str">
        <f>IF('DATA Input'!E5="","",'DATA Input'!E5)</f>
        <v>INDOIV</v>
      </c>
      <c r="C4" s="1">
        <f>IF(B4="","",1)</f>
        <v>1</v>
      </c>
      <c r="H4" t="s">
        <v>719</v>
      </c>
    </row>
    <row r="5" spans="2:32" x14ac:dyDescent="0.25">
      <c r="B5" s="5" t="str">
        <f>IF('DATA Input'!G5="","",'DATA Input'!G5)</f>
        <v>IBUIV</v>
      </c>
      <c r="C5" s="1">
        <f>IF(B5="","",C4+1)</f>
        <v>2</v>
      </c>
      <c r="H5" t="s">
        <v>720</v>
      </c>
    </row>
    <row r="6" spans="2:32" ht="15.75" x14ac:dyDescent="0.25">
      <c r="B6" s="5" t="str">
        <f>IF('DATA Input'!I5="","",'DATA Input'!I5)</f>
        <v>IBUPO</v>
      </c>
      <c r="C6" s="1">
        <f t="shared" ref="C6:C18" si="0">IF(B6="","",C5+1)</f>
        <v>3</v>
      </c>
      <c r="H6" s="9" t="s">
        <v>265</v>
      </c>
      <c r="I6" s="10"/>
      <c r="J6" s="10"/>
      <c r="K6" s="10"/>
      <c r="L6" s="10"/>
      <c r="M6" s="10"/>
      <c r="N6" s="10"/>
      <c r="O6" s="10"/>
      <c r="P6" s="10"/>
      <c r="Q6" s="10"/>
      <c r="R6" s="10"/>
      <c r="S6" s="10"/>
      <c r="T6" s="10"/>
    </row>
    <row r="7" spans="2:32" x14ac:dyDescent="0.25">
      <c r="B7" s="5" t="str">
        <f>IF('DATA Input'!K$5="","",'DATA Input'!K$5)</f>
        <v>PARAPO</v>
      </c>
      <c r="C7" s="1">
        <f t="shared" si="0"/>
        <v>4</v>
      </c>
      <c r="H7" t="s">
        <v>721</v>
      </c>
    </row>
    <row r="8" spans="2:32" x14ac:dyDescent="0.25">
      <c r="B8" s="5" t="str">
        <f>IF('DATA Input'!M$5="","",'DATA Input'!M$5)</f>
        <v>IBUIVHIGHDOSE</v>
      </c>
      <c r="C8" s="1">
        <f t="shared" si="0"/>
        <v>5</v>
      </c>
      <c r="H8" t="s">
        <v>722</v>
      </c>
    </row>
    <row r="9" spans="2:32" x14ac:dyDescent="0.25">
      <c r="B9" s="5" t="str">
        <f>IF('DATA Input'!O$5="","",'DATA Input'!O$5)</f>
        <v>IBUIVCONT</v>
      </c>
      <c r="C9" s="1">
        <f t="shared" si="0"/>
        <v>6</v>
      </c>
      <c r="H9" t="s">
        <v>723</v>
      </c>
    </row>
    <row r="10" spans="2:32" ht="15.75" x14ac:dyDescent="0.25">
      <c r="B10" s="5" t="str">
        <f>IF('DATA Input'!Q$5="","",'DATA Input'!Q$5)</f>
        <v>INDOTHERS</v>
      </c>
      <c r="C10" s="1">
        <f t="shared" si="0"/>
        <v>7</v>
      </c>
      <c r="H10" s="9" t="s">
        <v>266</v>
      </c>
      <c r="I10" s="10"/>
      <c r="J10" s="10"/>
      <c r="K10" s="10"/>
      <c r="L10" s="10"/>
      <c r="M10" s="10"/>
      <c r="N10" s="10"/>
      <c r="O10" s="10"/>
      <c r="P10" s="10"/>
      <c r="Q10" s="10"/>
      <c r="R10" s="10"/>
      <c r="S10" s="10"/>
      <c r="T10" s="10"/>
    </row>
    <row r="11" spans="2:32" x14ac:dyDescent="0.25">
      <c r="B11" s="5" t="str">
        <f>IF('DATA Input'!S$5="","",'DATA Input'!S$5)</f>
        <v>PLAC_NORX</v>
      </c>
      <c r="C11" s="1">
        <f t="shared" si="0"/>
        <v>8</v>
      </c>
      <c r="H11" t="s">
        <v>724</v>
      </c>
    </row>
    <row r="12" spans="2:32" x14ac:dyDescent="0.25">
      <c r="B12" s="5" t="str">
        <f>IF('DATA Input'!U$5="","",'DATA Input'!U$5)</f>
        <v/>
      </c>
      <c r="C12" s="1" t="str">
        <f t="shared" si="0"/>
        <v/>
      </c>
      <c r="F12" s="172" t="s">
        <v>269</v>
      </c>
      <c r="G12" s="146"/>
      <c r="H12" s="54" t="s">
        <v>725</v>
      </c>
      <c r="I12" s="19"/>
      <c r="J12" s="19"/>
      <c r="K12" s="19"/>
      <c r="L12" s="19"/>
      <c r="M12" s="19"/>
      <c r="N12" s="19"/>
      <c r="O12" s="19"/>
      <c r="P12" s="19"/>
      <c r="Q12" s="19"/>
      <c r="R12" s="19"/>
      <c r="S12" s="19"/>
      <c r="T12" s="19"/>
      <c r="U12" s="19"/>
      <c r="V12" s="19"/>
      <c r="W12" s="19"/>
      <c r="X12" s="19"/>
    </row>
    <row r="13" spans="2:32" x14ac:dyDescent="0.25">
      <c r="B13" s="5" t="str">
        <f>IF('DATA Input'!W$5="","",'DATA Input'!W$5)</f>
        <v/>
      </c>
      <c r="C13" s="1" t="str">
        <f t="shared" si="0"/>
        <v/>
      </c>
      <c r="F13" s="8"/>
      <c r="G13" s="16"/>
      <c r="H13" s="54" t="s">
        <v>726</v>
      </c>
      <c r="I13" s="19"/>
      <c r="J13" s="19"/>
      <c r="K13" s="19"/>
      <c r="L13" s="19"/>
      <c r="M13" s="19"/>
      <c r="N13" s="19"/>
      <c r="O13" s="19"/>
      <c r="P13" s="19"/>
      <c r="Q13" s="19"/>
      <c r="R13" s="19"/>
      <c r="S13" s="19"/>
      <c r="T13" s="19"/>
      <c r="U13" s="19"/>
      <c r="V13" s="19"/>
      <c r="W13" s="19"/>
      <c r="X13" s="19"/>
    </row>
    <row r="14" spans="2:32" x14ac:dyDescent="0.25">
      <c r="B14" s="5" t="str">
        <f>IF('DATA Input'!Y$5="","",'DATA Input'!Y$5)</f>
        <v/>
      </c>
      <c r="C14" s="1" t="str">
        <f t="shared" si="0"/>
        <v/>
      </c>
      <c r="F14" s="8"/>
      <c r="G14" s="16"/>
      <c r="H14" s="147" t="s">
        <v>128</v>
      </c>
      <c r="I14" s="147"/>
      <c r="J14" s="147"/>
      <c r="K14" s="147"/>
      <c r="L14" s="147"/>
      <c r="M14" s="147"/>
      <c r="N14" s="147"/>
      <c r="O14" s="147"/>
      <c r="P14" s="147"/>
      <c r="Q14" s="147"/>
      <c r="R14" s="147"/>
      <c r="S14" s="147"/>
      <c r="T14" s="147"/>
      <c r="U14" s="147"/>
      <c r="V14" s="147"/>
      <c r="W14" s="147"/>
      <c r="X14" s="19"/>
    </row>
    <row r="15" spans="2:32" x14ac:dyDescent="0.25">
      <c r="B15" s="5" t="str">
        <f>IF('DATA Input'!AA$5="","",'DATA Input'!AA$5)</f>
        <v/>
      </c>
      <c r="C15" s="1" t="str">
        <f t="shared" si="0"/>
        <v/>
      </c>
      <c r="F15" s="8"/>
      <c r="G15" s="16"/>
      <c r="H15" s="148" t="s">
        <v>717</v>
      </c>
      <c r="I15" s="19"/>
      <c r="J15" s="19"/>
      <c r="K15" s="19"/>
      <c r="L15" s="19"/>
      <c r="M15" s="19"/>
      <c r="N15" s="19"/>
      <c r="O15" s="19"/>
      <c r="P15" s="19"/>
      <c r="Q15" s="19"/>
      <c r="R15" s="19"/>
      <c r="S15" s="19"/>
      <c r="T15" s="19"/>
      <c r="U15" s="19"/>
      <c r="V15" s="19"/>
      <c r="W15" s="19"/>
      <c r="X15" s="19"/>
    </row>
    <row r="16" spans="2:32" x14ac:dyDescent="0.25">
      <c r="B16" s="5" t="str">
        <f>IF('DATA Input'!AC$5="","",'DATA Input'!AC$5)</f>
        <v/>
      </c>
      <c r="C16" s="1" t="str">
        <f t="shared" si="0"/>
        <v/>
      </c>
      <c r="F16" s="220" t="s">
        <v>267</v>
      </c>
      <c r="G16" s="220" t="s">
        <v>10</v>
      </c>
      <c r="H16" s="16" t="s">
        <v>0</v>
      </c>
      <c r="I16" s="16" t="s">
        <v>1</v>
      </c>
      <c r="J16" s="16" t="s">
        <v>2</v>
      </c>
      <c r="K16" s="16" t="s">
        <v>3</v>
      </c>
      <c r="L16" s="16" t="s">
        <v>42</v>
      </c>
      <c r="M16" s="16" t="s">
        <v>43</v>
      </c>
      <c r="N16" s="16" t="s">
        <v>44</v>
      </c>
      <c r="O16" s="16" t="s">
        <v>45</v>
      </c>
      <c r="P16" s="16" t="s">
        <v>251</v>
      </c>
      <c r="Q16" s="16" t="s">
        <v>252</v>
      </c>
      <c r="R16" s="16" t="s">
        <v>361</v>
      </c>
      <c r="S16" s="16" t="s">
        <v>362</v>
      </c>
      <c r="T16" s="16" t="s">
        <v>363</v>
      </c>
      <c r="U16" s="16" t="s">
        <v>364</v>
      </c>
      <c r="V16" s="16" t="s">
        <v>365</v>
      </c>
      <c r="W16" s="16" t="s">
        <v>366</v>
      </c>
      <c r="X16" s="19" t="s">
        <v>4</v>
      </c>
      <c r="Y16" t="s">
        <v>5</v>
      </c>
      <c r="Z16" t="s">
        <v>46</v>
      </c>
      <c r="AA16" t="s">
        <v>47</v>
      </c>
      <c r="AB16" t="s">
        <v>253</v>
      </c>
      <c r="AC16" t="s">
        <v>367</v>
      </c>
      <c r="AD16" t="s">
        <v>368</v>
      </c>
      <c r="AE16" t="s">
        <v>369</v>
      </c>
      <c r="AF16" t="s">
        <v>6</v>
      </c>
    </row>
    <row r="17" spans="2:32" x14ac:dyDescent="0.25">
      <c r="B17" s="5" t="str">
        <f>IF('DATA Input'!AE$5="","",'DATA Input'!AE$5)</f>
        <v/>
      </c>
      <c r="C17" s="1" t="str">
        <f t="shared" si="0"/>
        <v/>
      </c>
      <c r="F17" s="16">
        <v>1</v>
      </c>
      <c r="G17" s="104">
        <v>2</v>
      </c>
      <c r="H17" s="144">
        <v>58</v>
      </c>
      <c r="I17" s="144">
        <v>68</v>
      </c>
      <c r="J17" s="144">
        <v>53</v>
      </c>
      <c r="K17" s="144">
        <v>68</v>
      </c>
      <c r="L17" s="144" t="s">
        <v>370</v>
      </c>
      <c r="M17" s="144">
        <v>1</v>
      </c>
      <c r="N17" s="19" t="s">
        <v>370</v>
      </c>
      <c r="O17" s="19">
        <v>1</v>
      </c>
      <c r="P17" s="19" t="s">
        <v>370</v>
      </c>
      <c r="Q17" s="19">
        <v>1</v>
      </c>
      <c r="R17" s="19" t="s">
        <v>370</v>
      </c>
      <c r="S17" s="19">
        <v>1</v>
      </c>
      <c r="T17" s="19" t="s">
        <v>370</v>
      </c>
      <c r="U17" s="19">
        <v>1</v>
      </c>
      <c r="V17" s="19" t="s">
        <v>370</v>
      </c>
      <c r="W17" s="19">
        <v>1</v>
      </c>
      <c r="X17" s="19">
        <v>1</v>
      </c>
      <c r="Y17">
        <v>8</v>
      </c>
      <c r="Z17" t="s">
        <v>370</v>
      </c>
      <c r="AA17" t="s">
        <v>370</v>
      </c>
      <c r="AB17" t="s">
        <v>370</v>
      </c>
      <c r="AC17" t="s">
        <v>370</v>
      </c>
      <c r="AD17" t="s">
        <v>370</v>
      </c>
      <c r="AE17" t="s">
        <v>370</v>
      </c>
      <c r="AF17">
        <v>2</v>
      </c>
    </row>
    <row r="18" spans="2:32" ht="15.75" thickBot="1" x14ac:dyDescent="0.3">
      <c r="B18" s="6" t="str">
        <f>IF('DATA Input'!AG$5="","",'DATA Input'!AG$5)</f>
        <v/>
      </c>
      <c r="C18" s="2" t="str">
        <f t="shared" si="0"/>
        <v/>
      </c>
      <c r="F18" s="16">
        <v>2</v>
      </c>
      <c r="G18" s="104">
        <v>4</v>
      </c>
      <c r="H18" s="19">
        <v>6</v>
      </c>
      <c r="I18" s="19">
        <v>39</v>
      </c>
      <c r="J18" s="19">
        <v>5</v>
      </c>
      <c r="K18" s="19">
        <v>38</v>
      </c>
      <c r="L18" s="19" t="s">
        <v>370</v>
      </c>
      <c r="M18" s="19">
        <v>1</v>
      </c>
      <c r="N18" s="19" t="s">
        <v>370</v>
      </c>
      <c r="O18" s="19">
        <v>1</v>
      </c>
      <c r="P18" s="19" t="s">
        <v>370</v>
      </c>
      <c r="Q18" s="19">
        <v>1</v>
      </c>
      <c r="R18" s="19" t="s">
        <v>370</v>
      </c>
      <c r="S18" s="19">
        <v>1</v>
      </c>
      <c r="T18" s="19" t="s">
        <v>370</v>
      </c>
      <c r="U18" s="19">
        <v>1</v>
      </c>
      <c r="V18" s="19" t="s">
        <v>370</v>
      </c>
      <c r="W18" s="19">
        <v>1</v>
      </c>
      <c r="X18" s="19">
        <v>1</v>
      </c>
      <c r="Y18">
        <v>4</v>
      </c>
      <c r="Z18" t="s">
        <v>370</v>
      </c>
      <c r="AA18" t="s">
        <v>370</v>
      </c>
      <c r="AB18" t="s">
        <v>370</v>
      </c>
      <c r="AC18" t="s">
        <v>370</v>
      </c>
      <c r="AD18" t="s">
        <v>370</v>
      </c>
      <c r="AE18" t="s">
        <v>370</v>
      </c>
      <c r="AF18">
        <v>2</v>
      </c>
    </row>
    <row r="19" spans="2:32" x14ac:dyDescent="0.25">
      <c r="F19" s="16">
        <v>3</v>
      </c>
      <c r="G19" s="104">
        <v>7</v>
      </c>
      <c r="H19" s="19">
        <v>5</v>
      </c>
      <c r="I19" s="19">
        <v>80</v>
      </c>
      <c r="J19" s="19">
        <v>4</v>
      </c>
      <c r="K19" s="19">
        <v>80</v>
      </c>
      <c r="L19" s="19" t="s">
        <v>370</v>
      </c>
      <c r="M19" s="19">
        <v>1</v>
      </c>
      <c r="N19" s="19" t="s">
        <v>370</v>
      </c>
      <c r="O19" s="19">
        <v>1</v>
      </c>
      <c r="P19" s="19" t="s">
        <v>370</v>
      </c>
      <c r="Q19" s="19">
        <v>1</v>
      </c>
      <c r="R19" s="19" t="s">
        <v>370</v>
      </c>
      <c r="S19" s="19">
        <v>1</v>
      </c>
      <c r="T19" s="19" t="s">
        <v>370</v>
      </c>
      <c r="U19" s="19">
        <v>1</v>
      </c>
      <c r="V19" s="19" t="s">
        <v>370</v>
      </c>
      <c r="W19" s="19">
        <v>1</v>
      </c>
      <c r="X19" s="19">
        <v>3</v>
      </c>
      <c r="Y19">
        <v>4</v>
      </c>
      <c r="Z19" t="s">
        <v>370</v>
      </c>
      <c r="AA19" t="s">
        <v>370</v>
      </c>
      <c r="AB19" t="s">
        <v>370</v>
      </c>
      <c r="AC19" t="s">
        <v>370</v>
      </c>
      <c r="AD19" t="s">
        <v>370</v>
      </c>
      <c r="AE19" t="s">
        <v>370</v>
      </c>
      <c r="AF19">
        <v>2</v>
      </c>
    </row>
    <row r="20" spans="2:32" x14ac:dyDescent="0.25">
      <c r="F20" s="16">
        <v>4</v>
      </c>
      <c r="G20" s="104">
        <v>8</v>
      </c>
      <c r="H20" s="19">
        <v>19</v>
      </c>
      <c r="I20" s="19">
        <v>34</v>
      </c>
      <c r="J20" s="19">
        <v>17</v>
      </c>
      <c r="K20" s="19">
        <v>36</v>
      </c>
      <c r="L20" s="19" t="s">
        <v>370</v>
      </c>
      <c r="M20" s="19">
        <v>1</v>
      </c>
      <c r="N20" s="19" t="s">
        <v>370</v>
      </c>
      <c r="O20" s="19">
        <v>1</v>
      </c>
      <c r="P20" s="19" t="s">
        <v>370</v>
      </c>
      <c r="Q20" s="19">
        <v>1</v>
      </c>
      <c r="R20" s="19" t="s">
        <v>370</v>
      </c>
      <c r="S20" s="19">
        <v>1</v>
      </c>
      <c r="T20" s="19" t="s">
        <v>370</v>
      </c>
      <c r="U20" s="19">
        <v>1</v>
      </c>
      <c r="V20" s="19" t="s">
        <v>370</v>
      </c>
      <c r="W20" s="19">
        <v>1</v>
      </c>
      <c r="X20" s="19">
        <v>2</v>
      </c>
      <c r="Y20">
        <v>3</v>
      </c>
      <c r="Z20" t="s">
        <v>370</v>
      </c>
      <c r="AA20" t="s">
        <v>370</v>
      </c>
      <c r="AB20" t="s">
        <v>370</v>
      </c>
      <c r="AC20" t="s">
        <v>370</v>
      </c>
      <c r="AD20" t="s">
        <v>370</v>
      </c>
      <c r="AE20" t="s">
        <v>370</v>
      </c>
      <c r="AF20">
        <v>2</v>
      </c>
    </row>
    <row r="21" spans="2:32" x14ac:dyDescent="0.25">
      <c r="F21" s="16">
        <v>5</v>
      </c>
      <c r="G21" s="104">
        <v>9</v>
      </c>
      <c r="H21" s="19">
        <v>13</v>
      </c>
      <c r="I21" s="19">
        <v>50</v>
      </c>
      <c r="J21" s="19">
        <v>11</v>
      </c>
      <c r="K21" s="19">
        <v>52</v>
      </c>
      <c r="L21" s="19" t="s">
        <v>370</v>
      </c>
      <c r="M21" s="19">
        <v>1</v>
      </c>
      <c r="N21" s="19" t="s">
        <v>370</v>
      </c>
      <c r="O21" s="19">
        <v>1</v>
      </c>
      <c r="P21" s="19" t="s">
        <v>370</v>
      </c>
      <c r="Q21" s="19">
        <v>1</v>
      </c>
      <c r="R21" s="19" t="s">
        <v>370</v>
      </c>
      <c r="S21" s="19">
        <v>1</v>
      </c>
      <c r="T21" s="19" t="s">
        <v>370</v>
      </c>
      <c r="U21" s="19">
        <v>1</v>
      </c>
      <c r="V21" s="19" t="s">
        <v>370</v>
      </c>
      <c r="W21" s="19">
        <v>1</v>
      </c>
      <c r="X21" s="19">
        <v>2</v>
      </c>
      <c r="Y21">
        <v>3</v>
      </c>
      <c r="Z21" t="s">
        <v>370</v>
      </c>
      <c r="AA21" t="s">
        <v>370</v>
      </c>
      <c r="AB21" t="s">
        <v>370</v>
      </c>
      <c r="AC21" t="s">
        <v>370</v>
      </c>
      <c r="AD21" t="s">
        <v>370</v>
      </c>
      <c r="AE21" t="s">
        <v>370</v>
      </c>
      <c r="AF21">
        <v>2</v>
      </c>
    </row>
    <row r="22" spans="2:32" x14ac:dyDescent="0.25">
      <c r="F22" s="16">
        <v>6</v>
      </c>
      <c r="G22" s="104">
        <v>10</v>
      </c>
      <c r="H22" s="19">
        <v>0</v>
      </c>
      <c r="I22" s="19">
        <v>33</v>
      </c>
      <c r="J22" s="19">
        <v>1</v>
      </c>
      <c r="K22" s="19">
        <v>33</v>
      </c>
      <c r="L22" s="19" t="s">
        <v>370</v>
      </c>
      <c r="M22" s="19">
        <v>1</v>
      </c>
      <c r="N22" s="19" t="s">
        <v>370</v>
      </c>
      <c r="O22" s="19">
        <v>1</v>
      </c>
      <c r="P22" s="19" t="s">
        <v>370</v>
      </c>
      <c r="Q22" s="19">
        <v>1</v>
      </c>
      <c r="R22" s="19" t="s">
        <v>370</v>
      </c>
      <c r="S22" s="19">
        <v>1</v>
      </c>
      <c r="T22" s="19" t="s">
        <v>370</v>
      </c>
      <c r="U22" s="19">
        <v>1</v>
      </c>
      <c r="V22" s="19" t="s">
        <v>370</v>
      </c>
      <c r="W22" s="19">
        <v>1</v>
      </c>
      <c r="X22" s="19">
        <v>3</v>
      </c>
      <c r="Y22">
        <v>8</v>
      </c>
      <c r="Z22" t="s">
        <v>370</v>
      </c>
      <c r="AA22" t="s">
        <v>370</v>
      </c>
      <c r="AB22" t="s">
        <v>370</v>
      </c>
      <c r="AC22" t="s">
        <v>370</v>
      </c>
      <c r="AD22" t="s">
        <v>370</v>
      </c>
      <c r="AE22" t="s">
        <v>370</v>
      </c>
      <c r="AF22">
        <v>2</v>
      </c>
    </row>
    <row r="23" spans="2:32" x14ac:dyDescent="0.25">
      <c r="F23" s="16">
        <v>7</v>
      </c>
      <c r="G23" s="104">
        <v>11</v>
      </c>
      <c r="H23" s="19">
        <v>3</v>
      </c>
      <c r="I23" s="19">
        <v>32</v>
      </c>
      <c r="J23" s="19">
        <v>2</v>
      </c>
      <c r="K23" s="19">
        <v>32</v>
      </c>
      <c r="L23" s="19" t="s">
        <v>370</v>
      </c>
      <c r="M23" s="19">
        <v>1</v>
      </c>
      <c r="N23" s="19" t="s">
        <v>370</v>
      </c>
      <c r="O23" s="19">
        <v>1</v>
      </c>
      <c r="P23" s="19" t="s">
        <v>370</v>
      </c>
      <c r="Q23" s="19">
        <v>1</v>
      </c>
      <c r="R23" s="19" t="s">
        <v>370</v>
      </c>
      <c r="S23" s="19">
        <v>1</v>
      </c>
      <c r="T23" s="19" t="s">
        <v>370</v>
      </c>
      <c r="U23" s="19">
        <v>1</v>
      </c>
      <c r="V23" s="19" t="s">
        <v>370</v>
      </c>
      <c r="W23" s="19">
        <v>1</v>
      </c>
      <c r="X23" s="19">
        <v>2</v>
      </c>
      <c r="Y23">
        <v>3</v>
      </c>
      <c r="Z23" t="s">
        <v>370</v>
      </c>
      <c r="AA23" t="s">
        <v>370</v>
      </c>
      <c r="AB23" t="s">
        <v>370</v>
      </c>
      <c r="AC23" t="s">
        <v>370</v>
      </c>
      <c r="AD23" t="s">
        <v>370</v>
      </c>
      <c r="AE23" t="s">
        <v>370</v>
      </c>
      <c r="AF23">
        <v>2</v>
      </c>
    </row>
    <row r="24" spans="2:32" x14ac:dyDescent="0.25">
      <c r="F24" s="16">
        <v>8</v>
      </c>
      <c r="G24" s="104">
        <v>13</v>
      </c>
      <c r="H24" s="19">
        <v>7</v>
      </c>
      <c r="I24" s="19">
        <v>15</v>
      </c>
      <c r="J24" s="19">
        <v>6</v>
      </c>
      <c r="K24" s="19">
        <v>15</v>
      </c>
      <c r="L24" s="19" t="s">
        <v>370</v>
      </c>
      <c r="M24" s="19">
        <v>1</v>
      </c>
      <c r="N24" s="19" t="s">
        <v>370</v>
      </c>
      <c r="O24" s="19">
        <v>1</v>
      </c>
      <c r="P24" s="19" t="s">
        <v>370</v>
      </c>
      <c r="Q24" s="19">
        <v>1</v>
      </c>
      <c r="R24" s="19" t="s">
        <v>370</v>
      </c>
      <c r="S24" s="19">
        <v>1</v>
      </c>
      <c r="T24" s="19" t="s">
        <v>370</v>
      </c>
      <c r="U24" s="19">
        <v>1</v>
      </c>
      <c r="V24" s="19" t="s">
        <v>370</v>
      </c>
      <c r="W24" s="19">
        <v>1</v>
      </c>
      <c r="X24" s="19">
        <v>1</v>
      </c>
      <c r="Y24">
        <v>3</v>
      </c>
      <c r="Z24" t="s">
        <v>370</v>
      </c>
      <c r="AA24" t="s">
        <v>370</v>
      </c>
      <c r="AB24" t="s">
        <v>370</v>
      </c>
      <c r="AC24" t="s">
        <v>370</v>
      </c>
      <c r="AD24" t="s">
        <v>370</v>
      </c>
      <c r="AE24" t="s">
        <v>370</v>
      </c>
      <c r="AF24">
        <v>2</v>
      </c>
    </row>
    <row r="25" spans="2:32" x14ac:dyDescent="0.25">
      <c r="F25" s="16">
        <v>9</v>
      </c>
      <c r="G25" s="104">
        <v>15</v>
      </c>
      <c r="H25" s="19">
        <v>7</v>
      </c>
      <c r="I25" s="19">
        <v>20</v>
      </c>
      <c r="J25" s="19">
        <v>13</v>
      </c>
      <c r="K25" s="19">
        <v>19</v>
      </c>
      <c r="L25" s="19" t="s">
        <v>370</v>
      </c>
      <c r="M25" s="19">
        <v>1</v>
      </c>
      <c r="N25" s="19" t="s">
        <v>370</v>
      </c>
      <c r="O25" s="19">
        <v>1</v>
      </c>
      <c r="P25" s="19" t="s">
        <v>370</v>
      </c>
      <c r="Q25" s="19">
        <v>1</v>
      </c>
      <c r="R25" s="19" t="s">
        <v>370</v>
      </c>
      <c r="S25" s="19">
        <v>1</v>
      </c>
      <c r="T25" s="19" t="s">
        <v>370</v>
      </c>
      <c r="U25" s="19">
        <v>1</v>
      </c>
      <c r="V25" s="19" t="s">
        <v>370</v>
      </c>
      <c r="W25" s="19">
        <v>1</v>
      </c>
      <c r="X25" s="19">
        <v>1</v>
      </c>
      <c r="Y25">
        <v>8</v>
      </c>
      <c r="Z25" t="s">
        <v>370</v>
      </c>
      <c r="AA25" t="s">
        <v>370</v>
      </c>
      <c r="AB25" t="s">
        <v>370</v>
      </c>
      <c r="AC25" t="s">
        <v>370</v>
      </c>
      <c r="AD25" t="s">
        <v>370</v>
      </c>
      <c r="AE25" t="s">
        <v>370</v>
      </c>
      <c r="AF25">
        <v>2</v>
      </c>
    </row>
    <row r="26" spans="2:32" x14ac:dyDescent="0.25">
      <c r="F26" s="16">
        <v>10</v>
      </c>
      <c r="G26" s="104">
        <v>18</v>
      </c>
      <c r="H26" s="19">
        <v>10</v>
      </c>
      <c r="I26" s="19">
        <v>35</v>
      </c>
      <c r="J26" s="19">
        <v>16</v>
      </c>
      <c r="K26" s="19">
        <v>35</v>
      </c>
      <c r="L26" s="19" t="s">
        <v>370</v>
      </c>
      <c r="M26" s="19">
        <v>1</v>
      </c>
      <c r="N26" s="19" t="s">
        <v>370</v>
      </c>
      <c r="O26" s="19">
        <v>1</v>
      </c>
      <c r="P26" s="19" t="s">
        <v>370</v>
      </c>
      <c r="Q26" s="19">
        <v>1</v>
      </c>
      <c r="R26" s="19" t="s">
        <v>370</v>
      </c>
      <c r="S26" s="19">
        <v>1</v>
      </c>
      <c r="T26" s="19" t="s">
        <v>370</v>
      </c>
      <c r="U26" s="19">
        <v>1</v>
      </c>
      <c r="V26" s="19" t="s">
        <v>370</v>
      </c>
      <c r="W26" s="19">
        <v>1</v>
      </c>
      <c r="X26" s="19">
        <v>2</v>
      </c>
      <c r="Y26">
        <v>5</v>
      </c>
      <c r="Z26" t="s">
        <v>370</v>
      </c>
      <c r="AA26" t="s">
        <v>370</v>
      </c>
      <c r="AB26" t="s">
        <v>370</v>
      </c>
      <c r="AC26" t="s">
        <v>370</v>
      </c>
      <c r="AD26" t="s">
        <v>370</v>
      </c>
      <c r="AE26" t="s">
        <v>370</v>
      </c>
      <c r="AF26">
        <v>2</v>
      </c>
    </row>
    <row r="27" spans="2:32" x14ac:dyDescent="0.25">
      <c r="F27" s="16">
        <v>11</v>
      </c>
      <c r="G27" s="104">
        <v>21</v>
      </c>
      <c r="H27" s="19">
        <v>31</v>
      </c>
      <c r="I27" s="16">
        <v>50</v>
      </c>
      <c r="J27" s="16">
        <v>32</v>
      </c>
      <c r="K27" s="16">
        <v>55</v>
      </c>
      <c r="L27" s="16" t="s">
        <v>370</v>
      </c>
      <c r="M27" s="16">
        <v>1</v>
      </c>
      <c r="N27" s="16" t="s">
        <v>370</v>
      </c>
      <c r="O27" s="16">
        <v>1</v>
      </c>
      <c r="P27" s="16" t="s">
        <v>370</v>
      </c>
      <c r="Q27" s="16">
        <v>1</v>
      </c>
      <c r="R27" s="16" t="s">
        <v>370</v>
      </c>
      <c r="S27" s="16">
        <v>1</v>
      </c>
      <c r="T27" s="16" t="s">
        <v>370</v>
      </c>
      <c r="U27" s="16">
        <v>1</v>
      </c>
      <c r="V27" s="16" t="s">
        <v>370</v>
      </c>
      <c r="W27" s="16">
        <v>1</v>
      </c>
      <c r="X27" s="16">
        <v>1</v>
      </c>
      <c r="Y27">
        <v>7</v>
      </c>
      <c r="Z27" t="s">
        <v>370</v>
      </c>
      <c r="AA27" t="s">
        <v>370</v>
      </c>
      <c r="AB27" t="s">
        <v>370</v>
      </c>
      <c r="AC27" t="s">
        <v>370</v>
      </c>
      <c r="AD27" t="s">
        <v>370</v>
      </c>
      <c r="AE27" t="s">
        <v>370</v>
      </c>
      <c r="AF27">
        <v>2</v>
      </c>
    </row>
    <row r="28" spans="2:32" x14ac:dyDescent="0.25">
      <c r="F28" s="16">
        <v>12</v>
      </c>
      <c r="G28" s="104">
        <v>22</v>
      </c>
      <c r="H28" s="16">
        <v>11</v>
      </c>
      <c r="I28" s="16">
        <v>44</v>
      </c>
      <c r="J28" s="16">
        <v>15</v>
      </c>
      <c r="K28" s="16">
        <v>48</v>
      </c>
      <c r="L28" s="16" t="s">
        <v>370</v>
      </c>
      <c r="M28" s="16">
        <v>1</v>
      </c>
      <c r="N28" s="16" t="s">
        <v>370</v>
      </c>
      <c r="O28" s="16">
        <v>1</v>
      </c>
      <c r="P28" s="16" t="s">
        <v>370</v>
      </c>
      <c r="Q28" s="16">
        <v>1</v>
      </c>
      <c r="R28" s="16" t="s">
        <v>370</v>
      </c>
      <c r="S28" s="16">
        <v>1</v>
      </c>
      <c r="T28" s="16" t="s">
        <v>370</v>
      </c>
      <c r="U28" s="16">
        <v>1</v>
      </c>
      <c r="V28" s="16" t="s">
        <v>370</v>
      </c>
      <c r="W28" s="16">
        <v>1</v>
      </c>
      <c r="X28" s="16">
        <v>1</v>
      </c>
      <c r="Y28">
        <v>8</v>
      </c>
      <c r="Z28" t="s">
        <v>370</v>
      </c>
      <c r="AA28" t="s">
        <v>370</v>
      </c>
      <c r="AB28" t="s">
        <v>370</v>
      </c>
      <c r="AC28" t="s">
        <v>370</v>
      </c>
      <c r="AD28" t="s">
        <v>370</v>
      </c>
      <c r="AE28" t="s">
        <v>370</v>
      </c>
      <c r="AF28">
        <v>2</v>
      </c>
    </row>
    <row r="29" spans="2:32" x14ac:dyDescent="0.25">
      <c r="F29" s="16">
        <v>13</v>
      </c>
      <c r="G29" s="104">
        <v>24</v>
      </c>
      <c r="H29" s="16">
        <v>13</v>
      </c>
      <c r="I29" s="16">
        <v>81</v>
      </c>
      <c r="J29" s="16">
        <v>23</v>
      </c>
      <c r="K29" s="16">
        <v>94</v>
      </c>
      <c r="L29" s="16" t="s">
        <v>370</v>
      </c>
      <c r="M29" s="16">
        <v>1</v>
      </c>
      <c r="N29" s="16" t="s">
        <v>370</v>
      </c>
      <c r="O29" s="16">
        <v>1</v>
      </c>
      <c r="P29" s="16" t="s">
        <v>370</v>
      </c>
      <c r="Q29" s="16">
        <v>1</v>
      </c>
      <c r="R29" s="16" t="s">
        <v>370</v>
      </c>
      <c r="S29" s="16">
        <v>1</v>
      </c>
      <c r="T29" s="16" t="s">
        <v>370</v>
      </c>
      <c r="U29" s="16">
        <v>1</v>
      </c>
      <c r="V29" s="16" t="s">
        <v>370</v>
      </c>
      <c r="W29" s="16">
        <v>1</v>
      </c>
      <c r="X29" s="16">
        <v>1</v>
      </c>
      <c r="Y29">
        <v>2</v>
      </c>
      <c r="Z29" t="s">
        <v>370</v>
      </c>
      <c r="AA29" t="s">
        <v>370</v>
      </c>
      <c r="AB29" t="s">
        <v>370</v>
      </c>
      <c r="AC29" t="s">
        <v>370</v>
      </c>
      <c r="AD29" t="s">
        <v>370</v>
      </c>
      <c r="AE29" t="s">
        <v>370</v>
      </c>
      <c r="AF29">
        <v>2</v>
      </c>
    </row>
    <row r="30" spans="2:32" x14ac:dyDescent="0.25">
      <c r="F30" s="16">
        <v>14</v>
      </c>
      <c r="G30" s="104">
        <v>25</v>
      </c>
      <c r="H30" s="16">
        <v>12</v>
      </c>
      <c r="I30" s="16">
        <v>56</v>
      </c>
      <c r="J30" s="16">
        <v>13</v>
      </c>
      <c r="K30" s="16">
        <v>55</v>
      </c>
      <c r="L30" s="16" t="s">
        <v>370</v>
      </c>
      <c r="M30" s="16">
        <v>1</v>
      </c>
      <c r="N30" s="16" t="s">
        <v>370</v>
      </c>
      <c r="O30" s="16">
        <v>1</v>
      </c>
      <c r="P30" s="16" t="s">
        <v>370</v>
      </c>
      <c r="Q30" s="16">
        <v>1</v>
      </c>
      <c r="R30" s="16" t="s">
        <v>370</v>
      </c>
      <c r="S30" s="16">
        <v>1</v>
      </c>
      <c r="T30" s="16" t="s">
        <v>370</v>
      </c>
      <c r="U30" s="16">
        <v>1</v>
      </c>
      <c r="V30" s="16" t="s">
        <v>370</v>
      </c>
      <c r="W30" s="16">
        <v>1</v>
      </c>
      <c r="X30" s="16">
        <v>2</v>
      </c>
      <c r="Y30">
        <v>6</v>
      </c>
      <c r="Z30" t="s">
        <v>370</v>
      </c>
      <c r="AA30" t="s">
        <v>370</v>
      </c>
      <c r="AB30" t="s">
        <v>370</v>
      </c>
      <c r="AC30" t="s">
        <v>370</v>
      </c>
      <c r="AD30" t="s">
        <v>370</v>
      </c>
      <c r="AE30" t="s">
        <v>370</v>
      </c>
      <c r="AF30">
        <v>2</v>
      </c>
    </row>
    <row r="31" spans="2:32" x14ac:dyDescent="0.25">
      <c r="F31" s="16">
        <v>15</v>
      </c>
      <c r="G31" s="104">
        <v>27</v>
      </c>
      <c r="H31" s="16">
        <v>2</v>
      </c>
      <c r="I31" s="16">
        <v>11</v>
      </c>
      <c r="J31" s="16">
        <v>8</v>
      </c>
      <c r="K31" s="16">
        <v>13</v>
      </c>
      <c r="L31" s="16" t="s">
        <v>370</v>
      </c>
      <c r="M31" s="16">
        <v>1</v>
      </c>
      <c r="N31" s="16" t="s">
        <v>370</v>
      </c>
      <c r="O31" s="16">
        <v>1</v>
      </c>
      <c r="P31" s="16" t="s">
        <v>370</v>
      </c>
      <c r="Q31" s="16">
        <v>1</v>
      </c>
      <c r="R31" s="16" t="s">
        <v>370</v>
      </c>
      <c r="S31" s="16">
        <v>1</v>
      </c>
      <c r="T31" s="16" t="s">
        <v>370</v>
      </c>
      <c r="U31" s="16">
        <v>1</v>
      </c>
      <c r="V31" s="16" t="s">
        <v>370</v>
      </c>
      <c r="W31" s="16">
        <v>1</v>
      </c>
      <c r="X31" s="16">
        <v>1</v>
      </c>
      <c r="Y31">
        <v>8</v>
      </c>
      <c r="Z31" t="s">
        <v>370</v>
      </c>
      <c r="AA31" t="s">
        <v>370</v>
      </c>
      <c r="AB31" t="s">
        <v>370</v>
      </c>
      <c r="AC31" t="s">
        <v>370</v>
      </c>
      <c r="AD31" t="s">
        <v>370</v>
      </c>
      <c r="AE31" t="s">
        <v>370</v>
      </c>
      <c r="AF31">
        <v>2</v>
      </c>
    </row>
    <row r="32" spans="2:32" x14ac:dyDescent="0.25">
      <c r="F32" s="16">
        <v>16</v>
      </c>
      <c r="G32" s="104">
        <v>30</v>
      </c>
      <c r="H32" s="16">
        <v>1</v>
      </c>
      <c r="I32" s="16">
        <v>12</v>
      </c>
      <c r="J32" s="16">
        <v>1</v>
      </c>
      <c r="K32" s="16">
        <v>11</v>
      </c>
      <c r="L32" s="16" t="s">
        <v>370</v>
      </c>
      <c r="M32" s="16">
        <v>1</v>
      </c>
      <c r="N32" s="16" t="s">
        <v>370</v>
      </c>
      <c r="O32" s="16">
        <v>1</v>
      </c>
      <c r="P32" s="16" t="s">
        <v>370</v>
      </c>
      <c r="Q32" s="16">
        <v>1</v>
      </c>
      <c r="R32" s="16" t="s">
        <v>370</v>
      </c>
      <c r="S32" s="16">
        <v>1</v>
      </c>
      <c r="T32" s="16" t="s">
        <v>370</v>
      </c>
      <c r="U32" s="16">
        <v>1</v>
      </c>
      <c r="V32" s="16" t="s">
        <v>370</v>
      </c>
      <c r="W32" s="16">
        <v>1</v>
      </c>
      <c r="X32" s="16">
        <v>7</v>
      </c>
      <c r="Y32">
        <v>8</v>
      </c>
      <c r="Z32" t="s">
        <v>370</v>
      </c>
      <c r="AA32" t="s">
        <v>370</v>
      </c>
      <c r="AB32" t="s">
        <v>370</v>
      </c>
      <c r="AC32" t="s">
        <v>370</v>
      </c>
      <c r="AD32" t="s">
        <v>370</v>
      </c>
      <c r="AE32" t="s">
        <v>370</v>
      </c>
      <c r="AF32">
        <v>2</v>
      </c>
    </row>
    <row r="33" spans="6:32" x14ac:dyDescent="0.25">
      <c r="F33" s="16">
        <v>17</v>
      </c>
      <c r="G33" s="104">
        <v>36</v>
      </c>
      <c r="H33" s="16">
        <v>12</v>
      </c>
      <c r="I33" s="16">
        <v>64</v>
      </c>
      <c r="J33" s="16">
        <v>17</v>
      </c>
      <c r="K33" s="16">
        <v>63</v>
      </c>
      <c r="L33" s="16" t="s">
        <v>370</v>
      </c>
      <c r="M33" s="16">
        <v>1</v>
      </c>
      <c r="N33" s="16" t="s">
        <v>370</v>
      </c>
      <c r="O33" s="16">
        <v>1</v>
      </c>
      <c r="P33" s="16" t="s">
        <v>370</v>
      </c>
      <c r="Q33" s="16">
        <v>1</v>
      </c>
      <c r="R33" s="16" t="s">
        <v>370</v>
      </c>
      <c r="S33" s="16">
        <v>1</v>
      </c>
      <c r="T33" s="16" t="s">
        <v>370</v>
      </c>
      <c r="U33" s="16">
        <v>1</v>
      </c>
      <c r="V33" s="16" t="s">
        <v>370</v>
      </c>
      <c r="W33" s="16">
        <v>1</v>
      </c>
      <c r="X33" s="16">
        <v>1</v>
      </c>
      <c r="Y33">
        <v>7</v>
      </c>
      <c r="Z33" t="s">
        <v>370</v>
      </c>
      <c r="AA33" t="s">
        <v>370</v>
      </c>
      <c r="AB33" t="s">
        <v>370</v>
      </c>
      <c r="AC33" t="s">
        <v>370</v>
      </c>
      <c r="AD33" t="s">
        <v>370</v>
      </c>
      <c r="AE33" t="s">
        <v>370</v>
      </c>
      <c r="AF33">
        <v>2</v>
      </c>
    </row>
    <row r="34" spans="6:32" x14ac:dyDescent="0.25">
      <c r="F34" s="16">
        <v>18</v>
      </c>
      <c r="G34" s="104">
        <v>46</v>
      </c>
      <c r="H34" s="16">
        <v>8</v>
      </c>
      <c r="I34" s="16">
        <v>31</v>
      </c>
      <c r="J34" s="16">
        <v>13</v>
      </c>
      <c r="K34" s="16">
        <v>31</v>
      </c>
      <c r="L34" s="16" t="s">
        <v>370</v>
      </c>
      <c r="M34" s="16">
        <v>1</v>
      </c>
      <c r="N34" s="16" t="s">
        <v>370</v>
      </c>
      <c r="O34" s="16">
        <v>1</v>
      </c>
      <c r="P34" s="16" t="s">
        <v>370</v>
      </c>
      <c r="Q34" s="16">
        <v>1</v>
      </c>
      <c r="R34" s="16" t="s">
        <v>370</v>
      </c>
      <c r="S34" s="16">
        <v>1</v>
      </c>
      <c r="T34" s="16" t="s">
        <v>370</v>
      </c>
      <c r="U34" s="16">
        <v>1</v>
      </c>
      <c r="V34" s="16" t="s">
        <v>370</v>
      </c>
      <c r="W34" s="16">
        <v>1</v>
      </c>
      <c r="X34" s="16">
        <v>3</v>
      </c>
      <c r="Y34">
        <v>8</v>
      </c>
      <c r="Z34" t="s">
        <v>370</v>
      </c>
      <c r="AA34" t="s">
        <v>370</v>
      </c>
      <c r="AB34" t="s">
        <v>370</v>
      </c>
      <c r="AC34" t="s">
        <v>370</v>
      </c>
      <c r="AD34" t="s">
        <v>370</v>
      </c>
      <c r="AE34" t="s">
        <v>370</v>
      </c>
      <c r="AF34">
        <v>2</v>
      </c>
    </row>
    <row r="35" spans="6:32" x14ac:dyDescent="0.25">
      <c r="F35" s="16">
        <v>19</v>
      </c>
      <c r="G35" s="104">
        <v>47</v>
      </c>
      <c r="H35" s="16">
        <v>17</v>
      </c>
      <c r="I35" s="16">
        <v>54</v>
      </c>
      <c r="J35" s="16">
        <v>16</v>
      </c>
      <c r="K35" s="16">
        <v>51</v>
      </c>
      <c r="L35" s="16" t="s">
        <v>370</v>
      </c>
      <c r="M35" s="16">
        <v>1</v>
      </c>
      <c r="N35" s="16" t="s">
        <v>370</v>
      </c>
      <c r="O35" s="16">
        <v>1</v>
      </c>
      <c r="P35" s="16" t="s">
        <v>370</v>
      </c>
      <c r="Q35" s="16">
        <v>1</v>
      </c>
      <c r="R35" s="16" t="s">
        <v>370</v>
      </c>
      <c r="S35" s="16">
        <v>1</v>
      </c>
      <c r="T35" s="16" t="s">
        <v>370</v>
      </c>
      <c r="U35" s="16">
        <v>1</v>
      </c>
      <c r="V35" s="16" t="s">
        <v>370</v>
      </c>
      <c r="W35" s="16">
        <v>1</v>
      </c>
      <c r="X35" s="16">
        <v>2</v>
      </c>
      <c r="Y35">
        <v>8</v>
      </c>
      <c r="Z35" t="s">
        <v>370</v>
      </c>
      <c r="AA35" t="s">
        <v>370</v>
      </c>
      <c r="AB35" t="s">
        <v>370</v>
      </c>
      <c r="AC35" t="s">
        <v>370</v>
      </c>
      <c r="AD35" t="s">
        <v>370</v>
      </c>
      <c r="AE35" t="s">
        <v>370</v>
      </c>
      <c r="AF35">
        <v>2</v>
      </c>
    </row>
    <row r="36" spans="6:32" x14ac:dyDescent="0.25">
      <c r="F36" s="16">
        <v>20</v>
      </c>
      <c r="G36" s="104">
        <v>48</v>
      </c>
      <c r="H36" s="16">
        <v>9</v>
      </c>
      <c r="I36" s="16">
        <v>46</v>
      </c>
      <c r="J36" s="16">
        <v>10</v>
      </c>
      <c r="K36" s="16">
        <v>47</v>
      </c>
      <c r="L36" s="16" t="s">
        <v>370</v>
      </c>
      <c r="M36" s="16">
        <v>1</v>
      </c>
      <c r="N36" s="16" t="s">
        <v>370</v>
      </c>
      <c r="O36" s="16">
        <v>1</v>
      </c>
      <c r="P36" s="16" t="s">
        <v>370</v>
      </c>
      <c r="Q36" s="16">
        <v>1</v>
      </c>
      <c r="R36" s="16" t="s">
        <v>370</v>
      </c>
      <c r="S36" s="16">
        <v>1</v>
      </c>
      <c r="T36" s="16" t="s">
        <v>370</v>
      </c>
      <c r="U36" s="16">
        <v>1</v>
      </c>
      <c r="V36" s="16" t="s">
        <v>370</v>
      </c>
      <c r="W36" s="16">
        <v>1</v>
      </c>
      <c r="X36" s="16">
        <v>1</v>
      </c>
      <c r="Y36">
        <v>7</v>
      </c>
      <c r="Z36" t="s">
        <v>370</v>
      </c>
      <c r="AA36" t="s">
        <v>370</v>
      </c>
      <c r="AB36" t="s">
        <v>370</v>
      </c>
      <c r="AC36" t="s">
        <v>370</v>
      </c>
      <c r="AD36" t="s">
        <v>370</v>
      </c>
      <c r="AE36" t="s">
        <v>370</v>
      </c>
      <c r="AF36">
        <v>2</v>
      </c>
    </row>
    <row r="37" spans="6:32" x14ac:dyDescent="0.25">
      <c r="F37" s="16">
        <v>21</v>
      </c>
      <c r="G37" s="104">
        <v>49</v>
      </c>
      <c r="H37" s="16">
        <v>19</v>
      </c>
      <c r="I37" s="16">
        <v>59</v>
      </c>
      <c r="J37" s="16">
        <v>18</v>
      </c>
      <c r="K37" s="16">
        <v>60</v>
      </c>
      <c r="L37" s="16" t="s">
        <v>370</v>
      </c>
      <c r="M37" s="16">
        <v>1</v>
      </c>
      <c r="N37" s="16" t="s">
        <v>370</v>
      </c>
      <c r="O37" s="16">
        <v>1</v>
      </c>
      <c r="P37" s="16" t="s">
        <v>370</v>
      </c>
      <c r="Q37" s="16">
        <v>1</v>
      </c>
      <c r="R37" s="16" t="s">
        <v>370</v>
      </c>
      <c r="S37" s="16">
        <v>1</v>
      </c>
      <c r="T37" s="16" t="s">
        <v>370</v>
      </c>
      <c r="U37" s="16">
        <v>1</v>
      </c>
      <c r="V37" s="16" t="s">
        <v>370</v>
      </c>
      <c r="W37" s="16">
        <v>1</v>
      </c>
      <c r="X37" s="16">
        <v>1</v>
      </c>
      <c r="Y37">
        <v>2</v>
      </c>
      <c r="Z37" t="s">
        <v>370</v>
      </c>
      <c r="AA37" t="s">
        <v>370</v>
      </c>
      <c r="AB37" t="s">
        <v>370</v>
      </c>
      <c r="AC37" t="s">
        <v>370</v>
      </c>
      <c r="AD37" t="s">
        <v>370</v>
      </c>
      <c r="AE37" t="s">
        <v>370</v>
      </c>
      <c r="AF37">
        <v>2</v>
      </c>
    </row>
    <row r="38" spans="6:32" x14ac:dyDescent="0.25">
      <c r="F38" s="16">
        <v>22</v>
      </c>
      <c r="G38" s="104">
        <v>50</v>
      </c>
      <c r="H38" s="16">
        <v>8</v>
      </c>
      <c r="I38" s="16">
        <v>31</v>
      </c>
      <c r="J38" s="16">
        <v>7</v>
      </c>
      <c r="K38" s="16">
        <v>32</v>
      </c>
      <c r="L38" s="16" t="s">
        <v>370</v>
      </c>
      <c r="M38" s="16">
        <v>1</v>
      </c>
      <c r="N38" s="16" t="s">
        <v>370</v>
      </c>
      <c r="O38" s="16">
        <v>1</v>
      </c>
      <c r="P38" s="16" t="s">
        <v>370</v>
      </c>
      <c r="Q38" s="16">
        <v>1</v>
      </c>
      <c r="R38" s="16" t="s">
        <v>370</v>
      </c>
      <c r="S38" s="16">
        <v>1</v>
      </c>
      <c r="T38" s="16" t="s">
        <v>370</v>
      </c>
      <c r="U38" s="16">
        <v>1</v>
      </c>
      <c r="V38" s="16" t="s">
        <v>370</v>
      </c>
      <c r="W38" s="16">
        <v>1</v>
      </c>
      <c r="X38" s="16">
        <v>1</v>
      </c>
      <c r="Y38">
        <v>2</v>
      </c>
      <c r="Z38" t="s">
        <v>370</v>
      </c>
      <c r="AA38" t="s">
        <v>370</v>
      </c>
      <c r="AB38" t="s">
        <v>370</v>
      </c>
      <c r="AC38" t="s">
        <v>370</v>
      </c>
      <c r="AD38" t="s">
        <v>370</v>
      </c>
      <c r="AE38" t="s">
        <v>370</v>
      </c>
      <c r="AF38">
        <v>2</v>
      </c>
    </row>
    <row r="39" spans="6:32" x14ac:dyDescent="0.25">
      <c r="F39" s="16">
        <v>23</v>
      </c>
      <c r="G39" s="104">
        <v>51</v>
      </c>
      <c r="H39" s="16">
        <v>6</v>
      </c>
      <c r="I39" s="16">
        <v>9</v>
      </c>
      <c r="J39" s="16">
        <v>6</v>
      </c>
      <c r="K39" s="16">
        <v>9</v>
      </c>
      <c r="L39" s="16" t="s">
        <v>370</v>
      </c>
      <c r="M39" s="16">
        <v>1</v>
      </c>
      <c r="N39" s="16" t="s">
        <v>370</v>
      </c>
      <c r="O39" s="16">
        <v>1</v>
      </c>
      <c r="P39" s="16" t="s">
        <v>370</v>
      </c>
      <c r="Q39" s="16">
        <v>1</v>
      </c>
      <c r="R39" s="16" t="s">
        <v>370</v>
      </c>
      <c r="S39" s="16">
        <v>1</v>
      </c>
      <c r="T39" s="16" t="s">
        <v>370</v>
      </c>
      <c r="U39" s="16">
        <v>1</v>
      </c>
      <c r="V39" s="16" t="s">
        <v>370</v>
      </c>
      <c r="W39" s="16">
        <v>1</v>
      </c>
      <c r="X39" s="16">
        <v>1</v>
      </c>
      <c r="Y39">
        <v>3</v>
      </c>
      <c r="Z39" t="s">
        <v>370</v>
      </c>
      <c r="AA39" t="s">
        <v>370</v>
      </c>
      <c r="AB39" t="s">
        <v>370</v>
      </c>
      <c r="AC39" t="s">
        <v>370</v>
      </c>
      <c r="AD39" t="s">
        <v>370</v>
      </c>
      <c r="AE39" t="s">
        <v>370</v>
      </c>
      <c r="AF39">
        <v>2</v>
      </c>
    </row>
    <row r="40" spans="6:32" x14ac:dyDescent="0.25">
      <c r="F40" s="16">
        <v>24</v>
      </c>
      <c r="G40" s="104">
        <v>52</v>
      </c>
      <c r="H40" s="16">
        <v>6</v>
      </c>
      <c r="I40" s="16">
        <v>31</v>
      </c>
      <c r="J40" s="16">
        <v>13</v>
      </c>
      <c r="K40" s="16">
        <v>30</v>
      </c>
      <c r="L40" s="16" t="s">
        <v>370</v>
      </c>
      <c r="M40" s="16">
        <v>1</v>
      </c>
      <c r="N40" s="16" t="s">
        <v>370</v>
      </c>
      <c r="O40" s="16">
        <v>1</v>
      </c>
      <c r="P40" s="16" t="s">
        <v>370</v>
      </c>
      <c r="Q40" s="16">
        <v>1</v>
      </c>
      <c r="R40" s="16" t="s">
        <v>370</v>
      </c>
      <c r="S40" s="16">
        <v>1</v>
      </c>
      <c r="T40" s="16" t="s">
        <v>370</v>
      </c>
      <c r="U40" s="16">
        <v>1</v>
      </c>
      <c r="V40" s="16" t="s">
        <v>370</v>
      </c>
      <c r="W40" s="16">
        <v>1</v>
      </c>
      <c r="X40">
        <v>1</v>
      </c>
      <c r="Y40">
        <v>7</v>
      </c>
      <c r="Z40" t="s">
        <v>370</v>
      </c>
      <c r="AA40" t="s">
        <v>370</v>
      </c>
      <c r="AB40" t="s">
        <v>370</v>
      </c>
      <c r="AC40" t="s">
        <v>370</v>
      </c>
      <c r="AD40" t="s">
        <v>370</v>
      </c>
      <c r="AE40" t="s">
        <v>370</v>
      </c>
      <c r="AF40">
        <v>2</v>
      </c>
    </row>
    <row r="41" spans="6:32" x14ac:dyDescent="0.25">
      <c r="F41" s="16">
        <v>25</v>
      </c>
      <c r="G41" s="104">
        <v>53</v>
      </c>
      <c r="H41" s="16">
        <v>29</v>
      </c>
      <c r="I41" s="16">
        <v>74</v>
      </c>
      <c r="J41" s="16">
        <v>39</v>
      </c>
      <c r="K41" s="16">
        <v>74</v>
      </c>
      <c r="L41" s="16" t="s">
        <v>370</v>
      </c>
      <c r="M41" s="16">
        <v>1</v>
      </c>
      <c r="N41" s="16" t="s">
        <v>370</v>
      </c>
      <c r="O41" s="16">
        <v>1</v>
      </c>
      <c r="P41" s="16" t="s">
        <v>370</v>
      </c>
      <c r="Q41" s="16">
        <v>1</v>
      </c>
      <c r="R41" s="16" t="s">
        <v>370</v>
      </c>
      <c r="S41" s="16">
        <v>1</v>
      </c>
      <c r="T41" s="16" t="s">
        <v>370</v>
      </c>
      <c r="U41" s="16">
        <v>1</v>
      </c>
      <c r="V41" s="16" t="s">
        <v>370</v>
      </c>
      <c r="W41" s="16">
        <v>1</v>
      </c>
      <c r="X41">
        <v>1</v>
      </c>
      <c r="Y41">
        <v>2</v>
      </c>
      <c r="Z41" t="s">
        <v>370</v>
      </c>
      <c r="AA41" t="s">
        <v>370</v>
      </c>
      <c r="AB41" t="s">
        <v>370</v>
      </c>
      <c r="AC41" t="s">
        <v>370</v>
      </c>
      <c r="AD41" t="s">
        <v>370</v>
      </c>
      <c r="AE41" t="s">
        <v>370</v>
      </c>
      <c r="AF41">
        <v>2</v>
      </c>
    </row>
    <row r="42" spans="6:32" x14ac:dyDescent="0.25">
      <c r="F42" s="16">
        <v>26</v>
      </c>
      <c r="G42" s="104">
        <v>57</v>
      </c>
      <c r="H42" s="16">
        <v>8</v>
      </c>
      <c r="I42" s="16">
        <v>24</v>
      </c>
      <c r="J42" s="16">
        <v>8</v>
      </c>
      <c r="K42" s="16">
        <v>22</v>
      </c>
      <c r="L42" s="16" t="s">
        <v>370</v>
      </c>
      <c r="M42" s="16">
        <v>1</v>
      </c>
      <c r="N42" s="16" t="s">
        <v>370</v>
      </c>
      <c r="O42" s="16">
        <v>1</v>
      </c>
      <c r="P42" s="16" t="s">
        <v>370</v>
      </c>
      <c r="Q42" s="16">
        <v>1</v>
      </c>
      <c r="R42" s="16" t="s">
        <v>370</v>
      </c>
      <c r="S42" s="16">
        <v>1</v>
      </c>
      <c r="T42" s="16" t="s">
        <v>370</v>
      </c>
      <c r="U42" s="16">
        <v>1</v>
      </c>
      <c r="V42" s="16" t="s">
        <v>370</v>
      </c>
      <c r="W42" s="16">
        <v>1</v>
      </c>
      <c r="X42">
        <v>1</v>
      </c>
      <c r="Y42">
        <v>2</v>
      </c>
      <c r="Z42" t="s">
        <v>370</v>
      </c>
      <c r="AA42" t="s">
        <v>370</v>
      </c>
      <c r="AB42" t="s">
        <v>370</v>
      </c>
      <c r="AC42" t="s">
        <v>370</v>
      </c>
      <c r="AD42" t="s">
        <v>370</v>
      </c>
      <c r="AE42" t="s">
        <v>370</v>
      </c>
      <c r="AF42">
        <v>2</v>
      </c>
    </row>
    <row r="43" spans="6:32" x14ac:dyDescent="0.25">
      <c r="F43" s="16">
        <v>27</v>
      </c>
      <c r="G43" s="104">
        <v>58</v>
      </c>
      <c r="H43" s="16">
        <v>9</v>
      </c>
      <c r="I43" s="16">
        <v>28</v>
      </c>
      <c r="J43" s="16">
        <v>6</v>
      </c>
      <c r="K43" s="16">
        <v>27</v>
      </c>
      <c r="L43" s="16" t="s">
        <v>370</v>
      </c>
      <c r="M43" s="16">
        <v>1</v>
      </c>
      <c r="N43" s="16" t="s">
        <v>370</v>
      </c>
      <c r="O43" s="16">
        <v>1</v>
      </c>
      <c r="P43" s="16" t="s">
        <v>370</v>
      </c>
      <c r="Q43" s="16">
        <v>1</v>
      </c>
      <c r="R43" s="16" t="s">
        <v>370</v>
      </c>
      <c r="S43" s="16">
        <v>1</v>
      </c>
      <c r="T43" s="16" t="s">
        <v>370</v>
      </c>
      <c r="U43" s="16">
        <v>1</v>
      </c>
      <c r="V43" s="16" t="s">
        <v>370</v>
      </c>
      <c r="W43" s="16">
        <v>1</v>
      </c>
      <c r="X43">
        <v>1</v>
      </c>
      <c r="Y43">
        <v>8</v>
      </c>
      <c r="Z43" t="s">
        <v>370</v>
      </c>
      <c r="AA43" t="s">
        <v>370</v>
      </c>
      <c r="AB43" t="s">
        <v>370</v>
      </c>
      <c r="AC43" t="s">
        <v>370</v>
      </c>
      <c r="AD43" t="s">
        <v>370</v>
      </c>
      <c r="AE43" t="s">
        <v>370</v>
      </c>
      <c r="AF43">
        <v>2</v>
      </c>
    </row>
    <row r="44" spans="6:32" x14ac:dyDescent="0.25">
      <c r="F44" s="16">
        <v>28</v>
      </c>
      <c r="G44" s="104">
        <v>60</v>
      </c>
      <c r="H44" s="16">
        <v>11</v>
      </c>
      <c r="I44" s="16">
        <v>32</v>
      </c>
      <c r="J44" s="16">
        <v>21</v>
      </c>
      <c r="K44" s="16">
        <v>32</v>
      </c>
      <c r="L44" s="16" t="s">
        <v>370</v>
      </c>
      <c r="M44" s="16">
        <v>1</v>
      </c>
      <c r="N44" s="16" t="s">
        <v>370</v>
      </c>
      <c r="O44" s="16">
        <v>1</v>
      </c>
      <c r="P44" s="16" t="s">
        <v>370</v>
      </c>
      <c r="Q44" s="16">
        <v>1</v>
      </c>
      <c r="R44" s="16" t="s">
        <v>370</v>
      </c>
      <c r="S44" s="16">
        <v>1</v>
      </c>
      <c r="T44" s="16" t="s">
        <v>370</v>
      </c>
      <c r="U44" s="16">
        <v>1</v>
      </c>
      <c r="V44" s="16" t="s">
        <v>370</v>
      </c>
      <c r="W44" s="16">
        <v>1</v>
      </c>
      <c r="X44">
        <v>3</v>
      </c>
      <c r="Y44">
        <v>8</v>
      </c>
      <c r="Z44" t="s">
        <v>370</v>
      </c>
      <c r="AA44" t="s">
        <v>370</v>
      </c>
      <c r="AB44" t="s">
        <v>370</v>
      </c>
      <c r="AC44" t="s">
        <v>370</v>
      </c>
      <c r="AD44" t="s">
        <v>370</v>
      </c>
      <c r="AE44" t="s">
        <v>370</v>
      </c>
      <c r="AF44">
        <v>2</v>
      </c>
    </row>
    <row r="45" spans="6:32" x14ac:dyDescent="0.25">
      <c r="F45" s="16">
        <v>29</v>
      </c>
      <c r="G45" s="104">
        <v>62</v>
      </c>
      <c r="H45" s="16">
        <v>7</v>
      </c>
      <c r="I45" s="16">
        <v>24</v>
      </c>
      <c r="J45" s="16">
        <v>7</v>
      </c>
      <c r="K45" s="16">
        <v>23</v>
      </c>
      <c r="L45" s="16" t="s">
        <v>370</v>
      </c>
      <c r="M45" s="16">
        <v>1</v>
      </c>
      <c r="N45" s="16" t="s">
        <v>370</v>
      </c>
      <c r="O45" s="16">
        <v>1</v>
      </c>
      <c r="P45" s="16" t="s">
        <v>370</v>
      </c>
      <c r="Q45" s="16">
        <v>1</v>
      </c>
      <c r="R45" s="16" t="s">
        <v>370</v>
      </c>
      <c r="S45" s="16">
        <v>1</v>
      </c>
      <c r="T45" s="16" t="s">
        <v>370</v>
      </c>
      <c r="U45" s="16">
        <v>1</v>
      </c>
      <c r="V45" s="16" t="s">
        <v>370</v>
      </c>
      <c r="W45" s="16">
        <v>1</v>
      </c>
      <c r="X45">
        <v>1</v>
      </c>
      <c r="Y45">
        <v>2</v>
      </c>
      <c r="Z45" t="s">
        <v>370</v>
      </c>
      <c r="AA45" t="s">
        <v>370</v>
      </c>
      <c r="AB45" t="s">
        <v>370</v>
      </c>
      <c r="AC45" t="s">
        <v>370</v>
      </c>
      <c r="AD45" t="s">
        <v>370</v>
      </c>
      <c r="AE45" t="s">
        <v>370</v>
      </c>
      <c r="AF45">
        <v>2</v>
      </c>
    </row>
    <row r="46" spans="6:32" x14ac:dyDescent="0.25">
      <c r="F46" s="16">
        <v>30</v>
      </c>
      <c r="G46" s="104">
        <v>63</v>
      </c>
      <c r="H46">
        <v>8</v>
      </c>
      <c r="I46">
        <v>19</v>
      </c>
      <c r="J46">
        <v>5</v>
      </c>
      <c r="K46">
        <v>16</v>
      </c>
      <c r="L46" t="s">
        <v>370</v>
      </c>
      <c r="M46">
        <v>1</v>
      </c>
      <c r="N46" t="s">
        <v>370</v>
      </c>
      <c r="O46">
        <v>1</v>
      </c>
      <c r="P46" t="s">
        <v>370</v>
      </c>
      <c r="Q46">
        <v>1</v>
      </c>
      <c r="R46" t="s">
        <v>370</v>
      </c>
      <c r="S46">
        <v>1</v>
      </c>
      <c r="T46" t="s">
        <v>370</v>
      </c>
      <c r="U46">
        <v>1</v>
      </c>
      <c r="V46" t="s">
        <v>370</v>
      </c>
      <c r="W46">
        <v>1</v>
      </c>
      <c r="X46">
        <v>1</v>
      </c>
      <c r="Y46">
        <v>2</v>
      </c>
      <c r="Z46" t="s">
        <v>370</v>
      </c>
      <c r="AA46" t="s">
        <v>370</v>
      </c>
      <c r="AB46" t="s">
        <v>370</v>
      </c>
      <c r="AC46" t="s">
        <v>370</v>
      </c>
      <c r="AD46" t="s">
        <v>370</v>
      </c>
      <c r="AE46" t="s">
        <v>370</v>
      </c>
      <c r="AF46">
        <v>2</v>
      </c>
    </row>
    <row r="47" spans="6:32" x14ac:dyDescent="0.25">
      <c r="F47" s="16">
        <v>31</v>
      </c>
      <c r="G47" s="104">
        <v>66</v>
      </c>
      <c r="H47">
        <v>51</v>
      </c>
      <c r="I47">
        <v>73</v>
      </c>
      <c r="J47">
        <v>45</v>
      </c>
      <c r="K47">
        <v>71</v>
      </c>
      <c r="L47" t="s">
        <v>370</v>
      </c>
      <c r="M47">
        <v>1</v>
      </c>
      <c r="N47" t="s">
        <v>370</v>
      </c>
      <c r="O47">
        <v>1</v>
      </c>
      <c r="P47" t="s">
        <v>370</v>
      </c>
      <c r="Q47">
        <v>1</v>
      </c>
      <c r="R47" t="s">
        <v>370</v>
      </c>
      <c r="S47">
        <v>1</v>
      </c>
      <c r="T47" t="s">
        <v>370</v>
      </c>
      <c r="U47">
        <v>1</v>
      </c>
      <c r="V47" t="s">
        <v>370</v>
      </c>
      <c r="W47">
        <v>1</v>
      </c>
      <c r="X47">
        <v>1</v>
      </c>
      <c r="Y47">
        <v>2</v>
      </c>
      <c r="Z47" t="s">
        <v>370</v>
      </c>
      <c r="AA47" t="s">
        <v>370</v>
      </c>
      <c r="AB47" t="s">
        <v>370</v>
      </c>
      <c r="AC47" t="s">
        <v>370</v>
      </c>
      <c r="AD47" t="s">
        <v>370</v>
      </c>
      <c r="AE47" t="s">
        <v>370</v>
      </c>
      <c r="AF47">
        <v>2</v>
      </c>
    </row>
    <row r="48" spans="6:32" x14ac:dyDescent="0.25">
      <c r="F48" s="16">
        <v>32</v>
      </c>
      <c r="G48" s="104">
        <v>68</v>
      </c>
      <c r="H48">
        <v>6</v>
      </c>
      <c r="I48">
        <v>43</v>
      </c>
      <c r="J48">
        <v>5</v>
      </c>
      <c r="K48">
        <v>44</v>
      </c>
      <c r="L48" t="s">
        <v>370</v>
      </c>
      <c r="M48">
        <v>1</v>
      </c>
      <c r="N48" t="s">
        <v>370</v>
      </c>
      <c r="O48">
        <v>1</v>
      </c>
      <c r="P48" t="s">
        <v>370</v>
      </c>
      <c r="Q48">
        <v>1</v>
      </c>
      <c r="R48" t="s">
        <v>370</v>
      </c>
      <c r="S48">
        <v>1</v>
      </c>
      <c r="T48" t="s">
        <v>370</v>
      </c>
      <c r="U48">
        <v>1</v>
      </c>
      <c r="V48" t="s">
        <v>370</v>
      </c>
      <c r="W48">
        <v>1</v>
      </c>
      <c r="X48">
        <v>3</v>
      </c>
      <c r="Y48">
        <v>4</v>
      </c>
      <c r="Z48" t="s">
        <v>370</v>
      </c>
      <c r="AA48" t="s">
        <v>370</v>
      </c>
      <c r="AB48" t="s">
        <v>370</v>
      </c>
      <c r="AC48" t="s">
        <v>370</v>
      </c>
      <c r="AD48" t="s">
        <v>370</v>
      </c>
      <c r="AE48" t="s">
        <v>370</v>
      </c>
      <c r="AF48">
        <v>2</v>
      </c>
    </row>
    <row r="49" spans="6:8" x14ac:dyDescent="0.25">
      <c r="F49" s="16"/>
      <c r="G49" s="104"/>
      <c r="H49" t="s">
        <v>371</v>
      </c>
    </row>
    <row r="50" spans="6:8" x14ac:dyDescent="0.25">
      <c r="F50" s="16"/>
      <c r="G50" s="104"/>
    </row>
    <row r="51" spans="6:8" x14ac:dyDescent="0.25">
      <c r="F51" s="16"/>
      <c r="G51" s="104"/>
    </row>
    <row r="52" spans="6:8" x14ac:dyDescent="0.25">
      <c r="F52" s="16"/>
      <c r="G52" s="104"/>
    </row>
    <row r="53" spans="6:8" x14ac:dyDescent="0.25">
      <c r="F53" s="16"/>
      <c r="G53" s="104"/>
    </row>
    <row r="54" spans="6:8" x14ac:dyDescent="0.25">
      <c r="F54" s="16"/>
      <c r="G54" s="104"/>
    </row>
    <row r="55" spans="6:8" x14ac:dyDescent="0.25">
      <c r="F55" s="16"/>
      <c r="G55" s="104"/>
    </row>
    <row r="56" spans="6:8" x14ac:dyDescent="0.25">
      <c r="F56" s="16"/>
      <c r="G56" s="104"/>
    </row>
    <row r="57" spans="6:8" x14ac:dyDescent="0.25">
      <c r="F57" s="16"/>
      <c r="G57" s="104"/>
    </row>
    <row r="58" spans="6:8" x14ac:dyDescent="0.25">
      <c r="F58" s="16"/>
      <c r="G58" s="104"/>
    </row>
    <row r="59" spans="6:8" x14ac:dyDescent="0.25">
      <c r="G59" s="104"/>
    </row>
    <row r="60" spans="6:8" x14ac:dyDescent="0.25">
      <c r="G60" s="104"/>
    </row>
    <row r="61" spans="6:8" x14ac:dyDescent="0.25">
      <c r="G61" s="104"/>
    </row>
    <row r="62" spans="6:8" x14ac:dyDescent="0.25">
      <c r="G62" s="104"/>
    </row>
  </sheetData>
  <mergeCells count="1">
    <mergeCell ref="B2:C2"/>
  </mergeCells>
  <conditionalFormatting sqref="H27 H17:K26 H15:K15 H13:K13">
    <cfRule type="expression" dxfId="1" priority="1">
      <formula>H13="NA"</formula>
    </cfRule>
  </conditionalFormatting>
  <pageMargins left="0.7" right="0.7" top="0.75" bottom="0.75" header="0.3" footer="0.3"/>
  <pageSetup orientation="portrait" r:id="rId1"/>
  <customProperties>
    <customPr name="SSCSheetTrackingNo" r:id="rId2"/>
  </customProperties>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3"/>
  </sheetPr>
  <dimension ref="B1:Z20"/>
  <sheetViews>
    <sheetView showGridLines="0" zoomScale="120" zoomScaleNormal="120" workbookViewId="0">
      <selection activeCell="H5" sqref="H5"/>
    </sheetView>
  </sheetViews>
  <sheetFormatPr defaultRowHeight="15" x14ac:dyDescent="0.25"/>
  <cols>
    <col min="1" max="1" width="6.28515625" customWidth="1"/>
    <col min="2" max="2" width="21.85546875" customWidth="1"/>
    <col min="3" max="3" width="12.5703125" bestFit="1" customWidth="1"/>
    <col min="4" max="4" width="8.85546875" customWidth="1"/>
    <col min="5" max="5" width="8.85546875" hidden="1" customWidth="1"/>
    <col min="6" max="6" width="11.140625" customWidth="1"/>
    <col min="7" max="7" width="20" customWidth="1"/>
    <col min="8" max="8" width="4.7109375" bestFit="1" customWidth="1"/>
    <col min="9" max="9" width="5.140625" bestFit="1" customWidth="1"/>
    <col min="10" max="10" width="4.7109375" bestFit="1" customWidth="1"/>
    <col min="11" max="11" width="5.140625" bestFit="1" customWidth="1"/>
    <col min="12" max="12" width="4.7109375" bestFit="1" customWidth="1"/>
    <col min="13" max="13" width="5.140625" bestFit="1" customWidth="1"/>
    <col min="14" max="14" width="4.7109375" bestFit="1" customWidth="1"/>
    <col min="15" max="15" width="5.140625" bestFit="1" customWidth="1"/>
    <col min="16" max="16" width="4.7109375" bestFit="1" customWidth="1"/>
    <col min="17" max="17" width="5.140625" bestFit="1" customWidth="1"/>
  </cols>
  <sheetData>
    <row r="1" spans="2:26" ht="87" customHeight="1" thickBot="1" x14ac:dyDescent="0.3">
      <c r="J1" s="22" t="s">
        <v>121</v>
      </c>
    </row>
    <row r="2" spans="2:26" ht="19.5" thickBot="1" x14ac:dyDescent="0.35">
      <c r="B2" s="257" t="s">
        <v>13</v>
      </c>
      <c r="C2" s="258"/>
      <c r="H2" s="9" t="s">
        <v>127</v>
      </c>
      <c r="I2" s="10"/>
      <c r="J2" s="10"/>
      <c r="K2" s="10"/>
      <c r="L2" s="10"/>
      <c r="M2" s="10"/>
      <c r="N2" s="10"/>
      <c r="O2" s="10"/>
      <c r="P2" s="10"/>
      <c r="Q2" s="10"/>
      <c r="R2" s="10"/>
      <c r="S2" s="10"/>
      <c r="T2" s="10"/>
    </row>
    <row r="3" spans="2:26" ht="15.75" thickBot="1" x14ac:dyDescent="0.3">
      <c r="B3" s="4" t="s">
        <v>8</v>
      </c>
      <c r="C3" s="3" t="s">
        <v>7</v>
      </c>
      <c r="H3" t="s">
        <v>741</v>
      </c>
    </row>
    <row r="4" spans="2:26" x14ac:dyDescent="0.25">
      <c r="B4" s="5" t="str">
        <f>IF('DATA Input'!E5="","",'DATA Input'!E5)</f>
        <v>INDOIV</v>
      </c>
      <c r="C4" s="1">
        <f>IF(B4="","",1)</f>
        <v>1</v>
      </c>
      <c r="H4" t="s">
        <v>742</v>
      </c>
    </row>
    <row r="5" spans="2:26" x14ac:dyDescent="0.25">
      <c r="B5" s="5" t="str">
        <f>IF('DATA Input'!G5="","",'DATA Input'!G5)</f>
        <v>IBUIV</v>
      </c>
      <c r="C5" s="1">
        <f>IF(B5="","",C4+1)</f>
        <v>2</v>
      </c>
      <c r="H5" t="s">
        <v>743</v>
      </c>
    </row>
    <row r="6" spans="2:26" ht="15.75" x14ac:dyDescent="0.25">
      <c r="B6" s="5" t="str">
        <f>IF('DATA Input'!I5="","",'DATA Input'!I5)</f>
        <v>IBUPO</v>
      </c>
      <c r="C6" s="1">
        <f t="shared" ref="C6:C18" si="0">IF(B6="","",C5+1)</f>
        <v>3</v>
      </c>
      <c r="H6" s="9" t="s">
        <v>126</v>
      </c>
      <c r="I6" s="10"/>
      <c r="J6" s="10"/>
      <c r="K6" s="10"/>
      <c r="L6" s="10"/>
      <c r="M6" s="10"/>
      <c r="N6" s="10"/>
      <c r="O6" s="10"/>
      <c r="P6" s="10"/>
      <c r="Q6" s="10"/>
      <c r="R6" s="10"/>
      <c r="S6" s="10"/>
      <c r="T6" s="10"/>
    </row>
    <row r="7" spans="2:26" x14ac:dyDescent="0.25">
      <c r="B7" s="5" t="str">
        <f>IF('DATA Input'!K$5="","",'DATA Input'!K$5)</f>
        <v>PARAPO</v>
      </c>
      <c r="C7" s="1">
        <f t="shared" si="0"/>
        <v>4</v>
      </c>
      <c r="H7" t="s">
        <v>682</v>
      </c>
    </row>
    <row r="8" spans="2:26" x14ac:dyDescent="0.25">
      <c r="B8" s="5" t="str">
        <f>IF('DATA Input'!M$5="","",'DATA Input'!M$5)</f>
        <v>IBUIVHIGHDOSE</v>
      </c>
      <c r="C8" s="1">
        <f t="shared" si="0"/>
        <v>5</v>
      </c>
      <c r="H8" t="s">
        <v>683</v>
      </c>
    </row>
    <row r="9" spans="2:26" x14ac:dyDescent="0.25">
      <c r="B9" s="5" t="str">
        <f>IF('DATA Input'!O$5="","",'DATA Input'!O$5)</f>
        <v>IBUIVCONT</v>
      </c>
      <c r="C9" s="1">
        <f t="shared" si="0"/>
        <v>6</v>
      </c>
      <c r="H9" t="s">
        <v>684</v>
      </c>
    </row>
    <row r="10" spans="2:26" x14ac:dyDescent="0.25">
      <c r="B10" s="5" t="str">
        <f>IF('DATA Input'!Q$5="","",'DATA Input'!Q$5)</f>
        <v>INDOTHERS</v>
      </c>
      <c r="C10" s="1">
        <f t="shared" si="0"/>
        <v>7</v>
      </c>
      <c r="H10" s="259" t="s">
        <v>128</v>
      </c>
      <c r="I10" s="259"/>
      <c r="J10" s="259"/>
      <c r="K10" s="259"/>
      <c r="L10" s="259"/>
      <c r="M10" s="259"/>
      <c r="N10" s="259"/>
      <c r="O10" s="259"/>
      <c r="P10" s="259"/>
      <c r="Q10" s="259"/>
      <c r="R10" s="259"/>
      <c r="S10" s="259"/>
      <c r="T10" s="259"/>
      <c r="U10" s="259"/>
      <c r="V10" s="259"/>
      <c r="W10" s="259"/>
    </row>
    <row r="11" spans="2:26" x14ac:dyDescent="0.25">
      <c r="B11" s="5" t="str">
        <f>IF('DATA Input'!S$5="","",'DATA Input'!S$5)</f>
        <v>PLAC_NORX</v>
      </c>
      <c r="C11" s="1">
        <f t="shared" si="0"/>
        <v>8</v>
      </c>
      <c r="H11" t="s">
        <v>717</v>
      </c>
    </row>
    <row r="12" spans="2:26" x14ac:dyDescent="0.25">
      <c r="B12" s="5" t="str">
        <f>IF('DATA Input'!U$5="","",'DATA Input'!U$5)</f>
        <v/>
      </c>
      <c r="C12" s="1" t="str">
        <f t="shared" si="0"/>
        <v/>
      </c>
      <c r="F12" s="51"/>
      <c r="G12" s="7"/>
      <c r="H12" s="16"/>
      <c r="I12" s="16"/>
      <c r="J12" s="16"/>
      <c r="K12" s="16"/>
      <c r="L12" s="16"/>
      <c r="M12" s="16"/>
      <c r="N12" s="16"/>
      <c r="O12" s="16"/>
      <c r="P12" s="16"/>
      <c r="Q12" s="16"/>
    </row>
    <row r="13" spans="2:26" x14ac:dyDescent="0.25">
      <c r="B13" s="5" t="str">
        <f>IF('DATA Input'!W$5="","",'DATA Input'!W$5)</f>
        <v/>
      </c>
      <c r="C13" s="1" t="str">
        <f t="shared" si="0"/>
        <v/>
      </c>
      <c r="F13" s="16"/>
      <c r="H13" s="16"/>
      <c r="I13" s="16"/>
      <c r="J13" s="16"/>
      <c r="K13" s="16"/>
      <c r="L13" s="16"/>
      <c r="M13" s="16"/>
      <c r="N13" s="16"/>
      <c r="O13" s="16"/>
      <c r="P13" s="16"/>
      <c r="Q13" s="16"/>
      <c r="R13" s="16"/>
      <c r="S13" s="16"/>
      <c r="T13" s="16"/>
      <c r="U13" s="16"/>
      <c r="V13" s="16"/>
      <c r="W13" s="16"/>
      <c r="X13" s="16"/>
      <c r="Y13" s="16"/>
      <c r="Z13" s="16"/>
    </row>
    <row r="14" spans="2:26" x14ac:dyDescent="0.25">
      <c r="B14" s="5" t="str">
        <f>IF('DATA Input'!Y$5="","",'DATA Input'!Y$5)</f>
        <v/>
      </c>
      <c r="C14" s="1" t="str">
        <f t="shared" si="0"/>
        <v/>
      </c>
      <c r="F14" s="16"/>
      <c r="H14" s="16"/>
      <c r="I14" s="16"/>
      <c r="J14" s="16"/>
      <c r="K14" s="16"/>
      <c r="L14" s="16"/>
      <c r="M14" s="16"/>
      <c r="N14" s="16"/>
      <c r="O14" s="16"/>
      <c r="P14" s="16"/>
      <c r="Q14" s="16"/>
      <c r="R14" s="16"/>
      <c r="S14" s="16"/>
      <c r="T14" s="16"/>
      <c r="U14" s="16"/>
      <c r="V14" s="16"/>
      <c r="W14" s="16"/>
      <c r="X14" s="16"/>
      <c r="Y14" s="16"/>
      <c r="Z14" s="16"/>
    </row>
    <row r="15" spans="2:26" x14ac:dyDescent="0.25">
      <c r="B15" s="5" t="str">
        <f>IF('DATA Input'!AA$5="","",'DATA Input'!AA$5)</f>
        <v/>
      </c>
      <c r="C15" s="1" t="str">
        <f t="shared" si="0"/>
        <v/>
      </c>
      <c r="F15" s="16"/>
      <c r="H15" s="16"/>
      <c r="I15" s="16"/>
      <c r="J15" s="16"/>
      <c r="K15" s="16"/>
      <c r="L15" s="16"/>
      <c r="M15" s="16"/>
      <c r="N15" s="16"/>
      <c r="O15" s="16"/>
      <c r="P15" s="16"/>
      <c r="Q15" s="16"/>
      <c r="R15" s="16"/>
      <c r="S15" s="16"/>
      <c r="T15" s="16"/>
      <c r="U15" s="16"/>
      <c r="V15" s="16"/>
      <c r="W15" s="16"/>
      <c r="X15" s="16"/>
      <c r="Y15" s="16"/>
      <c r="Z15" s="16"/>
    </row>
    <row r="16" spans="2:26" x14ac:dyDescent="0.25">
      <c r="B16" s="5" t="str">
        <f>IF('DATA Input'!AC$5="","",'DATA Input'!AC$5)</f>
        <v/>
      </c>
      <c r="C16" s="1" t="str">
        <f t="shared" si="0"/>
        <v/>
      </c>
      <c r="F16" s="16"/>
      <c r="H16" s="16"/>
      <c r="I16" s="16"/>
      <c r="J16" s="16"/>
      <c r="K16" s="16"/>
      <c r="L16" s="16"/>
      <c r="M16" s="16"/>
      <c r="N16" s="16"/>
      <c r="O16" s="16"/>
      <c r="P16" s="16"/>
      <c r="Q16" s="16"/>
      <c r="R16" s="16"/>
      <c r="S16" s="16"/>
      <c r="T16" s="16"/>
      <c r="U16" s="16"/>
      <c r="V16" s="16"/>
      <c r="W16" s="16"/>
      <c r="X16" s="16"/>
      <c r="Y16" s="16"/>
      <c r="Z16" s="16"/>
    </row>
    <row r="17" spans="2:26" x14ac:dyDescent="0.25">
      <c r="B17" s="5" t="str">
        <f>IF('DATA Input'!AE$5="","",'DATA Input'!AE$5)</f>
        <v/>
      </c>
      <c r="C17" s="1" t="str">
        <f t="shared" si="0"/>
        <v/>
      </c>
      <c r="F17" s="16"/>
      <c r="H17" s="16"/>
      <c r="I17" s="16"/>
      <c r="J17" s="16"/>
      <c r="K17" s="16"/>
      <c r="L17" s="16"/>
      <c r="M17" s="16"/>
      <c r="N17" s="16"/>
      <c r="O17" s="16"/>
      <c r="P17" s="16"/>
      <c r="Q17" s="16"/>
      <c r="R17" s="16"/>
      <c r="S17" s="16"/>
      <c r="T17" s="16"/>
      <c r="U17" s="16"/>
      <c r="V17" s="16"/>
      <c r="W17" s="16"/>
      <c r="X17" s="16"/>
      <c r="Y17" s="16"/>
      <c r="Z17" s="16"/>
    </row>
    <row r="18" spans="2:26" ht="15.75" thickBot="1" x14ac:dyDescent="0.3">
      <c r="B18" s="6" t="str">
        <f>IF('DATA Input'!AG$5="","",'DATA Input'!AG$5)</f>
        <v/>
      </c>
      <c r="C18" s="2" t="str">
        <f t="shared" si="0"/>
        <v/>
      </c>
      <c r="F18" s="16"/>
      <c r="H18" s="16"/>
      <c r="I18" s="16"/>
      <c r="J18" s="16"/>
      <c r="K18" s="16"/>
      <c r="L18" s="16"/>
      <c r="M18" s="16"/>
      <c r="N18" s="16"/>
      <c r="O18" s="16"/>
      <c r="P18" s="16"/>
      <c r="Q18" s="16"/>
      <c r="R18" s="16"/>
      <c r="S18" s="16"/>
      <c r="T18" s="16"/>
      <c r="U18" s="16"/>
      <c r="V18" s="16"/>
      <c r="W18" s="16"/>
      <c r="X18" s="16"/>
      <c r="Y18" s="16"/>
      <c r="Z18" s="16"/>
    </row>
    <row r="19" spans="2:26" x14ac:dyDescent="0.25">
      <c r="F19" s="16"/>
      <c r="H19" s="16"/>
      <c r="I19" s="16"/>
      <c r="J19" s="16"/>
      <c r="K19" s="16"/>
      <c r="L19" s="16"/>
      <c r="M19" s="16"/>
      <c r="N19" s="16"/>
      <c r="O19" s="16"/>
      <c r="P19" s="16"/>
      <c r="Q19" s="16"/>
      <c r="R19" s="16"/>
      <c r="S19" s="16"/>
      <c r="T19" s="16"/>
      <c r="U19" s="16"/>
      <c r="V19" s="16"/>
      <c r="W19" s="16"/>
      <c r="X19" s="16"/>
      <c r="Y19" s="16"/>
      <c r="Z19" s="16"/>
    </row>
    <row r="20" spans="2:26" x14ac:dyDescent="0.25">
      <c r="F20" s="16"/>
      <c r="H20" s="16"/>
      <c r="I20" s="16"/>
      <c r="J20" s="16"/>
      <c r="K20" s="16"/>
      <c r="L20" s="16"/>
      <c r="M20" s="16"/>
      <c r="N20" s="16"/>
      <c r="O20" s="16"/>
      <c r="P20" s="16"/>
      <c r="Q20" s="16"/>
      <c r="R20" s="16"/>
      <c r="S20" s="16"/>
      <c r="T20" s="16"/>
      <c r="U20" s="16"/>
      <c r="V20" s="16"/>
      <c r="W20" s="16"/>
      <c r="X20" s="16"/>
      <c r="Y20" s="16"/>
      <c r="Z20" s="16"/>
    </row>
  </sheetData>
  <mergeCells count="2">
    <mergeCell ref="B2:C2"/>
    <mergeCell ref="H10:W10"/>
  </mergeCells>
  <conditionalFormatting sqref="H13:K20">
    <cfRule type="expression" dxfId="0" priority="1">
      <formula>H13="NA"</formula>
    </cfRule>
  </conditionalFormatting>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rgb="FFC00000"/>
  </sheetPr>
  <dimension ref="D5:K148"/>
  <sheetViews>
    <sheetView showGridLines="0" topLeftCell="A14" workbookViewId="0">
      <selection activeCell="O18" sqref="O18"/>
    </sheetView>
  </sheetViews>
  <sheetFormatPr defaultRowHeight="15" x14ac:dyDescent="0.25"/>
  <cols>
    <col min="4" max="4" width="55.28515625" customWidth="1"/>
    <col min="5" max="5" width="11.42578125" customWidth="1"/>
    <col min="6" max="6" width="9.28515625" customWidth="1"/>
    <col min="7" max="7" width="12.42578125" customWidth="1"/>
    <col min="8" max="10" width="14.7109375" bestFit="1" customWidth="1"/>
  </cols>
  <sheetData>
    <row r="5" spans="4:5" ht="16.5" thickBot="1" x14ac:dyDescent="0.3">
      <c r="D5" s="204" t="s">
        <v>281</v>
      </c>
    </row>
    <row r="6" spans="4:5" ht="15.75" thickBot="1" x14ac:dyDescent="0.3">
      <c r="D6" s="207" t="s">
        <v>275</v>
      </c>
      <c r="E6" s="208" t="s">
        <v>276</v>
      </c>
    </row>
    <row r="7" spans="4:5" x14ac:dyDescent="0.25">
      <c r="D7" s="205" t="s">
        <v>288</v>
      </c>
      <c r="E7" s="206">
        <f>num_treatments</f>
        <v>8</v>
      </c>
    </row>
    <row r="8" spans="4:5" x14ac:dyDescent="0.25">
      <c r="D8" s="179" t="s">
        <v>14</v>
      </c>
      <c r="E8" s="181">
        <f>num_studies</f>
        <v>32</v>
      </c>
    </row>
    <row r="9" spans="4:5" x14ac:dyDescent="0.25">
      <c r="D9" s="179" t="s">
        <v>289</v>
      </c>
      <c r="E9" s="182">
        <f>max_total</f>
        <v>2618</v>
      </c>
    </row>
    <row r="10" spans="4:5" x14ac:dyDescent="0.25">
      <c r="D10" s="179" t="s">
        <v>290</v>
      </c>
      <c r="E10" s="182">
        <f>SUM('DATA Input'!E7:E55,'DATA Input'!G7:G56,'DATA Input'!I7:I56,'DATA Input'!K7:K56,'DATA Input'!M7:M56,'DATA Input'!O7:O56,'DATA Input'!Q7:Q56,'DATA Input'!S7:S56,'DATA Input'!U7:U56,'DATA Input'!W7:W56,'DATA Input'!Y7:Y56,'DATA Input'!AA7:AA56,'DATA Input'!AC7:AC56,'DATA Input'!AE7:AE56,'DATA Input'!AG7:AG56)</f>
        <v>868</v>
      </c>
    </row>
    <row r="11" spans="4:5" x14ac:dyDescent="0.25">
      <c r="D11" s="179" t="s">
        <v>291</v>
      </c>
      <c r="E11" s="181">
        <f>COMBIN(E7,2)</f>
        <v>28</v>
      </c>
    </row>
    <row r="12" spans="4:5" x14ac:dyDescent="0.25">
      <c r="D12" s="179" t="s">
        <v>292</v>
      </c>
      <c r="E12" s="181">
        <f>Unique_connections(list)</f>
        <v>12</v>
      </c>
    </row>
    <row r="13" spans="4:5" x14ac:dyDescent="0.25">
      <c r="D13" s="179" t="s">
        <v>293</v>
      </c>
      <c r="E13" s="181">
        <f ca="1">COUNTIF(OFFSET('WINBUGS data'!G17:G66,0,MATCH("na[]",'WINBUGS data'!H16:BE16,0)),"2")</f>
        <v>32</v>
      </c>
    </row>
    <row r="14" spans="4:5" x14ac:dyDescent="0.25">
      <c r="D14" s="179" t="s">
        <v>294</v>
      </c>
      <c r="E14" s="181">
        <f ca="1">COUNTIF(OFFSET('WINBUGS data'!G17:G66,0,MATCH("na[]",'WINBUGS data'!H16:BE16,0)),"&gt;2")</f>
        <v>0</v>
      </c>
    </row>
    <row r="15" spans="4:5" x14ac:dyDescent="0.25">
      <c r="D15" s="179" t="s">
        <v>297</v>
      </c>
      <c r="E15" s="181">
        <f>No_zero('DATA Input'!E7:AH56)</f>
        <v>31</v>
      </c>
    </row>
    <row r="16" spans="4:5" x14ac:dyDescent="0.25">
      <c r="D16" s="179" t="s">
        <v>295</v>
      </c>
      <c r="E16" s="181">
        <f>num_studies-E15</f>
        <v>1</v>
      </c>
    </row>
    <row r="17" spans="4:11" ht="15.75" thickBot="1" x14ac:dyDescent="0.3">
      <c r="D17" s="180" t="s">
        <v>296</v>
      </c>
      <c r="E17" s="183">
        <f>All_zero('DATA Input'!E7:AH56)</f>
        <v>0</v>
      </c>
    </row>
    <row r="18" spans="4:11" x14ac:dyDescent="0.25">
      <c r="D18" s="177"/>
    </row>
    <row r="19" spans="4:11" hidden="1" x14ac:dyDescent="0.25">
      <c r="D19" s="177"/>
    </row>
    <row r="20" spans="4:11" x14ac:dyDescent="0.25">
      <c r="D20" s="177"/>
    </row>
    <row r="21" spans="4:11" ht="16.5" thickBot="1" x14ac:dyDescent="0.3">
      <c r="D21" s="260" t="s">
        <v>287</v>
      </c>
      <c r="E21" s="260"/>
      <c r="F21" s="260"/>
    </row>
    <row r="22" spans="4:11" ht="8.25" hidden="1" customHeight="1" thickBot="1" x14ac:dyDescent="0.3">
      <c r="D22" s="194" t="s">
        <v>278</v>
      </c>
      <c r="E22" s="194"/>
      <c r="F22" s="194"/>
      <c r="G22" s="194"/>
      <c r="H22" s="194"/>
      <c r="I22" s="194"/>
      <c r="J22" s="194"/>
      <c r="K22" s="47"/>
    </row>
    <row r="23" spans="4:11" ht="15.75" thickBot="1" x14ac:dyDescent="0.3">
      <c r="D23" s="212" t="s">
        <v>278</v>
      </c>
      <c r="E23" s="213" t="s">
        <v>284</v>
      </c>
      <c r="F23" s="213" t="s">
        <v>279</v>
      </c>
      <c r="G23" s="213" t="s">
        <v>280</v>
      </c>
      <c r="H23" s="213" t="s">
        <v>285</v>
      </c>
      <c r="I23" s="213" t="s">
        <v>282</v>
      </c>
      <c r="J23" s="208" t="s">
        <v>283</v>
      </c>
    </row>
    <row r="24" spans="4:11" x14ac:dyDescent="0.25">
      <c r="D24" s="205" t="str">
        <f>IF('DATA Input'!$E$5="","",'DATA Input'!$E$5)</f>
        <v>INDOIV</v>
      </c>
      <c r="E24" s="209">
        <f>COUNTIF('DATA Input'!$F$7:$F$56,"&lt;&gt;")</f>
        <v>20</v>
      </c>
      <c r="F24" s="209">
        <f>SUM('DATA Input'!$E$7:$E$56)</f>
        <v>307</v>
      </c>
      <c r="G24" s="209">
        <f>SUM('DATA Input'!$F$7:$F$56)</f>
        <v>810</v>
      </c>
      <c r="H24" s="210">
        <f>F24/G24</f>
        <v>0.37901234567901232</v>
      </c>
      <c r="I24" s="210">
        <f>MinRate(1,'DATA Input'!$E$7:$AH$56)</f>
        <v>0.15384615957736969</v>
      </c>
      <c r="J24" s="211">
        <f>MaxRate(1,'DATA Input'!$E$7:$AH$56)</f>
        <v>0.85294115543365479</v>
      </c>
    </row>
    <row r="25" spans="4:11" x14ac:dyDescent="0.25">
      <c r="D25" s="179" t="str">
        <f>IF('DATA Input'!$G$5="","",'DATA Input'!$G$5)</f>
        <v>IBUIV</v>
      </c>
      <c r="E25" s="185">
        <f>COUNTIF('DATA Input'!$H$7:$H$56,"&lt;&gt;")</f>
        <v>14</v>
      </c>
      <c r="F25" s="184">
        <f>SUM('DATA Input'!$G$7:$G$56)</f>
        <v>226</v>
      </c>
      <c r="G25" s="185">
        <f>SUM('DATA Input'!$H$7:$H$56)</f>
        <v>653</v>
      </c>
      <c r="H25" s="188">
        <f t="shared" ref="H25:H38" si="0">F25/G25</f>
        <v>0.34609494640122512</v>
      </c>
      <c r="I25" s="188">
        <f>MinRate(2,'DATA Input'!$E$7:$AH$56)</f>
        <v>9.375E-2</v>
      </c>
      <c r="J25" s="190">
        <f>MaxRate(2,'DATA Input'!$E$7:$AH$56)</f>
        <v>0.63380283117294312</v>
      </c>
    </row>
    <row r="26" spans="4:11" x14ac:dyDescent="0.25">
      <c r="D26" s="179" t="str">
        <f>IF('DATA Input'!$I$5="","",'DATA Input'!$I$5)</f>
        <v>IBUPO</v>
      </c>
      <c r="E26" s="185">
        <f>COUNTIF('DATA Input'!$J$7:$J$56,"&lt;&gt;")</f>
        <v>10</v>
      </c>
      <c r="F26" s="184">
        <f>SUM('DATA Input'!$I$7:$I$56)</f>
        <v>72</v>
      </c>
      <c r="G26" s="185">
        <f>SUM('DATA Input'!$J$7:$J$56)</f>
        <v>363</v>
      </c>
      <c r="H26" s="188">
        <f t="shared" si="0"/>
        <v>0.19834710743801653</v>
      </c>
      <c r="I26" s="188">
        <f>MinRate(3,'DATA Input'!$E$7:$AH$56)</f>
        <v>6.25E-2</v>
      </c>
      <c r="J26" s="190">
        <f>MaxRate(3,'DATA Input'!$E$7:$AH$56)</f>
        <v>0.66666668653488159</v>
      </c>
    </row>
    <row r="27" spans="4:11" x14ac:dyDescent="0.25">
      <c r="D27" s="179" t="str">
        <f>IF('DATA Input'!$K$5="","",'DATA Input'!$K$5)</f>
        <v>PARAPO</v>
      </c>
      <c r="E27" s="184">
        <f>COUNTIF('DATA Input'!$L$7:$L$56,"&lt;&gt;")</f>
        <v>3</v>
      </c>
      <c r="F27" s="184">
        <f>SUM('DATA Input'!$K$7:$K$56)</f>
        <v>14</v>
      </c>
      <c r="G27" s="184">
        <f>SUM('DATA Input'!$L$7:$L$56)</f>
        <v>162</v>
      </c>
      <c r="H27" s="188">
        <f t="shared" si="0"/>
        <v>8.6419753086419748E-2</v>
      </c>
      <c r="I27" s="188">
        <f>MinRate(4,'DATA Input'!$E$7:$AH$56)</f>
        <v>5.000000074505806E-2</v>
      </c>
      <c r="J27" s="190">
        <f>MaxRate(4,'DATA Input'!$E$7:$AH$56)</f>
        <v>0.1315789520740509</v>
      </c>
    </row>
    <row r="28" spans="4:11" x14ac:dyDescent="0.25">
      <c r="D28" s="179" t="str">
        <f>IF('DATA Input'!$M$5="","",'DATA Input'!$M$5)</f>
        <v>IBUIVHIGHDOSE</v>
      </c>
      <c r="E28" s="184">
        <f>COUNTIF('DATA Input'!$N$7:$N$56,"&lt;&gt;")</f>
        <v>1</v>
      </c>
      <c r="F28" s="184">
        <f>SUM('DATA Input'!$M$7:$M$56)</f>
        <v>16</v>
      </c>
      <c r="G28" s="184">
        <f>SUM('DATA Input'!$N$7:$N$56)</f>
        <v>35</v>
      </c>
      <c r="H28" s="188">
        <f t="shared" si="0"/>
        <v>0.45714285714285713</v>
      </c>
      <c r="I28" s="188">
        <f>MinRate(5,'DATA Input'!$E$7:$AH$56)</f>
        <v>0.45714285969734192</v>
      </c>
      <c r="J28" s="190">
        <f>MaxRate(5,'DATA Input'!$E$7:$AH$56)</f>
        <v>0.45714285969734192</v>
      </c>
    </row>
    <row r="29" spans="4:11" x14ac:dyDescent="0.25">
      <c r="D29" s="179" t="str">
        <f>IF('DATA Input'!$O$5="","",'DATA Input'!$O$5)</f>
        <v>IBUIVCONT</v>
      </c>
      <c r="E29" s="184">
        <f>COUNTIF('DATA Input'!$P$7:$P$56,"&lt;&gt;")</f>
        <v>1</v>
      </c>
      <c r="F29" s="184">
        <f>SUM('DATA Input'!$O$7:$O$56)</f>
        <v>13</v>
      </c>
      <c r="G29" s="184">
        <f>SUM('DATA Input'!$P$7:$P$56)</f>
        <v>55</v>
      </c>
      <c r="H29" s="188">
        <f t="shared" si="0"/>
        <v>0.23636363636363636</v>
      </c>
      <c r="I29" s="188">
        <f>MinRate(6,'DATA Input'!$E$7:$AH$56)</f>
        <v>0.23636363446712494</v>
      </c>
      <c r="J29" s="190">
        <f>MaxRate(6,'DATA Input'!$E$7:$AH$56)</f>
        <v>0.23636363446712494</v>
      </c>
    </row>
    <row r="30" spans="4:11" x14ac:dyDescent="0.25">
      <c r="D30" s="179" t="str">
        <f>IF('DATA Input'!$Q$5="","",'DATA Input'!$Q$5)</f>
        <v>INDOTHERS</v>
      </c>
      <c r="E30" s="184">
        <f>COUNTIF('DATA Input'!$R$7:$R$56,"&lt;&gt;")</f>
        <v>5</v>
      </c>
      <c r="F30" s="184">
        <f>SUM('DATA Input'!$Q$7:$Q$56)</f>
        <v>73</v>
      </c>
      <c r="G30" s="184">
        <f>SUM('DATA Input'!$R$7:$R$56)</f>
        <v>207</v>
      </c>
      <c r="H30" s="188">
        <f t="shared" si="0"/>
        <v>0.35265700483091789</v>
      </c>
      <c r="I30" s="188">
        <f>MinRate(7,'DATA Input'!$E$7:$AH$56)</f>
        <v>8.3333335816860199E-2</v>
      </c>
      <c r="J30" s="190">
        <f>MaxRate(7,'DATA Input'!$E$7:$AH$56)</f>
        <v>0.58181816339492798</v>
      </c>
    </row>
    <row r="31" spans="4:11" ht="15.75" thickBot="1" x14ac:dyDescent="0.3">
      <c r="D31" s="179" t="str">
        <f>IF('DATA Input'!$S$5="","",'DATA Input'!$S$5)</f>
        <v>PLAC_NORX</v>
      </c>
      <c r="E31" s="184">
        <f>COUNTIF('DATA Input'!$T$7:$T$56,"&lt;&gt;")</f>
        <v>10</v>
      </c>
      <c r="F31" s="184">
        <f>SUM('DATA Input'!$S$7:$S$56)</f>
        <v>147</v>
      </c>
      <c r="G31" s="184">
        <f>SUM('DATA Input'!$T$7:$T$56)</f>
        <v>333</v>
      </c>
      <c r="H31" s="188">
        <f t="shared" si="0"/>
        <v>0.44144144144144143</v>
      </c>
      <c r="I31" s="188">
        <f>MinRate(8,'DATA Input'!$E$7:$AH$56)</f>
        <v>3.0303031206130981E-2</v>
      </c>
      <c r="J31" s="190">
        <f>MaxRate(8,'DATA Input'!$E$7:$AH$56)</f>
        <v>0.77941179275512695</v>
      </c>
    </row>
    <row r="32" spans="4:11" hidden="1" x14ac:dyDescent="0.25">
      <c r="D32" s="179" t="str">
        <f>IF('DATA Input'!$U$5="","",'DATA Input'!$U$5)</f>
        <v/>
      </c>
      <c r="E32" s="184">
        <f>COUNTIF('DATA Input'!$V$7:$V$56,"&lt;&gt;")</f>
        <v>0</v>
      </c>
      <c r="F32" s="184">
        <f>SUM('DATA Input'!$U$7:$U$56)</f>
        <v>0</v>
      </c>
      <c r="G32" s="184">
        <f>SUM('DATA Input'!$V$7:$V$56)</f>
        <v>0</v>
      </c>
      <c r="H32" s="188" t="e">
        <f t="shared" si="0"/>
        <v>#DIV/0!</v>
      </c>
      <c r="I32" s="188">
        <f>MinRate(9,'DATA Input'!$E$7:$AH$56)</f>
        <v>1</v>
      </c>
      <c r="J32" s="190">
        <f>MaxRate(9,'DATA Input'!$E$7:$AH$56)</f>
        <v>0</v>
      </c>
    </row>
    <row r="33" spans="4:10" ht="15.75" hidden="1" thickBot="1" x14ac:dyDescent="0.3">
      <c r="D33" s="179" t="str">
        <f>IF('DATA Input'!$W$5="","",'DATA Input'!$W$5)</f>
        <v/>
      </c>
      <c r="E33" s="184">
        <f>COUNTIF('DATA Input'!$X$7:$X$56,"&lt;&gt;")</f>
        <v>0</v>
      </c>
      <c r="F33" s="184">
        <f>SUM('DATA Input'!$W$7:$W$56)</f>
        <v>0</v>
      </c>
      <c r="G33" s="184">
        <f>SUM('DATA Input'!$X$7:$X$56)</f>
        <v>0</v>
      </c>
      <c r="H33" s="188" t="e">
        <f t="shared" si="0"/>
        <v>#DIV/0!</v>
      </c>
      <c r="I33" s="188">
        <f>MinRate(10,'DATA Input'!$E$7:$AH$56)</f>
        <v>1</v>
      </c>
      <c r="J33" s="190">
        <f>MaxRate(10,'DATA Input'!$E$7:$AH$56)</f>
        <v>0</v>
      </c>
    </row>
    <row r="34" spans="4:10" hidden="1" x14ac:dyDescent="0.25">
      <c r="D34" s="186" t="str">
        <f>IF('DATA Input'!$Y$5="","",'DATA Input'!$Y$5)</f>
        <v/>
      </c>
      <c r="E34" s="184">
        <f>COUNTIF('DATA Input'!$Z$7:$Z$56,"&lt;&gt;")</f>
        <v>0</v>
      </c>
      <c r="F34" s="184">
        <f>SUM('DATA Input'!$Y$7:$Y$56)</f>
        <v>0</v>
      </c>
      <c r="G34" s="184">
        <f>SUM('DATA Input'!$Z$7:$Z$56)</f>
        <v>0</v>
      </c>
      <c r="H34" s="188" t="e">
        <f t="shared" si="0"/>
        <v>#DIV/0!</v>
      </c>
      <c r="I34" s="188">
        <f>MinRate(11,'DATA Input'!$E$7:$AH$56)</f>
        <v>1</v>
      </c>
      <c r="J34" s="190">
        <f>MaxRate(11,'DATA Input'!$E$7:$AH$56)</f>
        <v>0</v>
      </c>
    </row>
    <row r="35" spans="4:10" hidden="1" x14ac:dyDescent="0.25">
      <c r="D35" s="179" t="str">
        <f>IF('DATA Input'!$AA$5="","",'DATA Input'!$AA$5)</f>
        <v/>
      </c>
      <c r="E35" s="184">
        <f>COUNTIF('DATA Input'!$AB$7:$AB$56,"&lt;&gt;")</f>
        <v>0</v>
      </c>
      <c r="F35" s="184">
        <f>SUM('DATA Input'!$AA$7:$AA$56)</f>
        <v>0</v>
      </c>
      <c r="G35" s="184">
        <f>SUM('DATA Input'!$AB$7:$AB$56)</f>
        <v>0</v>
      </c>
      <c r="H35" s="188" t="e">
        <f t="shared" si="0"/>
        <v>#DIV/0!</v>
      </c>
      <c r="I35" s="188">
        <f>MinRate(12,'DATA Input'!$E$7:$AH$56)</f>
        <v>1</v>
      </c>
      <c r="J35" s="190">
        <f>MaxRate(12,'DATA Input'!$E$7:$AH$56)</f>
        <v>0</v>
      </c>
    </row>
    <row r="36" spans="4:10" hidden="1" x14ac:dyDescent="0.25">
      <c r="D36" s="179" t="str">
        <f>IF('DATA Input'!$AC$5="","",'DATA Input'!$AC$5)</f>
        <v/>
      </c>
      <c r="E36" s="184">
        <f>COUNTIF('DATA Input'!$AD$7:$AD$56,"&lt;&gt;")</f>
        <v>0</v>
      </c>
      <c r="F36" s="184">
        <f>SUM('DATA Input'!$AC$7:$AC$56)</f>
        <v>0</v>
      </c>
      <c r="G36" s="184">
        <f>SUM('DATA Input'!$AD$7:$AD$56)</f>
        <v>0</v>
      </c>
      <c r="H36" s="188" t="e">
        <f t="shared" si="0"/>
        <v>#DIV/0!</v>
      </c>
      <c r="I36" s="188">
        <f>MinRate(13,'DATA Input'!$E$7:$AH$56)</f>
        <v>1</v>
      </c>
      <c r="J36" s="190">
        <f>MaxRate(13,'DATA Input'!$E$7:$AH$56)</f>
        <v>0</v>
      </c>
    </row>
    <row r="37" spans="4:10" hidden="1" x14ac:dyDescent="0.25">
      <c r="D37" s="179" t="str">
        <f>IF('DATA Input'!$AE$5="","",'DATA Input'!$AE$5)</f>
        <v/>
      </c>
      <c r="E37" s="185">
        <f>COUNTIF('DATA Input'!$AF$7:$AF$56,"&lt;&gt;")</f>
        <v>0</v>
      </c>
      <c r="F37" s="184">
        <f>SUM('DATA Input'!$AE$7:$AE$56)</f>
        <v>0</v>
      </c>
      <c r="G37" s="185">
        <f>SUM('DATA Input'!$AF$7:$AF$56)</f>
        <v>0</v>
      </c>
      <c r="H37" s="188" t="e">
        <f t="shared" si="0"/>
        <v>#DIV/0!</v>
      </c>
      <c r="I37" s="188">
        <f>MinRate(14,'DATA Input'!$E$7:$AH$56)</f>
        <v>1</v>
      </c>
      <c r="J37" s="190">
        <f>MaxRate(14,'DATA Input'!$E$7:$AH$56)</f>
        <v>0</v>
      </c>
    </row>
    <row r="38" spans="4:10" ht="15.75" hidden="1" thickBot="1" x14ac:dyDescent="0.3">
      <c r="D38" s="180" t="str">
        <f>IF('DATA Input'!$AG$5="","",'DATA Input'!$AG$5)</f>
        <v/>
      </c>
      <c r="E38" s="187">
        <f>COUNTIF('DATA Input'!$AH$7:$AH$56,"&lt;&gt;")</f>
        <v>0</v>
      </c>
      <c r="F38" s="191">
        <f>SUM('DATA Input'!$AG$7:$AG$56)</f>
        <v>0</v>
      </c>
      <c r="G38" s="187">
        <f>SUM('DATA Input'!$AH$7:$AH$56)</f>
        <v>0</v>
      </c>
      <c r="H38" s="189" t="e">
        <f t="shared" si="0"/>
        <v>#DIV/0!</v>
      </c>
      <c r="I38" s="189">
        <f>MinRate(15,'DATA Input'!$E$7:$AH$56)</f>
        <v>1</v>
      </c>
      <c r="J38" s="192">
        <f>MaxRate(15,'DATA Input'!$E$7:$AH$56)</f>
        <v>0</v>
      </c>
    </row>
    <row r="39" spans="4:10" x14ac:dyDescent="0.25">
      <c r="D39" s="215"/>
      <c r="E39" s="193"/>
      <c r="F39" s="193"/>
      <c r="G39" s="193"/>
      <c r="H39" s="193"/>
      <c r="I39" s="193"/>
      <c r="J39" s="193"/>
    </row>
    <row r="41" spans="4:10" ht="16.5" thickBot="1" x14ac:dyDescent="0.3">
      <c r="D41" s="260" t="s">
        <v>286</v>
      </c>
      <c r="E41" s="260"/>
      <c r="F41" s="260"/>
    </row>
    <row r="42" spans="4:10" ht="15.75" thickBot="1" x14ac:dyDescent="0.3">
      <c r="D42" s="214" t="s">
        <v>277</v>
      </c>
      <c r="E42" s="213" t="s">
        <v>284</v>
      </c>
      <c r="F42" s="213" t="s">
        <v>280</v>
      </c>
      <c r="G42" s="208" t="s">
        <v>279</v>
      </c>
    </row>
    <row r="43" spans="4:10" x14ac:dyDescent="0.25">
      <c r="D43" s="216" t="s">
        <v>379</v>
      </c>
      <c r="E43" s="195">
        <v>5</v>
      </c>
      <c r="F43" s="196">
        <v>346</v>
      </c>
      <c r="G43" s="197">
        <v>182</v>
      </c>
    </row>
    <row r="44" spans="4:10" x14ac:dyDescent="0.25">
      <c r="D44" s="179" t="s">
        <v>375</v>
      </c>
      <c r="E44" s="184">
        <v>1</v>
      </c>
      <c r="F44" s="185">
        <v>77</v>
      </c>
      <c r="G44" s="182">
        <v>11</v>
      </c>
    </row>
    <row r="45" spans="4:10" x14ac:dyDescent="0.25">
      <c r="D45" s="179" t="s">
        <v>377</v>
      </c>
      <c r="E45" s="184">
        <v>2</v>
      </c>
      <c r="F45" s="185">
        <v>247</v>
      </c>
      <c r="G45" s="182">
        <v>20</v>
      </c>
    </row>
    <row r="46" spans="4:10" x14ac:dyDescent="0.25">
      <c r="D46" s="179" t="s">
        <v>378</v>
      </c>
      <c r="E46" s="184">
        <v>3</v>
      </c>
      <c r="F46" s="185">
        <v>236</v>
      </c>
      <c r="G46" s="182">
        <v>65</v>
      </c>
    </row>
    <row r="47" spans="4:10" x14ac:dyDescent="0.25">
      <c r="D47" s="179" t="s">
        <v>376</v>
      </c>
      <c r="E47" s="184">
        <v>3</v>
      </c>
      <c r="F47" s="185">
        <v>192</v>
      </c>
      <c r="G47" s="182">
        <v>54</v>
      </c>
    </row>
    <row r="48" spans="4:10" x14ac:dyDescent="0.25">
      <c r="D48" s="179" t="s">
        <v>372</v>
      </c>
      <c r="E48" s="184">
        <v>2</v>
      </c>
      <c r="F48" s="185">
        <v>48</v>
      </c>
      <c r="G48" s="182">
        <v>25</v>
      </c>
    </row>
    <row r="49" spans="4:7" x14ac:dyDescent="0.25">
      <c r="D49" s="179" t="s">
        <v>380</v>
      </c>
      <c r="E49" s="184">
        <v>1</v>
      </c>
      <c r="F49" s="185">
        <v>70</v>
      </c>
      <c r="G49" s="182">
        <v>26</v>
      </c>
    </row>
    <row r="50" spans="4:7" x14ac:dyDescent="0.25">
      <c r="D50" s="178" t="s">
        <v>374</v>
      </c>
      <c r="E50" s="184">
        <v>4</v>
      </c>
      <c r="F50" s="185">
        <v>386</v>
      </c>
      <c r="G50" s="182">
        <v>130</v>
      </c>
    </row>
    <row r="51" spans="4:7" x14ac:dyDescent="0.25">
      <c r="D51" s="217" t="s">
        <v>381</v>
      </c>
      <c r="E51" s="198">
        <v>8</v>
      </c>
      <c r="F51" s="200">
        <v>777</v>
      </c>
      <c r="G51" s="201">
        <v>295</v>
      </c>
    </row>
    <row r="52" spans="4:7" x14ac:dyDescent="0.25">
      <c r="D52" s="217" t="s">
        <v>382</v>
      </c>
      <c r="E52" s="198">
        <v>1</v>
      </c>
      <c r="F52" s="200">
        <v>111</v>
      </c>
      <c r="G52" s="201">
        <v>25</v>
      </c>
    </row>
    <row r="53" spans="4:7" x14ac:dyDescent="0.25">
      <c r="D53" s="217" t="s">
        <v>383</v>
      </c>
      <c r="E53" s="198">
        <v>1</v>
      </c>
      <c r="F53" s="200">
        <v>23</v>
      </c>
      <c r="G53" s="201">
        <v>2</v>
      </c>
    </row>
    <row r="54" spans="4:7" ht="15.75" thickBot="1" x14ac:dyDescent="0.3">
      <c r="D54" s="217" t="s">
        <v>373</v>
      </c>
      <c r="E54" s="198">
        <v>1</v>
      </c>
      <c r="F54" s="200">
        <v>105</v>
      </c>
      <c r="G54" s="201">
        <v>33</v>
      </c>
    </row>
    <row r="55" spans="4:7" hidden="1" x14ac:dyDescent="0.25">
      <c r="D55" s="217"/>
      <c r="E55" s="198"/>
      <c r="F55" s="200"/>
      <c r="G55" s="201"/>
    </row>
    <row r="56" spans="4:7" hidden="1" x14ac:dyDescent="0.25">
      <c r="D56" s="217"/>
      <c r="E56" s="198"/>
      <c r="F56" s="200"/>
      <c r="G56" s="201"/>
    </row>
    <row r="57" spans="4:7" hidden="1" x14ac:dyDescent="0.25">
      <c r="D57" s="217"/>
      <c r="E57" s="198"/>
      <c r="F57" s="200"/>
      <c r="G57" s="201"/>
    </row>
    <row r="58" spans="4:7" ht="15.75" hidden="1" thickBot="1" x14ac:dyDescent="0.3">
      <c r="D58" s="217"/>
      <c r="E58" s="198"/>
      <c r="F58" s="200"/>
      <c r="G58" s="201"/>
    </row>
    <row r="59" spans="4:7" hidden="1" x14ac:dyDescent="0.25">
      <c r="D59" s="217"/>
      <c r="E59" s="198"/>
      <c r="F59" s="200"/>
      <c r="G59" s="201"/>
    </row>
    <row r="60" spans="4:7" hidden="1" x14ac:dyDescent="0.25">
      <c r="D60" s="217"/>
      <c r="E60" s="198"/>
      <c r="F60" s="200"/>
      <c r="G60" s="201"/>
    </row>
    <row r="61" spans="4:7" hidden="1" x14ac:dyDescent="0.25">
      <c r="D61" s="217"/>
      <c r="E61" s="198"/>
      <c r="F61" s="200"/>
      <c r="G61" s="201"/>
    </row>
    <row r="62" spans="4:7" hidden="1" x14ac:dyDescent="0.25">
      <c r="D62" s="217"/>
      <c r="E62" s="198"/>
      <c r="F62" s="200"/>
      <c r="G62" s="201"/>
    </row>
    <row r="63" spans="4:7" hidden="1" x14ac:dyDescent="0.25">
      <c r="D63" s="217"/>
      <c r="E63" s="198"/>
      <c r="F63" s="200"/>
      <c r="G63" s="201"/>
    </row>
    <row r="64" spans="4:7" hidden="1" x14ac:dyDescent="0.25">
      <c r="D64" s="217"/>
      <c r="E64" s="198"/>
      <c r="F64" s="200"/>
      <c r="G64" s="201"/>
    </row>
    <row r="65" spans="4:7" hidden="1" x14ac:dyDescent="0.25">
      <c r="D65" s="217"/>
      <c r="E65" s="198"/>
      <c r="F65" s="200"/>
      <c r="G65" s="201"/>
    </row>
    <row r="66" spans="4:7" hidden="1" x14ac:dyDescent="0.25">
      <c r="D66" s="217"/>
      <c r="E66" s="198"/>
      <c r="F66" s="200"/>
      <c r="G66" s="201"/>
    </row>
    <row r="67" spans="4:7" hidden="1" x14ac:dyDescent="0.25">
      <c r="D67" s="217"/>
      <c r="E67" s="198"/>
      <c r="F67" s="200"/>
      <c r="G67" s="201"/>
    </row>
    <row r="68" spans="4:7" hidden="1" x14ac:dyDescent="0.25">
      <c r="D68" s="217"/>
      <c r="E68" s="198"/>
      <c r="F68" s="200"/>
      <c r="G68" s="201"/>
    </row>
    <row r="69" spans="4:7" hidden="1" x14ac:dyDescent="0.25">
      <c r="D69" s="217"/>
      <c r="E69" s="198"/>
      <c r="F69" s="200"/>
      <c r="G69" s="201"/>
    </row>
    <row r="70" spans="4:7" hidden="1" x14ac:dyDescent="0.25">
      <c r="D70" s="217"/>
      <c r="E70" s="198"/>
      <c r="F70" s="200"/>
      <c r="G70" s="201"/>
    </row>
    <row r="71" spans="4:7" hidden="1" x14ac:dyDescent="0.25">
      <c r="D71" s="217"/>
      <c r="E71" s="198"/>
      <c r="F71" s="200"/>
      <c r="G71" s="201"/>
    </row>
    <row r="72" spans="4:7" hidden="1" x14ac:dyDescent="0.25">
      <c r="D72" s="217"/>
      <c r="E72" s="198"/>
      <c r="F72" s="200"/>
      <c r="G72" s="201"/>
    </row>
    <row r="73" spans="4:7" hidden="1" x14ac:dyDescent="0.25">
      <c r="D73" s="217"/>
      <c r="E73" s="198"/>
      <c r="F73" s="200"/>
      <c r="G73" s="201"/>
    </row>
    <row r="74" spans="4:7" hidden="1" x14ac:dyDescent="0.25">
      <c r="D74" s="217"/>
      <c r="E74" s="198"/>
      <c r="F74" s="200"/>
      <c r="G74" s="201"/>
    </row>
    <row r="75" spans="4:7" hidden="1" x14ac:dyDescent="0.25">
      <c r="D75" s="217"/>
      <c r="E75" s="198"/>
      <c r="F75" s="200"/>
      <c r="G75" s="201"/>
    </row>
    <row r="76" spans="4:7" hidden="1" x14ac:dyDescent="0.25">
      <c r="D76" s="217"/>
      <c r="E76" s="198"/>
      <c r="F76" s="200"/>
      <c r="G76" s="201"/>
    </row>
    <row r="77" spans="4:7" hidden="1" x14ac:dyDescent="0.25">
      <c r="D77" s="217"/>
      <c r="E77" s="198"/>
      <c r="F77" s="200"/>
      <c r="G77" s="201"/>
    </row>
    <row r="78" spans="4:7" hidden="1" x14ac:dyDescent="0.25">
      <c r="D78" s="217"/>
      <c r="E78" s="198"/>
      <c r="F78" s="200"/>
      <c r="G78" s="201"/>
    </row>
    <row r="79" spans="4:7" hidden="1" x14ac:dyDescent="0.25">
      <c r="D79" s="217"/>
      <c r="E79" s="198"/>
      <c r="F79" s="200"/>
      <c r="G79" s="201"/>
    </row>
    <row r="80" spans="4:7" hidden="1" x14ac:dyDescent="0.25">
      <c r="D80" s="217"/>
      <c r="E80" s="198"/>
      <c r="F80" s="200"/>
      <c r="G80" s="201"/>
    </row>
    <row r="81" spans="4:7" hidden="1" x14ac:dyDescent="0.25">
      <c r="D81" s="217"/>
      <c r="E81" s="198"/>
      <c r="F81" s="200"/>
      <c r="G81" s="201"/>
    </row>
    <row r="82" spans="4:7" hidden="1" x14ac:dyDescent="0.25">
      <c r="D82" s="217"/>
      <c r="E82" s="198"/>
      <c r="F82" s="200"/>
      <c r="G82" s="201"/>
    </row>
    <row r="83" spans="4:7" hidden="1" x14ac:dyDescent="0.25">
      <c r="D83" s="217"/>
      <c r="E83" s="198"/>
      <c r="F83" s="200"/>
      <c r="G83" s="201"/>
    </row>
    <row r="84" spans="4:7" hidden="1" x14ac:dyDescent="0.25">
      <c r="D84" s="217"/>
      <c r="E84" s="198"/>
      <c r="F84" s="200"/>
      <c r="G84" s="201"/>
    </row>
    <row r="85" spans="4:7" hidden="1" x14ac:dyDescent="0.25">
      <c r="D85" s="217"/>
      <c r="E85" s="198"/>
      <c r="F85" s="200"/>
      <c r="G85" s="201"/>
    </row>
    <row r="86" spans="4:7" hidden="1" x14ac:dyDescent="0.25">
      <c r="D86" s="217"/>
      <c r="E86" s="198"/>
      <c r="F86" s="200"/>
      <c r="G86" s="201"/>
    </row>
    <row r="87" spans="4:7" hidden="1" x14ac:dyDescent="0.25">
      <c r="D87" s="217"/>
      <c r="E87" s="198"/>
      <c r="F87" s="200"/>
      <c r="G87" s="201"/>
    </row>
    <row r="88" spans="4:7" hidden="1" x14ac:dyDescent="0.25">
      <c r="D88" s="217"/>
      <c r="E88" s="198"/>
      <c r="F88" s="200"/>
      <c r="G88" s="201"/>
    </row>
    <row r="89" spans="4:7" hidden="1" x14ac:dyDescent="0.25">
      <c r="D89" s="217"/>
      <c r="E89" s="198"/>
      <c r="F89" s="200"/>
      <c r="G89" s="201"/>
    </row>
    <row r="90" spans="4:7" hidden="1" x14ac:dyDescent="0.25">
      <c r="D90" s="217"/>
      <c r="E90" s="198"/>
      <c r="F90" s="200"/>
      <c r="G90" s="201"/>
    </row>
    <row r="91" spans="4:7" hidden="1" x14ac:dyDescent="0.25">
      <c r="D91" s="217"/>
      <c r="E91" s="198"/>
      <c r="F91" s="200"/>
      <c r="G91" s="201"/>
    </row>
    <row r="92" spans="4:7" hidden="1" x14ac:dyDescent="0.25">
      <c r="D92" s="217"/>
      <c r="E92" s="198"/>
      <c r="F92" s="200"/>
      <c r="G92" s="201"/>
    </row>
    <row r="93" spans="4:7" hidden="1" x14ac:dyDescent="0.25">
      <c r="D93" s="217"/>
      <c r="E93" s="198"/>
      <c r="F93" s="200"/>
      <c r="G93" s="201"/>
    </row>
    <row r="94" spans="4:7" hidden="1" x14ac:dyDescent="0.25">
      <c r="D94" s="217"/>
      <c r="E94" s="198"/>
      <c r="F94" s="200"/>
      <c r="G94" s="201"/>
    </row>
    <row r="95" spans="4:7" hidden="1" x14ac:dyDescent="0.25">
      <c r="D95" s="217"/>
      <c r="E95" s="198"/>
      <c r="F95" s="200"/>
      <c r="G95" s="201"/>
    </row>
    <row r="96" spans="4:7" hidden="1" x14ac:dyDescent="0.25">
      <c r="D96" s="217"/>
      <c r="E96" s="198"/>
      <c r="F96" s="200"/>
      <c r="G96" s="201"/>
    </row>
    <row r="97" spans="4:7" hidden="1" x14ac:dyDescent="0.25">
      <c r="D97" s="217"/>
      <c r="E97" s="198"/>
      <c r="F97" s="200"/>
      <c r="G97" s="201"/>
    </row>
    <row r="98" spans="4:7" hidden="1" x14ac:dyDescent="0.25">
      <c r="D98" s="217"/>
      <c r="E98" s="198"/>
      <c r="F98" s="200"/>
      <c r="G98" s="201"/>
    </row>
    <row r="99" spans="4:7" hidden="1" x14ac:dyDescent="0.25">
      <c r="D99" s="217"/>
      <c r="E99" s="198"/>
      <c r="F99" s="200"/>
      <c r="G99" s="201"/>
    </row>
    <row r="100" spans="4:7" hidden="1" x14ac:dyDescent="0.25">
      <c r="D100" s="217"/>
      <c r="E100" s="198"/>
      <c r="F100" s="200"/>
      <c r="G100" s="201"/>
    </row>
    <row r="101" spans="4:7" hidden="1" x14ac:dyDescent="0.25">
      <c r="D101" s="217"/>
      <c r="E101" s="198"/>
      <c r="F101" s="200"/>
      <c r="G101" s="201"/>
    </row>
    <row r="102" spans="4:7" hidden="1" x14ac:dyDescent="0.25">
      <c r="D102" s="217"/>
      <c r="E102" s="198"/>
      <c r="F102" s="200"/>
      <c r="G102" s="201"/>
    </row>
    <row r="103" spans="4:7" hidden="1" x14ac:dyDescent="0.25">
      <c r="D103" s="217"/>
      <c r="E103" s="198"/>
      <c r="F103" s="200"/>
      <c r="G103" s="201"/>
    </row>
    <row r="104" spans="4:7" hidden="1" x14ac:dyDescent="0.25">
      <c r="D104" s="217"/>
      <c r="E104" s="198"/>
      <c r="F104" s="200"/>
      <c r="G104" s="201"/>
    </row>
    <row r="105" spans="4:7" hidden="1" x14ac:dyDescent="0.25">
      <c r="D105" s="217"/>
      <c r="E105" s="198"/>
      <c r="F105" s="200"/>
      <c r="G105" s="201"/>
    </row>
    <row r="106" spans="4:7" hidden="1" x14ac:dyDescent="0.25">
      <c r="D106" s="217"/>
      <c r="E106" s="198"/>
      <c r="F106" s="200"/>
      <c r="G106" s="201"/>
    </row>
    <row r="107" spans="4:7" hidden="1" x14ac:dyDescent="0.25">
      <c r="D107" s="217"/>
      <c r="E107" s="198"/>
      <c r="F107" s="200"/>
      <c r="G107" s="201"/>
    </row>
    <row r="108" spans="4:7" hidden="1" x14ac:dyDescent="0.25">
      <c r="D108" s="217"/>
      <c r="E108" s="198"/>
      <c r="F108" s="200"/>
      <c r="G108" s="201"/>
    </row>
    <row r="109" spans="4:7" hidden="1" x14ac:dyDescent="0.25">
      <c r="D109" s="217"/>
      <c r="E109" s="198"/>
      <c r="F109" s="200"/>
      <c r="G109" s="201"/>
    </row>
    <row r="110" spans="4:7" hidden="1" x14ac:dyDescent="0.25">
      <c r="D110" s="217"/>
      <c r="E110" s="198"/>
      <c r="F110" s="200"/>
      <c r="G110" s="201"/>
    </row>
    <row r="111" spans="4:7" hidden="1" x14ac:dyDescent="0.25">
      <c r="D111" s="217"/>
      <c r="E111" s="198"/>
      <c r="F111" s="200"/>
      <c r="G111" s="201"/>
    </row>
    <row r="112" spans="4:7" hidden="1" x14ac:dyDescent="0.25">
      <c r="D112" s="217"/>
      <c r="E112" s="198"/>
      <c r="F112" s="200"/>
      <c r="G112" s="201"/>
    </row>
    <row r="113" spans="4:7" hidden="1" x14ac:dyDescent="0.25">
      <c r="D113" s="217"/>
      <c r="E113" s="198"/>
      <c r="F113" s="200"/>
      <c r="G113" s="201"/>
    </row>
    <row r="114" spans="4:7" hidden="1" x14ac:dyDescent="0.25">
      <c r="D114" s="217"/>
      <c r="E114" s="198"/>
      <c r="F114" s="200"/>
      <c r="G114" s="201"/>
    </row>
    <row r="115" spans="4:7" hidden="1" x14ac:dyDescent="0.25">
      <c r="D115" s="217"/>
      <c r="E115" s="198"/>
      <c r="F115" s="200"/>
      <c r="G115" s="201"/>
    </row>
    <row r="116" spans="4:7" hidden="1" x14ac:dyDescent="0.25">
      <c r="D116" s="217"/>
      <c r="E116" s="198"/>
      <c r="F116" s="200"/>
      <c r="G116" s="201"/>
    </row>
    <row r="117" spans="4:7" hidden="1" x14ac:dyDescent="0.25">
      <c r="D117" s="217"/>
      <c r="E117" s="198"/>
      <c r="F117" s="200"/>
      <c r="G117" s="201"/>
    </row>
    <row r="118" spans="4:7" hidden="1" x14ac:dyDescent="0.25">
      <c r="D118" s="217"/>
      <c r="E118" s="198"/>
      <c r="F118" s="200"/>
      <c r="G118" s="201"/>
    </row>
    <row r="119" spans="4:7" hidden="1" x14ac:dyDescent="0.25">
      <c r="D119" s="217"/>
      <c r="E119" s="198"/>
      <c r="F119" s="200"/>
      <c r="G119" s="201"/>
    </row>
    <row r="120" spans="4:7" hidden="1" x14ac:dyDescent="0.25">
      <c r="D120" s="217"/>
      <c r="E120" s="198"/>
      <c r="F120" s="200"/>
      <c r="G120" s="201"/>
    </row>
    <row r="121" spans="4:7" hidden="1" x14ac:dyDescent="0.25">
      <c r="D121" s="217"/>
      <c r="E121" s="198"/>
      <c r="F121" s="200"/>
      <c r="G121" s="201"/>
    </row>
    <row r="122" spans="4:7" hidden="1" x14ac:dyDescent="0.25">
      <c r="D122" s="217"/>
      <c r="E122" s="198"/>
      <c r="F122" s="200"/>
      <c r="G122" s="201"/>
    </row>
    <row r="123" spans="4:7" hidden="1" x14ac:dyDescent="0.25">
      <c r="D123" s="217"/>
      <c r="E123" s="198"/>
      <c r="F123" s="200"/>
      <c r="G123" s="201"/>
    </row>
    <row r="124" spans="4:7" hidden="1" x14ac:dyDescent="0.25">
      <c r="D124" s="217"/>
      <c r="E124" s="198"/>
      <c r="F124" s="200"/>
      <c r="G124" s="201"/>
    </row>
    <row r="125" spans="4:7" hidden="1" x14ac:dyDescent="0.25">
      <c r="D125" s="217"/>
      <c r="E125" s="198"/>
      <c r="F125" s="200"/>
      <c r="G125" s="201"/>
    </row>
    <row r="126" spans="4:7" hidden="1" x14ac:dyDescent="0.25">
      <c r="D126" s="217"/>
      <c r="E126" s="198"/>
      <c r="F126" s="200"/>
      <c r="G126" s="201"/>
    </row>
    <row r="127" spans="4:7" hidden="1" x14ac:dyDescent="0.25">
      <c r="D127" s="217"/>
      <c r="E127" s="198"/>
      <c r="F127" s="200"/>
      <c r="G127" s="201"/>
    </row>
    <row r="128" spans="4:7" hidden="1" x14ac:dyDescent="0.25">
      <c r="D128" s="217"/>
      <c r="E128" s="198"/>
      <c r="F128" s="200"/>
      <c r="G128" s="201"/>
    </row>
    <row r="129" spans="4:7" hidden="1" x14ac:dyDescent="0.25">
      <c r="D129" s="217"/>
      <c r="E129" s="198"/>
      <c r="F129" s="200"/>
      <c r="G129" s="201"/>
    </row>
    <row r="130" spans="4:7" hidden="1" x14ac:dyDescent="0.25">
      <c r="D130" s="217"/>
      <c r="E130" s="198"/>
      <c r="F130" s="200"/>
      <c r="G130" s="201"/>
    </row>
    <row r="131" spans="4:7" hidden="1" x14ac:dyDescent="0.25">
      <c r="D131" s="217"/>
      <c r="E131" s="198"/>
      <c r="F131" s="200"/>
      <c r="G131" s="201"/>
    </row>
    <row r="132" spans="4:7" hidden="1" x14ac:dyDescent="0.25">
      <c r="D132" s="217"/>
      <c r="E132" s="198"/>
      <c r="F132" s="200"/>
      <c r="G132" s="201"/>
    </row>
    <row r="133" spans="4:7" hidden="1" x14ac:dyDescent="0.25">
      <c r="D133" s="217"/>
      <c r="E133" s="198"/>
      <c r="F133" s="200"/>
      <c r="G133" s="201"/>
    </row>
    <row r="134" spans="4:7" hidden="1" x14ac:dyDescent="0.25">
      <c r="D134" s="217"/>
      <c r="E134" s="198"/>
      <c r="F134" s="200"/>
      <c r="G134" s="201"/>
    </row>
    <row r="135" spans="4:7" hidden="1" x14ac:dyDescent="0.25">
      <c r="D135" s="217"/>
      <c r="E135" s="198"/>
      <c r="F135" s="200"/>
      <c r="G135" s="201"/>
    </row>
    <row r="136" spans="4:7" hidden="1" x14ac:dyDescent="0.25">
      <c r="D136" s="217"/>
      <c r="E136" s="198"/>
      <c r="F136" s="200"/>
      <c r="G136" s="201"/>
    </row>
    <row r="137" spans="4:7" hidden="1" x14ac:dyDescent="0.25">
      <c r="D137" s="217"/>
      <c r="E137" s="198"/>
      <c r="F137" s="200"/>
      <c r="G137" s="201"/>
    </row>
    <row r="138" spans="4:7" hidden="1" x14ac:dyDescent="0.25">
      <c r="D138" s="217"/>
      <c r="E138" s="198"/>
      <c r="F138" s="200"/>
      <c r="G138" s="201"/>
    </row>
    <row r="139" spans="4:7" hidden="1" x14ac:dyDescent="0.25">
      <c r="D139" s="217"/>
      <c r="E139" s="198"/>
      <c r="F139" s="200"/>
      <c r="G139" s="201"/>
    </row>
    <row r="140" spans="4:7" hidden="1" x14ac:dyDescent="0.25">
      <c r="D140" s="217"/>
      <c r="E140" s="198"/>
      <c r="F140" s="200"/>
      <c r="G140" s="201"/>
    </row>
    <row r="141" spans="4:7" hidden="1" x14ac:dyDescent="0.25">
      <c r="D141" s="217"/>
      <c r="E141" s="198"/>
      <c r="F141" s="200"/>
      <c r="G141" s="201"/>
    </row>
    <row r="142" spans="4:7" hidden="1" x14ac:dyDescent="0.25">
      <c r="D142" s="217"/>
      <c r="E142" s="198"/>
      <c r="F142" s="200"/>
      <c r="G142" s="201"/>
    </row>
    <row r="143" spans="4:7" hidden="1" x14ac:dyDescent="0.25">
      <c r="D143" s="217"/>
      <c r="E143" s="198"/>
      <c r="F143" s="200"/>
      <c r="G143" s="201"/>
    </row>
    <row r="144" spans="4:7" hidden="1" x14ac:dyDescent="0.25">
      <c r="D144" s="217"/>
      <c r="E144" s="198"/>
      <c r="F144" s="200"/>
      <c r="G144" s="201"/>
    </row>
    <row r="145" spans="4:7" hidden="1" x14ac:dyDescent="0.25">
      <c r="D145" s="217"/>
      <c r="E145" s="198"/>
      <c r="F145" s="200"/>
      <c r="G145" s="201"/>
    </row>
    <row r="146" spans="4:7" hidden="1" x14ac:dyDescent="0.25">
      <c r="D146" s="217"/>
      <c r="E146" s="198"/>
      <c r="F146" s="200"/>
      <c r="G146" s="201"/>
    </row>
    <row r="147" spans="4:7" ht="15.75" hidden="1" thickBot="1" x14ac:dyDescent="0.3">
      <c r="D147" s="218"/>
      <c r="E147" s="199"/>
      <c r="F147" s="202"/>
      <c r="G147" s="203"/>
    </row>
    <row r="148" spans="4:7" x14ac:dyDescent="0.25">
      <c r="D148" s="215"/>
      <c r="E148" s="193"/>
      <c r="F148" s="193"/>
      <c r="G148" s="193"/>
    </row>
  </sheetData>
  <mergeCells count="2">
    <mergeCell ref="D21:F21"/>
    <mergeCell ref="D41:F4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C00000"/>
  </sheetPr>
  <dimension ref="B19:C39"/>
  <sheetViews>
    <sheetView showGridLines="0" zoomScale="57" zoomScaleNormal="57" workbookViewId="0">
      <selection activeCell="AR16" sqref="AR16"/>
    </sheetView>
  </sheetViews>
  <sheetFormatPr defaultRowHeight="15" x14ac:dyDescent="0.25"/>
  <cols>
    <col min="2" max="2" width="26.7109375" customWidth="1"/>
    <col min="3" max="3" width="24.7109375" customWidth="1"/>
  </cols>
  <sheetData>
    <row r="19" spans="2:3" ht="15.75" thickBot="1" x14ac:dyDescent="0.3"/>
    <row r="20" spans="2:3" x14ac:dyDescent="0.25">
      <c r="B20" s="81" t="s">
        <v>249</v>
      </c>
      <c r="C20" s="94">
        <v>30</v>
      </c>
    </row>
    <row r="22" spans="2:3" ht="15.75" thickBot="1" x14ac:dyDescent="0.3"/>
    <row r="23" spans="2:3" ht="19.5" thickBot="1" x14ac:dyDescent="0.35">
      <c r="B23" s="245" t="s">
        <v>13</v>
      </c>
      <c r="C23" s="247"/>
    </row>
    <row r="24" spans="2:3" ht="15.75" thickBot="1" x14ac:dyDescent="0.3">
      <c r="B24" s="99" t="s">
        <v>8</v>
      </c>
      <c r="C24" s="95" t="s">
        <v>234</v>
      </c>
    </row>
    <row r="25" spans="2:3" x14ac:dyDescent="0.25">
      <c r="B25" s="100" t="str">
        <f>'WINBUGS data'!B4</f>
        <v>INDOIV</v>
      </c>
      <c r="C25" s="96" t="s">
        <v>299</v>
      </c>
    </row>
    <row r="26" spans="2:3" x14ac:dyDescent="0.25">
      <c r="B26" s="101" t="str">
        <f>'WINBUGS data'!B5</f>
        <v>IBUIV</v>
      </c>
      <c r="C26" s="97" t="s">
        <v>300</v>
      </c>
    </row>
    <row r="27" spans="2:3" x14ac:dyDescent="0.25">
      <c r="B27" s="101" t="str">
        <f>'WINBUGS data'!B6</f>
        <v>IBUPO</v>
      </c>
      <c r="C27" s="97" t="s">
        <v>301</v>
      </c>
    </row>
    <row r="28" spans="2:3" x14ac:dyDescent="0.25">
      <c r="B28" s="101" t="str">
        <f>'WINBUGS data'!B7</f>
        <v>PARAPO</v>
      </c>
      <c r="C28" s="97" t="s">
        <v>302</v>
      </c>
    </row>
    <row r="29" spans="2:3" x14ac:dyDescent="0.25">
      <c r="B29" s="101" t="str">
        <f>'WINBUGS data'!B8</f>
        <v>IBUIVHIGHDOSE</v>
      </c>
      <c r="C29" s="97" t="s">
        <v>303</v>
      </c>
    </row>
    <row r="30" spans="2:3" x14ac:dyDescent="0.25">
      <c r="B30" s="101" t="str">
        <f>'WINBUGS data'!B9</f>
        <v>IBUIVCONT</v>
      </c>
      <c r="C30" s="97" t="s">
        <v>304</v>
      </c>
    </row>
    <row r="31" spans="2:3" x14ac:dyDescent="0.25">
      <c r="B31" s="101" t="str">
        <f>'WINBUGS data'!B10</f>
        <v>INDOTHERS</v>
      </c>
      <c r="C31" s="97" t="s">
        <v>305</v>
      </c>
    </row>
    <row r="32" spans="2:3" x14ac:dyDescent="0.25">
      <c r="B32" s="101" t="str">
        <f>'WINBUGS data'!B11</f>
        <v>PLAC_NORX</v>
      </c>
      <c r="C32" s="97" t="s">
        <v>306</v>
      </c>
    </row>
    <row r="33" spans="2:3" x14ac:dyDescent="0.25">
      <c r="B33" s="101" t="str">
        <f>'WINBUGS data'!B12</f>
        <v/>
      </c>
      <c r="C33" s="97" t="s">
        <v>307</v>
      </c>
    </row>
    <row r="34" spans="2:3" x14ac:dyDescent="0.25">
      <c r="B34" s="101" t="str">
        <f>'WINBUGS data'!B13</f>
        <v/>
      </c>
      <c r="C34" s="97" t="s">
        <v>308</v>
      </c>
    </row>
    <row r="35" spans="2:3" x14ac:dyDescent="0.25">
      <c r="B35" s="101" t="str">
        <f>'WINBUGS data'!B14</f>
        <v/>
      </c>
      <c r="C35" s="97" t="s">
        <v>309</v>
      </c>
    </row>
    <row r="36" spans="2:3" x14ac:dyDescent="0.25">
      <c r="B36" s="101" t="str">
        <f>'WINBUGS data'!B15</f>
        <v/>
      </c>
      <c r="C36" s="97" t="s">
        <v>310</v>
      </c>
    </row>
    <row r="37" spans="2:3" x14ac:dyDescent="0.25">
      <c r="B37" s="101" t="str">
        <f>'WINBUGS data'!B16</f>
        <v/>
      </c>
      <c r="C37" s="97" t="s">
        <v>311</v>
      </c>
    </row>
    <row r="38" spans="2:3" x14ac:dyDescent="0.25">
      <c r="B38" s="101" t="str">
        <f>'WINBUGS data'!B17</f>
        <v/>
      </c>
      <c r="C38" s="97" t="s">
        <v>312</v>
      </c>
    </row>
    <row r="39" spans="2:3" ht="15.75" thickBot="1" x14ac:dyDescent="0.3">
      <c r="B39" s="102" t="str">
        <f>'WINBUGS data'!B18</f>
        <v/>
      </c>
      <c r="C39" s="98" t="s">
        <v>313</v>
      </c>
    </row>
  </sheetData>
  <mergeCells count="1">
    <mergeCell ref="B23:C23"/>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rgb="FFC00000"/>
  </sheetPr>
  <dimension ref="A2:AA9"/>
  <sheetViews>
    <sheetView showGridLines="0" topLeftCell="B1" zoomScaleNormal="100" workbookViewId="0">
      <selection activeCell="D5" sqref="D5"/>
    </sheetView>
  </sheetViews>
  <sheetFormatPr defaultRowHeight="15" x14ac:dyDescent="0.25"/>
  <cols>
    <col min="1" max="1" width="6" customWidth="1"/>
    <col min="2" max="2" width="13" customWidth="1"/>
    <col min="3" max="3" width="22.85546875" customWidth="1"/>
    <col min="4" max="4" width="28.7109375" customWidth="1"/>
    <col min="6" max="6" width="13.28515625" customWidth="1"/>
    <col min="7" max="7" width="14.5703125" customWidth="1"/>
    <col min="8" max="8" width="13" customWidth="1"/>
    <col min="22" max="22" width="16.28515625" customWidth="1"/>
    <col min="25" max="27" width="9.140625" hidden="1" customWidth="1"/>
    <col min="28" max="28" width="9.140625" customWidth="1"/>
  </cols>
  <sheetData>
    <row r="2" spans="1:26" x14ac:dyDescent="0.25">
      <c r="C2" s="47"/>
      <c r="D2" s="48"/>
      <c r="U2" s="11"/>
    </row>
    <row r="3" spans="1:26" ht="15.75" thickBot="1" x14ac:dyDescent="0.3">
      <c r="C3" s="47"/>
      <c r="D3" s="49"/>
      <c r="Y3" t="s">
        <v>219</v>
      </c>
      <c r="Z3" t="str">
        <f ca="1">'Fixed Effects'!A1</f>
        <v>Fixed Effects</v>
      </c>
    </row>
    <row r="4" spans="1:26" ht="15.75" thickBot="1" x14ac:dyDescent="0.3">
      <c r="C4" s="81" t="s">
        <v>228</v>
      </c>
      <c r="D4" s="89" t="s">
        <v>123</v>
      </c>
      <c r="Y4" t="s">
        <v>221</v>
      </c>
      <c r="Z4" t="str">
        <f ca="1">'Random Effects (Vague)'!A1</f>
        <v>Random Effects (Vague)</v>
      </c>
    </row>
    <row r="5" spans="1:26" ht="15.75" thickBot="1" x14ac:dyDescent="0.3">
      <c r="A5" s="92"/>
      <c r="B5" s="261" t="s">
        <v>233</v>
      </c>
      <c r="C5" s="82" t="s">
        <v>217</v>
      </c>
      <c r="D5" s="90" t="s">
        <v>226</v>
      </c>
      <c r="U5" s="11"/>
      <c r="Y5" t="s">
        <v>220</v>
      </c>
      <c r="Z5" t="str">
        <f ca="1">'Random Effects  (Informative)'!A1</f>
        <v>Random Effects  (Informative)</v>
      </c>
    </row>
    <row r="6" spans="1:26" ht="15.75" thickBot="1" x14ac:dyDescent="0.3">
      <c r="A6" s="92"/>
      <c r="B6" s="262"/>
      <c r="C6" s="83" t="s">
        <v>218</v>
      </c>
      <c r="D6" s="91" t="s">
        <v>222</v>
      </c>
      <c r="E6" s="39"/>
      <c r="U6" s="11"/>
      <c r="Z6" t="s">
        <v>222</v>
      </c>
    </row>
    <row r="7" spans="1:26" ht="15.75" thickBot="1" x14ac:dyDescent="0.3">
      <c r="A7" s="47"/>
      <c r="C7" s="83" t="s">
        <v>232</v>
      </c>
      <c r="D7" s="91">
        <v>2</v>
      </c>
    </row>
    <row r="8" spans="1:26" ht="15.75" thickBot="1" x14ac:dyDescent="0.3">
      <c r="C8" s="83" t="s">
        <v>243</v>
      </c>
      <c r="D8" s="91">
        <v>7</v>
      </c>
    </row>
    <row r="9" spans="1:26" ht="15.75" thickBot="1" x14ac:dyDescent="0.3">
      <c r="C9" s="83" t="s">
        <v>248</v>
      </c>
      <c r="D9" s="91">
        <v>375</v>
      </c>
    </row>
  </sheetData>
  <mergeCells count="1">
    <mergeCell ref="B5:B6"/>
  </mergeCells>
  <dataValidations count="3">
    <dataValidation type="list" allowBlank="1" showInputMessage="1" showErrorMessage="1" sqref="D5">
      <formula1>$Z$3:$Z$5</formula1>
    </dataValidation>
    <dataValidation type="list" allowBlank="1" showInputMessage="1" showErrorMessage="1" sqref="D6">
      <formula1>$Z$3:$Z$6</formula1>
    </dataValidation>
    <dataValidation type="list" allowBlank="1" showInputMessage="1" showErrorMessage="1" sqref="D4">
      <formula1>"OR"</formula1>
    </dataValidation>
  </dataValidation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C00000"/>
  </sheetPr>
  <dimension ref="B1:Z26"/>
  <sheetViews>
    <sheetView showGridLines="0" zoomScale="96" zoomScaleNormal="96" workbookViewId="0">
      <selection activeCell="G11" sqref="G11"/>
    </sheetView>
  </sheetViews>
  <sheetFormatPr defaultRowHeight="15" x14ac:dyDescent="0.25"/>
  <cols>
    <col min="2" max="2" width="12.28515625" customWidth="1"/>
    <col min="3" max="3" width="32.7109375" customWidth="1"/>
    <col min="4" max="4" width="8.5703125" customWidth="1"/>
    <col min="5" max="5" width="5.28515625" customWidth="1"/>
    <col min="6" max="18" width="18.7109375" style="19" customWidth="1"/>
    <col min="19" max="20" width="15.42578125" style="19" customWidth="1"/>
    <col min="21" max="21" width="15.42578125" customWidth="1"/>
  </cols>
  <sheetData>
    <row r="1" spans="2:26" ht="47.25" customHeight="1" thickBot="1" x14ac:dyDescent="0.3"/>
    <row r="2" spans="2:26" ht="15.75" thickBot="1" x14ac:dyDescent="0.3">
      <c r="B2" s="66" t="s">
        <v>228</v>
      </c>
      <c r="C2" s="94" t="s">
        <v>123</v>
      </c>
      <c r="D2" s="68"/>
      <c r="Y2" s="54" t="str">
        <f>IF(events_bad,CONCATENATE(step," &lt;1 Means the Treatment in Top Left is Better"),CONCATENATE(step," &gt;1 Means the Treatment in Top Left is Better"))</f>
        <v>OR &lt;1 Means the Treatment in Top Left is Better</v>
      </c>
    </row>
    <row r="3" spans="2:26" ht="15.75" thickBot="1" x14ac:dyDescent="0.3">
      <c r="B3" s="67" t="s">
        <v>225</v>
      </c>
      <c r="C3" s="84" t="s">
        <v>226</v>
      </c>
      <c r="Y3" t="s">
        <v>219</v>
      </c>
      <c r="Z3" t="str">
        <f ca="1">'Fixed Effects'!A1</f>
        <v>Fixed Effects</v>
      </c>
    </row>
    <row r="4" spans="2:26" ht="15.75" thickBot="1" x14ac:dyDescent="0.3">
      <c r="Y4" t="s">
        <v>221</v>
      </c>
      <c r="Z4" t="str">
        <f ca="1">'Random Effects (Vague)'!A1</f>
        <v>Random Effects (Vague)</v>
      </c>
    </row>
    <row r="5" spans="2:26" ht="39.950000000000003" customHeight="1" thickBot="1" x14ac:dyDescent="0.3">
      <c r="E5" s="69"/>
      <c r="F5" s="223" t="s">
        <v>354</v>
      </c>
      <c r="G5" s="70"/>
      <c r="H5" s="70"/>
      <c r="I5" s="70"/>
      <c r="J5" s="70"/>
      <c r="K5" s="70"/>
      <c r="L5" s="70"/>
      <c r="M5" s="70"/>
      <c r="N5" s="70"/>
      <c r="O5" s="70"/>
      <c r="P5" s="70"/>
      <c r="Q5" s="70"/>
      <c r="R5" s="70"/>
      <c r="S5" s="70"/>
      <c r="Y5" t="s">
        <v>220</v>
      </c>
      <c r="Z5" t="str">
        <f ca="1">'Random Effects  (Informative)'!A1</f>
        <v>Random Effects  (Informative)</v>
      </c>
    </row>
    <row r="6" spans="2:26" ht="39.950000000000003" customHeight="1" thickBot="1" x14ac:dyDescent="0.3">
      <c r="E6" s="69"/>
      <c r="F6" s="227" t="s">
        <v>746</v>
      </c>
      <c r="G6" s="223" t="s">
        <v>355</v>
      </c>
      <c r="H6" s="70"/>
      <c r="I6" s="70"/>
      <c r="J6" s="70"/>
      <c r="K6" s="70"/>
      <c r="L6" s="70"/>
      <c r="M6" s="70"/>
      <c r="N6" s="70"/>
      <c r="O6" s="70"/>
      <c r="P6" s="70"/>
      <c r="Q6" s="70"/>
      <c r="R6" s="70"/>
      <c r="S6" s="70"/>
      <c r="Y6" t="s">
        <v>745</v>
      </c>
    </row>
    <row r="7" spans="2:26" ht="39.950000000000003" customHeight="1" thickBot="1" x14ac:dyDescent="0.3">
      <c r="E7" s="69"/>
      <c r="F7" s="225" t="s">
        <v>747</v>
      </c>
      <c r="G7" s="224" t="s">
        <v>753</v>
      </c>
      <c r="H7" s="223" t="s">
        <v>352</v>
      </c>
      <c r="I7" s="70"/>
      <c r="J7" s="70"/>
      <c r="K7" s="70"/>
      <c r="L7" s="70"/>
      <c r="M7" s="70"/>
      <c r="N7" s="70"/>
      <c r="O7" s="70"/>
      <c r="P7" s="70"/>
      <c r="Q7" s="70"/>
      <c r="R7" s="70"/>
      <c r="S7" s="70"/>
    </row>
    <row r="8" spans="2:26" ht="39.950000000000003" customHeight="1" thickBot="1" x14ac:dyDescent="0.3">
      <c r="E8" s="69"/>
      <c r="F8" s="225" t="s">
        <v>748</v>
      </c>
      <c r="G8" s="221" t="s">
        <v>754</v>
      </c>
      <c r="H8" s="224" t="s">
        <v>759</v>
      </c>
      <c r="I8" s="223" t="s">
        <v>353</v>
      </c>
      <c r="J8" s="70"/>
      <c r="K8" s="70"/>
      <c r="L8" s="70"/>
      <c r="M8" s="70"/>
      <c r="N8" s="70"/>
      <c r="O8" s="70"/>
      <c r="P8" s="70"/>
      <c r="Q8" s="70"/>
      <c r="R8" s="70"/>
      <c r="S8" s="70"/>
    </row>
    <row r="9" spans="2:26" ht="39.950000000000003" customHeight="1" thickBot="1" x14ac:dyDescent="0.3">
      <c r="E9" s="69"/>
      <c r="F9" s="225" t="s">
        <v>749</v>
      </c>
      <c r="G9" s="221" t="s">
        <v>755</v>
      </c>
      <c r="H9" s="221" t="s">
        <v>760</v>
      </c>
      <c r="I9" s="224" t="s">
        <v>764</v>
      </c>
      <c r="J9" s="223" t="s">
        <v>358</v>
      </c>
      <c r="K9" s="70"/>
      <c r="L9" s="70"/>
      <c r="M9" s="70"/>
      <c r="N9" s="70"/>
      <c r="O9" s="70"/>
      <c r="P9" s="70"/>
      <c r="Q9" s="70"/>
      <c r="R9" s="70"/>
      <c r="S9" s="70"/>
    </row>
    <row r="10" spans="2:26" ht="39.950000000000003" customHeight="1" thickBot="1" x14ac:dyDescent="0.3">
      <c r="E10" s="69"/>
      <c r="F10" s="225" t="s">
        <v>750</v>
      </c>
      <c r="G10" s="221" t="s">
        <v>756</v>
      </c>
      <c r="H10" s="221" t="s">
        <v>761</v>
      </c>
      <c r="I10" s="221" t="s">
        <v>765</v>
      </c>
      <c r="J10" s="224" t="s">
        <v>768</v>
      </c>
      <c r="K10" s="223" t="s">
        <v>359</v>
      </c>
      <c r="L10" s="70"/>
      <c r="M10" s="70"/>
      <c r="N10" s="70"/>
      <c r="O10" s="70"/>
      <c r="P10" s="70"/>
      <c r="Q10" s="70"/>
      <c r="R10" s="70"/>
      <c r="S10" s="70"/>
    </row>
    <row r="11" spans="2:26" ht="39.950000000000003" customHeight="1" thickBot="1" x14ac:dyDescent="0.3">
      <c r="E11" s="69"/>
      <c r="F11" s="225" t="s">
        <v>751</v>
      </c>
      <c r="G11" s="221" t="s">
        <v>757</v>
      </c>
      <c r="H11" s="221" t="s">
        <v>762</v>
      </c>
      <c r="I11" s="221" t="s">
        <v>766</v>
      </c>
      <c r="J11" s="221" t="s">
        <v>769</v>
      </c>
      <c r="K11" s="224" t="s">
        <v>771</v>
      </c>
      <c r="L11" s="223" t="s">
        <v>360</v>
      </c>
      <c r="M11" s="70"/>
      <c r="N11" s="70"/>
      <c r="O11" s="70"/>
      <c r="P11" s="70"/>
      <c r="Q11" s="70"/>
      <c r="R11" s="70"/>
      <c r="S11" s="70"/>
    </row>
    <row r="12" spans="2:26" ht="39.950000000000003" customHeight="1" thickBot="1" x14ac:dyDescent="0.3">
      <c r="E12" s="69"/>
      <c r="F12" s="226" t="s">
        <v>752</v>
      </c>
      <c r="G12" s="222" t="s">
        <v>758</v>
      </c>
      <c r="H12" s="222" t="s">
        <v>763</v>
      </c>
      <c r="I12" s="222" t="s">
        <v>767</v>
      </c>
      <c r="J12" s="222" t="s">
        <v>770</v>
      </c>
      <c r="K12" s="222" t="s">
        <v>772</v>
      </c>
      <c r="L12" s="228" t="s">
        <v>773</v>
      </c>
      <c r="M12" s="223" t="s">
        <v>356</v>
      </c>
      <c r="N12" s="70"/>
      <c r="O12" s="70"/>
      <c r="P12" s="70"/>
      <c r="Q12" s="70"/>
      <c r="R12" s="70"/>
      <c r="S12" s="70"/>
    </row>
    <row r="13" spans="2:26" ht="39.950000000000003" customHeight="1" x14ac:dyDescent="0.25">
      <c r="E13" s="69"/>
      <c r="F13" s="229"/>
      <c r="G13" s="229"/>
      <c r="H13" s="229"/>
      <c r="I13" s="229"/>
      <c r="J13" s="229"/>
      <c r="K13" s="229"/>
      <c r="L13" s="229"/>
      <c r="M13" s="229"/>
      <c r="N13" s="229"/>
      <c r="O13" s="70"/>
      <c r="P13" s="70"/>
      <c r="Q13" s="70"/>
      <c r="R13" s="70"/>
      <c r="S13" s="70"/>
    </row>
    <row r="14" spans="2:26" ht="39.950000000000003" customHeight="1" x14ac:dyDescent="0.25">
      <c r="E14" s="69"/>
      <c r="F14" s="229"/>
      <c r="G14" s="229"/>
      <c r="H14" s="229"/>
      <c r="I14" s="229"/>
      <c r="J14" s="229"/>
      <c r="K14" s="229"/>
      <c r="L14" s="229"/>
      <c r="M14" s="229"/>
      <c r="N14" s="229"/>
      <c r="O14" s="229"/>
      <c r="P14" s="70"/>
      <c r="Q14" s="70"/>
      <c r="R14" s="70"/>
      <c r="S14" s="70"/>
    </row>
    <row r="15" spans="2:26" ht="39.950000000000003" customHeight="1" x14ac:dyDescent="0.25">
      <c r="E15" s="69"/>
      <c r="F15" s="70"/>
      <c r="G15" s="70"/>
      <c r="H15" s="70"/>
      <c r="I15" s="70"/>
      <c r="J15" s="70"/>
      <c r="K15" s="70"/>
      <c r="L15" s="70"/>
      <c r="M15" s="70"/>
      <c r="N15" s="70"/>
      <c r="O15" s="70"/>
      <c r="P15" s="70"/>
      <c r="Q15" s="70"/>
      <c r="R15" s="70"/>
      <c r="S15" s="70"/>
    </row>
    <row r="16" spans="2:26" ht="39.950000000000003" customHeight="1" x14ac:dyDescent="0.25">
      <c r="E16" s="69"/>
      <c r="F16" s="70"/>
      <c r="G16" s="70"/>
      <c r="H16" s="70"/>
      <c r="I16" s="70"/>
      <c r="J16" s="70"/>
      <c r="K16" s="70"/>
      <c r="L16" s="70"/>
      <c r="M16" s="70"/>
      <c r="N16" s="70"/>
      <c r="O16" s="70"/>
      <c r="P16" s="70"/>
      <c r="Q16" s="70"/>
      <c r="R16" s="70"/>
      <c r="S16" s="70"/>
    </row>
    <row r="17" spans="5:19" ht="39.950000000000003" customHeight="1" x14ac:dyDescent="0.25">
      <c r="E17" s="69"/>
      <c r="F17" s="70"/>
      <c r="G17" s="70"/>
      <c r="H17" s="70"/>
      <c r="I17" s="70"/>
      <c r="J17" s="70"/>
      <c r="K17" s="70"/>
      <c r="L17" s="70"/>
      <c r="M17" s="70"/>
      <c r="N17" s="70"/>
      <c r="O17" s="70"/>
      <c r="P17" s="70"/>
      <c r="Q17" s="70"/>
      <c r="R17" s="70"/>
      <c r="S17" s="70"/>
    </row>
    <row r="18" spans="5:19" ht="39.950000000000003" customHeight="1" x14ac:dyDescent="0.25">
      <c r="E18" s="69"/>
      <c r="F18" s="70"/>
      <c r="G18" s="70"/>
      <c r="H18" s="70"/>
      <c r="I18" s="70"/>
      <c r="J18" s="70"/>
      <c r="K18" s="70"/>
      <c r="L18" s="70"/>
      <c r="M18" s="70"/>
      <c r="N18" s="70"/>
      <c r="O18" s="70"/>
      <c r="P18" s="70"/>
      <c r="Q18" s="70"/>
      <c r="R18" s="70"/>
      <c r="S18" s="70"/>
    </row>
    <row r="19" spans="5:19" ht="39.950000000000003" customHeight="1" x14ac:dyDescent="0.25">
      <c r="E19" s="69"/>
      <c r="F19" s="70"/>
      <c r="G19" s="70"/>
      <c r="H19" s="70"/>
      <c r="I19" s="70"/>
      <c r="J19" s="70"/>
      <c r="K19" s="70"/>
      <c r="L19" s="70"/>
      <c r="M19" s="70"/>
      <c r="N19" s="70"/>
      <c r="O19" s="70"/>
      <c r="P19" s="70"/>
      <c r="Q19" s="70"/>
      <c r="R19" s="70"/>
      <c r="S19" s="70"/>
    </row>
    <row r="20" spans="5:19" ht="39.950000000000003" customHeight="1" x14ac:dyDescent="0.25">
      <c r="E20" s="69"/>
      <c r="F20" s="70"/>
      <c r="G20" s="70"/>
      <c r="H20" s="70"/>
      <c r="I20" s="70"/>
      <c r="J20" s="70"/>
      <c r="K20" s="70"/>
      <c r="L20" s="70"/>
      <c r="M20" s="70"/>
      <c r="N20" s="70"/>
      <c r="O20" s="70"/>
      <c r="P20" s="70"/>
      <c r="Q20" s="70"/>
      <c r="R20" s="70"/>
      <c r="S20" s="70"/>
    </row>
    <row r="21" spans="5:19" ht="39.950000000000003" customHeight="1" x14ac:dyDescent="0.25"/>
    <row r="22" spans="5:19" ht="39.950000000000003" customHeight="1" x14ac:dyDescent="0.25"/>
    <row r="23" spans="5:19" ht="39.950000000000003" customHeight="1" x14ac:dyDescent="0.25"/>
    <row r="24" spans="5:19" ht="39.950000000000003" customHeight="1" x14ac:dyDescent="0.25"/>
    <row r="25" spans="5:19" ht="39.950000000000003" customHeight="1" x14ac:dyDescent="0.25"/>
    <row r="26" spans="5:19" ht="30" customHeight="1" x14ac:dyDescent="0.25"/>
  </sheetData>
  <sortState ref="B4:C20">
    <sortCondition ref="C10"/>
  </sortState>
  <dataValidations count="2">
    <dataValidation type="list" allowBlank="1" showInputMessage="1" showErrorMessage="1" sqref="C3">
      <formula1>$Z$3:$Z$5</formula1>
    </dataValidation>
    <dataValidation type="list" allowBlank="1" showInputMessage="1" showErrorMessage="1" sqref="C2">
      <formula1>"OR"</formula1>
    </dataValidation>
  </dataValidation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C00000"/>
  </sheetPr>
  <dimension ref="B2:AD32"/>
  <sheetViews>
    <sheetView showGridLines="0" tabSelected="1" workbookViewId="0">
      <selection activeCell="Z24" sqref="Z24"/>
    </sheetView>
  </sheetViews>
  <sheetFormatPr defaultRowHeight="15" x14ac:dyDescent="0.25"/>
  <cols>
    <col min="2" max="2" width="11.85546875" customWidth="1"/>
    <col min="3" max="3" width="33" customWidth="1"/>
    <col min="13" max="27" width="9.140625" customWidth="1"/>
  </cols>
  <sheetData>
    <row r="2" spans="2:30" hidden="1" x14ac:dyDescent="0.25">
      <c r="B2" t="s">
        <v>263</v>
      </c>
    </row>
    <row r="3" spans="2:30" ht="13.5" hidden="1" customHeight="1" x14ac:dyDescent="0.25">
      <c r="B3" t="s">
        <v>37</v>
      </c>
    </row>
    <row r="4" spans="2:30" hidden="1" x14ac:dyDescent="0.25">
      <c r="B4" t="s">
        <v>226</v>
      </c>
    </row>
    <row r="5" spans="2:30" hidden="1" x14ac:dyDescent="0.25">
      <c r="B5" t="s">
        <v>223</v>
      </c>
    </row>
    <row r="6" spans="2:30" ht="15.75" thickBot="1" x14ac:dyDescent="0.3"/>
    <row r="7" spans="2:30" ht="15.75" thickBot="1" x14ac:dyDescent="0.3">
      <c r="B7" s="67" t="s">
        <v>225</v>
      </c>
      <c r="C7" s="84" t="s">
        <v>226</v>
      </c>
    </row>
    <row r="8" spans="2:30" ht="15.75" thickBot="1" x14ac:dyDescent="0.3">
      <c r="B8" s="67" t="s">
        <v>260</v>
      </c>
      <c r="C8" s="84" t="s">
        <v>258</v>
      </c>
    </row>
    <row r="9" spans="2:30" ht="15.75" hidden="1" thickBot="1" x14ac:dyDescent="0.3">
      <c r="B9" s="67" t="s">
        <v>208</v>
      </c>
      <c r="C9" s="84" t="s">
        <v>357</v>
      </c>
    </row>
    <row r="10" spans="2:30" x14ac:dyDescent="0.25">
      <c r="AD10" t="s">
        <v>259</v>
      </c>
    </row>
    <row r="11" spans="2:30" x14ac:dyDescent="0.25">
      <c r="C11" s="145" t="s">
        <v>262</v>
      </c>
      <c r="AD11" t="s">
        <v>258</v>
      </c>
    </row>
    <row r="12" spans="2:30" x14ac:dyDescent="0.25">
      <c r="AD12" t="s">
        <v>256</v>
      </c>
    </row>
    <row r="13" spans="2:30" ht="15.75" thickBot="1" x14ac:dyDescent="0.3">
      <c r="AD13" t="s">
        <v>257</v>
      </c>
    </row>
    <row r="14" spans="2:30" ht="15.75" thickBot="1" x14ac:dyDescent="0.3">
      <c r="C14" s="112" t="s">
        <v>208</v>
      </c>
      <c r="D14" s="113" t="s">
        <v>244</v>
      </c>
    </row>
    <row r="15" spans="2:30" x14ac:dyDescent="0.25">
      <c r="C15" s="106" t="s">
        <v>354</v>
      </c>
      <c r="D15" s="107">
        <v>0.87319999999999998</v>
      </c>
    </row>
    <row r="16" spans="2:30" x14ac:dyDescent="0.25">
      <c r="C16" s="108" t="s">
        <v>355</v>
      </c>
      <c r="D16" s="109">
        <v>0.85880000000000001</v>
      </c>
    </row>
    <row r="17" spans="2:5" x14ac:dyDescent="0.25">
      <c r="C17" s="108" t="s">
        <v>352</v>
      </c>
      <c r="D17" s="109">
        <v>0.61260000000000003</v>
      </c>
    </row>
    <row r="18" spans="2:5" x14ac:dyDescent="0.25">
      <c r="C18" s="108" t="s">
        <v>353</v>
      </c>
      <c r="D18" s="109">
        <v>0.50119999999999998</v>
      </c>
    </row>
    <row r="19" spans="2:5" x14ac:dyDescent="0.25">
      <c r="C19" s="108" t="s">
        <v>358</v>
      </c>
      <c r="D19" s="109">
        <v>0.42620000000000002</v>
      </c>
    </row>
    <row r="20" spans="2:5" x14ac:dyDescent="0.25">
      <c r="C20" s="108" t="s">
        <v>359</v>
      </c>
      <c r="D20" s="109">
        <v>0.32090000000000002</v>
      </c>
    </row>
    <row r="21" spans="2:5" x14ac:dyDescent="0.25">
      <c r="C21" s="108" t="s">
        <v>360</v>
      </c>
      <c r="D21" s="109">
        <v>0.28670000000000001</v>
      </c>
    </row>
    <row r="22" spans="2:5" x14ac:dyDescent="0.25">
      <c r="C22" s="108" t="s">
        <v>356</v>
      </c>
      <c r="D22" s="109">
        <v>0.1205</v>
      </c>
    </row>
    <row r="23" spans="2:5" x14ac:dyDescent="0.25">
      <c r="C23" s="108"/>
      <c r="D23" s="109"/>
    </row>
    <row r="24" spans="2:5" x14ac:dyDescent="0.25">
      <c r="C24" s="108"/>
      <c r="D24" s="109"/>
    </row>
    <row r="25" spans="2:5" x14ac:dyDescent="0.25">
      <c r="C25" s="108"/>
      <c r="D25" s="109"/>
    </row>
    <row r="26" spans="2:5" x14ac:dyDescent="0.25">
      <c r="C26" s="108"/>
      <c r="D26" s="109"/>
    </row>
    <row r="27" spans="2:5" x14ac:dyDescent="0.25">
      <c r="C27" s="108"/>
      <c r="D27" s="109"/>
    </row>
    <row r="28" spans="2:5" x14ac:dyDescent="0.25">
      <c r="C28" s="108"/>
      <c r="D28" s="109"/>
    </row>
    <row r="29" spans="2:5" ht="15.75" thickBot="1" x14ac:dyDescent="0.3">
      <c r="C29" s="110"/>
      <c r="D29" s="111"/>
    </row>
    <row r="30" spans="2:5" x14ac:dyDescent="0.25">
      <c r="B30" s="39"/>
      <c r="C30" s="39"/>
      <c r="D30" s="31"/>
      <c r="E30" s="39"/>
    </row>
    <row r="31" spans="2:5" x14ac:dyDescent="0.25">
      <c r="D31" s="19"/>
    </row>
    <row r="32" spans="2:5" x14ac:dyDescent="0.25">
      <c r="D32" s="19"/>
    </row>
  </sheetData>
  <sortState ref="C15:D29">
    <sortCondition descending="1" ref="D14"/>
  </sortState>
  <dataConsolidate/>
  <dataValidations count="3">
    <dataValidation type="list" allowBlank="1" showInputMessage="1" showErrorMessage="1" sqref="C7">
      <formula1>$B$3:$B$5</formula1>
    </dataValidation>
    <dataValidation type="list" allowBlank="1" showInputMessage="1" showErrorMessage="1" sqref="C8">
      <formula1>$AD$10:$AD$13</formula1>
    </dataValidation>
    <dataValidation type="list" allowBlank="1" showInputMessage="1" showErrorMessage="1" sqref="C9">
      <formula1>sucra_list</formula1>
    </dataValidation>
  </dataValidation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rgb="FF6F8493"/>
  </sheetPr>
  <dimension ref="A2:AI105"/>
  <sheetViews>
    <sheetView showGridLines="0" workbookViewId="0">
      <selection activeCell="G24" sqref="G24:G25"/>
    </sheetView>
  </sheetViews>
  <sheetFormatPr defaultRowHeight="15" x14ac:dyDescent="0.25"/>
  <cols>
    <col min="1" max="1" width="1.5703125" customWidth="1"/>
    <col min="2" max="2" width="1.28515625" customWidth="1"/>
    <col min="8" max="8" width="12.85546875" style="16" customWidth="1"/>
    <col min="9" max="9" width="13.7109375" customWidth="1"/>
    <col min="13" max="13" width="10.5703125" style="16" customWidth="1"/>
    <col min="15" max="15" width="11.28515625" customWidth="1"/>
    <col min="16" max="16" width="11.5703125" customWidth="1"/>
    <col min="17" max="17" width="9.140625" customWidth="1"/>
    <col min="18" max="18" width="18.85546875" customWidth="1"/>
    <col min="19" max="19" width="11.42578125" customWidth="1"/>
    <col min="20" max="20" width="24.42578125" customWidth="1"/>
    <col min="21" max="21" width="33.85546875" customWidth="1"/>
    <col min="22" max="22" width="40" customWidth="1"/>
    <col min="23" max="25" width="9.140625" customWidth="1"/>
    <col min="26" max="27" width="0" hidden="1" customWidth="1"/>
  </cols>
  <sheetData>
    <row r="2" spans="1:35" ht="18" customHeight="1" x14ac:dyDescent="0.25"/>
    <row r="3" spans="1:35" ht="15.75" customHeight="1" thickBot="1" x14ac:dyDescent="0.3"/>
    <row r="4" spans="1:35" ht="15.75" thickBot="1" x14ac:dyDescent="0.3">
      <c r="D4" s="264" t="s">
        <v>37</v>
      </c>
      <c r="E4" s="265"/>
      <c r="F4" s="265"/>
      <c r="G4" s="265"/>
      <c r="H4" s="266"/>
      <c r="I4" s="264" t="s">
        <v>226</v>
      </c>
      <c r="J4" s="265"/>
      <c r="K4" s="265"/>
      <c r="L4" s="265"/>
      <c r="M4" s="266"/>
      <c r="N4" s="40"/>
      <c r="O4" s="267" t="s">
        <v>212</v>
      </c>
      <c r="P4" s="268"/>
      <c r="Q4" s="268"/>
      <c r="R4" s="268"/>
      <c r="S4" s="268"/>
      <c r="T4" s="268"/>
      <c r="U4" s="268"/>
      <c r="V4" s="269"/>
    </row>
    <row r="5" spans="1:35" ht="15.75" thickBot="1" x14ac:dyDescent="0.3">
      <c r="D5" s="270" t="s">
        <v>209</v>
      </c>
      <c r="E5" s="271"/>
      <c r="F5" s="271" t="s">
        <v>210</v>
      </c>
      <c r="G5" s="271"/>
      <c r="H5" s="2" t="s">
        <v>211</v>
      </c>
      <c r="I5" s="270" t="s">
        <v>209</v>
      </c>
      <c r="J5" s="271"/>
      <c r="K5" s="271" t="s">
        <v>210</v>
      </c>
      <c r="L5" s="271"/>
      <c r="M5" s="2" t="s">
        <v>211</v>
      </c>
      <c r="O5" s="117" t="s">
        <v>207</v>
      </c>
      <c r="P5" s="118" t="s">
        <v>208</v>
      </c>
      <c r="Q5" s="46"/>
      <c r="R5" s="46" t="s">
        <v>10</v>
      </c>
      <c r="S5" s="119"/>
      <c r="T5" s="86" t="s">
        <v>213</v>
      </c>
      <c r="U5" s="86" t="s">
        <v>214</v>
      </c>
      <c r="V5" s="65">
        <v>1</v>
      </c>
      <c r="Z5" t="str">
        <f>R5</f>
        <v>Study Name</v>
      </c>
      <c r="AB5" s="263"/>
      <c r="AC5" s="263"/>
      <c r="AD5" s="263"/>
      <c r="AE5" s="263"/>
      <c r="AH5" s="19"/>
      <c r="AI5" s="19"/>
    </row>
    <row r="6" spans="1:35" x14ac:dyDescent="0.25">
      <c r="A6">
        <v>0</v>
      </c>
      <c r="B6">
        <v>0</v>
      </c>
      <c r="D6" s="26"/>
      <c r="E6" s="31"/>
      <c r="F6" s="31"/>
      <c r="G6" s="31"/>
      <c r="H6" s="1" t="str">
        <f>IF(D6="","",G6-E6)</f>
        <v/>
      </c>
      <c r="I6" s="26" t="s">
        <v>452</v>
      </c>
      <c r="J6" s="31">
        <v>1.4410000000000001</v>
      </c>
      <c r="K6" s="31" t="s">
        <v>452</v>
      </c>
      <c r="L6" s="31">
        <v>1.6419999999999999</v>
      </c>
      <c r="M6" s="1">
        <f>IF(I6="","",L6-J6)</f>
        <v>0.20099999999999985</v>
      </c>
      <c r="O6" s="26" t="str">
        <f t="shared" ref="O6:O69" si="0">IF(D6="","",MID(D6,FIND("[",D6)+1,FIND(",",D6)-FIND("[",D6)-1))</f>
        <v/>
      </c>
      <c r="P6" s="31" t="e">
        <f t="shared" ref="P6:P69" si="1">MID(D6,FIND(",",D6)+1,FIND("]",D6)-FIND(",",D6)-1)</f>
        <v>#VALUE!</v>
      </c>
      <c r="Q6" s="39" t="e">
        <f t="shared" ref="Q6:Q69" si="2">CONCATENATE("t[,",P6,"]")</f>
        <v>#VALUE!</v>
      </c>
      <c r="R6" s="39" t="str">
        <f>IF(D6="","",INDEX('WINBUGS data'!$F$17:$AI$65,'Inconsistency Data'!O6,2))</f>
        <v/>
      </c>
      <c r="S6" s="116" t="e">
        <f>INDEX('WINBUGS data'!$F$17:$AI$65,(O6*1),MATCH(Q6,'WINBUGS data'!$F$16:$AI$16,0))</f>
        <v>#VALUE!</v>
      </c>
      <c r="T6" s="87" t="str">
        <f>IF(D6="","",INDEX('WINBUGS data'!$B$4:$C$18,'Inconsistency Data'!S6,1))</f>
        <v/>
      </c>
      <c r="U6" s="87" t="str">
        <f t="shared" ref="U6:U69" si="3">IF(D6="","",R6&amp; ", "&amp;T6)</f>
        <v/>
      </c>
      <c r="V6" s="64" t="str">
        <f>CHOOSE($V$5,R6,T6,U6)</f>
        <v/>
      </c>
      <c r="Z6" t="str">
        <f>T5</f>
        <v>Treament Name</v>
      </c>
      <c r="AB6" s="39"/>
      <c r="AC6" s="39"/>
      <c r="AD6" s="39"/>
      <c r="AE6" s="39"/>
      <c r="AH6" s="19"/>
      <c r="AI6" s="19"/>
    </row>
    <row r="7" spans="1:35" x14ac:dyDescent="0.25">
      <c r="A7">
        <v>2</v>
      </c>
      <c r="B7">
        <v>2</v>
      </c>
      <c r="D7" s="26"/>
      <c r="E7" s="31"/>
      <c r="F7" s="31"/>
      <c r="G7" s="31"/>
      <c r="H7" s="1" t="str">
        <f t="shared" ref="H7:H70" si="4">IF(D7="","",G7-E7)</f>
        <v/>
      </c>
      <c r="I7" s="26" t="s">
        <v>453</v>
      </c>
      <c r="J7" s="31">
        <v>1.655</v>
      </c>
      <c r="K7" s="31" t="s">
        <v>453</v>
      </c>
      <c r="L7" s="31">
        <v>1.859</v>
      </c>
      <c r="M7" s="1">
        <f t="shared" ref="M7:M70" si="5">IF(I7="","",L7-J7)</f>
        <v>0.20399999999999996</v>
      </c>
      <c r="O7" s="26" t="str">
        <f t="shared" si="0"/>
        <v/>
      </c>
      <c r="P7" s="31" t="e">
        <f t="shared" si="1"/>
        <v>#VALUE!</v>
      </c>
      <c r="Q7" s="39" t="e">
        <f t="shared" si="2"/>
        <v>#VALUE!</v>
      </c>
      <c r="R7" s="39" t="str">
        <f>IF(D7="","",INDEX('WINBUGS data'!$F$17:$AI$65,'Inconsistency Data'!O7,2))</f>
        <v/>
      </c>
      <c r="S7" s="219" t="e">
        <f>INDEX('WINBUGS data'!$F$17:$AI$65,(O7*1),MATCH(Q7,'WINBUGS data'!$F$16:$AI$16,0))</f>
        <v>#VALUE!</v>
      </c>
      <c r="T7" s="87" t="str">
        <f>IF(D7="","",INDEX('WINBUGS Data Inconsistency'!$B$4:$C$18,'Inconsistency Data'!S7,1))</f>
        <v/>
      </c>
      <c r="U7" s="87" t="str">
        <f t="shared" si="3"/>
        <v/>
      </c>
      <c r="V7" s="42" t="str">
        <f t="shared" ref="V7:V70" si="6">CHOOSE($V$5,R7,T7,U7)</f>
        <v/>
      </c>
      <c r="Z7" t="str">
        <f>U5</f>
        <v>Study Name, Treatment Name</v>
      </c>
      <c r="AB7" s="39"/>
      <c r="AC7" s="39"/>
      <c r="AD7" s="39"/>
      <c r="AE7" s="39"/>
      <c r="AH7" s="19"/>
      <c r="AI7" s="19"/>
    </row>
    <row r="8" spans="1:35" x14ac:dyDescent="0.25">
      <c r="D8" s="26"/>
      <c r="E8" s="31"/>
      <c r="F8" s="31"/>
      <c r="G8" s="31"/>
      <c r="H8" s="1" t="str">
        <f t="shared" si="4"/>
        <v/>
      </c>
      <c r="I8" s="26" t="s">
        <v>454</v>
      </c>
      <c r="J8" s="31">
        <v>1.048</v>
      </c>
      <c r="K8" s="31" t="s">
        <v>454</v>
      </c>
      <c r="L8" s="31">
        <v>0.79869999999999997</v>
      </c>
      <c r="M8" s="1">
        <f t="shared" si="5"/>
        <v>-0.24930000000000008</v>
      </c>
      <c r="O8" s="26" t="str">
        <f t="shared" si="0"/>
        <v/>
      </c>
      <c r="P8" s="31" t="e">
        <f t="shared" si="1"/>
        <v>#VALUE!</v>
      </c>
      <c r="Q8" s="39" t="e">
        <f t="shared" si="2"/>
        <v>#VALUE!</v>
      </c>
      <c r="R8" s="39" t="str">
        <f>IF(D8="","",INDEX('WINBUGS data'!$F$17:$AI$65,'Inconsistency Data'!O8,2))</f>
        <v/>
      </c>
      <c r="S8" s="116" t="e">
        <f>INDEX('WINBUGS data'!$F$17:$AI$65,(O8*1),MATCH(Q8,'WINBUGS data'!$F$16:$AI$16,0))</f>
        <v>#VALUE!</v>
      </c>
      <c r="T8" s="87" t="str">
        <f>IF(D8="","",INDEX('WINBUGS Data Inconsistency'!$B$4:$C$18,'Inconsistency Data'!S8,1))</f>
        <v/>
      </c>
      <c r="U8" s="87" t="str">
        <f t="shared" si="3"/>
        <v/>
      </c>
      <c r="V8" s="42" t="str">
        <f t="shared" si="6"/>
        <v/>
      </c>
      <c r="AB8" s="39"/>
      <c r="AC8" s="39"/>
      <c r="AD8" s="39"/>
      <c r="AE8" s="39"/>
      <c r="AH8" s="19"/>
      <c r="AI8" s="19"/>
    </row>
    <row r="9" spans="1:35" x14ac:dyDescent="0.25">
      <c r="D9" s="26"/>
      <c r="E9" s="31"/>
      <c r="F9" s="31"/>
      <c r="G9" s="31"/>
      <c r="H9" s="1" t="str">
        <f t="shared" si="4"/>
        <v/>
      </c>
      <c r="I9" s="26" t="s">
        <v>455</v>
      </c>
      <c r="J9" s="31">
        <v>1.0609999999999999</v>
      </c>
      <c r="K9" s="31" t="s">
        <v>455</v>
      </c>
      <c r="L9" s="31">
        <v>0.85199999999999998</v>
      </c>
      <c r="M9" s="1">
        <f t="shared" si="5"/>
        <v>-0.20899999999999996</v>
      </c>
      <c r="O9" s="26" t="str">
        <f t="shared" si="0"/>
        <v/>
      </c>
      <c r="P9" s="31" t="e">
        <f t="shared" si="1"/>
        <v>#VALUE!</v>
      </c>
      <c r="Q9" s="39" t="e">
        <f t="shared" si="2"/>
        <v>#VALUE!</v>
      </c>
      <c r="R9" s="39" t="str">
        <f>IF(D9="","",INDEX('WINBUGS data'!$F$17:$AI$65,'Inconsistency Data'!O9,2))</f>
        <v/>
      </c>
      <c r="S9" s="116" t="e">
        <f>INDEX('WINBUGS data'!$F$17:$AI$65,(O9*1),MATCH(Q9,'WINBUGS data'!$F$16:$AI$16,0))</f>
        <v>#VALUE!</v>
      </c>
      <c r="T9" s="87" t="str">
        <f>IF(D9="","",INDEX('WINBUGS Data Inconsistency'!$B$4:$C$18,'Inconsistency Data'!S9,1))</f>
        <v/>
      </c>
      <c r="U9" s="87" t="str">
        <f t="shared" si="3"/>
        <v/>
      </c>
      <c r="V9" s="42" t="str">
        <f t="shared" si="6"/>
        <v/>
      </c>
      <c r="AB9" s="39"/>
      <c r="AC9" s="39"/>
      <c r="AD9" s="39"/>
      <c r="AE9" s="39"/>
      <c r="AH9" s="19"/>
      <c r="AI9" s="19"/>
    </row>
    <row r="10" spans="1:35" x14ac:dyDescent="0.25">
      <c r="D10" s="26"/>
      <c r="E10" s="31"/>
      <c r="F10" s="31"/>
      <c r="G10" s="31"/>
      <c r="H10" s="1" t="str">
        <f t="shared" si="4"/>
        <v/>
      </c>
      <c r="I10" s="26" t="s">
        <v>456</v>
      </c>
      <c r="J10" s="31">
        <v>0.87350000000000005</v>
      </c>
      <c r="K10" s="31" t="s">
        <v>456</v>
      </c>
      <c r="L10" s="31">
        <v>0.79959999999999998</v>
      </c>
      <c r="M10" s="1">
        <f t="shared" si="5"/>
        <v>-7.3900000000000077E-2</v>
      </c>
      <c r="O10" s="26" t="str">
        <f t="shared" si="0"/>
        <v/>
      </c>
      <c r="P10" s="31" t="e">
        <f t="shared" si="1"/>
        <v>#VALUE!</v>
      </c>
      <c r="Q10" s="39" t="e">
        <f t="shared" si="2"/>
        <v>#VALUE!</v>
      </c>
      <c r="R10" s="39" t="str">
        <f>IF(D10="","",INDEX('WINBUGS data'!$F$17:$AI$65,'Inconsistency Data'!O10,2))</f>
        <v/>
      </c>
      <c r="S10" s="116" t="e">
        <f>INDEX('WINBUGS data'!$F$17:$AI$65,(O10*1),MATCH(Q10,'WINBUGS data'!$F$16:$AI$16,0))</f>
        <v>#VALUE!</v>
      </c>
      <c r="T10" s="87" t="str">
        <f>IF(D10="","",INDEX('WINBUGS Data Inconsistency'!$B$4:$C$18,'Inconsistency Data'!S10,1))</f>
        <v/>
      </c>
      <c r="U10" s="87" t="str">
        <f t="shared" si="3"/>
        <v/>
      </c>
      <c r="V10" s="42" t="str">
        <f t="shared" si="6"/>
        <v/>
      </c>
      <c r="AB10" s="39"/>
      <c r="AC10" s="39"/>
      <c r="AD10" s="39"/>
      <c r="AE10" s="39"/>
      <c r="AH10" s="19"/>
      <c r="AI10" s="19"/>
    </row>
    <row r="11" spans="1:35" x14ac:dyDescent="0.25">
      <c r="D11" s="26"/>
      <c r="E11" s="31"/>
      <c r="F11" s="31"/>
      <c r="G11" s="31"/>
      <c r="H11" s="1" t="str">
        <f t="shared" si="4"/>
        <v/>
      </c>
      <c r="I11" s="26" t="s">
        <v>457</v>
      </c>
      <c r="J11" s="31">
        <v>0.79890000000000005</v>
      </c>
      <c r="K11" s="31" t="s">
        <v>457</v>
      </c>
      <c r="L11" s="31">
        <v>0.69910000000000005</v>
      </c>
      <c r="M11" s="1">
        <f t="shared" si="5"/>
        <v>-9.98E-2</v>
      </c>
      <c r="O11" s="26" t="str">
        <f t="shared" si="0"/>
        <v/>
      </c>
      <c r="P11" s="31" t="e">
        <f t="shared" si="1"/>
        <v>#VALUE!</v>
      </c>
      <c r="Q11" s="39" t="e">
        <f t="shared" si="2"/>
        <v>#VALUE!</v>
      </c>
      <c r="R11" s="39" t="str">
        <f>IF(D11="","",INDEX('WINBUGS data'!$F$17:$AI$65,'Inconsistency Data'!O11,2))</f>
        <v/>
      </c>
      <c r="S11" s="116" t="e">
        <f>INDEX('WINBUGS data'!$F$17:$AI$65,(O11*1),MATCH(Q11,'WINBUGS data'!$F$16:$AI$16,0))</f>
        <v>#VALUE!</v>
      </c>
      <c r="T11" s="87" t="str">
        <f>IF(D11="","",INDEX('WINBUGS Data Inconsistency'!$B$4:$C$18,'Inconsistency Data'!S11,1))</f>
        <v/>
      </c>
      <c r="U11" s="87" t="str">
        <f t="shared" si="3"/>
        <v/>
      </c>
      <c r="V11" s="42" t="str">
        <f t="shared" si="6"/>
        <v/>
      </c>
      <c r="AB11" s="39"/>
      <c r="AC11" s="39"/>
      <c r="AD11" s="39"/>
      <c r="AE11" s="39"/>
      <c r="AH11" s="19"/>
      <c r="AI11" s="19"/>
    </row>
    <row r="12" spans="1:35" x14ac:dyDescent="0.25">
      <c r="D12" s="26"/>
      <c r="E12" s="31"/>
      <c r="F12" s="31"/>
      <c r="G12" s="31"/>
      <c r="H12" s="1" t="str">
        <f t="shared" si="4"/>
        <v/>
      </c>
      <c r="I12" s="26" t="s">
        <v>458</v>
      </c>
      <c r="J12" s="31">
        <v>0.78690000000000004</v>
      </c>
      <c r="K12" s="31" t="s">
        <v>458</v>
      </c>
      <c r="L12" s="31">
        <v>0.71160000000000001</v>
      </c>
      <c r="M12" s="1">
        <f t="shared" si="5"/>
        <v>-7.5300000000000034E-2</v>
      </c>
      <c r="O12" s="26" t="str">
        <f t="shared" si="0"/>
        <v/>
      </c>
      <c r="P12" s="31" t="e">
        <f t="shared" si="1"/>
        <v>#VALUE!</v>
      </c>
      <c r="Q12" s="39" t="e">
        <f t="shared" si="2"/>
        <v>#VALUE!</v>
      </c>
      <c r="R12" s="39" t="str">
        <f>IF(D12="","",INDEX('WINBUGS data'!$F$17:$AI$65,'Inconsistency Data'!O12,2))</f>
        <v/>
      </c>
      <c r="S12" s="116" t="e">
        <f>INDEX('WINBUGS data'!$F$17:$AI$65,(O12*1),MATCH(Q12,'WINBUGS data'!$F$16:$AI$16,0))</f>
        <v>#VALUE!</v>
      </c>
      <c r="T12" s="87" t="str">
        <f>IF(D12="","",INDEX('WINBUGS Data Inconsistency'!$B$4:$C$18,'Inconsistency Data'!S12,1))</f>
        <v/>
      </c>
      <c r="U12" s="87" t="str">
        <f t="shared" si="3"/>
        <v/>
      </c>
      <c r="V12" s="42" t="str">
        <f t="shared" si="6"/>
        <v/>
      </c>
      <c r="AB12" s="39"/>
      <c r="AC12" s="39"/>
      <c r="AD12" s="39"/>
      <c r="AE12" s="39"/>
      <c r="AH12" s="19"/>
      <c r="AI12" s="19"/>
    </row>
    <row r="13" spans="1:35" x14ac:dyDescent="0.25">
      <c r="D13" s="26"/>
      <c r="E13" s="31"/>
      <c r="F13" s="31"/>
      <c r="G13" s="31"/>
      <c r="H13" s="1" t="str">
        <f t="shared" si="4"/>
        <v/>
      </c>
      <c r="I13" s="26" t="s">
        <v>459</v>
      </c>
      <c r="J13" s="31">
        <v>0.8</v>
      </c>
      <c r="K13" s="31" t="s">
        <v>459</v>
      </c>
      <c r="L13" s="31">
        <v>0.72309999999999997</v>
      </c>
      <c r="M13" s="1">
        <f t="shared" si="5"/>
        <v>-7.6900000000000079E-2</v>
      </c>
      <c r="O13" s="26" t="str">
        <f t="shared" si="0"/>
        <v/>
      </c>
      <c r="P13" s="31" t="e">
        <f t="shared" si="1"/>
        <v>#VALUE!</v>
      </c>
      <c r="Q13" s="39" t="e">
        <f t="shared" si="2"/>
        <v>#VALUE!</v>
      </c>
      <c r="R13" s="39" t="str">
        <f>IF(D13="","",INDEX('WINBUGS data'!$F$17:$AI$65,'Inconsistency Data'!O13,2))</f>
        <v/>
      </c>
      <c r="S13" s="116" t="e">
        <f>INDEX('WINBUGS data'!$F$17:$AI$65,(O13*1),MATCH(Q13,'WINBUGS data'!$F$16:$AI$16,0))</f>
        <v>#VALUE!</v>
      </c>
      <c r="T13" s="87" t="str">
        <f>IF(D13="","",INDEX('WINBUGS Data Inconsistency'!$B$4:$C$18,'Inconsistency Data'!S13,1))</f>
        <v/>
      </c>
      <c r="U13" s="87" t="str">
        <f t="shared" si="3"/>
        <v/>
      </c>
      <c r="V13" s="42" t="str">
        <f t="shared" si="6"/>
        <v/>
      </c>
      <c r="AB13" s="39"/>
      <c r="AC13" s="39"/>
      <c r="AD13" s="39"/>
      <c r="AE13" s="39"/>
      <c r="AH13" s="19"/>
      <c r="AI13" s="19"/>
    </row>
    <row r="14" spans="1:35" x14ac:dyDescent="0.25">
      <c r="D14" s="26"/>
      <c r="E14" s="31"/>
      <c r="F14" s="31"/>
      <c r="G14" s="31"/>
      <c r="H14" s="1" t="str">
        <f t="shared" si="4"/>
        <v/>
      </c>
      <c r="I14" s="26" t="s">
        <v>460</v>
      </c>
      <c r="J14" s="31">
        <v>0.81540000000000001</v>
      </c>
      <c r="K14" s="31" t="s">
        <v>460</v>
      </c>
      <c r="L14" s="31">
        <v>0.75600000000000001</v>
      </c>
      <c r="M14" s="1">
        <f t="shared" si="5"/>
        <v>-5.9400000000000008E-2</v>
      </c>
      <c r="O14" s="26" t="str">
        <f t="shared" si="0"/>
        <v/>
      </c>
      <c r="P14" s="31" t="e">
        <f t="shared" si="1"/>
        <v>#VALUE!</v>
      </c>
      <c r="Q14" s="39" t="e">
        <f t="shared" si="2"/>
        <v>#VALUE!</v>
      </c>
      <c r="R14" s="39" t="str">
        <f>IF(D14="","",INDEX('WINBUGS data'!$F$17:$AI$65,'Inconsistency Data'!O14,2))</f>
        <v/>
      </c>
      <c r="S14" s="116" t="e">
        <f>INDEX('WINBUGS data'!$F$17:$AI$65,(O14*1),MATCH(Q14,'WINBUGS data'!$F$16:$AI$16,0))</f>
        <v>#VALUE!</v>
      </c>
      <c r="T14" s="87" t="str">
        <f>IF(D14="","",INDEX('WINBUGS Data Inconsistency'!$B$4:$C$18,'Inconsistency Data'!S14,1))</f>
        <v/>
      </c>
      <c r="U14" s="87" t="str">
        <f t="shared" si="3"/>
        <v/>
      </c>
      <c r="V14" s="42" t="str">
        <f t="shared" si="6"/>
        <v/>
      </c>
      <c r="AB14" s="39"/>
      <c r="AC14" s="39"/>
      <c r="AD14" s="39"/>
      <c r="AE14" s="39"/>
      <c r="AH14" s="19"/>
      <c r="AI14" s="19"/>
    </row>
    <row r="15" spans="1:35" x14ac:dyDescent="0.25">
      <c r="D15" s="26"/>
      <c r="E15" s="31"/>
      <c r="F15" s="31"/>
      <c r="G15" s="31"/>
      <c r="H15" s="1" t="str">
        <f t="shared" si="4"/>
        <v/>
      </c>
      <c r="I15" s="26" t="s">
        <v>461</v>
      </c>
      <c r="J15" s="31">
        <v>0.79859999999999998</v>
      </c>
      <c r="K15" s="31" t="s">
        <v>461</v>
      </c>
      <c r="L15" s="31">
        <v>0.77100000000000002</v>
      </c>
      <c r="M15" s="1">
        <f t="shared" si="5"/>
        <v>-2.7599999999999958E-2</v>
      </c>
      <c r="O15" s="26" t="str">
        <f t="shared" si="0"/>
        <v/>
      </c>
      <c r="P15" s="31" t="e">
        <f t="shared" si="1"/>
        <v>#VALUE!</v>
      </c>
      <c r="Q15" s="39" t="e">
        <f t="shared" si="2"/>
        <v>#VALUE!</v>
      </c>
      <c r="R15" s="39" t="str">
        <f>IF(D15="","",INDEX('WINBUGS data'!$F$17:$AI$65,'Inconsistency Data'!O15,2))</f>
        <v/>
      </c>
      <c r="S15" s="116" t="e">
        <f>INDEX('WINBUGS data'!$F$17:$AI$65,(O15*1),MATCH(Q15,'WINBUGS data'!$F$16:$AI$16,0))</f>
        <v>#VALUE!</v>
      </c>
      <c r="T15" s="87" t="str">
        <f>IF(D15="","",INDEX('WINBUGS Data Inconsistency'!$B$4:$C$18,'Inconsistency Data'!S15,1))</f>
        <v/>
      </c>
      <c r="U15" s="87" t="str">
        <f t="shared" si="3"/>
        <v/>
      </c>
      <c r="V15" s="42" t="str">
        <f t="shared" si="6"/>
        <v/>
      </c>
      <c r="AB15" s="39"/>
      <c r="AC15" s="39"/>
      <c r="AD15" s="39"/>
      <c r="AE15" s="39"/>
      <c r="AH15" s="19"/>
      <c r="AI15" s="19"/>
    </row>
    <row r="16" spans="1:35" x14ac:dyDescent="0.25">
      <c r="D16" s="26"/>
      <c r="E16" s="31"/>
      <c r="F16" s="31"/>
      <c r="G16" s="31"/>
      <c r="H16" s="1" t="str">
        <f t="shared" si="4"/>
        <v/>
      </c>
      <c r="I16" s="26" t="s">
        <v>462</v>
      </c>
      <c r="J16" s="31">
        <v>0.53029999999999999</v>
      </c>
      <c r="K16" s="31" t="s">
        <v>462</v>
      </c>
      <c r="L16" s="31">
        <v>0.68089999999999995</v>
      </c>
      <c r="M16" s="1">
        <f t="shared" si="5"/>
        <v>0.15059999999999996</v>
      </c>
      <c r="O16" s="26" t="str">
        <f t="shared" si="0"/>
        <v/>
      </c>
      <c r="P16" s="31" t="e">
        <f t="shared" si="1"/>
        <v>#VALUE!</v>
      </c>
      <c r="Q16" s="39" t="e">
        <f t="shared" si="2"/>
        <v>#VALUE!</v>
      </c>
      <c r="R16" s="39" t="str">
        <f>IF(D16="","",INDEX('WINBUGS data'!$F$17:$AI$65,'Inconsistency Data'!O16,2))</f>
        <v/>
      </c>
      <c r="S16" s="116" t="e">
        <f>INDEX('WINBUGS data'!$F$17:$AI$65,(O16*1),MATCH(Q16,'WINBUGS data'!$F$16:$AI$16,0))</f>
        <v>#VALUE!</v>
      </c>
      <c r="T16" s="87" t="str">
        <f>IF(D16="","",INDEX('WINBUGS Data Inconsistency'!$B$4:$C$18,'Inconsistency Data'!S16,1))</f>
        <v/>
      </c>
      <c r="U16" s="87" t="str">
        <f t="shared" si="3"/>
        <v/>
      </c>
      <c r="V16" s="42" t="str">
        <f t="shared" si="6"/>
        <v/>
      </c>
      <c r="AB16" s="39"/>
      <c r="AC16" s="39"/>
      <c r="AD16" s="39"/>
      <c r="AE16" s="39"/>
      <c r="AH16" s="19"/>
      <c r="AI16" s="19"/>
    </row>
    <row r="17" spans="4:35" x14ac:dyDescent="0.25">
      <c r="D17" s="26"/>
      <c r="E17" s="31"/>
      <c r="F17" s="31"/>
      <c r="G17" s="31"/>
      <c r="H17" s="1" t="str">
        <f t="shared" si="4"/>
        <v/>
      </c>
      <c r="I17" s="26" t="s">
        <v>463</v>
      </c>
      <c r="J17" s="31">
        <v>1.252</v>
      </c>
      <c r="K17" s="31" t="s">
        <v>463</v>
      </c>
      <c r="L17" s="31">
        <v>1.3120000000000001</v>
      </c>
      <c r="M17" s="1">
        <f t="shared" si="5"/>
        <v>6.0000000000000053E-2</v>
      </c>
      <c r="O17" s="26" t="str">
        <f t="shared" si="0"/>
        <v/>
      </c>
      <c r="P17" s="31" t="e">
        <f t="shared" si="1"/>
        <v>#VALUE!</v>
      </c>
      <c r="Q17" s="39" t="e">
        <f t="shared" si="2"/>
        <v>#VALUE!</v>
      </c>
      <c r="R17" s="39" t="str">
        <f>IF(D17="","",INDEX('WINBUGS data'!$F$17:$AI$65,'Inconsistency Data'!O17,2))</f>
        <v/>
      </c>
      <c r="S17" s="116" t="e">
        <f>INDEX('WINBUGS data'!$F$17:$AI$65,(O17*1),MATCH(Q17,'WINBUGS data'!$F$16:$AI$16,0))</f>
        <v>#VALUE!</v>
      </c>
      <c r="T17" s="87" t="str">
        <f>IF(D17="","",INDEX('WINBUGS Data Inconsistency'!$B$4:$C$18,'Inconsistency Data'!S17,1))</f>
        <v/>
      </c>
      <c r="U17" s="87" t="str">
        <f t="shared" si="3"/>
        <v/>
      </c>
      <c r="V17" s="42" t="str">
        <f t="shared" si="6"/>
        <v/>
      </c>
      <c r="AB17" s="39"/>
      <c r="AC17" s="39"/>
      <c r="AD17" s="39"/>
      <c r="AE17" s="39"/>
      <c r="AH17" s="19"/>
      <c r="AI17" s="19"/>
    </row>
    <row r="18" spans="4:35" x14ac:dyDescent="0.25">
      <c r="D18" s="26"/>
      <c r="E18" s="31"/>
      <c r="F18" s="31"/>
      <c r="G18" s="31"/>
      <c r="H18" s="1" t="str">
        <f t="shared" si="4"/>
        <v/>
      </c>
      <c r="I18" s="26" t="s">
        <v>464</v>
      </c>
      <c r="J18" s="31">
        <v>0.72189999999999999</v>
      </c>
      <c r="K18" s="31" t="s">
        <v>464</v>
      </c>
      <c r="L18" s="31">
        <v>0.66159999999999997</v>
      </c>
      <c r="M18" s="1">
        <f t="shared" si="5"/>
        <v>-6.030000000000002E-2</v>
      </c>
      <c r="O18" s="26" t="str">
        <f t="shared" si="0"/>
        <v/>
      </c>
      <c r="P18" s="31" t="e">
        <f t="shared" si="1"/>
        <v>#VALUE!</v>
      </c>
      <c r="Q18" s="39" t="e">
        <f t="shared" si="2"/>
        <v>#VALUE!</v>
      </c>
      <c r="R18" s="39" t="str">
        <f>IF(D18="","",INDEX('WINBUGS data'!$F$17:$AI$65,'Inconsistency Data'!O18,2))</f>
        <v/>
      </c>
      <c r="S18" s="116" t="e">
        <f>INDEX('WINBUGS data'!$F$17:$AI$65,(O18*1),MATCH(Q18,'WINBUGS data'!$F$16:$AI$16,0))</f>
        <v>#VALUE!</v>
      </c>
      <c r="T18" s="87" t="str">
        <f>IF(D18="","",INDEX('WINBUGS Data Inconsistency'!$B$4:$C$18,'Inconsistency Data'!S18,1))</f>
        <v/>
      </c>
      <c r="U18" s="87" t="str">
        <f t="shared" si="3"/>
        <v/>
      </c>
      <c r="V18" s="42" t="str">
        <f t="shared" si="6"/>
        <v/>
      </c>
      <c r="AB18" s="39"/>
      <c r="AC18" s="39"/>
      <c r="AD18" s="39"/>
      <c r="AE18" s="39"/>
      <c r="AH18" s="19"/>
      <c r="AI18" s="19"/>
    </row>
    <row r="19" spans="4:35" x14ac:dyDescent="0.25">
      <c r="D19" s="26"/>
      <c r="E19" s="31"/>
      <c r="F19" s="31"/>
      <c r="G19" s="31"/>
      <c r="H19" s="1" t="str">
        <f t="shared" si="4"/>
        <v/>
      </c>
      <c r="I19" s="26" t="s">
        <v>465</v>
      </c>
      <c r="J19" s="31">
        <v>0.5464</v>
      </c>
      <c r="K19" s="31" t="s">
        <v>465</v>
      </c>
      <c r="L19" s="31">
        <v>0.49869999999999998</v>
      </c>
      <c r="M19" s="1">
        <f t="shared" si="5"/>
        <v>-4.770000000000002E-2</v>
      </c>
      <c r="O19" s="26" t="str">
        <f t="shared" si="0"/>
        <v/>
      </c>
      <c r="P19" s="31" t="e">
        <f t="shared" si="1"/>
        <v>#VALUE!</v>
      </c>
      <c r="Q19" s="39" t="e">
        <f t="shared" si="2"/>
        <v>#VALUE!</v>
      </c>
      <c r="R19" s="39" t="str">
        <f>IF(D19="","",INDEX('WINBUGS data'!$F$17:$AI$65,'Inconsistency Data'!O19,2))</f>
        <v/>
      </c>
      <c r="S19" s="116" t="e">
        <f>INDEX('WINBUGS data'!$F$17:$AI$65,(O19*1),MATCH(Q19,'WINBUGS data'!$F$16:$AI$16,0))</f>
        <v>#VALUE!</v>
      </c>
      <c r="T19" s="87" t="str">
        <f>IF(D19="","",INDEX('WINBUGS Data Inconsistency'!$B$4:$C$18,'Inconsistency Data'!S19,1))</f>
        <v/>
      </c>
      <c r="U19" s="87" t="str">
        <f t="shared" si="3"/>
        <v/>
      </c>
      <c r="V19" s="42" t="str">
        <f t="shared" si="6"/>
        <v/>
      </c>
      <c r="AB19" s="39"/>
      <c r="AC19" s="39"/>
      <c r="AD19" s="39"/>
      <c r="AE19" s="39"/>
      <c r="AH19" s="19"/>
      <c r="AI19" s="19"/>
    </row>
    <row r="20" spans="4:35" x14ac:dyDescent="0.25">
      <c r="D20" s="26"/>
      <c r="E20" s="31"/>
      <c r="F20" s="31"/>
      <c r="G20" s="31"/>
      <c r="H20" s="1" t="str">
        <f t="shared" si="4"/>
        <v/>
      </c>
      <c r="I20" s="26" t="s">
        <v>466</v>
      </c>
      <c r="J20" s="31">
        <v>0.8669</v>
      </c>
      <c r="K20" s="31" t="s">
        <v>466</v>
      </c>
      <c r="L20" s="31">
        <v>0.61950000000000005</v>
      </c>
      <c r="M20" s="1">
        <f t="shared" si="5"/>
        <v>-0.24739999999999995</v>
      </c>
      <c r="O20" s="26" t="str">
        <f t="shared" si="0"/>
        <v/>
      </c>
      <c r="P20" s="31" t="e">
        <f t="shared" si="1"/>
        <v>#VALUE!</v>
      </c>
      <c r="Q20" s="39" t="e">
        <f t="shared" si="2"/>
        <v>#VALUE!</v>
      </c>
      <c r="R20" s="39" t="str">
        <f>IF(D20="","",INDEX('WINBUGS data'!$F$17:$AI$65,'Inconsistency Data'!O20,2))</f>
        <v/>
      </c>
      <c r="S20" s="116" t="e">
        <f>INDEX('WINBUGS data'!$F$17:$AI$65,(O20*1),MATCH(Q20,'WINBUGS data'!$F$16:$AI$16,0))</f>
        <v>#VALUE!</v>
      </c>
      <c r="T20" s="87" t="str">
        <f>IF(D20="","",INDEX('WINBUGS Data Inconsistency'!$B$4:$C$18,'Inconsistency Data'!S20,1))</f>
        <v/>
      </c>
      <c r="U20" s="87" t="str">
        <f t="shared" si="3"/>
        <v/>
      </c>
      <c r="V20" s="42" t="str">
        <f t="shared" si="6"/>
        <v/>
      </c>
      <c r="AB20" s="39"/>
      <c r="AC20" s="39"/>
      <c r="AD20" s="39"/>
      <c r="AE20" s="39"/>
      <c r="AH20" s="19"/>
      <c r="AI20" s="19"/>
    </row>
    <row r="21" spans="4:35" x14ac:dyDescent="0.25">
      <c r="D21" s="26"/>
      <c r="E21" s="31"/>
      <c r="F21" s="31"/>
      <c r="G21" s="31"/>
      <c r="H21" s="1" t="str">
        <f t="shared" si="4"/>
        <v/>
      </c>
      <c r="I21" s="26" t="s">
        <v>467</v>
      </c>
      <c r="J21" s="31">
        <v>0.84709999999999996</v>
      </c>
      <c r="K21" s="31" t="s">
        <v>467</v>
      </c>
      <c r="L21" s="31">
        <v>0.59950000000000003</v>
      </c>
      <c r="M21" s="1">
        <f t="shared" si="5"/>
        <v>-0.24759999999999993</v>
      </c>
      <c r="O21" s="26" t="str">
        <f t="shared" si="0"/>
        <v/>
      </c>
      <c r="P21" s="31" t="e">
        <f t="shared" si="1"/>
        <v>#VALUE!</v>
      </c>
      <c r="Q21" s="39" t="e">
        <f t="shared" si="2"/>
        <v>#VALUE!</v>
      </c>
      <c r="R21" s="39" t="str">
        <f>IF(D21="","",INDEX('WINBUGS data'!$F$17:$AI$65,'Inconsistency Data'!O21,2))</f>
        <v/>
      </c>
      <c r="S21" s="116" t="e">
        <f>INDEX('WINBUGS data'!$F$17:$AI$65,(O21*1),MATCH(Q21,'WINBUGS data'!$F$16:$AI$16,0))</f>
        <v>#VALUE!</v>
      </c>
      <c r="T21" s="87" t="str">
        <f>IF(D21="","",INDEX('WINBUGS Data Inconsistency'!$B$4:$C$18,'Inconsistency Data'!S21,1))</f>
        <v/>
      </c>
      <c r="U21" s="87" t="str">
        <f t="shared" si="3"/>
        <v/>
      </c>
      <c r="V21" s="42" t="str">
        <f t="shared" si="6"/>
        <v/>
      </c>
      <c r="AB21" s="39"/>
      <c r="AC21" s="39"/>
      <c r="AD21" s="39"/>
      <c r="AE21" s="39"/>
      <c r="AH21" s="19"/>
      <c r="AI21" s="19"/>
    </row>
    <row r="22" spans="4:35" x14ac:dyDescent="0.25">
      <c r="D22" s="26"/>
      <c r="E22" s="31"/>
      <c r="F22" s="31"/>
      <c r="G22" s="31"/>
      <c r="H22" s="1" t="str">
        <f t="shared" si="4"/>
        <v/>
      </c>
      <c r="I22" s="26" t="s">
        <v>468</v>
      </c>
      <c r="J22" s="31">
        <v>1.732</v>
      </c>
      <c r="K22" s="31" t="s">
        <v>468</v>
      </c>
      <c r="L22" s="31">
        <v>1.63</v>
      </c>
      <c r="M22" s="1">
        <f t="shared" si="5"/>
        <v>-0.10200000000000009</v>
      </c>
      <c r="O22" s="26" t="str">
        <f t="shared" si="0"/>
        <v/>
      </c>
      <c r="P22" s="31" t="e">
        <f t="shared" si="1"/>
        <v>#VALUE!</v>
      </c>
      <c r="Q22" s="39" t="e">
        <f t="shared" si="2"/>
        <v>#VALUE!</v>
      </c>
      <c r="R22" s="39" t="str">
        <f>IF(D22="","",INDEX('WINBUGS data'!$F$17:$AI$65,'Inconsistency Data'!O22,2))</f>
        <v/>
      </c>
      <c r="S22" s="116" t="e">
        <f>INDEX('WINBUGS data'!$F$17:$AI$65,(O22*1),MATCH(Q22,'WINBUGS data'!$F$16:$AI$16,0))</f>
        <v>#VALUE!</v>
      </c>
      <c r="T22" s="87" t="str">
        <f>IF(D22="","",INDEX('WINBUGS Data Inconsistency'!$B$4:$C$18,'Inconsistency Data'!S22,1))</f>
        <v/>
      </c>
      <c r="U22" s="87" t="str">
        <f t="shared" si="3"/>
        <v/>
      </c>
      <c r="V22" s="42" t="str">
        <f t="shared" si="6"/>
        <v/>
      </c>
      <c r="AB22" s="39"/>
      <c r="AC22" s="39"/>
      <c r="AD22" s="39"/>
      <c r="AE22" s="39"/>
      <c r="AH22" s="19"/>
      <c r="AI22" s="19"/>
    </row>
    <row r="23" spans="4:35" x14ac:dyDescent="0.25">
      <c r="D23" s="26"/>
      <c r="E23" s="31"/>
      <c r="F23" s="31"/>
      <c r="G23" s="31"/>
      <c r="H23" s="1" t="str">
        <f t="shared" si="4"/>
        <v/>
      </c>
      <c r="I23" s="26" t="s">
        <v>469</v>
      </c>
      <c r="J23" s="31">
        <v>1.7589999999999999</v>
      </c>
      <c r="K23" s="31" t="s">
        <v>469</v>
      </c>
      <c r="L23" s="31">
        <v>1.663</v>
      </c>
      <c r="M23" s="1">
        <f t="shared" si="5"/>
        <v>-9.5999999999999863E-2</v>
      </c>
      <c r="O23" s="26" t="str">
        <f t="shared" si="0"/>
        <v/>
      </c>
      <c r="P23" s="31" t="e">
        <f t="shared" si="1"/>
        <v>#VALUE!</v>
      </c>
      <c r="Q23" s="39" t="e">
        <f t="shared" si="2"/>
        <v>#VALUE!</v>
      </c>
      <c r="R23" s="39" t="str">
        <f>IF(D23="","",INDEX('WINBUGS data'!$F$17:$AI$65,'Inconsistency Data'!O23,2))</f>
        <v/>
      </c>
      <c r="S23" s="116" t="e">
        <f>INDEX('WINBUGS data'!$F$17:$AI$65,(O23*1),MATCH(Q23,'WINBUGS data'!$F$16:$AI$16,0))</f>
        <v>#VALUE!</v>
      </c>
      <c r="T23" s="87" t="str">
        <f>IF(D23="","",INDEX('WINBUGS Data Inconsistency'!$B$4:$C$18,'Inconsistency Data'!S23,1))</f>
        <v/>
      </c>
      <c r="U23" s="87" t="str">
        <f t="shared" si="3"/>
        <v/>
      </c>
      <c r="V23" s="42" t="str">
        <f t="shared" si="6"/>
        <v/>
      </c>
      <c r="AB23" s="39"/>
      <c r="AC23" s="39"/>
      <c r="AD23" s="39"/>
      <c r="AE23" s="39"/>
      <c r="AH23" s="19"/>
      <c r="AI23" s="19"/>
    </row>
    <row r="24" spans="4:35" x14ac:dyDescent="0.25">
      <c r="D24" s="26"/>
      <c r="E24" s="31"/>
      <c r="F24" s="31"/>
      <c r="G24" s="31"/>
      <c r="H24" s="1" t="str">
        <f t="shared" si="4"/>
        <v/>
      </c>
      <c r="I24" s="26" t="s">
        <v>470</v>
      </c>
      <c r="J24" s="31">
        <v>0.99439999999999995</v>
      </c>
      <c r="K24" s="31" t="s">
        <v>470</v>
      </c>
      <c r="L24" s="31">
        <v>1.0429999999999999</v>
      </c>
      <c r="M24" s="1">
        <f t="shared" si="5"/>
        <v>4.8599999999999977E-2</v>
      </c>
      <c r="O24" s="26" t="str">
        <f t="shared" si="0"/>
        <v/>
      </c>
      <c r="P24" s="31" t="e">
        <f t="shared" si="1"/>
        <v>#VALUE!</v>
      </c>
      <c r="Q24" s="39" t="e">
        <f t="shared" si="2"/>
        <v>#VALUE!</v>
      </c>
      <c r="R24" s="39" t="str">
        <f>IF(D24="","",INDEX('WINBUGS data'!$F$17:$AI$65,'Inconsistency Data'!O24,2))</f>
        <v/>
      </c>
      <c r="S24" s="116" t="e">
        <f>INDEX('WINBUGS data'!$F$17:$AI$65,(O24*1),MATCH(Q24,'WINBUGS data'!$F$16:$AI$16,0))</f>
        <v>#VALUE!</v>
      </c>
      <c r="T24" s="87" t="str">
        <f>IF(D24="","",INDEX('WINBUGS Data Inconsistency'!$B$4:$C$18,'Inconsistency Data'!S24,1))</f>
        <v/>
      </c>
      <c r="U24" s="87" t="str">
        <f t="shared" si="3"/>
        <v/>
      </c>
      <c r="V24" s="42" t="str">
        <f t="shared" si="6"/>
        <v/>
      </c>
      <c r="AB24" s="39"/>
      <c r="AC24" s="39"/>
      <c r="AD24" s="39"/>
      <c r="AE24" s="39"/>
      <c r="AH24" s="19"/>
      <c r="AI24" s="19"/>
    </row>
    <row r="25" spans="4:35" x14ac:dyDescent="0.25">
      <c r="D25" s="26"/>
      <c r="E25" s="31"/>
      <c r="F25" s="31"/>
      <c r="G25" s="31"/>
      <c r="H25" s="1" t="str">
        <f t="shared" si="4"/>
        <v/>
      </c>
      <c r="I25" s="26" t="s">
        <v>471</v>
      </c>
      <c r="J25" s="31">
        <v>1.0129999999999999</v>
      </c>
      <c r="K25" s="31" t="s">
        <v>471</v>
      </c>
      <c r="L25" s="31">
        <v>1.032</v>
      </c>
      <c r="M25" s="1">
        <f t="shared" si="5"/>
        <v>1.9000000000000128E-2</v>
      </c>
      <c r="O25" s="26" t="str">
        <f t="shared" si="0"/>
        <v/>
      </c>
      <c r="P25" s="31" t="e">
        <f t="shared" si="1"/>
        <v>#VALUE!</v>
      </c>
      <c r="Q25" s="39" t="e">
        <f t="shared" si="2"/>
        <v>#VALUE!</v>
      </c>
      <c r="R25" s="39" t="str">
        <f>IF(D25="","",INDEX('WINBUGS data'!$F$17:$AI$65,'Inconsistency Data'!O25,2))</f>
        <v/>
      </c>
      <c r="S25" s="116" t="e">
        <f>INDEX('WINBUGS data'!$F$17:$AI$65,(O25*1),MATCH(Q25,'WINBUGS data'!$F$16:$AI$16,0))</f>
        <v>#VALUE!</v>
      </c>
      <c r="T25" s="87" t="str">
        <f>IF(D25="","",INDEX('WINBUGS Data Inconsistency'!$B$4:$C$18,'Inconsistency Data'!S25,1))</f>
        <v/>
      </c>
      <c r="U25" s="87" t="str">
        <f t="shared" si="3"/>
        <v/>
      </c>
      <c r="V25" s="42" t="str">
        <f t="shared" si="6"/>
        <v/>
      </c>
      <c r="AB25" s="39"/>
      <c r="AC25" s="39"/>
      <c r="AD25" s="39"/>
      <c r="AE25" s="39"/>
      <c r="AH25" s="19"/>
      <c r="AI25" s="19"/>
    </row>
    <row r="26" spans="4:35" x14ac:dyDescent="0.25">
      <c r="D26" s="41"/>
      <c r="E26" s="39"/>
      <c r="F26" s="39"/>
      <c r="G26" s="39"/>
      <c r="H26" s="52" t="str">
        <f t="shared" si="4"/>
        <v/>
      </c>
      <c r="I26" s="41" t="s">
        <v>472</v>
      </c>
      <c r="J26" s="39">
        <v>1.157</v>
      </c>
      <c r="K26" s="39" t="s">
        <v>472</v>
      </c>
      <c r="L26" s="39">
        <v>1.1160000000000001</v>
      </c>
      <c r="M26" s="52">
        <f t="shared" si="5"/>
        <v>-4.0999999999999925E-2</v>
      </c>
      <c r="O26" s="26" t="str">
        <f t="shared" si="0"/>
        <v/>
      </c>
      <c r="P26" s="31" t="e">
        <f t="shared" si="1"/>
        <v>#VALUE!</v>
      </c>
      <c r="Q26" s="39" t="e">
        <f t="shared" si="2"/>
        <v>#VALUE!</v>
      </c>
      <c r="R26" s="39" t="str">
        <f>IF(D26="","",INDEX('WINBUGS data'!$F$17:$AI$65,'Inconsistency Data'!O26,2))</f>
        <v/>
      </c>
      <c r="S26" s="116" t="e">
        <f>INDEX('WINBUGS data'!$F$17:$AI$65,(O26*1),MATCH(Q26,'WINBUGS data'!$F$16:$AI$16,0))</f>
        <v>#VALUE!</v>
      </c>
      <c r="T26" s="87" t="str">
        <f>IF(D26="","",INDEX('WINBUGS Data Inconsistency'!$B$4:$C$18,'Inconsistency Data'!S26,1))</f>
        <v/>
      </c>
      <c r="U26" s="87" t="str">
        <f t="shared" si="3"/>
        <v/>
      </c>
      <c r="V26" s="42" t="str">
        <f t="shared" si="6"/>
        <v/>
      </c>
    </row>
    <row r="27" spans="4:35" x14ac:dyDescent="0.25">
      <c r="D27" s="41"/>
      <c r="E27" s="39"/>
      <c r="F27" s="39"/>
      <c r="G27" s="39"/>
      <c r="H27" s="52" t="str">
        <f t="shared" si="4"/>
        <v/>
      </c>
      <c r="I27" s="41" t="s">
        <v>473</v>
      </c>
      <c r="J27" s="39">
        <v>1.1859999999999999</v>
      </c>
      <c r="K27" s="39" t="s">
        <v>473</v>
      </c>
      <c r="L27" s="39">
        <v>1.165</v>
      </c>
      <c r="M27" s="52">
        <f t="shared" si="5"/>
        <v>-2.0999999999999908E-2</v>
      </c>
      <c r="O27" s="26" t="str">
        <f t="shared" si="0"/>
        <v/>
      </c>
      <c r="P27" s="31" t="e">
        <f t="shared" si="1"/>
        <v>#VALUE!</v>
      </c>
      <c r="Q27" s="39" t="e">
        <f t="shared" si="2"/>
        <v>#VALUE!</v>
      </c>
      <c r="R27" s="39" t="str">
        <f>IF(D27="","",INDEX('WINBUGS data'!$F$17:$AI$65,'Inconsistency Data'!O27,2))</f>
        <v/>
      </c>
      <c r="S27" s="116" t="e">
        <f>INDEX('WINBUGS data'!$F$17:$AI$65,(O27*1),MATCH(Q27,'WINBUGS data'!$F$16:$AI$16,0))</f>
        <v>#VALUE!</v>
      </c>
      <c r="T27" s="87" t="str">
        <f>IF(D27="","",INDEX('WINBUGS Data Inconsistency'!$B$4:$C$18,'Inconsistency Data'!S27,1))</f>
        <v/>
      </c>
      <c r="U27" s="87" t="str">
        <f t="shared" si="3"/>
        <v/>
      </c>
      <c r="V27" s="42" t="str">
        <f t="shared" si="6"/>
        <v/>
      </c>
    </row>
    <row r="28" spans="4:35" x14ac:dyDescent="0.25">
      <c r="D28" s="41"/>
      <c r="E28" s="39"/>
      <c r="F28" s="39"/>
      <c r="G28" s="39"/>
      <c r="H28" s="52" t="str">
        <f t="shared" si="4"/>
        <v/>
      </c>
      <c r="I28" s="41" t="s">
        <v>474</v>
      </c>
      <c r="J28" s="39">
        <v>0.70089999999999997</v>
      </c>
      <c r="K28" s="39" t="s">
        <v>474</v>
      </c>
      <c r="L28" s="39">
        <v>0.63300000000000001</v>
      </c>
      <c r="M28" s="52">
        <f t="shared" si="5"/>
        <v>-6.789999999999996E-2</v>
      </c>
      <c r="O28" s="26" t="str">
        <f t="shared" si="0"/>
        <v/>
      </c>
      <c r="P28" s="31" t="e">
        <f t="shared" si="1"/>
        <v>#VALUE!</v>
      </c>
      <c r="Q28" s="39" t="e">
        <f t="shared" si="2"/>
        <v>#VALUE!</v>
      </c>
      <c r="R28" s="39" t="str">
        <f>IF(D28="","",INDEX('WINBUGS data'!$F$17:$AI$65,'Inconsistency Data'!O28,2))</f>
        <v/>
      </c>
      <c r="S28" s="116" t="e">
        <f>INDEX('WINBUGS data'!$F$17:$AI$65,(O28*1),MATCH(Q28,'WINBUGS data'!$F$16:$AI$16,0))</f>
        <v>#VALUE!</v>
      </c>
      <c r="T28" s="87" t="str">
        <f>IF(D28="","",INDEX('WINBUGS Data Inconsistency'!$B$4:$C$18,'Inconsistency Data'!S28,1))</f>
        <v/>
      </c>
      <c r="U28" s="87" t="str">
        <f t="shared" si="3"/>
        <v/>
      </c>
      <c r="V28" s="42" t="str">
        <f t="shared" si="6"/>
        <v/>
      </c>
    </row>
    <row r="29" spans="4:35" x14ac:dyDescent="0.25">
      <c r="D29" s="41"/>
      <c r="E29" s="39"/>
      <c r="F29" s="39"/>
      <c r="G29" s="39"/>
      <c r="H29" s="52" t="str">
        <f t="shared" si="4"/>
        <v/>
      </c>
      <c r="I29" s="41" t="s">
        <v>475</v>
      </c>
      <c r="J29" s="39">
        <v>0.77390000000000003</v>
      </c>
      <c r="K29" s="39" t="s">
        <v>475</v>
      </c>
      <c r="L29" s="39">
        <v>0.71099999999999997</v>
      </c>
      <c r="M29" s="52">
        <f t="shared" si="5"/>
        <v>-6.2900000000000067E-2</v>
      </c>
      <c r="O29" s="26" t="str">
        <f t="shared" si="0"/>
        <v/>
      </c>
      <c r="P29" s="31" t="e">
        <f t="shared" si="1"/>
        <v>#VALUE!</v>
      </c>
      <c r="Q29" s="39" t="e">
        <f t="shared" si="2"/>
        <v>#VALUE!</v>
      </c>
      <c r="R29" s="39" t="str">
        <f>IF(D29="","",INDEX('WINBUGS data'!$F$17:$AI$65,'Inconsistency Data'!O29,2))</f>
        <v/>
      </c>
      <c r="S29" s="116" t="e">
        <f>INDEX('WINBUGS data'!$F$17:$AI$65,(O29*1),MATCH(Q29,'WINBUGS data'!$F$16:$AI$16,0))</f>
        <v>#VALUE!</v>
      </c>
      <c r="T29" s="87" t="str">
        <f>IF(D29="","",INDEX('WINBUGS Data Inconsistency'!$B$4:$C$18,'Inconsistency Data'!S29,1))</f>
        <v/>
      </c>
      <c r="U29" s="87" t="str">
        <f t="shared" si="3"/>
        <v/>
      </c>
      <c r="V29" s="42" t="str">
        <f t="shared" si="6"/>
        <v/>
      </c>
    </row>
    <row r="30" spans="4:35" x14ac:dyDescent="0.25">
      <c r="D30" s="41"/>
      <c r="E30" s="39"/>
      <c r="F30" s="39"/>
      <c r="G30" s="39"/>
      <c r="H30" s="52" t="str">
        <f t="shared" si="4"/>
        <v/>
      </c>
      <c r="I30" s="41" t="s">
        <v>476</v>
      </c>
      <c r="J30" s="39">
        <v>1.01</v>
      </c>
      <c r="K30" s="39" t="s">
        <v>476</v>
      </c>
      <c r="L30" s="39">
        <v>1.0169999999999999</v>
      </c>
      <c r="M30" s="52">
        <f t="shared" si="5"/>
        <v>6.9999999999998952E-3</v>
      </c>
      <c r="O30" s="26" t="str">
        <f t="shared" si="0"/>
        <v/>
      </c>
      <c r="P30" s="31" t="e">
        <f t="shared" si="1"/>
        <v>#VALUE!</v>
      </c>
      <c r="Q30" s="39" t="e">
        <f t="shared" si="2"/>
        <v>#VALUE!</v>
      </c>
      <c r="R30" s="39" t="str">
        <f>IF(D30="","",INDEX('WINBUGS data'!$F$17:$AI$65,'Inconsistency Data'!O30,2))</f>
        <v/>
      </c>
      <c r="S30" s="116" t="e">
        <f>INDEX('WINBUGS data'!$F$17:$AI$65,(O30*1),MATCH(Q30,'WINBUGS data'!$F$16:$AI$16,0))</f>
        <v>#VALUE!</v>
      </c>
      <c r="T30" s="87" t="str">
        <f>IF(D30="","",INDEX('WINBUGS Data Inconsistency'!$B$4:$C$18,'Inconsistency Data'!S30,1))</f>
        <v/>
      </c>
      <c r="U30" s="87" t="str">
        <f t="shared" si="3"/>
        <v/>
      </c>
      <c r="V30" s="42" t="str">
        <f t="shared" si="6"/>
        <v/>
      </c>
    </row>
    <row r="31" spans="4:35" x14ac:dyDescent="0.25">
      <c r="D31" s="41"/>
      <c r="E31" s="39"/>
      <c r="F31" s="39"/>
      <c r="G31" s="39"/>
      <c r="H31" s="52" t="str">
        <f t="shared" si="4"/>
        <v/>
      </c>
      <c r="I31" s="41" t="s">
        <v>477</v>
      </c>
      <c r="J31" s="39">
        <v>1.0960000000000001</v>
      </c>
      <c r="K31" s="39" t="s">
        <v>477</v>
      </c>
      <c r="L31" s="39">
        <v>1.0940000000000001</v>
      </c>
      <c r="M31" s="52">
        <f t="shared" si="5"/>
        <v>-2.0000000000000018E-3</v>
      </c>
      <c r="O31" s="26" t="str">
        <f t="shared" si="0"/>
        <v/>
      </c>
      <c r="P31" s="31" t="e">
        <f t="shared" si="1"/>
        <v>#VALUE!</v>
      </c>
      <c r="Q31" s="39" t="e">
        <f t="shared" si="2"/>
        <v>#VALUE!</v>
      </c>
      <c r="R31" s="39" t="str">
        <f>IF(D31="","",INDEX('WINBUGS data'!$F$17:$AI$65,'Inconsistency Data'!O31,2))</f>
        <v/>
      </c>
      <c r="S31" s="116" t="e">
        <f>INDEX('WINBUGS data'!$F$17:$AI$65,(O31*1),MATCH(Q31,'WINBUGS data'!$F$16:$AI$16,0))</f>
        <v>#VALUE!</v>
      </c>
      <c r="T31" s="87" t="str">
        <f>IF(D31="","",INDEX('WINBUGS Data Inconsistency'!$B$4:$C$18,'Inconsistency Data'!S31,1))</f>
        <v/>
      </c>
      <c r="U31" s="87" t="str">
        <f t="shared" si="3"/>
        <v/>
      </c>
      <c r="V31" s="42" t="str">
        <f t="shared" si="6"/>
        <v/>
      </c>
    </row>
    <row r="32" spans="4:35" hidden="1" x14ac:dyDescent="0.25">
      <c r="D32" s="41"/>
      <c r="E32" s="39"/>
      <c r="F32" s="39"/>
      <c r="G32" s="39"/>
      <c r="H32" s="52" t="str">
        <f t="shared" si="4"/>
        <v/>
      </c>
      <c r="I32" s="41" t="s">
        <v>478</v>
      </c>
      <c r="J32" s="39">
        <v>0.97750000000000004</v>
      </c>
      <c r="K32" s="39" t="s">
        <v>478</v>
      </c>
      <c r="L32" s="39">
        <v>1.024</v>
      </c>
      <c r="M32" s="52">
        <f t="shared" si="5"/>
        <v>4.6499999999999986E-2</v>
      </c>
      <c r="O32" s="26" t="str">
        <f t="shared" si="0"/>
        <v/>
      </c>
      <c r="P32" s="31" t="e">
        <f t="shared" si="1"/>
        <v>#VALUE!</v>
      </c>
      <c r="Q32" s="39" t="e">
        <f t="shared" si="2"/>
        <v>#VALUE!</v>
      </c>
      <c r="R32" s="39" t="str">
        <f>IF(D32="","",INDEX('WINBUGS data'!$F$17:$AI$65,'Inconsistency Data'!O32,2))</f>
        <v/>
      </c>
      <c r="S32" s="116" t="e">
        <f>INDEX('WINBUGS data'!$F$17:$AI$65,(O32*1),MATCH(Q32,'WINBUGS data'!$F$16:$AI$16,0))</f>
        <v>#VALUE!</v>
      </c>
      <c r="T32" s="87" t="str">
        <f>IF(D32="","",INDEX('WINBUGS Data Inconsistency'!$B$4:$C$18,'Inconsistency Data'!S32,1))</f>
        <v/>
      </c>
      <c r="U32" s="87" t="str">
        <f t="shared" si="3"/>
        <v/>
      </c>
      <c r="V32" s="42" t="str">
        <f t="shared" si="6"/>
        <v/>
      </c>
    </row>
    <row r="33" spans="4:22" hidden="1" x14ac:dyDescent="0.25">
      <c r="D33" s="41"/>
      <c r="E33" s="39"/>
      <c r="F33" s="39"/>
      <c r="G33" s="39"/>
      <c r="H33" s="52" t="str">
        <f t="shared" si="4"/>
        <v/>
      </c>
      <c r="I33" s="41" t="s">
        <v>479</v>
      </c>
      <c r="J33" s="39">
        <v>0.98260000000000003</v>
      </c>
      <c r="K33" s="39" t="s">
        <v>479</v>
      </c>
      <c r="L33" s="39">
        <v>1.024</v>
      </c>
      <c r="M33" s="52">
        <f t="shared" si="5"/>
        <v>4.1399999999999992E-2</v>
      </c>
      <c r="O33" s="26" t="str">
        <f t="shared" si="0"/>
        <v/>
      </c>
      <c r="P33" s="31" t="e">
        <f t="shared" si="1"/>
        <v>#VALUE!</v>
      </c>
      <c r="Q33" s="39" t="e">
        <f t="shared" si="2"/>
        <v>#VALUE!</v>
      </c>
      <c r="R33" s="39" t="str">
        <f>IF(D33="","",INDEX('WINBUGS data'!$F$17:$AI$65,'Inconsistency Data'!O33,2))</f>
        <v/>
      </c>
      <c r="S33" s="116" t="e">
        <f>INDEX('WINBUGS data'!$F$17:$AI$65,(O33*1),MATCH(Q33,'WINBUGS data'!$F$16:$AI$16,0))</f>
        <v>#VALUE!</v>
      </c>
      <c r="T33" s="87" t="str">
        <f>IF(D33="","",INDEX('WINBUGS Data Inconsistency'!$B$4:$C$18,'Inconsistency Data'!S33,1))</f>
        <v/>
      </c>
      <c r="U33" s="87" t="str">
        <f t="shared" si="3"/>
        <v/>
      </c>
      <c r="V33" s="42" t="str">
        <f t="shared" si="6"/>
        <v/>
      </c>
    </row>
    <row r="34" spans="4:22" hidden="1" x14ac:dyDescent="0.25">
      <c r="D34" s="41"/>
      <c r="E34" s="39"/>
      <c r="F34" s="39"/>
      <c r="G34" s="39"/>
      <c r="H34" s="52" t="str">
        <f t="shared" si="4"/>
        <v/>
      </c>
      <c r="I34" s="41" t="s">
        <v>480</v>
      </c>
      <c r="J34" s="39">
        <v>2.2469999999999999</v>
      </c>
      <c r="K34" s="39" t="s">
        <v>480</v>
      </c>
      <c r="L34" s="39">
        <v>2.1509999999999998</v>
      </c>
      <c r="M34" s="52">
        <f t="shared" si="5"/>
        <v>-9.6000000000000085E-2</v>
      </c>
      <c r="O34" s="26" t="str">
        <f t="shared" si="0"/>
        <v/>
      </c>
      <c r="P34" s="31" t="e">
        <f t="shared" si="1"/>
        <v>#VALUE!</v>
      </c>
      <c r="Q34" s="39" t="e">
        <f t="shared" si="2"/>
        <v>#VALUE!</v>
      </c>
      <c r="R34" s="39" t="str">
        <f>IF(D34="","",INDEX('WINBUGS data'!$F$17:$AI$65,'Inconsistency Data'!O34,2))</f>
        <v/>
      </c>
      <c r="S34" s="116" t="e">
        <f>INDEX('WINBUGS data'!$F$17:$AI$65,(O34*1),MATCH(Q34,'WINBUGS data'!$F$16:$AI$16,0))</f>
        <v>#VALUE!</v>
      </c>
      <c r="T34" s="87" t="str">
        <f>IF(D34="","",INDEX('WINBUGS Data Inconsistency'!$B$4:$C$18,'Inconsistency Data'!S34,1))</f>
        <v/>
      </c>
      <c r="U34" s="87" t="str">
        <f t="shared" si="3"/>
        <v/>
      </c>
      <c r="V34" s="42" t="str">
        <f t="shared" si="6"/>
        <v/>
      </c>
    </row>
    <row r="35" spans="4:22" hidden="1" x14ac:dyDescent="0.25">
      <c r="D35" s="41"/>
      <c r="E35" s="39"/>
      <c r="F35" s="39"/>
      <c r="G35" s="39"/>
      <c r="H35" s="52" t="str">
        <f t="shared" si="4"/>
        <v/>
      </c>
      <c r="I35" s="41" t="s">
        <v>481</v>
      </c>
      <c r="J35" s="39">
        <v>1.968</v>
      </c>
      <c r="K35" s="39" t="s">
        <v>481</v>
      </c>
      <c r="L35" s="39">
        <v>1.905</v>
      </c>
      <c r="M35" s="52">
        <f t="shared" si="5"/>
        <v>-6.2999999999999945E-2</v>
      </c>
      <c r="O35" s="26" t="str">
        <f t="shared" si="0"/>
        <v/>
      </c>
      <c r="P35" s="31" t="e">
        <f t="shared" si="1"/>
        <v>#VALUE!</v>
      </c>
      <c r="Q35" s="39" t="e">
        <f t="shared" si="2"/>
        <v>#VALUE!</v>
      </c>
      <c r="R35" s="39" t="str">
        <f>IF(D35="","",INDEX('WINBUGS data'!$F$17:$AI$65,'Inconsistency Data'!O35,2))</f>
        <v/>
      </c>
      <c r="S35" s="116" t="e">
        <f>INDEX('WINBUGS data'!$F$17:$AI$65,(O35*1),MATCH(Q35,'WINBUGS data'!$F$16:$AI$16,0))</f>
        <v>#VALUE!</v>
      </c>
      <c r="T35" s="87" t="str">
        <f>IF(D35="","",INDEX('WINBUGS Data Inconsistency'!$B$4:$C$18,'Inconsistency Data'!S35,1))</f>
        <v/>
      </c>
      <c r="U35" s="87" t="str">
        <f t="shared" si="3"/>
        <v/>
      </c>
      <c r="V35" s="42" t="str">
        <f t="shared" si="6"/>
        <v/>
      </c>
    </row>
    <row r="36" spans="4:22" hidden="1" x14ac:dyDescent="0.25">
      <c r="D36" s="41"/>
      <c r="E36" s="39"/>
      <c r="F36" s="39"/>
      <c r="G36" s="39"/>
      <c r="H36" s="52" t="str">
        <f t="shared" si="4"/>
        <v/>
      </c>
      <c r="I36" s="41" t="s">
        <v>482</v>
      </c>
      <c r="J36" s="39">
        <v>1.2030000000000001</v>
      </c>
      <c r="K36" s="39" t="s">
        <v>482</v>
      </c>
      <c r="L36" s="39">
        <v>0.58620000000000005</v>
      </c>
      <c r="M36" s="52">
        <f t="shared" si="5"/>
        <v>-0.61680000000000001</v>
      </c>
      <c r="O36" s="26" t="str">
        <f t="shared" si="0"/>
        <v/>
      </c>
      <c r="P36" s="31" t="e">
        <f t="shared" si="1"/>
        <v>#VALUE!</v>
      </c>
      <c r="Q36" s="39" t="e">
        <f t="shared" si="2"/>
        <v>#VALUE!</v>
      </c>
      <c r="R36" s="39" t="str">
        <f>IF(D36="","",INDEX('WINBUGS data'!$F$17:$AI$65,'Inconsistency Data'!O36,2))</f>
        <v/>
      </c>
      <c r="S36" s="116" t="e">
        <f>INDEX('WINBUGS data'!$F$17:$AI$65,(O36*1),MATCH(Q36,'WINBUGS data'!$F$16:$AI$16,0))</f>
        <v>#VALUE!</v>
      </c>
      <c r="T36" s="87" t="str">
        <f>IF(D36="","",INDEX('WINBUGS Data Inconsistency'!$B$4:$C$18,'Inconsistency Data'!S36,1))</f>
        <v/>
      </c>
      <c r="U36" s="87" t="str">
        <f t="shared" si="3"/>
        <v/>
      </c>
      <c r="V36" s="42" t="str">
        <f t="shared" si="6"/>
        <v/>
      </c>
    </row>
    <row r="37" spans="4:22" hidden="1" x14ac:dyDescent="0.25">
      <c r="D37" s="41"/>
      <c r="E37" s="39"/>
      <c r="F37" s="39"/>
      <c r="G37" s="39"/>
      <c r="H37" s="52" t="str">
        <f t="shared" si="4"/>
        <v/>
      </c>
      <c r="I37" s="41" t="s">
        <v>483</v>
      </c>
      <c r="J37" s="39">
        <v>1.212</v>
      </c>
      <c r="K37" s="39" t="s">
        <v>483</v>
      </c>
      <c r="L37" s="39">
        <v>0.58799999999999997</v>
      </c>
      <c r="M37" s="52">
        <f t="shared" si="5"/>
        <v>-0.624</v>
      </c>
      <c r="O37" s="26" t="str">
        <f t="shared" si="0"/>
        <v/>
      </c>
      <c r="P37" s="31" t="e">
        <f t="shared" si="1"/>
        <v>#VALUE!</v>
      </c>
      <c r="Q37" s="39" t="e">
        <f t="shared" si="2"/>
        <v>#VALUE!</v>
      </c>
      <c r="R37" s="39" t="str">
        <f>IF(D37="","",INDEX('WINBUGS data'!$F$17:$AI$65,'Inconsistency Data'!O37,2))</f>
        <v/>
      </c>
      <c r="S37" s="116" t="e">
        <f>INDEX('WINBUGS data'!$F$17:$AI$65,(O37*1),MATCH(Q37,'WINBUGS data'!$F$16:$AI$16,0))</f>
        <v>#VALUE!</v>
      </c>
      <c r="T37" s="87" t="str">
        <f>IF(D37="","",INDEX('WINBUGS Data Inconsistency'!$B$4:$C$18,'Inconsistency Data'!S37,1))</f>
        <v/>
      </c>
      <c r="U37" s="87" t="str">
        <f t="shared" si="3"/>
        <v/>
      </c>
      <c r="V37" s="42" t="str">
        <f t="shared" si="6"/>
        <v/>
      </c>
    </row>
    <row r="38" spans="4:22" hidden="1" x14ac:dyDescent="0.25">
      <c r="D38" s="41"/>
      <c r="E38" s="39"/>
      <c r="F38" s="39"/>
      <c r="G38" s="39"/>
      <c r="H38" s="52" t="str">
        <f t="shared" si="4"/>
        <v/>
      </c>
      <c r="I38" s="41" t="s">
        <v>484</v>
      </c>
      <c r="J38" s="39">
        <v>0.73719999999999997</v>
      </c>
      <c r="K38" s="39" t="s">
        <v>484</v>
      </c>
      <c r="L38" s="39">
        <v>0.75690000000000002</v>
      </c>
      <c r="M38" s="52">
        <f t="shared" si="5"/>
        <v>1.9700000000000051E-2</v>
      </c>
      <c r="O38" s="26" t="str">
        <f t="shared" si="0"/>
        <v/>
      </c>
      <c r="P38" s="31" t="e">
        <f t="shared" si="1"/>
        <v>#VALUE!</v>
      </c>
      <c r="Q38" s="39" t="e">
        <f t="shared" si="2"/>
        <v>#VALUE!</v>
      </c>
      <c r="R38" s="39" t="str">
        <f>IF(D38="","",INDEX('WINBUGS data'!$F$17:$AI$65,'Inconsistency Data'!O38,2))</f>
        <v/>
      </c>
      <c r="S38" s="116" t="e">
        <f>INDEX('WINBUGS data'!$F$17:$AI$65,(O38*1),MATCH(Q38,'WINBUGS data'!$F$16:$AI$16,0))</f>
        <v>#VALUE!</v>
      </c>
      <c r="T38" s="87" t="str">
        <f>IF(D38="","",INDEX('WINBUGS Data Inconsistency'!$B$4:$C$18,'Inconsistency Data'!S38,1))</f>
        <v/>
      </c>
      <c r="U38" s="87" t="str">
        <f t="shared" si="3"/>
        <v/>
      </c>
      <c r="V38" s="42" t="str">
        <f t="shared" si="6"/>
        <v/>
      </c>
    </row>
    <row r="39" spans="4:22" hidden="1" x14ac:dyDescent="0.25">
      <c r="D39" s="41"/>
      <c r="E39" s="39"/>
      <c r="F39" s="39"/>
      <c r="G39" s="39"/>
      <c r="H39" s="52" t="str">
        <f t="shared" si="4"/>
        <v/>
      </c>
      <c r="I39" s="41" t="s">
        <v>485</v>
      </c>
      <c r="J39" s="39">
        <v>0.82340000000000002</v>
      </c>
      <c r="K39" s="39" t="s">
        <v>485</v>
      </c>
      <c r="L39" s="39">
        <v>0.83830000000000005</v>
      </c>
      <c r="M39" s="52">
        <f t="shared" si="5"/>
        <v>1.4900000000000024E-2</v>
      </c>
      <c r="O39" s="26" t="str">
        <f t="shared" si="0"/>
        <v/>
      </c>
      <c r="P39" s="31" t="e">
        <f t="shared" si="1"/>
        <v>#VALUE!</v>
      </c>
      <c r="Q39" s="39" t="e">
        <f t="shared" si="2"/>
        <v>#VALUE!</v>
      </c>
      <c r="R39" s="39" t="str">
        <f>IF(D39="","",INDEX('WINBUGS data'!$F$17:$AI$65,'Inconsistency Data'!O39,2))</f>
        <v/>
      </c>
      <c r="S39" s="116" t="e">
        <f>INDEX('WINBUGS data'!$F$17:$AI$65,(O39*1),MATCH(Q39,'WINBUGS data'!$F$16:$AI$16,0))</f>
        <v>#VALUE!</v>
      </c>
      <c r="T39" s="87" t="str">
        <f>IF(D39="","",INDEX('WINBUGS Data Inconsistency'!$B$4:$C$18,'Inconsistency Data'!S39,1))</f>
        <v/>
      </c>
      <c r="U39" s="87" t="str">
        <f t="shared" si="3"/>
        <v/>
      </c>
      <c r="V39" s="42" t="str">
        <f t="shared" si="6"/>
        <v/>
      </c>
    </row>
    <row r="40" spans="4:22" hidden="1" x14ac:dyDescent="0.25">
      <c r="D40" s="41"/>
      <c r="E40" s="39"/>
      <c r="F40" s="39"/>
      <c r="G40" s="39"/>
      <c r="H40" s="52" t="str">
        <f t="shared" si="4"/>
        <v/>
      </c>
      <c r="I40" s="41" t="s">
        <v>486</v>
      </c>
      <c r="J40" s="39">
        <v>0.9415</v>
      </c>
      <c r="K40" s="39" t="s">
        <v>486</v>
      </c>
      <c r="L40" s="39">
        <v>0.63160000000000005</v>
      </c>
      <c r="M40" s="52">
        <f t="shared" si="5"/>
        <v>-0.30989999999999995</v>
      </c>
      <c r="O40" s="26" t="str">
        <f t="shared" si="0"/>
        <v/>
      </c>
      <c r="P40" s="31" t="e">
        <f t="shared" si="1"/>
        <v>#VALUE!</v>
      </c>
      <c r="Q40" s="39" t="e">
        <f t="shared" si="2"/>
        <v>#VALUE!</v>
      </c>
      <c r="R40" s="39" t="str">
        <f>IF(D40="","",INDEX('WINBUGS data'!$F$17:$AI$65,'Inconsistency Data'!O40,2))</f>
        <v/>
      </c>
      <c r="S40" s="116" t="e">
        <f>INDEX('WINBUGS data'!$F$17:$AI$65,(O40*1),MATCH(Q40,'WINBUGS data'!$F$16:$AI$16,0))</f>
        <v>#VALUE!</v>
      </c>
      <c r="T40" s="87" t="str">
        <f>IF(D40="","",INDEX('WINBUGS Data Inconsistency'!$B$4:$C$18,'Inconsistency Data'!S40,1))</f>
        <v/>
      </c>
      <c r="U40" s="87" t="str">
        <f t="shared" si="3"/>
        <v/>
      </c>
      <c r="V40" s="42" t="str">
        <f t="shared" si="6"/>
        <v/>
      </c>
    </row>
    <row r="41" spans="4:22" hidden="1" x14ac:dyDescent="0.25">
      <c r="D41" s="41"/>
      <c r="E41" s="39"/>
      <c r="F41" s="39"/>
      <c r="G41" s="39"/>
      <c r="H41" s="52" t="str">
        <f t="shared" si="4"/>
        <v/>
      </c>
      <c r="I41" s="41" t="s">
        <v>487</v>
      </c>
      <c r="J41" s="39">
        <v>0.91159999999999997</v>
      </c>
      <c r="K41" s="39" t="s">
        <v>487</v>
      </c>
      <c r="L41" s="39">
        <v>0.71460000000000001</v>
      </c>
      <c r="M41" s="52">
        <f t="shared" si="5"/>
        <v>-0.19699999999999995</v>
      </c>
      <c r="O41" s="26" t="str">
        <f t="shared" si="0"/>
        <v/>
      </c>
      <c r="P41" s="31" t="e">
        <f t="shared" si="1"/>
        <v>#VALUE!</v>
      </c>
      <c r="Q41" s="39" t="e">
        <f t="shared" si="2"/>
        <v>#VALUE!</v>
      </c>
      <c r="R41" s="39" t="str">
        <f>IF(D41="","",INDEX('WINBUGS data'!$F$17:$AI$65,'Inconsistency Data'!O41,2))</f>
        <v/>
      </c>
      <c r="S41" s="116" t="e">
        <f>INDEX('WINBUGS data'!$F$17:$AI$65,(O41*1),MATCH(Q41,'WINBUGS data'!$F$16:$AI$16,0))</f>
        <v>#VALUE!</v>
      </c>
      <c r="T41" s="87" t="str">
        <f>IF(D41="","",INDEX('WINBUGS Data Inconsistency'!$B$4:$C$18,'Inconsistency Data'!S41,1))</f>
        <v/>
      </c>
      <c r="U41" s="87" t="str">
        <f t="shared" si="3"/>
        <v/>
      </c>
      <c r="V41" s="42" t="str">
        <f t="shared" si="6"/>
        <v/>
      </c>
    </row>
    <row r="42" spans="4:22" hidden="1" x14ac:dyDescent="0.25">
      <c r="D42" s="41"/>
      <c r="E42" s="39"/>
      <c r="F42" s="39"/>
      <c r="G42" s="39"/>
      <c r="H42" s="52" t="str">
        <f t="shared" si="4"/>
        <v/>
      </c>
      <c r="I42" s="41" t="s">
        <v>488</v>
      </c>
      <c r="J42" s="39">
        <v>1.0169999999999999</v>
      </c>
      <c r="K42" s="39" t="s">
        <v>488</v>
      </c>
      <c r="L42" s="39">
        <v>0.81950000000000001</v>
      </c>
      <c r="M42" s="52">
        <f t="shared" si="5"/>
        <v>-0.1974999999999999</v>
      </c>
      <c r="O42" s="26" t="str">
        <f t="shared" si="0"/>
        <v/>
      </c>
      <c r="P42" s="31" t="e">
        <f t="shared" si="1"/>
        <v>#VALUE!</v>
      </c>
      <c r="Q42" s="39" t="e">
        <f t="shared" si="2"/>
        <v>#VALUE!</v>
      </c>
      <c r="R42" s="39" t="str">
        <f>IF(D42="","",INDEX('WINBUGS data'!$F$17:$AI$65,'Inconsistency Data'!O42,2))</f>
        <v/>
      </c>
      <c r="S42" s="116" t="e">
        <f>INDEX('WINBUGS data'!$F$17:$AI$65,(O42*1),MATCH(Q42,'WINBUGS data'!$F$16:$AI$16,0))</f>
        <v>#VALUE!</v>
      </c>
      <c r="T42" s="87" t="str">
        <f>IF(D42="","",INDEX('WINBUGS Data Inconsistency'!$B$4:$C$18,'Inconsistency Data'!S42,1))</f>
        <v/>
      </c>
      <c r="U42" s="87" t="str">
        <f t="shared" si="3"/>
        <v/>
      </c>
      <c r="V42" s="42" t="str">
        <f t="shared" si="6"/>
        <v/>
      </c>
    </row>
    <row r="43" spans="4:22" hidden="1" x14ac:dyDescent="0.25">
      <c r="D43" s="41"/>
      <c r="E43" s="39"/>
      <c r="F43" s="39"/>
      <c r="G43" s="39"/>
      <c r="H43" s="52" t="str">
        <f t="shared" si="4"/>
        <v/>
      </c>
      <c r="I43" s="41" t="s">
        <v>489</v>
      </c>
      <c r="J43" s="39">
        <v>0.99960000000000004</v>
      </c>
      <c r="K43" s="39" t="s">
        <v>489</v>
      </c>
      <c r="L43" s="39">
        <v>0.77810000000000001</v>
      </c>
      <c r="M43" s="52">
        <f t="shared" si="5"/>
        <v>-0.22150000000000003</v>
      </c>
      <c r="O43" s="26" t="str">
        <f t="shared" si="0"/>
        <v/>
      </c>
      <c r="P43" s="31" t="e">
        <f t="shared" si="1"/>
        <v>#VALUE!</v>
      </c>
      <c r="Q43" s="39" t="e">
        <f t="shared" si="2"/>
        <v>#VALUE!</v>
      </c>
      <c r="R43" s="39" t="str">
        <f>IF(D43="","",INDEX('WINBUGS data'!$F$17:$AI$65,'Inconsistency Data'!O43,2))</f>
        <v/>
      </c>
      <c r="S43" s="116" t="e">
        <f>INDEX('WINBUGS data'!$F$17:$AI$65,(O43*1),MATCH(Q43,'WINBUGS data'!$F$16:$AI$16,0))</f>
        <v>#VALUE!</v>
      </c>
      <c r="T43" s="87" t="str">
        <f>IF(D43="","",INDEX('WINBUGS Data Inconsistency'!$B$4:$C$18,'Inconsistency Data'!S43,1))</f>
        <v/>
      </c>
      <c r="U43" s="87" t="str">
        <f t="shared" si="3"/>
        <v/>
      </c>
      <c r="V43" s="42" t="str">
        <f t="shared" si="6"/>
        <v/>
      </c>
    </row>
    <row r="44" spans="4:22" hidden="1" x14ac:dyDescent="0.25">
      <c r="D44" s="41"/>
      <c r="E44" s="39"/>
      <c r="F44" s="39"/>
      <c r="G44" s="39"/>
      <c r="H44" s="52" t="str">
        <f t="shared" si="4"/>
        <v/>
      </c>
      <c r="I44" s="41" t="s">
        <v>490</v>
      </c>
      <c r="J44" s="39">
        <v>0.7732</v>
      </c>
      <c r="K44" s="39" t="s">
        <v>490</v>
      </c>
      <c r="L44" s="39">
        <v>0.73360000000000003</v>
      </c>
      <c r="M44" s="52">
        <f t="shared" si="5"/>
        <v>-3.9599999999999969E-2</v>
      </c>
      <c r="O44" s="26" t="str">
        <f t="shared" si="0"/>
        <v/>
      </c>
      <c r="P44" s="31" t="e">
        <f t="shared" si="1"/>
        <v>#VALUE!</v>
      </c>
      <c r="Q44" s="39" t="e">
        <f t="shared" si="2"/>
        <v>#VALUE!</v>
      </c>
      <c r="R44" s="39" t="str">
        <f>IF(D44="","",INDEX('WINBUGS data'!$F$17:$AI$65,'Inconsistency Data'!O44,2))</f>
        <v/>
      </c>
      <c r="S44" s="116" t="e">
        <f>INDEX('WINBUGS data'!$F$17:$AI$65,(O44*1),MATCH(Q44,'WINBUGS data'!$F$16:$AI$16,0))</f>
        <v>#VALUE!</v>
      </c>
      <c r="T44" s="87" t="str">
        <f>IF(D44="","",INDEX('WINBUGS Data Inconsistency'!$B$4:$C$18,'Inconsistency Data'!S44,1))</f>
        <v/>
      </c>
      <c r="U44" s="87" t="str">
        <f t="shared" si="3"/>
        <v/>
      </c>
      <c r="V44" s="42" t="str">
        <f t="shared" si="6"/>
        <v/>
      </c>
    </row>
    <row r="45" spans="4:22" hidden="1" x14ac:dyDescent="0.25">
      <c r="D45" s="41"/>
      <c r="E45" s="39"/>
      <c r="F45" s="39"/>
      <c r="G45" s="39"/>
      <c r="H45" s="52" t="str">
        <f t="shared" si="4"/>
        <v/>
      </c>
      <c r="I45" s="41" t="s">
        <v>491</v>
      </c>
      <c r="J45" s="39">
        <v>0.745</v>
      </c>
      <c r="K45" s="39" t="s">
        <v>491</v>
      </c>
      <c r="L45" s="39">
        <v>0.73180000000000001</v>
      </c>
      <c r="M45" s="52">
        <f t="shared" si="5"/>
        <v>-1.319999999999999E-2</v>
      </c>
      <c r="O45" s="26" t="str">
        <f t="shared" si="0"/>
        <v/>
      </c>
      <c r="P45" s="31" t="e">
        <f t="shared" si="1"/>
        <v>#VALUE!</v>
      </c>
      <c r="Q45" s="39" t="e">
        <f t="shared" si="2"/>
        <v>#VALUE!</v>
      </c>
      <c r="R45" s="39" t="str">
        <f>IF(D45="","",INDEX('WINBUGS data'!$F$17:$AI$65,'Inconsistency Data'!O45,2))</f>
        <v/>
      </c>
      <c r="S45" s="116" t="e">
        <f>INDEX('WINBUGS data'!$F$17:$AI$65,(O45*1),MATCH(Q45,'WINBUGS data'!$F$16:$AI$16,0))</f>
        <v>#VALUE!</v>
      </c>
      <c r="T45" s="87" t="str">
        <f>IF(D45="","",INDEX('WINBUGS Data Inconsistency'!$B$4:$C$18,'Inconsistency Data'!S45,1))</f>
        <v/>
      </c>
      <c r="U45" s="87" t="str">
        <f t="shared" si="3"/>
        <v/>
      </c>
      <c r="V45" s="42" t="str">
        <f t="shared" si="6"/>
        <v/>
      </c>
    </row>
    <row r="46" spans="4:22" hidden="1" x14ac:dyDescent="0.25">
      <c r="D46" s="41"/>
      <c r="E46" s="39"/>
      <c r="F46" s="39"/>
      <c r="G46" s="39"/>
      <c r="H46" s="52" t="str">
        <f t="shared" si="4"/>
        <v/>
      </c>
      <c r="I46" s="41" t="s">
        <v>492</v>
      </c>
      <c r="J46" s="39">
        <v>0.80279999999999996</v>
      </c>
      <c r="K46" s="39" t="s">
        <v>492</v>
      </c>
      <c r="L46" s="39">
        <v>0.77200000000000002</v>
      </c>
      <c r="M46" s="52">
        <f t="shared" si="5"/>
        <v>-3.0799999999999939E-2</v>
      </c>
      <c r="O46" s="26" t="str">
        <f t="shared" si="0"/>
        <v/>
      </c>
      <c r="P46" s="31" t="e">
        <f t="shared" si="1"/>
        <v>#VALUE!</v>
      </c>
      <c r="Q46" s="39" t="e">
        <f t="shared" si="2"/>
        <v>#VALUE!</v>
      </c>
      <c r="R46" s="39" t="str">
        <f>IF(D46="","",INDEX('WINBUGS data'!$F$17:$AI$65,'Inconsistency Data'!O46,2))</f>
        <v/>
      </c>
      <c r="S46" s="116" t="e">
        <f>INDEX('WINBUGS data'!$F$17:$AI$65,(O46*1),MATCH(Q46,'WINBUGS data'!$F$16:$AI$16,0))</f>
        <v>#VALUE!</v>
      </c>
      <c r="T46" s="87" t="str">
        <f>IF(D46="","",INDEX('WINBUGS Data Inconsistency'!$B$4:$C$18,'Inconsistency Data'!S46,1))</f>
        <v/>
      </c>
      <c r="U46" s="87" t="str">
        <f t="shared" si="3"/>
        <v/>
      </c>
      <c r="V46" s="42" t="str">
        <f t="shared" si="6"/>
        <v/>
      </c>
    </row>
    <row r="47" spans="4:22" hidden="1" x14ac:dyDescent="0.25">
      <c r="D47" s="41"/>
      <c r="E47" s="39"/>
      <c r="F47" s="39"/>
      <c r="G47" s="39"/>
      <c r="H47" s="52" t="str">
        <f t="shared" si="4"/>
        <v/>
      </c>
      <c r="I47" s="41" t="s">
        <v>493</v>
      </c>
      <c r="J47" s="39">
        <v>0.75690000000000002</v>
      </c>
      <c r="K47" s="39" t="s">
        <v>493</v>
      </c>
      <c r="L47" s="39">
        <v>0.74360000000000004</v>
      </c>
      <c r="M47" s="52">
        <f t="shared" si="5"/>
        <v>-1.3299999999999979E-2</v>
      </c>
      <c r="O47" s="26" t="str">
        <f t="shared" si="0"/>
        <v/>
      </c>
      <c r="P47" s="31" t="e">
        <f t="shared" si="1"/>
        <v>#VALUE!</v>
      </c>
      <c r="Q47" s="39" t="e">
        <f t="shared" si="2"/>
        <v>#VALUE!</v>
      </c>
      <c r="R47" s="39" t="str">
        <f>IF(D47="","",INDEX('WINBUGS data'!$F$17:$AI$65,'Inconsistency Data'!O47,2))</f>
        <v/>
      </c>
      <c r="S47" s="116" t="e">
        <f>INDEX('WINBUGS data'!$F$17:$AI$65,(O47*1),MATCH(Q47,'WINBUGS data'!$F$16:$AI$16,0))</f>
        <v>#VALUE!</v>
      </c>
      <c r="T47" s="87" t="str">
        <f>IF(D47="","",INDEX('WINBUGS Data Inconsistency'!$B$4:$C$18,'Inconsistency Data'!S47,1))</f>
        <v/>
      </c>
      <c r="U47" s="87" t="str">
        <f t="shared" si="3"/>
        <v/>
      </c>
      <c r="V47" s="42" t="str">
        <f t="shared" si="6"/>
        <v/>
      </c>
    </row>
    <row r="48" spans="4:22" hidden="1" x14ac:dyDescent="0.25">
      <c r="D48" s="41"/>
      <c r="E48" s="39"/>
      <c r="F48" s="39"/>
      <c r="G48" s="39"/>
      <c r="H48" s="52" t="str">
        <f t="shared" si="4"/>
        <v/>
      </c>
      <c r="I48" s="41" t="s">
        <v>494</v>
      </c>
      <c r="J48" s="39">
        <v>0.75029999999999997</v>
      </c>
      <c r="K48" s="39" t="s">
        <v>494</v>
      </c>
      <c r="L48" s="39">
        <v>0.74160000000000004</v>
      </c>
      <c r="M48" s="52">
        <f t="shared" si="5"/>
        <v>-8.69999999999993E-3</v>
      </c>
      <c r="O48" s="26" t="str">
        <f t="shared" si="0"/>
        <v/>
      </c>
      <c r="P48" s="31" t="e">
        <f t="shared" si="1"/>
        <v>#VALUE!</v>
      </c>
      <c r="Q48" s="39" t="e">
        <f t="shared" si="2"/>
        <v>#VALUE!</v>
      </c>
      <c r="R48" s="39" t="str">
        <f>IF(D48="","",INDEX('WINBUGS data'!$F$17:$AI$65,'Inconsistency Data'!O48,2))</f>
        <v/>
      </c>
      <c r="S48" s="116" t="e">
        <f>INDEX('WINBUGS data'!$F$17:$AI$65,(O48*1),MATCH(Q48,'WINBUGS data'!$F$16:$AI$16,0))</f>
        <v>#VALUE!</v>
      </c>
      <c r="T48" s="87" t="str">
        <f>IF(D48="","",INDEX('WINBUGS Data Inconsistency'!$B$4:$C$18,'Inconsistency Data'!S48,1))</f>
        <v/>
      </c>
      <c r="U48" s="87" t="str">
        <f t="shared" si="3"/>
        <v/>
      </c>
      <c r="V48" s="42" t="str">
        <f t="shared" si="6"/>
        <v/>
      </c>
    </row>
    <row r="49" spans="4:22" hidden="1" x14ac:dyDescent="0.25">
      <c r="D49" s="41"/>
      <c r="E49" s="39"/>
      <c r="F49" s="39"/>
      <c r="G49" s="39"/>
      <c r="H49" s="52" t="str">
        <f t="shared" si="4"/>
        <v/>
      </c>
      <c r="I49" s="41" t="s">
        <v>495</v>
      </c>
      <c r="J49" s="39">
        <v>0.69289999999999996</v>
      </c>
      <c r="K49" s="39" t="s">
        <v>495</v>
      </c>
      <c r="L49" s="39">
        <v>0.6885</v>
      </c>
      <c r="M49" s="52">
        <f t="shared" si="5"/>
        <v>-4.3999999999999595E-3</v>
      </c>
      <c r="O49" s="26" t="str">
        <f t="shared" si="0"/>
        <v/>
      </c>
      <c r="P49" s="31" t="e">
        <f t="shared" si="1"/>
        <v>#VALUE!</v>
      </c>
      <c r="Q49" s="39" t="e">
        <f t="shared" si="2"/>
        <v>#VALUE!</v>
      </c>
      <c r="R49" s="39" t="str">
        <f>IF(D49="","",INDEX('WINBUGS data'!$F$17:$AI$65,'Inconsistency Data'!O49,2))</f>
        <v/>
      </c>
      <c r="S49" s="116" t="e">
        <f>INDEX('WINBUGS data'!$F$17:$AI$65,(O49*1),MATCH(Q49,'WINBUGS data'!$F$16:$AI$16,0))</f>
        <v>#VALUE!</v>
      </c>
      <c r="T49" s="87" t="str">
        <f>IF(D49="","",INDEX('WINBUGS Data Inconsistency'!$B$4:$C$18,'Inconsistency Data'!S49,1))</f>
        <v/>
      </c>
      <c r="U49" s="87" t="str">
        <f t="shared" si="3"/>
        <v/>
      </c>
      <c r="V49" s="42" t="str">
        <f t="shared" si="6"/>
        <v/>
      </c>
    </row>
    <row r="50" spans="4:22" hidden="1" x14ac:dyDescent="0.25">
      <c r="D50" s="41"/>
      <c r="E50" s="39"/>
      <c r="F50" s="39"/>
      <c r="G50" s="39"/>
      <c r="H50" s="52" t="str">
        <f t="shared" si="4"/>
        <v/>
      </c>
      <c r="I50" s="41" t="s">
        <v>496</v>
      </c>
      <c r="J50" s="39">
        <v>0.751</v>
      </c>
      <c r="K50" s="39" t="s">
        <v>496</v>
      </c>
      <c r="L50" s="39">
        <v>0.65539999999999998</v>
      </c>
      <c r="M50" s="52">
        <f t="shared" si="5"/>
        <v>-9.5600000000000018E-2</v>
      </c>
      <c r="O50" s="26" t="str">
        <f t="shared" si="0"/>
        <v/>
      </c>
      <c r="P50" s="31" t="e">
        <f t="shared" si="1"/>
        <v>#VALUE!</v>
      </c>
      <c r="Q50" s="39" t="e">
        <f t="shared" si="2"/>
        <v>#VALUE!</v>
      </c>
      <c r="R50" s="39" t="str">
        <f>IF(D50="","",INDEX('WINBUGS data'!$F$17:$AI$65,'Inconsistency Data'!O50,2))</f>
        <v/>
      </c>
      <c r="S50" s="116" t="e">
        <f>INDEX('WINBUGS data'!$F$17:$AI$65,(O50*1),MATCH(Q50,'WINBUGS data'!$F$16:$AI$16,0))</f>
        <v>#VALUE!</v>
      </c>
      <c r="T50" s="87" t="str">
        <f>IF(D50="","",INDEX('WINBUGS Data Inconsistency'!$B$4:$C$18,'Inconsistency Data'!S50,1))</f>
        <v/>
      </c>
      <c r="U50" s="87" t="str">
        <f t="shared" si="3"/>
        <v/>
      </c>
      <c r="V50" s="42" t="str">
        <f t="shared" si="6"/>
        <v/>
      </c>
    </row>
    <row r="51" spans="4:22" hidden="1" x14ac:dyDescent="0.25">
      <c r="D51" s="41"/>
      <c r="E51" s="39"/>
      <c r="F51" s="39"/>
      <c r="G51" s="39"/>
      <c r="H51" s="52" t="str">
        <f t="shared" si="4"/>
        <v/>
      </c>
      <c r="I51" s="41" t="s">
        <v>497</v>
      </c>
      <c r="J51" s="39">
        <v>0.73109999999999997</v>
      </c>
      <c r="K51" s="39" t="s">
        <v>497</v>
      </c>
      <c r="L51" s="39">
        <v>0.64049999999999996</v>
      </c>
      <c r="M51" s="52">
        <f t="shared" si="5"/>
        <v>-9.0600000000000014E-2</v>
      </c>
      <c r="O51" s="26" t="str">
        <f t="shared" si="0"/>
        <v/>
      </c>
      <c r="P51" s="31" t="e">
        <f t="shared" si="1"/>
        <v>#VALUE!</v>
      </c>
      <c r="Q51" s="39" t="e">
        <f t="shared" si="2"/>
        <v>#VALUE!</v>
      </c>
      <c r="R51" s="39" t="str">
        <f>IF(D51="","",INDEX('WINBUGS data'!$F$17:$AI$65,'Inconsistency Data'!O51,2))</f>
        <v/>
      </c>
      <c r="S51" s="116" t="e">
        <f>INDEX('WINBUGS data'!$F$17:$AI$65,(O51*1),MATCH(Q51,'WINBUGS data'!$F$16:$AI$16,0))</f>
        <v>#VALUE!</v>
      </c>
      <c r="T51" s="87" t="str">
        <f>IF(D51="","",INDEX('WINBUGS Data Inconsistency'!$B$4:$C$18,'Inconsistency Data'!S51,1))</f>
        <v/>
      </c>
      <c r="U51" s="87" t="str">
        <f t="shared" si="3"/>
        <v/>
      </c>
      <c r="V51" s="42" t="str">
        <f t="shared" si="6"/>
        <v/>
      </c>
    </row>
    <row r="52" spans="4:22" hidden="1" x14ac:dyDescent="0.25">
      <c r="D52" s="41"/>
      <c r="E52" s="39"/>
      <c r="F52" s="39"/>
      <c r="G52" s="39"/>
      <c r="H52" s="52" t="str">
        <f t="shared" si="4"/>
        <v/>
      </c>
      <c r="I52" s="41" t="s">
        <v>498</v>
      </c>
      <c r="J52" s="39">
        <v>1.371</v>
      </c>
      <c r="K52" s="39" t="s">
        <v>498</v>
      </c>
      <c r="L52" s="39">
        <v>1.4910000000000001</v>
      </c>
      <c r="M52" s="52">
        <f t="shared" si="5"/>
        <v>0.12000000000000011</v>
      </c>
      <c r="O52" s="26" t="str">
        <f t="shared" si="0"/>
        <v/>
      </c>
      <c r="P52" s="31" t="e">
        <f t="shared" si="1"/>
        <v>#VALUE!</v>
      </c>
      <c r="Q52" s="39" t="e">
        <f t="shared" si="2"/>
        <v>#VALUE!</v>
      </c>
      <c r="R52" s="39" t="str">
        <f>IF(D52="","",INDEX('WINBUGS data'!$F$17:$AI$65,'Inconsistency Data'!O52,2))</f>
        <v/>
      </c>
      <c r="S52" s="116" t="e">
        <f>INDEX('WINBUGS data'!$F$17:$AI$65,(O52*1),MATCH(Q52,'WINBUGS data'!$F$16:$AI$16,0))</f>
        <v>#VALUE!</v>
      </c>
      <c r="T52" s="87" t="str">
        <f>IF(D52="","",INDEX('WINBUGS Data Inconsistency'!$B$4:$C$18,'Inconsistency Data'!S52,1))</f>
        <v/>
      </c>
      <c r="U52" s="87" t="str">
        <f t="shared" si="3"/>
        <v/>
      </c>
      <c r="V52" s="42" t="str">
        <f t="shared" si="6"/>
        <v/>
      </c>
    </row>
    <row r="53" spans="4:22" hidden="1" x14ac:dyDescent="0.25">
      <c r="D53" s="41"/>
      <c r="E53" s="39"/>
      <c r="F53" s="39"/>
      <c r="G53" s="39"/>
      <c r="H53" s="52" t="str">
        <f t="shared" si="4"/>
        <v/>
      </c>
      <c r="I53" s="41" t="s">
        <v>499</v>
      </c>
      <c r="J53" s="39">
        <v>1.417</v>
      </c>
      <c r="K53" s="39" t="s">
        <v>499</v>
      </c>
      <c r="L53" s="39">
        <v>1.542</v>
      </c>
      <c r="M53" s="52">
        <f t="shared" si="5"/>
        <v>0.125</v>
      </c>
      <c r="O53" s="26" t="str">
        <f t="shared" si="0"/>
        <v/>
      </c>
      <c r="P53" s="31" t="e">
        <f t="shared" si="1"/>
        <v>#VALUE!</v>
      </c>
      <c r="Q53" s="39" t="e">
        <f t="shared" si="2"/>
        <v>#VALUE!</v>
      </c>
      <c r="R53" s="39" t="str">
        <f>IF(D53="","",INDEX('WINBUGS data'!$F$17:$AI$65,'Inconsistency Data'!O53,2))</f>
        <v/>
      </c>
      <c r="S53" s="116" t="e">
        <f>INDEX('WINBUGS data'!$F$17:$AI$65,(O53*1),MATCH(Q53,'WINBUGS data'!$F$16:$AI$16,0))</f>
        <v>#VALUE!</v>
      </c>
      <c r="T53" s="87" t="str">
        <f>IF(D53="","",INDEX('WINBUGS Data Inconsistency'!$B$4:$C$18,'Inconsistency Data'!S53,1))</f>
        <v/>
      </c>
      <c r="U53" s="87" t="str">
        <f t="shared" si="3"/>
        <v/>
      </c>
      <c r="V53" s="42" t="str">
        <f t="shared" si="6"/>
        <v/>
      </c>
    </row>
    <row r="54" spans="4:22" hidden="1" x14ac:dyDescent="0.25">
      <c r="D54" s="41"/>
      <c r="E54" s="39"/>
      <c r="F54" s="39"/>
      <c r="G54" s="39"/>
      <c r="H54" s="52" t="str">
        <f t="shared" si="4"/>
        <v/>
      </c>
      <c r="I54" s="41" t="s">
        <v>500</v>
      </c>
      <c r="J54" s="39">
        <v>1.167</v>
      </c>
      <c r="K54" s="39" t="s">
        <v>500</v>
      </c>
      <c r="L54" s="39">
        <v>1.216</v>
      </c>
      <c r="M54" s="52">
        <f t="shared" si="5"/>
        <v>4.8999999999999932E-2</v>
      </c>
      <c r="O54" s="26" t="str">
        <f t="shared" si="0"/>
        <v/>
      </c>
      <c r="P54" s="31" t="e">
        <f t="shared" si="1"/>
        <v>#VALUE!</v>
      </c>
      <c r="Q54" s="39" t="e">
        <f t="shared" si="2"/>
        <v>#VALUE!</v>
      </c>
      <c r="R54" s="39" t="str">
        <f>IF(D54="","",INDEX('WINBUGS data'!$F$17:$AI$65,'Inconsistency Data'!O54,2))</f>
        <v/>
      </c>
      <c r="S54" s="116" t="e">
        <f>INDEX('WINBUGS data'!$F$17:$AI$65,(O54*1),MATCH(Q54,'WINBUGS data'!$F$16:$AI$16,0))</f>
        <v>#VALUE!</v>
      </c>
      <c r="T54" s="87" t="str">
        <f>IF(D54="","",INDEX('WINBUGS Data Inconsistency'!$B$4:$C$18,'Inconsistency Data'!S54,1))</f>
        <v/>
      </c>
      <c r="U54" s="87" t="str">
        <f t="shared" si="3"/>
        <v/>
      </c>
      <c r="V54" s="42" t="str">
        <f t="shared" si="6"/>
        <v/>
      </c>
    </row>
    <row r="55" spans="4:22" hidden="1" x14ac:dyDescent="0.25">
      <c r="D55" s="41"/>
      <c r="E55" s="39"/>
      <c r="F55" s="39"/>
      <c r="G55" s="39"/>
      <c r="H55" s="52" t="str">
        <f t="shared" si="4"/>
        <v/>
      </c>
      <c r="I55" s="41" t="s">
        <v>501</v>
      </c>
      <c r="J55" s="39">
        <v>1.181</v>
      </c>
      <c r="K55" s="39" t="s">
        <v>501</v>
      </c>
      <c r="L55" s="39">
        <v>1.236</v>
      </c>
      <c r="M55" s="52">
        <f t="shared" si="5"/>
        <v>5.4999999999999938E-2</v>
      </c>
      <c r="O55" s="26" t="str">
        <f t="shared" si="0"/>
        <v/>
      </c>
      <c r="P55" s="31" t="e">
        <f t="shared" si="1"/>
        <v>#VALUE!</v>
      </c>
      <c r="Q55" s="39" t="e">
        <f t="shared" si="2"/>
        <v>#VALUE!</v>
      </c>
      <c r="R55" s="39" t="str">
        <f>IF(D55="","",INDEX('WINBUGS data'!$F$17:$AI$65,'Inconsistency Data'!O55,2))</f>
        <v/>
      </c>
      <c r="S55" s="116" t="e">
        <f>INDEX('WINBUGS data'!$F$17:$AI$65,(O55*1),MATCH(Q55,'WINBUGS data'!$F$16:$AI$16,0))</f>
        <v>#VALUE!</v>
      </c>
      <c r="T55" s="87" t="str">
        <f>IF(D55="","",INDEX('WINBUGS Data Inconsistency'!$B$4:$C$18,'Inconsistency Data'!S55,1))</f>
        <v/>
      </c>
      <c r="U55" s="87" t="str">
        <f t="shared" si="3"/>
        <v/>
      </c>
      <c r="V55" s="42" t="str">
        <f t="shared" si="6"/>
        <v/>
      </c>
    </row>
    <row r="56" spans="4:22" hidden="1" x14ac:dyDescent="0.25">
      <c r="D56" s="41"/>
      <c r="E56" s="39"/>
      <c r="F56" s="39"/>
      <c r="G56" s="39"/>
      <c r="H56" s="52" t="str">
        <f t="shared" si="4"/>
        <v/>
      </c>
      <c r="I56" s="41" t="s">
        <v>502</v>
      </c>
      <c r="J56" s="39">
        <v>0.62219999999999998</v>
      </c>
      <c r="K56" s="39" t="s">
        <v>502</v>
      </c>
      <c r="L56" s="39">
        <v>0.61450000000000005</v>
      </c>
      <c r="M56" s="52">
        <f t="shared" si="5"/>
        <v>-7.6999999999999291E-3</v>
      </c>
      <c r="O56" s="26" t="str">
        <f t="shared" si="0"/>
        <v/>
      </c>
      <c r="P56" s="31" t="e">
        <f t="shared" si="1"/>
        <v>#VALUE!</v>
      </c>
      <c r="Q56" s="39" t="e">
        <f t="shared" si="2"/>
        <v>#VALUE!</v>
      </c>
      <c r="R56" s="39" t="str">
        <f>IF(D56="","",INDEX('WINBUGS data'!$F$17:$AI$65,'Inconsistency Data'!O56,2))</f>
        <v/>
      </c>
      <c r="S56" s="116" t="e">
        <f>INDEX('WINBUGS data'!$F$17:$AI$65,(O56*1),MATCH(Q56,'WINBUGS data'!$F$16:$AI$16,0))</f>
        <v>#VALUE!</v>
      </c>
      <c r="T56" s="87" t="str">
        <f>IF(D56="","",INDEX('WINBUGS Data Inconsistency'!$B$4:$C$18,'Inconsistency Data'!S56,1))</f>
        <v/>
      </c>
      <c r="U56" s="87" t="str">
        <f t="shared" si="3"/>
        <v/>
      </c>
      <c r="V56" s="42" t="str">
        <f t="shared" si="6"/>
        <v/>
      </c>
    </row>
    <row r="57" spans="4:22" hidden="1" x14ac:dyDescent="0.25">
      <c r="D57" s="41"/>
      <c r="E57" s="39"/>
      <c r="F57" s="39"/>
      <c r="G57" s="39"/>
      <c r="H57" s="52" t="str">
        <f t="shared" si="4"/>
        <v/>
      </c>
      <c r="I57" s="41" t="s">
        <v>503</v>
      </c>
      <c r="J57" s="39">
        <v>0.61519999999999997</v>
      </c>
      <c r="K57" s="39" t="s">
        <v>503</v>
      </c>
      <c r="L57" s="39">
        <v>0.59499999999999997</v>
      </c>
      <c r="M57" s="52">
        <f t="shared" si="5"/>
        <v>-2.0199999999999996E-2</v>
      </c>
      <c r="O57" s="26" t="str">
        <f t="shared" si="0"/>
        <v/>
      </c>
      <c r="P57" s="31" t="e">
        <f t="shared" si="1"/>
        <v>#VALUE!</v>
      </c>
      <c r="Q57" s="39" t="e">
        <f t="shared" si="2"/>
        <v>#VALUE!</v>
      </c>
      <c r="R57" s="39" t="str">
        <f>IF(D57="","",INDEX('WINBUGS data'!$F$17:$AI$65,'Inconsistency Data'!O57,2))</f>
        <v/>
      </c>
      <c r="S57" s="116" t="e">
        <f>INDEX('WINBUGS data'!$F$17:$AI$65,(O57*1),MATCH(Q57,'WINBUGS data'!$F$16:$AI$16,0))</f>
        <v>#VALUE!</v>
      </c>
      <c r="T57" s="87" t="str">
        <f>IF(D57="","",INDEX('WINBUGS Data Inconsistency'!$B$4:$C$18,'Inconsistency Data'!S57,1))</f>
        <v/>
      </c>
      <c r="U57" s="87" t="str">
        <f t="shared" si="3"/>
        <v/>
      </c>
      <c r="V57" s="42" t="str">
        <f t="shared" si="6"/>
        <v/>
      </c>
    </row>
    <row r="58" spans="4:22" hidden="1" x14ac:dyDescent="0.25">
      <c r="D58" s="41"/>
      <c r="E58" s="39"/>
      <c r="F58" s="39"/>
      <c r="G58" s="39"/>
      <c r="H58" s="52" t="str">
        <f t="shared" si="4"/>
        <v/>
      </c>
      <c r="I58" s="41" t="s">
        <v>504</v>
      </c>
      <c r="J58" s="39">
        <v>1.2749999999999999</v>
      </c>
      <c r="K58" s="39" t="s">
        <v>504</v>
      </c>
      <c r="L58" s="39">
        <v>1.373</v>
      </c>
      <c r="M58" s="52">
        <f t="shared" si="5"/>
        <v>9.8000000000000087E-2</v>
      </c>
      <c r="O58" s="26" t="str">
        <f t="shared" si="0"/>
        <v/>
      </c>
      <c r="P58" s="31" t="e">
        <f t="shared" si="1"/>
        <v>#VALUE!</v>
      </c>
      <c r="Q58" s="39" t="e">
        <f t="shared" si="2"/>
        <v>#VALUE!</v>
      </c>
      <c r="R58" s="39" t="str">
        <f>IF(D58="","",INDEX('WINBUGS data'!$F$17:$AI$65,'Inconsistency Data'!O58,2))</f>
        <v/>
      </c>
      <c r="S58" s="116" t="e">
        <f>INDEX('WINBUGS data'!$F$17:$AI$65,(O58*1),MATCH(Q58,'WINBUGS data'!$F$16:$AI$16,0))</f>
        <v>#VALUE!</v>
      </c>
      <c r="T58" s="87" t="str">
        <f>IF(D58="","",INDEX('WINBUGS Data Inconsistency'!$B$4:$C$18,'Inconsistency Data'!S58,1))</f>
        <v/>
      </c>
      <c r="U58" s="87" t="str">
        <f t="shared" si="3"/>
        <v/>
      </c>
      <c r="V58" s="42" t="str">
        <f t="shared" si="6"/>
        <v/>
      </c>
    </row>
    <row r="59" spans="4:22" hidden="1" x14ac:dyDescent="0.25">
      <c r="D59" s="41"/>
      <c r="E59" s="39"/>
      <c r="F59" s="39"/>
      <c r="G59" s="39"/>
      <c r="H59" s="52" t="str">
        <f t="shared" si="4"/>
        <v/>
      </c>
      <c r="I59" s="41" t="s">
        <v>505</v>
      </c>
      <c r="J59" s="39">
        <v>1.143</v>
      </c>
      <c r="K59" s="39" t="s">
        <v>505</v>
      </c>
      <c r="L59" s="39">
        <v>1.2569999999999999</v>
      </c>
      <c r="M59" s="52">
        <f t="shared" si="5"/>
        <v>0.11399999999999988</v>
      </c>
      <c r="O59" s="26" t="str">
        <f t="shared" si="0"/>
        <v/>
      </c>
      <c r="P59" s="31" t="e">
        <f t="shared" si="1"/>
        <v>#VALUE!</v>
      </c>
      <c r="Q59" s="39" t="e">
        <f t="shared" si="2"/>
        <v>#VALUE!</v>
      </c>
      <c r="R59" s="39" t="str">
        <f>IF(D59="","",INDEX('WINBUGS data'!$F$17:$AI$65,'Inconsistency Data'!O59,2))</f>
        <v/>
      </c>
      <c r="S59" s="116" t="e">
        <f>INDEX('WINBUGS data'!$F$17:$AI$65,(O59*1),MATCH(Q59,'WINBUGS data'!$F$16:$AI$16,0))</f>
        <v>#VALUE!</v>
      </c>
      <c r="T59" s="87" t="str">
        <f>IF(D59="","",INDEX('WINBUGS Data Inconsistency'!$B$4:$C$18,'Inconsistency Data'!S59,1))</f>
        <v/>
      </c>
      <c r="U59" s="87" t="str">
        <f t="shared" si="3"/>
        <v/>
      </c>
      <c r="V59" s="42" t="str">
        <f t="shared" si="6"/>
        <v/>
      </c>
    </row>
    <row r="60" spans="4:22" hidden="1" x14ac:dyDescent="0.25">
      <c r="D60" s="41"/>
      <c r="E60" s="39"/>
      <c r="F60" s="39"/>
      <c r="G60" s="39"/>
      <c r="H60" s="52" t="str">
        <f t="shared" si="4"/>
        <v/>
      </c>
      <c r="I60" s="41" t="s">
        <v>506</v>
      </c>
      <c r="J60" s="39">
        <v>0.86829999999999996</v>
      </c>
      <c r="K60" s="39" t="s">
        <v>506</v>
      </c>
      <c r="L60" s="39">
        <v>1.1639999999999999</v>
      </c>
      <c r="M60" s="52">
        <f t="shared" si="5"/>
        <v>0.29569999999999996</v>
      </c>
      <c r="O60" s="26" t="str">
        <f t="shared" si="0"/>
        <v/>
      </c>
      <c r="P60" s="31" t="e">
        <f t="shared" si="1"/>
        <v>#VALUE!</v>
      </c>
      <c r="Q60" s="39" t="e">
        <f t="shared" si="2"/>
        <v>#VALUE!</v>
      </c>
      <c r="R60" s="39" t="str">
        <f>IF(D60="","",INDEX('WINBUGS data'!$F$17:$AI$65,'Inconsistency Data'!O60,2))</f>
        <v/>
      </c>
      <c r="S60" s="116" t="e">
        <f>INDEX('WINBUGS data'!$F$17:$AI$65,(O60*1),MATCH(Q60,'WINBUGS data'!$F$16:$AI$16,0))</f>
        <v>#VALUE!</v>
      </c>
      <c r="T60" s="87" t="str">
        <f>IF(D60="","",INDEX('WINBUGS Data Inconsistency'!$B$4:$C$18,'Inconsistency Data'!S60,1))</f>
        <v/>
      </c>
      <c r="U60" s="87" t="str">
        <f t="shared" si="3"/>
        <v/>
      </c>
      <c r="V60" s="42" t="str">
        <f t="shared" si="6"/>
        <v/>
      </c>
    </row>
    <row r="61" spans="4:22" hidden="1" x14ac:dyDescent="0.25">
      <c r="D61" s="41"/>
      <c r="E61" s="39"/>
      <c r="F61" s="39"/>
      <c r="G61" s="39"/>
      <c r="H61" s="52" t="str">
        <f t="shared" si="4"/>
        <v/>
      </c>
      <c r="I61" s="41" t="s">
        <v>507</v>
      </c>
      <c r="J61" s="39">
        <v>0.86839999999999995</v>
      </c>
      <c r="K61" s="39" t="s">
        <v>507</v>
      </c>
      <c r="L61" s="39">
        <v>1.1599999999999999</v>
      </c>
      <c r="M61" s="52">
        <f t="shared" si="5"/>
        <v>0.29159999999999997</v>
      </c>
      <c r="O61" s="26" t="str">
        <f t="shared" si="0"/>
        <v/>
      </c>
      <c r="P61" s="31" t="e">
        <f t="shared" si="1"/>
        <v>#VALUE!</v>
      </c>
      <c r="Q61" s="39" t="e">
        <f t="shared" si="2"/>
        <v>#VALUE!</v>
      </c>
      <c r="R61" s="39" t="str">
        <f>IF(D61="","",INDEX('WINBUGS data'!$F$17:$AI$65,'Inconsistency Data'!O61,2))</f>
        <v/>
      </c>
      <c r="S61" s="116" t="e">
        <f>INDEX('WINBUGS data'!$F$17:$AI$65,(O61*1),MATCH(Q61,'WINBUGS data'!$F$16:$AI$16,0))</f>
        <v>#VALUE!</v>
      </c>
      <c r="T61" s="87" t="str">
        <f>IF(D61="","",INDEX('WINBUGS Data Inconsistency'!$B$4:$C$18,'Inconsistency Data'!S61,1))</f>
        <v/>
      </c>
      <c r="U61" s="87" t="str">
        <f t="shared" si="3"/>
        <v/>
      </c>
      <c r="V61" s="42" t="str">
        <f t="shared" si="6"/>
        <v/>
      </c>
    </row>
    <row r="62" spans="4:22" hidden="1" x14ac:dyDescent="0.25">
      <c r="D62" s="41"/>
      <c r="E62" s="39"/>
      <c r="F62" s="39"/>
      <c r="G62" s="39"/>
      <c r="H62" s="52" t="str">
        <f t="shared" si="4"/>
        <v/>
      </c>
      <c r="I62" s="41" t="s">
        <v>508</v>
      </c>
      <c r="J62" s="39">
        <v>0.62170000000000003</v>
      </c>
      <c r="K62" s="39" t="s">
        <v>508</v>
      </c>
      <c r="L62" s="39">
        <v>0.59519999999999995</v>
      </c>
      <c r="M62" s="52">
        <f t="shared" si="5"/>
        <v>-2.6500000000000079E-2</v>
      </c>
      <c r="O62" s="26" t="str">
        <f t="shared" si="0"/>
        <v/>
      </c>
      <c r="P62" s="31" t="e">
        <f t="shared" si="1"/>
        <v>#VALUE!</v>
      </c>
      <c r="Q62" s="39" t="e">
        <f t="shared" si="2"/>
        <v>#VALUE!</v>
      </c>
      <c r="R62" s="39" t="str">
        <f>IF(D62="","",INDEX('WINBUGS data'!$F$17:$AI$65,'Inconsistency Data'!O62,2))</f>
        <v/>
      </c>
      <c r="S62" s="116" t="e">
        <f>INDEX('WINBUGS data'!$F$17:$AI$65,(O62*1),MATCH(Q62,'WINBUGS data'!$F$16:$AI$16,0))</f>
        <v>#VALUE!</v>
      </c>
      <c r="T62" s="87" t="str">
        <f>IF(D62="","",INDEX('WINBUGS Data Inconsistency'!$B$4:$C$18,'Inconsistency Data'!S62,1))</f>
        <v/>
      </c>
      <c r="U62" s="87" t="str">
        <f t="shared" si="3"/>
        <v/>
      </c>
      <c r="V62" s="42" t="str">
        <f t="shared" si="6"/>
        <v/>
      </c>
    </row>
    <row r="63" spans="4:22" hidden="1" x14ac:dyDescent="0.25">
      <c r="D63" s="41"/>
      <c r="E63" s="39"/>
      <c r="F63" s="39"/>
      <c r="G63" s="39"/>
      <c r="H63" s="52" t="str">
        <f t="shared" si="4"/>
        <v/>
      </c>
      <c r="I63" s="41" t="s">
        <v>509</v>
      </c>
      <c r="J63" s="39">
        <v>0.61</v>
      </c>
      <c r="K63" s="39" t="s">
        <v>509</v>
      </c>
      <c r="L63" s="39">
        <v>0.5948</v>
      </c>
      <c r="M63" s="52">
        <f t="shared" si="5"/>
        <v>-1.5199999999999991E-2</v>
      </c>
      <c r="O63" s="26" t="str">
        <f t="shared" si="0"/>
        <v/>
      </c>
      <c r="P63" s="31" t="e">
        <f t="shared" si="1"/>
        <v>#VALUE!</v>
      </c>
      <c r="Q63" s="39" t="e">
        <f t="shared" si="2"/>
        <v>#VALUE!</v>
      </c>
      <c r="R63" s="39" t="str">
        <f>IF(D63="","",INDEX('WINBUGS data'!$F$17:$AI$65,'Inconsistency Data'!O63,2))</f>
        <v/>
      </c>
      <c r="S63" s="116" t="e">
        <f>INDEX('WINBUGS data'!$F$17:$AI$65,(O63*1),MATCH(Q63,'WINBUGS data'!$F$16:$AI$16,0))</f>
        <v>#VALUE!</v>
      </c>
      <c r="T63" s="87" t="str">
        <f>IF(D63="","",INDEX('WINBUGS Data Inconsistency'!$B$4:$C$18,'Inconsistency Data'!S63,1))</f>
        <v/>
      </c>
      <c r="U63" s="87" t="str">
        <f t="shared" si="3"/>
        <v/>
      </c>
      <c r="V63" s="42" t="str">
        <f t="shared" si="6"/>
        <v/>
      </c>
    </row>
    <row r="64" spans="4:22" hidden="1" x14ac:dyDescent="0.25">
      <c r="D64" s="41"/>
      <c r="E64" s="39"/>
      <c r="F64" s="39"/>
      <c r="G64" s="39"/>
      <c r="H64" s="52" t="str">
        <f t="shared" si="4"/>
        <v/>
      </c>
      <c r="I64" s="41" t="s">
        <v>510</v>
      </c>
      <c r="J64" s="39">
        <v>0.88580000000000003</v>
      </c>
      <c r="K64" s="39" t="s">
        <v>510</v>
      </c>
      <c r="L64" s="39">
        <v>0.88149999999999995</v>
      </c>
      <c r="M64" s="52">
        <f t="shared" si="5"/>
        <v>-4.3000000000000815E-3</v>
      </c>
      <c r="O64" s="26" t="str">
        <f t="shared" si="0"/>
        <v/>
      </c>
      <c r="P64" s="31" t="e">
        <f t="shared" si="1"/>
        <v>#VALUE!</v>
      </c>
      <c r="Q64" s="39" t="e">
        <f t="shared" si="2"/>
        <v>#VALUE!</v>
      </c>
      <c r="R64" s="39" t="str">
        <f>IF(D64="","",INDEX('WINBUGS data'!$F$17:$AI$65,'Inconsistency Data'!O64,2))</f>
        <v/>
      </c>
      <c r="S64" s="116" t="e">
        <f>INDEX('WINBUGS data'!$F$17:$AI$65,(O64*1),MATCH(Q64,'WINBUGS data'!$F$16:$AI$16,0))</f>
        <v>#VALUE!</v>
      </c>
      <c r="T64" s="87" t="str">
        <f>IF(D64="","",INDEX('WINBUGS Data Inconsistency'!$B$4:$C$18,'Inconsistency Data'!S64,1))</f>
        <v/>
      </c>
      <c r="U64" s="87" t="str">
        <f t="shared" si="3"/>
        <v/>
      </c>
      <c r="V64" s="42" t="str">
        <f t="shared" si="6"/>
        <v/>
      </c>
    </row>
    <row r="65" spans="4:22" hidden="1" x14ac:dyDescent="0.25">
      <c r="D65" s="41"/>
      <c r="E65" s="39"/>
      <c r="F65" s="39"/>
      <c r="G65" s="39"/>
      <c r="H65" s="52" t="str">
        <f t="shared" si="4"/>
        <v/>
      </c>
      <c r="I65" s="41" t="s">
        <v>511</v>
      </c>
      <c r="J65" s="39">
        <v>0.79610000000000003</v>
      </c>
      <c r="K65" s="39" t="s">
        <v>511</v>
      </c>
      <c r="L65" s="39">
        <v>0.8</v>
      </c>
      <c r="M65" s="52">
        <f t="shared" si="5"/>
        <v>3.9000000000000146E-3</v>
      </c>
      <c r="O65" s="26" t="str">
        <f t="shared" si="0"/>
        <v/>
      </c>
      <c r="P65" s="31" t="e">
        <f t="shared" si="1"/>
        <v>#VALUE!</v>
      </c>
      <c r="Q65" s="39" t="e">
        <f t="shared" si="2"/>
        <v>#VALUE!</v>
      </c>
      <c r="R65" s="39" t="str">
        <f>IF(D65="","",INDEX('WINBUGS data'!$F$17:$AI$65,'Inconsistency Data'!O65,2))</f>
        <v/>
      </c>
      <c r="S65" s="116" t="e">
        <f>INDEX('WINBUGS data'!$F$17:$AI$65,(O65*1),MATCH(Q65,'WINBUGS data'!$F$16:$AI$16,0))</f>
        <v>#VALUE!</v>
      </c>
      <c r="T65" s="87" t="str">
        <f>IF(D65="","",INDEX('WINBUGS Data Inconsistency'!$B$4:$C$18,'Inconsistency Data'!S65,1))</f>
        <v/>
      </c>
      <c r="U65" s="87" t="str">
        <f t="shared" si="3"/>
        <v/>
      </c>
      <c r="V65" s="42" t="str">
        <f t="shared" si="6"/>
        <v/>
      </c>
    </row>
    <row r="66" spans="4:22" hidden="1" x14ac:dyDescent="0.25">
      <c r="D66" s="41"/>
      <c r="E66" s="39"/>
      <c r="F66" s="39"/>
      <c r="G66" s="39"/>
      <c r="H66" s="52" t="str">
        <f t="shared" si="4"/>
        <v/>
      </c>
      <c r="I66" s="41" t="s">
        <v>512</v>
      </c>
      <c r="J66" s="39">
        <v>1.0189999999999999</v>
      </c>
      <c r="K66" s="39" t="s">
        <v>512</v>
      </c>
      <c r="L66" s="39">
        <v>1.016</v>
      </c>
      <c r="M66" s="52">
        <f t="shared" si="5"/>
        <v>-2.9999999999998916E-3</v>
      </c>
      <c r="O66" s="26" t="str">
        <f t="shared" si="0"/>
        <v/>
      </c>
      <c r="P66" s="31" t="e">
        <f t="shared" si="1"/>
        <v>#VALUE!</v>
      </c>
      <c r="Q66" s="39" t="e">
        <f t="shared" si="2"/>
        <v>#VALUE!</v>
      </c>
      <c r="R66" s="39" t="str">
        <f>IF(D66="","",INDEX('WINBUGS data'!$F$17:$AI$65,'Inconsistency Data'!O66,2))</f>
        <v/>
      </c>
      <c r="S66" s="116" t="e">
        <f>INDEX('WINBUGS data'!$F$17:$AI$65,(O66*1),MATCH(Q66,'WINBUGS data'!$F$16:$AI$16,0))</f>
        <v>#VALUE!</v>
      </c>
      <c r="T66" s="87" t="str">
        <f>IF(D66="","",INDEX('WINBUGS Data Inconsistency'!$B$4:$C$18,'Inconsistency Data'!S66,1))</f>
        <v/>
      </c>
      <c r="U66" s="87" t="str">
        <f t="shared" si="3"/>
        <v/>
      </c>
      <c r="V66" s="42" t="str">
        <f t="shared" si="6"/>
        <v/>
      </c>
    </row>
    <row r="67" spans="4:22" hidden="1" x14ac:dyDescent="0.25">
      <c r="D67" s="41"/>
      <c r="E67" s="39"/>
      <c r="F67" s="39"/>
      <c r="G67" s="39"/>
      <c r="H67" s="52" t="str">
        <f t="shared" si="4"/>
        <v/>
      </c>
      <c r="I67" s="41" t="s">
        <v>513</v>
      </c>
      <c r="J67" s="39">
        <v>1.0680000000000001</v>
      </c>
      <c r="K67" s="39" t="s">
        <v>513</v>
      </c>
      <c r="L67" s="39">
        <v>1.0720000000000001</v>
      </c>
      <c r="M67" s="52">
        <f t="shared" si="5"/>
        <v>4.0000000000000036E-3</v>
      </c>
      <c r="O67" s="26" t="str">
        <f t="shared" si="0"/>
        <v/>
      </c>
      <c r="P67" s="31" t="e">
        <f t="shared" si="1"/>
        <v>#VALUE!</v>
      </c>
      <c r="Q67" s="39" t="e">
        <f t="shared" si="2"/>
        <v>#VALUE!</v>
      </c>
      <c r="R67" s="39" t="str">
        <f>IF(D67="","",INDEX('WINBUGS data'!$F$17:$AI$65,'Inconsistency Data'!O67,2))</f>
        <v/>
      </c>
      <c r="S67" s="116" t="e">
        <f>INDEX('WINBUGS data'!$F$17:$AI$65,(O67*1),MATCH(Q67,'WINBUGS data'!$F$16:$AI$16,0))</f>
        <v>#VALUE!</v>
      </c>
      <c r="T67" s="87" t="str">
        <f>IF(D67="","",INDEX('WINBUGS Data Inconsistency'!$B$4:$C$18,'Inconsistency Data'!S67,1))</f>
        <v/>
      </c>
      <c r="U67" s="87" t="str">
        <f t="shared" si="3"/>
        <v/>
      </c>
      <c r="V67" s="42" t="str">
        <f t="shared" si="6"/>
        <v/>
      </c>
    </row>
    <row r="68" spans="4:22" hidden="1" x14ac:dyDescent="0.25">
      <c r="D68" s="41"/>
      <c r="E68" s="39"/>
      <c r="F68" s="39"/>
      <c r="G68" s="39"/>
      <c r="H68" s="52" t="str">
        <f t="shared" si="4"/>
        <v/>
      </c>
      <c r="I68" s="41" t="s">
        <v>514</v>
      </c>
      <c r="J68" s="39">
        <v>0.88229999999999997</v>
      </c>
      <c r="K68" s="39" t="s">
        <v>514</v>
      </c>
      <c r="L68" s="39">
        <v>0.80830000000000002</v>
      </c>
      <c r="M68" s="52">
        <f t="shared" si="5"/>
        <v>-7.3999999999999955E-2</v>
      </c>
      <c r="O68" s="26" t="str">
        <f t="shared" si="0"/>
        <v/>
      </c>
      <c r="P68" s="31" t="e">
        <f t="shared" si="1"/>
        <v>#VALUE!</v>
      </c>
      <c r="Q68" s="39" t="e">
        <f t="shared" si="2"/>
        <v>#VALUE!</v>
      </c>
      <c r="R68" s="39" t="str">
        <f>IF(D68="","",INDEX('WINBUGS data'!$F$17:$AI$65,'Inconsistency Data'!O68,2))</f>
        <v/>
      </c>
      <c r="S68" s="116" t="e">
        <f>INDEX('WINBUGS data'!$F$17:$AI$65,(O68*1),MATCH(Q68,'WINBUGS data'!$F$16:$AI$16,0))</f>
        <v>#VALUE!</v>
      </c>
      <c r="T68" s="87" t="str">
        <f>IF(D68="","",INDEX('WINBUGS Data Inconsistency'!$B$4:$C$18,'Inconsistency Data'!S68,1))</f>
        <v/>
      </c>
      <c r="U68" s="87" t="str">
        <f t="shared" si="3"/>
        <v/>
      </c>
      <c r="V68" s="42" t="str">
        <f t="shared" si="6"/>
        <v/>
      </c>
    </row>
    <row r="69" spans="4:22" hidden="1" x14ac:dyDescent="0.25">
      <c r="D69" s="41"/>
      <c r="E69" s="39"/>
      <c r="F69" s="39"/>
      <c r="G69" s="39"/>
      <c r="H69" s="52" t="str">
        <f t="shared" si="4"/>
        <v/>
      </c>
      <c r="I69" s="41" t="s">
        <v>515</v>
      </c>
      <c r="J69" s="39">
        <v>0.85070000000000001</v>
      </c>
      <c r="K69" s="39" t="s">
        <v>515</v>
      </c>
      <c r="L69" s="39">
        <v>0.71960000000000002</v>
      </c>
      <c r="M69" s="52">
        <f t="shared" si="5"/>
        <v>-0.13109999999999999</v>
      </c>
      <c r="O69" s="26" t="str">
        <f t="shared" si="0"/>
        <v/>
      </c>
      <c r="P69" s="31" t="e">
        <f t="shared" si="1"/>
        <v>#VALUE!</v>
      </c>
      <c r="Q69" s="39" t="e">
        <f t="shared" si="2"/>
        <v>#VALUE!</v>
      </c>
      <c r="R69" s="39" t="str">
        <f>IF(D69="","",INDEX('WINBUGS data'!$F$17:$AI$65,'Inconsistency Data'!O69,2))</f>
        <v/>
      </c>
      <c r="S69" s="116" t="e">
        <f>INDEX('WINBUGS data'!$F$17:$AI$65,(O69*1),MATCH(Q69,'WINBUGS data'!$F$16:$AI$16,0))</f>
        <v>#VALUE!</v>
      </c>
      <c r="T69" s="87" t="str">
        <f>IF(D69="","",INDEX('WINBUGS Data Inconsistency'!$B$4:$C$18,'Inconsistency Data'!S69,1))</f>
        <v/>
      </c>
      <c r="U69" s="87" t="str">
        <f t="shared" si="3"/>
        <v/>
      </c>
      <c r="V69" s="42" t="str">
        <f t="shared" si="6"/>
        <v/>
      </c>
    </row>
    <row r="70" spans="4:22" hidden="1" x14ac:dyDescent="0.25">
      <c r="D70" s="41"/>
      <c r="E70" s="39"/>
      <c r="F70" s="39"/>
      <c r="G70" s="39"/>
      <c r="H70" s="52" t="str">
        <f t="shared" si="4"/>
        <v/>
      </c>
      <c r="I70" s="41"/>
      <c r="J70" s="39"/>
      <c r="K70" s="39"/>
      <c r="L70" s="39"/>
      <c r="M70" s="52" t="str">
        <f t="shared" si="5"/>
        <v/>
      </c>
      <c r="O70" s="26" t="str">
        <f t="shared" ref="O70:O105" si="7">IF(D70="","",MID(D70,FIND("[",D70)+1,FIND(",",D70)-FIND("[",D70)-1))</f>
        <v/>
      </c>
      <c r="P70" s="31" t="e">
        <f t="shared" ref="P70:P105" si="8">MID(D70,FIND(",",D70)+1,FIND("]",D70)-FIND(",",D70)-1)</f>
        <v>#VALUE!</v>
      </c>
      <c r="Q70" s="39" t="e">
        <f t="shared" ref="Q70:Q105" si="9">CONCATENATE("t[,",P70,"]")</f>
        <v>#VALUE!</v>
      </c>
      <c r="R70" s="39" t="str">
        <f>IF(D70="","",INDEX('WINBUGS data'!$F$17:$AI$65,'Inconsistency Data'!O70,2))</f>
        <v/>
      </c>
      <c r="S70" s="116" t="e">
        <f>INDEX('WINBUGS data'!$F$17:$AI$65,(O70*1),MATCH(Q70,'WINBUGS data'!$F$16:$AI$16,0))</f>
        <v>#VALUE!</v>
      </c>
      <c r="T70" s="87" t="str">
        <f>IF(D70="","",INDEX('WINBUGS Data Inconsistency'!$B$4:$C$18,'Inconsistency Data'!S70,1))</f>
        <v/>
      </c>
      <c r="U70" s="87" t="str">
        <f t="shared" ref="U70:U105" si="10">IF(D70="","",R70&amp; ", "&amp;T70)</f>
        <v/>
      </c>
      <c r="V70" s="42" t="str">
        <f t="shared" si="6"/>
        <v/>
      </c>
    </row>
    <row r="71" spans="4:22" hidden="1" x14ac:dyDescent="0.25">
      <c r="D71" s="41"/>
      <c r="E71" s="39"/>
      <c r="F71" s="39"/>
      <c r="G71" s="39"/>
      <c r="H71" s="52" t="str">
        <f t="shared" ref="H71:H105" si="11">IF(D71="","",G71-E71)</f>
        <v/>
      </c>
      <c r="I71" s="41"/>
      <c r="J71" s="39"/>
      <c r="K71" s="39"/>
      <c r="L71" s="39"/>
      <c r="M71" s="52" t="str">
        <f t="shared" ref="M71:M105" si="12">IF(I71="","",L71-J71)</f>
        <v/>
      </c>
      <c r="O71" s="26" t="str">
        <f t="shared" si="7"/>
        <v/>
      </c>
      <c r="P71" s="31" t="e">
        <f t="shared" si="8"/>
        <v>#VALUE!</v>
      </c>
      <c r="Q71" s="39" t="e">
        <f t="shared" si="9"/>
        <v>#VALUE!</v>
      </c>
      <c r="R71" s="39" t="str">
        <f>IF(D71="","",INDEX('WINBUGS data'!$F$17:$AI$65,'Inconsistency Data'!O71,2))</f>
        <v/>
      </c>
      <c r="S71" s="116" t="e">
        <f>INDEX('WINBUGS data'!$F$17:$AI$65,(O71*1),MATCH(Q71,'WINBUGS data'!$F$16:$AI$16,0))</f>
        <v>#VALUE!</v>
      </c>
      <c r="T71" s="87" t="str">
        <f>IF(D71="","",INDEX('WINBUGS Data Inconsistency'!$B$4:$C$18,'Inconsistency Data'!S71,1))</f>
        <v/>
      </c>
      <c r="U71" s="87" t="str">
        <f t="shared" si="10"/>
        <v/>
      </c>
      <c r="V71" s="42" t="str">
        <f t="shared" ref="V71:V105" si="13">CHOOSE($V$5,R71,T71,U71)</f>
        <v/>
      </c>
    </row>
    <row r="72" spans="4:22" hidden="1" x14ac:dyDescent="0.25">
      <c r="D72" s="41"/>
      <c r="E72" s="39"/>
      <c r="F72" s="39"/>
      <c r="G72" s="39"/>
      <c r="H72" s="52" t="str">
        <f t="shared" si="11"/>
        <v/>
      </c>
      <c r="I72" s="41"/>
      <c r="J72" s="39"/>
      <c r="K72" s="39"/>
      <c r="L72" s="39"/>
      <c r="M72" s="52" t="str">
        <f t="shared" si="12"/>
        <v/>
      </c>
      <c r="O72" s="26" t="str">
        <f t="shared" si="7"/>
        <v/>
      </c>
      <c r="P72" s="31" t="e">
        <f t="shared" si="8"/>
        <v>#VALUE!</v>
      </c>
      <c r="Q72" s="39" t="e">
        <f t="shared" si="9"/>
        <v>#VALUE!</v>
      </c>
      <c r="R72" s="39" t="str">
        <f>IF(D72="","",INDEX('WINBUGS data'!$F$17:$AI$65,'Inconsistency Data'!O72,2))</f>
        <v/>
      </c>
      <c r="S72" s="116" t="e">
        <f>INDEX('WINBUGS data'!$F$17:$AI$65,(O72*1),MATCH(Q72,'WINBUGS data'!$F$16:$AI$16,0))</f>
        <v>#VALUE!</v>
      </c>
      <c r="T72" s="87" t="str">
        <f>IF(D72="","",INDEX('WINBUGS Data Inconsistency'!$B$4:$C$18,'Inconsistency Data'!S72,1))</f>
        <v/>
      </c>
      <c r="U72" s="87" t="str">
        <f t="shared" si="10"/>
        <v/>
      </c>
      <c r="V72" s="42" t="str">
        <f t="shared" si="13"/>
        <v/>
      </c>
    </row>
    <row r="73" spans="4:22" hidden="1" x14ac:dyDescent="0.25">
      <c r="D73" s="41"/>
      <c r="E73" s="39"/>
      <c r="F73" s="39"/>
      <c r="G73" s="39"/>
      <c r="H73" s="52" t="str">
        <f t="shared" si="11"/>
        <v/>
      </c>
      <c r="I73" s="41"/>
      <c r="J73" s="39"/>
      <c r="K73" s="39"/>
      <c r="L73" s="39"/>
      <c r="M73" s="52" t="str">
        <f t="shared" si="12"/>
        <v/>
      </c>
      <c r="O73" s="26" t="str">
        <f t="shared" si="7"/>
        <v/>
      </c>
      <c r="P73" s="31" t="e">
        <f t="shared" si="8"/>
        <v>#VALUE!</v>
      </c>
      <c r="Q73" s="39" t="e">
        <f t="shared" si="9"/>
        <v>#VALUE!</v>
      </c>
      <c r="R73" s="39" t="str">
        <f>IF(D73="","",INDEX('WINBUGS data'!$F$17:$AI$65,'Inconsistency Data'!O73,2))</f>
        <v/>
      </c>
      <c r="S73" s="116" t="e">
        <f>INDEX('WINBUGS data'!$F$17:$AI$65,(O73*1),MATCH(Q73,'WINBUGS data'!$F$16:$AI$16,0))</f>
        <v>#VALUE!</v>
      </c>
      <c r="T73" s="87" t="str">
        <f>IF(D73="","",INDEX('WINBUGS Data Inconsistency'!$B$4:$C$18,'Inconsistency Data'!S73,1))</f>
        <v/>
      </c>
      <c r="U73" s="87" t="str">
        <f t="shared" si="10"/>
        <v/>
      </c>
      <c r="V73" s="42" t="str">
        <f t="shared" si="13"/>
        <v/>
      </c>
    </row>
    <row r="74" spans="4:22" hidden="1" x14ac:dyDescent="0.25">
      <c r="D74" s="41"/>
      <c r="E74" s="39"/>
      <c r="F74" s="39"/>
      <c r="G74" s="39"/>
      <c r="H74" s="52" t="str">
        <f t="shared" si="11"/>
        <v/>
      </c>
      <c r="I74" s="41"/>
      <c r="J74" s="39"/>
      <c r="K74" s="39"/>
      <c r="L74" s="39"/>
      <c r="M74" s="52" t="str">
        <f t="shared" si="12"/>
        <v/>
      </c>
      <c r="O74" s="26" t="str">
        <f t="shared" si="7"/>
        <v/>
      </c>
      <c r="P74" s="31" t="e">
        <f t="shared" si="8"/>
        <v>#VALUE!</v>
      </c>
      <c r="Q74" s="39" t="e">
        <f t="shared" si="9"/>
        <v>#VALUE!</v>
      </c>
      <c r="R74" s="39" t="str">
        <f>IF(D74="","",INDEX('WINBUGS data'!$F$17:$AI$65,'Inconsistency Data'!O74,2))</f>
        <v/>
      </c>
      <c r="S74" s="116" t="e">
        <f>INDEX('WINBUGS data'!$F$17:$AI$65,(O74*1),MATCH(Q74,'WINBUGS data'!$F$16:$AI$16,0))</f>
        <v>#VALUE!</v>
      </c>
      <c r="T74" s="87" t="str">
        <f>IF(D74="","",INDEX('WINBUGS Data Inconsistency'!$B$4:$C$18,'Inconsistency Data'!S74,1))</f>
        <v/>
      </c>
      <c r="U74" s="87" t="str">
        <f t="shared" si="10"/>
        <v/>
      </c>
      <c r="V74" s="42" t="str">
        <f t="shared" si="13"/>
        <v/>
      </c>
    </row>
    <row r="75" spans="4:22" hidden="1" x14ac:dyDescent="0.25">
      <c r="D75" s="41"/>
      <c r="E75" s="39"/>
      <c r="F75" s="39"/>
      <c r="G75" s="39"/>
      <c r="H75" s="52" t="str">
        <f t="shared" si="11"/>
        <v/>
      </c>
      <c r="I75" s="41"/>
      <c r="J75" s="39"/>
      <c r="K75" s="39"/>
      <c r="L75" s="39"/>
      <c r="M75" s="52" t="str">
        <f t="shared" si="12"/>
        <v/>
      </c>
      <c r="O75" s="26" t="str">
        <f t="shared" si="7"/>
        <v/>
      </c>
      <c r="P75" s="31" t="e">
        <f t="shared" si="8"/>
        <v>#VALUE!</v>
      </c>
      <c r="Q75" s="39" t="e">
        <f t="shared" si="9"/>
        <v>#VALUE!</v>
      </c>
      <c r="R75" s="39" t="str">
        <f>IF(D75="","",INDEX('WINBUGS data'!$F$17:$AI$65,'Inconsistency Data'!O75,2))</f>
        <v/>
      </c>
      <c r="S75" s="116" t="e">
        <f>INDEX('WINBUGS data'!$F$17:$AI$65,(O75*1),MATCH(Q75,'WINBUGS data'!$F$16:$AI$16,0))</f>
        <v>#VALUE!</v>
      </c>
      <c r="T75" s="87" t="str">
        <f>IF(D75="","",INDEX('WINBUGS Data Inconsistency'!$B$4:$C$18,'Inconsistency Data'!S75,1))</f>
        <v/>
      </c>
      <c r="U75" s="87" t="str">
        <f t="shared" si="10"/>
        <v/>
      </c>
      <c r="V75" s="42" t="str">
        <f t="shared" si="13"/>
        <v/>
      </c>
    </row>
    <row r="76" spans="4:22" hidden="1" x14ac:dyDescent="0.25">
      <c r="D76" s="41"/>
      <c r="E76" s="39"/>
      <c r="F76" s="39"/>
      <c r="G76" s="39"/>
      <c r="H76" s="52" t="str">
        <f t="shared" si="11"/>
        <v/>
      </c>
      <c r="I76" s="41"/>
      <c r="J76" s="39"/>
      <c r="K76" s="39"/>
      <c r="L76" s="39"/>
      <c r="M76" s="52" t="str">
        <f t="shared" si="12"/>
        <v/>
      </c>
      <c r="O76" s="26" t="str">
        <f t="shared" si="7"/>
        <v/>
      </c>
      <c r="P76" s="31" t="e">
        <f t="shared" si="8"/>
        <v>#VALUE!</v>
      </c>
      <c r="Q76" s="39" t="e">
        <f t="shared" si="9"/>
        <v>#VALUE!</v>
      </c>
      <c r="R76" s="39" t="str">
        <f>IF(D76="","",INDEX('WINBUGS data'!$F$17:$AI$65,'Inconsistency Data'!O76,2))</f>
        <v/>
      </c>
      <c r="S76" s="116" t="e">
        <f>INDEX('WINBUGS data'!$F$17:$AI$65,(O76*1),MATCH(Q76,'WINBUGS data'!$F$16:$AI$16,0))</f>
        <v>#VALUE!</v>
      </c>
      <c r="T76" s="87" t="str">
        <f>IF(D76="","",INDEX('WINBUGS Data Inconsistency'!$B$4:$C$18,'Inconsistency Data'!S76,1))</f>
        <v/>
      </c>
      <c r="U76" s="87" t="str">
        <f t="shared" si="10"/>
        <v/>
      </c>
      <c r="V76" s="42" t="str">
        <f t="shared" si="13"/>
        <v/>
      </c>
    </row>
    <row r="77" spans="4:22" hidden="1" x14ac:dyDescent="0.25">
      <c r="D77" s="41"/>
      <c r="E77" s="39"/>
      <c r="F77" s="39"/>
      <c r="G77" s="39"/>
      <c r="H77" s="52" t="str">
        <f t="shared" si="11"/>
        <v/>
      </c>
      <c r="I77" s="41"/>
      <c r="J77" s="39"/>
      <c r="K77" s="39"/>
      <c r="L77" s="39"/>
      <c r="M77" s="52" t="str">
        <f t="shared" si="12"/>
        <v/>
      </c>
      <c r="O77" s="26" t="str">
        <f t="shared" si="7"/>
        <v/>
      </c>
      <c r="P77" s="31" t="e">
        <f t="shared" si="8"/>
        <v>#VALUE!</v>
      </c>
      <c r="Q77" s="39" t="e">
        <f t="shared" si="9"/>
        <v>#VALUE!</v>
      </c>
      <c r="R77" s="39" t="str">
        <f>IF(D77="","",INDEX('WINBUGS data'!$F$17:$AI$65,'Inconsistency Data'!O77,2))</f>
        <v/>
      </c>
      <c r="S77" s="116" t="e">
        <f>INDEX('WINBUGS data'!$F$17:$AI$65,(O77*1),MATCH(Q77,'WINBUGS data'!$F$16:$AI$16,0))</f>
        <v>#VALUE!</v>
      </c>
      <c r="T77" s="87" t="str">
        <f>IF(D77="","",INDEX('WINBUGS Data Inconsistency'!$B$4:$C$18,'Inconsistency Data'!S77,1))</f>
        <v/>
      </c>
      <c r="U77" s="87" t="str">
        <f t="shared" si="10"/>
        <v/>
      </c>
      <c r="V77" s="42" t="str">
        <f t="shared" si="13"/>
        <v/>
      </c>
    </row>
    <row r="78" spans="4:22" hidden="1" x14ac:dyDescent="0.25">
      <c r="D78" s="41"/>
      <c r="E78" s="39"/>
      <c r="F78" s="39"/>
      <c r="G78" s="39"/>
      <c r="H78" s="52" t="str">
        <f t="shared" si="11"/>
        <v/>
      </c>
      <c r="I78" s="41"/>
      <c r="J78" s="39"/>
      <c r="K78" s="39"/>
      <c r="L78" s="39"/>
      <c r="M78" s="52" t="str">
        <f t="shared" si="12"/>
        <v/>
      </c>
      <c r="O78" s="26" t="str">
        <f t="shared" si="7"/>
        <v/>
      </c>
      <c r="P78" s="31" t="e">
        <f t="shared" si="8"/>
        <v>#VALUE!</v>
      </c>
      <c r="Q78" s="39" t="e">
        <f t="shared" si="9"/>
        <v>#VALUE!</v>
      </c>
      <c r="R78" s="39" t="str">
        <f>IF(D78="","",INDEX('WINBUGS data'!$F$17:$AI$65,'Inconsistency Data'!O78,2))</f>
        <v/>
      </c>
      <c r="S78" s="116" t="e">
        <f>INDEX('WINBUGS data'!$F$17:$AI$65,(O78*1),MATCH(Q78,'WINBUGS data'!$F$16:$AI$16,0))</f>
        <v>#VALUE!</v>
      </c>
      <c r="T78" s="87" t="str">
        <f>IF(D78="","",INDEX('WINBUGS Data Inconsistency'!$B$4:$C$18,'Inconsistency Data'!S78,1))</f>
        <v/>
      </c>
      <c r="U78" s="87" t="str">
        <f t="shared" si="10"/>
        <v/>
      </c>
      <c r="V78" s="42" t="str">
        <f t="shared" si="13"/>
        <v/>
      </c>
    </row>
    <row r="79" spans="4:22" hidden="1" x14ac:dyDescent="0.25">
      <c r="D79" s="41"/>
      <c r="E79" s="39"/>
      <c r="F79" s="39"/>
      <c r="G79" s="39"/>
      <c r="H79" s="52" t="str">
        <f t="shared" si="11"/>
        <v/>
      </c>
      <c r="I79" s="41"/>
      <c r="J79" s="39"/>
      <c r="K79" s="39"/>
      <c r="L79" s="39"/>
      <c r="M79" s="52" t="str">
        <f t="shared" si="12"/>
        <v/>
      </c>
      <c r="O79" s="26" t="str">
        <f t="shared" si="7"/>
        <v/>
      </c>
      <c r="P79" s="31" t="e">
        <f t="shared" si="8"/>
        <v>#VALUE!</v>
      </c>
      <c r="Q79" s="39" t="e">
        <f t="shared" si="9"/>
        <v>#VALUE!</v>
      </c>
      <c r="R79" s="39" t="str">
        <f>IF(D79="","",INDEX('WINBUGS data'!$F$17:$AI$65,'Inconsistency Data'!O79,2))</f>
        <v/>
      </c>
      <c r="S79" s="116" t="e">
        <f>INDEX('WINBUGS data'!$F$17:$AI$65,(O79*1),MATCH(Q79,'WINBUGS data'!$F$16:$AI$16,0))</f>
        <v>#VALUE!</v>
      </c>
      <c r="T79" s="87" t="str">
        <f>IF(D79="","",INDEX('WINBUGS Data Inconsistency'!$B$4:$C$18,'Inconsistency Data'!S79,1))</f>
        <v/>
      </c>
      <c r="U79" s="87" t="str">
        <f t="shared" si="10"/>
        <v/>
      </c>
      <c r="V79" s="42" t="str">
        <f t="shared" si="13"/>
        <v/>
      </c>
    </row>
    <row r="80" spans="4:22" hidden="1" x14ac:dyDescent="0.25">
      <c r="D80" s="41"/>
      <c r="E80" s="39"/>
      <c r="F80" s="39"/>
      <c r="G80" s="39"/>
      <c r="H80" s="52" t="str">
        <f t="shared" si="11"/>
        <v/>
      </c>
      <c r="I80" s="41"/>
      <c r="J80" s="39"/>
      <c r="K80" s="39"/>
      <c r="L80" s="39"/>
      <c r="M80" s="52" t="str">
        <f t="shared" si="12"/>
        <v/>
      </c>
      <c r="O80" s="26" t="str">
        <f t="shared" si="7"/>
        <v/>
      </c>
      <c r="P80" s="31" t="e">
        <f t="shared" si="8"/>
        <v>#VALUE!</v>
      </c>
      <c r="Q80" s="39" t="e">
        <f t="shared" si="9"/>
        <v>#VALUE!</v>
      </c>
      <c r="R80" s="39" t="str">
        <f>IF(D80="","",INDEX('WINBUGS data'!$F$17:$AI$65,'Inconsistency Data'!O80,2))</f>
        <v/>
      </c>
      <c r="S80" s="116" t="e">
        <f>INDEX('WINBUGS data'!$F$17:$AI$65,(O80*1),MATCH(Q80,'WINBUGS data'!$F$16:$AI$16,0))</f>
        <v>#VALUE!</v>
      </c>
      <c r="T80" s="87" t="str">
        <f>IF(D80="","",INDEX('WINBUGS Data Inconsistency'!$B$4:$C$18,'Inconsistency Data'!S80,1))</f>
        <v/>
      </c>
      <c r="U80" s="87" t="str">
        <f t="shared" si="10"/>
        <v/>
      </c>
      <c r="V80" s="42" t="str">
        <f t="shared" si="13"/>
        <v/>
      </c>
    </row>
    <row r="81" spans="4:22" hidden="1" x14ac:dyDescent="0.25">
      <c r="D81" s="41"/>
      <c r="E81" s="39"/>
      <c r="F81" s="39"/>
      <c r="G81" s="39"/>
      <c r="H81" s="52" t="str">
        <f t="shared" si="11"/>
        <v/>
      </c>
      <c r="I81" s="41"/>
      <c r="J81" s="39"/>
      <c r="K81" s="39"/>
      <c r="L81" s="39"/>
      <c r="M81" s="52" t="str">
        <f t="shared" si="12"/>
        <v/>
      </c>
      <c r="O81" s="26" t="str">
        <f t="shared" si="7"/>
        <v/>
      </c>
      <c r="P81" s="31" t="e">
        <f t="shared" si="8"/>
        <v>#VALUE!</v>
      </c>
      <c r="Q81" s="39" t="e">
        <f t="shared" si="9"/>
        <v>#VALUE!</v>
      </c>
      <c r="R81" s="39" t="str">
        <f>IF(D81="","",INDEX('WINBUGS data'!$F$17:$AI$65,'Inconsistency Data'!O81,2))</f>
        <v/>
      </c>
      <c r="S81" s="116" t="e">
        <f>INDEX('WINBUGS data'!$F$17:$AI$65,(O81*1),MATCH(Q81,'WINBUGS data'!$F$16:$AI$16,0))</f>
        <v>#VALUE!</v>
      </c>
      <c r="T81" s="87" t="str">
        <f>IF(D81="","",INDEX('WINBUGS Data Inconsistency'!$B$4:$C$18,'Inconsistency Data'!S81,1))</f>
        <v/>
      </c>
      <c r="U81" s="87" t="str">
        <f t="shared" si="10"/>
        <v/>
      </c>
      <c r="V81" s="42" t="str">
        <f t="shared" si="13"/>
        <v/>
      </c>
    </row>
    <row r="82" spans="4:22" hidden="1" x14ac:dyDescent="0.25">
      <c r="D82" s="41"/>
      <c r="E82" s="39"/>
      <c r="F82" s="39"/>
      <c r="G82" s="39"/>
      <c r="H82" s="52" t="str">
        <f t="shared" si="11"/>
        <v/>
      </c>
      <c r="I82" s="41"/>
      <c r="J82" s="39"/>
      <c r="K82" s="39"/>
      <c r="L82" s="39"/>
      <c r="M82" s="52" t="str">
        <f t="shared" si="12"/>
        <v/>
      </c>
      <c r="O82" s="26" t="str">
        <f t="shared" si="7"/>
        <v/>
      </c>
      <c r="P82" s="31" t="e">
        <f t="shared" si="8"/>
        <v>#VALUE!</v>
      </c>
      <c r="Q82" s="39" t="e">
        <f t="shared" si="9"/>
        <v>#VALUE!</v>
      </c>
      <c r="R82" s="39" t="str">
        <f>IF(D82="","",INDEX('WINBUGS data'!$F$17:$AI$65,'Inconsistency Data'!O82,2))</f>
        <v/>
      </c>
      <c r="S82" s="116" t="e">
        <f>INDEX('WINBUGS data'!$F$17:$AI$65,(O82*1),MATCH(Q82,'WINBUGS data'!$F$16:$AI$16,0))</f>
        <v>#VALUE!</v>
      </c>
      <c r="T82" s="87" t="str">
        <f>IF(D82="","",INDEX('WINBUGS Data Inconsistency'!$B$4:$C$18,'Inconsistency Data'!S82,1))</f>
        <v/>
      </c>
      <c r="U82" s="87" t="str">
        <f t="shared" si="10"/>
        <v/>
      </c>
      <c r="V82" s="42" t="str">
        <f t="shared" si="13"/>
        <v/>
      </c>
    </row>
    <row r="83" spans="4:22" hidden="1" x14ac:dyDescent="0.25">
      <c r="D83" s="41"/>
      <c r="E83" s="39"/>
      <c r="F83" s="39"/>
      <c r="G83" s="39"/>
      <c r="H83" s="52" t="str">
        <f t="shared" si="11"/>
        <v/>
      </c>
      <c r="I83" s="41"/>
      <c r="J83" s="39"/>
      <c r="K83" s="39"/>
      <c r="L83" s="39"/>
      <c r="M83" s="52" t="str">
        <f t="shared" si="12"/>
        <v/>
      </c>
      <c r="O83" s="26" t="str">
        <f t="shared" si="7"/>
        <v/>
      </c>
      <c r="P83" s="31" t="e">
        <f t="shared" si="8"/>
        <v>#VALUE!</v>
      </c>
      <c r="Q83" s="39" t="e">
        <f t="shared" si="9"/>
        <v>#VALUE!</v>
      </c>
      <c r="R83" s="39" t="str">
        <f>IF(D83="","",INDEX('WINBUGS data'!$F$17:$AI$65,'Inconsistency Data'!O83,2))</f>
        <v/>
      </c>
      <c r="S83" s="116" t="e">
        <f>INDEX('WINBUGS data'!$F$17:$AI$65,(O83*1),MATCH(Q83,'WINBUGS data'!$F$16:$AI$16,0))</f>
        <v>#VALUE!</v>
      </c>
      <c r="T83" s="87" t="str">
        <f>IF(D83="","",INDEX('WINBUGS Data Inconsistency'!$B$4:$C$18,'Inconsistency Data'!S83,1))</f>
        <v/>
      </c>
      <c r="U83" s="87" t="str">
        <f t="shared" si="10"/>
        <v/>
      </c>
      <c r="V83" s="42" t="str">
        <f t="shared" si="13"/>
        <v/>
      </c>
    </row>
    <row r="84" spans="4:22" hidden="1" x14ac:dyDescent="0.25">
      <c r="D84" s="41"/>
      <c r="E84" s="39"/>
      <c r="F84" s="39"/>
      <c r="G84" s="39"/>
      <c r="H84" s="52" t="str">
        <f t="shared" si="11"/>
        <v/>
      </c>
      <c r="I84" s="41"/>
      <c r="J84" s="39"/>
      <c r="K84" s="39"/>
      <c r="L84" s="39"/>
      <c r="M84" s="52" t="str">
        <f t="shared" si="12"/>
        <v/>
      </c>
      <c r="O84" s="26" t="str">
        <f t="shared" si="7"/>
        <v/>
      </c>
      <c r="P84" s="31" t="e">
        <f t="shared" si="8"/>
        <v>#VALUE!</v>
      </c>
      <c r="Q84" s="39" t="e">
        <f t="shared" si="9"/>
        <v>#VALUE!</v>
      </c>
      <c r="R84" s="39" t="str">
        <f>IF(D84="","",INDEX('WINBUGS data'!$F$17:$AI$65,'Inconsistency Data'!O84,2))</f>
        <v/>
      </c>
      <c r="S84" s="116" t="e">
        <f>INDEX('WINBUGS data'!$F$17:$AI$65,(O84*1),MATCH(Q84,'WINBUGS data'!$F$16:$AI$16,0))</f>
        <v>#VALUE!</v>
      </c>
      <c r="T84" s="87" t="str">
        <f>IF(D84="","",INDEX('WINBUGS Data Inconsistency'!$B$4:$C$18,'Inconsistency Data'!S84,1))</f>
        <v/>
      </c>
      <c r="U84" s="87" t="str">
        <f t="shared" si="10"/>
        <v/>
      </c>
      <c r="V84" s="42" t="str">
        <f t="shared" si="13"/>
        <v/>
      </c>
    </row>
    <row r="85" spans="4:22" hidden="1" x14ac:dyDescent="0.25">
      <c r="D85" s="41"/>
      <c r="E85" s="39"/>
      <c r="F85" s="39"/>
      <c r="G85" s="39"/>
      <c r="H85" s="52" t="str">
        <f t="shared" si="11"/>
        <v/>
      </c>
      <c r="I85" s="41"/>
      <c r="J85" s="39"/>
      <c r="K85" s="39"/>
      <c r="L85" s="39"/>
      <c r="M85" s="52" t="str">
        <f t="shared" si="12"/>
        <v/>
      </c>
      <c r="O85" s="26" t="str">
        <f t="shared" si="7"/>
        <v/>
      </c>
      <c r="P85" s="31" t="e">
        <f t="shared" si="8"/>
        <v>#VALUE!</v>
      </c>
      <c r="Q85" s="39" t="e">
        <f t="shared" si="9"/>
        <v>#VALUE!</v>
      </c>
      <c r="R85" s="39" t="str">
        <f>IF(D85="","",INDEX('WINBUGS data'!$F$17:$AI$65,'Inconsistency Data'!O85,2))</f>
        <v/>
      </c>
      <c r="S85" s="116" t="e">
        <f>INDEX('WINBUGS data'!$F$17:$AI$65,(O85*1),MATCH(Q85,'WINBUGS data'!$F$16:$AI$16,0))</f>
        <v>#VALUE!</v>
      </c>
      <c r="T85" s="87" t="str">
        <f>IF(D85="","",INDEX('WINBUGS Data Inconsistency'!$B$4:$C$18,'Inconsistency Data'!S85,1))</f>
        <v/>
      </c>
      <c r="U85" s="87" t="str">
        <f t="shared" si="10"/>
        <v/>
      </c>
      <c r="V85" s="42" t="str">
        <f t="shared" si="13"/>
        <v/>
      </c>
    </row>
    <row r="86" spans="4:22" hidden="1" x14ac:dyDescent="0.25">
      <c r="D86" s="41"/>
      <c r="E86" s="39"/>
      <c r="F86" s="39"/>
      <c r="G86" s="39"/>
      <c r="H86" s="52" t="str">
        <f t="shared" si="11"/>
        <v/>
      </c>
      <c r="I86" s="41"/>
      <c r="J86" s="39"/>
      <c r="K86" s="39"/>
      <c r="L86" s="39"/>
      <c r="M86" s="52" t="str">
        <f t="shared" si="12"/>
        <v/>
      </c>
      <c r="O86" s="26" t="str">
        <f t="shared" si="7"/>
        <v/>
      </c>
      <c r="P86" s="31" t="e">
        <f t="shared" si="8"/>
        <v>#VALUE!</v>
      </c>
      <c r="Q86" s="39" t="e">
        <f t="shared" si="9"/>
        <v>#VALUE!</v>
      </c>
      <c r="R86" s="39" t="str">
        <f>IF(D86="","",INDEX('WINBUGS data'!$F$17:$AI$65,'Inconsistency Data'!O86,2))</f>
        <v/>
      </c>
      <c r="S86" s="116" t="e">
        <f>INDEX('WINBUGS data'!$F$17:$AI$65,(O86*1),MATCH(Q86,'WINBUGS data'!$F$16:$AI$16,0))</f>
        <v>#VALUE!</v>
      </c>
      <c r="T86" s="87" t="str">
        <f>IF(D86="","",INDEX('WINBUGS Data Inconsistency'!$B$4:$C$18,'Inconsistency Data'!S86,1))</f>
        <v/>
      </c>
      <c r="U86" s="87" t="str">
        <f t="shared" si="10"/>
        <v/>
      </c>
      <c r="V86" s="42" t="str">
        <f t="shared" si="13"/>
        <v/>
      </c>
    </row>
    <row r="87" spans="4:22" hidden="1" x14ac:dyDescent="0.25">
      <c r="D87" s="41"/>
      <c r="E87" s="39"/>
      <c r="F87" s="39"/>
      <c r="G87" s="39"/>
      <c r="H87" s="52" t="str">
        <f t="shared" si="11"/>
        <v/>
      </c>
      <c r="I87" s="41"/>
      <c r="J87" s="39"/>
      <c r="K87" s="39"/>
      <c r="L87" s="39"/>
      <c r="M87" s="52" t="str">
        <f t="shared" si="12"/>
        <v/>
      </c>
      <c r="O87" s="26" t="str">
        <f t="shared" si="7"/>
        <v/>
      </c>
      <c r="P87" s="31" t="e">
        <f t="shared" si="8"/>
        <v>#VALUE!</v>
      </c>
      <c r="Q87" s="39" t="e">
        <f t="shared" si="9"/>
        <v>#VALUE!</v>
      </c>
      <c r="R87" s="39" t="str">
        <f>IF(D87="","",INDEX('WINBUGS data'!$F$17:$AI$65,'Inconsistency Data'!O87,2))</f>
        <v/>
      </c>
      <c r="S87" s="116" t="e">
        <f>INDEX('WINBUGS data'!$F$17:$AI$65,(O87*1),MATCH(Q87,'WINBUGS data'!$F$16:$AI$16,0))</f>
        <v>#VALUE!</v>
      </c>
      <c r="T87" s="87" t="str">
        <f>IF(D87="","",INDEX('WINBUGS Data Inconsistency'!$B$4:$C$18,'Inconsistency Data'!S87,1))</f>
        <v/>
      </c>
      <c r="U87" s="87" t="str">
        <f t="shared" si="10"/>
        <v/>
      </c>
      <c r="V87" s="42" t="str">
        <f t="shared" si="13"/>
        <v/>
      </c>
    </row>
    <row r="88" spans="4:22" hidden="1" x14ac:dyDescent="0.25">
      <c r="D88" s="41"/>
      <c r="E88" s="39"/>
      <c r="F88" s="39"/>
      <c r="G88" s="39"/>
      <c r="H88" s="52" t="str">
        <f t="shared" si="11"/>
        <v/>
      </c>
      <c r="I88" s="41"/>
      <c r="J88" s="39"/>
      <c r="K88" s="39"/>
      <c r="L88" s="39"/>
      <c r="M88" s="52" t="str">
        <f t="shared" si="12"/>
        <v/>
      </c>
      <c r="O88" s="26" t="str">
        <f t="shared" si="7"/>
        <v/>
      </c>
      <c r="P88" s="31" t="e">
        <f t="shared" si="8"/>
        <v>#VALUE!</v>
      </c>
      <c r="Q88" s="39" t="e">
        <f t="shared" si="9"/>
        <v>#VALUE!</v>
      </c>
      <c r="R88" s="39" t="str">
        <f>IF(D88="","",INDEX('WINBUGS data'!$F$17:$AI$65,'Inconsistency Data'!O88,2))</f>
        <v/>
      </c>
      <c r="S88" s="116" t="e">
        <f>INDEX('WINBUGS data'!$F$17:$AI$65,(O88*1),MATCH(Q88,'WINBUGS data'!$F$16:$AI$16,0))</f>
        <v>#VALUE!</v>
      </c>
      <c r="T88" s="87" t="str">
        <f>IF(D88="","",INDEX('WINBUGS Data Inconsistency'!$B$4:$C$18,'Inconsistency Data'!S88,1))</f>
        <v/>
      </c>
      <c r="U88" s="87" t="str">
        <f t="shared" si="10"/>
        <v/>
      </c>
      <c r="V88" s="42" t="str">
        <f t="shared" si="13"/>
        <v/>
      </c>
    </row>
    <row r="89" spans="4:22" hidden="1" x14ac:dyDescent="0.25">
      <c r="D89" s="41"/>
      <c r="E89" s="39"/>
      <c r="F89" s="39"/>
      <c r="G89" s="39"/>
      <c r="H89" s="52" t="str">
        <f t="shared" si="11"/>
        <v/>
      </c>
      <c r="I89" s="41"/>
      <c r="J89" s="39"/>
      <c r="K89" s="39"/>
      <c r="L89" s="39"/>
      <c r="M89" s="52" t="str">
        <f t="shared" si="12"/>
        <v/>
      </c>
      <c r="O89" s="26" t="str">
        <f t="shared" si="7"/>
        <v/>
      </c>
      <c r="P89" s="31" t="e">
        <f t="shared" si="8"/>
        <v>#VALUE!</v>
      </c>
      <c r="Q89" s="39" t="e">
        <f t="shared" si="9"/>
        <v>#VALUE!</v>
      </c>
      <c r="R89" s="39" t="str">
        <f>IF(D89="","",INDEX('WINBUGS data'!$F$17:$AI$65,'Inconsistency Data'!O89,2))</f>
        <v/>
      </c>
      <c r="S89" s="116" t="e">
        <f>INDEX('WINBUGS data'!$F$17:$AI$65,(O89*1),MATCH(Q89,'WINBUGS data'!$F$16:$AI$16,0))</f>
        <v>#VALUE!</v>
      </c>
      <c r="T89" s="87" t="str">
        <f>IF(D89="","",INDEX('WINBUGS Data Inconsistency'!$B$4:$C$18,'Inconsistency Data'!S89,1))</f>
        <v/>
      </c>
      <c r="U89" s="87" t="str">
        <f t="shared" si="10"/>
        <v/>
      </c>
      <c r="V89" s="42" t="str">
        <f t="shared" si="13"/>
        <v/>
      </c>
    </row>
    <row r="90" spans="4:22" hidden="1" x14ac:dyDescent="0.25">
      <c r="D90" s="41"/>
      <c r="E90" s="39"/>
      <c r="F90" s="39"/>
      <c r="G90" s="39"/>
      <c r="H90" s="52" t="str">
        <f t="shared" si="11"/>
        <v/>
      </c>
      <c r="I90" s="41"/>
      <c r="J90" s="39"/>
      <c r="K90" s="39"/>
      <c r="L90" s="39"/>
      <c r="M90" s="52" t="str">
        <f t="shared" si="12"/>
        <v/>
      </c>
      <c r="O90" s="26" t="str">
        <f t="shared" si="7"/>
        <v/>
      </c>
      <c r="P90" s="31" t="e">
        <f t="shared" si="8"/>
        <v>#VALUE!</v>
      </c>
      <c r="Q90" s="39" t="e">
        <f t="shared" si="9"/>
        <v>#VALUE!</v>
      </c>
      <c r="R90" s="39" t="str">
        <f>IF(D90="","",INDEX('WINBUGS data'!$F$17:$AI$65,'Inconsistency Data'!O90,2))</f>
        <v/>
      </c>
      <c r="S90" s="116" t="e">
        <f>INDEX('WINBUGS data'!$F$17:$AI$65,(O90*1),MATCH(Q90,'WINBUGS data'!$F$16:$AI$16,0))</f>
        <v>#VALUE!</v>
      </c>
      <c r="T90" s="87" t="str">
        <f>IF(D90="","",INDEX('WINBUGS Data Inconsistency'!$B$4:$C$18,'Inconsistency Data'!S90,1))</f>
        <v/>
      </c>
      <c r="U90" s="87" t="str">
        <f t="shared" si="10"/>
        <v/>
      </c>
      <c r="V90" s="42" t="str">
        <f t="shared" si="13"/>
        <v/>
      </c>
    </row>
    <row r="91" spans="4:22" hidden="1" x14ac:dyDescent="0.25">
      <c r="D91" s="41"/>
      <c r="E91" s="39"/>
      <c r="F91" s="39"/>
      <c r="G91" s="39"/>
      <c r="H91" s="52" t="str">
        <f t="shared" si="11"/>
        <v/>
      </c>
      <c r="I91" s="41"/>
      <c r="J91" s="39"/>
      <c r="K91" s="39"/>
      <c r="L91" s="39"/>
      <c r="M91" s="52" t="str">
        <f t="shared" si="12"/>
        <v/>
      </c>
      <c r="O91" s="26" t="str">
        <f t="shared" si="7"/>
        <v/>
      </c>
      <c r="P91" s="31" t="e">
        <f t="shared" si="8"/>
        <v>#VALUE!</v>
      </c>
      <c r="Q91" s="39" t="e">
        <f t="shared" si="9"/>
        <v>#VALUE!</v>
      </c>
      <c r="R91" s="39" t="str">
        <f>IF(D91="","",INDEX('WINBUGS data'!$F$17:$AI$65,'Inconsistency Data'!O91,2))</f>
        <v/>
      </c>
      <c r="S91" s="116" t="e">
        <f>INDEX('WINBUGS data'!$F$17:$AI$65,(O91*1),MATCH(Q91,'WINBUGS data'!$F$16:$AI$16,0))</f>
        <v>#VALUE!</v>
      </c>
      <c r="T91" s="87" t="str">
        <f>IF(D91="","",INDEX('WINBUGS Data Inconsistency'!$B$4:$C$18,'Inconsistency Data'!S91,1))</f>
        <v/>
      </c>
      <c r="U91" s="87" t="str">
        <f t="shared" si="10"/>
        <v/>
      </c>
      <c r="V91" s="42" t="str">
        <f t="shared" si="13"/>
        <v/>
      </c>
    </row>
    <row r="92" spans="4:22" hidden="1" x14ac:dyDescent="0.25">
      <c r="D92" s="41"/>
      <c r="E92" s="39"/>
      <c r="F92" s="39"/>
      <c r="G92" s="39"/>
      <c r="H92" s="52" t="str">
        <f t="shared" si="11"/>
        <v/>
      </c>
      <c r="I92" s="41"/>
      <c r="J92" s="39"/>
      <c r="K92" s="39"/>
      <c r="L92" s="39"/>
      <c r="M92" s="52" t="str">
        <f t="shared" si="12"/>
        <v/>
      </c>
      <c r="O92" s="26" t="str">
        <f t="shared" si="7"/>
        <v/>
      </c>
      <c r="P92" s="31" t="e">
        <f t="shared" si="8"/>
        <v>#VALUE!</v>
      </c>
      <c r="Q92" s="39" t="e">
        <f t="shared" si="9"/>
        <v>#VALUE!</v>
      </c>
      <c r="R92" s="39" t="str">
        <f>IF(D92="","",INDEX('WINBUGS data'!$F$17:$AI$65,'Inconsistency Data'!O92,2))</f>
        <v/>
      </c>
      <c r="S92" s="116" t="e">
        <f>INDEX('WINBUGS data'!$F$17:$AI$65,(O92*1),MATCH(Q92,'WINBUGS data'!$F$16:$AI$16,0))</f>
        <v>#VALUE!</v>
      </c>
      <c r="T92" s="87" t="str">
        <f>IF(D92="","",INDEX('WINBUGS Data Inconsistency'!$B$4:$C$18,'Inconsistency Data'!S92,1))</f>
        <v/>
      </c>
      <c r="U92" s="87" t="str">
        <f t="shared" si="10"/>
        <v/>
      </c>
      <c r="V92" s="42" t="str">
        <f t="shared" si="13"/>
        <v/>
      </c>
    </row>
    <row r="93" spans="4:22" hidden="1" x14ac:dyDescent="0.25">
      <c r="D93" s="41"/>
      <c r="E93" s="39"/>
      <c r="F93" s="39"/>
      <c r="G93" s="39"/>
      <c r="H93" s="52" t="str">
        <f t="shared" si="11"/>
        <v/>
      </c>
      <c r="I93" s="41"/>
      <c r="J93" s="39"/>
      <c r="K93" s="39"/>
      <c r="L93" s="39"/>
      <c r="M93" s="52" t="str">
        <f t="shared" si="12"/>
        <v/>
      </c>
      <c r="O93" s="26" t="str">
        <f t="shared" si="7"/>
        <v/>
      </c>
      <c r="P93" s="31" t="e">
        <f t="shared" si="8"/>
        <v>#VALUE!</v>
      </c>
      <c r="Q93" s="39" t="e">
        <f t="shared" si="9"/>
        <v>#VALUE!</v>
      </c>
      <c r="R93" s="39" t="str">
        <f>IF(D93="","",INDEX('WINBUGS data'!$F$17:$AI$65,'Inconsistency Data'!O93,2))</f>
        <v/>
      </c>
      <c r="S93" s="116" t="e">
        <f>INDEX('WINBUGS data'!$F$17:$AI$65,(O93*1),MATCH(Q93,'WINBUGS data'!$F$16:$AI$16,0))</f>
        <v>#VALUE!</v>
      </c>
      <c r="T93" s="87" t="str">
        <f>IF(D93="","",INDEX('WINBUGS Data Inconsistency'!$B$4:$C$18,'Inconsistency Data'!S93,1))</f>
        <v/>
      </c>
      <c r="U93" s="87" t="str">
        <f t="shared" si="10"/>
        <v/>
      </c>
      <c r="V93" s="42" t="str">
        <f t="shared" si="13"/>
        <v/>
      </c>
    </row>
    <row r="94" spans="4:22" hidden="1" x14ac:dyDescent="0.25">
      <c r="D94" s="41"/>
      <c r="E94" s="39"/>
      <c r="F94" s="39"/>
      <c r="G94" s="39"/>
      <c r="H94" s="52" t="str">
        <f t="shared" si="11"/>
        <v/>
      </c>
      <c r="I94" s="41"/>
      <c r="J94" s="39"/>
      <c r="K94" s="39"/>
      <c r="L94" s="39"/>
      <c r="M94" s="52" t="str">
        <f t="shared" si="12"/>
        <v/>
      </c>
      <c r="O94" s="26" t="str">
        <f t="shared" si="7"/>
        <v/>
      </c>
      <c r="P94" s="31" t="e">
        <f t="shared" si="8"/>
        <v>#VALUE!</v>
      </c>
      <c r="Q94" s="39" t="e">
        <f t="shared" si="9"/>
        <v>#VALUE!</v>
      </c>
      <c r="R94" s="39" t="str">
        <f>IF(D94="","",INDEX('WINBUGS data'!$F$17:$AI$65,'Inconsistency Data'!O94,2))</f>
        <v/>
      </c>
      <c r="S94" s="116" t="e">
        <f>INDEX('WINBUGS data'!$F$17:$AI$65,(O94*1),MATCH(Q94,'WINBUGS data'!$F$16:$AI$16,0))</f>
        <v>#VALUE!</v>
      </c>
      <c r="T94" s="87" t="str">
        <f>IF(D94="","",INDEX('WINBUGS Data Inconsistency'!$B$4:$C$18,'Inconsistency Data'!S94,1))</f>
        <v/>
      </c>
      <c r="U94" s="87" t="str">
        <f t="shared" si="10"/>
        <v/>
      </c>
      <c r="V94" s="42" t="str">
        <f t="shared" si="13"/>
        <v/>
      </c>
    </row>
    <row r="95" spans="4:22" hidden="1" x14ac:dyDescent="0.25">
      <c r="D95" s="41"/>
      <c r="E95" s="39"/>
      <c r="F95" s="39"/>
      <c r="G95" s="39"/>
      <c r="H95" s="52" t="str">
        <f t="shared" si="11"/>
        <v/>
      </c>
      <c r="I95" s="41"/>
      <c r="J95" s="39"/>
      <c r="K95" s="39"/>
      <c r="L95" s="39"/>
      <c r="M95" s="52" t="str">
        <f t="shared" si="12"/>
        <v/>
      </c>
      <c r="O95" s="26" t="str">
        <f t="shared" si="7"/>
        <v/>
      </c>
      <c r="P95" s="31" t="e">
        <f t="shared" si="8"/>
        <v>#VALUE!</v>
      </c>
      <c r="Q95" s="39" t="e">
        <f t="shared" si="9"/>
        <v>#VALUE!</v>
      </c>
      <c r="R95" s="39" t="str">
        <f>IF(D95="","",INDEX('WINBUGS data'!$F$17:$AI$65,'Inconsistency Data'!O95,2))</f>
        <v/>
      </c>
      <c r="S95" s="116" t="e">
        <f>INDEX('WINBUGS data'!$F$17:$AI$65,(O95*1),MATCH(Q95,'WINBUGS data'!$F$16:$AI$16,0))</f>
        <v>#VALUE!</v>
      </c>
      <c r="T95" s="87" t="str">
        <f>IF(D95="","",INDEX('WINBUGS Data Inconsistency'!$B$4:$C$18,'Inconsistency Data'!S95,1))</f>
        <v/>
      </c>
      <c r="U95" s="87" t="str">
        <f t="shared" si="10"/>
        <v/>
      </c>
      <c r="V95" s="42" t="str">
        <f t="shared" si="13"/>
        <v/>
      </c>
    </row>
    <row r="96" spans="4:22" hidden="1" x14ac:dyDescent="0.25">
      <c r="D96" s="41"/>
      <c r="E96" s="39"/>
      <c r="F96" s="39"/>
      <c r="G96" s="39"/>
      <c r="H96" s="52" t="str">
        <f t="shared" si="11"/>
        <v/>
      </c>
      <c r="I96" s="41"/>
      <c r="J96" s="39"/>
      <c r="K96" s="39"/>
      <c r="L96" s="39"/>
      <c r="M96" s="52" t="str">
        <f t="shared" si="12"/>
        <v/>
      </c>
      <c r="O96" s="26" t="str">
        <f t="shared" si="7"/>
        <v/>
      </c>
      <c r="P96" s="31" t="e">
        <f t="shared" si="8"/>
        <v>#VALUE!</v>
      </c>
      <c r="Q96" s="39" t="e">
        <f t="shared" si="9"/>
        <v>#VALUE!</v>
      </c>
      <c r="R96" s="39" t="str">
        <f>IF(D96="","",INDEX('WINBUGS data'!$F$17:$AI$65,'Inconsistency Data'!O96,2))</f>
        <v/>
      </c>
      <c r="S96" s="116" t="e">
        <f>INDEX('WINBUGS data'!$F$17:$AI$65,(O96*1),MATCH(Q96,'WINBUGS data'!$F$16:$AI$16,0))</f>
        <v>#VALUE!</v>
      </c>
      <c r="T96" s="87" t="str">
        <f>IF(D96="","",INDEX('WINBUGS Data Inconsistency'!$B$4:$C$18,'Inconsistency Data'!S96,1))</f>
        <v/>
      </c>
      <c r="U96" s="87" t="str">
        <f t="shared" si="10"/>
        <v/>
      </c>
      <c r="V96" s="42" t="str">
        <f t="shared" si="13"/>
        <v/>
      </c>
    </row>
    <row r="97" spans="4:22" hidden="1" x14ac:dyDescent="0.25">
      <c r="D97" s="41"/>
      <c r="E97" s="39"/>
      <c r="F97" s="39"/>
      <c r="G97" s="39"/>
      <c r="H97" s="52" t="str">
        <f t="shared" si="11"/>
        <v/>
      </c>
      <c r="I97" s="41"/>
      <c r="J97" s="39"/>
      <c r="K97" s="39"/>
      <c r="L97" s="39"/>
      <c r="M97" s="52" t="str">
        <f t="shared" si="12"/>
        <v/>
      </c>
      <c r="O97" s="26" t="str">
        <f t="shared" si="7"/>
        <v/>
      </c>
      <c r="P97" s="31" t="e">
        <f t="shared" si="8"/>
        <v>#VALUE!</v>
      </c>
      <c r="Q97" s="39" t="e">
        <f t="shared" si="9"/>
        <v>#VALUE!</v>
      </c>
      <c r="R97" s="39" t="str">
        <f>IF(D97="","",INDEX('WINBUGS data'!$F$17:$AI$65,'Inconsistency Data'!O97,2))</f>
        <v/>
      </c>
      <c r="S97" s="116" t="e">
        <f>INDEX('WINBUGS data'!$F$17:$AI$65,(O97*1),MATCH(Q97,'WINBUGS data'!$F$16:$AI$16,0))</f>
        <v>#VALUE!</v>
      </c>
      <c r="T97" s="87" t="str">
        <f>IF(D97="","",INDEX('WINBUGS Data Inconsistency'!$B$4:$C$18,'Inconsistency Data'!S97,1))</f>
        <v/>
      </c>
      <c r="U97" s="87" t="str">
        <f t="shared" si="10"/>
        <v/>
      </c>
      <c r="V97" s="42" t="str">
        <f t="shared" si="13"/>
        <v/>
      </c>
    </row>
    <row r="98" spans="4:22" hidden="1" x14ac:dyDescent="0.25">
      <c r="D98" s="41"/>
      <c r="E98" s="39"/>
      <c r="F98" s="39"/>
      <c r="G98" s="39"/>
      <c r="H98" s="52" t="str">
        <f t="shared" si="11"/>
        <v/>
      </c>
      <c r="I98" s="41"/>
      <c r="J98" s="39"/>
      <c r="K98" s="39"/>
      <c r="L98" s="39"/>
      <c r="M98" s="52" t="str">
        <f t="shared" si="12"/>
        <v/>
      </c>
      <c r="O98" s="26" t="str">
        <f t="shared" si="7"/>
        <v/>
      </c>
      <c r="P98" s="31" t="e">
        <f t="shared" si="8"/>
        <v>#VALUE!</v>
      </c>
      <c r="Q98" s="39" t="e">
        <f t="shared" si="9"/>
        <v>#VALUE!</v>
      </c>
      <c r="R98" s="39" t="str">
        <f>IF(D98="","",INDEX('WINBUGS data'!$F$17:$AI$65,'Inconsistency Data'!O98,2))</f>
        <v/>
      </c>
      <c r="S98" s="116" t="e">
        <f>INDEX('WINBUGS data'!$F$17:$AI$65,(O98*1),MATCH(Q98,'WINBUGS data'!$F$16:$AI$16,0))</f>
        <v>#VALUE!</v>
      </c>
      <c r="T98" s="87" t="str">
        <f>IF(D98="","",INDEX('WINBUGS Data Inconsistency'!$B$4:$C$18,'Inconsistency Data'!S98,1))</f>
        <v/>
      </c>
      <c r="U98" s="87" t="str">
        <f t="shared" si="10"/>
        <v/>
      </c>
      <c r="V98" s="42" t="str">
        <f t="shared" si="13"/>
        <v/>
      </c>
    </row>
    <row r="99" spans="4:22" hidden="1" x14ac:dyDescent="0.25">
      <c r="D99" s="41"/>
      <c r="E99" s="39"/>
      <c r="F99" s="39"/>
      <c r="G99" s="39"/>
      <c r="H99" s="52" t="str">
        <f t="shared" si="11"/>
        <v/>
      </c>
      <c r="I99" s="41"/>
      <c r="J99" s="39"/>
      <c r="K99" s="39"/>
      <c r="L99" s="39"/>
      <c r="M99" s="52" t="str">
        <f t="shared" si="12"/>
        <v/>
      </c>
      <c r="O99" s="26" t="str">
        <f t="shared" si="7"/>
        <v/>
      </c>
      <c r="P99" s="31" t="e">
        <f t="shared" si="8"/>
        <v>#VALUE!</v>
      </c>
      <c r="Q99" s="39" t="e">
        <f t="shared" si="9"/>
        <v>#VALUE!</v>
      </c>
      <c r="R99" s="39" t="str">
        <f>IF(D99="","",INDEX('WINBUGS data'!$F$17:$AI$65,'Inconsistency Data'!O99,2))</f>
        <v/>
      </c>
      <c r="S99" s="116" t="e">
        <f>INDEX('WINBUGS data'!$F$17:$AI$65,(O99*1),MATCH(Q99,'WINBUGS data'!$F$16:$AI$16,0))</f>
        <v>#VALUE!</v>
      </c>
      <c r="T99" s="87" t="str">
        <f>IF(D99="","",INDEX('WINBUGS Data Inconsistency'!$B$4:$C$18,'Inconsistency Data'!S99,1))</f>
        <v/>
      </c>
      <c r="U99" s="87" t="str">
        <f t="shared" si="10"/>
        <v/>
      </c>
      <c r="V99" s="42" t="str">
        <f t="shared" si="13"/>
        <v/>
      </c>
    </row>
    <row r="100" spans="4:22" hidden="1" x14ac:dyDescent="0.25">
      <c r="D100" s="41"/>
      <c r="E100" s="39"/>
      <c r="F100" s="39"/>
      <c r="G100" s="39"/>
      <c r="H100" s="52" t="str">
        <f t="shared" si="11"/>
        <v/>
      </c>
      <c r="I100" s="41"/>
      <c r="J100" s="39"/>
      <c r="K100" s="39"/>
      <c r="L100" s="39"/>
      <c r="M100" s="52" t="str">
        <f t="shared" si="12"/>
        <v/>
      </c>
      <c r="O100" s="26" t="str">
        <f t="shared" si="7"/>
        <v/>
      </c>
      <c r="P100" s="31" t="e">
        <f t="shared" si="8"/>
        <v>#VALUE!</v>
      </c>
      <c r="Q100" s="39" t="e">
        <f t="shared" si="9"/>
        <v>#VALUE!</v>
      </c>
      <c r="R100" s="39" t="str">
        <f>IF(D100="","",INDEX('WINBUGS data'!$F$17:$AI$65,'Inconsistency Data'!O100,2))</f>
        <v/>
      </c>
      <c r="S100" s="116" t="e">
        <f>INDEX('WINBUGS data'!$F$17:$AI$65,(O100*1),MATCH(Q100,'WINBUGS data'!$F$16:$AI$16,0))</f>
        <v>#VALUE!</v>
      </c>
      <c r="T100" s="87" t="str">
        <f>IF(D100="","",INDEX('WINBUGS Data Inconsistency'!$B$4:$C$18,'Inconsistency Data'!S100,1))</f>
        <v/>
      </c>
      <c r="U100" s="87" t="str">
        <f t="shared" si="10"/>
        <v/>
      </c>
      <c r="V100" s="42" t="str">
        <f t="shared" si="13"/>
        <v/>
      </c>
    </row>
    <row r="101" spans="4:22" hidden="1" x14ac:dyDescent="0.25">
      <c r="D101" s="41"/>
      <c r="E101" s="39"/>
      <c r="F101" s="39"/>
      <c r="G101" s="39"/>
      <c r="H101" s="52" t="str">
        <f t="shared" si="11"/>
        <v/>
      </c>
      <c r="I101" s="41"/>
      <c r="J101" s="39"/>
      <c r="K101" s="39"/>
      <c r="L101" s="39"/>
      <c r="M101" s="52" t="str">
        <f t="shared" si="12"/>
        <v/>
      </c>
      <c r="O101" s="26" t="str">
        <f t="shared" si="7"/>
        <v/>
      </c>
      <c r="P101" s="31" t="e">
        <f t="shared" si="8"/>
        <v>#VALUE!</v>
      </c>
      <c r="Q101" s="39" t="e">
        <f t="shared" si="9"/>
        <v>#VALUE!</v>
      </c>
      <c r="R101" s="39" t="str">
        <f>IF(D101="","",INDEX('WINBUGS data'!$F$17:$AI$65,'Inconsistency Data'!O101,2))</f>
        <v/>
      </c>
      <c r="S101" s="116" t="e">
        <f>INDEX('WINBUGS data'!$F$17:$AI$65,(O101*1),MATCH(Q101,'WINBUGS data'!$F$16:$AI$16,0))</f>
        <v>#VALUE!</v>
      </c>
      <c r="T101" s="87" t="str">
        <f>IF(D101="","",INDEX('WINBUGS Data Inconsistency'!$B$4:$C$18,'Inconsistency Data'!S101,1))</f>
        <v/>
      </c>
      <c r="U101" s="87" t="str">
        <f t="shared" si="10"/>
        <v/>
      </c>
      <c r="V101" s="42" t="str">
        <f t="shared" si="13"/>
        <v/>
      </c>
    </row>
    <row r="102" spans="4:22" hidden="1" x14ac:dyDescent="0.25">
      <c r="D102" s="41"/>
      <c r="E102" s="39"/>
      <c r="F102" s="39"/>
      <c r="G102" s="39"/>
      <c r="H102" s="52" t="str">
        <f t="shared" si="11"/>
        <v/>
      </c>
      <c r="I102" s="41"/>
      <c r="J102" s="39"/>
      <c r="K102" s="39"/>
      <c r="L102" s="39"/>
      <c r="M102" s="52" t="str">
        <f t="shared" si="12"/>
        <v/>
      </c>
      <c r="O102" s="26" t="str">
        <f t="shared" si="7"/>
        <v/>
      </c>
      <c r="P102" s="31" t="e">
        <f t="shared" si="8"/>
        <v>#VALUE!</v>
      </c>
      <c r="Q102" s="39" t="e">
        <f t="shared" si="9"/>
        <v>#VALUE!</v>
      </c>
      <c r="R102" s="39" t="str">
        <f>IF(D102="","",INDEX('WINBUGS data'!$F$17:$AI$65,'Inconsistency Data'!O102,2))</f>
        <v/>
      </c>
      <c r="S102" s="116" t="e">
        <f>INDEX('WINBUGS data'!$F$17:$AI$65,(O102*1),MATCH(Q102,'WINBUGS data'!$F$16:$AI$16,0))</f>
        <v>#VALUE!</v>
      </c>
      <c r="T102" s="87" t="str">
        <f>IF(D102="","",INDEX('WINBUGS Data Inconsistency'!$B$4:$C$18,'Inconsistency Data'!S102,1))</f>
        <v/>
      </c>
      <c r="U102" s="87" t="str">
        <f t="shared" si="10"/>
        <v/>
      </c>
      <c r="V102" s="42" t="str">
        <f t="shared" si="13"/>
        <v/>
      </c>
    </row>
    <row r="103" spans="4:22" hidden="1" x14ac:dyDescent="0.25">
      <c r="D103" s="41"/>
      <c r="E103" s="39"/>
      <c r="F103" s="39"/>
      <c r="G103" s="39"/>
      <c r="H103" s="52" t="str">
        <f t="shared" si="11"/>
        <v/>
      </c>
      <c r="I103" s="41"/>
      <c r="J103" s="39"/>
      <c r="K103" s="39"/>
      <c r="L103" s="39"/>
      <c r="M103" s="52" t="str">
        <f t="shared" si="12"/>
        <v/>
      </c>
      <c r="O103" s="26" t="str">
        <f t="shared" si="7"/>
        <v/>
      </c>
      <c r="P103" s="31" t="e">
        <f t="shared" si="8"/>
        <v>#VALUE!</v>
      </c>
      <c r="Q103" s="39" t="e">
        <f t="shared" si="9"/>
        <v>#VALUE!</v>
      </c>
      <c r="R103" s="39" t="str">
        <f>IF(D103="","",INDEX('WINBUGS data'!$F$17:$AI$65,'Inconsistency Data'!O103,2))</f>
        <v/>
      </c>
      <c r="S103" s="116" t="e">
        <f>INDEX('WINBUGS data'!$F$17:$AI$65,(O103*1),MATCH(Q103,'WINBUGS data'!$F$16:$AI$16,0))</f>
        <v>#VALUE!</v>
      </c>
      <c r="T103" s="87" t="str">
        <f>IF(D103="","",INDEX('WINBUGS Data Inconsistency'!$B$4:$C$18,'Inconsistency Data'!S103,1))</f>
        <v/>
      </c>
      <c r="U103" s="87" t="str">
        <f t="shared" si="10"/>
        <v/>
      </c>
      <c r="V103" s="42" t="str">
        <f t="shared" si="13"/>
        <v/>
      </c>
    </row>
    <row r="104" spans="4:22" hidden="1" x14ac:dyDescent="0.25">
      <c r="D104" s="41"/>
      <c r="E104" s="39"/>
      <c r="F104" s="39"/>
      <c r="G104" s="39"/>
      <c r="H104" s="52" t="str">
        <f t="shared" si="11"/>
        <v/>
      </c>
      <c r="I104" s="41"/>
      <c r="J104" s="39"/>
      <c r="K104" s="39"/>
      <c r="L104" s="39"/>
      <c r="M104" s="52" t="str">
        <f t="shared" si="12"/>
        <v/>
      </c>
      <c r="O104" s="26" t="str">
        <f t="shared" si="7"/>
        <v/>
      </c>
      <c r="P104" s="31" t="e">
        <f t="shared" si="8"/>
        <v>#VALUE!</v>
      </c>
      <c r="Q104" s="39" t="e">
        <f t="shared" si="9"/>
        <v>#VALUE!</v>
      </c>
      <c r="R104" s="39" t="str">
        <f>IF(D104="","",INDEX('WINBUGS data'!$F$17:$AI$65,'Inconsistency Data'!O104,2))</f>
        <v/>
      </c>
      <c r="S104" s="116" t="e">
        <f>INDEX('WINBUGS data'!$F$17:$AI$65,(O104*1),MATCH(Q104,'WINBUGS data'!$F$16:$AI$16,0))</f>
        <v>#VALUE!</v>
      </c>
      <c r="T104" s="87" t="str">
        <f>IF(D104="","",INDEX('WINBUGS Data Inconsistency'!$B$4:$C$18,'Inconsistency Data'!S104,1))</f>
        <v/>
      </c>
      <c r="U104" s="87" t="str">
        <f t="shared" si="10"/>
        <v/>
      </c>
      <c r="V104" s="42" t="str">
        <f t="shared" si="13"/>
        <v/>
      </c>
    </row>
    <row r="105" spans="4:22" ht="15.75" hidden="1" thickBot="1" x14ac:dyDescent="0.3">
      <c r="D105" s="43"/>
      <c r="E105" s="44"/>
      <c r="F105" s="44"/>
      <c r="G105" s="44"/>
      <c r="H105" s="53" t="str">
        <f t="shared" si="11"/>
        <v/>
      </c>
      <c r="I105" s="43"/>
      <c r="J105" s="44"/>
      <c r="K105" s="44"/>
      <c r="L105" s="44"/>
      <c r="M105" s="53" t="str">
        <f t="shared" si="12"/>
        <v/>
      </c>
      <c r="O105" s="114" t="str">
        <f t="shared" si="7"/>
        <v/>
      </c>
      <c r="P105" s="115" t="e">
        <f t="shared" si="8"/>
        <v>#VALUE!</v>
      </c>
      <c r="Q105" s="44" t="e">
        <f t="shared" si="9"/>
        <v>#VALUE!</v>
      </c>
      <c r="R105" s="44" t="str">
        <f>IF(D105="","",INDEX('WINBUGS data'!$F$17:$AI$65,'Inconsistency Data'!O105,2))</f>
        <v/>
      </c>
      <c r="S105" s="85" t="e">
        <f>INDEX('WINBUGS data'!$F$17:$AI$65,(O105*1),MATCH(Q105,'WINBUGS data'!$F$16:$AI$16,0))</f>
        <v>#VALUE!</v>
      </c>
      <c r="T105" s="88" t="str">
        <f>IF(D105="","",INDEX('WINBUGS Data Inconsistency'!$B$4:$C$18,'Inconsistency Data'!S105,1))</f>
        <v/>
      </c>
      <c r="U105" s="88" t="str">
        <f t="shared" si="10"/>
        <v/>
      </c>
      <c r="V105" s="45" t="str">
        <f t="shared" si="13"/>
        <v/>
      </c>
    </row>
  </sheetData>
  <mergeCells count="9">
    <mergeCell ref="AB5:AC5"/>
    <mergeCell ref="AD5:AE5"/>
    <mergeCell ref="D4:H4"/>
    <mergeCell ref="I4:M4"/>
    <mergeCell ref="O4:V4"/>
    <mergeCell ref="D5:E5"/>
    <mergeCell ref="F5:G5"/>
    <mergeCell ref="I5:J5"/>
    <mergeCell ref="K5:L5"/>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rgb="FFC00000"/>
  </sheetPr>
  <dimension ref="D2:V150"/>
  <sheetViews>
    <sheetView showGridLines="0" topLeftCell="A4" workbookViewId="0">
      <selection activeCell="J5" sqref="J5:J32"/>
    </sheetView>
  </sheetViews>
  <sheetFormatPr defaultRowHeight="15" x14ac:dyDescent="0.25"/>
  <cols>
    <col min="1" max="1" width="1.5703125" customWidth="1"/>
    <col min="2" max="2" width="1.28515625" customWidth="1"/>
    <col min="3" max="3" width="3.140625" customWidth="1"/>
    <col min="4" max="4" width="7.85546875" style="16" customWidth="1"/>
    <col min="5" max="5" width="57.85546875" customWidth="1"/>
    <col min="6" max="6" width="12" customWidth="1"/>
    <col min="7" max="7" width="14.42578125" customWidth="1"/>
    <col min="8" max="8" width="5.85546875" style="16" customWidth="1"/>
    <col min="9" max="9" width="8.85546875" style="19" customWidth="1"/>
    <col min="10" max="10" width="54.42578125" customWidth="1"/>
    <col min="11" max="11" width="11.5703125" customWidth="1"/>
    <col min="12" max="12" width="14.28515625" customWidth="1"/>
    <col min="13" max="13" width="3.85546875" style="16" hidden="1" customWidth="1"/>
    <col min="14" max="14" width="3" hidden="1" customWidth="1"/>
    <col min="15" max="15" width="3.5703125" customWidth="1"/>
    <col min="16" max="16" width="11.5703125" customWidth="1"/>
    <col min="17" max="17" width="9.140625" customWidth="1"/>
    <col min="18" max="18" width="18.85546875" customWidth="1"/>
    <col min="19" max="19" width="11.42578125" customWidth="1"/>
    <col min="20" max="20" width="24.42578125" customWidth="1"/>
    <col min="21" max="21" width="33.85546875" customWidth="1"/>
    <col min="22" max="22" width="40" customWidth="1"/>
    <col min="23" max="27" width="9.140625" customWidth="1"/>
  </cols>
  <sheetData>
    <row r="2" spans="4:22" ht="276" customHeight="1" thickBot="1" x14ac:dyDescent="0.3"/>
    <row r="3" spans="4:22" ht="15.75" customHeight="1" thickBot="1" x14ac:dyDescent="0.3">
      <c r="E3" s="272" t="s">
        <v>246</v>
      </c>
      <c r="F3" s="273"/>
      <c r="G3" s="274"/>
      <c r="J3" s="272" t="s">
        <v>247</v>
      </c>
      <c r="K3" s="273"/>
      <c r="L3" s="274"/>
    </row>
    <row r="4" spans="4:22" s="39" customFormat="1" ht="45.75" customHeight="1" thickBot="1" x14ac:dyDescent="0.3">
      <c r="D4" s="31"/>
      <c r="E4" s="133" t="s">
        <v>109</v>
      </c>
      <c r="F4" s="134" t="s">
        <v>210</v>
      </c>
      <c r="G4" s="135" t="s">
        <v>245</v>
      </c>
      <c r="H4" s="121"/>
      <c r="I4" s="31"/>
      <c r="J4" s="133" t="s">
        <v>109</v>
      </c>
      <c r="K4" s="134" t="s">
        <v>210</v>
      </c>
      <c r="L4" s="135" t="s">
        <v>245</v>
      </c>
      <c r="M4" s="121"/>
      <c r="N4" s="120"/>
      <c r="O4" s="120"/>
      <c r="P4" s="120"/>
      <c r="Q4" s="120"/>
      <c r="R4" s="120"/>
      <c r="S4" s="120"/>
      <c r="T4" s="120"/>
      <c r="U4" s="120"/>
      <c r="V4" s="120"/>
    </row>
    <row r="5" spans="4:22" x14ac:dyDescent="0.25">
      <c r="D5" s="136" t="str">
        <f>IF('Fixed Effects'!N5="","",'Fixed Effects'!N5)</f>
        <v/>
      </c>
      <c r="E5" s="122" t="str">
        <f>IF('Fixed Effects'!O5="","",'Fixed Effects'!O5)</f>
        <v/>
      </c>
      <c r="F5" s="123" t="str">
        <f>IF('Fixed Effects'!Q5="","",'Fixed Effects'!Q5)</f>
        <v/>
      </c>
      <c r="G5" s="124" t="str">
        <f>IF(D5="","",IF((INDEX('FE Inconsistency Results'!$H$1:$H$500,MATCH(SUBSTITUTE(D5,"OR","d"),'FE Inconsistency Results'!$B$1:$B$500,0),1))-(INDEX('FE Inconsistency Results'!$F$1:$F$500,MATCH(SUBSTITUTE(D5,"OR","d"),'FE Inconsistency Results'!$B$1:$B$500,0),1))&gt;50,"N/A",EXP(INDEX('FE Inconsistency Results'!$G$1:$G$500,MATCH(SUBSTITUTE(D5,"OR","d"),'FE Inconsistency Results'!$B$1:$B$500,0),1))))</f>
        <v/>
      </c>
      <c r="I5" s="137" t="str">
        <f ca="1">IF(INDIRECT(CONCATENATE("'",'Inconsistency Data'!$I$4,"'!N5"))="","",INDIRECT(CONCATENATE("'",'Inconsistency Data'!$I$4,"'!N5")))</f>
        <v>OR[1,2]</v>
      </c>
      <c r="J5" s="122" t="str">
        <f ca="1">IF(INDIRECT(CONCATENATE("'",'Inconsistency Data'!$I$4,"'!O5"))="","",INDIRECT(CONCATENATE("'",'Inconsistency Data'!$I$4,"'!O5")))</f>
        <v>IBUIV versus INDOIV</v>
      </c>
      <c r="K5" s="123">
        <f ca="1">IF(INDIRECT(CONCATENATE("'",'Inconsistency Data'!$I$4,"'!Q5"))="","",INDIRECT(CONCATENATE("'",'Inconsistency Data'!$I$4,"'!Q5")))</f>
        <v>1.0960000000000001</v>
      </c>
      <c r="L5" s="124" t="str">
        <f>IF(D5="","",IF((INDEX('RE Inconsistency Results'!$H$1:$H$500,MATCH(SUBSTITUTE(D5,"OR","d"),'RE Inconsistency Results'!$B$1:$B$500,0),1))-(INDEX('RE Inconsistency Results'!$F$1:$F$500,MATCH(SUBSTITUTE(D5,"OR","d"),'RE Inconsistency Results'!$B$1:$B$500,0),1))&gt;50,"N/A",EXP(INDEX('RE Inconsistency Results'!$G$1:$G$500,MATCH(SUBSTITUTE(D5,"OR","d"),'RE Inconsistency Results'!$B$1:$B$500,0),1))))</f>
        <v/>
      </c>
    </row>
    <row r="6" spans="4:22" x14ac:dyDescent="0.25">
      <c r="D6" s="125" t="str">
        <f>IF('Fixed Effects'!N6="","",'Fixed Effects'!N6)</f>
        <v/>
      </c>
      <c r="E6" s="126" t="str">
        <f>IF('Fixed Effects'!O6="","",'Fixed Effects'!O6)</f>
        <v/>
      </c>
      <c r="F6" s="127" t="str">
        <f>IF('Fixed Effects'!Q6="","",'Fixed Effects'!Q6)</f>
        <v/>
      </c>
      <c r="G6" s="128" t="str">
        <f>IF(D6="","",IF((INDEX('FE Inconsistency Results'!$H$1:$H$500,MATCH(SUBSTITUTE(D6,"OR","d"),'FE Inconsistency Results'!$B$1:$B$500,0),1))-(INDEX('FE Inconsistency Results'!$F$1:$F$500,MATCH(SUBSTITUTE(D6,"OR","d"),'FE Inconsistency Results'!$B$1:$B$500,0),1))&gt;50,"N/A",EXP(INDEX('FE Inconsistency Results'!$G$1:$G$500,MATCH(SUBSTITUTE(D6,"OR","d"),'FE Inconsistency Results'!$B$1:$B$500,0),1))))</f>
        <v/>
      </c>
      <c r="I6" s="138" t="str">
        <f ca="1">IF(INDIRECT(CONCATENATE("'",'Inconsistency Data'!$I$4,"'!N6"))="","",INDIRECT(CONCATENATE("'",'Inconsistency Data'!$I$4,"'!N6")))</f>
        <v>OR[1,3]</v>
      </c>
      <c r="J6" s="126" t="str">
        <f ca="1">IF(INDIRECT(CONCATENATE("'",'Inconsistency Data'!$I$4,"'!O6"))="","",INDIRECT(CONCATENATE("'",'Inconsistency Data'!$I$4,"'!O6")))</f>
        <v>IBUPO versus INDOIV</v>
      </c>
      <c r="K6" s="127">
        <f ca="1">IF(INDIRECT(CONCATENATE("'",'Inconsistency Data'!$I$4,"'!Q6"))="","",INDIRECT(CONCATENATE("'",'Inconsistency Data'!$I$4,"'!Q6")))</f>
        <v>0.68210000000000004</v>
      </c>
      <c r="L6" s="128" t="str">
        <f>IF(D6="","",IF((INDEX('RE Inconsistency Results'!$H$1:$H$500,MATCH(SUBSTITUTE(D6,"OR","d"),'RE Inconsistency Results'!$B$1:$B$500,0),1))-(INDEX('RE Inconsistency Results'!$F$1:$F$500,MATCH(SUBSTITUTE(D6,"OR","d"),'RE Inconsistency Results'!$B$1:$B$500,0),1))&gt;50,"N/A",EXP(INDEX('RE Inconsistency Results'!$G$1:$G$500,MATCH(SUBSTITUTE(D6,"OR","d"),'RE Inconsistency Results'!$B$1:$B$500,0),1))))</f>
        <v/>
      </c>
    </row>
    <row r="7" spans="4:22" x14ac:dyDescent="0.25">
      <c r="D7" s="125" t="str">
        <f>IF('Fixed Effects'!N7="","",'Fixed Effects'!N7)</f>
        <v/>
      </c>
      <c r="E7" s="126" t="str">
        <f>IF('Fixed Effects'!O7="","",'Fixed Effects'!O7)</f>
        <v/>
      </c>
      <c r="F7" s="127" t="str">
        <f>IF('Fixed Effects'!Q7="","",'Fixed Effects'!Q7)</f>
        <v/>
      </c>
      <c r="G7" s="128" t="str">
        <f>IF(D7="","",IF((INDEX('FE Inconsistency Results'!$H$1:$H$500,MATCH(SUBSTITUTE(D7,"OR","d"),'FE Inconsistency Results'!$B$1:$B$500,0),1))-(INDEX('FE Inconsistency Results'!$F$1:$F$500,MATCH(SUBSTITUTE(D7,"OR","d"),'FE Inconsistency Results'!$B$1:$B$500,0),1))&gt;50,"N/A",EXP(INDEX('FE Inconsistency Results'!$G$1:$G$500,MATCH(SUBSTITUTE(D7,"OR","d"),'FE Inconsistency Results'!$B$1:$B$500,0),1))))</f>
        <v/>
      </c>
      <c r="I7" s="138" t="str">
        <f ca="1">IF(INDIRECT(CONCATENATE("'",'Inconsistency Data'!$I$4,"'!N7"))="","",INDIRECT(CONCATENATE("'",'Inconsistency Data'!$I$4,"'!N7")))</f>
        <v>OR[1,4]</v>
      </c>
      <c r="J7" s="126" t="str">
        <f ca="1">IF(INDIRECT(CONCATENATE("'",'Inconsistency Data'!$I$4,"'!O7"))="","",INDIRECT(CONCATENATE("'",'Inconsistency Data'!$I$4,"'!O7")))</f>
        <v>PARAPO versus INDOIV</v>
      </c>
      <c r="K7" s="127">
        <f ca="1">IF(INDIRECT(CONCATENATE("'",'Inconsistency Data'!$I$4,"'!Q7"))="","",INDIRECT(CONCATENATE("'",'Inconsistency Data'!$I$4,"'!Q7")))</f>
        <v>0.62890000000000001</v>
      </c>
      <c r="L7" s="128" t="str">
        <f>IF(D7="","",IF((INDEX('RE Inconsistency Results'!$H$1:$H$500,MATCH(SUBSTITUTE(D7,"OR","d"),'RE Inconsistency Results'!$B$1:$B$500,0),1))-(INDEX('RE Inconsistency Results'!$F$1:$F$500,MATCH(SUBSTITUTE(D7,"OR","d"),'RE Inconsistency Results'!$B$1:$B$500,0),1))&gt;50,"N/A",EXP(INDEX('RE Inconsistency Results'!$G$1:$G$500,MATCH(SUBSTITUTE(D7,"OR","d"),'RE Inconsistency Results'!$B$1:$B$500,0),1))))</f>
        <v/>
      </c>
    </row>
    <row r="8" spans="4:22" x14ac:dyDescent="0.25">
      <c r="D8" s="125" t="str">
        <f>IF('Fixed Effects'!N8="","",'Fixed Effects'!N8)</f>
        <v/>
      </c>
      <c r="E8" s="126" t="str">
        <f>IF('Fixed Effects'!O8="","",'Fixed Effects'!O8)</f>
        <v/>
      </c>
      <c r="F8" s="127" t="str">
        <f>IF('Fixed Effects'!Q8="","",'Fixed Effects'!Q8)</f>
        <v/>
      </c>
      <c r="G8" s="128" t="str">
        <f>IF(D8="","",IF((INDEX('FE Inconsistency Results'!$H$1:$H$500,MATCH(SUBSTITUTE(D8,"OR","d"),'FE Inconsistency Results'!$B$1:$B$500,0),1))-(INDEX('FE Inconsistency Results'!$F$1:$F$500,MATCH(SUBSTITUTE(D8,"OR","d"),'FE Inconsistency Results'!$B$1:$B$500,0),1))&gt;50,"N/A",EXP(INDEX('FE Inconsistency Results'!$G$1:$G$500,MATCH(SUBSTITUTE(D8,"OR","d"),'FE Inconsistency Results'!$B$1:$B$500,0),1))))</f>
        <v/>
      </c>
      <c r="I8" s="138" t="str">
        <f ca="1">IF(INDIRECT(CONCATENATE("'",'Inconsistency Data'!$I$4,"'!N8"))="","",INDIRECT(CONCATENATE("'",'Inconsistency Data'!$I$4,"'!N8")))</f>
        <v>OR[1,5]</v>
      </c>
      <c r="J8" s="126" t="str">
        <f ca="1">IF(INDIRECT(CONCATENATE("'",'Inconsistency Data'!$I$4,"'!O8"))="","",INDIRECT(CONCATENATE("'",'Inconsistency Data'!$I$4,"'!O8")))</f>
        <v>IBUIVHIGHDOSE versus INDOIV</v>
      </c>
      <c r="K8" s="127">
        <f ca="1">IF(INDIRECT(CONCATENATE("'",'Inconsistency Data'!$I$4,"'!Q8"))="","",INDIRECT(CONCATENATE("'",'Inconsistency Data'!$I$4,"'!Q8")))</f>
        <v>2.3679999999999999</v>
      </c>
      <c r="L8" s="128" t="str">
        <f>IF(D8="","",IF((INDEX('RE Inconsistency Results'!$H$1:$H$500,MATCH(SUBSTITUTE(D8,"OR","d"),'RE Inconsistency Results'!$B$1:$B$500,0),1))-(INDEX('RE Inconsistency Results'!$F$1:$F$500,MATCH(SUBSTITUTE(D8,"OR","d"),'RE Inconsistency Results'!$B$1:$B$500,0),1))&gt;50,"N/A",EXP(INDEX('RE Inconsistency Results'!$G$1:$G$500,MATCH(SUBSTITUTE(D8,"OR","d"),'RE Inconsistency Results'!$B$1:$B$500,0),1))))</f>
        <v/>
      </c>
    </row>
    <row r="9" spans="4:22" x14ac:dyDescent="0.25">
      <c r="D9" s="125" t="str">
        <f>IF('Fixed Effects'!N9="","",'Fixed Effects'!N9)</f>
        <v/>
      </c>
      <c r="E9" s="126" t="str">
        <f>IF('Fixed Effects'!O9="","",'Fixed Effects'!O9)</f>
        <v/>
      </c>
      <c r="F9" s="127" t="str">
        <f>IF('Fixed Effects'!Q9="","",'Fixed Effects'!Q9)</f>
        <v/>
      </c>
      <c r="G9" s="128" t="str">
        <f>IF(D9="","",IF((INDEX('FE Inconsistency Results'!$H$1:$H$500,MATCH(SUBSTITUTE(D9,"OR","d"),'FE Inconsistency Results'!$B$1:$B$500,0),1))-(INDEX('FE Inconsistency Results'!$F$1:$F$500,MATCH(SUBSTITUTE(D9,"OR","d"),'FE Inconsistency Results'!$B$1:$B$500,0),1))&gt;50,"N/A",EXP(INDEX('FE Inconsistency Results'!$G$1:$G$500,MATCH(SUBSTITUTE(D9,"OR","d"),'FE Inconsistency Results'!$B$1:$B$500,0),1))))</f>
        <v/>
      </c>
      <c r="I9" s="138" t="str">
        <f ca="1">IF(INDIRECT(CONCATENATE("'",'Inconsistency Data'!$I$4,"'!N9"))="","",INDIRECT(CONCATENATE("'",'Inconsistency Data'!$I$4,"'!N9")))</f>
        <v>OR[1,6]</v>
      </c>
      <c r="J9" s="126" t="str">
        <f ca="1">IF(INDIRECT(CONCATENATE("'",'Inconsistency Data'!$I$4,"'!O9"))="","",INDIRECT(CONCATENATE("'",'Inconsistency Data'!$I$4,"'!O9")))</f>
        <v>IBUIVCONT versus INDOIV</v>
      </c>
      <c r="K9" s="127">
        <f ca="1">IF(INDIRECT(CONCATENATE("'",'Inconsistency Data'!$I$4,"'!Q9"))="","",INDIRECT(CONCATENATE("'",'Inconsistency Data'!$I$4,"'!Q9")))</f>
        <v>1.2470000000000001</v>
      </c>
      <c r="L9" s="128" t="str">
        <f>IF(D9="","",IF((INDEX('RE Inconsistency Results'!$H$1:$H$500,MATCH(SUBSTITUTE(D9,"OR","d"),'RE Inconsistency Results'!$B$1:$B$500,0),1))-(INDEX('RE Inconsistency Results'!$F$1:$F$500,MATCH(SUBSTITUTE(D9,"OR","d"),'RE Inconsistency Results'!$B$1:$B$500,0),1))&gt;50,"N/A",EXP(INDEX('RE Inconsistency Results'!$G$1:$G$500,MATCH(SUBSTITUTE(D9,"OR","d"),'RE Inconsistency Results'!$B$1:$B$500,0),1))))</f>
        <v/>
      </c>
    </row>
    <row r="10" spans="4:22" x14ac:dyDescent="0.25">
      <c r="D10" s="125" t="str">
        <f>IF('Fixed Effects'!N10="","",'Fixed Effects'!N10)</f>
        <v/>
      </c>
      <c r="E10" s="126" t="str">
        <f>IF('Fixed Effects'!O10="","",'Fixed Effects'!O10)</f>
        <v/>
      </c>
      <c r="F10" s="127" t="str">
        <f>IF('Fixed Effects'!Q10="","",'Fixed Effects'!Q10)</f>
        <v/>
      </c>
      <c r="G10" s="128" t="str">
        <f>IF(D10="","",IF((INDEX('FE Inconsistency Results'!$H$1:$H$500,MATCH(SUBSTITUTE(D10,"OR","d"),'FE Inconsistency Results'!$B$1:$B$500,0),1))-(INDEX('FE Inconsistency Results'!$F$1:$F$500,MATCH(SUBSTITUTE(D10,"OR","d"),'FE Inconsistency Results'!$B$1:$B$500,0),1))&gt;50,"N/A",EXP(INDEX('FE Inconsistency Results'!$G$1:$G$500,MATCH(SUBSTITUTE(D10,"OR","d"),'FE Inconsistency Results'!$B$1:$B$500,0),1))))</f>
        <v/>
      </c>
      <c r="I10" s="138" t="str">
        <f ca="1">IF(INDIRECT(CONCATENATE("'",'Inconsistency Data'!$I$4,"'!N10"))="","",INDIRECT(CONCATENATE("'",'Inconsistency Data'!$I$4,"'!N10")))</f>
        <v>OR[1,7]</v>
      </c>
      <c r="J10" s="126" t="str">
        <f ca="1">IF(INDIRECT(CONCATENATE("'",'Inconsistency Data'!$I$4,"'!O10"))="","",INDIRECT(CONCATENATE("'",'Inconsistency Data'!$I$4,"'!O10")))</f>
        <v>INDOTHERS versus INDOIV</v>
      </c>
      <c r="K10" s="127">
        <f ca="1">IF(INDIRECT(CONCATENATE("'",'Inconsistency Data'!$I$4,"'!Q10"))="","",INDIRECT(CONCATENATE("'",'Inconsistency Data'!$I$4,"'!Q10")))</f>
        <v>1.3560000000000001</v>
      </c>
      <c r="L10" s="128" t="str">
        <f>IF(D10="","",IF((INDEX('RE Inconsistency Results'!$H$1:$H$500,MATCH(SUBSTITUTE(D10,"OR","d"),'RE Inconsistency Results'!$B$1:$B$500,0),1))-(INDEX('RE Inconsistency Results'!$F$1:$F$500,MATCH(SUBSTITUTE(D10,"OR","d"),'RE Inconsistency Results'!$B$1:$B$500,0),1))&gt;50,"N/A",EXP(INDEX('RE Inconsistency Results'!$G$1:$G$500,MATCH(SUBSTITUTE(D10,"OR","d"),'RE Inconsistency Results'!$B$1:$B$500,0),1))))</f>
        <v/>
      </c>
      <c r="M10" s="104"/>
    </row>
    <row r="11" spans="4:22" x14ac:dyDescent="0.25">
      <c r="D11" s="125" t="str">
        <f>IF('Fixed Effects'!N11="","",'Fixed Effects'!N11)</f>
        <v/>
      </c>
      <c r="E11" s="126" t="str">
        <f>IF('Fixed Effects'!O11="","",'Fixed Effects'!O11)</f>
        <v/>
      </c>
      <c r="F11" s="127" t="str">
        <f>IF('Fixed Effects'!Q11="","",'Fixed Effects'!Q11)</f>
        <v/>
      </c>
      <c r="G11" s="128" t="str">
        <f>IF(D11="","",IF((INDEX('FE Inconsistency Results'!$H$1:$H$500,MATCH(SUBSTITUTE(D11,"OR","d"),'FE Inconsistency Results'!$B$1:$B$500,0),1))-(INDEX('FE Inconsistency Results'!$F$1:$F$500,MATCH(SUBSTITUTE(D11,"OR","d"),'FE Inconsistency Results'!$B$1:$B$500,0),1))&gt;50,"N/A",EXP(INDEX('FE Inconsistency Results'!$G$1:$G$500,MATCH(SUBSTITUTE(D11,"OR","d"),'FE Inconsistency Results'!$B$1:$B$500,0),1))))</f>
        <v/>
      </c>
      <c r="I11" s="138" t="str">
        <f ca="1">IF(INDIRECT(CONCATENATE("'",'Inconsistency Data'!$I$4,"'!N11"))="","",INDIRECT(CONCATENATE("'",'Inconsistency Data'!$I$4,"'!N11")))</f>
        <v>OR[1,8]</v>
      </c>
      <c r="J11" s="126" t="str">
        <f ca="1">IF(INDIRECT(CONCATENATE("'",'Inconsistency Data'!$I$4,"'!O11"))="","",INDIRECT(CONCATENATE("'",'Inconsistency Data'!$I$4,"'!O11")))</f>
        <v>PLAC_NORX versus INDOIV</v>
      </c>
      <c r="K11" s="127">
        <f ca="1">IF(INDIRECT(CONCATENATE("'",'Inconsistency Data'!$I$4,"'!Q11"))="","",INDIRECT(CONCATENATE("'",'Inconsistency Data'!$I$4,"'!Q11")))</f>
        <v>1.367</v>
      </c>
      <c r="L11" s="128" t="str">
        <f>IF(D11="","",IF((INDEX('RE Inconsistency Results'!$H$1:$H$500,MATCH(SUBSTITUTE(D11,"OR","d"),'RE Inconsistency Results'!$B$1:$B$500,0),1))-(INDEX('RE Inconsistency Results'!$F$1:$F$500,MATCH(SUBSTITUTE(D11,"OR","d"),'RE Inconsistency Results'!$B$1:$B$500,0),1))&gt;50,"N/A",EXP(INDEX('RE Inconsistency Results'!$G$1:$G$500,MATCH(SUBSTITUTE(D11,"OR","d"),'RE Inconsistency Results'!$B$1:$B$500,0),1))))</f>
        <v/>
      </c>
      <c r="M11" s="104"/>
    </row>
    <row r="12" spans="4:22" x14ac:dyDescent="0.25">
      <c r="D12" s="125" t="str">
        <f>IF('Fixed Effects'!N12="","",'Fixed Effects'!N12)</f>
        <v/>
      </c>
      <c r="E12" s="126" t="str">
        <f>IF('Fixed Effects'!O12="","",'Fixed Effects'!O12)</f>
        <v/>
      </c>
      <c r="F12" s="127" t="str">
        <f>IF('Fixed Effects'!Q12="","",'Fixed Effects'!Q12)</f>
        <v/>
      </c>
      <c r="G12" s="128" t="str">
        <f>IF(D12="","",IF((INDEX('FE Inconsistency Results'!$H$1:$H$500,MATCH(SUBSTITUTE(D12,"OR","d"),'FE Inconsistency Results'!$B$1:$B$500,0),1))-(INDEX('FE Inconsistency Results'!$F$1:$F$500,MATCH(SUBSTITUTE(D12,"OR","d"),'FE Inconsistency Results'!$B$1:$B$500,0),1))&gt;50,"N/A",EXP(INDEX('FE Inconsistency Results'!$G$1:$G$500,MATCH(SUBSTITUTE(D12,"OR","d"),'FE Inconsistency Results'!$B$1:$B$500,0),1))))</f>
        <v/>
      </c>
      <c r="I12" s="138" t="str">
        <f ca="1">IF(INDIRECT(CONCATENATE("'",'Inconsistency Data'!$I$4,"'!N12"))="","",INDIRECT(CONCATENATE("'",'Inconsistency Data'!$I$4,"'!N12")))</f>
        <v>OR[2,3]</v>
      </c>
      <c r="J12" s="126" t="str">
        <f ca="1">IF(INDIRECT(CONCATENATE("'",'Inconsistency Data'!$I$4,"'!O12"))="","",INDIRECT(CONCATENATE("'",'Inconsistency Data'!$I$4,"'!O12")))</f>
        <v>IBUPO versus IBUIV</v>
      </c>
      <c r="K12" s="127">
        <f ca="1">IF(INDIRECT(CONCATENATE("'",'Inconsistency Data'!$I$4,"'!Q12"))="","",INDIRECT(CONCATENATE("'",'Inconsistency Data'!$I$4,"'!Q12")))</f>
        <v>0.62009999999999998</v>
      </c>
      <c r="L12" s="128" t="str">
        <f>IF(D12="","",IF((INDEX('RE Inconsistency Results'!$H$1:$H$500,MATCH(SUBSTITUTE(D12,"OR","d"),'RE Inconsistency Results'!$B$1:$B$500,0),1))-(INDEX('RE Inconsistency Results'!$F$1:$F$500,MATCH(SUBSTITUTE(D12,"OR","d"),'RE Inconsistency Results'!$B$1:$B$500,0),1))&gt;50,"N/A",EXP(INDEX('RE Inconsistency Results'!$G$1:$G$500,MATCH(SUBSTITUTE(D12,"OR","d"),'RE Inconsistency Results'!$B$1:$B$500,0),1))))</f>
        <v/>
      </c>
    </row>
    <row r="13" spans="4:22" x14ac:dyDescent="0.25">
      <c r="D13" s="125" t="str">
        <f>IF('Fixed Effects'!N13="","",'Fixed Effects'!N13)</f>
        <v/>
      </c>
      <c r="E13" s="126" t="str">
        <f>IF('Fixed Effects'!O13="","",'Fixed Effects'!O13)</f>
        <v/>
      </c>
      <c r="F13" s="127" t="str">
        <f>IF('Fixed Effects'!Q13="","",'Fixed Effects'!Q13)</f>
        <v/>
      </c>
      <c r="G13" s="128" t="str">
        <f>IF(D13="","",IF((INDEX('FE Inconsistency Results'!$H$1:$H$500,MATCH(SUBSTITUTE(D13,"OR","d"),'FE Inconsistency Results'!$B$1:$B$500,0),1))-(INDEX('FE Inconsistency Results'!$F$1:$F$500,MATCH(SUBSTITUTE(D13,"OR","d"),'FE Inconsistency Results'!$B$1:$B$500,0),1))&gt;50,"N/A",EXP(INDEX('FE Inconsistency Results'!$G$1:$G$500,MATCH(SUBSTITUTE(D13,"OR","d"),'FE Inconsistency Results'!$B$1:$B$500,0),1))))</f>
        <v/>
      </c>
      <c r="I13" s="138" t="str">
        <f ca="1">IF(INDIRECT(CONCATENATE("'",'Inconsistency Data'!$I$4,"'!N13"))="","",INDIRECT(CONCATENATE("'",'Inconsistency Data'!$I$4,"'!N13")))</f>
        <v>OR[2,4]</v>
      </c>
      <c r="J13" s="126" t="str">
        <f ca="1">IF(INDIRECT(CONCATENATE("'",'Inconsistency Data'!$I$4,"'!O13"))="","",INDIRECT(CONCATENATE("'",'Inconsistency Data'!$I$4,"'!O13")))</f>
        <v>PARAPO versus IBUIV</v>
      </c>
      <c r="K13" s="127">
        <f ca="1">IF(INDIRECT(CONCATENATE("'",'Inconsistency Data'!$I$4,"'!Q13"))="","",INDIRECT(CONCATENATE("'",'Inconsistency Data'!$I$4,"'!Q13")))</f>
        <v>0.57340000000000002</v>
      </c>
      <c r="L13" s="128" t="str">
        <f>IF(D13="","",IF((INDEX('RE Inconsistency Results'!$H$1:$H$500,MATCH(SUBSTITUTE(D13,"OR","d"),'RE Inconsistency Results'!$B$1:$B$500,0),1))-(INDEX('RE Inconsistency Results'!$F$1:$F$500,MATCH(SUBSTITUTE(D13,"OR","d"),'RE Inconsistency Results'!$B$1:$B$500,0),1))&gt;50,"N/A",EXP(INDEX('RE Inconsistency Results'!$G$1:$G$500,MATCH(SUBSTITUTE(D13,"OR","d"),'RE Inconsistency Results'!$B$1:$B$500,0),1))))</f>
        <v/>
      </c>
    </row>
    <row r="14" spans="4:22" x14ac:dyDescent="0.25">
      <c r="D14" s="125" t="str">
        <f>IF('Fixed Effects'!N14="","",'Fixed Effects'!N14)</f>
        <v/>
      </c>
      <c r="E14" s="126" t="str">
        <f>IF('Fixed Effects'!O14="","",'Fixed Effects'!O14)</f>
        <v/>
      </c>
      <c r="F14" s="127" t="str">
        <f>IF('Fixed Effects'!Q14="","",'Fixed Effects'!Q14)</f>
        <v/>
      </c>
      <c r="G14" s="128" t="str">
        <f>IF(D14="","",IF((INDEX('FE Inconsistency Results'!$H$1:$H$500,MATCH(SUBSTITUTE(D14,"OR","d"),'FE Inconsistency Results'!$B$1:$B$500,0),1))-(INDEX('FE Inconsistency Results'!$F$1:$F$500,MATCH(SUBSTITUTE(D14,"OR","d"),'FE Inconsistency Results'!$B$1:$B$500,0),1))&gt;50,"N/A",EXP(INDEX('FE Inconsistency Results'!$G$1:$G$500,MATCH(SUBSTITUTE(D14,"OR","d"),'FE Inconsistency Results'!$B$1:$B$500,0),1))))</f>
        <v/>
      </c>
      <c r="I14" s="138" t="str">
        <f ca="1">IF(INDIRECT(CONCATENATE("'",'Inconsistency Data'!$I$4,"'!N14"))="","",INDIRECT(CONCATENATE("'",'Inconsistency Data'!$I$4,"'!N14")))</f>
        <v>OR[2,5]</v>
      </c>
      <c r="J14" s="126" t="str">
        <f ca="1">IF(INDIRECT(CONCATENATE("'",'Inconsistency Data'!$I$4,"'!O14"))="","",INDIRECT(CONCATENATE("'",'Inconsistency Data'!$I$4,"'!O14")))</f>
        <v>IBUIVHIGHDOSE versus IBUIV</v>
      </c>
      <c r="K14" s="127">
        <f ca="1">IF(INDIRECT(CONCATENATE("'",'Inconsistency Data'!$I$4,"'!Q14"))="","",INDIRECT(CONCATENATE("'",'Inconsistency Data'!$I$4,"'!Q14")))</f>
        <v>2.1419999999999999</v>
      </c>
      <c r="L14" s="128" t="str">
        <f>IF(D14="","",IF((INDEX('RE Inconsistency Results'!$H$1:$H$500,MATCH(SUBSTITUTE(D14,"OR","d"),'RE Inconsistency Results'!$B$1:$B$500,0),1))-(INDEX('RE Inconsistency Results'!$F$1:$F$500,MATCH(SUBSTITUTE(D14,"OR","d"),'RE Inconsistency Results'!$B$1:$B$500,0),1))&gt;50,"N/A",EXP(INDEX('RE Inconsistency Results'!$G$1:$G$500,MATCH(SUBSTITUTE(D14,"OR","d"),'RE Inconsistency Results'!$B$1:$B$500,0),1))))</f>
        <v/>
      </c>
    </row>
    <row r="15" spans="4:22" x14ac:dyDescent="0.25">
      <c r="D15" s="125" t="str">
        <f>IF('Fixed Effects'!N15="","",'Fixed Effects'!N15)</f>
        <v/>
      </c>
      <c r="E15" s="126" t="str">
        <f>IF('Fixed Effects'!O15="","",'Fixed Effects'!O15)</f>
        <v/>
      </c>
      <c r="F15" s="127" t="str">
        <f>IF('Fixed Effects'!Q15="","",'Fixed Effects'!Q15)</f>
        <v/>
      </c>
      <c r="G15" s="128" t="str">
        <f>IF(D15="","",IF((INDEX('FE Inconsistency Results'!$H$1:$H$500,MATCH(SUBSTITUTE(D15,"OR","d"),'FE Inconsistency Results'!$B$1:$B$500,0),1))-(INDEX('FE Inconsistency Results'!$F$1:$F$500,MATCH(SUBSTITUTE(D15,"OR","d"),'FE Inconsistency Results'!$B$1:$B$500,0),1))&gt;50,"N/A",EXP(INDEX('FE Inconsistency Results'!$G$1:$G$500,MATCH(SUBSTITUTE(D15,"OR","d"),'FE Inconsistency Results'!$B$1:$B$500,0),1))))</f>
        <v/>
      </c>
      <c r="I15" s="138" t="str">
        <f ca="1">IF(INDIRECT(CONCATENATE("'",'Inconsistency Data'!$I$4,"'!N15"))="","",INDIRECT(CONCATENATE("'",'Inconsistency Data'!$I$4,"'!N15")))</f>
        <v>OR[2,6]</v>
      </c>
      <c r="J15" s="126" t="str">
        <f ca="1">IF(INDIRECT(CONCATENATE("'",'Inconsistency Data'!$I$4,"'!O15"))="","",INDIRECT(CONCATENATE("'",'Inconsistency Data'!$I$4,"'!O15")))</f>
        <v>IBUIVCONT versus IBUIV</v>
      </c>
      <c r="K15" s="127">
        <f ca="1">IF(INDIRECT(CONCATENATE("'",'Inconsistency Data'!$I$4,"'!Q15"))="","",INDIRECT(CONCATENATE("'",'Inconsistency Data'!$I$4,"'!Q15")))</f>
        <v>1.1319999999999999</v>
      </c>
      <c r="L15" s="128" t="str">
        <f>IF(D15="","",IF((INDEX('RE Inconsistency Results'!$H$1:$H$500,MATCH(SUBSTITUTE(D15,"OR","d"),'RE Inconsistency Results'!$B$1:$B$500,0),1))-(INDEX('RE Inconsistency Results'!$F$1:$F$500,MATCH(SUBSTITUTE(D15,"OR","d"),'RE Inconsistency Results'!$B$1:$B$500,0),1))&gt;50,"N/A",EXP(INDEX('RE Inconsistency Results'!$G$1:$G$500,MATCH(SUBSTITUTE(D15,"OR","d"),'RE Inconsistency Results'!$B$1:$B$500,0),1))))</f>
        <v/>
      </c>
    </row>
    <row r="16" spans="4:22" x14ac:dyDescent="0.25">
      <c r="D16" s="125" t="str">
        <f>IF('Fixed Effects'!N16="","",'Fixed Effects'!N16)</f>
        <v/>
      </c>
      <c r="E16" s="126" t="str">
        <f>IF('Fixed Effects'!O16="","",'Fixed Effects'!O16)</f>
        <v/>
      </c>
      <c r="F16" s="127" t="str">
        <f>IF('Fixed Effects'!Q16="","",'Fixed Effects'!Q16)</f>
        <v/>
      </c>
      <c r="G16" s="128" t="str">
        <f>IF(D16="","",IF((INDEX('FE Inconsistency Results'!$H$1:$H$500,MATCH(SUBSTITUTE(D16,"OR","d"),'FE Inconsistency Results'!$B$1:$B$500,0),1))-(INDEX('FE Inconsistency Results'!$F$1:$F$500,MATCH(SUBSTITUTE(D16,"OR","d"),'FE Inconsistency Results'!$B$1:$B$500,0),1))&gt;50,"N/A",EXP(INDEX('FE Inconsistency Results'!$G$1:$G$500,MATCH(SUBSTITUTE(D16,"OR","d"),'FE Inconsistency Results'!$B$1:$B$500,0),1))))</f>
        <v/>
      </c>
      <c r="I16" s="138" t="str">
        <f ca="1">IF(INDIRECT(CONCATENATE("'",'Inconsistency Data'!$I$4,"'!N16"))="","",INDIRECT(CONCATENATE("'",'Inconsistency Data'!$I$4,"'!N16")))</f>
        <v>OR[2,7]</v>
      </c>
      <c r="J16" s="126" t="str">
        <f ca="1">IF(INDIRECT(CONCATENATE("'",'Inconsistency Data'!$I$4,"'!O16"))="","",INDIRECT(CONCATENATE("'",'Inconsistency Data'!$I$4,"'!O16")))</f>
        <v>INDOTHERS versus IBUIV</v>
      </c>
      <c r="K16" s="127">
        <f ca="1">IF(INDIRECT(CONCATENATE("'",'Inconsistency Data'!$I$4,"'!Q16"))="","",INDIRECT(CONCATENATE("'",'Inconsistency Data'!$I$4,"'!Q16")))</f>
        <v>1.2270000000000001</v>
      </c>
      <c r="L16" s="128" t="str">
        <f>IF(D16="","",IF((INDEX('RE Inconsistency Results'!$H$1:$H$500,MATCH(SUBSTITUTE(D16,"OR","d"),'RE Inconsistency Results'!$B$1:$B$500,0),1))-(INDEX('RE Inconsistency Results'!$F$1:$F$500,MATCH(SUBSTITUTE(D16,"OR","d"),'RE Inconsistency Results'!$B$1:$B$500,0),1))&gt;50,"N/A",EXP(INDEX('RE Inconsistency Results'!$G$1:$G$500,MATCH(SUBSTITUTE(D16,"OR","d"),'RE Inconsistency Results'!$B$1:$B$500,0),1))))</f>
        <v/>
      </c>
    </row>
    <row r="17" spans="4:12" x14ac:dyDescent="0.25">
      <c r="D17" s="125" t="str">
        <f>IF('Fixed Effects'!N17="","",'Fixed Effects'!N17)</f>
        <v/>
      </c>
      <c r="E17" s="126" t="str">
        <f>IF('Fixed Effects'!O17="","",'Fixed Effects'!O17)</f>
        <v/>
      </c>
      <c r="F17" s="127" t="str">
        <f>IF('Fixed Effects'!Q17="","",'Fixed Effects'!Q17)</f>
        <v/>
      </c>
      <c r="G17" s="128" t="str">
        <f>IF(D17="","",IF((INDEX('FE Inconsistency Results'!$H$1:$H$500,MATCH(SUBSTITUTE(D17,"OR","d"),'FE Inconsistency Results'!$B$1:$B$500,0),1))-(INDEX('FE Inconsistency Results'!$F$1:$F$500,MATCH(SUBSTITUTE(D17,"OR","d"),'FE Inconsistency Results'!$B$1:$B$500,0),1))&gt;50,"N/A",EXP(INDEX('FE Inconsistency Results'!$G$1:$G$500,MATCH(SUBSTITUTE(D17,"OR","d"),'FE Inconsistency Results'!$B$1:$B$500,0),1))))</f>
        <v/>
      </c>
      <c r="I17" s="138" t="str">
        <f ca="1">IF(INDIRECT(CONCATENATE("'",'Inconsistency Data'!$I$4,"'!N17"))="","",INDIRECT(CONCATENATE("'",'Inconsistency Data'!$I$4,"'!N17")))</f>
        <v>OR[2,8]</v>
      </c>
      <c r="J17" s="126" t="str">
        <f ca="1">IF(INDIRECT(CONCATENATE("'",'Inconsistency Data'!$I$4,"'!O17"))="","",INDIRECT(CONCATENATE("'",'Inconsistency Data'!$I$4,"'!O17")))</f>
        <v>PLAC_NORX versus IBUIV</v>
      </c>
      <c r="K17" s="127">
        <f ca="1">IF(INDIRECT(CONCATENATE("'",'Inconsistency Data'!$I$4,"'!Q17"))="","",INDIRECT(CONCATENATE("'",'Inconsistency Data'!$I$4,"'!Q17")))</f>
        <v>1.2509999999999999</v>
      </c>
      <c r="L17" s="128" t="str">
        <f>IF(D17="","",IF((INDEX('RE Inconsistency Results'!$H$1:$H$500,MATCH(SUBSTITUTE(D17,"OR","d"),'RE Inconsistency Results'!$B$1:$B$500,0),1))-(INDEX('RE Inconsistency Results'!$F$1:$F$500,MATCH(SUBSTITUTE(D17,"OR","d"),'RE Inconsistency Results'!$B$1:$B$500,0),1))&gt;50,"N/A",EXP(INDEX('RE Inconsistency Results'!$G$1:$G$500,MATCH(SUBSTITUTE(D17,"OR","d"),'RE Inconsistency Results'!$B$1:$B$500,0),1))))</f>
        <v/>
      </c>
    </row>
    <row r="18" spans="4:12" x14ac:dyDescent="0.25">
      <c r="D18" s="125" t="str">
        <f>IF('Fixed Effects'!N18="","",'Fixed Effects'!N18)</f>
        <v/>
      </c>
      <c r="E18" s="126" t="str">
        <f>IF('Fixed Effects'!O18="","",'Fixed Effects'!O18)</f>
        <v/>
      </c>
      <c r="F18" s="127" t="str">
        <f>IF('Fixed Effects'!Q18="","",'Fixed Effects'!Q18)</f>
        <v/>
      </c>
      <c r="G18" s="128" t="str">
        <f>IF(D18="","",IF((INDEX('FE Inconsistency Results'!$H$1:$H$500,MATCH(SUBSTITUTE(D18,"OR","d"),'FE Inconsistency Results'!$B$1:$B$500,0),1))-(INDEX('FE Inconsistency Results'!$F$1:$F$500,MATCH(SUBSTITUTE(D18,"OR","d"),'FE Inconsistency Results'!$B$1:$B$500,0),1))&gt;50,"N/A",EXP(INDEX('FE Inconsistency Results'!$G$1:$G$500,MATCH(SUBSTITUTE(D18,"OR","d"),'FE Inconsistency Results'!$B$1:$B$500,0),1))))</f>
        <v/>
      </c>
      <c r="I18" s="138" t="str">
        <f ca="1">IF(INDIRECT(CONCATENATE("'",'Inconsistency Data'!$I$4,"'!N18"))="","",INDIRECT(CONCATENATE("'",'Inconsistency Data'!$I$4,"'!N18")))</f>
        <v>OR[3,4]</v>
      </c>
      <c r="J18" s="126" t="str">
        <f ca="1">IF(INDIRECT(CONCATENATE("'",'Inconsistency Data'!$I$4,"'!O18"))="","",INDIRECT(CONCATENATE("'",'Inconsistency Data'!$I$4,"'!O18")))</f>
        <v>PARAPO versus IBUPO</v>
      </c>
      <c r="K18" s="127">
        <f ca="1">IF(INDIRECT(CONCATENATE("'",'Inconsistency Data'!$I$4,"'!Q18"))="","",INDIRECT(CONCATENATE("'",'Inconsistency Data'!$I$4,"'!Q18")))</f>
        <v>0.9194</v>
      </c>
      <c r="L18" s="128" t="str">
        <f>IF(D18="","",IF((INDEX('RE Inconsistency Results'!$H$1:$H$500,MATCH(SUBSTITUTE(D18,"OR","d"),'RE Inconsistency Results'!$B$1:$B$500,0),1))-(INDEX('RE Inconsistency Results'!$F$1:$F$500,MATCH(SUBSTITUTE(D18,"OR","d"),'RE Inconsistency Results'!$B$1:$B$500,0),1))&gt;50,"N/A",EXP(INDEX('RE Inconsistency Results'!$G$1:$G$500,MATCH(SUBSTITUTE(D18,"OR","d"),'RE Inconsistency Results'!$B$1:$B$500,0),1))))</f>
        <v/>
      </c>
    </row>
    <row r="19" spans="4:12" x14ac:dyDescent="0.25">
      <c r="D19" s="125" t="str">
        <f>IF('Fixed Effects'!N19="","",'Fixed Effects'!N19)</f>
        <v/>
      </c>
      <c r="E19" s="126" t="str">
        <f>IF('Fixed Effects'!O19="","",'Fixed Effects'!O19)</f>
        <v/>
      </c>
      <c r="F19" s="127" t="str">
        <f>IF('Fixed Effects'!Q19="","",'Fixed Effects'!Q19)</f>
        <v/>
      </c>
      <c r="G19" s="128" t="str">
        <f>IF(D19="","",IF((INDEX('FE Inconsistency Results'!$H$1:$H$500,MATCH(SUBSTITUTE(D19,"OR","d"),'FE Inconsistency Results'!$B$1:$B$500,0),1))-(INDEX('FE Inconsistency Results'!$F$1:$F$500,MATCH(SUBSTITUTE(D19,"OR","d"),'FE Inconsistency Results'!$B$1:$B$500,0),1))&gt;50,"N/A",EXP(INDEX('FE Inconsistency Results'!$G$1:$G$500,MATCH(SUBSTITUTE(D19,"OR","d"),'FE Inconsistency Results'!$B$1:$B$500,0),1))))</f>
        <v/>
      </c>
      <c r="I19" s="138" t="str">
        <f ca="1">IF(INDIRECT(CONCATENATE("'",'Inconsistency Data'!$I$4,"'!N19"))="","",INDIRECT(CONCATENATE("'",'Inconsistency Data'!$I$4,"'!N19")))</f>
        <v>OR[3,5]</v>
      </c>
      <c r="J19" s="126" t="str">
        <f ca="1">IF(INDIRECT(CONCATENATE("'",'Inconsistency Data'!$I$4,"'!O19"))="","",INDIRECT(CONCATENATE("'",'Inconsistency Data'!$I$4,"'!O19")))</f>
        <v>IBUIVHIGHDOSE versus IBUPO</v>
      </c>
      <c r="K19" s="127">
        <f ca="1">IF(INDIRECT(CONCATENATE("'",'Inconsistency Data'!$I$4,"'!Q19"))="","",INDIRECT(CONCATENATE("'",'Inconsistency Data'!$I$4,"'!Q19")))</f>
        <v>3.4860000000000002</v>
      </c>
      <c r="L19" s="128" t="str">
        <f>IF(D19="","",IF((INDEX('RE Inconsistency Results'!$H$1:$H$500,MATCH(SUBSTITUTE(D19,"OR","d"),'RE Inconsistency Results'!$B$1:$B$500,0),1))-(INDEX('RE Inconsistency Results'!$F$1:$F$500,MATCH(SUBSTITUTE(D19,"OR","d"),'RE Inconsistency Results'!$B$1:$B$500,0),1))&gt;50,"N/A",EXP(INDEX('RE Inconsistency Results'!$G$1:$G$500,MATCH(SUBSTITUTE(D19,"OR","d"),'RE Inconsistency Results'!$B$1:$B$500,0),1))))</f>
        <v/>
      </c>
    </row>
    <row r="20" spans="4:12" x14ac:dyDescent="0.25">
      <c r="D20" s="125" t="str">
        <f>IF('Fixed Effects'!N20="","",'Fixed Effects'!N20)</f>
        <v/>
      </c>
      <c r="E20" s="126" t="str">
        <f>IF('Fixed Effects'!O20="","",'Fixed Effects'!O20)</f>
        <v/>
      </c>
      <c r="F20" s="127" t="str">
        <f>IF('Fixed Effects'!Q20="","",'Fixed Effects'!Q20)</f>
        <v/>
      </c>
      <c r="G20" s="128" t="str">
        <f>IF(D20="","",IF((INDEX('FE Inconsistency Results'!$H$1:$H$500,MATCH(SUBSTITUTE(D20,"OR","d"),'FE Inconsistency Results'!$B$1:$B$500,0),1))-(INDEX('FE Inconsistency Results'!$F$1:$F$500,MATCH(SUBSTITUTE(D20,"OR","d"),'FE Inconsistency Results'!$B$1:$B$500,0),1))&gt;50,"N/A",EXP(INDEX('FE Inconsistency Results'!$G$1:$G$500,MATCH(SUBSTITUTE(D20,"OR","d"),'FE Inconsistency Results'!$B$1:$B$500,0),1))))</f>
        <v/>
      </c>
      <c r="I20" s="138" t="str">
        <f ca="1">IF(INDIRECT(CONCATENATE("'",'Inconsistency Data'!$I$4,"'!N20"))="","",INDIRECT(CONCATENATE("'",'Inconsistency Data'!$I$4,"'!N20")))</f>
        <v>OR[3,6]</v>
      </c>
      <c r="J20" s="126" t="str">
        <f ca="1">IF(INDIRECT(CONCATENATE("'",'Inconsistency Data'!$I$4,"'!O20"))="","",INDIRECT(CONCATENATE("'",'Inconsistency Data'!$I$4,"'!O20")))</f>
        <v>IBUIVCONT versus IBUPO</v>
      </c>
      <c r="K20" s="127">
        <f ca="1">IF(INDIRECT(CONCATENATE("'",'Inconsistency Data'!$I$4,"'!Q20"))="","",INDIRECT(CONCATENATE("'",'Inconsistency Data'!$I$4,"'!Q20")))</f>
        <v>1.8220000000000001</v>
      </c>
      <c r="L20" s="128" t="str">
        <f>IF(D20="","",IF((INDEX('RE Inconsistency Results'!$H$1:$H$500,MATCH(SUBSTITUTE(D20,"OR","d"),'RE Inconsistency Results'!$B$1:$B$500,0),1))-(INDEX('RE Inconsistency Results'!$F$1:$F$500,MATCH(SUBSTITUTE(D20,"OR","d"),'RE Inconsistency Results'!$B$1:$B$500,0),1))&gt;50,"N/A",EXP(INDEX('RE Inconsistency Results'!$G$1:$G$500,MATCH(SUBSTITUTE(D20,"OR","d"),'RE Inconsistency Results'!$B$1:$B$500,0),1))))</f>
        <v/>
      </c>
    </row>
    <row r="21" spans="4:12" x14ac:dyDescent="0.25">
      <c r="D21" s="125" t="str">
        <f>IF('Fixed Effects'!N21="","",'Fixed Effects'!N21)</f>
        <v/>
      </c>
      <c r="E21" s="126" t="str">
        <f>IF('Fixed Effects'!O21="","",'Fixed Effects'!O21)</f>
        <v/>
      </c>
      <c r="F21" s="127" t="str">
        <f>IF('Fixed Effects'!Q21="","",'Fixed Effects'!Q21)</f>
        <v/>
      </c>
      <c r="G21" s="128" t="str">
        <f>IF(D21="","",IF((INDEX('FE Inconsistency Results'!$H$1:$H$500,MATCH(SUBSTITUTE(D21,"OR","d"),'FE Inconsistency Results'!$B$1:$B$500,0),1))-(INDEX('FE Inconsistency Results'!$F$1:$F$500,MATCH(SUBSTITUTE(D21,"OR","d"),'FE Inconsistency Results'!$B$1:$B$500,0),1))&gt;50,"N/A",EXP(INDEX('FE Inconsistency Results'!$G$1:$G$500,MATCH(SUBSTITUTE(D21,"OR","d"),'FE Inconsistency Results'!$B$1:$B$500,0),1))))</f>
        <v/>
      </c>
      <c r="I21" s="138" t="str">
        <f ca="1">IF(INDIRECT(CONCATENATE("'",'Inconsistency Data'!$I$4,"'!N21"))="","",INDIRECT(CONCATENATE("'",'Inconsistency Data'!$I$4,"'!N21")))</f>
        <v>OR[3,7]</v>
      </c>
      <c r="J21" s="126" t="str">
        <f ca="1">IF(INDIRECT(CONCATENATE("'",'Inconsistency Data'!$I$4,"'!O21"))="","",INDIRECT(CONCATENATE("'",'Inconsistency Data'!$I$4,"'!O21")))</f>
        <v>INDOTHERS versus IBUPO</v>
      </c>
      <c r="K21" s="127">
        <f ca="1">IF(INDIRECT(CONCATENATE("'",'Inconsistency Data'!$I$4,"'!Q21"))="","",INDIRECT(CONCATENATE("'",'Inconsistency Data'!$I$4,"'!Q21")))</f>
        <v>1.9850000000000001</v>
      </c>
      <c r="L21" s="128" t="str">
        <f>IF(D21="","",IF((INDEX('RE Inconsistency Results'!$H$1:$H$500,MATCH(SUBSTITUTE(D21,"OR","d"),'RE Inconsistency Results'!$B$1:$B$500,0),1))-(INDEX('RE Inconsistency Results'!$F$1:$F$500,MATCH(SUBSTITUTE(D21,"OR","d"),'RE Inconsistency Results'!$B$1:$B$500,0),1))&gt;50,"N/A",EXP(INDEX('RE Inconsistency Results'!$G$1:$G$500,MATCH(SUBSTITUTE(D21,"OR","d"),'RE Inconsistency Results'!$B$1:$B$500,0),1))))</f>
        <v/>
      </c>
    </row>
    <row r="22" spans="4:12" x14ac:dyDescent="0.25">
      <c r="D22" s="125" t="str">
        <f>IF('Fixed Effects'!N22="","",'Fixed Effects'!N22)</f>
        <v/>
      </c>
      <c r="E22" s="126" t="str">
        <f>IF('Fixed Effects'!O22="","",'Fixed Effects'!O22)</f>
        <v/>
      </c>
      <c r="F22" s="127" t="str">
        <f>IF('Fixed Effects'!Q22="","",'Fixed Effects'!Q22)</f>
        <v/>
      </c>
      <c r="G22" s="128" t="str">
        <f>IF(D22="","",IF((INDEX('FE Inconsistency Results'!$H$1:$H$500,MATCH(SUBSTITUTE(D22,"OR","d"),'FE Inconsistency Results'!$B$1:$B$500,0),1))-(INDEX('FE Inconsistency Results'!$F$1:$F$500,MATCH(SUBSTITUTE(D22,"OR","d"),'FE Inconsistency Results'!$B$1:$B$500,0),1))&gt;50,"N/A",EXP(INDEX('FE Inconsistency Results'!$G$1:$G$500,MATCH(SUBSTITUTE(D22,"OR","d"),'FE Inconsistency Results'!$B$1:$B$500,0),1))))</f>
        <v/>
      </c>
      <c r="I22" s="138" t="str">
        <f ca="1">IF(INDIRECT(CONCATENATE("'",'Inconsistency Data'!$I$4,"'!N22"))="","",INDIRECT(CONCATENATE("'",'Inconsistency Data'!$I$4,"'!N22")))</f>
        <v>OR[3,8]</v>
      </c>
      <c r="J22" s="126" t="str">
        <f ca="1">IF(INDIRECT(CONCATENATE("'",'Inconsistency Data'!$I$4,"'!O22"))="","",INDIRECT(CONCATENATE("'",'Inconsistency Data'!$I$4,"'!O22")))</f>
        <v>PLAC_NORX versus IBUPO</v>
      </c>
      <c r="K22" s="127">
        <f ca="1">IF(INDIRECT(CONCATENATE("'",'Inconsistency Data'!$I$4,"'!Q22"))="","",INDIRECT(CONCATENATE("'",'Inconsistency Data'!$I$4,"'!Q22")))</f>
        <v>2.0110000000000001</v>
      </c>
      <c r="L22" s="128" t="str">
        <f>IF(D22="","",IF((INDEX('RE Inconsistency Results'!$H$1:$H$500,MATCH(SUBSTITUTE(D22,"OR","d"),'RE Inconsistency Results'!$B$1:$B$500,0),1))-(INDEX('RE Inconsistency Results'!$F$1:$F$500,MATCH(SUBSTITUTE(D22,"OR","d"),'RE Inconsistency Results'!$B$1:$B$500,0),1))&gt;50,"N/A",EXP(INDEX('RE Inconsistency Results'!$G$1:$G$500,MATCH(SUBSTITUTE(D22,"OR","d"),'RE Inconsistency Results'!$B$1:$B$500,0),1))))</f>
        <v/>
      </c>
    </row>
    <row r="23" spans="4:12" x14ac:dyDescent="0.25">
      <c r="D23" s="125" t="str">
        <f>IF('Fixed Effects'!N23="","",'Fixed Effects'!N23)</f>
        <v/>
      </c>
      <c r="E23" s="126" t="str">
        <f>IF('Fixed Effects'!O23="","",'Fixed Effects'!O23)</f>
        <v/>
      </c>
      <c r="F23" s="127" t="str">
        <f>IF('Fixed Effects'!Q23="","",'Fixed Effects'!Q23)</f>
        <v/>
      </c>
      <c r="G23" s="128" t="str">
        <f>IF(D23="","",IF((INDEX('FE Inconsistency Results'!$H$1:$H$500,MATCH(SUBSTITUTE(D23,"OR","d"),'FE Inconsistency Results'!$B$1:$B$500,0),1))-(INDEX('FE Inconsistency Results'!$F$1:$F$500,MATCH(SUBSTITUTE(D23,"OR","d"),'FE Inconsistency Results'!$B$1:$B$500,0),1))&gt;50,"N/A",EXP(INDEX('FE Inconsistency Results'!$G$1:$G$500,MATCH(SUBSTITUTE(D23,"OR","d"),'FE Inconsistency Results'!$B$1:$B$500,0),1))))</f>
        <v/>
      </c>
      <c r="I23" s="138" t="str">
        <f ca="1">IF(INDIRECT(CONCATENATE("'",'Inconsistency Data'!$I$4,"'!N23"))="","",INDIRECT(CONCATENATE("'",'Inconsistency Data'!$I$4,"'!N23")))</f>
        <v>OR[4,5]</v>
      </c>
      <c r="J23" s="126" t="str">
        <f ca="1">IF(INDIRECT(CONCATENATE("'",'Inconsistency Data'!$I$4,"'!O23"))="","",INDIRECT(CONCATENATE("'",'Inconsistency Data'!$I$4,"'!O23")))</f>
        <v>IBUIVHIGHDOSE versus PARAPO</v>
      </c>
      <c r="K23" s="127">
        <f ca="1">IF(INDIRECT(CONCATENATE("'",'Inconsistency Data'!$I$4,"'!Q23"))="","",INDIRECT(CONCATENATE("'",'Inconsistency Data'!$I$4,"'!Q23")))</f>
        <v>3.7349999999999999</v>
      </c>
      <c r="L23" s="128" t="str">
        <f>IF(D23="","",IF((INDEX('RE Inconsistency Results'!$H$1:$H$500,MATCH(SUBSTITUTE(D23,"OR","d"),'RE Inconsistency Results'!$B$1:$B$500,0),1))-(INDEX('RE Inconsistency Results'!$F$1:$F$500,MATCH(SUBSTITUTE(D23,"OR","d"),'RE Inconsistency Results'!$B$1:$B$500,0),1))&gt;50,"N/A",EXP(INDEX('RE Inconsistency Results'!$G$1:$G$500,MATCH(SUBSTITUTE(D23,"OR","d"),'RE Inconsistency Results'!$B$1:$B$500,0),1))))</f>
        <v/>
      </c>
    </row>
    <row r="24" spans="4:12" x14ac:dyDescent="0.25">
      <c r="D24" s="125" t="str">
        <f>IF('Fixed Effects'!N24="","",'Fixed Effects'!N24)</f>
        <v/>
      </c>
      <c r="E24" s="126" t="str">
        <f>IF('Fixed Effects'!O24="","",'Fixed Effects'!O24)</f>
        <v/>
      </c>
      <c r="F24" s="127" t="str">
        <f>IF('Fixed Effects'!Q24="","",'Fixed Effects'!Q24)</f>
        <v/>
      </c>
      <c r="G24" s="128" t="str">
        <f>IF(D24="","",IF((INDEX('FE Inconsistency Results'!$H$1:$H$500,MATCH(SUBSTITUTE(D24,"OR","d"),'FE Inconsistency Results'!$B$1:$B$500,0),1))-(INDEX('FE Inconsistency Results'!$F$1:$F$500,MATCH(SUBSTITUTE(D24,"OR","d"),'FE Inconsistency Results'!$B$1:$B$500,0),1))&gt;50,"N/A",EXP(INDEX('FE Inconsistency Results'!$G$1:$G$500,MATCH(SUBSTITUTE(D24,"OR","d"),'FE Inconsistency Results'!$B$1:$B$500,0),1))))</f>
        <v/>
      </c>
      <c r="I24" s="138" t="str">
        <f ca="1">IF(INDIRECT(CONCATENATE("'",'Inconsistency Data'!$I$4,"'!N24"))="","",INDIRECT(CONCATENATE("'",'Inconsistency Data'!$I$4,"'!N24")))</f>
        <v>OR[4,6]</v>
      </c>
      <c r="J24" s="126" t="str">
        <f ca="1">IF(INDIRECT(CONCATENATE("'",'Inconsistency Data'!$I$4,"'!O24"))="","",INDIRECT(CONCATENATE("'",'Inconsistency Data'!$I$4,"'!O24")))</f>
        <v>IBUIVCONT versus PARAPO</v>
      </c>
      <c r="K24" s="127">
        <f ca="1">IF(INDIRECT(CONCATENATE("'",'Inconsistency Data'!$I$4,"'!Q24"))="","",INDIRECT(CONCATENATE("'",'Inconsistency Data'!$I$4,"'!Q24")))</f>
        <v>2.0049999999999999</v>
      </c>
      <c r="L24" s="128" t="str">
        <f>IF(D24="","",IF((INDEX('RE Inconsistency Results'!$H$1:$H$500,MATCH(SUBSTITUTE(D24,"OR","d"),'RE Inconsistency Results'!$B$1:$B$500,0),1))-(INDEX('RE Inconsistency Results'!$F$1:$F$500,MATCH(SUBSTITUTE(D24,"OR","d"),'RE Inconsistency Results'!$B$1:$B$500,0),1))&gt;50,"N/A",EXP(INDEX('RE Inconsistency Results'!$G$1:$G$500,MATCH(SUBSTITUTE(D24,"OR","d"),'RE Inconsistency Results'!$B$1:$B$500,0),1))))</f>
        <v/>
      </c>
    </row>
    <row r="25" spans="4:12" x14ac:dyDescent="0.25">
      <c r="D25" s="125" t="str">
        <f>IF('Fixed Effects'!N25="","",'Fixed Effects'!N25)</f>
        <v/>
      </c>
      <c r="E25" s="126" t="str">
        <f>IF('Fixed Effects'!O25="","",'Fixed Effects'!O25)</f>
        <v/>
      </c>
      <c r="F25" s="127" t="str">
        <f>IF('Fixed Effects'!Q25="","",'Fixed Effects'!Q25)</f>
        <v/>
      </c>
      <c r="G25" s="128" t="str">
        <f>IF(D25="","",IF((INDEX('FE Inconsistency Results'!$H$1:$H$500,MATCH(SUBSTITUTE(D25,"OR","d"),'FE Inconsistency Results'!$B$1:$B$500,0),1))-(INDEX('FE Inconsistency Results'!$F$1:$F$500,MATCH(SUBSTITUTE(D25,"OR","d"),'FE Inconsistency Results'!$B$1:$B$500,0),1))&gt;50,"N/A",EXP(INDEX('FE Inconsistency Results'!$G$1:$G$500,MATCH(SUBSTITUTE(D25,"OR","d"),'FE Inconsistency Results'!$B$1:$B$500,0),1))))</f>
        <v/>
      </c>
      <c r="I25" s="138" t="str">
        <f ca="1">IF(INDIRECT(CONCATENATE("'",'Inconsistency Data'!$I$4,"'!N25"))="","",INDIRECT(CONCATENATE("'",'Inconsistency Data'!$I$4,"'!N25")))</f>
        <v>OR[4,7]</v>
      </c>
      <c r="J25" s="126" t="str">
        <f ca="1">IF(INDIRECT(CONCATENATE("'",'Inconsistency Data'!$I$4,"'!O25"))="","",INDIRECT(CONCATENATE("'",'Inconsistency Data'!$I$4,"'!O25")))</f>
        <v>INDOTHERS versus PARAPO</v>
      </c>
      <c r="K25" s="127">
        <f ca="1">IF(INDIRECT(CONCATENATE("'",'Inconsistency Data'!$I$4,"'!Q25"))="","",INDIRECT(CONCATENATE("'",'Inconsistency Data'!$I$4,"'!Q25")))</f>
        <v>2.161</v>
      </c>
      <c r="L25" s="128" t="str">
        <f>IF(D25="","",IF((INDEX('RE Inconsistency Results'!$H$1:$H$500,MATCH(SUBSTITUTE(D25,"OR","d"),'RE Inconsistency Results'!$B$1:$B$500,0),1))-(INDEX('RE Inconsistency Results'!$F$1:$F$500,MATCH(SUBSTITUTE(D25,"OR","d"),'RE Inconsistency Results'!$B$1:$B$500,0),1))&gt;50,"N/A",EXP(INDEX('RE Inconsistency Results'!$G$1:$G$500,MATCH(SUBSTITUTE(D25,"OR","d"),'RE Inconsistency Results'!$B$1:$B$500,0),1))))</f>
        <v/>
      </c>
    </row>
    <row r="26" spans="4:12" x14ac:dyDescent="0.25">
      <c r="D26" s="125" t="str">
        <f>IF('Fixed Effects'!N26="","",'Fixed Effects'!N26)</f>
        <v/>
      </c>
      <c r="E26" s="126" t="str">
        <f>IF('Fixed Effects'!O26="","",'Fixed Effects'!O26)</f>
        <v/>
      </c>
      <c r="F26" s="127" t="str">
        <f>IF('Fixed Effects'!Q26="","",'Fixed Effects'!Q26)</f>
        <v/>
      </c>
      <c r="G26" s="128" t="str">
        <f>IF(D26="","",IF((INDEX('FE Inconsistency Results'!$H$1:$H$500,MATCH(SUBSTITUTE(D26,"OR","d"),'FE Inconsistency Results'!$B$1:$B$500,0),1))-(INDEX('FE Inconsistency Results'!$F$1:$F$500,MATCH(SUBSTITUTE(D26,"OR","d"),'FE Inconsistency Results'!$B$1:$B$500,0),1))&gt;50,"N/A",EXP(INDEX('FE Inconsistency Results'!$G$1:$G$500,MATCH(SUBSTITUTE(D26,"OR","d"),'FE Inconsistency Results'!$B$1:$B$500,0),1))))</f>
        <v/>
      </c>
      <c r="I26" s="138" t="str">
        <f ca="1">IF(INDIRECT(CONCATENATE("'",'Inconsistency Data'!$I$4,"'!N26"))="","",INDIRECT(CONCATENATE("'",'Inconsistency Data'!$I$4,"'!N26")))</f>
        <v>OR[4,8]</v>
      </c>
      <c r="J26" s="126" t="str">
        <f ca="1">IF(INDIRECT(CONCATENATE("'",'Inconsistency Data'!$I$4,"'!O26"))="","",INDIRECT(CONCATENATE("'",'Inconsistency Data'!$I$4,"'!O26")))</f>
        <v>PLAC_NORX versus PARAPO</v>
      </c>
      <c r="K26" s="127">
        <f ca="1">IF(INDIRECT(CONCATENATE("'",'Inconsistency Data'!$I$4,"'!Q26"))="","",INDIRECT(CONCATENATE("'",'Inconsistency Data'!$I$4,"'!Q26")))</f>
        <v>2.1669999999999998</v>
      </c>
      <c r="L26" s="128" t="str">
        <f>IF(D26="","",IF((INDEX('RE Inconsistency Results'!$H$1:$H$500,MATCH(SUBSTITUTE(D26,"OR","d"),'RE Inconsistency Results'!$B$1:$B$500,0),1))-(INDEX('RE Inconsistency Results'!$F$1:$F$500,MATCH(SUBSTITUTE(D26,"OR","d"),'RE Inconsistency Results'!$B$1:$B$500,0),1))&gt;50,"N/A",EXP(INDEX('RE Inconsistency Results'!$G$1:$G$500,MATCH(SUBSTITUTE(D26,"OR","d"),'RE Inconsistency Results'!$B$1:$B$500,0),1))))</f>
        <v/>
      </c>
    </row>
    <row r="27" spans="4:12" x14ac:dyDescent="0.25">
      <c r="D27" s="125" t="str">
        <f>IF('Fixed Effects'!N27="","",'Fixed Effects'!N27)</f>
        <v/>
      </c>
      <c r="E27" s="126" t="str">
        <f>IF('Fixed Effects'!O27="","",'Fixed Effects'!O27)</f>
        <v/>
      </c>
      <c r="F27" s="127" t="str">
        <f>IF('Fixed Effects'!Q27="","",'Fixed Effects'!Q27)</f>
        <v/>
      </c>
      <c r="G27" s="128" t="str">
        <f>IF(D27="","",IF((INDEX('FE Inconsistency Results'!$H$1:$H$500,MATCH(SUBSTITUTE(D27,"OR","d"),'FE Inconsistency Results'!$B$1:$B$500,0),1))-(INDEX('FE Inconsistency Results'!$F$1:$F$500,MATCH(SUBSTITUTE(D27,"OR","d"),'FE Inconsistency Results'!$B$1:$B$500,0),1))&gt;50,"N/A",EXP(INDEX('FE Inconsistency Results'!$G$1:$G$500,MATCH(SUBSTITUTE(D27,"OR","d"),'FE Inconsistency Results'!$B$1:$B$500,0),1))))</f>
        <v/>
      </c>
      <c r="I27" s="138" t="str">
        <f ca="1">IF(INDIRECT(CONCATENATE("'",'Inconsistency Data'!$I$4,"'!N27"))="","",INDIRECT(CONCATENATE("'",'Inconsistency Data'!$I$4,"'!N27")))</f>
        <v>OR[5,6]</v>
      </c>
      <c r="J27" s="126" t="str">
        <f ca="1">IF(INDIRECT(CONCATENATE("'",'Inconsistency Data'!$I$4,"'!O27"))="","",INDIRECT(CONCATENATE("'",'Inconsistency Data'!$I$4,"'!O27")))</f>
        <v>IBUIVCONT versus IBUIVHIGHDOSE</v>
      </c>
      <c r="K27" s="127">
        <f ca="1">IF(INDIRECT(CONCATENATE("'",'Inconsistency Data'!$I$4,"'!Q27"))="","",INDIRECT(CONCATENATE("'",'Inconsistency Data'!$I$4,"'!Q27")))</f>
        <v>0.53359999999999996</v>
      </c>
      <c r="L27" s="128" t="str">
        <f>IF(D27="","",IF((INDEX('RE Inconsistency Results'!$H$1:$H$500,MATCH(SUBSTITUTE(D27,"OR","d"),'RE Inconsistency Results'!$B$1:$B$500,0),1))-(INDEX('RE Inconsistency Results'!$F$1:$F$500,MATCH(SUBSTITUTE(D27,"OR","d"),'RE Inconsistency Results'!$B$1:$B$500,0),1))&gt;50,"N/A",EXP(INDEX('RE Inconsistency Results'!$G$1:$G$500,MATCH(SUBSTITUTE(D27,"OR","d"),'RE Inconsistency Results'!$B$1:$B$500,0),1))))</f>
        <v/>
      </c>
    </row>
    <row r="28" spans="4:12" x14ac:dyDescent="0.25">
      <c r="D28" s="125" t="str">
        <f>IF('Fixed Effects'!N28="","",'Fixed Effects'!N28)</f>
        <v/>
      </c>
      <c r="E28" s="126" t="str">
        <f>IF('Fixed Effects'!O28="","",'Fixed Effects'!O28)</f>
        <v/>
      </c>
      <c r="F28" s="127" t="str">
        <f>IF('Fixed Effects'!Q28="","",'Fixed Effects'!Q28)</f>
        <v/>
      </c>
      <c r="G28" s="128" t="str">
        <f>IF(D28="","",IF((INDEX('FE Inconsistency Results'!$H$1:$H$500,MATCH(SUBSTITUTE(D28,"OR","d"),'FE Inconsistency Results'!$B$1:$B$500,0),1))-(INDEX('FE Inconsistency Results'!$F$1:$F$500,MATCH(SUBSTITUTE(D28,"OR","d"),'FE Inconsistency Results'!$B$1:$B$500,0),1))&gt;50,"N/A",EXP(INDEX('FE Inconsistency Results'!$G$1:$G$500,MATCH(SUBSTITUTE(D28,"OR","d"),'FE Inconsistency Results'!$B$1:$B$500,0),1))))</f>
        <v/>
      </c>
      <c r="I28" s="138" t="str">
        <f ca="1">IF(INDIRECT(CONCATENATE("'",'Inconsistency Data'!$I$4,"'!N28"))="","",INDIRECT(CONCATENATE("'",'Inconsistency Data'!$I$4,"'!N28")))</f>
        <v>OR[5,7]</v>
      </c>
      <c r="J28" s="126" t="str">
        <f ca="1">IF(INDIRECT(CONCATENATE("'",'Inconsistency Data'!$I$4,"'!O28"))="","",INDIRECT(CONCATENATE("'",'Inconsistency Data'!$I$4,"'!O28")))</f>
        <v>INDOTHERS versus IBUIVHIGHDOSE</v>
      </c>
      <c r="K28" s="127">
        <f ca="1">IF(INDIRECT(CONCATENATE("'",'Inconsistency Data'!$I$4,"'!Q28"))="","",INDIRECT(CONCATENATE("'",'Inconsistency Data'!$I$4,"'!Q28")))</f>
        <v>0.5706</v>
      </c>
      <c r="L28" s="128" t="str">
        <f>IF(D28="","",IF((INDEX('RE Inconsistency Results'!$H$1:$H$500,MATCH(SUBSTITUTE(D28,"OR","d"),'RE Inconsistency Results'!$B$1:$B$500,0),1))-(INDEX('RE Inconsistency Results'!$F$1:$F$500,MATCH(SUBSTITUTE(D28,"OR","d"),'RE Inconsistency Results'!$B$1:$B$500,0),1))&gt;50,"N/A",EXP(INDEX('RE Inconsistency Results'!$G$1:$G$500,MATCH(SUBSTITUTE(D28,"OR","d"),'RE Inconsistency Results'!$B$1:$B$500,0),1))))</f>
        <v/>
      </c>
    </row>
    <row r="29" spans="4:12" x14ac:dyDescent="0.25">
      <c r="D29" s="125" t="str">
        <f>IF('Fixed Effects'!N29="","",'Fixed Effects'!N29)</f>
        <v/>
      </c>
      <c r="E29" s="126" t="str">
        <f>IF('Fixed Effects'!O29="","",'Fixed Effects'!O29)</f>
        <v/>
      </c>
      <c r="F29" s="127" t="str">
        <f>IF('Fixed Effects'!Q29="","",'Fixed Effects'!Q29)</f>
        <v/>
      </c>
      <c r="G29" s="128" t="str">
        <f>IF(D29="","",IF((INDEX('FE Inconsistency Results'!$H$1:$H$500,MATCH(SUBSTITUTE(D29,"OR","d"),'FE Inconsistency Results'!$B$1:$B$500,0),1))-(INDEX('FE Inconsistency Results'!$F$1:$F$500,MATCH(SUBSTITUTE(D29,"OR","d"),'FE Inconsistency Results'!$B$1:$B$500,0),1))&gt;50,"N/A",EXP(INDEX('FE Inconsistency Results'!$G$1:$G$500,MATCH(SUBSTITUTE(D29,"OR","d"),'FE Inconsistency Results'!$B$1:$B$500,0),1))))</f>
        <v/>
      </c>
      <c r="I29" s="138" t="str">
        <f ca="1">IF(INDIRECT(CONCATENATE("'",'Inconsistency Data'!$I$4,"'!N29"))="","",INDIRECT(CONCATENATE("'",'Inconsistency Data'!$I$4,"'!N29")))</f>
        <v>OR[5,8]</v>
      </c>
      <c r="J29" s="126" t="str">
        <f ca="1">IF(INDIRECT(CONCATENATE("'",'Inconsistency Data'!$I$4,"'!O29"))="","",INDIRECT(CONCATENATE("'",'Inconsistency Data'!$I$4,"'!O29")))</f>
        <v>PLAC_NORX versus IBUIVHIGHDOSE</v>
      </c>
      <c r="K29" s="127">
        <f ca="1">IF(INDIRECT(CONCATENATE("'",'Inconsistency Data'!$I$4,"'!Q29"))="","",INDIRECT(CONCATENATE("'",'Inconsistency Data'!$I$4,"'!Q29")))</f>
        <v>0.58250000000000002</v>
      </c>
      <c r="L29" s="128" t="str">
        <f>IF(D29="","",IF((INDEX('RE Inconsistency Results'!$H$1:$H$500,MATCH(SUBSTITUTE(D29,"OR","d"),'RE Inconsistency Results'!$B$1:$B$500,0),1))-(INDEX('RE Inconsistency Results'!$F$1:$F$500,MATCH(SUBSTITUTE(D29,"OR","d"),'RE Inconsistency Results'!$B$1:$B$500,0),1))&gt;50,"N/A",EXP(INDEX('RE Inconsistency Results'!$G$1:$G$500,MATCH(SUBSTITUTE(D29,"OR","d"),'RE Inconsistency Results'!$B$1:$B$500,0),1))))</f>
        <v/>
      </c>
    </row>
    <row r="30" spans="4:12" x14ac:dyDescent="0.25">
      <c r="D30" s="125" t="str">
        <f>IF('Fixed Effects'!N30="","",'Fixed Effects'!N30)</f>
        <v/>
      </c>
      <c r="E30" s="126" t="str">
        <f>IF('Fixed Effects'!O30="","",'Fixed Effects'!O30)</f>
        <v/>
      </c>
      <c r="F30" s="127" t="str">
        <f>IF('Fixed Effects'!Q30="","",'Fixed Effects'!Q30)</f>
        <v/>
      </c>
      <c r="G30" s="128" t="str">
        <f>IF(D30="","",IF((INDEX('FE Inconsistency Results'!$H$1:$H$500,MATCH(SUBSTITUTE(D30,"OR","d"),'FE Inconsistency Results'!$B$1:$B$500,0),1))-(INDEX('FE Inconsistency Results'!$F$1:$F$500,MATCH(SUBSTITUTE(D30,"OR","d"),'FE Inconsistency Results'!$B$1:$B$500,0),1))&gt;50,"N/A",EXP(INDEX('FE Inconsistency Results'!$G$1:$G$500,MATCH(SUBSTITUTE(D30,"OR","d"),'FE Inconsistency Results'!$B$1:$B$500,0),1))))</f>
        <v/>
      </c>
      <c r="I30" s="138" t="str">
        <f ca="1">IF(INDIRECT(CONCATENATE("'",'Inconsistency Data'!$I$4,"'!N30"))="","",INDIRECT(CONCATENATE("'",'Inconsistency Data'!$I$4,"'!N30")))</f>
        <v>OR[6,7]</v>
      </c>
      <c r="J30" s="126" t="str">
        <f ca="1">IF(INDIRECT(CONCATENATE("'",'Inconsistency Data'!$I$4,"'!O30"))="","",INDIRECT(CONCATENATE("'",'Inconsistency Data'!$I$4,"'!O30")))</f>
        <v>INDOTHERS versus IBUIVCONT</v>
      </c>
      <c r="K30" s="127">
        <f ca="1">IF(INDIRECT(CONCATENATE("'",'Inconsistency Data'!$I$4,"'!Q30"))="","",INDIRECT(CONCATENATE("'",'Inconsistency Data'!$I$4,"'!Q30")))</f>
        <v>1.095</v>
      </c>
      <c r="L30" s="128" t="str">
        <f>IF(D30="","",IF((INDEX('RE Inconsistency Results'!$H$1:$H$500,MATCH(SUBSTITUTE(D30,"OR","d"),'RE Inconsistency Results'!$B$1:$B$500,0),1))-(INDEX('RE Inconsistency Results'!$F$1:$F$500,MATCH(SUBSTITUTE(D30,"OR","d"),'RE Inconsistency Results'!$B$1:$B$500,0),1))&gt;50,"N/A",EXP(INDEX('RE Inconsistency Results'!$G$1:$G$500,MATCH(SUBSTITUTE(D30,"OR","d"),'RE Inconsistency Results'!$B$1:$B$500,0),1))))</f>
        <v/>
      </c>
    </row>
    <row r="31" spans="4:12" x14ac:dyDescent="0.25">
      <c r="D31" s="125" t="str">
        <f>IF('Fixed Effects'!N31="","",'Fixed Effects'!N31)</f>
        <v/>
      </c>
      <c r="E31" s="126" t="str">
        <f>IF('Fixed Effects'!O31="","",'Fixed Effects'!O31)</f>
        <v/>
      </c>
      <c r="F31" s="127" t="str">
        <f>IF('Fixed Effects'!Q31="","",'Fixed Effects'!Q31)</f>
        <v/>
      </c>
      <c r="G31" s="128" t="str">
        <f>IF(D31="","",IF((INDEX('FE Inconsistency Results'!$H$1:$H$500,MATCH(SUBSTITUTE(D31,"OR","d"),'FE Inconsistency Results'!$B$1:$B$500,0),1))-(INDEX('FE Inconsistency Results'!$F$1:$F$500,MATCH(SUBSTITUTE(D31,"OR","d"),'FE Inconsistency Results'!$B$1:$B$500,0),1))&gt;50,"N/A",EXP(INDEX('FE Inconsistency Results'!$G$1:$G$500,MATCH(SUBSTITUTE(D31,"OR","d"),'FE Inconsistency Results'!$B$1:$B$500,0),1))))</f>
        <v/>
      </c>
      <c r="I31" s="138" t="str">
        <f ca="1">IF(INDIRECT(CONCATENATE("'",'Inconsistency Data'!$I$4,"'!N31"))="","",INDIRECT(CONCATENATE("'",'Inconsistency Data'!$I$4,"'!N31")))</f>
        <v>OR[6,8]</v>
      </c>
      <c r="J31" s="126" t="str">
        <f ca="1">IF(INDIRECT(CONCATENATE("'",'Inconsistency Data'!$I$4,"'!O31"))="","",INDIRECT(CONCATENATE("'",'Inconsistency Data'!$I$4,"'!O31")))</f>
        <v>PLAC_NORX versus IBUIVCONT</v>
      </c>
      <c r="K31" s="127">
        <f ca="1">IF(INDIRECT(CONCATENATE("'",'Inconsistency Data'!$I$4,"'!Q31"))="","",INDIRECT(CONCATENATE("'",'Inconsistency Data'!$I$4,"'!Q31")))</f>
        <v>1.107</v>
      </c>
      <c r="L31" s="128" t="str">
        <f>IF(D31="","",IF((INDEX('RE Inconsistency Results'!$H$1:$H$500,MATCH(SUBSTITUTE(D31,"OR","d"),'RE Inconsistency Results'!$B$1:$B$500,0),1))-(INDEX('RE Inconsistency Results'!$F$1:$F$500,MATCH(SUBSTITUTE(D31,"OR","d"),'RE Inconsistency Results'!$B$1:$B$500,0),1))&gt;50,"N/A",EXP(INDEX('RE Inconsistency Results'!$G$1:$G$500,MATCH(SUBSTITUTE(D31,"OR","d"),'RE Inconsistency Results'!$B$1:$B$500,0),1))))</f>
        <v/>
      </c>
    </row>
    <row r="32" spans="4:12" x14ac:dyDescent="0.25">
      <c r="D32" s="125" t="str">
        <f>IF('Fixed Effects'!N32="","",'Fixed Effects'!N32)</f>
        <v/>
      </c>
      <c r="E32" s="126" t="str">
        <f>IF('Fixed Effects'!O32="","",'Fixed Effects'!O32)</f>
        <v/>
      </c>
      <c r="F32" s="127" t="str">
        <f>IF('Fixed Effects'!Q32="","",'Fixed Effects'!Q32)</f>
        <v/>
      </c>
      <c r="G32" s="128" t="str">
        <f>IF(D32="","",IF((INDEX('FE Inconsistency Results'!$H$1:$H$500,MATCH(SUBSTITUTE(D32,"OR","d"),'FE Inconsistency Results'!$B$1:$B$500,0),1))-(INDEX('FE Inconsistency Results'!$F$1:$F$500,MATCH(SUBSTITUTE(D32,"OR","d"),'FE Inconsistency Results'!$B$1:$B$500,0),1))&gt;50,"N/A",EXP(INDEX('FE Inconsistency Results'!$G$1:$G$500,MATCH(SUBSTITUTE(D32,"OR","d"),'FE Inconsistency Results'!$B$1:$B$500,0),1))))</f>
        <v/>
      </c>
      <c r="I32" s="138" t="str">
        <f ca="1">IF(INDIRECT(CONCATENATE("'",'Inconsistency Data'!$I$4,"'!N32"))="","",INDIRECT(CONCATENATE("'",'Inconsistency Data'!$I$4,"'!N32")))</f>
        <v>OR[7,8]</v>
      </c>
      <c r="J32" s="126" t="str">
        <f ca="1">IF(INDIRECT(CONCATENATE("'",'Inconsistency Data'!$I$4,"'!O32"))="","",INDIRECT(CONCATENATE("'",'Inconsistency Data'!$I$4,"'!O32")))</f>
        <v>PLAC_NORX versus INDOTHERS</v>
      </c>
      <c r="K32" s="127">
        <f ca="1">IF(INDIRECT(CONCATENATE("'",'Inconsistency Data'!$I$4,"'!Q32"))="","",INDIRECT(CONCATENATE("'",'Inconsistency Data'!$I$4,"'!Q32")))</f>
        <v>1.016</v>
      </c>
      <c r="L32" s="128" t="str">
        <f>IF(D32="","",IF((INDEX('RE Inconsistency Results'!$H$1:$H$500,MATCH(SUBSTITUTE(D32,"OR","d"),'RE Inconsistency Results'!$B$1:$B$500,0),1))-(INDEX('RE Inconsistency Results'!$F$1:$F$500,MATCH(SUBSTITUTE(D32,"OR","d"),'RE Inconsistency Results'!$B$1:$B$500,0),1))&gt;50,"N/A",EXP(INDEX('RE Inconsistency Results'!$G$1:$G$500,MATCH(SUBSTITUTE(D32,"OR","d"),'RE Inconsistency Results'!$B$1:$B$500,0),1))))</f>
        <v/>
      </c>
    </row>
    <row r="33" spans="4:12" x14ac:dyDescent="0.25">
      <c r="D33" s="125" t="str">
        <f>IF('Fixed Effects'!N33="","",'Fixed Effects'!N33)</f>
        <v/>
      </c>
      <c r="E33" s="126" t="str">
        <f>IF('Fixed Effects'!O33="","",'Fixed Effects'!O33)</f>
        <v/>
      </c>
      <c r="F33" s="127" t="str">
        <f>IF('Fixed Effects'!Q33="","",'Fixed Effects'!Q33)</f>
        <v/>
      </c>
      <c r="G33" s="128" t="str">
        <f>IF(D33="","",IF((INDEX('FE Inconsistency Results'!$H$1:$H$500,MATCH(SUBSTITUTE(D33,"OR","d"),'FE Inconsistency Results'!$B$1:$B$500,0),1))-(INDEX('FE Inconsistency Results'!$F$1:$F$500,MATCH(SUBSTITUTE(D33,"OR","d"),'FE Inconsistency Results'!$B$1:$B$500,0),1))&gt;50,"N/A",EXP(INDEX('FE Inconsistency Results'!$G$1:$G$500,MATCH(SUBSTITUTE(D33,"OR","d"),'FE Inconsistency Results'!$B$1:$B$500,0),1))))</f>
        <v/>
      </c>
      <c r="I33" s="138" t="str">
        <f ca="1">IF(INDIRECT(CONCATENATE("'",'Inconsistency Data'!$I$4,"'!N33"))="","",INDIRECT(CONCATENATE("'",'Inconsistency Data'!$I$4,"'!N33")))</f>
        <v/>
      </c>
      <c r="J33" s="126" t="str">
        <f ca="1">IF(INDIRECT(CONCATENATE("'",'Inconsistency Data'!$I$4,"'!O33"))="","",INDIRECT(CONCATENATE("'",'Inconsistency Data'!$I$4,"'!O33")))</f>
        <v/>
      </c>
      <c r="K33" s="127" t="str">
        <f ca="1">IF(INDIRECT(CONCATENATE("'",'Inconsistency Data'!$I$4,"'!Q33"))="","",INDIRECT(CONCATENATE("'",'Inconsistency Data'!$I$4,"'!Q33")))</f>
        <v/>
      </c>
      <c r="L33" s="128" t="str">
        <f>IF(D33="","",IF((INDEX('RE Inconsistency Results'!$H$1:$H$500,MATCH(SUBSTITUTE(D33,"OR","d"),'RE Inconsistency Results'!$B$1:$B$500,0),1))-(INDEX('RE Inconsistency Results'!$F$1:$F$500,MATCH(SUBSTITUTE(D33,"OR","d"),'RE Inconsistency Results'!$B$1:$B$500,0),1))&gt;50,"N/A",EXP(INDEX('RE Inconsistency Results'!$G$1:$G$500,MATCH(SUBSTITUTE(D33,"OR","d"),'RE Inconsistency Results'!$B$1:$B$500,0),1))))</f>
        <v/>
      </c>
    </row>
    <row r="34" spans="4:12" x14ac:dyDescent="0.25">
      <c r="D34" s="125" t="str">
        <f>IF('Fixed Effects'!N34="","",'Fixed Effects'!N34)</f>
        <v/>
      </c>
      <c r="E34" s="126" t="str">
        <f>IF('Fixed Effects'!O34="","",'Fixed Effects'!O34)</f>
        <v/>
      </c>
      <c r="F34" s="127" t="str">
        <f>IF('Fixed Effects'!Q34="","",'Fixed Effects'!Q34)</f>
        <v/>
      </c>
      <c r="G34" s="128" t="str">
        <f>IF(D34="","",IF((INDEX('FE Inconsistency Results'!$H$1:$H$500,MATCH(SUBSTITUTE(D34,"OR","d"),'FE Inconsistency Results'!$B$1:$B$500,0),1))-(INDEX('FE Inconsistency Results'!$F$1:$F$500,MATCH(SUBSTITUTE(D34,"OR","d"),'FE Inconsistency Results'!$B$1:$B$500,0),1))&gt;50,"N/A",EXP(INDEX('FE Inconsistency Results'!$G$1:$G$500,MATCH(SUBSTITUTE(D34,"OR","d"),'FE Inconsistency Results'!$B$1:$B$500,0),1))))</f>
        <v/>
      </c>
      <c r="I34" s="138" t="str">
        <f ca="1">IF(INDIRECT(CONCATENATE("'",'Inconsistency Data'!$I$4,"'!N34"))="","",INDIRECT(CONCATENATE("'",'Inconsistency Data'!$I$4,"'!N34")))</f>
        <v/>
      </c>
      <c r="J34" s="126" t="str">
        <f ca="1">IF(INDIRECT(CONCATENATE("'",'Inconsistency Data'!$I$4,"'!O34"))="","",INDIRECT(CONCATENATE("'",'Inconsistency Data'!$I$4,"'!O34")))</f>
        <v/>
      </c>
      <c r="K34" s="127" t="str">
        <f ca="1">IF(INDIRECT(CONCATENATE("'",'Inconsistency Data'!$I$4,"'!Q34"))="","",INDIRECT(CONCATENATE("'",'Inconsistency Data'!$I$4,"'!Q34")))</f>
        <v/>
      </c>
      <c r="L34" s="128" t="str">
        <f>IF(D34="","",IF((INDEX('RE Inconsistency Results'!$H$1:$H$500,MATCH(SUBSTITUTE(D34,"OR","d"),'RE Inconsistency Results'!$B$1:$B$500,0),1))-(INDEX('RE Inconsistency Results'!$F$1:$F$500,MATCH(SUBSTITUTE(D34,"OR","d"),'RE Inconsistency Results'!$B$1:$B$500,0),1))&gt;50,"N/A",EXP(INDEX('RE Inconsistency Results'!$G$1:$G$500,MATCH(SUBSTITUTE(D34,"OR","d"),'RE Inconsistency Results'!$B$1:$B$500,0),1))))</f>
        <v/>
      </c>
    </row>
    <row r="35" spans="4:12" x14ac:dyDescent="0.25">
      <c r="D35" s="125" t="str">
        <f>IF('Fixed Effects'!N35="","",'Fixed Effects'!N35)</f>
        <v/>
      </c>
      <c r="E35" s="126" t="str">
        <f>IF('Fixed Effects'!O35="","",'Fixed Effects'!O35)</f>
        <v/>
      </c>
      <c r="F35" s="127" t="str">
        <f>IF('Fixed Effects'!Q35="","",'Fixed Effects'!Q35)</f>
        <v/>
      </c>
      <c r="G35" s="128" t="str">
        <f>IF(D35="","",IF((INDEX('FE Inconsistency Results'!$H$1:$H$500,MATCH(SUBSTITUTE(D35,"OR","d"),'FE Inconsistency Results'!$B$1:$B$500,0),1))-(INDEX('FE Inconsistency Results'!$F$1:$F$500,MATCH(SUBSTITUTE(D35,"OR","d"),'FE Inconsistency Results'!$B$1:$B$500,0),1))&gt;50,"N/A",EXP(INDEX('FE Inconsistency Results'!$G$1:$G$500,MATCH(SUBSTITUTE(D35,"OR","d"),'FE Inconsistency Results'!$B$1:$B$500,0),1))))</f>
        <v/>
      </c>
      <c r="I35" s="138" t="str">
        <f ca="1">IF(INDIRECT(CONCATENATE("'",'Inconsistency Data'!$I$4,"'!N35"))="","",INDIRECT(CONCATENATE("'",'Inconsistency Data'!$I$4,"'!N35")))</f>
        <v/>
      </c>
      <c r="J35" s="126" t="str">
        <f ca="1">IF(INDIRECT(CONCATENATE("'",'Inconsistency Data'!$I$4,"'!O35"))="","",INDIRECT(CONCATENATE("'",'Inconsistency Data'!$I$4,"'!O35")))</f>
        <v/>
      </c>
      <c r="K35" s="127" t="str">
        <f ca="1">IF(INDIRECT(CONCATENATE("'",'Inconsistency Data'!$I$4,"'!Q35"))="","",INDIRECT(CONCATENATE("'",'Inconsistency Data'!$I$4,"'!Q35")))</f>
        <v/>
      </c>
      <c r="L35" s="128" t="str">
        <f>IF(D35="","",IF((INDEX('RE Inconsistency Results'!$H$1:$H$500,MATCH(SUBSTITUTE(D35,"OR","d"),'RE Inconsistency Results'!$B$1:$B$500,0),1))-(INDEX('RE Inconsistency Results'!$F$1:$F$500,MATCH(SUBSTITUTE(D35,"OR","d"),'RE Inconsistency Results'!$B$1:$B$500,0),1))&gt;50,"N/A",EXP(INDEX('RE Inconsistency Results'!$G$1:$G$500,MATCH(SUBSTITUTE(D35,"OR","d"),'RE Inconsistency Results'!$B$1:$B$500,0),1))))</f>
        <v/>
      </c>
    </row>
    <row r="36" spans="4:12" x14ac:dyDescent="0.25">
      <c r="D36" s="125" t="str">
        <f>IF('Fixed Effects'!N36="","",'Fixed Effects'!N36)</f>
        <v/>
      </c>
      <c r="E36" s="126" t="str">
        <f>IF('Fixed Effects'!O36="","",'Fixed Effects'!O36)</f>
        <v/>
      </c>
      <c r="F36" s="127" t="str">
        <f>IF('Fixed Effects'!Q36="","",'Fixed Effects'!Q36)</f>
        <v/>
      </c>
      <c r="G36" s="128" t="str">
        <f>IF(D36="","",IF((INDEX('FE Inconsistency Results'!$H$1:$H$500,MATCH(SUBSTITUTE(D36,"OR","d"),'FE Inconsistency Results'!$B$1:$B$500,0),1))-(INDEX('FE Inconsistency Results'!$F$1:$F$500,MATCH(SUBSTITUTE(D36,"OR","d"),'FE Inconsistency Results'!$B$1:$B$500,0),1))&gt;50,"N/A",EXP(INDEX('FE Inconsistency Results'!$G$1:$G$500,MATCH(SUBSTITUTE(D36,"OR","d"),'FE Inconsistency Results'!$B$1:$B$500,0),1))))</f>
        <v/>
      </c>
      <c r="I36" s="138" t="str">
        <f ca="1">IF(INDIRECT(CONCATENATE("'",'Inconsistency Data'!$I$4,"'!N36"))="","",INDIRECT(CONCATENATE("'",'Inconsistency Data'!$I$4,"'!N36")))</f>
        <v/>
      </c>
      <c r="J36" s="126" t="str">
        <f ca="1">IF(INDIRECT(CONCATENATE("'",'Inconsistency Data'!$I$4,"'!O36"))="","",INDIRECT(CONCATENATE("'",'Inconsistency Data'!$I$4,"'!O36")))</f>
        <v/>
      </c>
      <c r="K36" s="127" t="str">
        <f ca="1">IF(INDIRECT(CONCATENATE("'",'Inconsistency Data'!$I$4,"'!Q36"))="","",INDIRECT(CONCATENATE("'",'Inconsistency Data'!$I$4,"'!Q36")))</f>
        <v/>
      </c>
      <c r="L36" s="128" t="str">
        <f>IF(D36="","",IF((INDEX('RE Inconsistency Results'!$H$1:$H$500,MATCH(SUBSTITUTE(D36,"OR","d"),'RE Inconsistency Results'!$B$1:$B$500,0),1))-(INDEX('RE Inconsistency Results'!$F$1:$F$500,MATCH(SUBSTITUTE(D36,"OR","d"),'RE Inconsistency Results'!$B$1:$B$500,0),1))&gt;50,"N/A",EXP(INDEX('RE Inconsistency Results'!$G$1:$G$500,MATCH(SUBSTITUTE(D36,"OR","d"),'RE Inconsistency Results'!$B$1:$B$500,0),1))))</f>
        <v/>
      </c>
    </row>
    <row r="37" spans="4:12" x14ac:dyDescent="0.25">
      <c r="D37" s="125" t="str">
        <f>IF('Fixed Effects'!N37="","",'Fixed Effects'!N37)</f>
        <v/>
      </c>
      <c r="E37" s="126" t="str">
        <f>IF('Fixed Effects'!O37="","",'Fixed Effects'!O37)</f>
        <v/>
      </c>
      <c r="F37" s="127" t="str">
        <f>IF('Fixed Effects'!Q37="","",'Fixed Effects'!Q37)</f>
        <v/>
      </c>
      <c r="G37" s="128" t="str">
        <f>IF(D37="","",IF((INDEX('FE Inconsistency Results'!$H$1:$H$500,MATCH(SUBSTITUTE(D37,"OR","d"),'FE Inconsistency Results'!$B$1:$B$500,0),1))-(INDEX('FE Inconsistency Results'!$F$1:$F$500,MATCH(SUBSTITUTE(D37,"OR","d"),'FE Inconsistency Results'!$B$1:$B$500,0),1))&gt;50,"N/A",EXP(INDEX('FE Inconsistency Results'!$G$1:$G$500,MATCH(SUBSTITUTE(D37,"OR","d"),'FE Inconsistency Results'!$B$1:$B$500,0),1))))</f>
        <v/>
      </c>
      <c r="I37" s="138" t="str">
        <f ca="1">IF(INDIRECT(CONCATENATE("'",'Inconsistency Data'!$I$4,"'!N37"))="","",INDIRECT(CONCATENATE("'",'Inconsistency Data'!$I$4,"'!N37")))</f>
        <v/>
      </c>
      <c r="J37" s="126" t="str">
        <f ca="1">IF(INDIRECT(CONCATENATE("'",'Inconsistency Data'!$I$4,"'!O37"))="","",INDIRECT(CONCATENATE("'",'Inconsistency Data'!$I$4,"'!O37")))</f>
        <v/>
      </c>
      <c r="K37" s="127" t="str">
        <f ca="1">IF(INDIRECT(CONCATENATE("'",'Inconsistency Data'!$I$4,"'!Q37"))="","",INDIRECT(CONCATENATE("'",'Inconsistency Data'!$I$4,"'!Q37")))</f>
        <v/>
      </c>
      <c r="L37" s="128" t="str">
        <f>IF(D37="","",IF((INDEX('RE Inconsistency Results'!$H$1:$H$500,MATCH(SUBSTITUTE(D37,"OR","d"),'RE Inconsistency Results'!$B$1:$B$500,0),1))-(INDEX('RE Inconsistency Results'!$F$1:$F$500,MATCH(SUBSTITUTE(D37,"OR","d"),'RE Inconsistency Results'!$B$1:$B$500,0),1))&gt;50,"N/A",EXP(INDEX('RE Inconsistency Results'!$G$1:$G$500,MATCH(SUBSTITUTE(D37,"OR","d"),'RE Inconsistency Results'!$B$1:$B$500,0),1))))</f>
        <v/>
      </c>
    </row>
    <row r="38" spans="4:12" x14ac:dyDescent="0.25">
      <c r="D38" s="125" t="str">
        <f>IF('Fixed Effects'!N38="","",'Fixed Effects'!N38)</f>
        <v/>
      </c>
      <c r="E38" s="126" t="str">
        <f>IF('Fixed Effects'!O38="","",'Fixed Effects'!O38)</f>
        <v/>
      </c>
      <c r="F38" s="127" t="str">
        <f>IF('Fixed Effects'!Q38="","",'Fixed Effects'!Q38)</f>
        <v/>
      </c>
      <c r="G38" s="128" t="str">
        <f>IF(D38="","",IF((INDEX('FE Inconsistency Results'!$H$1:$H$500,MATCH(SUBSTITUTE(D38,"OR","d"),'FE Inconsistency Results'!$B$1:$B$500,0),1))-(INDEX('FE Inconsistency Results'!$F$1:$F$500,MATCH(SUBSTITUTE(D38,"OR","d"),'FE Inconsistency Results'!$B$1:$B$500,0),1))&gt;50,"N/A",EXP(INDEX('FE Inconsistency Results'!$G$1:$G$500,MATCH(SUBSTITUTE(D38,"OR","d"),'FE Inconsistency Results'!$B$1:$B$500,0),1))))</f>
        <v/>
      </c>
      <c r="I38" s="138" t="str">
        <f ca="1">IF(INDIRECT(CONCATENATE("'",'Inconsistency Data'!$I$4,"'!N38"))="","",INDIRECT(CONCATENATE("'",'Inconsistency Data'!$I$4,"'!N38")))</f>
        <v/>
      </c>
      <c r="J38" s="126" t="str">
        <f ca="1">IF(INDIRECT(CONCATENATE("'",'Inconsistency Data'!$I$4,"'!O38"))="","",INDIRECT(CONCATENATE("'",'Inconsistency Data'!$I$4,"'!O38")))</f>
        <v/>
      </c>
      <c r="K38" s="127" t="str">
        <f ca="1">IF(INDIRECT(CONCATENATE("'",'Inconsistency Data'!$I$4,"'!Q38"))="","",INDIRECT(CONCATENATE("'",'Inconsistency Data'!$I$4,"'!Q38")))</f>
        <v/>
      </c>
      <c r="L38" s="128" t="str">
        <f>IF(D38="","",IF((INDEX('RE Inconsistency Results'!$H$1:$H$500,MATCH(SUBSTITUTE(D38,"OR","d"),'RE Inconsistency Results'!$B$1:$B$500,0),1))-(INDEX('RE Inconsistency Results'!$F$1:$F$500,MATCH(SUBSTITUTE(D38,"OR","d"),'RE Inconsistency Results'!$B$1:$B$500,0),1))&gt;50,"N/A",EXP(INDEX('RE Inconsistency Results'!$G$1:$G$500,MATCH(SUBSTITUTE(D38,"OR","d"),'RE Inconsistency Results'!$B$1:$B$500,0),1))))</f>
        <v/>
      </c>
    </row>
    <row r="39" spans="4:12" x14ac:dyDescent="0.25">
      <c r="D39" s="125" t="str">
        <f>IF('Fixed Effects'!N39="","",'Fixed Effects'!N39)</f>
        <v/>
      </c>
      <c r="E39" s="126" t="str">
        <f>IF('Fixed Effects'!O39="","",'Fixed Effects'!O39)</f>
        <v/>
      </c>
      <c r="F39" s="127" t="str">
        <f>IF('Fixed Effects'!Q39="","",'Fixed Effects'!Q39)</f>
        <v/>
      </c>
      <c r="G39" s="128" t="str">
        <f>IF(D39="","",IF((INDEX('FE Inconsistency Results'!$H$1:$H$500,MATCH(SUBSTITUTE(D39,"OR","d"),'FE Inconsistency Results'!$B$1:$B$500,0),1))-(INDEX('FE Inconsistency Results'!$F$1:$F$500,MATCH(SUBSTITUTE(D39,"OR","d"),'FE Inconsistency Results'!$B$1:$B$500,0),1))&gt;50,"N/A",EXP(INDEX('FE Inconsistency Results'!$G$1:$G$500,MATCH(SUBSTITUTE(D39,"OR","d"),'FE Inconsistency Results'!$B$1:$B$500,0),1))))</f>
        <v/>
      </c>
      <c r="I39" s="138" t="str">
        <f ca="1">IF(INDIRECT(CONCATENATE("'",'Inconsistency Data'!$I$4,"'!N39"))="","",INDIRECT(CONCATENATE("'",'Inconsistency Data'!$I$4,"'!N39")))</f>
        <v/>
      </c>
      <c r="J39" s="126" t="str">
        <f ca="1">IF(INDIRECT(CONCATENATE("'",'Inconsistency Data'!$I$4,"'!O39"))="","",INDIRECT(CONCATENATE("'",'Inconsistency Data'!$I$4,"'!O39")))</f>
        <v/>
      </c>
      <c r="K39" s="127" t="str">
        <f ca="1">IF(INDIRECT(CONCATENATE("'",'Inconsistency Data'!$I$4,"'!Q39"))="","",INDIRECT(CONCATENATE("'",'Inconsistency Data'!$I$4,"'!Q39")))</f>
        <v/>
      </c>
      <c r="L39" s="128" t="str">
        <f>IF(D39="","",IF((INDEX('RE Inconsistency Results'!$H$1:$H$500,MATCH(SUBSTITUTE(D39,"OR","d"),'RE Inconsistency Results'!$B$1:$B$500,0),1))-(INDEX('RE Inconsistency Results'!$F$1:$F$500,MATCH(SUBSTITUTE(D39,"OR","d"),'RE Inconsistency Results'!$B$1:$B$500,0),1))&gt;50,"N/A",EXP(INDEX('RE Inconsistency Results'!$G$1:$G$500,MATCH(SUBSTITUTE(D39,"OR","d"),'RE Inconsistency Results'!$B$1:$B$500,0),1))))</f>
        <v/>
      </c>
    </row>
    <row r="40" spans="4:12" x14ac:dyDescent="0.25">
      <c r="D40" s="125" t="str">
        <f>IF('Fixed Effects'!N40="","",'Fixed Effects'!N40)</f>
        <v/>
      </c>
      <c r="E40" s="126" t="str">
        <f>IF('Fixed Effects'!O40="","",'Fixed Effects'!O40)</f>
        <v/>
      </c>
      <c r="F40" s="127" t="str">
        <f>IF('Fixed Effects'!Q40="","",'Fixed Effects'!Q40)</f>
        <v/>
      </c>
      <c r="G40" s="128" t="str">
        <f>IF(D40="","",IF((INDEX('FE Inconsistency Results'!$H$1:$H$500,MATCH(SUBSTITUTE(D40,"OR","d"),'FE Inconsistency Results'!$B$1:$B$500,0),1))-(INDEX('FE Inconsistency Results'!$F$1:$F$500,MATCH(SUBSTITUTE(D40,"OR","d"),'FE Inconsistency Results'!$B$1:$B$500,0),1))&gt;50,"N/A",EXP(INDEX('FE Inconsistency Results'!$G$1:$G$500,MATCH(SUBSTITUTE(D40,"OR","d"),'FE Inconsistency Results'!$B$1:$B$500,0),1))))</f>
        <v/>
      </c>
      <c r="I40" s="138" t="str">
        <f ca="1">IF(INDIRECT(CONCATENATE("'",'Inconsistency Data'!$I$4,"'!N40"))="","",INDIRECT(CONCATENATE("'",'Inconsistency Data'!$I$4,"'!N40")))</f>
        <v/>
      </c>
      <c r="J40" s="126" t="str">
        <f ca="1">IF(INDIRECT(CONCATENATE("'",'Inconsistency Data'!$I$4,"'!O40"))="","",INDIRECT(CONCATENATE("'",'Inconsistency Data'!$I$4,"'!O40")))</f>
        <v/>
      </c>
      <c r="K40" s="127" t="str">
        <f ca="1">IF(INDIRECT(CONCATENATE("'",'Inconsistency Data'!$I$4,"'!Q40"))="","",INDIRECT(CONCATENATE("'",'Inconsistency Data'!$I$4,"'!Q40")))</f>
        <v/>
      </c>
      <c r="L40" s="128" t="str">
        <f>IF(D40="","",IF((INDEX('RE Inconsistency Results'!$H$1:$H$500,MATCH(SUBSTITUTE(D40,"OR","d"),'RE Inconsistency Results'!$B$1:$B$500,0),1))-(INDEX('RE Inconsistency Results'!$F$1:$F$500,MATCH(SUBSTITUTE(D40,"OR","d"),'RE Inconsistency Results'!$B$1:$B$500,0),1))&gt;50,"N/A",EXP(INDEX('RE Inconsistency Results'!$G$1:$G$500,MATCH(SUBSTITUTE(D40,"OR","d"),'RE Inconsistency Results'!$B$1:$B$500,0),1))))</f>
        <v/>
      </c>
    </row>
    <row r="41" spans="4:12" x14ac:dyDescent="0.25">
      <c r="D41" s="125" t="str">
        <f>IF('Fixed Effects'!N41="","",'Fixed Effects'!N41)</f>
        <v/>
      </c>
      <c r="E41" s="126" t="str">
        <f>IF('Fixed Effects'!O41="","",'Fixed Effects'!O41)</f>
        <v/>
      </c>
      <c r="F41" s="127" t="str">
        <f>IF('Fixed Effects'!Q41="","",'Fixed Effects'!Q41)</f>
        <v/>
      </c>
      <c r="G41" s="128" t="str">
        <f>IF(D41="","",IF((INDEX('FE Inconsistency Results'!$H$1:$H$500,MATCH(SUBSTITUTE(D41,"OR","d"),'FE Inconsistency Results'!$B$1:$B$500,0),1))-(INDEX('FE Inconsistency Results'!$F$1:$F$500,MATCH(SUBSTITUTE(D41,"OR","d"),'FE Inconsistency Results'!$B$1:$B$500,0),1))&gt;50,"N/A",EXP(INDEX('FE Inconsistency Results'!$G$1:$G$500,MATCH(SUBSTITUTE(D41,"OR","d"),'FE Inconsistency Results'!$B$1:$B$500,0),1))))</f>
        <v/>
      </c>
      <c r="I41" s="138" t="str">
        <f ca="1">IF(INDIRECT(CONCATENATE("'",'Inconsistency Data'!$I$4,"'!N41"))="","",INDIRECT(CONCATENATE("'",'Inconsistency Data'!$I$4,"'!N41")))</f>
        <v/>
      </c>
      <c r="J41" s="126" t="str">
        <f ca="1">IF(INDIRECT(CONCATENATE("'",'Inconsistency Data'!$I$4,"'!O41"))="","",INDIRECT(CONCATENATE("'",'Inconsistency Data'!$I$4,"'!O41")))</f>
        <v/>
      </c>
      <c r="K41" s="127" t="str">
        <f ca="1">IF(INDIRECT(CONCATENATE("'",'Inconsistency Data'!$I$4,"'!Q41"))="","",INDIRECT(CONCATENATE("'",'Inconsistency Data'!$I$4,"'!Q41")))</f>
        <v/>
      </c>
      <c r="L41" s="128" t="str">
        <f>IF(D41="","",IF((INDEX('RE Inconsistency Results'!$H$1:$H$500,MATCH(SUBSTITUTE(D41,"OR","d"),'RE Inconsistency Results'!$B$1:$B$500,0),1))-(INDEX('RE Inconsistency Results'!$F$1:$F$500,MATCH(SUBSTITUTE(D41,"OR","d"),'RE Inconsistency Results'!$B$1:$B$500,0),1))&gt;50,"N/A",EXP(INDEX('RE Inconsistency Results'!$G$1:$G$500,MATCH(SUBSTITUTE(D41,"OR","d"),'RE Inconsistency Results'!$B$1:$B$500,0),1))))</f>
        <v/>
      </c>
    </row>
    <row r="42" spans="4:12" x14ac:dyDescent="0.25">
      <c r="D42" s="125" t="str">
        <f>IF('Fixed Effects'!N42="","",'Fixed Effects'!N42)</f>
        <v/>
      </c>
      <c r="E42" s="126" t="str">
        <f>IF('Fixed Effects'!O42="","",'Fixed Effects'!O42)</f>
        <v/>
      </c>
      <c r="F42" s="127" t="str">
        <f>IF('Fixed Effects'!Q42="","",'Fixed Effects'!Q42)</f>
        <v/>
      </c>
      <c r="G42" s="128" t="str">
        <f>IF(D42="","",IF((INDEX('FE Inconsistency Results'!$H$1:$H$500,MATCH(SUBSTITUTE(D42,"OR","d"),'FE Inconsistency Results'!$B$1:$B$500,0),1))-(INDEX('FE Inconsistency Results'!$F$1:$F$500,MATCH(SUBSTITUTE(D42,"OR","d"),'FE Inconsistency Results'!$B$1:$B$500,0),1))&gt;50,"N/A",EXP(INDEX('FE Inconsistency Results'!$G$1:$G$500,MATCH(SUBSTITUTE(D42,"OR","d"),'FE Inconsistency Results'!$B$1:$B$500,0),1))))</f>
        <v/>
      </c>
      <c r="I42" s="138" t="str">
        <f ca="1">IF(INDIRECT(CONCATENATE("'",'Inconsistency Data'!$I$4,"'!N42"))="","",INDIRECT(CONCATENATE("'",'Inconsistency Data'!$I$4,"'!N42")))</f>
        <v/>
      </c>
      <c r="J42" s="126" t="str">
        <f ca="1">IF(INDIRECT(CONCATENATE("'",'Inconsistency Data'!$I$4,"'!O42"))="","",INDIRECT(CONCATENATE("'",'Inconsistency Data'!$I$4,"'!O42")))</f>
        <v/>
      </c>
      <c r="K42" s="127" t="str">
        <f ca="1">IF(INDIRECT(CONCATENATE("'",'Inconsistency Data'!$I$4,"'!Q42"))="","",INDIRECT(CONCATENATE("'",'Inconsistency Data'!$I$4,"'!Q42")))</f>
        <v/>
      </c>
      <c r="L42" s="128" t="str">
        <f>IF(D42="","",IF((INDEX('RE Inconsistency Results'!$H$1:$H$500,MATCH(SUBSTITUTE(D42,"OR","d"),'RE Inconsistency Results'!$B$1:$B$500,0),1))-(INDEX('RE Inconsistency Results'!$F$1:$F$500,MATCH(SUBSTITUTE(D42,"OR","d"),'RE Inconsistency Results'!$B$1:$B$500,0),1))&gt;50,"N/A",EXP(INDEX('RE Inconsistency Results'!$G$1:$G$500,MATCH(SUBSTITUTE(D42,"OR","d"),'RE Inconsistency Results'!$B$1:$B$500,0),1))))</f>
        <v/>
      </c>
    </row>
    <row r="43" spans="4:12" x14ac:dyDescent="0.25">
      <c r="D43" s="125" t="str">
        <f>IF('Fixed Effects'!N43="","",'Fixed Effects'!N43)</f>
        <v/>
      </c>
      <c r="E43" s="126" t="str">
        <f>IF('Fixed Effects'!O43="","",'Fixed Effects'!O43)</f>
        <v/>
      </c>
      <c r="F43" s="127" t="str">
        <f>IF('Fixed Effects'!Q43="","",'Fixed Effects'!Q43)</f>
        <v/>
      </c>
      <c r="G43" s="128" t="str">
        <f>IF(D43="","",IF((INDEX('FE Inconsistency Results'!$H$1:$H$500,MATCH(SUBSTITUTE(D43,"OR","d"),'FE Inconsistency Results'!$B$1:$B$500,0),1))-(INDEX('FE Inconsistency Results'!$F$1:$F$500,MATCH(SUBSTITUTE(D43,"OR","d"),'FE Inconsistency Results'!$B$1:$B$500,0),1))&gt;50,"N/A",EXP(INDEX('FE Inconsistency Results'!$G$1:$G$500,MATCH(SUBSTITUTE(D43,"OR","d"),'FE Inconsistency Results'!$B$1:$B$500,0),1))))</f>
        <v/>
      </c>
      <c r="I43" s="138" t="str">
        <f ca="1">IF(INDIRECT(CONCATENATE("'",'Inconsistency Data'!$I$4,"'!N43"))="","",INDIRECT(CONCATENATE("'",'Inconsistency Data'!$I$4,"'!N43")))</f>
        <v/>
      </c>
      <c r="J43" s="126" t="str">
        <f ca="1">IF(INDIRECT(CONCATENATE("'",'Inconsistency Data'!$I$4,"'!O43"))="","",INDIRECT(CONCATENATE("'",'Inconsistency Data'!$I$4,"'!O43")))</f>
        <v/>
      </c>
      <c r="K43" s="127" t="str">
        <f ca="1">IF(INDIRECT(CONCATENATE("'",'Inconsistency Data'!$I$4,"'!Q43"))="","",INDIRECT(CONCATENATE("'",'Inconsistency Data'!$I$4,"'!Q43")))</f>
        <v/>
      </c>
      <c r="L43" s="128" t="str">
        <f>IF(D43="","",IF((INDEX('RE Inconsistency Results'!$H$1:$H$500,MATCH(SUBSTITUTE(D43,"OR","d"),'RE Inconsistency Results'!$B$1:$B$500,0),1))-(INDEX('RE Inconsistency Results'!$F$1:$F$500,MATCH(SUBSTITUTE(D43,"OR","d"),'RE Inconsistency Results'!$B$1:$B$500,0),1))&gt;50,"N/A",EXP(INDEX('RE Inconsistency Results'!$G$1:$G$500,MATCH(SUBSTITUTE(D43,"OR","d"),'RE Inconsistency Results'!$B$1:$B$500,0),1))))</f>
        <v/>
      </c>
    </row>
    <row r="44" spans="4:12" x14ac:dyDescent="0.25">
      <c r="D44" s="125" t="str">
        <f>IF('Fixed Effects'!N44="","",'Fixed Effects'!N44)</f>
        <v/>
      </c>
      <c r="E44" s="126" t="str">
        <f>IF('Fixed Effects'!O44="","",'Fixed Effects'!O44)</f>
        <v/>
      </c>
      <c r="F44" s="127" t="str">
        <f>IF('Fixed Effects'!Q44="","",'Fixed Effects'!Q44)</f>
        <v/>
      </c>
      <c r="G44" s="128" t="str">
        <f>IF(D44="","",IF((INDEX('FE Inconsistency Results'!$H$1:$H$500,MATCH(SUBSTITUTE(D44,"OR","d"),'FE Inconsistency Results'!$B$1:$B$500,0),1))-(INDEX('FE Inconsistency Results'!$F$1:$F$500,MATCH(SUBSTITUTE(D44,"OR","d"),'FE Inconsistency Results'!$B$1:$B$500,0),1))&gt;50,"N/A",EXP(INDEX('FE Inconsistency Results'!$G$1:$G$500,MATCH(SUBSTITUTE(D44,"OR","d"),'FE Inconsistency Results'!$B$1:$B$500,0),1))))</f>
        <v/>
      </c>
      <c r="I44" s="138" t="str">
        <f ca="1">IF(INDIRECT(CONCATENATE("'",'Inconsistency Data'!$I$4,"'!N44"))="","",INDIRECT(CONCATENATE("'",'Inconsistency Data'!$I$4,"'!N44")))</f>
        <v/>
      </c>
      <c r="J44" s="126" t="str">
        <f ca="1">IF(INDIRECT(CONCATENATE("'",'Inconsistency Data'!$I$4,"'!O44"))="","",INDIRECT(CONCATENATE("'",'Inconsistency Data'!$I$4,"'!O44")))</f>
        <v/>
      </c>
      <c r="K44" s="127" t="str">
        <f ca="1">IF(INDIRECT(CONCATENATE("'",'Inconsistency Data'!$I$4,"'!Q44"))="","",INDIRECT(CONCATENATE("'",'Inconsistency Data'!$I$4,"'!Q44")))</f>
        <v/>
      </c>
      <c r="L44" s="128" t="str">
        <f>IF(D44="","",IF((INDEX('RE Inconsistency Results'!$H$1:$H$500,MATCH(SUBSTITUTE(D44,"OR","d"),'RE Inconsistency Results'!$B$1:$B$500,0),1))-(INDEX('RE Inconsistency Results'!$F$1:$F$500,MATCH(SUBSTITUTE(D44,"OR","d"),'RE Inconsistency Results'!$B$1:$B$500,0),1))&gt;50,"N/A",EXP(INDEX('RE Inconsistency Results'!$G$1:$G$500,MATCH(SUBSTITUTE(D44,"OR","d"),'RE Inconsistency Results'!$B$1:$B$500,0),1))))</f>
        <v/>
      </c>
    </row>
    <row r="45" spans="4:12" x14ac:dyDescent="0.25">
      <c r="D45" s="125" t="str">
        <f>IF('Fixed Effects'!N45="","",'Fixed Effects'!N45)</f>
        <v/>
      </c>
      <c r="E45" s="126" t="str">
        <f>IF('Fixed Effects'!O45="","",'Fixed Effects'!O45)</f>
        <v/>
      </c>
      <c r="F45" s="127" t="str">
        <f>IF('Fixed Effects'!Q45="","",'Fixed Effects'!Q45)</f>
        <v/>
      </c>
      <c r="G45" s="128" t="str">
        <f>IF(D45="","",IF((INDEX('FE Inconsistency Results'!$H$1:$H$500,MATCH(SUBSTITUTE(D45,"OR","d"),'FE Inconsistency Results'!$B$1:$B$500,0),1))-(INDEX('FE Inconsistency Results'!$F$1:$F$500,MATCH(SUBSTITUTE(D45,"OR","d"),'FE Inconsistency Results'!$B$1:$B$500,0),1))&gt;50,"N/A",EXP(INDEX('FE Inconsistency Results'!$G$1:$G$500,MATCH(SUBSTITUTE(D45,"OR","d"),'FE Inconsistency Results'!$B$1:$B$500,0),1))))</f>
        <v/>
      </c>
      <c r="I45" s="138" t="str">
        <f ca="1">IF(INDIRECT(CONCATENATE("'",'Inconsistency Data'!$I$4,"'!N45"))="","",INDIRECT(CONCATENATE("'",'Inconsistency Data'!$I$4,"'!N45")))</f>
        <v/>
      </c>
      <c r="J45" s="126" t="str">
        <f ca="1">IF(INDIRECT(CONCATENATE("'",'Inconsistency Data'!$I$4,"'!O45"))="","",INDIRECT(CONCATENATE("'",'Inconsistency Data'!$I$4,"'!O45")))</f>
        <v/>
      </c>
      <c r="K45" s="127" t="str">
        <f ca="1">IF(INDIRECT(CONCATENATE("'",'Inconsistency Data'!$I$4,"'!Q45"))="","",INDIRECT(CONCATENATE("'",'Inconsistency Data'!$I$4,"'!Q45")))</f>
        <v/>
      </c>
      <c r="L45" s="128" t="str">
        <f>IF(D45="","",IF((INDEX('RE Inconsistency Results'!$H$1:$H$500,MATCH(SUBSTITUTE(D45,"OR","d"),'RE Inconsistency Results'!$B$1:$B$500,0),1))-(INDEX('RE Inconsistency Results'!$F$1:$F$500,MATCH(SUBSTITUTE(D45,"OR","d"),'RE Inconsistency Results'!$B$1:$B$500,0),1))&gt;50,"N/A",EXP(INDEX('RE Inconsistency Results'!$G$1:$G$500,MATCH(SUBSTITUTE(D45,"OR","d"),'RE Inconsistency Results'!$B$1:$B$500,0),1))))</f>
        <v/>
      </c>
    </row>
    <row r="46" spans="4:12" x14ac:dyDescent="0.25">
      <c r="D46" s="125" t="str">
        <f>IF('Fixed Effects'!N46="","",'Fixed Effects'!N46)</f>
        <v/>
      </c>
      <c r="E46" s="126" t="str">
        <f>IF('Fixed Effects'!O46="","",'Fixed Effects'!O46)</f>
        <v/>
      </c>
      <c r="F46" s="127" t="str">
        <f>IF('Fixed Effects'!Q46="","",'Fixed Effects'!Q46)</f>
        <v/>
      </c>
      <c r="G46" s="128" t="str">
        <f>IF(D46="","",IF((INDEX('FE Inconsistency Results'!$H$1:$H$500,MATCH(SUBSTITUTE(D46,"OR","d"),'FE Inconsistency Results'!$B$1:$B$500,0),1))-(INDEX('FE Inconsistency Results'!$F$1:$F$500,MATCH(SUBSTITUTE(D46,"OR","d"),'FE Inconsistency Results'!$B$1:$B$500,0),1))&gt;50,"N/A",EXP(INDEX('FE Inconsistency Results'!$G$1:$G$500,MATCH(SUBSTITUTE(D46,"OR","d"),'FE Inconsistency Results'!$B$1:$B$500,0),1))))</f>
        <v/>
      </c>
      <c r="I46" s="138" t="str">
        <f ca="1">IF(INDIRECT(CONCATENATE("'",'Inconsistency Data'!$I$4,"'!N46"))="","",INDIRECT(CONCATENATE("'",'Inconsistency Data'!$I$4,"'!N46")))</f>
        <v/>
      </c>
      <c r="J46" s="126" t="str">
        <f ca="1">IF(INDIRECT(CONCATENATE("'",'Inconsistency Data'!$I$4,"'!O46"))="","",INDIRECT(CONCATENATE("'",'Inconsistency Data'!$I$4,"'!O46")))</f>
        <v/>
      </c>
      <c r="K46" s="127" t="str">
        <f ca="1">IF(INDIRECT(CONCATENATE("'",'Inconsistency Data'!$I$4,"'!Q46"))="","",INDIRECT(CONCATENATE("'",'Inconsistency Data'!$I$4,"'!Q46")))</f>
        <v/>
      </c>
      <c r="L46" s="128" t="str">
        <f>IF(D46="","",IF((INDEX('RE Inconsistency Results'!$H$1:$H$500,MATCH(SUBSTITUTE(D46,"OR","d"),'RE Inconsistency Results'!$B$1:$B$500,0),1))-(INDEX('RE Inconsistency Results'!$F$1:$F$500,MATCH(SUBSTITUTE(D46,"OR","d"),'RE Inconsistency Results'!$B$1:$B$500,0),1))&gt;50,"N/A",EXP(INDEX('RE Inconsistency Results'!$G$1:$G$500,MATCH(SUBSTITUTE(D46,"OR","d"),'RE Inconsistency Results'!$B$1:$B$500,0),1))))</f>
        <v/>
      </c>
    </row>
    <row r="47" spans="4:12" x14ac:dyDescent="0.25">
      <c r="D47" s="125" t="str">
        <f>IF('Fixed Effects'!N47="","",'Fixed Effects'!N47)</f>
        <v/>
      </c>
      <c r="E47" s="126" t="str">
        <f>IF('Fixed Effects'!O47="","",'Fixed Effects'!O47)</f>
        <v/>
      </c>
      <c r="F47" s="127" t="str">
        <f>IF('Fixed Effects'!Q47="","",'Fixed Effects'!Q47)</f>
        <v/>
      </c>
      <c r="G47" s="128" t="str">
        <f>IF(D47="","",IF((INDEX('FE Inconsistency Results'!$H$1:$H$500,MATCH(SUBSTITUTE(D47,"OR","d"),'FE Inconsistency Results'!$B$1:$B$500,0),1))-(INDEX('FE Inconsistency Results'!$F$1:$F$500,MATCH(SUBSTITUTE(D47,"OR","d"),'FE Inconsistency Results'!$B$1:$B$500,0),1))&gt;50,"N/A",EXP(INDEX('FE Inconsistency Results'!$G$1:$G$500,MATCH(SUBSTITUTE(D47,"OR","d"),'FE Inconsistency Results'!$B$1:$B$500,0),1))))</f>
        <v/>
      </c>
      <c r="I47" s="138" t="str">
        <f ca="1">IF(INDIRECT(CONCATENATE("'",'Inconsistency Data'!$I$4,"'!N47"))="","",INDIRECT(CONCATENATE("'",'Inconsistency Data'!$I$4,"'!N47")))</f>
        <v/>
      </c>
      <c r="J47" s="126" t="str">
        <f ca="1">IF(INDIRECT(CONCATENATE("'",'Inconsistency Data'!$I$4,"'!O47"))="","",INDIRECT(CONCATENATE("'",'Inconsistency Data'!$I$4,"'!O47")))</f>
        <v/>
      </c>
      <c r="K47" s="127" t="str">
        <f ca="1">IF(INDIRECT(CONCATENATE("'",'Inconsistency Data'!$I$4,"'!Q47"))="","",INDIRECT(CONCATENATE("'",'Inconsistency Data'!$I$4,"'!Q47")))</f>
        <v/>
      </c>
      <c r="L47" s="128" t="str">
        <f>IF(D47="","",IF((INDEX('RE Inconsistency Results'!$H$1:$H$500,MATCH(SUBSTITUTE(D47,"OR","d"),'RE Inconsistency Results'!$B$1:$B$500,0),1))-(INDEX('RE Inconsistency Results'!$F$1:$F$500,MATCH(SUBSTITUTE(D47,"OR","d"),'RE Inconsistency Results'!$B$1:$B$500,0),1))&gt;50,"N/A",EXP(INDEX('RE Inconsistency Results'!$G$1:$G$500,MATCH(SUBSTITUTE(D47,"OR","d"),'RE Inconsistency Results'!$B$1:$B$500,0),1))))</f>
        <v/>
      </c>
    </row>
    <row r="48" spans="4:12" x14ac:dyDescent="0.25">
      <c r="D48" s="125" t="str">
        <f>IF('Fixed Effects'!N48="","",'Fixed Effects'!N48)</f>
        <v/>
      </c>
      <c r="E48" s="126" t="str">
        <f>IF('Fixed Effects'!O48="","",'Fixed Effects'!O48)</f>
        <v/>
      </c>
      <c r="F48" s="127" t="str">
        <f>IF('Fixed Effects'!Q48="","",'Fixed Effects'!Q48)</f>
        <v/>
      </c>
      <c r="G48" s="128" t="str">
        <f>IF(D48="","",IF((INDEX('FE Inconsistency Results'!$H$1:$H$500,MATCH(SUBSTITUTE(D48,"OR","d"),'FE Inconsistency Results'!$B$1:$B$500,0),1))-(INDEX('FE Inconsistency Results'!$F$1:$F$500,MATCH(SUBSTITUTE(D48,"OR","d"),'FE Inconsistency Results'!$B$1:$B$500,0),1))&gt;50,"N/A",EXP(INDEX('FE Inconsistency Results'!$G$1:$G$500,MATCH(SUBSTITUTE(D48,"OR","d"),'FE Inconsistency Results'!$B$1:$B$500,0),1))))</f>
        <v/>
      </c>
      <c r="I48" s="138" t="str">
        <f ca="1">IF(INDIRECT(CONCATENATE("'",'Inconsistency Data'!$I$4,"'!N48"))="","",INDIRECT(CONCATENATE("'",'Inconsistency Data'!$I$4,"'!N48")))</f>
        <v/>
      </c>
      <c r="J48" s="126" t="str">
        <f ca="1">IF(INDIRECT(CONCATENATE("'",'Inconsistency Data'!$I$4,"'!O48"))="","",INDIRECT(CONCATENATE("'",'Inconsistency Data'!$I$4,"'!O48")))</f>
        <v/>
      </c>
      <c r="K48" s="127" t="str">
        <f ca="1">IF(INDIRECT(CONCATENATE("'",'Inconsistency Data'!$I$4,"'!Q48"))="","",INDIRECT(CONCATENATE("'",'Inconsistency Data'!$I$4,"'!Q48")))</f>
        <v/>
      </c>
      <c r="L48" s="128" t="str">
        <f>IF(D48="","",IF((INDEX('RE Inconsistency Results'!$H$1:$H$500,MATCH(SUBSTITUTE(D48,"OR","d"),'RE Inconsistency Results'!$B$1:$B$500,0),1))-(INDEX('RE Inconsistency Results'!$F$1:$F$500,MATCH(SUBSTITUTE(D48,"OR","d"),'RE Inconsistency Results'!$B$1:$B$500,0),1))&gt;50,"N/A",EXP(INDEX('RE Inconsistency Results'!$G$1:$G$500,MATCH(SUBSTITUTE(D48,"OR","d"),'RE Inconsistency Results'!$B$1:$B$500,0),1))))</f>
        <v/>
      </c>
    </row>
    <row r="49" spans="4:12" x14ac:dyDescent="0.25">
      <c r="D49" s="125" t="str">
        <f>IF('Fixed Effects'!N49="","",'Fixed Effects'!N49)</f>
        <v/>
      </c>
      <c r="E49" s="126" t="str">
        <f>IF('Fixed Effects'!O49="","",'Fixed Effects'!O49)</f>
        <v/>
      </c>
      <c r="F49" s="127" t="str">
        <f>IF('Fixed Effects'!Q49="","",'Fixed Effects'!Q49)</f>
        <v/>
      </c>
      <c r="G49" s="128" t="str">
        <f>IF(D49="","",IF((INDEX('FE Inconsistency Results'!$H$1:$H$500,MATCH(SUBSTITUTE(D49,"OR","d"),'FE Inconsistency Results'!$B$1:$B$500,0),1))-(INDEX('FE Inconsistency Results'!$F$1:$F$500,MATCH(SUBSTITUTE(D49,"OR","d"),'FE Inconsistency Results'!$B$1:$B$500,0),1))&gt;50,"N/A",EXP(INDEX('FE Inconsistency Results'!$G$1:$G$500,MATCH(SUBSTITUTE(D49,"OR","d"),'FE Inconsistency Results'!$B$1:$B$500,0),1))))</f>
        <v/>
      </c>
      <c r="I49" s="138" t="str">
        <f ca="1">IF(INDIRECT(CONCATENATE("'",'Inconsistency Data'!$I$4,"'!N49"))="","",INDIRECT(CONCATENATE("'",'Inconsistency Data'!$I$4,"'!N49")))</f>
        <v/>
      </c>
      <c r="J49" s="126" t="str">
        <f ca="1">IF(INDIRECT(CONCATENATE("'",'Inconsistency Data'!$I$4,"'!O49"))="","",INDIRECT(CONCATENATE("'",'Inconsistency Data'!$I$4,"'!O49")))</f>
        <v/>
      </c>
      <c r="K49" s="127" t="str">
        <f ca="1">IF(INDIRECT(CONCATENATE("'",'Inconsistency Data'!$I$4,"'!Q49"))="","",INDIRECT(CONCATENATE("'",'Inconsistency Data'!$I$4,"'!Q49")))</f>
        <v/>
      </c>
      <c r="L49" s="128" t="str">
        <f>IF(D49="","",IF((INDEX('RE Inconsistency Results'!$H$1:$H$500,MATCH(SUBSTITUTE(D49,"OR","d"),'RE Inconsistency Results'!$B$1:$B$500,0),1))-(INDEX('RE Inconsistency Results'!$F$1:$F$500,MATCH(SUBSTITUTE(D49,"OR","d"),'RE Inconsistency Results'!$B$1:$B$500,0),1))&gt;50,"N/A",EXP(INDEX('RE Inconsistency Results'!$G$1:$G$500,MATCH(SUBSTITUTE(D49,"OR","d"),'RE Inconsistency Results'!$B$1:$B$500,0),1))))</f>
        <v/>
      </c>
    </row>
    <row r="50" spans="4:12" x14ac:dyDescent="0.25">
      <c r="D50" s="125" t="str">
        <f>IF('Fixed Effects'!N50="","",'Fixed Effects'!N50)</f>
        <v/>
      </c>
      <c r="E50" s="126" t="str">
        <f>IF('Fixed Effects'!O50="","",'Fixed Effects'!O50)</f>
        <v/>
      </c>
      <c r="F50" s="127" t="str">
        <f>IF('Fixed Effects'!Q50="","",'Fixed Effects'!Q50)</f>
        <v/>
      </c>
      <c r="G50" s="128" t="str">
        <f>IF(D50="","",IF((INDEX('FE Inconsistency Results'!$H$1:$H$500,MATCH(SUBSTITUTE(D50,"OR","d"),'FE Inconsistency Results'!$B$1:$B$500,0),1))-(INDEX('FE Inconsistency Results'!$F$1:$F$500,MATCH(SUBSTITUTE(D50,"OR","d"),'FE Inconsistency Results'!$B$1:$B$500,0),1))&gt;50,"N/A",EXP(INDEX('FE Inconsistency Results'!$G$1:$G$500,MATCH(SUBSTITUTE(D50,"OR","d"),'FE Inconsistency Results'!$B$1:$B$500,0),1))))</f>
        <v/>
      </c>
      <c r="I50" s="138" t="str">
        <f ca="1">IF(INDIRECT(CONCATENATE("'",'Inconsistency Data'!$I$4,"'!N50"))="","",INDIRECT(CONCATENATE("'",'Inconsistency Data'!$I$4,"'!N50")))</f>
        <v/>
      </c>
      <c r="J50" s="126" t="str">
        <f ca="1">IF(INDIRECT(CONCATENATE("'",'Inconsistency Data'!$I$4,"'!O50"))="","",INDIRECT(CONCATENATE("'",'Inconsistency Data'!$I$4,"'!O50")))</f>
        <v/>
      </c>
      <c r="K50" s="127" t="str">
        <f ca="1">IF(INDIRECT(CONCATENATE("'",'Inconsistency Data'!$I$4,"'!Q50"))="","",INDIRECT(CONCATENATE("'",'Inconsistency Data'!$I$4,"'!Q50")))</f>
        <v/>
      </c>
      <c r="L50" s="128" t="str">
        <f>IF(D50="","",IF((INDEX('RE Inconsistency Results'!$H$1:$H$500,MATCH(SUBSTITUTE(D50,"OR","d"),'RE Inconsistency Results'!$B$1:$B$500,0),1))-(INDEX('RE Inconsistency Results'!$F$1:$F$500,MATCH(SUBSTITUTE(D50,"OR","d"),'RE Inconsistency Results'!$B$1:$B$500,0),1))&gt;50,"N/A",EXP(INDEX('RE Inconsistency Results'!$G$1:$G$500,MATCH(SUBSTITUTE(D50,"OR","d"),'RE Inconsistency Results'!$B$1:$B$500,0),1))))</f>
        <v/>
      </c>
    </row>
    <row r="51" spans="4:12" x14ac:dyDescent="0.25">
      <c r="D51" s="125" t="str">
        <f>IF('Fixed Effects'!N51="","",'Fixed Effects'!N51)</f>
        <v/>
      </c>
      <c r="E51" s="126" t="str">
        <f>IF('Fixed Effects'!O51="","",'Fixed Effects'!O51)</f>
        <v/>
      </c>
      <c r="F51" s="127" t="str">
        <f>IF('Fixed Effects'!Q51="","",'Fixed Effects'!Q51)</f>
        <v/>
      </c>
      <c r="G51" s="128" t="str">
        <f>IF(D51="","",IF((INDEX('FE Inconsistency Results'!$H$1:$H$500,MATCH(SUBSTITUTE(D51,"OR","d"),'FE Inconsistency Results'!$B$1:$B$500,0),1))-(INDEX('FE Inconsistency Results'!$F$1:$F$500,MATCH(SUBSTITUTE(D51,"OR","d"),'FE Inconsistency Results'!$B$1:$B$500,0),1))&gt;50,"N/A",EXP(INDEX('FE Inconsistency Results'!$G$1:$G$500,MATCH(SUBSTITUTE(D51,"OR","d"),'FE Inconsistency Results'!$B$1:$B$500,0),1))))</f>
        <v/>
      </c>
      <c r="I51" s="138" t="str">
        <f ca="1">IF(INDIRECT(CONCATENATE("'",'Inconsistency Data'!$I$4,"'!N51"))="","",INDIRECT(CONCATENATE("'",'Inconsistency Data'!$I$4,"'!N51")))</f>
        <v/>
      </c>
      <c r="J51" s="126" t="str">
        <f ca="1">IF(INDIRECT(CONCATENATE("'",'Inconsistency Data'!$I$4,"'!O51"))="","",INDIRECT(CONCATENATE("'",'Inconsistency Data'!$I$4,"'!O51")))</f>
        <v/>
      </c>
      <c r="K51" s="127" t="str">
        <f ca="1">IF(INDIRECT(CONCATENATE("'",'Inconsistency Data'!$I$4,"'!Q51"))="","",INDIRECT(CONCATENATE("'",'Inconsistency Data'!$I$4,"'!Q51")))</f>
        <v/>
      </c>
      <c r="L51" s="128" t="str">
        <f>IF(D51="","",IF((INDEX('RE Inconsistency Results'!$H$1:$H$500,MATCH(SUBSTITUTE(D51,"OR","d"),'RE Inconsistency Results'!$B$1:$B$500,0),1))-(INDEX('RE Inconsistency Results'!$F$1:$F$500,MATCH(SUBSTITUTE(D51,"OR","d"),'RE Inconsistency Results'!$B$1:$B$500,0),1))&gt;50,"N/A",EXP(INDEX('RE Inconsistency Results'!$G$1:$G$500,MATCH(SUBSTITUTE(D51,"OR","d"),'RE Inconsistency Results'!$B$1:$B$500,0),1))))</f>
        <v/>
      </c>
    </row>
    <row r="52" spans="4:12" x14ac:dyDescent="0.25">
      <c r="D52" s="125" t="str">
        <f>IF('Fixed Effects'!N52="","",'Fixed Effects'!N52)</f>
        <v/>
      </c>
      <c r="E52" s="126" t="str">
        <f>IF('Fixed Effects'!O52="","",'Fixed Effects'!O52)</f>
        <v/>
      </c>
      <c r="F52" s="127" t="str">
        <f>IF('Fixed Effects'!Q52="","",'Fixed Effects'!Q52)</f>
        <v/>
      </c>
      <c r="G52" s="128" t="str">
        <f>IF(D52="","",IF((INDEX('FE Inconsistency Results'!$H$1:$H$500,MATCH(SUBSTITUTE(D52,"OR","d"),'FE Inconsistency Results'!$B$1:$B$500,0),1))-(INDEX('FE Inconsistency Results'!$F$1:$F$500,MATCH(SUBSTITUTE(D52,"OR","d"),'FE Inconsistency Results'!$B$1:$B$500,0),1))&gt;50,"N/A",EXP(INDEX('FE Inconsistency Results'!$G$1:$G$500,MATCH(SUBSTITUTE(D52,"OR","d"),'FE Inconsistency Results'!$B$1:$B$500,0),1))))</f>
        <v/>
      </c>
      <c r="I52" s="138" t="str">
        <f ca="1">IF(INDIRECT(CONCATENATE("'",'Inconsistency Data'!$I$4,"'!N52"))="","",INDIRECT(CONCATENATE("'",'Inconsistency Data'!$I$4,"'!N52")))</f>
        <v/>
      </c>
      <c r="J52" s="126" t="str">
        <f ca="1">IF(INDIRECT(CONCATENATE("'",'Inconsistency Data'!$I$4,"'!O52"))="","",INDIRECT(CONCATENATE("'",'Inconsistency Data'!$I$4,"'!O52")))</f>
        <v/>
      </c>
      <c r="K52" s="127" t="str">
        <f ca="1">IF(INDIRECT(CONCATENATE("'",'Inconsistency Data'!$I$4,"'!Q52"))="","",INDIRECT(CONCATENATE("'",'Inconsistency Data'!$I$4,"'!Q52")))</f>
        <v/>
      </c>
      <c r="L52" s="128" t="str">
        <f>IF(D52="","",IF((INDEX('RE Inconsistency Results'!$H$1:$H$500,MATCH(SUBSTITUTE(D52,"OR","d"),'RE Inconsistency Results'!$B$1:$B$500,0),1))-(INDEX('RE Inconsistency Results'!$F$1:$F$500,MATCH(SUBSTITUTE(D52,"OR","d"),'RE Inconsistency Results'!$B$1:$B$500,0),1))&gt;50,"N/A",EXP(INDEX('RE Inconsistency Results'!$G$1:$G$500,MATCH(SUBSTITUTE(D52,"OR","d"),'RE Inconsistency Results'!$B$1:$B$500,0),1))))</f>
        <v/>
      </c>
    </row>
    <row r="53" spans="4:12" x14ac:dyDescent="0.25">
      <c r="D53" s="125" t="str">
        <f>IF('Fixed Effects'!N53="","",'Fixed Effects'!N53)</f>
        <v/>
      </c>
      <c r="E53" s="126" t="str">
        <f>IF('Fixed Effects'!O53="","",'Fixed Effects'!O53)</f>
        <v/>
      </c>
      <c r="F53" s="127" t="str">
        <f>IF('Fixed Effects'!Q53="","",'Fixed Effects'!Q53)</f>
        <v/>
      </c>
      <c r="G53" s="128" t="str">
        <f>IF(D53="","",IF((INDEX('FE Inconsistency Results'!$H$1:$H$500,MATCH(SUBSTITUTE(D53,"OR","d"),'FE Inconsistency Results'!$B$1:$B$500,0),1))-(INDEX('FE Inconsistency Results'!$F$1:$F$500,MATCH(SUBSTITUTE(D53,"OR","d"),'FE Inconsistency Results'!$B$1:$B$500,0),1))&gt;50,"N/A",EXP(INDEX('FE Inconsistency Results'!$G$1:$G$500,MATCH(SUBSTITUTE(D53,"OR","d"),'FE Inconsistency Results'!$B$1:$B$500,0),1))))</f>
        <v/>
      </c>
      <c r="I53" s="138" t="str">
        <f ca="1">IF(INDIRECT(CONCATENATE("'",'Inconsistency Data'!$I$4,"'!N53"))="","",INDIRECT(CONCATENATE("'",'Inconsistency Data'!$I$4,"'!N53")))</f>
        <v/>
      </c>
      <c r="J53" s="126" t="str">
        <f ca="1">IF(INDIRECT(CONCATENATE("'",'Inconsistency Data'!$I$4,"'!O53"))="","",INDIRECT(CONCATENATE("'",'Inconsistency Data'!$I$4,"'!O53")))</f>
        <v/>
      </c>
      <c r="K53" s="127" t="str">
        <f ca="1">IF(INDIRECT(CONCATENATE("'",'Inconsistency Data'!$I$4,"'!Q53"))="","",INDIRECT(CONCATENATE("'",'Inconsistency Data'!$I$4,"'!Q53")))</f>
        <v/>
      </c>
      <c r="L53" s="128" t="str">
        <f>IF(D53="","",IF((INDEX('RE Inconsistency Results'!$H$1:$H$500,MATCH(SUBSTITUTE(D53,"OR","d"),'RE Inconsistency Results'!$B$1:$B$500,0),1))-(INDEX('RE Inconsistency Results'!$F$1:$F$500,MATCH(SUBSTITUTE(D53,"OR","d"),'RE Inconsistency Results'!$B$1:$B$500,0),1))&gt;50,"N/A",EXP(INDEX('RE Inconsistency Results'!$G$1:$G$500,MATCH(SUBSTITUTE(D53,"OR","d"),'RE Inconsistency Results'!$B$1:$B$500,0),1))))</f>
        <v/>
      </c>
    </row>
    <row r="54" spans="4:12" x14ac:dyDescent="0.25">
      <c r="D54" s="125" t="str">
        <f>IF('Fixed Effects'!N54="","",'Fixed Effects'!N54)</f>
        <v/>
      </c>
      <c r="E54" s="126" t="str">
        <f>IF('Fixed Effects'!O54="","",'Fixed Effects'!O54)</f>
        <v/>
      </c>
      <c r="F54" s="127" t="str">
        <f>IF('Fixed Effects'!Q54="","",'Fixed Effects'!Q54)</f>
        <v/>
      </c>
      <c r="G54" s="128" t="str">
        <f>IF(D54="","",IF((INDEX('FE Inconsistency Results'!$H$1:$H$500,MATCH(SUBSTITUTE(D54,"OR","d"),'FE Inconsistency Results'!$B$1:$B$500,0),1))-(INDEX('FE Inconsistency Results'!$F$1:$F$500,MATCH(SUBSTITUTE(D54,"OR","d"),'FE Inconsistency Results'!$B$1:$B$500,0),1))&gt;50,"N/A",EXP(INDEX('FE Inconsistency Results'!$G$1:$G$500,MATCH(SUBSTITUTE(D54,"OR","d"),'FE Inconsistency Results'!$B$1:$B$500,0),1))))</f>
        <v/>
      </c>
      <c r="I54" s="138" t="str">
        <f ca="1">IF(INDIRECT(CONCATENATE("'",'Inconsistency Data'!$I$4,"'!N54"))="","",INDIRECT(CONCATENATE("'",'Inconsistency Data'!$I$4,"'!N54")))</f>
        <v/>
      </c>
      <c r="J54" s="126" t="str">
        <f ca="1">IF(INDIRECT(CONCATENATE("'",'Inconsistency Data'!$I$4,"'!O54"))="","",INDIRECT(CONCATENATE("'",'Inconsistency Data'!$I$4,"'!O54")))</f>
        <v/>
      </c>
      <c r="K54" s="127" t="str">
        <f ca="1">IF(INDIRECT(CONCATENATE("'",'Inconsistency Data'!$I$4,"'!Q54"))="","",INDIRECT(CONCATENATE("'",'Inconsistency Data'!$I$4,"'!Q54")))</f>
        <v/>
      </c>
      <c r="L54" s="128" t="str">
        <f>IF(D54="","",IF((INDEX('RE Inconsistency Results'!$H$1:$H$500,MATCH(SUBSTITUTE(D54,"OR","d"),'RE Inconsistency Results'!$B$1:$B$500,0),1))-(INDEX('RE Inconsistency Results'!$F$1:$F$500,MATCH(SUBSTITUTE(D54,"OR","d"),'RE Inconsistency Results'!$B$1:$B$500,0),1))&gt;50,"N/A",EXP(INDEX('RE Inconsistency Results'!$G$1:$G$500,MATCH(SUBSTITUTE(D54,"OR","d"),'RE Inconsistency Results'!$B$1:$B$500,0),1))))</f>
        <v/>
      </c>
    </row>
    <row r="55" spans="4:12" x14ac:dyDescent="0.25">
      <c r="D55" s="125" t="str">
        <f>IF('Fixed Effects'!N55="","",'Fixed Effects'!N55)</f>
        <v/>
      </c>
      <c r="E55" s="126" t="str">
        <f>IF('Fixed Effects'!O55="","",'Fixed Effects'!O55)</f>
        <v/>
      </c>
      <c r="F55" s="127" t="str">
        <f>IF('Fixed Effects'!Q55="","",'Fixed Effects'!Q55)</f>
        <v/>
      </c>
      <c r="G55" s="128" t="str">
        <f>IF(D55="","",IF((INDEX('FE Inconsistency Results'!$H$1:$H$500,MATCH(SUBSTITUTE(D55,"OR","d"),'FE Inconsistency Results'!$B$1:$B$500,0),1))-(INDEX('FE Inconsistency Results'!$F$1:$F$500,MATCH(SUBSTITUTE(D55,"OR","d"),'FE Inconsistency Results'!$B$1:$B$500,0),1))&gt;50,"N/A",EXP(INDEX('FE Inconsistency Results'!$G$1:$G$500,MATCH(SUBSTITUTE(D55,"OR","d"),'FE Inconsistency Results'!$B$1:$B$500,0),1))))</f>
        <v/>
      </c>
      <c r="I55" s="138" t="str">
        <f ca="1">IF(INDIRECT(CONCATENATE("'",'Inconsistency Data'!$I$4,"'!N55"))="","",INDIRECT(CONCATENATE("'",'Inconsistency Data'!$I$4,"'!N55")))</f>
        <v/>
      </c>
      <c r="J55" s="126" t="str">
        <f ca="1">IF(INDIRECT(CONCATENATE("'",'Inconsistency Data'!$I$4,"'!O55"))="","",INDIRECT(CONCATENATE("'",'Inconsistency Data'!$I$4,"'!O55")))</f>
        <v/>
      </c>
      <c r="K55" s="127" t="str">
        <f ca="1">IF(INDIRECT(CONCATENATE("'",'Inconsistency Data'!$I$4,"'!Q55"))="","",INDIRECT(CONCATENATE("'",'Inconsistency Data'!$I$4,"'!Q55")))</f>
        <v/>
      </c>
      <c r="L55" s="128" t="str">
        <f>IF(D55="","",IF((INDEX('RE Inconsistency Results'!$H$1:$H$500,MATCH(SUBSTITUTE(D55,"OR","d"),'RE Inconsistency Results'!$B$1:$B$500,0),1))-(INDEX('RE Inconsistency Results'!$F$1:$F$500,MATCH(SUBSTITUTE(D55,"OR","d"),'RE Inconsistency Results'!$B$1:$B$500,0),1))&gt;50,"N/A",EXP(INDEX('RE Inconsistency Results'!$G$1:$G$500,MATCH(SUBSTITUTE(D55,"OR","d"),'RE Inconsistency Results'!$B$1:$B$500,0),1))))</f>
        <v/>
      </c>
    </row>
    <row r="56" spans="4:12" x14ac:dyDescent="0.25">
      <c r="D56" s="125" t="str">
        <f>IF('Fixed Effects'!N56="","",'Fixed Effects'!N56)</f>
        <v/>
      </c>
      <c r="E56" s="126" t="str">
        <f>IF('Fixed Effects'!O56="","",'Fixed Effects'!O56)</f>
        <v/>
      </c>
      <c r="F56" s="127" t="str">
        <f>IF('Fixed Effects'!Q56="","",'Fixed Effects'!Q56)</f>
        <v/>
      </c>
      <c r="G56" s="128" t="str">
        <f>IF(D56="","",IF((INDEX('FE Inconsistency Results'!$H$1:$H$500,MATCH(SUBSTITUTE(D56,"OR","d"),'FE Inconsistency Results'!$B$1:$B$500,0),1))-(INDEX('FE Inconsistency Results'!$F$1:$F$500,MATCH(SUBSTITUTE(D56,"OR","d"),'FE Inconsistency Results'!$B$1:$B$500,0),1))&gt;50,"N/A",EXP(INDEX('FE Inconsistency Results'!$G$1:$G$500,MATCH(SUBSTITUTE(D56,"OR","d"),'FE Inconsistency Results'!$B$1:$B$500,0),1))))</f>
        <v/>
      </c>
      <c r="I56" s="138" t="str">
        <f ca="1">IF(INDIRECT(CONCATENATE("'",'Inconsistency Data'!$I$4,"'!N56"))="","",INDIRECT(CONCATENATE("'",'Inconsistency Data'!$I$4,"'!N56")))</f>
        <v/>
      </c>
      <c r="J56" s="126" t="str">
        <f ca="1">IF(INDIRECT(CONCATENATE("'",'Inconsistency Data'!$I$4,"'!O56"))="","",INDIRECT(CONCATENATE("'",'Inconsistency Data'!$I$4,"'!O56")))</f>
        <v/>
      </c>
      <c r="K56" s="127" t="str">
        <f ca="1">IF(INDIRECT(CONCATENATE("'",'Inconsistency Data'!$I$4,"'!Q56"))="","",INDIRECT(CONCATENATE("'",'Inconsistency Data'!$I$4,"'!Q56")))</f>
        <v/>
      </c>
      <c r="L56" s="128" t="str">
        <f>IF(D56="","",IF((INDEX('RE Inconsistency Results'!$H$1:$H$500,MATCH(SUBSTITUTE(D56,"OR","d"),'RE Inconsistency Results'!$B$1:$B$500,0),1))-(INDEX('RE Inconsistency Results'!$F$1:$F$500,MATCH(SUBSTITUTE(D56,"OR","d"),'RE Inconsistency Results'!$B$1:$B$500,0),1))&gt;50,"N/A",EXP(INDEX('RE Inconsistency Results'!$G$1:$G$500,MATCH(SUBSTITUTE(D56,"OR","d"),'RE Inconsistency Results'!$B$1:$B$500,0),1))))</f>
        <v/>
      </c>
    </row>
    <row r="57" spans="4:12" x14ac:dyDescent="0.25">
      <c r="D57" s="125" t="str">
        <f>IF('Fixed Effects'!N57="","",'Fixed Effects'!N57)</f>
        <v/>
      </c>
      <c r="E57" s="126" t="str">
        <f>IF('Fixed Effects'!O57="","",'Fixed Effects'!O57)</f>
        <v/>
      </c>
      <c r="F57" s="127" t="str">
        <f>IF('Fixed Effects'!Q57="","",'Fixed Effects'!Q57)</f>
        <v/>
      </c>
      <c r="G57" s="128" t="str">
        <f>IF(D57="","",IF((INDEX('FE Inconsistency Results'!$H$1:$H$500,MATCH(SUBSTITUTE(D57,"OR","d"),'FE Inconsistency Results'!$B$1:$B$500,0),1))-(INDEX('FE Inconsistency Results'!$F$1:$F$500,MATCH(SUBSTITUTE(D57,"OR","d"),'FE Inconsistency Results'!$B$1:$B$500,0),1))&gt;50,"N/A",EXP(INDEX('FE Inconsistency Results'!$G$1:$G$500,MATCH(SUBSTITUTE(D57,"OR","d"),'FE Inconsistency Results'!$B$1:$B$500,0),1))))</f>
        <v/>
      </c>
      <c r="I57" s="138" t="str">
        <f ca="1">IF(INDIRECT(CONCATENATE("'",'Inconsistency Data'!$I$4,"'!N57"))="","",INDIRECT(CONCATENATE("'",'Inconsistency Data'!$I$4,"'!N57")))</f>
        <v/>
      </c>
      <c r="J57" s="126" t="str">
        <f ca="1">IF(INDIRECT(CONCATENATE("'",'Inconsistency Data'!$I$4,"'!O57"))="","",INDIRECT(CONCATENATE("'",'Inconsistency Data'!$I$4,"'!O57")))</f>
        <v/>
      </c>
      <c r="K57" s="127" t="str">
        <f ca="1">IF(INDIRECT(CONCATENATE("'",'Inconsistency Data'!$I$4,"'!Q57"))="","",INDIRECT(CONCATENATE("'",'Inconsistency Data'!$I$4,"'!Q57")))</f>
        <v/>
      </c>
      <c r="L57" s="128" t="str">
        <f>IF(D57="","",IF((INDEX('RE Inconsistency Results'!$H$1:$H$500,MATCH(SUBSTITUTE(D57,"OR","d"),'RE Inconsistency Results'!$B$1:$B$500,0),1))-(INDEX('RE Inconsistency Results'!$F$1:$F$500,MATCH(SUBSTITUTE(D57,"OR","d"),'RE Inconsistency Results'!$B$1:$B$500,0),1))&gt;50,"N/A",EXP(INDEX('RE Inconsistency Results'!$G$1:$G$500,MATCH(SUBSTITUTE(D57,"OR","d"),'RE Inconsistency Results'!$B$1:$B$500,0),1))))</f>
        <v/>
      </c>
    </row>
    <row r="58" spans="4:12" x14ac:dyDescent="0.25">
      <c r="D58" s="125" t="str">
        <f>IF('Fixed Effects'!N58="","",'Fixed Effects'!N58)</f>
        <v/>
      </c>
      <c r="E58" s="126" t="str">
        <f>IF('Fixed Effects'!O58="","",'Fixed Effects'!O58)</f>
        <v/>
      </c>
      <c r="F58" s="127" t="str">
        <f>IF('Fixed Effects'!Q58="","",'Fixed Effects'!Q58)</f>
        <v/>
      </c>
      <c r="G58" s="128" t="str">
        <f>IF(D58="","",IF((INDEX('FE Inconsistency Results'!$H$1:$H$500,MATCH(SUBSTITUTE(D58,"OR","d"),'FE Inconsistency Results'!$B$1:$B$500,0),1))-(INDEX('FE Inconsistency Results'!$F$1:$F$500,MATCH(SUBSTITUTE(D58,"OR","d"),'FE Inconsistency Results'!$B$1:$B$500,0),1))&gt;50,"N/A",EXP(INDEX('FE Inconsistency Results'!$G$1:$G$500,MATCH(SUBSTITUTE(D58,"OR","d"),'FE Inconsistency Results'!$B$1:$B$500,0),1))))</f>
        <v/>
      </c>
      <c r="I58" s="138" t="str">
        <f ca="1">IF(INDIRECT(CONCATENATE("'",'Inconsistency Data'!$I$4,"'!N58"))="","",INDIRECT(CONCATENATE("'",'Inconsistency Data'!$I$4,"'!N58")))</f>
        <v/>
      </c>
      <c r="J58" s="126" t="str">
        <f ca="1">IF(INDIRECT(CONCATENATE("'",'Inconsistency Data'!$I$4,"'!O58"))="","",INDIRECT(CONCATENATE("'",'Inconsistency Data'!$I$4,"'!O58")))</f>
        <v/>
      </c>
      <c r="K58" s="127" t="str">
        <f ca="1">IF(INDIRECT(CONCATENATE("'",'Inconsistency Data'!$I$4,"'!Q58"))="","",INDIRECT(CONCATENATE("'",'Inconsistency Data'!$I$4,"'!Q58")))</f>
        <v/>
      </c>
      <c r="L58" s="128" t="str">
        <f>IF(D58="","",IF((INDEX('RE Inconsistency Results'!$H$1:$H$500,MATCH(SUBSTITUTE(D58,"OR","d"),'RE Inconsistency Results'!$B$1:$B$500,0),1))-(INDEX('RE Inconsistency Results'!$F$1:$F$500,MATCH(SUBSTITUTE(D58,"OR","d"),'RE Inconsistency Results'!$B$1:$B$500,0),1))&gt;50,"N/A",EXP(INDEX('RE Inconsistency Results'!$G$1:$G$500,MATCH(SUBSTITUTE(D58,"OR","d"),'RE Inconsistency Results'!$B$1:$B$500,0),1))))</f>
        <v/>
      </c>
    </row>
    <row r="59" spans="4:12" x14ac:dyDescent="0.25">
      <c r="D59" s="125" t="str">
        <f>IF('Fixed Effects'!N59="","",'Fixed Effects'!N59)</f>
        <v/>
      </c>
      <c r="E59" s="126" t="str">
        <f>IF('Fixed Effects'!O59="","",'Fixed Effects'!O59)</f>
        <v/>
      </c>
      <c r="F59" s="127" t="str">
        <f>IF('Fixed Effects'!Q59="","",'Fixed Effects'!Q59)</f>
        <v/>
      </c>
      <c r="G59" s="128" t="str">
        <f>IF(D59="","",IF((INDEX('FE Inconsistency Results'!$H$1:$H$500,MATCH(SUBSTITUTE(D59,"OR","d"),'FE Inconsistency Results'!$B$1:$B$500,0),1))-(INDEX('FE Inconsistency Results'!$F$1:$F$500,MATCH(SUBSTITUTE(D59,"OR","d"),'FE Inconsistency Results'!$B$1:$B$500,0),1))&gt;50,"N/A",EXP(INDEX('FE Inconsistency Results'!$G$1:$G$500,MATCH(SUBSTITUTE(D59,"OR","d"),'FE Inconsistency Results'!$B$1:$B$500,0),1))))</f>
        <v/>
      </c>
      <c r="I59" s="138" t="str">
        <f ca="1">IF(INDIRECT(CONCATENATE("'",'Inconsistency Data'!$I$4,"'!N59"))="","",INDIRECT(CONCATENATE("'",'Inconsistency Data'!$I$4,"'!N59")))</f>
        <v/>
      </c>
      <c r="J59" s="126" t="str">
        <f ca="1">IF(INDIRECT(CONCATENATE("'",'Inconsistency Data'!$I$4,"'!O59"))="","",INDIRECT(CONCATENATE("'",'Inconsistency Data'!$I$4,"'!O59")))</f>
        <v/>
      </c>
      <c r="K59" s="127" t="str">
        <f ca="1">IF(INDIRECT(CONCATENATE("'",'Inconsistency Data'!$I$4,"'!Q59"))="","",INDIRECT(CONCATENATE("'",'Inconsistency Data'!$I$4,"'!Q59")))</f>
        <v/>
      </c>
      <c r="L59" s="128" t="str">
        <f>IF(D59="","",IF((INDEX('RE Inconsistency Results'!$H$1:$H$500,MATCH(SUBSTITUTE(D59,"OR","d"),'RE Inconsistency Results'!$B$1:$B$500,0),1))-(INDEX('RE Inconsistency Results'!$F$1:$F$500,MATCH(SUBSTITUTE(D59,"OR","d"),'RE Inconsistency Results'!$B$1:$B$500,0),1))&gt;50,"N/A",EXP(INDEX('RE Inconsistency Results'!$G$1:$G$500,MATCH(SUBSTITUTE(D59,"OR","d"),'RE Inconsistency Results'!$B$1:$B$500,0),1))))</f>
        <v/>
      </c>
    </row>
    <row r="60" spans="4:12" x14ac:dyDescent="0.25">
      <c r="D60" s="125" t="str">
        <f>IF('Fixed Effects'!N60="","",'Fixed Effects'!N60)</f>
        <v/>
      </c>
      <c r="E60" s="126" t="str">
        <f>IF('Fixed Effects'!O60="","",'Fixed Effects'!O60)</f>
        <v/>
      </c>
      <c r="F60" s="127" t="str">
        <f>IF('Fixed Effects'!Q60="","",'Fixed Effects'!Q60)</f>
        <v/>
      </c>
      <c r="G60" s="128" t="str">
        <f>IF(D60="","",IF((INDEX('FE Inconsistency Results'!$H$1:$H$500,MATCH(SUBSTITUTE(D60,"OR","d"),'FE Inconsistency Results'!$B$1:$B$500,0),1))-(INDEX('FE Inconsistency Results'!$F$1:$F$500,MATCH(SUBSTITUTE(D60,"OR","d"),'FE Inconsistency Results'!$B$1:$B$500,0),1))&gt;50,"N/A",EXP(INDEX('FE Inconsistency Results'!$G$1:$G$500,MATCH(SUBSTITUTE(D60,"OR","d"),'FE Inconsistency Results'!$B$1:$B$500,0),1))))</f>
        <v/>
      </c>
      <c r="I60" s="138" t="str">
        <f ca="1">IF(INDIRECT(CONCATENATE("'",'Inconsistency Data'!$I$4,"'!N60"))="","",INDIRECT(CONCATENATE("'",'Inconsistency Data'!$I$4,"'!N60")))</f>
        <v/>
      </c>
      <c r="J60" s="126" t="str">
        <f ca="1">IF(INDIRECT(CONCATENATE("'",'Inconsistency Data'!$I$4,"'!O60"))="","",INDIRECT(CONCATENATE("'",'Inconsistency Data'!$I$4,"'!O60")))</f>
        <v/>
      </c>
      <c r="K60" s="127" t="str">
        <f ca="1">IF(INDIRECT(CONCATENATE("'",'Inconsistency Data'!$I$4,"'!Q60"))="","",INDIRECT(CONCATENATE("'",'Inconsistency Data'!$I$4,"'!Q60")))</f>
        <v/>
      </c>
      <c r="L60" s="128" t="str">
        <f>IF(D60="","",IF((INDEX('RE Inconsistency Results'!$H$1:$H$500,MATCH(SUBSTITUTE(D60,"OR","d"),'RE Inconsistency Results'!$B$1:$B$500,0),1))-(INDEX('RE Inconsistency Results'!$F$1:$F$500,MATCH(SUBSTITUTE(D60,"OR","d"),'RE Inconsistency Results'!$B$1:$B$500,0),1))&gt;50,"N/A",EXP(INDEX('RE Inconsistency Results'!$G$1:$G$500,MATCH(SUBSTITUTE(D60,"OR","d"),'RE Inconsistency Results'!$B$1:$B$500,0),1))))</f>
        <v/>
      </c>
    </row>
    <row r="61" spans="4:12" x14ac:dyDescent="0.25">
      <c r="D61" s="125" t="str">
        <f>IF('Fixed Effects'!N61="","",'Fixed Effects'!N61)</f>
        <v/>
      </c>
      <c r="E61" s="126" t="str">
        <f>IF('Fixed Effects'!O61="","",'Fixed Effects'!O61)</f>
        <v/>
      </c>
      <c r="F61" s="127" t="str">
        <f>IF('Fixed Effects'!Q61="","",'Fixed Effects'!Q61)</f>
        <v/>
      </c>
      <c r="G61" s="128" t="str">
        <f>IF(D61="","",IF((INDEX('FE Inconsistency Results'!$H$1:$H$500,MATCH(SUBSTITUTE(D61,"OR","d"),'FE Inconsistency Results'!$B$1:$B$500,0),1))-(INDEX('FE Inconsistency Results'!$F$1:$F$500,MATCH(SUBSTITUTE(D61,"OR","d"),'FE Inconsistency Results'!$B$1:$B$500,0),1))&gt;50,"N/A",EXP(INDEX('FE Inconsistency Results'!$G$1:$G$500,MATCH(SUBSTITUTE(D61,"OR","d"),'FE Inconsistency Results'!$B$1:$B$500,0),1))))</f>
        <v/>
      </c>
      <c r="I61" s="138" t="str">
        <f ca="1">IF(INDIRECT(CONCATENATE("'",'Inconsistency Data'!$I$4,"'!N61"))="","",INDIRECT(CONCATENATE("'",'Inconsistency Data'!$I$4,"'!N61")))</f>
        <v/>
      </c>
      <c r="J61" s="126" t="str">
        <f ca="1">IF(INDIRECT(CONCATENATE("'",'Inconsistency Data'!$I$4,"'!O61"))="","",INDIRECT(CONCATENATE("'",'Inconsistency Data'!$I$4,"'!O61")))</f>
        <v/>
      </c>
      <c r="K61" s="127" t="str">
        <f ca="1">IF(INDIRECT(CONCATENATE("'",'Inconsistency Data'!$I$4,"'!Q61"))="","",INDIRECT(CONCATENATE("'",'Inconsistency Data'!$I$4,"'!Q61")))</f>
        <v/>
      </c>
      <c r="L61" s="128" t="str">
        <f>IF(D61="","",IF((INDEX('RE Inconsistency Results'!$H$1:$H$500,MATCH(SUBSTITUTE(D61,"OR","d"),'RE Inconsistency Results'!$B$1:$B$500,0),1))-(INDEX('RE Inconsistency Results'!$F$1:$F$500,MATCH(SUBSTITUTE(D61,"OR","d"),'RE Inconsistency Results'!$B$1:$B$500,0),1))&gt;50,"N/A",EXP(INDEX('RE Inconsistency Results'!$G$1:$G$500,MATCH(SUBSTITUTE(D61,"OR","d"),'RE Inconsistency Results'!$B$1:$B$500,0),1))))</f>
        <v/>
      </c>
    </row>
    <row r="62" spans="4:12" x14ac:dyDescent="0.25">
      <c r="D62" s="125" t="str">
        <f>IF('Fixed Effects'!N62="","",'Fixed Effects'!N62)</f>
        <v/>
      </c>
      <c r="E62" s="126" t="str">
        <f>IF('Fixed Effects'!O62="","",'Fixed Effects'!O62)</f>
        <v/>
      </c>
      <c r="F62" s="127" t="str">
        <f>IF('Fixed Effects'!Q62="","",'Fixed Effects'!Q62)</f>
        <v/>
      </c>
      <c r="G62" s="128" t="str">
        <f>IF(D62="","",IF((INDEX('FE Inconsistency Results'!$H$1:$H$500,MATCH(SUBSTITUTE(D62,"OR","d"),'FE Inconsistency Results'!$B$1:$B$500,0),1))-(INDEX('FE Inconsistency Results'!$F$1:$F$500,MATCH(SUBSTITUTE(D62,"OR","d"),'FE Inconsistency Results'!$B$1:$B$500,0),1))&gt;50,"N/A",EXP(INDEX('FE Inconsistency Results'!$G$1:$G$500,MATCH(SUBSTITUTE(D62,"OR","d"),'FE Inconsistency Results'!$B$1:$B$500,0),1))))</f>
        <v/>
      </c>
      <c r="I62" s="138" t="str">
        <f ca="1">IF(INDIRECT(CONCATENATE("'",'Inconsistency Data'!$I$4,"'!N62"))="","",INDIRECT(CONCATENATE("'",'Inconsistency Data'!$I$4,"'!N62")))</f>
        <v/>
      </c>
      <c r="J62" s="126" t="str">
        <f ca="1">IF(INDIRECT(CONCATENATE("'",'Inconsistency Data'!$I$4,"'!O62"))="","",INDIRECT(CONCATENATE("'",'Inconsistency Data'!$I$4,"'!O62")))</f>
        <v/>
      </c>
      <c r="K62" s="127" t="str">
        <f ca="1">IF(INDIRECT(CONCATENATE("'",'Inconsistency Data'!$I$4,"'!Q62"))="","",INDIRECT(CONCATENATE("'",'Inconsistency Data'!$I$4,"'!Q62")))</f>
        <v/>
      </c>
      <c r="L62" s="128" t="str">
        <f>IF(D62="","",IF((INDEX('RE Inconsistency Results'!$H$1:$H$500,MATCH(SUBSTITUTE(D62,"OR","d"),'RE Inconsistency Results'!$B$1:$B$500,0),1))-(INDEX('RE Inconsistency Results'!$F$1:$F$500,MATCH(SUBSTITUTE(D62,"OR","d"),'RE Inconsistency Results'!$B$1:$B$500,0),1))&gt;50,"N/A",EXP(INDEX('RE Inconsistency Results'!$G$1:$G$500,MATCH(SUBSTITUTE(D62,"OR","d"),'RE Inconsistency Results'!$B$1:$B$500,0),1))))</f>
        <v/>
      </c>
    </row>
    <row r="63" spans="4:12" x14ac:dyDescent="0.25">
      <c r="D63" s="125" t="str">
        <f>IF('Fixed Effects'!N63="","",'Fixed Effects'!N63)</f>
        <v/>
      </c>
      <c r="E63" s="126" t="str">
        <f>IF('Fixed Effects'!O63="","",'Fixed Effects'!O63)</f>
        <v/>
      </c>
      <c r="F63" s="127" t="str">
        <f>IF('Fixed Effects'!Q63="","",'Fixed Effects'!Q63)</f>
        <v/>
      </c>
      <c r="G63" s="128" t="str">
        <f>IF(D63="","",IF((INDEX('FE Inconsistency Results'!$H$1:$H$500,MATCH(SUBSTITUTE(D63,"OR","d"),'FE Inconsistency Results'!$B$1:$B$500,0),1))-(INDEX('FE Inconsistency Results'!$F$1:$F$500,MATCH(SUBSTITUTE(D63,"OR","d"),'FE Inconsistency Results'!$B$1:$B$500,0),1))&gt;50,"N/A",EXP(INDEX('FE Inconsistency Results'!$G$1:$G$500,MATCH(SUBSTITUTE(D63,"OR","d"),'FE Inconsistency Results'!$B$1:$B$500,0),1))))</f>
        <v/>
      </c>
      <c r="I63" s="138" t="str">
        <f ca="1">IF(INDIRECT(CONCATENATE("'",'Inconsistency Data'!$I$4,"'!N63"))="","",INDIRECT(CONCATENATE("'",'Inconsistency Data'!$I$4,"'!N63")))</f>
        <v/>
      </c>
      <c r="J63" s="126" t="str">
        <f ca="1">IF(INDIRECT(CONCATENATE("'",'Inconsistency Data'!$I$4,"'!O63"))="","",INDIRECT(CONCATENATE("'",'Inconsistency Data'!$I$4,"'!O63")))</f>
        <v/>
      </c>
      <c r="K63" s="127" t="str">
        <f ca="1">IF(INDIRECT(CONCATENATE("'",'Inconsistency Data'!$I$4,"'!Q63"))="","",INDIRECT(CONCATENATE("'",'Inconsistency Data'!$I$4,"'!Q63")))</f>
        <v/>
      </c>
      <c r="L63" s="128" t="str">
        <f>IF(D63="","",IF((INDEX('RE Inconsistency Results'!$H$1:$H$500,MATCH(SUBSTITUTE(D63,"OR","d"),'RE Inconsistency Results'!$B$1:$B$500,0),1))-(INDEX('RE Inconsistency Results'!$F$1:$F$500,MATCH(SUBSTITUTE(D63,"OR","d"),'RE Inconsistency Results'!$B$1:$B$500,0),1))&gt;50,"N/A",EXP(INDEX('RE Inconsistency Results'!$G$1:$G$500,MATCH(SUBSTITUTE(D63,"OR","d"),'RE Inconsistency Results'!$B$1:$B$500,0),1))))</f>
        <v/>
      </c>
    </row>
    <row r="64" spans="4:12" x14ac:dyDescent="0.25">
      <c r="D64" s="125" t="str">
        <f>IF('Fixed Effects'!N64="","",'Fixed Effects'!N64)</f>
        <v/>
      </c>
      <c r="E64" s="126" t="str">
        <f>IF('Fixed Effects'!O64="","",'Fixed Effects'!O64)</f>
        <v/>
      </c>
      <c r="F64" s="127" t="str">
        <f>IF('Fixed Effects'!Q64="","",'Fixed Effects'!Q64)</f>
        <v/>
      </c>
      <c r="G64" s="128" t="str">
        <f>IF(D64="","",IF((INDEX('FE Inconsistency Results'!$H$1:$H$500,MATCH(SUBSTITUTE(D64,"OR","d"),'FE Inconsistency Results'!$B$1:$B$500,0),1))-(INDEX('FE Inconsistency Results'!$F$1:$F$500,MATCH(SUBSTITUTE(D64,"OR","d"),'FE Inconsistency Results'!$B$1:$B$500,0),1))&gt;50,"N/A",EXP(INDEX('FE Inconsistency Results'!$G$1:$G$500,MATCH(SUBSTITUTE(D64,"OR","d"),'FE Inconsistency Results'!$B$1:$B$500,0),1))))</f>
        <v/>
      </c>
      <c r="I64" s="138" t="str">
        <f ca="1">IF(INDIRECT(CONCATENATE("'",'Inconsistency Data'!$I$4,"'!N64"))="","",INDIRECT(CONCATENATE("'",'Inconsistency Data'!$I$4,"'!N64")))</f>
        <v/>
      </c>
      <c r="J64" s="126" t="str">
        <f ca="1">IF(INDIRECT(CONCATENATE("'",'Inconsistency Data'!$I$4,"'!O64"))="","",INDIRECT(CONCATENATE("'",'Inconsistency Data'!$I$4,"'!O64")))</f>
        <v/>
      </c>
      <c r="K64" s="127" t="str">
        <f ca="1">IF(INDIRECT(CONCATENATE("'",'Inconsistency Data'!$I$4,"'!Q64"))="","",INDIRECT(CONCATENATE("'",'Inconsistency Data'!$I$4,"'!Q64")))</f>
        <v/>
      </c>
      <c r="L64" s="128" t="str">
        <f>IF(D64="","",IF((INDEX('RE Inconsistency Results'!$H$1:$H$500,MATCH(SUBSTITUTE(D64,"OR","d"),'RE Inconsistency Results'!$B$1:$B$500,0),1))-(INDEX('RE Inconsistency Results'!$F$1:$F$500,MATCH(SUBSTITUTE(D64,"OR","d"),'RE Inconsistency Results'!$B$1:$B$500,0),1))&gt;50,"N/A",EXP(INDEX('RE Inconsistency Results'!$G$1:$G$500,MATCH(SUBSTITUTE(D64,"OR","d"),'RE Inconsistency Results'!$B$1:$B$500,0),1))))</f>
        <v/>
      </c>
    </row>
    <row r="65" spans="4:12" x14ac:dyDescent="0.25">
      <c r="D65" s="125" t="str">
        <f>IF('Fixed Effects'!N65="","",'Fixed Effects'!N65)</f>
        <v/>
      </c>
      <c r="E65" s="126" t="str">
        <f>IF('Fixed Effects'!O65="","",'Fixed Effects'!O65)</f>
        <v/>
      </c>
      <c r="F65" s="127" t="str">
        <f>IF('Fixed Effects'!Q65="","",'Fixed Effects'!Q65)</f>
        <v/>
      </c>
      <c r="G65" s="128" t="str">
        <f>IF(D65="","",IF((INDEX('FE Inconsistency Results'!$H$1:$H$500,MATCH(SUBSTITUTE(D65,"OR","d"),'FE Inconsistency Results'!$B$1:$B$500,0),1))-(INDEX('FE Inconsistency Results'!$F$1:$F$500,MATCH(SUBSTITUTE(D65,"OR","d"),'FE Inconsistency Results'!$B$1:$B$500,0),1))&gt;50,"N/A",EXP(INDEX('FE Inconsistency Results'!$G$1:$G$500,MATCH(SUBSTITUTE(D65,"OR","d"),'FE Inconsistency Results'!$B$1:$B$500,0),1))))</f>
        <v/>
      </c>
      <c r="I65" s="138" t="str">
        <f ca="1">IF(INDIRECT(CONCATENATE("'",'Inconsistency Data'!$I$4,"'!N65"))="","",INDIRECT(CONCATENATE("'",'Inconsistency Data'!$I$4,"'!N65")))</f>
        <v/>
      </c>
      <c r="J65" s="126" t="str">
        <f ca="1">IF(INDIRECT(CONCATENATE("'",'Inconsistency Data'!$I$4,"'!O65"))="","",INDIRECT(CONCATENATE("'",'Inconsistency Data'!$I$4,"'!O65")))</f>
        <v/>
      </c>
      <c r="K65" s="127" t="str">
        <f ca="1">IF(INDIRECT(CONCATENATE("'",'Inconsistency Data'!$I$4,"'!Q65"))="","",INDIRECT(CONCATENATE("'",'Inconsistency Data'!$I$4,"'!Q65")))</f>
        <v/>
      </c>
      <c r="L65" s="128" t="str">
        <f>IF(D65="","",IF((INDEX('RE Inconsistency Results'!$H$1:$H$500,MATCH(SUBSTITUTE(D65,"OR","d"),'RE Inconsistency Results'!$B$1:$B$500,0),1))-(INDEX('RE Inconsistency Results'!$F$1:$F$500,MATCH(SUBSTITUTE(D65,"OR","d"),'RE Inconsistency Results'!$B$1:$B$500,0),1))&gt;50,"N/A",EXP(INDEX('RE Inconsistency Results'!$G$1:$G$500,MATCH(SUBSTITUTE(D65,"OR","d"),'RE Inconsistency Results'!$B$1:$B$500,0),1))))</f>
        <v/>
      </c>
    </row>
    <row r="66" spans="4:12" x14ac:dyDescent="0.25">
      <c r="D66" s="125" t="str">
        <f>IF('Fixed Effects'!N66="","",'Fixed Effects'!N66)</f>
        <v/>
      </c>
      <c r="E66" s="126" t="str">
        <f>IF('Fixed Effects'!O66="","",'Fixed Effects'!O66)</f>
        <v/>
      </c>
      <c r="F66" s="127" t="str">
        <f>IF('Fixed Effects'!Q66="","",'Fixed Effects'!Q66)</f>
        <v/>
      </c>
      <c r="G66" s="128" t="str">
        <f>IF(D66="","",IF((INDEX('FE Inconsistency Results'!$H$1:$H$500,MATCH(SUBSTITUTE(D66,"OR","d"),'FE Inconsistency Results'!$B$1:$B$500,0),1))-(INDEX('FE Inconsistency Results'!$F$1:$F$500,MATCH(SUBSTITUTE(D66,"OR","d"),'FE Inconsistency Results'!$B$1:$B$500,0),1))&gt;50,"N/A",EXP(INDEX('FE Inconsistency Results'!$G$1:$G$500,MATCH(SUBSTITUTE(D66,"OR","d"),'FE Inconsistency Results'!$B$1:$B$500,0),1))))</f>
        <v/>
      </c>
      <c r="I66" s="138" t="str">
        <f ca="1">IF(INDIRECT(CONCATENATE("'",'Inconsistency Data'!$I$4,"'!N66"))="","",INDIRECT(CONCATENATE("'",'Inconsistency Data'!$I$4,"'!N66")))</f>
        <v/>
      </c>
      <c r="J66" s="126" t="str">
        <f ca="1">IF(INDIRECT(CONCATENATE("'",'Inconsistency Data'!$I$4,"'!O66"))="","",INDIRECT(CONCATENATE("'",'Inconsistency Data'!$I$4,"'!O66")))</f>
        <v/>
      </c>
      <c r="K66" s="127" t="str">
        <f ca="1">IF(INDIRECT(CONCATENATE("'",'Inconsistency Data'!$I$4,"'!Q66"))="","",INDIRECT(CONCATENATE("'",'Inconsistency Data'!$I$4,"'!Q66")))</f>
        <v/>
      </c>
      <c r="L66" s="128" t="str">
        <f>IF(D66="","",IF((INDEX('RE Inconsistency Results'!$H$1:$H$500,MATCH(SUBSTITUTE(D66,"OR","d"),'RE Inconsistency Results'!$B$1:$B$500,0),1))-(INDEX('RE Inconsistency Results'!$F$1:$F$500,MATCH(SUBSTITUTE(D66,"OR","d"),'RE Inconsistency Results'!$B$1:$B$500,0),1))&gt;50,"N/A",EXP(INDEX('RE Inconsistency Results'!$G$1:$G$500,MATCH(SUBSTITUTE(D66,"OR","d"),'RE Inconsistency Results'!$B$1:$B$500,0),1))))</f>
        <v/>
      </c>
    </row>
    <row r="67" spans="4:12" x14ac:dyDescent="0.25">
      <c r="D67" s="125" t="str">
        <f>IF('Fixed Effects'!N67="","",'Fixed Effects'!N67)</f>
        <v/>
      </c>
      <c r="E67" s="126" t="str">
        <f>IF('Fixed Effects'!O67="","",'Fixed Effects'!O67)</f>
        <v/>
      </c>
      <c r="F67" s="127" t="str">
        <f>IF('Fixed Effects'!Q67="","",'Fixed Effects'!Q67)</f>
        <v/>
      </c>
      <c r="G67" s="128" t="str">
        <f>IF(D67="","",IF((INDEX('FE Inconsistency Results'!$H$1:$H$500,MATCH(SUBSTITUTE(D67,"OR","d"),'FE Inconsistency Results'!$B$1:$B$500,0),1))-(INDEX('FE Inconsistency Results'!$F$1:$F$500,MATCH(SUBSTITUTE(D67,"OR","d"),'FE Inconsistency Results'!$B$1:$B$500,0),1))&gt;50,"N/A",EXP(INDEX('FE Inconsistency Results'!$G$1:$G$500,MATCH(SUBSTITUTE(D67,"OR","d"),'FE Inconsistency Results'!$B$1:$B$500,0),1))))</f>
        <v/>
      </c>
      <c r="I67" s="138" t="str">
        <f ca="1">IF(INDIRECT(CONCATENATE("'",'Inconsistency Data'!$I$4,"'!N67"))="","",INDIRECT(CONCATENATE("'",'Inconsistency Data'!$I$4,"'!N67")))</f>
        <v/>
      </c>
      <c r="J67" s="126" t="str">
        <f ca="1">IF(INDIRECT(CONCATENATE("'",'Inconsistency Data'!$I$4,"'!O67"))="","",INDIRECT(CONCATENATE("'",'Inconsistency Data'!$I$4,"'!O67")))</f>
        <v/>
      </c>
      <c r="K67" s="127" t="str">
        <f ca="1">IF(INDIRECT(CONCATENATE("'",'Inconsistency Data'!$I$4,"'!Q67"))="","",INDIRECT(CONCATENATE("'",'Inconsistency Data'!$I$4,"'!Q67")))</f>
        <v/>
      </c>
      <c r="L67" s="128" t="str">
        <f>IF(D67="","",IF((INDEX('RE Inconsistency Results'!$H$1:$H$500,MATCH(SUBSTITUTE(D67,"OR","d"),'RE Inconsistency Results'!$B$1:$B$500,0),1))-(INDEX('RE Inconsistency Results'!$F$1:$F$500,MATCH(SUBSTITUTE(D67,"OR","d"),'RE Inconsistency Results'!$B$1:$B$500,0),1))&gt;50,"N/A",EXP(INDEX('RE Inconsistency Results'!$G$1:$G$500,MATCH(SUBSTITUTE(D67,"OR","d"),'RE Inconsistency Results'!$B$1:$B$500,0),1))))</f>
        <v/>
      </c>
    </row>
    <row r="68" spans="4:12" x14ac:dyDescent="0.25">
      <c r="D68" s="125" t="str">
        <f>IF('Fixed Effects'!N68="","",'Fixed Effects'!N68)</f>
        <v/>
      </c>
      <c r="E68" s="126" t="str">
        <f>IF('Fixed Effects'!O68="","",'Fixed Effects'!O68)</f>
        <v/>
      </c>
      <c r="F68" s="127" t="str">
        <f>IF('Fixed Effects'!Q68="","",'Fixed Effects'!Q68)</f>
        <v/>
      </c>
      <c r="G68" s="128" t="str">
        <f>IF(D68="","",IF((INDEX('FE Inconsistency Results'!$H$1:$H$500,MATCH(SUBSTITUTE(D68,"OR","d"),'FE Inconsistency Results'!$B$1:$B$500,0),1))-(INDEX('FE Inconsistency Results'!$F$1:$F$500,MATCH(SUBSTITUTE(D68,"OR","d"),'FE Inconsistency Results'!$B$1:$B$500,0),1))&gt;50,"N/A",EXP(INDEX('FE Inconsistency Results'!$G$1:$G$500,MATCH(SUBSTITUTE(D68,"OR","d"),'FE Inconsistency Results'!$B$1:$B$500,0),1))))</f>
        <v/>
      </c>
      <c r="I68" s="138" t="str">
        <f ca="1">IF(INDIRECT(CONCATENATE("'",'Inconsistency Data'!$I$4,"'!N68"))="","",INDIRECT(CONCATENATE("'",'Inconsistency Data'!$I$4,"'!N68")))</f>
        <v/>
      </c>
      <c r="J68" s="126" t="str">
        <f ca="1">IF(INDIRECT(CONCATENATE("'",'Inconsistency Data'!$I$4,"'!O68"))="","",INDIRECT(CONCATENATE("'",'Inconsistency Data'!$I$4,"'!O68")))</f>
        <v/>
      </c>
      <c r="K68" s="127" t="str">
        <f ca="1">IF(INDIRECT(CONCATENATE("'",'Inconsistency Data'!$I$4,"'!Q68"))="","",INDIRECT(CONCATENATE("'",'Inconsistency Data'!$I$4,"'!Q68")))</f>
        <v/>
      </c>
      <c r="L68" s="128" t="str">
        <f>IF(D68="","",IF((INDEX('RE Inconsistency Results'!$H$1:$H$500,MATCH(SUBSTITUTE(D68,"OR","d"),'RE Inconsistency Results'!$B$1:$B$500,0),1))-(INDEX('RE Inconsistency Results'!$F$1:$F$500,MATCH(SUBSTITUTE(D68,"OR","d"),'RE Inconsistency Results'!$B$1:$B$500,0),1))&gt;50,"N/A",EXP(INDEX('RE Inconsistency Results'!$G$1:$G$500,MATCH(SUBSTITUTE(D68,"OR","d"),'RE Inconsistency Results'!$B$1:$B$500,0),1))))</f>
        <v/>
      </c>
    </row>
    <row r="69" spans="4:12" x14ac:dyDescent="0.25">
      <c r="D69" s="125" t="str">
        <f>IF('Fixed Effects'!N69="","",'Fixed Effects'!N69)</f>
        <v/>
      </c>
      <c r="E69" s="126" t="str">
        <f>IF('Fixed Effects'!O69="","",'Fixed Effects'!O69)</f>
        <v/>
      </c>
      <c r="F69" s="127" t="str">
        <f>IF('Fixed Effects'!Q69="","",'Fixed Effects'!Q69)</f>
        <v/>
      </c>
      <c r="G69" s="128" t="str">
        <f>IF(D69="","",IF((INDEX('FE Inconsistency Results'!$H$1:$H$500,MATCH(SUBSTITUTE(D69,"OR","d"),'FE Inconsistency Results'!$B$1:$B$500,0),1))-(INDEX('FE Inconsistency Results'!$F$1:$F$500,MATCH(SUBSTITUTE(D69,"OR","d"),'FE Inconsistency Results'!$B$1:$B$500,0),1))&gt;50,"N/A",EXP(INDEX('FE Inconsistency Results'!$G$1:$G$500,MATCH(SUBSTITUTE(D69,"OR","d"),'FE Inconsistency Results'!$B$1:$B$500,0),1))))</f>
        <v/>
      </c>
      <c r="I69" s="138" t="str">
        <f ca="1">IF(INDIRECT(CONCATENATE("'",'Inconsistency Data'!$I$4,"'!N69"))="","",INDIRECT(CONCATENATE("'",'Inconsistency Data'!$I$4,"'!N69")))</f>
        <v/>
      </c>
      <c r="J69" s="126" t="str">
        <f ca="1">IF(INDIRECT(CONCATENATE("'",'Inconsistency Data'!$I$4,"'!O69"))="","",INDIRECT(CONCATENATE("'",'Inconsistency Data'!$I$4,"'!O69")))</f>
        <v/>
      </c>
      <c r="K69" s="127" t="str">
        <f ca="1">IF(INDIRECT(CONCATENATE("'",'Inconsistency Data'!$I$4,"'!Q69"))="","",INDIRECT(CONCATENATE("'",'Inconsistency Data'!$I$4,"'!Q69")))</f>
        <v/>
      </c>
      <c r="L69" s="128" t="str">
        <f>IF(D69="","",IF((INDEX('RE Inconsistency Results'!$H$1:$H$500,MATCH(SUBSTITUTE(D69,"OR","d"),'RE Inconsistency Results'!$B$1:$B$500,0),1))-(INDEX('RE Inconsistency Results'!$F$1:$F$500,MATCH(SUBSTITUTE(D69,"OR","d"),'RE Inconsistency Results'!$B$1:$B$500,0),1))&gt;50,"N/A",EXP(INDEX('RE Inconsistency Results'!$G$1:$G$500,MATCH(SUBSTITUTE(D69,"OR","d"),'RE Inconsistency Results'!$B$1:$B$500,0),1))))</f>
        <v/>
      </c>
    </row>
    <row r="70" spans="4:12" x14ac:dyDescent="0.25">
      <c r="D70" s="125" t="str">
        <f>IF('Fixed Effects'!N70="","",'Fixed Effects'!N70)</f>
        <v/>
      </c>
      <c r="E70" s="126" t="str">
        <f>IF('Fixed Effects'!O70="","",'Fixed Effects'!O70)</f>
        <v/>
      </c>
      <c r="F70" s="127" t="str">
        <f>IF('Fixed Effects'!Q70="","",'Fixed Effects'!Q70)</f>
        <v/>
      </c>
      <c r="G70" s="128" t="str">
        <f>IF(D70="","",IF((INDEX('FE Inconsistency Results'!$H$1:$H$500,MATCH(SUBSTITUTE(D70,"OR","d"),'FE Inconsistency Results'!$B$1:$B$500,0),1))-(INDEX('FE Inconsistency Results'!$F$1:$F$500,MATCH(SUBSTITUTE(D70,"OR","d"),'FE Inconsistency Results'!$B$1:$B$500,0),1))&gt;50,"N/A",EXP(INDEX('FE Inconsistency Results'!$G$1:$G$500,MATCH(SUBSTITUTE(D70,"OR","d"),'FE Inconsistency Results'!$B$1:$B$500,0),1))))</f>
        <v/>
      </c>
      <c r="I70" s="138" t="str">
        <f ca="1">IF(INDIRECT(CONCATENATE("'",'Inconsistency Data'!$I$4,"'!N70"))="","",INDIRECT(CONCATENATE("'",'Inconsistency Data'!$I$4,"'!N70")))</f>
        <v/>
      </c>
      <c r="J70" s="126" t="str">
        <f ca="1">IF(INDIRECT(CONCATENATE("'",'Inconsistency Data'!$I$4,"'!O70"))="","",INDIRECT(CONCATENATE("'",'Inconsistency Data'!$I$4,"'!O70")))</f>
        <v/>
      </c>
      <c r="K70" s="127" t="str">
        <f ca="1">IF(INDIRECT(CONCATENATE("'",'Inconsistency Data'!$I$4,"'!Q70"))="","",INDIRECT(CONCATENATE("'",'Inconsistency Data'!$I$4,"'!Q70")))</f>
        <v/>
      </c>
      <c r="L70" s="128" t="str">
        <f>IF(D70="","",IF((INDEX('RE Inconsistency Results'!$H$1:$H$500,MATCH(SUBSTITUTE(D70,"OR","d"),'RE Inconsistency Results'!$B$1:$B$500,0),1))-(INDEX('RE Inconsistency Results'!$F$1:$F$500,MATCH(SUBSTITUTE(D70,"OR","d"),'RE Inconsistency Results'!$B$1:$B$500,0),1))&gt;50,"N/A",EXP(INDEX('RE Inconsistency Results'!$G$1:$G$500,MATCH(SUBSTITUTE(D70,"OR","d"),'RE Inconsistency Results'!$B$1:$B$500,0),1))))</f>
        <v/>
      </c>
    </row>
    <row r="71" spans="4:12" x14ac:dyDescent="0.25">
      <c r="D71" s="125" t="str">
        <f>IF('Fixed Effects'!N71="","",'Fixed Effects'!N71)</f>
        <v/>
      </c>
      <c r="E71" s="126" t="str">
        <f>IF('Fixed Effects'!O71="","",'Fixed Effects'!O71)</f>
        <v/>
      </c>
      <c r="F71" s="127" t="str">
        <f>IF('Fixed Effects'!Q71="","",'Fixed Effects'!Q71)</f>
        <v/>
      </c>
      <c r="G71" s="128" t="str">
        <f>IF(D71="","",IF((INDEX('FE Inconsistency Results'!$H$1:$H$500,MATCH(SUBSTITUTE(D71,"OR","d"),'FE Inconsistency Results'!$B$1:$B$500,0),1))-(INDEX('FE Inconsistency Results'!$F$1:$F$500,MATCH(SUBSTITUTE(D71,"OR","d"),'FE Inconsistency Results'!$B$1:$B$500,0),1))&gt;50,"N/A",EXP(INDEX('FE Inconsistency Results'!$G$1:$G$500,MATCH(SUBSTITUTE(D71,"OR","d"),'FE Inconsistency Results'!$B$1:$B$500,0),1))))</f>
        <v/>
      </c>
      <c r="I71" s="138" t="str">
        <f ca="1">IF(INDIRECT(CONCATENATE("'",'Inconsistency Data'!$I$4,"'!N71"))="","",INDIRECT(CONCATENATE("'",'Inconsistency Data'!$I$4,"'!N71")))</f>
        <v/>
      </c>
      <c r="J71" s="126" t="str">
        <f ca="1">IF(INDIRECT(CONCATENATE("'",'Inconsistency Data'!$I$4,"'!O71"))="","",INDIRECT(CONCATENATE("'",'Inconsistency Data'!$I$4,"'!O71")))</f>
        <v/>
      </c>
      <c r="K71" s="127" t="str">
        <f ca="1">IF(INDIRECT(CONCATENATE("'",'Inconsistency Data'!$I$4,"'!Q71"))="","",INDIRECT(CONCATENATE("'",'Inconsistency Data'!$I$4,"'!Q71")))</f>
        <v/>
      </c>
      <c r="L71" s="128" t="str">
        <f>IF(D71="","",IF((INDEX('RE Inconsistency Results'!$H$1:$H$500,MATCH(SUBSTITUTE(D71,"OR","d"),'RE Inconsistency Results'!$B$1:$B$500,0),1))-(INDEX('RE Inconsistency Results'!$F$1:$F$500,MATCH(SUBSTITUTE(D71,"OR","d"),'RE Inconsistency Results'!$B$1:$B$500,0),1))&gt;50,"N/A",EXP(INDEX('RE Inconsistency Results'!$G$1:$G$500,MATCH(SUBSTITUTE(D71,"OR","d"),'RE Inconsistency Results'!$B$1:$B$500,0),1))))</f>
        <v/>
      </c>
    </row>
    <row r="72" spans="4:12" x14ac:dyDescent="0.25">
      <c r="D72" s="125" t="str">
        <f>IF('Fixed Effects'!N72="","",'Fixed Effects'!N72)</f>
        <v/>
      </c>
      <c r="E72" s="126" t="str">
        <f>IF('Fixed Effects'!O72="","",'Fixed Effects'!O72)</f>
        <v/>
      </c>
      <c r="F72" s="127" t="str">
        <f>IF('Fixed Effects'!Q72="","",'Fixed Effects'!Q72)</f>
        <v/>
      </c>
      <c r="G72" s="128" t="str">
        <f>IF(D72="","",IF((INDEX('FE Inconsistency Results'!$H$1:$H$500,MATCH(SUBSTITUTE(D72,"OR","d"),'FE Inconsistency Results'!$B$1:$B$500,0),1))-(INDEX('FE Inconsistency Results'!$F$1:$F$500,MATCH(SUBSTITUTE(D72,"OR","d"),'FE Inconsistency Results'!$B$1:$B$500,0),1))&gt;50,"N/A",EXP(INDEX('FE Inconsistency Results'!$G$1:$G$500,MATCH(SUBSTITUTE(D72,"OR","d"),'FE Inconsistency Results'!$B$1:$B$500,0),1))))</f>
        <v/>
      </c>
      <c r="I72" s="138" t="str">
        <f ca="1">IF(INDIRECT(CONCATENATE("'",'Inconsistency Data'!$I$4,"'!N72"))="","",INDIRECT(CONCATENATE("'",'Inconsistency Data'!$I$4,"'!N72")))</f>
        <v/>
      </c>
      <c r="J72" s="126" t="str">
        <f ca="1">IF(INDIRECT(CONCATENATE("'",'Inconsistency Data'!$I$4,"'!O72"))="","",INDIRECT(CONCATENATE("'",'Inconsistency Data'!$I$4,"'!O72")))</f>
        <v/>
      </c>
      <c r="K72" s="127" t="str">
        <f ca="1">IF(INDIRECT(CONCATENATE("'",'Inconsistency Data'!$I$4,"'!Q72"))="","",INDIRECT(CONCATENATE("'",'Inconsistency Data'!$I$4,"'!Q72")))</f>
        <v/>
      </c>
      <c r="L72" s="128" t="str">
        <f>IF(D72="","",IF((INDEX('RE Inconsistency Results'!$H$1:$H$500,MATCH(SUBSTITUTE(D72,"OR","d"),'RE Inconsistency Results'!$B$1:$B$500,0),1))-(INDEX('RE Inconsistency Results'!$F$1:$F$500,MATCH(SUBSTITUTE(D72,"OR","d"),'RE Inconsistency Results'!$B$1:$B$500,0),1))&gt;50,"N/A",EXP(INDEX('RE Inconsistency Results'!$G$1:$G$500,MATCH(SUBSTITUTE(D72,"OR","d"),'RE Inconsistency Results'!$B$1:$B$500,0),1))))</f>
        <v/>
      </c>
    </row>
    <row r="73" spans="4:12" x14ac:dyDescent="0.25">
      <c r="D73" s="125" t="str">
        <f>IF('Fixed Effects'!N73="","",'Fixed Effects'!N73)</f>
        <v/>
      </c>
      <c r="E73" s="126" t="str">
        <f>IF('Fixed Effects'!O73="","",'Fixed Effects'!O73)</f>
        <v/>
      </c>
      <c r="F73" s="127" t="str">
        <f>IF('Fixed Effects'!Q73="","",'Fixed Effects'!Q73)</f>
        <v/>
      </c>
      <c r="G73" s="128" t="str">
        <f>IF(D73="","",IF((INDEX('FE Inconsistency Results'!$H$1:$H$500,MATCH(SUBSTITUTE(D73,"OR","d"),'FE Inconsistency Results'!$B$1:$B$500,0),1))-(INDEX('FE Inconsistency Results'!$F$1:$F$500,MATCH(SUBSTITUTE(D73,"OR","d"),'FE Inconsistency Results'!$B$1:$B$500,0),1))&gt;50,"N/A",EXP(INDEX('FE Inconsistency Results'!$G$1:$G$500,MATCH(SUBSTITUTE(D73,"OR","d"),'FE Inconsistency Results'!$B$1:$B$500,0),1))))</f>
        <v/>
      </c>
      <c r="I73" s="138" t="str">
        <f ca="1">IF(INDIRECT(CONCATENATE("'",'Inconsistency Data'!$I$4,"'!N73"))="","",INDIRECT(CONCATENATE("'",'Inconsistency Data'!$I$4,"'!N73")))</f>
        <v/>
      </c>
      <c r="J73" s="126" t="str">
        <f ca="1">IF(INDIRECT(CONCATENATE("'",'Inconsistency Data'!$I$4,"'!O73"))="","",INDIRECT(CONCATENATE("'",'Inconsistency Data'!$I$4,"'!O73")))</f>
        <v/>
      </c>
      <c r="K73" s="127" t="str">
        <f ca="1">IF(INDIRECT(CONCATENATE("'",'Inconsistency Data'!$I$4,"'!Q73"))="","",INDIRECT(CONCATENATE("'",'Inconsistency Data'!$I$4,"'!Q73")))</f>
        <v/>
      </c>
      <c r="L73" s="128" t="str">
        <f>IF(D73="","",IF((INDEX('RE Inconsistency Results'!$H$1:$H$500,MATCH(SUBSTITUTE(D73,"OR","d"),'RE Inconsistency Results'!$B$1:$B$500,0),1))-(INDEX('RE Inconsistency Results'!$F$1:$F$500,MATCH(SUBSTITUTE(D73,"OR","d"),'RE Inconsistency Results'!$B$1:$B$500,0),1))&gt;50,"N/A",EXP(INDEX('RE Inconsistency Results'!$G$1:$G$500,MATCH(SUBSTITUTE(D73,"OR","d"),'RE Inconsistency Results'!$B$1:$B$500,0),1))))</f>
        <v/>
      </c>
    </row>
    <row r="74" spans="4:12" x14ac:dyDescent="0.25">
      <c r="D74" s="125" t="str">
        <f>IF('Fixed Effects'!N74="","",'Fixed Effects'!N74)</f>
        <v/>
      </c>
      <c r="E74" s="126" t="str">
        <f>IF('Fixed Effects'!O74="","",'Fixed Effects'!O74)</f>
        <v/>
      </c>
      <c r="F74" s="127" t="str">
        <f>IF('Fixed Effects'!Q74="","",'Fixed Effects'!Q74)</f>
        <v/>
      </c>
      <c r="G74" s="128" t="str">
        <f>IF(D74="","",IF((INDEX('FE Inconsistency Results'!$H$1:$H$500,MATCH(SUBSTITUTE(D74,"OR","d"),'FE Inconsistency Results'!$B$1:$B$500,0),1))-(INDEX('FE Inconsistency Results'!$F$1:$F$500,MATCH(SUBSTITUTE(D74,"OR","d"),'FE Inconsistency Results'!$B$1:$B$500,0),1))&gt;50,"N/A",EXP(INDEX('FE Inconsistency Results'!$G$1:$G$500,MATCH(SUBSTITUTE(D74,"OR","d"),'FE Inconsistency Results'!$B$1:$B$500,0),1))))</f>
        <v/>
      </c>
      <c r="I74" s="138" t="str">
        <f ca="1">IF(INDIRECT(CONCATENATE("'",'Inconsistency Data'!$I$4,"'!N74"))="","",INDIRECT(CONCATENATE("'",'Inconsistency Data'!$I$4,"'!N74")))</f>
        <v/>
      </c>
      <c r="J74" s="126" t="str">
        <f ca="1">IF(INDIRECT(CONCATENATE("'",'Inconsistency Data'!$I$4,"'!O74"))="","",INDIRECT(CONCATENATE("'",'Inconsistency Data'!$I$4,"'!O74")))</f>
        <v/>
      </c>
      <c r="K74" s="127" t="str">
        <f ca="1">IF(INDIRECT(CONCATENATE("'",'Inconsistency Data'!$I$4,"'!Q74"))="","",INDIRECT(CONCATENATE("'",'Inconsistency Data'!$I$4,"'!Q74")))</f>
        <v/>
      </c>
      <c r="L74" s="128" t="str">
        <f>IF(D74="","",IF((INDEX('RE Inconsistency Results'!$H$1:$H$500,MATCH(SUBSTITUTE(D74,"OR","d"),'RE Inconsistency Results'!$B$1:$B$500,0),1))-(INDEX('RE Inconsistency Results'!$F$1:$F$500,MATCH(SUBSTITUTE(D74,"OR","d"),'RE Inconsistency Results'!$B$1:$B$500,0),1))&gt;50,"N/A",EXP(INDEX('RE Inconsistency Results'!$G$1:$G$500,MATCH(SUBSTITUTE(D74,"OR","d"),'RE Inconsistency Results'!$B$1:$B$500,0),1))))</f>
        <v/>
      </c>
    </row>
    <row r="75" spans="4:12" x14ac:dyDescent="0.25">
      <c r="D75" s="125" t="str">
        <f>IF('Fixed Effects'!N75="","",'Fixed Effects'!N75)</f>
        <v/>
      </c>
      <c r="E75" s="126" t="str">
        <f>IF('Fixed Effects'!O75="","",'Fixed Effects'!O75)</f>
        <v/>
      </c>
      <c r="F75" s="127" t="str">
        <f>IF('Fixed Effects'!Q75="","",'Fixed Effects'!Q75)</f>
        <v/>
      </c>
      <c r="G75" s="128" t="str">
        <f>IF(D75="","",IF((INDEX('FE Inconsistency Results'!$H$1:$H$500,MATCH(SUBSTITUTE(D75,"OR","d"),'FE Inconsistency Results'!$B$1:$B$500,0),1))-(INDEX('FE Inconsistency Results'!$F$1:$F$500,MATCH(SUBSTITUTE(D75,"OR","d"),'FE Inconsistency Results'!$B$1:$B$500,0),1))&gt;50,"N/A",EXP(INDEX('FE Inconsistency Results'!$G$1:$G$500,MATCH(SUBSTITUTE(D75,"OR","d"),'FE Inconsistency Results'!$B$1:$B$500,0),1))))</f>
        <v/>
      </c>
      <c r="I75" s="138" t="str">
        <f ca="1">IF(INDIRECT(CONCATENATE("'",'Inconsistency Data'!$I$4,"'!N75"))="","",INDIRECT(CONCATENATE("'",'Inconsistency Data'!$I$4,"'!N75")))</f>
        <v/>
      </c>
      <c r="J75" s="126" t="str">
        <f ca="1">IF(INDIRECT(CONCATENATE("'",'Inconsistency Data'!$I$4,"'!O75"))="","",INDIRECT(CONCATENATE("'",'Inconsistency Data'!$I$4,"'!O75")))</f>
        <v/>
      </c>
      <c r="K75" s="127" t="str">
        <f ca="1">IF(INDIRECT(CONCATENATE("'",'Inconsistency Data'!$I$4,"'!Q75"))="","",INDIRECT(CONCATENATE("'",'Inconsistency Data'!$I$4,"'!Q75")))</f>
        <v/>
      </c>
      <c r="L75" s="128" t="str">
        <f>IF(D75="","",IF((INDEX('RE Inconsistency Results'!$H$1:$H$500,MATCH(SUBSTITUTE(D75,"OR","d"),'RE Inconsistency Results'!$B$1:$B$500,0),1))-(INDEX('RE Inconsistency Results'!$F$1:$F$500,MATCH(SUBSTITUTE(D75,"OR","d"),'RE Inconsistency Results'!$B$1:$B$500,0),1))&gt;50,"N/A",EXP(INDEX('RE Inconsistency Results'!$G$1:$G$500,MATCH(SUBSTITUTE(D75,"OR","d"),'RE Inconsistency Results'!$B$1:$B$500,0),1))))</f>
        <v/>
      </c>
    </row>
    <row r="76" spans="4:12" x14ac:dyDescent="0.25">
      <c r="D76" s="125" t="str">
        <f>IF('Fixed Effects'!N76="","",'Fixed Effects'!N76)</f>
        <v/>
      </c>
      <c r="E76" s="126" t="str">
        <f>IF('Fixed Effects'!O76="","",'Fixed Effects'!O76)</f>
        <v/>
      </c>
      <c r="F76" s="127" t="str">
        <f>IF('Fixed Effects'!Q76="","",'Fixed Effects'!Q76)</f>
        <v/>
      </c>
      <c r="G76" s="128" t="str">
        <f>IF(D76="","",IF((INDEX('FE Inconsistency Results'!$H$1:$H$500,MATCH(SUBSTITUTE(D76,"OR","d"),'FE Inconsistency Results'!$B$1:$B$500,0),1))-(INDEX('FE Inconsistency Results'!$F$1:$F$500,MATCH(SUBSTITUTE(D76,"OR","d"),'FE Inconsistency Results'!$B$1:$B$500,0),1))&gt;50,"N/A",EXP(INDEX('FE Inconsistency Results'!$G$1:$G$500,MATCH(SUBSTITUTE(D76,"OR","d"),'FE Inconsistency Results'!$B$1:$B$500,0),1))))</f>
        <v/>
      </c>
      <c r="I76" s="138" t="str">
        <f ca="1">IF(INDIRECT(CONCATENATE("'",'Inconsistency Data'!$I$4,"'!N76"))="","",INDIRECT(CONCATENATE("'",'Inconsistency Data'!$I$4,"'!N76")))</f>
        <v/>
      </c>
      <c r="J76" s="126" t="str">
        <f ca="1">IF(INDIRECT(CONCATENATE("'",'Inconsistency Data'!$I$4,"'!O76"))="","",INDIRECT(CONCATENATE("'",'Inconsistency Data'!$I$4,"'!O76")))</f>
        <v/>
      </c>
      <c r="K76" s="127" t="str">
        <f ca="1">IF(INDIRECT(CONCATENATE("'",'Inconsistency Data'!$I$4,"'!Q76"))="","",INDIRECT(CONCATENATE("'",'Inconsistency Data'!$I$4,"'!Q76")))</f>
        <v/>
      </c>
      <c r="L76" s="128" t="str">
        <f>IF(D76="","",IF((INDEX('RE Inconsistency Results'!$H$1:$H$500,MATCH(SUBSTITUTE(D76,"OR","d"),'RE Inconsistency Results'!$B$1:$B$500,0),1))-(INDEX('RE Inconsistency Results'!$F$1:$F$500,MATCH(SUBSTITUTE(D76,"OR","d"),'RE Inconsistency Results'!$B$1:$B$500,0),1))&gt;50,"N/A",EXP(INDEX('RE Inconsistency Results'!$G$1:$G$500,MATCH(SUBSTITUTE(D76,"OR","d"),'RE Inconsistency Results'!$B$1:$B$500,0),1))))</f>
        <v/>
      </c>
    </row>
    <row r="77" spans="4:12" x14ac:dyDescent="0.25">
      <c r="D77" s="125" t="str">
        <f>IF('Fixed Effects'!N77="","",'Fixed Effects'!N77)</f>
        <v/>
      </c>
      <c r="E77" s="126" t="str">
        <f>IF('Fixed Effects'!O77="","",'Fixed Effects'!O77)</f>
        <v/>
      </c>
      <c r="F77" s="127" t="str">
        <f>IF('Fixed Effects'!Q77="","",'Fixed Effects'!Q77)</f>
        <v/>
      </c>
      <c r="G77" s="128" t="str">
        <f>IF(D77="","",IF((INDEX('FE Inconsistency Results'!$H$1:$H$500,MATCH(SUBSTITUTE(D77,"OR","d"),'FE Inconsistency Results'!$B$1:$B$500,0),1))-(INDEX('FE Inconsistency Results'!$F$1:$F$500,MATCH(SUBSTITUTE(D77,"OR","d"),'FE Inconsistency Results'!$B$1:$B$500,0),1))&gt;50,"N/A",EXP(INDEX('FE Inconsistency Results'!$G$1:$G$500,MATCH(SUBSTITUTE(D77,"OR","d"),'FE Inconsistency Results'!$B$1:$B$500,0),1))))</f>
        <v/>
      </c>
      <c r="I77" s="138" t="str">
        <f ca="1">IF(INDIRECT(CONCATENATE("'",'Inconsistency Data'!$I$4,"'!N77"))="","",INDIRECT(CONCATENATE("'",'Inconsistency Data'!$I$4,"'!N77")))</f>
        <v/>
      </c>
      <c r="J77" s="126" t="str">
        <f ca="1">IF(INDIRECT(CONCATENATE("'",'Inconsistency Data'!$I$4,"'!O77"))="","",INDIRECT(CONCATENATE("'",'Inconsistency Data'!$I$4,"'!O77")))</f>
        <v/>
      </c>
      <c r="K77" s="127" t="str">
        <f ca="1">IF(INDIRECT(CONCATENATE("'",'Inconsistency Data'!$I$4,"'!Q77"))="","",INDIRECT(CONCATENATE("'",'Inconsistency Data'!$I$4,"'!Q77")))</f>
        <v/>
      </c>
      <c r="L77" s="128" t="str">
        <f>IF(D77="","",IF((INDEX('RE Inconsistency Results'!$H$1:$H$500,MATCH(SUBSTITUTE(D77,"OR","d"),'RE Inconsistency Results'!$B$1:$B$500,0),1))-(INDEX('RE Inconsistency Results'!$F$1:$F$500,MATCH(SUBSTITUTE(D77,"OR","d"),'RE Inconsistency Results'!$B$1:$B$500,0),1))&gt;50,"N/A",EXP(INDEX('RE Inconsistency Results'!$G$1:$G$500,MATCH(SUBSTITUTE(D77,"OR","d"),'RE Inconsistency Results'!$B$1:$B$500,0),1))))</f>
        <v/>
      </c>
    </row>
    <row r="78" spans="4:12" x14ac:dyDescent="0.25">
      <c r="D78" s="125" t="str">
        <f>IF('Fixed Effects'!N78="","",'Fixed Effects'!N78)</f>
        <v/>
      </c>
      <c r="E78" s="126" t="str">
        <f>IF('Fixed Effects'!O78="","",'Fixed Effects'!O78)</f>
        <v/>
      </c>
      <c r="F78" s="127" t="str">
        <f>IF('Fixed Effects'!Q78="","",'Fixed Effects'!Q78)</f>
        <v/>
      </c>
      <c r="G78" s="128" t="str">
        <f>IF(D78="","",IF((INDEX('FE Inconsistency Results'!$H$1:$H$500,MATCH(SUBSTITUTE(D78,"OR","d"),'FE Inconsistency Results'!$B$1:$B$500,0),1))-(INDEX('FE Inconsistency Results'!$F$1:$F$500,MATCH(SUBSTITUTE(D78,"OR","d"),'FE Inconsistency Results'!$B$1:$B$500,0),1))&gt;50,"N/A",EXP(INDEX('FE Inconsistency Results'!$G$1:$G$500,MATCH(SUBSTITUTE(D78,"OR","d"),'FE Inconsistency Results'!$B$1:$B$500,0),1))))</f>
        <v/>
      </c>
      <c r="I78" s="138" t="str">
        <f ca="1">IF(INDIRECT(CONCATENATE("'",'Inconsistency Data'!$I$4,"'!N78"))="","",INDIRECT(CONCATENATE("'",'Inconsistency Data'!$I$4,"'!N78")))</f>
        <v/>
      </c>
      <c r="J78" s="126" t="str">
        <f ca="1">IF(INDIRECT(CONCATENATE("'",'Inconsistency Data'!$I$4,"'!O78"))="","",INDIRECT(CONCATENATE("'",'Inconsistency Data'!$I$4,"'!O78")))</f>
        <v/>
      </c>
      <c r="K78" s="127" t="str">
        <f ca="1">IF(INDIRECT(CONCATENATE("'",'Inconsistency Data'!$I$4,"'!Q78"))="","",INDIRECT(CONCATENATE("'",'Inconsistency Data'!$I$4,"'!Q78")))</f>
        <v/>
      </c>
      <c r="L78" s="128" t="str">
        <f>IF(D78="","",IF((INDEX('RE Inconsistency Results'!$H$1:$H$500,MATCH(SUBSTITUTE(D78,"OR","d"),'RE Inconsistency Results'!$B$1:$B$500,0),1))-(INDEX('RE Inconsistency Results'!$F$1:$F$500,MATCH(SUBSTITUTE(D78,"OR","d"),'RE Inconsistency Results'!$B$1:$B$500,0),1))&gt;50,"N/A",EXP(INDEX('RE Inconsistency Results'!$G$1:$G$500,MATCH(SUBSTITUTE(D78,"OR","d"),'RE Inconsistency Results'!$B$1:$B$500,0),1))))</f>
        <v/>
      </c>
    </row>
    <row r="79" spans="4:12" x14ac:dyDescent="0.25">
      <c r="D79" s="125" t="str">
        <f>IF('Fixed Effects'!N79="","",'Fixed Effects'!N79)</f>
        <v/>
      </c>
      <c r="E79" s="126" t="str">
        <f>IF('Fixed Effects'!O79="","",'Fixed Effects'!O79)</f>
        <v/>
      </c>
      <c r="F79" s="127" t="str">
        <f>IF('Fixed Effects'!Q79="","",'Fixed Effects'!Q79)</f>
        <v/>
      </c>
      <c r="G79" s="128" t="str">
        <f>IF(D79="","",IF((INDEX('FE Inconsistency Results'!$H$1:$H$500,MATCH(SUBSTITUTE(D79,"OR","d"),'FE Inconsistency Results'!$B$1:$B$500,0),1))-(INDEX('FE Inconsistency Results'!$F$1:$F$500,MATCH(SUBSTITUTE(D79,"OR","d"),'FE Inconsistency Results'!$B$1:$B$500,0),1))&gt;50,"N/A",EXP(INDEX('FE Inconsistency Results'!$G$1:$G$500,MATCH(SUBSTITUTE(D79,"OR","d"),'FE Inconsistency Results'!$B$1:$B$500,0),1))))</f>
        <v/>
      </c>
      <c r="I79" s="138" t="str">
        <f ca="1">IF(INDIRECT(CONCATENATE("'",'Inconsistency Data'!$I$4,"'!N79"))="","",INDIRECT(CONCATENATE("'",'Inconsistency Data'!$I$4,"'!N79")))</f>
        <v/>
      </c>
      <c r="J79" s="126" t="str">
        <f ca="1">IF(INDIRECT(CONCATENATE("'",'Inconsistency Data'!$I$4,"'!O79"))="","",INDIRECT(CONCATENATE("'",'Inconsistency Data'!$I$4,"'!O79")))</f>
        <v/>
      </c>
      <c r="K79" s="127" t="str">
        <f ca="1">IF(INDIRECT(CONCATENATE("'",'Inconsistency Data'!$I$4,"'!Q79"))="","",INDIRECT(CONCATENATE("'",'Inconsistency Data'!$I$4,"'!Q79")))</f>
        <v/>
      </c>
      <c r="L79" s="128" t="str">
        <f>IF(D79="","",IF((INDEX('RE Inconsistency Results'!$H$1:$H$500,MATCH(SUBSTITUTE(D79,"OR","d"),'RE Inconsistency Results'!$B$1:$B$500,0),1))-(INDEX('RE Inconsistency Results'!$F$1:$F$500,MATCH(SUBSTITUTE(D79,"OR","d"),'RE Inconsistency Results'!$B$1:$B$500,0),1))&gt;50,"N/A",EXP(INDEX('RE Inconsistency Results'!$G$1:$G$500,MATCH(SUBSTITUTE(D79,"OR","d"),'RE Inconsistency Results'!$B$1:$B$500,0),1))))</f>
        <v/>
      </c>
    </row>
    <row r="80" spans="4:12" x14ac:dyDescent="0.25">
      <c r="D80" s="125" t="str">
        <f>IF('Fixed Effects'!N80="","",'Fixed Effects'!N80)</f>
        <v/>
      </c>
      <c r="E80" s="126" t="str">
        <f>IF('Fixed Effects'!O80="","",'Fixed Effects'!O80)</f>
        <v/>
      </c>
      <c r="F80" s="127" t="str">
        <f>IF('Fixed Effects'!Q80="","",'Fixed Effects'!Q80)</f>
        <v/>
      </c>
      <c r="G80" s="128" t="str">
        <f>IF(D80="","",IF((INDEX('FE Inconsistency Results'!$H$1:$H$500,MATCH(SUBSTITUTE(D80,"OR","d"),'FE Inconsistency Results'!$B$1:$B$500,0),1))-(INDEX('FE Inconsistency Results'!$F$1:$F$500,MATCH(SUBSTITUTE(D80,"OR","d"),'FE Inconsistency Results'!$B$1:$B$500,0),1))&gt;50,"N/A",EXP(INDEX('FE Inconsistency Results'!$G$1:$G$500,MATCH(SUBSTITUTE(D80,"OR","d"),'FE Inconsistency Results'!$B$1:$B$500,0),1))))</f>
        <v/>
      </c>
      <c r="I80" s="138" t="str">
        <f ca="1">IF(INDIRECT(CONCATENATE("'",'Inconsistency Data'!$I$4,"'!N80"))="","",INDIRECT(CONCATENATE("'",'Inconsistency Data'!$I$4,"'!N80")))</f>
        <v/>
      </c>
      <c r="J80" s="126" t="str">
        <f ca="1">IF(INDIRECT(CONCATENATE("'",'Inconsistency Data'!$I$4,"'!O80"))="","",INDIRECT(CONCATENATE("'",'Inconsistency Data'!$I$4,"'!O80")))</f>
        <v/>
      </c>
      <c r="K80" s="127" t="str">
        <f ca="1">IF(INDIRECT(CONCATENATE("'",'Inconsistency Data'!$I$4,"'!Q80"))="","",INDIRECT(CONCATENATE("'",'Inconsistency Data'!$I$4,"'!Q80")))</f>
        <v/>
      </c>
      <c r="L80" s="128" t="str">
        <f>IF(D80="","",IF((INDEX('RE Inconsistency Results'!$H$1:$H$500,MATCH(SUBSTITUTE(D80,"OR","d"),'RE Inconsistency Results'!$B$1:$B$500,0),1))-(INDEX('RE Inconsistency Results'!$F$1:$F$500,MATCH(SUBSTITUTE(D80,"OR","d"),'RE Inconsistency Results'!$B$1:$B$500,0),1))&gt;50,"N/A",EXP(INDEX('RE Inconsistency Results'!$G$1:$G$500,MATCH(SUBSTITUTE(D80,"OR","d"),'RE Inconsistency Results'!$B$1:$B$500,0),1))))</f>
        <v/>
      </c>
    </row>
    <row r="81" spans="4:12" x14ac:dyDescent="0.25">
      <c r="D81" s="125" t="str">
        <f>IF('Fixed Effects'!N81="","",'Fixed Effects'!N81)</f>
        <v/>
      </c>
      <c r="E81" s="126" t="str">
        <f>IF('Fixed Effects'!O81="","",'Fixed Effects'!O81)</f>
        <v/>
      </c>
      <c r="F81" s="127" t="str">
        <f>IF('Fixed Effects'!Q81="","",'Fixed Effects'!Q81)</f>
        <v/>
      </c>
      <c r="G81" s="128" t="str">
        <f>IF(D81="","",IF((INDEX('FE Inconsistency Results'!$H$1:$H$500,MATCH(SUBSTITUTE(D81,"OR","d"),'FE Inconsistency Results'!$B$1:$B$500,0),1))-(INDEX('FE Inconsistency Results'!$F$1:$F$500,MATCH(SUBSTITUTE(D81,"OR","d"),'FE Inconsistency Results'!$B$1:$B$500,0),1))&gt;50,"N/A",EXP(INDEX('FE Inconsistency Results'!$G$1:$G$500,MATCH(SUBSTITUTE(D81,"OR","d"),'FE Inconsistency Results'!$B$1:$B$500,0),1))))</f>
        <v/>
      </c>
      <c r="I81" s="138" t="str">
        <f ca="1">IF(INDIRECT(CONCATENATE("'",'Inconsistency Data'!$I$4,"'!N81"))="","",INDIRECT(CONCATENATE("'",'Inconsistency Data'!$I$4,"'!N81")))</f>
        <v/>
      </c>
      <c r="J81" s="126" t="str">
        <f ca="1">IF(INDIRECT(CONCATENATE("'",'Inconsistency Data'!$I$4,"'!O81"))="","",INDIRECT(CONCATENATE("'",'Inconsistency Data'!$I$4,"'!O81")))</f>
        <v/>
      </c>
      <c r="K81" s="127" t="str">
        <f ca="1">IF(INDIRECT(CONCATENATE("'",'Inconsistency Data'!$I$4,"'!Q81"))="","",INDIRECT(CONCATENATE("'",'Inconsistency Data'!$I$4,"'!Q81")))</f>
        <v/>
      </c>
      <c r="L81" s="128" t="str">
        <f>IF(D81="","",IF((INDEX('RE Inconsistency Results'!$H$1:$H$500,MATCH(SUBSTITUTE(D81,"OR","d"),'RE Inconsistency Results'!$B$1:$B$500,0),1))-(INDEX('RE Inconsistency Results'!$F$1:$F$500,MATCH(SUBSTITUTE(D81,"OR","d"),'RE Inconsistency Results'!$B$1:$B$500,0),1))&gt;50,"N/A",EXP(INDEX('RE Inconsistency Results'!$G$1:$G$500,MATCH(SUBSTITUTE(D81,"OR","d"),'RE Inconsistency Results'!$B$1:$B$500,0),1))))</f>
        <v/>
      </c>
    </row>
    <row r="82" spans="4:12" x14ac:dyDescent="0.25">
      <c r="D82" s="125" t="str">
        <f>IF('Fixed Effects'!N82="","",'Fixed Effects'!N82)</f>
        <v/>
      </c>
      <c r="E82" s="126" t="str">
        <f>IF('Fixed Effects'!O82="","",'Fixed Effects'!O82)</f>
        <v/>
      </c>
      <c r="F82" s="127" t="str">
        <f>IF('Fixed Effects'!Q82="","",'Fixed Effects'!Q82)</f>
        <v/>
      </c>
      <c r="G82" s="128" t="str">
        <f>IF(D82="","",IF((INDEX('FE Inconsistency Results'!$H$1:$H$500,MATCH(SUBSTITUTE(D82,"OR","d"),'FE Inconsistency Results'!$B$1:$B$500,0),1))-(INDEX('FE Inconsistency Results'!$F$1:$F$500,MATCH(SUBSTITUTE(D82,"OR","d"),'FE Inconsistency Results'!$B$1:$B$500,0),1))&gt;50,"N/A",EXP(INDEX('FE Inconsistency Results'!$G$1:$G$500,MATCH(SUBSTITUTE(D82,"OR","d"),'FE Inconsistency Results'!$B$1:$B$500,0),1))))</f>
        <v/>
      </c>
      <c r="I82" s="138" t="str">
        <f ca="1">IF(INDIRECT(CONCATENATE("'",'Inconsistency Data'!$I$4,"'!N82"))="","",INDIRECT(CONCATENATE("'",'Inconsistency Data'!$I$4,"'!N82")))</f>
        <v/>
      </c>
      <c r="J82" s="126" t="str">
        <f ca="1">IF(INDIRECT(CONCATENATE("'",'Inconsistency Data'!$I$4,"'!O82"))="","",INDIRECT(CONCATENATE("'",'Inconsistency Data'!$I$4,"'!O82")))</f>
        <v/>
      </c>
      <c r="K82" s="127" t="str">
        <f ca="1">IF(INDIRECT(CONCATENATE("'",'Inconsistency Data'!$I$4,"'!Q82"))="","",INDIRECT(CONCATENATE("'",'Inconsistency Data'!$I$4,"'!Q82")))</f>
        <v/>
      </c>
      <c r="L82" s="128" t="str">
        <f>IF(D82="","",IF((INDEX('RE Inconsistency Results'!$H$1:$H$500,MATCH(SUBSTITUTE(D82,"OR","d"),'RE Inconsistency Results'!$B$1:$B$500,0),1))-(INDEX('RE Inconsistency Results'!$F$1:$F$500,MATCH(SUBSTITUTE(D82,"OR","d"),'RE Inconsistency Results'!$B$1:$B$500,0),1))&gt;50,"N/A",EXP(INDEX('RE Inconsistency Results'!$G$1:$G$500,MATCH(SUBSTITUTE(D82,"OR","d"),'RE Inconsistency Results'!$B$1:$B$500,0),1))))</f>
        <v/>
      </c>
    </row>
    <row r="83" spans="4:12" x14ac:dyDescent="0.25">
      <c r="D83" s="125" t="str">
        <f>IF('Fixed Effects'!N83="","",'Fixed Effects'!N83)</f>
        <v/>
      </c>
      <c r="E83" s="126" t="str">
        <f>IF('Fixed Effects'!O83="","",'Fixed Effects'!O83)</f>
        <v/>
      </c>
      <c r="F83" s="127" t="str">
        <f>IF('Fixed Effects'!Q83="","",'Fixed Effects'!Q83)</f>
        <v/>
      </c>
      <c r="G83" s="128" t="str">
        <f>IF(D83="","",IF((INDEX('FE Inconsistency Results'!$H$1:$H$500,MATCH(SUBSTITUTE(D83,"OR","d"),'FE Inconsistency Results'!$B$1:$B$500,0),1))-(INDEX('FE Inconsistency Results'!$F$1:$F$500,MATCH(SUBSTITUTE(D83,"OR","d"),'FE Inconsistency Results'!$B$1:$B$500,0),1))&gt;50,"N/A",EXP(INDEX('FE Inconsistency Results'!$G$1:$G$500,MATCH(SUBSTITUTE(D83,"OR","d"),'FE Inconsistency Results'!$B$1:$B$500,0),1))))</f>
        <v/>
      </c>
      <c r="I83" s="138" t="str">
        <f ca="1">IF(INDIRECT(CONCATENATE("'",'Inconsistency Data'!$I$4,"'!N83"))="","",INDIRECT(CONCATENATE("'",'Inconsistency Data'!$I$4,"'!N83")))</f>
        <v/>
      </c>
      <c r="J83" s="126" t="str">
        <f ca="1">IF(INDIRECT(CONCATENATE("'",'Inconsistency Data'!$I$4,"'!O83"))="","",INDIRECT(CONCATENATE("'",'Inconsistency Data'!$I$4,"'!O83")))</f>
        <v/>
      </c>
      <c r="K83" s="127" t="str">
        <f ca="1">IF(INDIRECT(CONCATENATE("'",'Inconsistency Data'!$I$4,"'!Q83"))="","",INDIRECT(CONCATENATE("'",'Inconsistency Data'!$I$4,"'!Q83")))</f>
        <v/>
      </c>
      <c r="L83" s="128" t="str">
        <f>IF(D83="","",IF((INDEX('RE Inconsistency Results'!$H$1:$H$500,MATCH(SUBSTITUTE(D83,"OR","d"),'RE Inconsistency Results'!$B$1:$B$500,0),1))-(INDEX('RE Inconsistency Results'!$F$1:$F$500,MATCH(SUBSTITUTE(D83,"OR","d"),'RE Inconsistency Results'!$B$1:$B$500,0),1))&gt;50,"N/A",EXP(INDEX('RE Inconsistency Results'!$G$1:$G$500,MATCH(SUBSTITUTE(D83,"OR","d"),'RE Inconsistency Results'!$B$1:$B$500,0),1))))</f>
        <v/>
      </c>
    </row>
    <row r="84" spans="4:12" x14ac:dyDescent="0.25">
      <c r="D84" s="125" t="str">
        <f>IF('Fixed Effects'!N84="","",'Fixed Effects'!N84)</f>
        <v/>
      </c>
      <c r="E84" s="126" t="str">
        <f>IF('Fixed Effects'!O84="","",'Fixed Effects'!O84)</f>
        <v/>
      </c>
      <c r="F84" s="127" t="str">
        <f>IF('Fixed Effects'!Q84="","",'Fixed Effects'!Q84)</f>
        <v/>
      </c>
      <c r="G84" s="128" t="str">
        <f>IF(D84="","",IF((INDEX('FE Inconsistency Results'!$H$1:$H$500,MATCH(SUBSTITUTE(D84,"OR","d"),'FE Inconsistency Results'!$B$1:$B$500,0),1))-(INDEX('FE Inconsistency Results'!$F$1:$F$500,MATCH(SUBSTITUTE(D84,"OR","d"),'FE Inconsistency Results'!$B$1:$B$500,0),1))&gt;50,"N/A",EXP(INDEX('FE Inconsistency Results'!$G$1:$G$500,MATCH(SUBSTITUTE(D84,"OR","d"),'FE Inconsistency Results'!$B$1:$B$500,0),1))))</f>
        <v/>
      </c>
      <c r="I84" s="138" t="str">
        <f ca="1">IF(INDIRECT(CONCATENATE("'",'Inconsistency Data'!$I$4,"'!N84"))="","",INDIRECT(CONCATENATE("'",'Inconsistency Data'!$I$4,"'!N84")))</f>
        <v/>
      </c>
      <c r="J84" s="126" t="str">
        <f ca="1">IF(INDIRECT(CONCATENATE("'",'Inconsistency Data'!$I$4,"'!O84"))="","",INDIRECT(CONCATENATE("'",'Inconsistency Data'!$I$4,"'!O84")))</f>
        <v/>
      </c>
      <c r="K84" s="127" t="str">
        <f ca="1">IF(INDIRECT(CONCATENATE("'",'Inconsistency Data'!$I$4,"'!Q84"))="","",INDIRECT(CONCATENATE("'",'Inconsistency Data'!$I$4,"'!Q84")))</f>
        <v/>
      </c>
      <c r="L84" s="128" t="str">
        <f>IF(D84="","",IF((INDEX('RE Inconsistency Results'!$H$1:$H$500,MATCH(SUBSTITUTE(D84,"OR","d"),'RE Inconsistency Results'!$B$1:$B$500,0),1))-(INDEX('RE Inconsistency Results'!$F$1:$F$500,MATCH(SUBSTITUTE(D84,"OR","d"),'RE Inconsistency Results'!$B$1:$B$500,0),1))&gt;50,"N/A",EXP(INDEX('RE Inconsistency Results'!$G$1:$G$500,MATCH(SUBSTITUTE(D84,"OR","d"),'RE Inconsistency Results'!$B$1:$B$500,0),1))))</f>
        <v/>
      </c>
    </row>
    <row r="85" spans="4:12" x14ac:dyDescent="0.25">
      <c r="D85" s="125" t="str">
        <f>IF('Fixed Effects'!N85="","",'Fixed Effects'!N85)</f>
        <v/>
      </c>
      <c r="E85" s="126" t="str">
        <f>IF('Fixed Effects'!O85="","",'Fixed Effects'!O85)</f>
        <v/>
      </c>
      <c r="F85" s="127" t="str">
        <f>IF('Fixed Effects'!Q85="","",'Fixed Effects'!Q85)</f>
        <v/>
      </c>
      <c r="G85" s="128" t="str">
        <f>IF(D85="","",IF((INDEX('FE Inconsistency Results'!$H$1:$H$500,MATCH(SUBSTITUTE(D85,"OR","d"),'FE Inconsistency Results'!$B$1:$B$500,0),1))-(INDEX('FE Inconsistency Results'!$F$1:$F$500,MATCH(SUBSTITUTE(D85,"OR","d"),'FE Inconsistency Results'!$B$1:$B$500,0),1))&gt;50,"N/A",EXP(INDEX('FE Inconsistency Results'!$G$1:$G$500,MATCH(SUBSTITUTE(D85,"OR","d"),'FE Inconsistency Results'!$B$1:$B$500,0),1))))</f>
        <v/>
      </c>
      <c r="I85" s="138" t="str">
        <f ca="1">IF(INDIRECT(CONCATENATE("'",'Inconsistency Data'!$I$4,"'!N85"))="","",INDIRECT(CONCATENATE("'",'Inconsistency Data'!$I$4,"'!N85")))</f>
        <v/>
      </c>
      <c r="J85" s="126" t="str">
        <f ca="1">IF(INDIRECT(CONCATENATE("'",'Inconsistency Data'!$I$4,"'!O85"))="","",INDIRECT(CONCATENATE("'",'Inconsistency Data'!$I$4,"'!O85")))</f>
        <v/>
      </c>
      <c r="K85" s="127" t="str">
        <f ca="1">IF(INDIRECT(CONCATENATE("'",'Inconsistency Data'!$I$4,"'!Q85"))="","",INDIRECT(CONCATENATE("'",'Inconsistency Data'!$I$4,"'!Q85")))</f>
        <v/>
      </c>
      <c r="L85" s="128" t="str">
        <f>IF(D85="","",IF((INDEX('RE Inconsistency Results'!$H$1:$H$500,MATCH(SUBSTITUTE(D85,"OR","d"),'RE Inconsistency Results'!$B$1:$B$500,0),1))-(INDEX('RE Inconsistency Results'!$F$1:$F$500,MATCH(SUBSTITUTE(D85,"OR","d"),'RE Inconsistency Results'!$B$1:$B$500,0),1))&gt;50,"N/A",EXP(INDEX('RE Inconsistency Results'!$G$1:$G$500,MATCH(SUBSTITUTE(D85,"OR","d"),'RE Inconsistency Results'!$B$1:$B$500,0),1))))</f>
        <v/>
      </c>
    </row>
    <row r="86" spans="4:12" x14ac:dyDescent="0.25">
      <c r="D86" s="125" t="str">
        <f>IF('Fixed Effects'!N86="","",'Fixed Effects'!N86)</f>
        <v/>
      </c>
      <c r="E86" s="126" t="str">
        <f>IF('Fixed Effects'!O86="","",'Fixed Effects'!O86)</f>
        <v/>
      </c>
      <c r="F86" s="127" t="str">
        <f>IF('Fixed Effects'!Q86="","",'Fixed Effects'!Q86)</f>
        <v/>
      </c>
      <c r="G86" s="128" t="str">
        <f>IF(D86="","",IF((INDEX('FE Inconsistency Results'!$H$1:$H$500,MATCH(SUBSTITUTE(D86,"OR","d"),'FE Inconsistency Results'!$B$1:$B$500,0),1))-(INDEX('FE Inconsistency Results'!$F$1:$F$500,MATCH(SUBSTITUTE(D86,"OR","d"),'FE Inconsistency Results'!$B$1:$B$500,0),1))&gt;50,"N/A",EXP(INDEX('FE Inconsistency Results'!$G$1:$G$500,MATCH(SUBSTITUTE(D86,"OR","d"),'FE Inconsistency Results'!$B$1:$B$500,0),1))))</f>
        <v/>
      </c>
      <c r="I86" s="138" t="str">
        <f ca="1">IF(INDIRECT(CONCATENATE("'",'Inconsistency Data'!$I$4,"'!N86"))="","",INDIRECT(CONCATENATE("'",'Inconsistency Data'!$I$4,"'!N86")))</f>
        <v/>
      </c>
      <c r="J86" s="126" t="str">
        <f ca="1">IF(INDIRECT(CONCATENATE("'",'Inconsistency Data'!$I$4,"'!O86"))="","",INDIRECT(CONCATENATE("'",'Inconsistency Data'!$I$4,"'!O86")))</f>
        <v/>
      </c>
      <c r="K86" s="127" t="str">
        <f ca="1">IF(INDIRECT(CONCATENATE("'",'Inconsistency Data'!$I$4,"'!Q86"))="","",INDIRECT(CONCATENATE("'",'Inconsistency Data'!$I$4,"'!Q86")))</f>
        <v/>
      </c>
      <c r="L86" s="128" t="str">
        <f>IF(D86="","",IF((INDEX('RE Inconsistency Results'!$H$1:$H$500,MATCH(SUBSTITUTE(D86,"OR","d"),'RE Inconsistency Results'!$B$1:$B$500,0),1))-(INDEX('RE Inconsistency Results'!$F$1:$F$500,MATCH(SUBSTITUTE(D86,"OR","d"),'RE Inconsistency Results'!$B$1:$B$500,0),1))&gt;50,"N/A",EXP(INDEX('RE Inconsistency Results'!$G$1:$G$500,MATCH(SUBSTITUTE(D86,"OR","d"),'RE Inconsistency Results'!$B$1:$B$500,0),1))))</f>
        <v/>
      </c>
    </row>
    <row r="87" spans="4:12" x14ac:dyDescent="0.25">
      <c r="D87" s="125" t="str">
        <f>IF('Fixed Effects'!N87="","",'Fixed Effects'!N87)</f>
        <v/>
      </c>
      <c r="E87" s="126" t="str">
        <f>IF('Fixed Effects'!O87="","",'Fixed Effects'!O87)</f>
        <v/>
      </c>
      <c r="F87" s="127" t="str">
        <f>IF('Fixed Effects'!Q87="","",'Fixed Effects'!Q87)</f>
        <v/>
      </c>
      <c r="G87" s="128" t="str">
        <f>IF(D87="","",IF((INDEX('FE Inconsistency Results'!$H$1:$H$500,MATCH(SUBSTITUTE(D87,"OR","d"),'FE Inconsistency Results'!$B$1:$B$500,0),1))-(INDEX('FE Inconsistency Results'!$F$1:$F$500,MATCH(SUBSTITUTE(D87,"OR","d"),'FE Inconsistency Results'!$B$1:$B$500,0),1))&gt;50,"N/A",EXP(INDEX('FE Inconsistency Results'!$G$1:$G$500,MATCH(SUBSTITUTE(D87,"OR","d"),'FE Inconsistency Results'!$B$1:$B$500,0),1))))</f>
        <v/>
      </c>
      <c r="I87" s="138" t="str">
        <f ca="1">IF(INDIRECT(CONCATENATE("'",'Inconsistency Data'!$I$4,"'!N87"))="","",INDIRECT(CONCATENATE("'",'Inconsistency Data'!$I$4,"'!N87")))</f>
        <v/>
      </c>
      <c r="J87" s="126" t="str">
        <f ca="1">IF(INDIRECT(CONCATENATE("'",'Inconsistency Data'!$I$4,"'!O87"))="","",INDIRECT(CONCATENATE("'",'Inconsistency Data'!$I$4,"'!O87")))</f>
        <v/>
      </c>
      <c r="K87" s="127" t="str">
        <f ca="1">IF(INDIRECT(CONCATENATE("'",'Inconsistency Data'!$I$4,"'!Q87"))="","",INDIRECT(CONCATENATE("'",'Inconsistency Data'!$I$4,"'!Q87")))</f>
        <v/>
      </c>
      <c r="L87" s="128" t="str">
        <f>IF(D87="","",IF((INDEX('RE Inconsistency Results'!$H$1:$H$500,MATCH(SUBSTITUTE(D87,"OR","d"),'RE Inconsistency Results'!$B$1:$B$500,0),1))-(INDEX('RE Inconsistency Results'!$F$1:$F$500,MATCH(SUBSTITUTE(D87,"OR","d"),'RE Inconsistency Results'!$B$1:$B$500,0),1))&gt;50,"N/A",EXP(INDEX('RE Inconsistency Results'!$G$1:$G$500,MATCH(SUBSTITUTE(D87,"OR","d"),'RE Inconsistency Results'!$B$1:$B$500,0),1))))</f>
        <v/>
      </c>
    </row>
    <row r="88" spans="4:12" x14ac:dyDescent="0.25">
      <c r="D88" s="125" t="str">
        <f>IF('Fixed Effects'!N88="","",'Fixed Effects'!N88)</f>
        <v/>
      </c>
      <c r="E88" s="126" t="str">
        <f>IF('Fixed Effects'!O88="","",'Fixed Effects'!O88)</f>
        <v/>
      </c>
      <c r="F88" s="127" t="str">
        <f>IF('Fixed Effects'!Q88="","",'Fixed Effects'!Q88)</f>
        <v/>
      </c>
      <c r="G88" s="128" t="str">
        <f>IF(D88="","",IF((INDEX('FE Inconsistency Results'!$H$1:$H$500,MATCH(SUBSTITUTE(D88,"OR","d"),'FE Inconsistency Results'!$B$1:$B$500,0),1))-(INDEX('FE Inconsistency Results'!$F$1:$F$500,MATCH(SUBSTITUTE(D88,"OR","d"),'FE Inconsistency Results'!$B$1:$B$500,0),1))&gt;50,"N/A",EXP(INDEX('FE Inconsistency Results'!$G$1:$G$500,MATCH(SUBSTITUTE(D88,"OR","d"),'FE Inconsistency Results'!$B$1:$B$500,0),1))))</f>
        <v/>
      </c>
      <c r="I88" s="138" t="str">
        <f ca="1">IF(INDIRECT(CONCATENATE("'",'Inconsistency Data'!$I$4,"'!N88"))="","",INDIRECT(CONCATENATE("'",'Inconsistency Data'!$I$4,"'!N88")))</f>
        <v/>
      </c>
      <c r="J88" s="126" t="str">
        <f ca="1">IF(INDIRECT(CONCATENATE("'",'Inconsistency Data'!$I$4,"'!O88"))="","",INDIRECT(CONCATENATE("'",'Inconsistency Data'!$I$4,"'!O88")))</f>
        <v/>
      </c>
      <c r="K88" s="127" t="str">
        <f ca="1">IF(INDIRECT(CONCATENATE("'",'Inconsistency Data'!$I$4,"'!Q88"))="","",INDIRECT(CONCATENATE("'",'Inconsistency Data'!$I$4,"'!Q88")))</f>
        <v/>
      </c>
      <c r="L88" s="128" t="str">
        <f>IF(D88="","",IF((INDEX('RE Inconsistency Results'!$H$1:$H$500,MATCH(SUBSTITUTE(D88,"OR","d"),'RE Inconsistency Results'!$B$1:$B$500,0),1))-(INDEX('RE Inconsistency Results'!$F$1:$F$500,MATCH(SUBSTITUTE(D88,"OR","d"),'RE Inconsistency Results'!$B$1:$B$500,0),1))&gt;50,"N/A",EXP(INDEX('RE Inconsistency Results'!$G$1:$G$500,MATCH(SUBSTITUTE(D88,"OR","d"),'RE Inconsistency Results'!$B$1:$B$500,0),1))))</f>
        <v/>
      </c>
    </row>
    <row r="89" spans="4:12" x14ac:dyDescent="0.25">
      <c r="D89" s="125" t="str">
        <f>IF('Fixed Effects'!N89="","",'Fixed Effects'!N89)</f>
        <v/>
      </c>
      <c r="E89" s="126" t="str">
        <f>IF('Fixed Effects'!O89="","",'Fixed Effects'!O89)</f>
        <v/>
      </c>
      <c r="F89" s="127" t="str">
        <f>IF('Fixed Effects'!Q89="","",'Fixed Effects'!Q89)</f>
        <v/>
      </c>
      <c r="G89" s="128" t="str">
        <f>IF(D89="","",IF((INDEX('FE Inconsistency Results'!$H$1:$H$500,MATCH(SUBSTITUTE(D89,"OR","d"),'FE Inconsistency Results'!$B$1:$B$500,0),1))-(INDEX('FE Inconsistency Results'!$F$1:$F$500,MATCH(SUBSTITUTE(D89,"OR","d"),'FE Inconsistency Results'!$B$1:$B$500,0),1))&gt;50,"N/A",EXP(INDEX('FE Inconsistency Results'!$G$1:$G$500,MATCH(SUBSTITUTE(D89,"OR","d"),'FE Inconsistency Results'!$B$1:$B$500,0),1))))</f>
        <v/>
      </c>
      <c r="I89" s="138" t="str">
        <f ca="1">IF(INDIRECT(CONCATENATE("'",'Inconsistency Data'!$I$4,"'!N89"))="","",INDIRECT(CONCATENATE("'",'Inconsistency Data'!$I$4,"'!N89")))</f>
        <v/>
      </c>
      <c r="J89" s="126" t="str">
        <f ca="1">IF(INDIRECT(CONCATENATE("'",'Inconsistency Data'!$I$4,"'!O89"))="","",INDIRECT(CONCATENATE("'",'Inconsistency Data'!$I$4,"'!O89")))</f>
        <v/>
      </c>
      <c r="K89" s="127" t="str">
        <f ca="1">IF(INDIRECT(CONCATENATE("'",'Inconsistency Data'!$I$4,"'!Q89"))="","",INDIRECT(CONCATENATE("'",'Inconsistency Data'!$I$4,"'!Q89")))</f>
        <v/>
      </c>
      <c r="L89" s="128" t="str">
        <f>IF(D89="","",IF((INDEX('RE Inconsistency Results'!$H$1:$H$500,MATCH(SUBSTITUTE(D89,"OR","d"),'RE Inconsistency Results'!$B$1:$B$500,0),1))-(INDEX('RE Inconsistency Results'!$F$1:$F$500,MATCH(SUBSTITUTE(D89,"OR","d"),'RE Inconsistency Results'!$B$1:$B$500,0),1))&gt;50,"N/A",EXP(INDEX('RE Inconsistency Results'!$G$1:$G$500,MATCH(SUBSTITUTE(D89,"OR","d"),'RE Inconsistency Results'!$B$1:$B$500,0),1))))</f>
        <v/>
      </c>
    </row>
    <row r="90" spans="4:12" x14ac:dyDescent="0.25">
      <c r="D90" s="125" t="str">
        <f>IF('Fixed Effects'!N90="","",'Fixed Effects'!N90)</f>
        <v/>
      </c>
      <c r="E90" s="126" t="str">
        <f>IF('Fixed Effects'!O90="","",'Fixed Effects'!O90)</f>
        <v/>
      </c>
      <c r="F90" s="127" t="str">
        <f>IF('Fixed Effects'!Q90="","",'Fixed Effects'!Q90)</f>
        <v/>
      </c>
      <c r="G90" s="128" t="str">
        <f>IF(D90="","",IF((INDEX('FE Inconsistency Results'!$H$1:$H$500,MATCH(SUBSTITUTE(D90,"OR","d"),'FE Inconsistency Results'!$B$1:$B$500,0),1))-(INDEX('FE Inconsistency Results'!$F$1:$F$500,MATCH(SUBSTITUTE(D90,"OR","d"),'FE Inconsistency Results'!$B$1:$B$500,0),1))&gt;50,"N/A",EXP(INDEX('FE Inconsistency Results'!$G$1:$G$500,MATCH(SUBSTITUTE(D90,"OR","d"),'FE Inconsistency Results'!$B$1:$B$500,0),1))))</f>
        <v/>
      </c>
      <c r="I90" s="138" t="str">
        <f ca="1">IF(INDIRECT(CONCATENATE("'",'Inconsistency Data'!$I$4,"'!N90"))="","",INDIRECT(CONCATENATE("'",'Inconsistency Data'!$I$4,"'!N90")))</f>
        <v/>
      </c>
      <c r="J90" s="126" t="str">
        <f ca="1">IF(INDIRECT(CONCATENATE("'",'Inconsistency Data'!$I$4,"'!O90"))="","",INDIRECT(CONCATENATE("'",'Inconsistency Data'!$I$4,"'!O90")))</f>
        <v/>
      </c>
      <c r="K90" s="127" t="str">
        <f ca="1">IF(INDIRECT(CONCATENATE("'",'Inconsistency Data'!$I$4,"'!Q90"))="","",INDIRECT(CONCATENATE("'",'Inconsistency Data'!$I$4,"'!Q90")))</f>
        <v/>
      </c>
      <c r="L90" s="128" t="str">
        <f>IF(D90="","",IF((INDEX('RE Inconsistency Results'!$H$1:$H$500,MATCH(SUBSTITUTE(D90,"OR","d"),'RE Inconsistency Results'!$B$1:$B$500,0),1))-(INDEX('RE Inconsistency Results'!$F$1:$F$500,MATCH(SUBSTITUTE(D90,"OR","d"),'RE Inconsistency Results'!$B$1:$B$500,0),1))&gt;50,"N/A",EXP(INDEX('RE Inconsistency Results'!$G$1:$G$500,MATCH(SUBSTITUTE(D90,"OR","d"),'RE Inconsistency Results'!$B$1:$B$500,0),1))))</f>
        <v/>
      </c>
    </row>
    <row r="91" spans="4:12" x14ac:dyDescent="0.25">
      <c r="D91" s="125" t="str">
        <f>IF('Fixed Effects'!N91="","",'Fixed Effects'!N91)</f>
        <v/>
      </c>
      <c r="E91" s="126" t="str">
        <f>IF('Fixed Effects'!O91="","",'Fixed Effects'!O91)</f>
        <v/>
      </c>
      <c r="F91" s="127" t="str">
        <f>IF('Fixed Effects'!Q91="","",'Fixed Effects'!Q91)</f>
        <v/>
      </c>
      <c r="G91" s="128" t="str">
        <f>IF(D91="","",IF((INDEX('FE Inconsistency Results'!$H$1:$H$500,MATCH(SUBSTITUTE(D91,"OR","d"),'FE Inconsistency Results'!$B$1:$B$500,0),1))-(INDEX('FE Inconsistency Results'!$F$1:$F$500,MATCH(SUBSTITUTE(D91,"OR","d"),'FE Inconsistency Results'!$B$1:$B$500,0),1))&gt;50,"N/A",EXP(INDEX('FE Inconsistency Results'!$G$1:$G$500,MATCH(SUBSTITUTE(D91,"OR","d"),'FE Inconsistency Results'!$B$1:$B$500,0),1))))</f>
        <v/>
      </c>
      <c r="I91" s="138" t="str">
        <f ca="1">IF(INDIRECT(CONCATENATE("'",'Inconsistency Data'!$I$4,"'!N91"))="","",INDIRECT(CONCATENATE("'",'Inconsistency Data'!$I$4,"'!N91")))</f>
        <v/>
      </c>
      <c r="J91" s="126" t="str">
        <f ca="1">IF(INDIRECT(CONCATENATE("'",'Inconsistency Data'!$I$4,"'!O91"))="","",INDIRECT(CONCATENATE("'",'Inconsistency Data'!$I$4,"'!O91")))</f>
        <v/>
      </c>
      <c r="K91" s="127" t="str">
        <f ca="1">IF(INDIRECT(CONCATENATE("'",'Inconsistency Data'!$I$4,"'!Q91"))="","",INDIRECT(CONCATENATE("'",'Inconsistency Data'!$I$4,"'!Q91")))</f>
        <v/>
      </c>
      <c r="L91" s="128" t="str">
        <f>IF(D91="","",IF((INDEX('RE Inconsistency Results'!$H$1:$H$500,MATCH(SUBSTITUTE(D91,"OR","d"),'RE Inconsistency Results'!$B$1:$B$500,0),1))-(INDEX('RE Inconsistency Results'!$F$1:$F$500,MATCH(SUBSTITUTE(D91,"OR","d"),'RE Inconsistency Results'!$B$1:$B$500,0),1))&gt;50,"N/A",EXP(INDEX('RE Inconsistency Results'!$G$1:$G$500,MATCH(SUBSTITUTE(D91,"OR","d"),'RE Inconsistency Results'!$B$1:$B$500,0),1))))</f>
        <v/>
      </c>
    </row>
    <row r="92" spans="4:12" x14ac:dyDescent="0.25">
      <c r="D92" s="125" t="str">
        <f>IF('Fixed Effects'!N92="","",'Fixed Effects'!N92)</f>
        <v/>
      </c>
      <c r="E92" s="126" t="str">
        <f>IF('Fixed Effects'!O92="","",'Fixed Effects'!O92)</f>
        <v/>
      </c>
      <c r="F92" s="127" t="str">
        <f>IF('Fixed Effects'!Q92="","",'Fixed Effects'!Q92)</f>
        <v/>
      </c>
      <c r="G92" s="128" t="str">
        <f>IF(D92="","",IF((INDEX('FE Inconsistency Results'!$H$1:$H$500,MATCH(SUBSTITUTE(D92,"OR","d"),'FE Inconsistency Results'!$B$1:$B$500,0),1))-(INDEX('FE Inconsistency Results'!$F$1:$F$500,MATCH(SUBSTITUTE(D92,"OR","d"),'FE Inconsistency Results'!$B$1:$B$500,0),1))&gt;50,"N/A",EXP(INDEX('FE Inconsistency Results'!$G$1:$G$500,MATCH(SUBSTITUTE(D92,"OR","d"),'FE Inconsistency Results'!$B$1:$B$500,0),1))))</f>
        <v/>
      </c>
      <c r="I92" s="138" t="str">
        <f ca="1">IF(INDIRECT(CONCATENATE("'",'Inconsistency Data'!$I$4,"'!N92"))="","",INDIRECT(CONCATENATE("'",'Inconsistency Data'!$I$4,"'!N92")))</f>
        <v/>
      </c>
      <c r="J92" s="126" t="str">
        <f ca="1">IF(INDIRECT(CONCATENATE("'",'Inconsistency Data'!$I$4,"'!O92"))="","",INDIRECT(CONCATENATE("'",'Inconsistency Data'!$I$4,"'!O92")))</f>
        <v/>
      </c>
      <c r="K92" s="127" t="str">
        <f ca="1">IF(INDIRECT(CONCATENATE("'",'Inconsistency Data'!$I$4,"'!Q92"))="","",INDIRECT(CONCATENATE("'",'Inconsistency Data'!$I$4,"'!Q92")))</f>
        <v/>
      </c>
      <c r="L92" s="128" t="str">
        <f>IF(D92="","",IF((INDEX('RE Inconsistency Results'!$H$1:$H$500,MATCH(SUBSTITUTE(D92,"OR","d"),'RE Inconsistency Results'!$B$1:$B$500,0),1))-(INDEX('RE Inconsistency Results'!$F$1:$F$500,MATCH(SUBSTITUTE(D92,"OR","d"),'RE Inconsistency Results'!$B$1:$B$500,0),1))&gt;50,"N/A",EXP(INDEX('RE Inconsistency Results'!$G$1:$G$500,MATCH(SUBSTITUTE(D92,"OR","d"),'RE Inconsistency Results'!$B$1:$B$500,0),1))))</f>
        <v/>
      </c>
    </row>
    <row r="93" spans="4:12" x14ac:dyDescent="0.25">
      <c r="D93" s="125" t="str">
        <f>IF('Fixed Effects'!N93="","",'Fixed Effects'!N93)</f>
        <v/>
      </c>
      <c r="E93" s="126" t="str">
        <f>IF('Fixed Effects'!O93="","",'Fixed Effects'!O93)</f>
        <v/>
      </c>
      <c r="F93" s="127" t="str">
        <f>IF('Fixed Effects'!Q93="","",'Fixed Effects'!Q93)</f>
        <v/>
      </c>
      <c r="G93" s="128" t="str">
        <f>IF(D93="","",IF((INDEX('FE Inconsistency Results'!$H$1:$H$500,MATCH(SUBSTITUTE(D93,"OR","d"),'FE Inconsistency Results'!$B$1:$B$500,0),1))-(INDEX('FE Inconsistency Results'!$F$1:$F$500,MATCH(SUBSTITUTE(D93,"OR","d"),'FE Inconsistency Results'!$B$1:$B$500,0),1))&gt;50,"N/A",EXP(INDEX('FE Inconsistency Results'!$G$1:$G$500,MATCH(SUBSTITUTE(D93,"OR","d"),'FE Inconsistency Results'!$B$1:$B$500,0),1))))</f>
        <v/>
      </c>
      <c r="I93" s="138" t="str">
        <f ca="1">IF(INDIRECT(CONCATENATE("'",'Inconsistency Data'!$I$4,"'!N93"))="","",INDIRECT(CONCATENATE("'",'Inconsistency Data'!$I$4,"'!N93")))</f>
        <v/>
      </c>
      <c r="J93" s="126" t="str">
        <f ca="1">IF(INDIRECT(CONCATENATE("'",'Inconsistency Data'!$I$4,"'!O93"))="","",INDIRECT(CONCATENATE("'",'Inconsistency Data'!$I$4,"'!O93")))</f>
        <v/>
      </c>
      <c r="K93" s="127" t="str">
        <f ca="1">IF(INDIRECT(CONCATENATE("'",'Inconsistency Data'!$I$4,"'!Q93"))="","",INDIRECT(CONCATENATE("'",'Inconsistency Data'!$I$4,"'!Q93")))</f>
        <v/>
      </c>
      <c r="L93" s="128" t="str">
        <f>IF(D93="","",IF((INDEX('RE Inconsistency Results'!$H$1:$H$500,MATCH(SUBSTITUTE(D93,"OR","d"),'RE Inconsistency Results'!$B$1:$B$500,0),1))-(INDEX('RE Inconsistency Results'!$F$1:$F$500,MATCH(SUBSTITUTE(D93,"OR","d"),'RE Inconsistency Results'!$B$1:$B$500,0),1))&gt;50,"N/A",EXP(INDEX('RE Inconsistency Results'!$G$1:$G$500,MATCH(SUBSTITUTE(D93,"OR","d"),'RE Inconsistency Results'!$B$1:$B$500,0),1))))</f>
        <v/>
      </c>
    </row>
    <row r="94" spans="4:12" x14ac:dyDescent="0.25">
      <c r="D94" s="125" t="str">
        <f>IF('Fixed Effects'!N94="","",'Fixed Effects'!N94)</f>
        <v/>
      </c>
      <c r="E94" s="126" t="str">
        <f>IF('Fixed Effects'!O94="","",'Fixed Effects'!O94)</f>
        <v/>
      </c>
      <c r="F94" s="127" t="str">
        <f>IF('Fixed Effects'!Q94="","",'Fixed Effects'!Q94)</f>
        <v/>
      </c>
      <c r="G94" s="128" t="str">
        <f>IF(D94="","",IF((INDEX('FE Inconsistency Results'!$H$1:$H$500,MATCH(SUBSTITUTE(D94,"OR","d"),'FE Inconsistency Results'!$B$1:$B$500,0),1))-(INDEX('FE Inconsistency Results'!$F$1:$F$500,MATCH(SUBSTITUTE(D94,"OR","d"),'FE Inconsistency Results'!$B$1:$B$500,0),1))&gt;50,"N/A",EXP(INDEX('FE Inconsistency Results'!$G$1:$G$500,MATCH(SUBSTITUTE(D94,"OR","d"),'FE Inconsistency Results'!$B$1:$B$500,0),1))))</f>
        <v/>
      </c>
      <c r="I94" s="138" t="str">
        <f ca="1">IF(INDIRECT(CONCATENATE("'",'Inconsistency Data'!$I$4,"'!N94"))="","",INDIRECT(CONCATENATE("'",'Inconsistency Data'!$I$4,"'!N94")))</f>
        <v/>
      </c>
      <c r="J94" s="126" t="str">
        <f ca="1">IF(INDIRECT(CONCATENATE("'",'Inconsistency Data'!$I$4,"'!O94"))="","",INDIRECT(CONCATENATE("'",'Inconsistency Data'!$I$4,"'!O94")))</f>
        <v/>
      </c>
      <c r="K94" s="127" t="str">
        <f ca="1">IF(INDIRECT(CONCATENATE("'",'Inconsistency Data'!$I$4,"'!Q94"))="","",INDIRECT(CONCATENATE("'",'Inconsistency Data'!$I$4,"'!Q94")))</f>
        <v/>
      </c>
      <c r="L94" s="128" t="str">
        <f>IF(D94="","",IF((INDEX('RE Inconsistency Results'!$H$1:$H$500,MATCH(SUBSTITUTE(D94,"OR","d"),'RE Inconsistency Results'!$B$1:$B$500,0),1))-(INDEX('RE Inconsistency Results'!$F$1:$F$500,MATCH(SUBSTITUTE(D94,"OR","d"),'RE Inconsistency Results'!$B$1:$B$500,0),1))&gt;50,"N/A",EXP(INDEX('RE Inconsistency Results'!$G$1:$G$500,MATCH(SUBSTITUTE(D94,"OR","d"),'RE Inconsistency Results'!$B$1:$B$500,0),1))))</f>
        <v/>
      </c>
    </row>
    <row r="95" spans="4:12" x14ac:dyDescent="0.25">
      <c r="D95" s="125" t="str">
        <f>IF('Fixed Effects'!N95="","",'Fixed Effects'!N95)</f>
        <v/>
      </c>
      <c r="E95" s="126" t="str">
        <f>IF('Fixed Effects'!O95="","",'Fixed Effects'!O95)</f>
        <v/>
      </c>
      <c r="F95" s="127" t="str">
        <f>IF('Fixed Effects'!Q95="","",'Fixed Effects'!Q95)</f>
        <v/>
      </c>
      <c r="G95" s="128" t="str">
        <f>IF(D95="","",IF((INDEX('FE Inconsistency Results'!$H$1:$H$500,MATCH(SUBSTITUTE(D95,"OR","d"),'FE Inconsistency Results'!$B$1:$B$500,0),1))-(INDEX('FE Inconsistency Results'!$F$1:$F$500,MATCH(SUBSTITUTE(D95,"OR","d"),'FE Inconsistency Results'!$B$1:$B$500,0),1))&gt;50,"N/A",EXP(INDEX('FE Inconsistency Results'!$G$1:$G$500,MATCH(SUBSTITUTE(D95,"OR","d"),'FE Inconsistency Results'!$B$1:$B$500,0),1))))</f>
        <v/>
      </c>
      <c r="I95" s="138" t="str">
        <f ca="1">IF(INDIRECT(CONCATENATE("'",'Inconsistency Data'!$I$4,"'!N95"))="","",INDIRECT(CONCATENATE("'",'Inconsistency Data'!$I$4,"'!N95")))</f>
        <v/>
      </c>
      <c r="J95" s="126" t="str">
        <f ca="1">IF(INDIRECT(CONCATENATE("'",'Inconsistency Data'!$I$4,"'!O95"))="","",INDIRECT(CONCATENATE("'",'Inconsistency Data'!$I$4,"'!O95")))</f>
        <v/>
      </c>
      <c r="K95" s="127" t="str">
        <f ca="1">IF(INDIRECT(CONCATENATE("'",'Inconsistency Data'!$I$4,"'!Q95"))="","",INDIRECT(CONCATENATE("'",'Inconsistency Data'!$I$4,"'!Q95")))</f>
        <v/>
      </c>
      <c r="L95" s="128" t="str">
        <f>IF(D95="","",IF((INDEX('RE Inconsistency Results'!$H$1:$H$500,MATCH(SUBSTITUTE(D95,"OR","d"),'RE Inconsistency Results'!$B$1:$B$500,0),1))-(INDEX('RE Inconsistency Results'!$F$1:$F$500,MATCH(SUBSTITUTE(D95,"OR","d"),'RE Inconsistency Results'!$B$1:$B$500,0),1))&gt;50,"N/A",EXP(INDEX('RE Inconsistency Results'!$G$1:$G$500,MATCH(SUBSTITUTE(D95,"OR","d"),'RE Inconsistency Results'!$B$1:$B$500,0),1))))</f>
        <v/>
      </c>
    </row>
    <row r="96" spans="4:12" x14ac:dyDescent="0.25">
      <c r="D96" s="125" t="str">
        <f>IF('Fixed Effects'!N96="","",'Fixed Effects'!N96)</f>
        <v/>
      </c>
      <c r="E96" s="126" t="str">
        <f>IF('Fixed Effects'!O96="","",'Fixed Effects'!O96)</f>
        <v/>
      </c>
      <c r="F96" s="127" t="str">
        <f>IF('Fixed Effects'!Q96="","",'Fixed Effects'!Q96)</f>
        <v/>
      </c>
      <c r="G96" s="128" t="str">
        <f>IF(D96="","",IF((INDEX('FE Inconsistency Results'!$H$1:$H$500,MATCH(SUBSTITUTE(D96,"OR","d"),'FE Inconsistency Results'!$B$1:$B$500,0),1))-(INDEX('FE Inconsistency Results'!$F$1:$F$500,MATCH(SUBSTITUTE(D96,"OR","d"),'FE Inconsistency Results'!$B$1:$B$500,0),1))&gt;50,"N/A",EXP(INDEX('FE Inconsistency Results'!$G$1:$G$500,MATCH(SUBSTITUTE(D96,"OR","d"),'FE Inconsistency Results'!$B$1:$B$500,0),1))))</f>
        <v/>
      </c>
      <c r="I96" s="138" t="str">
        <f ca="1">IF(INDIRECT(CONCATENATE("'",'Inconsistency Data'!$I$4,"'!N96"))="","",INDIRECT(CONCATENATE("'",'Inconsistency Data'!$I$4,"'!N96")))</f>
        <v/>
      </c>
      <c r="J96" s="126" t="str">
        <f ca="1">IF(INDIRECT(CONCATENATE("'",'Inconsistency Data'!$I$4,"'!O96"))="","",INDIRECT(CONCATENATE("'",'Inconsistency Data'!$I$4,"'!O96")))</f>
        <v/>
      </c>
      <c r="K96" s="127" t="str">
        <f ca="1">IF(INDIRECT(CONCATENATE("'",'Inconsistency Data'!$I$4,"'!Q96"))="","",INDIRECT(CONCATENATE("'",'Inconsistency Data'!$I$4,"'!Q96")))</f>
        <v/>
      </c>
      <c r="L96" s="128" t="str">
        <f>IF(D96="","",IF((INDEX('RE Inconsistency Results'!$H$1:$H$500,MATCH(SUBSTITUTE(D96,"OR","d"),'RE Inconsistency Results'!$B$1:$B$500,0),1))-(INDEX('RE Inconsistency Results'!$F$1:$F$500,MATCH(SUBSTITUTE(D96,"OR","d"),'RE Inconsistency Results'!$B$1:$B$500,0),1))&gt;50,"N/A",EXP(INDEX('RE Inconsistency Results'!$G$1:$G$500,MATCH(SUBSTITUTE(D96,"OR","d"),'RE Inconsistency Results'!$B$1:$B$500,0),1))))</f>
        <v/>
      </c>
    </row>
    <row r="97" spans="4:12" x14ac:dyDescent="0.25">
      <c r="D97" s="125" t="str">
        <f>IF('Fixed Effects'!N97="","",'Fixed Effects'!N97)</f>
        <v/>
      </c>
      <c r="E97" s="126" t="str">
        <f>IF('Fixed Effects'!O97="","",'Fixed Effects'!O97)</f>
        <v/>
      </c>
      <c r="F97" s="127" t="str">
        <f>IF('Fixed Effects'!Q97="","",'Fixed Effects'!Q97)</f>
        <v/>
      </c>
      <c r="G97" s="128" t="str">
        <f>IF(D97="","",IF((INDEX('FE Inconsistency Results'!$H$1:$H$500,MATCH(SUBSTITUTE(D97,"OR","d"),'FE Inconsistency Results'!$B$1:$B$500,0),1))-(INDEX('FE Inconsistency Results'!$F$1:$F$500,MATCH(SUBSTITUTE(D97,"OR","d"),'FE Inconsistency Results'!$B$1:$B$500,0),1))&gt;50,"N/A",EXP(INDEX('FE Inconsistency Results'!$G$1:$G$500,MATCH(SUBSTITUTE(D97,"OR","d"),'FE Inconsistency Results'!$B$1:$B$500,0),1))))</f>
        <v/>
      </c>
      <c r="I97" s="138" t="str">
        <f ca="1">IF(INDIRECT(CONCATENATE("'",'Inconsistency Data'!$I$4,"'!N97"))="","",INDIRECT(CONCATENATE("'",'Inconsistency Data'!$I$4,"'!N97")))</f>
        <v/>
      </c>
      <c r="J97" s="126" t="str">
        <f ca="1">IF(INDIRECT(CONCATENATE("'",'Inconsistency Data'!$I$4,"'!O97"))="","",INDIRECT(CONCATENATE("'",'Inconsistency Data'!$I$4,"'!O97")))</f>
        <v/>
      </c>
      <c r="K97" s="127" t="str">
        <f ca="1">IF(INDIRECT(CONCATENATE("'",'Inconsistency Data'!$I$4,"'!Q97"))="","",INDIRECT(CONCATENATE("'",'Inconsistency Data'!$I$4,"'!Q97")))</f>
        <v/>
      </c>
      <c r="L97" s="128" t="str">
        <f>IF(D97="","",IF((INDEX('RE Inconsistency Results'!$H$1:$H$500,MATCH(SUBSTITUTE(D97,"OR","d"),'RE Inconsistency Results'!$B$1:$B$500,0),1))-(INDEX('RE Inconsistency Results'!$F$1:$F$500,MATCH(SUBSTITUTE(D97,"OR","d"),'RE Inconsistency Results'!$B$1:$B$500,0),1))&gt;50,"N/A",EXP(INDEX('RE Inconsistency Results'!$G$1:$G$500,MATCH(SUBSTITUTE(D97,"OR","d"),'RE Inconsistency Results'!$B$1:$B$500,0),1))))</f>
        <v/>
      </c>
    </row>
    <row r="98" spans="4:12" x14ac:dyDescent="0.25">
      <c r="D98" s="125" t="str">
        <f>IF('Fixed Effects'!N98="","",'Fixed Effects'!N98)</f>
        <v/>
      </c>
      <c r="E98" s="126" t="str">
        <f>IF('Fixed Effects'!O98="","",'Fixed Effects'!O98)</f>
        <v/>
      </c>
      <c r="F98" s="127" t="str">
        <f>IF('Fixed Effects'!Q98="","",'Fixed Effects'!Q98)</f>
        <v/>
      </c>
      <c r="G98" s="128" t="str">
        <f>IF(D98="","",IF((INDEX('FE Inconsistency Results'!$H$1:$H$500,MATCH(SUBSTITUTE(D98,"OR","d"),'FE Inconsistency Results'!$B$1:$B$500,0),1))-(INDEX('FE Inconsistency Results'!$F$1:$F$500,MATCH(SUBSTITUTE(D98,"OR","d"),'FE Inconsistency Results'!$B$1:$B$500,0),1))&gt;50,"N/A",EXP(INDEX('FE Inconsistency Results'!$G$1:$G$500,MATCH(SUBSTITUTE(D98,"OR","d"),'FE Inconsistency Results'!$B$1:$B$500,0),1))))</f>
        <v/>
      </c>
      <c r="I98" s="138" t="str">
        <f ca="1">IF(INDIRECT(CONCATENATE("'",'Inconsistency Data'!$I$4,"'!N98"))="","",INDIRECT(CONCATENATE("'",'Inconsistency Data'!$I$4,"'!N98")))</f>
        <v/>
      </c>
      <c r="J98" s="126" t="str">
        <f ca="1">IF(INDIRECT(CONCATENATE("'",'Inconsistency Data'!$I$4,"'!O98"))="","",INDIRECT(CONCATENATE("'",'Inconsistency Data'!$I$4,"'!O98")))</f>
        <v/>
      </c>
      <c r="K98" s="127" t="str">
        <f ca="1">IF(INDIRECT(CONCATENATE("'",'Inconsistency Data'!$I$4,"'!Q98"))="","",INDIRECT(CONCATENATE("'",'Inconsistency Data'!$I$4,"'!Q98")))</f>
        <v/>
      </c>
      <c r="L98" s="128" t="str">
        <f>IF(D98="","",IF((INDEX('RE Inconsistency Results'!$H$1:$H$500,MATCH(SUBSTITUTE(D98,"OR","d"),'RE Inconsistency Results'!$B$1:$B$500,0),1))-(INDEX('RE Inconsistency Results'!$F$1:$F$500,MATCH(SUBSTITUTE(D98,"OR","d"),'RE Inconsistency Results'!$B$1:$B$500,0),1))&gt;50,"N/A",EXP(INDEX('RE Inconsistency Results'!$G$1:$G$500,MATCH(SUBSTITUTE(D98,"OR","d"),'RE Inconsistency Results'!$B$1:$B$500,0),1))))</f>
        <v/>
      </c>
    </row>
    <row r="99" spans="4:12" x14ac:dyDescent="0.25">
      <c r="D99" s="125" t="str">
        <f>IF('Fixed Effects'!N99="","",'Fixed Effects'!N99)</f>
        <v/>
      </c>
      <c r="E99" s="126" t="str">
        <f>IF('Fixed Effects'!O99="","",'Fixed Effects'!O99)</f>
        <v/>
      </c>
      <c r="F99" s="127" t="str">
        <f>IF('Fixed Effects'!Q99="","",'Fixed Effects'!Q99)</f>
        <v/>
      </c>
      <c r="G99" s="128" t="str">
        <f>IF(D99="","",IF((INDEX('FE Inconsistency Results'!$H$1:$H$500,MATCH(SUBSTITUTE(D99,"OR","d"),'FE Inconsistency Results'!$B$1:$B$500,0),1))-(INDEX('FE Inconsistency Results'!$F$1:$F$500,MATCH(SUBSTITUTE(D99,"OR","d"),'FE Inconsistency Results'!$B$1:$B$500,0),1))&gt;50,"N/A",EXP(INDEX('FE Inconsistency Results'!$G$1:$G$500,MATCH(SUBSTITUTE(D99,"OR","d"),'FE Inconsistency Results'!$B$1:$B$500,0),1))))</f>
        <v/>
      </c>
      <c r="I99" s="138" t="str">
        <f ca="1">IF(INDIRECT(CONCATENATE("'",'Inconsistency Data'!$I$4,"'!N99"))="","",INDIRECT(CONCATENATE("'",'Inconsistency Data'!$I$4,"'!N99")))</f>
        <v/>
      </c>
      <c r="J99" s="126" t="str">
        <f ca="1">IF(INDIRECT(CONCATENATE("'",'Inconsistency Data'!$I$4,"'!O99"))="","",INDIRECT(CONCATENATE("'",'Inconsistency Data'!$I$4,"'!O99")))</f>
        <v/>
      </c>
      <c r="K99" s="127" t="str">
        <f ca="1">IF(INDIRECT(CONCATENATE("'",'Inconsistency Data'!$I$4,"'!Q99"))="","",INDIRECT(CONCATENATE("'",'Inconsistency Data'!$I$4,"'!Q99")))</f>
        <v/>
      </c>
      <c r="L99" s="128" t="str">
        <f>IF(D99="","",IF((INDEX('RE Inconsistency Results'!$H$1:$H$500,MATCH(SUBSTITUTE(D99,"OR","d"),'RE Inconsistency Results'!$B$1:$B$500,0),1))-(INDEX('RE Inconsistency Results'!$F$1:$F$500,MATCH(SUBSTITUTE(D99,"OR","d"),'RE Inconsistency Results'!$B$1:$B$500,0),1))&gt;50,"N/A",EXP(INDEX('RE Inconsistency Results'!$G$1:$G$500,MATCH(SUBSTITUTE(D99,"OR","d"),'RE Inconsistency Results'!$B$1:$B$500,0),1))))</f>
        <v/>
      </c>
    </row>
    <row r="100" spans="4:12" x14ac:dyDescent="0.25">
      <c r="D100" s="125" t="str">
        <f>IF('Fixed Effects'!N100="","",'Fixed Effects'!N100)</f>
        <v/>
      </c>
      <c r="E100" s="126" t="str">
        <f>IF('Fixed Effects'!O100="","",'Fixed Effects'!O100)</f>
        <v/>
      </c>
      <c r="F100" s="127" t="str">
        <f>IF('Fixed Effects'!Q100="","",'Fixed Effects'!Q100)</f>
        <v/>
      </c>
      <c r="G100" s="128" t="str">
        <f>IF(D100="","",IF((INDEX('FE Inconsistency Results'!$H$1:$H$500,MATCH(SUBSTITUTE(D100,"OR","d"),'FE Inconsistency Results'!$B$1:$B$500,0),1))-(INDEX('FE Inconsistency Results'!$F$1:$F$500,MATCH(SUBSTITUTE(D100,"OR","d"),'FE Inconsistency Results'!$B$1:$B$500,0),1))&gt;50,"N/A",EXP(INDEX('FE Inconsistency Results'!$G$1:$G$500,MATCH(SUBSTITUTE(D100,"OR","d"),'FE Inconsistency Results'!$B$1:$B$500,0),1))))</f>
        <v/>
      </c>
      <c r="I100" s="138" t="str">
        <f ca="1">IF(INDIRECT(CONCATENATE("'",'Inconsistency Data'!$I$4,"'!N100"))="","",INDIRECT(CONCATENATE("'",'Inconsistency Data'!$I$4,"'!N100")))</f>
        <v/>
      </c>
      <c r="J100" s="126" t="str">
        <f ca="1">IF(INDIRECT(CONCATENATE("'",'Inconsistency Data'!$I$4,"'!O100"))="","",INDIRECT(CONCATENATE("'",'Inconsistency Data'!$I$4,"'!O100")))</f>
        <v/>
      </c>
      <c r="K100" s="127" t="str">
        <f ca="1">IF(INDIRECT(CONCATENATE("'",'Inconsistency Data'!$I$4,"'!Q100"))="","",INDIRECT(CONCATENATE("'",'Inconsistency Data'!$I$4,"'!Q100")))</f>
        <v/>
      </c>
      <c r="L100" s="128" t="str">
        <f>IF(D100="","",IF((INDEX('RE Inconsistency Results'!$H$1:$H$500,MATCH(SUBSTITUTE(D100,"OR","d"),'RE Inconsistency Results'!$B$1:$B$500,0),1))-(INDEX('RE Inconsistency Results'!$F$1:$F$500,MATCH(SUBSTITUTE(D100,"OR","d"),'RE Inconsistency Results'!$B$1:$B$500,0),1))&gt;50,"N/A",EXP(INDEX('RE Inconsistency Results'!$G$1:$G$500,MATCH(SUBSTITUTE(D100,"OR","d"),'RE Inconsistency Results'!$B$1:$B$500,0),1))))</f>
        <v/>
      </c>
    </row>
    <row r="101" spans="4:12" x14ac:dyDescent="0.25">
      <c r="D101" s="125" t="str">
        <f>IF('Fixed Effects'!N101="","",'Fixed Effects'!N101)</f>
        <v/>
      </c>
      <c r="E101" s="126" t="str">
        <f>IF('Fixed Effects'!O101="","",'Fixed Effects'!O101)</f>
        <v/>
      </c>
      <c r="F101" s="127" t="str">
        <f>IF('Fixed Effects'!Q101="","",'Fixed Effects'!Q101)</f>
        <v/>
      </c>
      <c r="G101" s="128" t="str">
        <f>IF(D101="","",IF((INDEX('FE Inconsistency Results'!$H$1:$H$500,MATCH(SUBSTITUTE(D101,"OR","d"),'FE Inconsistency Results'!$B$1:$B$500,0),1))-(INDEX('FE Inconsistency Results'!$F$1:$F$500,MATCH(SUBSTITUTE(D101,"OR","d"),'FE Inconsistency Results'!$B$1:$B$500,0),1))&gt;50,"N/A",EXP(INDEX('FE Inconsistency Results'!$G$1:$G$500,MATCH(SUBSTITUTE(D101,"OR","d"),'FE Inconsistency Results'!$B$1:$B$500,0),1))))</f>
        <v/>
      </c>
      <c r="I101" s="138" t="str">
        <f ca="1">IF(INDIRECT(CONCATENATE("'",'Inconsistency Data'!$I$4,"'!N101"))="","",INDIRECT(CONCATENATE("'",'Inconsistency Data'!$I$4,"'!N101")))</f>
        <v/>
      </c>
      <c r="J101" s="126" t="str">
        <f ca="1">IF(INDIRECT(CONCATENATE("'",'Inconsistency Data'!$I$4,"'!O101"))="","",INDIRECT(CONCATENATE("'",'Inconsistency Data'!$I$4,"'!O101")))</f>
        <v/>
      </c>
      <c r="K101" s="127" t="str">
        <f ca="1">IF(INDIRECT(CONCATENATE("'",'Inconsistency Data'!$I$4,"'!Q101"))="","",INDIRECT(CONCATENATE("'",'Inconsistency Data'!$I$4,"'!Q101")))</f>
        <v/>
      </c>
      <c r="L101" s="128" t="str">
        <f>IF(D101="","",IF((INDEX('RE Inconsistency Results'!$H$1:$H$500,MATCH(SUBSTITUTE(D101,"OR","d"),'RE Inconsistency Results'!$B$1:$B$500,0),1))-(INDEX('RE Inconsistency Results'!$F$1:$F$500,MATCH(SUBSTITUTE(D101,"OR","d"),'RE Inconsistency Results'!$B$1:$B$500,0),1))&gt;50,"N/A",EXP(INDEX('RE Inconsistency Results'!$G$1:$G$500,MATCH(SUBSTITUTE(D101,"OR","d"),'RE Inconsistency Results'!$B$1:$B$500,0),1))))</f>
        <v/>
      </c>
    </row>
    <row r="102" spans="4:12" x14ac:dyDescent="0.25">
      <c r="D102" s="125" t="str">
        <f>IF('Fixed Effects'!N102="","",'Fixed Effects'!N102)</f>
        <v/>
      </c>
      <c r="E102" s="126" t="str">
        <f>IF('Fixed Effects'!O102="","",'Fixed Effects'!O102)</f>
        <v/>
      </c>
      <c r="F102" s="127" t="str">
        <f>IF('Fixed Effects'!Q102="","",'Fixed Effects'!Q102)</f>
        <v/>
      </c>
      <c r="G102" s="128" t="str">
        <f>IF(D102="","",IF((INDEX('FE Inconsistency Results'!$H$1:$H$500,MATCH(SUBSTITUTE(D102,"OR","d"),'FE Inconsistency Results'!$B$1:$B$500,0),1))-(INDEX('FE Inconsistency Results'!$F$1:$F$500,MATCH(SUBSTITUTE(D102,"OR","d"),'FE Inconsistency Results'!$B$1:$B$500,0),1))&gt;50,"N/A",EXP(INDEX('FE Inconsistency Results'!$G$1:$G$500,MATCH(SUBSTITUTE(D102,"OR","d"),'FE Inconsistency Results'!$B$1:$B$500,0),1))))</f>
        <v/>
      </c>
      <c r="I102" s="138" t="str">
        <f ca="1">IF(INDIRECT(CONCATENATE("'",'Inconsistency Data'!$I$4,"'!N102"))="","",INDIRECT(CONCATENATE("'",'Inconsistency Data'!$I$4,"'!N102")))</f>
        <v/>
      </c>
      <c r="J102" s="126" t="str">
        <f ca="1">IF(INDIRECT(CONCATENATE("'",'Inconsistency Data'!$I$4,"'!O102"))="","",INDIRECT(CONCATENATE("'",'Inconsistency Data'!$I$4,"'!O102")))</f>
        <v/>
      </c>
      <c r="K102" s="127" t="str">
        <f ca="1">IF(INDIRECT(CONCATENATE("'",'Inconsistency Data'!$I$4,"'!Q102"))="","",INDIRECT(CONCATENATE("'",'Inconsistency Data'!$I$4,"'!Q102")))</f>
        <v/>
      </c>
      <c r="L102" s="128" t="str">
        <f>IF(D102="","",IF((INDEX('RE Inconsistency Results'!$H$1:$H$500,MATCH(SUBSTITUTE(D102,"OR","d"),'RE Inconsistency Results'!$B$1:$B$500,0),1))-(INDEX('RE Inconsistency Results'!$F$1:$F$500,MATCH(SUBSTITUTE(D102,"OR","d"),'RE Inconsistency Results'!$B$1:$B$500,0),1))&gt;50,"N/A",EXP(INDEX('RE Inconsistency Results'!$G$1:$G$500,MATCH(SUBSTITUTE(D102,"OR","d"),'RE Inconsistency Results'!$B$1:$B$500,0),1))))</f>
        <v/>
      </c>
    </row>
    <row r="103" spans="4:12" x14ac:dyDescent="0.25">
      <c r="D103" s="125" t="str">
        <f>IF('Fixed Effects'!N103="","",'Fixed Effects'!N103)</f>
        <v/>
      </c>
      <c r="E103" s="126" t="str">
        <f>IF('Fixed Effects'!O103="","",'Fixed Effects'!O103)</f>
        <v/>
      </c>
      <c r="F103" s="127" t="str">
        <f>IF('Fixed Effects'!Q103="","",'Fixed Effects'!Q103)</f>
        <v/>
      </c>
      <c r="G103" s="128" t="str">
        <f>IF(D103="","",IF((INDEX('FE Inconsistency Results'!$H$1:$H$500,MATCH(SUBSTITUTE(D103,"OR","d"),'FE Inconsistency Results'!$B$1:$B$500,0),1))-(INDEX('FE Inconsistency Results'!$F$1:$F$500,MATCH(SUBSTITUTE(D103,"OR","d"),'FE Inconsistency Results'!$B$1:$B$500,0),1))&gt;50,"N/A",EXP(INDEX('FE Inconsistency Results'!$G$1:$G$500,MATCH(SUBSTITUTE(D103,"OR","d"),'FE Inconsistency Results'!$B$1:$B$500,0),1))))</f>
        <v/>
      </c>
      <c r="I103" s="138" t="str">
        <f ca="1">IF(INDIRECT(CONCATENATE("'",'Inconsistency Data'!$I$4,"'!N103"))="","",INDIRECT(CONCATENATE("'",'Inconsistency Data'!$I$4,"'!N103")))</f>
        <v/>
      </c>
      <c r="J103" s="126" t="str">
        <f ca="1">IF(INDIRECT(CONCATENATE("'",'Inconsistency Data'!$I$4,"'!O103"))="","",INDIRECT(CONCATENATE("'",'Inconsistency Data'!$I$4,"'!O103")))</f>
        <v/>
      </c>
      <c r="K103" s="127" t="str">
        <f ca="1">IF(INDIRECT(CONCATENATE("'",'Inconsistency Data'!$I$4,"'!Q103"))="","",INDIRECT(CONCATENATE("'",'Inconsistency Data'!$I$4,"'!Q103")))</f>
        <v/>
      </c>
      <c r="L103" s="128" t="str">
        <f>IF(D103="","",IF((INDEX('RE Inconsistency Results'!$H$1:$H$500,MATCH(SUBSTITUTE(D103,"OR","d"),'RE Inconsistency Results'!$B$1:$B$500,0),1))-(INDEX('RE Inconsistency Results'!$F$1:$F$500,MATCH(SUBSTITUTE(D103,"OR","d"),'RE Inconsistency Results'!$B$1:$B$500,0),1))&gt;50,"N/A",EXP(INDEX('RE Inconsistency Results'!$G$1:$G$500,MATCH(SUBSTITUTE(D103,"OR","d"),'RE Inconsistency Results'!$B$1:$B$500,0),1))))</f>
        <v/>
      </c>
    </row>
    <row r="104" spans="4:12" x14ac:dyDescent="0.25">
      <c r="D104" s="125" t="str">
        <f>IF('Fixed Effects'!N104="","",'Fixed Effects'!N104)</f>
        <v/>
      </c>
      <c r="E104" s="126" t="str">
        <f>IF('Fixed Effects'!O104="","",'Fixed Effects'!O104)</f>
        <v/>
      </c>
      <c r="F104" s="127" t="str">
        <f>IF('Fixed Effects'!Q104="","",'Fixed Effects'!Q104)</f>
        <v/>
      </c>
      <c r="G104" s="128" t="str">
        <f>IF(D104="","",IF((INDEX('FE Inconsistency Results'!$H$1:$H$500,MATCH(SUBSTITUTE(D104,"OR","d"),'FE Inconsistency Results'!$B$1:$B$500,0),1))-(INDEX('FE Inconsistency Results'!$F$1:$F$500,MATCH(SUBSTITUTE(D104,"OR","d"),'FE Inconsistency Results'!$B$1:$B$500,0),1))&gt;50,"N/A",EXP(INDEX('FE Inconsistency Results'!$G$1:$G$500,MATCH(SUBSTITUTE(D104,"OR","d"),'FE Inconsistency Results'!$B$1:$B$500,0),1))))</f>
        <v/>
      </c>
      <c r="I104" s="138" t="str">
        <f ca="1">IF(INDIRECT(CONCATENATE("'",'Inconsistency Data'!$I$4,"'!N104"))="","",INDIRECT(CONCATENATE("'",'Inconsistency Data'!$I$4,"'!N104")))</f>
        <v/>
      </c>
      <c r="J104" s="126" t="str">
        <f ca="1">IF(INDIRECT(CONCATENATE("'",'Inconsistency Data'!$I$4,"'!O104"))="","",INDIRECT(CONCATENATE("'",'Inconsistency Data'!$I$4,"'!O104")))</f>
        <v/>
      </c>
      <c r="K104" s="127" t="str">
        <f ca="1">IF(INDIRECT(CONCATENATE("'",'Inconsistency Data'!$I$4,"'!Q104"))="","",INDIRECT(CONCATENATE("'",'Inconsistency Data'!$I$4,"'!Q104")))</f>
        <v/>
      </c>
      <c r="L104" s="128" t="str">
        <f>IF(D104="","",IF((INDEX('RE Inconsistency Results'!$H$1:$H$500,MATCH(SUBSTITUTE(D104,"OR","d"),'RE Inconsistency Results'!$B$1:$B$500,0),1))-(INDEX('RE Inconsistency Results'!$F$1:$F$500,MATCH(SUBSTITUTE(D104,"OR","d"),'RE Inconsistency Results'!$B$1:$B$500,0),1))&gt;50,"N/A",EXP(INDEX('RE Inconsistency Results'!$G$1:$G$500,MATCH(SUBSTITUTE(D104,"OR","d"),'RE Inconsistency Results'!$B$1:$B$500,0),1))))</f>
        <v/>
      </c>
    </row>
    <row r="105" spans="4:12" x14ac:dyDescent="0.25">
      <c r="D105" s="125" t="str">
        <f>IF('Fixed Effects'!N105="","",'Fixed Effects'!N105)</f>
        <v/>
      </c>
      <c r="E105" s="126" t="str">
        <f>IF('Fixed Effects'!O105="","",'Fixed Effects'!O105)</f>
        <v/>
      </c>
      <c r="F105" s="127" t="str">
        <f>IF('Fixed Effects'!Q105="","",'Fixed Effects'!Q105)</f>
        <v/>
      </c>
      <c r="G105" s="128" t="str">
        <f>IF(D105="","",IF((INDEX('FE Inconsistency Results'!$H$1:$H$500,MATCH(SUBSTITUTE(D105,"OR","d"),'FE Inconsistency Results'!$B$1:$B$500,0),1))-(INDEX('FE Inconsistency Results'!$F$1:$F$500,MATCH(SUBSTITUTE(D105,"OR","d"),'FE Inconsistency Results'!$B$1:$B$500,0),1))&gt;50,"N/A",EXP(INDEX('FE Inconsistency Results'!$G$1:$G$500,MATCH(SUBSTITUTE(D105,"OR","d"),'FE Inconsistency Results'!$B$1:$B$500,0),1))))</f>
        <v/>
      </c>
      <c r="I105" s="138" t="str">
        <f ca="1">IF(INDIRECT(CONCATENATE("'",'Inconsistency Data'!$I$4,"'!N105"))="","",INDIRECT(CONCATENATE("'",'Inconsistency Data'!$I$4,"'!N105")))</f>
        <v/>
      </c>
      <c r="J105" s="126" t="str">
        <f ca="1">IF(INDIRECT(CONCATENATE("'",'Inconsistency Data'!$I$4,"'!O105"))="","",INDIRECT(CONCATENATE("'",'Inconsistency Data'!$I$4,"'!O105")))</f>
        <v/>
      </c>
      <c r="K105" s="127" t="str">
        <f ca="1">IF(INDIRECT(CONCATENATE("'",'Inconsistency Data'!$I$4,"'!Q105"))="","",INDIRECT(CONCATENATE("'",'Inconsistency Data'!$I$4,"'!Q105")))</f>
        <v/>
      </c>
      <c r="L105" s="128" t="str">
        <f>IF(D105="","",IF((INDEX('RE Inconsistency Results'!$H$1:$H$500,MATCH(SUBSTITUTE(D105,"OR","d"),'RE Inconsistency Results'!$B$1:$B$500,0),1))-(INDEX('RE Inconsistency Results'!$F$1:$F$500,MATCH(SUBSTITUTE(D105,"OR","d"),'RE Inconsistency Results'!$B$1:$B$500,0),1))&gt;50,"N/A",EXP(INDEX('RE Inconsistency Results'!$G$1:$G$500,MATCH(SUBSTITUTE(D105,"OR","d"),'RE Inconsistency Results'!$B$1:$B$500,0),1))))</f>
        <v/>
      </c>
    </row>
    <row r="106" spans="4:12" x14ac:dyDescent="0.25">
      <c r="D106" s="125" t="str">
        <f>IF('Fixed Effects'!N106="","",'Fixed Effects'!N106)</f>
        <v/>
      </c>
      <c r="E106" s="126" t="str">
        <f>IF('Fixed Effects'!O106="","",'Fixed Effects'!O106)</f>
        <v/>
      </c>
      <c r="F106" s="127" t="str">
        <f>IF('Fixed Effects'!Q106="","",'Fixed Effects'!Q106)</f>
        <v/>
      </c>
      <c r="G106" s="128" t="str">
        <f>IF(D106="","",IF((INDEX('FE Inconsistency Results'!$H$1:$H$500,MATCH(SUBSTITUTE(D106,"OR","d"),'FE Inconsistency Results'!$B$1:$B$500,0),1))-(INDEX('FE Inconsistency Results'!$F$1:$F$500,MATCH(SUBSTITUTE(D106,"OR","d"),'FE Inconsistency Results'!$B$1:$B$500,0),1))&gt;50,"N/A",EXP(INDEX('FE Inconsistency Results'!$G$1:$G$500,MATCH(SUBSTITUTE(D106,"OR","d"),'FE Inconsistency Results'!$B$1:$B$500,0),1))))</f>
        <v/>
      </c>
      <c r="I106" s="138" t="str">
        <f ca="1">IF(INDIRECT(CONCATENATE("'",'Inconsistency Data'!$I$4,"'!N106"))="","",INDIRECT(CONCATENATE("'",'Inconsistency Data'!$I$4,"'!N106")))</f>
        <v/>
      </c>
      <c r="J106" s="126" t="str">
        <f ca="1">IF(INDIRECT(CONCATENATE("'",'Inconsistency Data'!$I$4,"'!O106"))="","",INDIRECT(CONCATENATE("'",'Inconsistency Data'!$I$4,"'!O106")))</f>
        <v/>
      </c>
      <c r="K106" s="127" t="str">
        <f ca="1">IF(INDIRECT(CONCATENATE("'",'Inconsistency Data'!$I$4,"'!Q106"))="","",INDIRECT(CONCATENATE("'",'Inconsistency Data'!$I$4,"'!Q106")))</f>
        <v/>
      </c>
      <c r="L106" s="128" t="str">
        <f>IF(D106="","",IF((INDEX('RE Inconsistency Results'!$H$1:$H$500,MATCH(SUBSTITUTE(D106,"OR","d"),'RE Inconsistency Results'!$B$1:$B$500,0),1))-(INDEX('RE Inconsistency Results'!$F$1:$F$500,MATCH(SUBSTITUTE(D106,"OR","d"),'RE Inconsistency Results'!$B$1:$B$500,0),1))&gt;50,"N/A",EXP(INDEX('RE Inconsistency Results'!$G$1:$G$500,MATCH(SUBSTITUTE(D106,"OR","d"),'RE Inconsistency Results'!$B$1:$B$500,0),1))))</f>
        <v/>
      </c>
    </row>
    <row r="107" spans="4:12" x14ac:dyDescent="0.25">
      <c r="D107" s="125" t="str">
        <f>IF('Fixed Effects'!N107="","",'Fixed Effects'!N107)</f>
        <v/>
      </c>
      <c r="E107" s="126" t="str">
        <f>IF('Fixed Effects'!O107="","",'Fixed Effects'!O107)</f>
        <v/>
      </c>
      <c r="F107" s="127" t="str">
        <f>IF('Fixed Effects'!Q107="","",'Fixed Effects'!Q107)</f>
        <v/>
      </c>
      <c r="G107" s="128" t="str">
        <f>IF(D107="","",IF((INDEX('FE Inconsistency Results'!$H$1:$H$500,MATCH(SUBSTITUTE(D107,"OR","d"),'FE Inconsistency Results'!$B$1:$B$500,0),1))-(INDEX('FE Inconsistency Results'!$F$1:$F$500,MATCH(SUBSTITUTE(D107,"OR","d"),'FE Inconsistency Results'!$B$1:$B$500,0),1))&gt;50,"N/A",EXP(INDEX('FE Inconsistency Results'!$G$1:$G$500,MATCH(SUBSTITUTE(D107,"OR","d"),'FE Inconsistency Results'!$B$1:$B$500,0),1))))</f>
        <v/>
      </c>
      <c r="I107" s="138" t="str">
        <f ca="1">IF(INDIRECT(CONCATENATE("'",'Inconsistency Data'!$I$4,"'!N107"))="","",INDIRECT(CONCATENATE("'",'Inconsistency Data'!$I$4,"'!N107")))</f>
        <v/>
      </c>
      <c r="J107" s="126" t="str">
        <f ca="1">IF(INDIRECT(CONCATENATE("'",'Inconsistency Data'!$I$4,"'!O107"))="","",INDIRECT(CONCATENATE("'",'Inconsistency Data'!$I$4,"'!O107")))</f>
        <v/>
      </c>
      <c r="K107" s="127" t="str">
        <f ca="1">IF(INDIRECT(CONCATENATE("'",'Inconsistency Data'!$I$4,"'!Q107"))="","",INDIRECT(CONCATENATE("'",'Inconsistency Data'!$I$4,"'!Q107")))</f>
        <v/>
      </c>
      <c r="L107" s="128" t="str">
        <f>IF(D107="","",IF((INDEX('RE Inconsistency Results'!$H$1:$H$500,MATCH(SUBSTITUTE(D107,"OR","d"),'RE Inconsistency Results'!$B$1:$B$500,0),1))-(INDEX('RE Inconsistency Results'!$F$1:$F$500,MATCH(SUBSTITUTE(D107,"OR","d"),'RE Inconsistency Results'!$B$1:$B$500,0),1))&gt;50,"N/A",EXP(INDEX('RE Inconsistency Results'!$G$1:$G$500,MATCH(SUBSTITUTE(D107,"OR","d"),'RE Inconsistency Results'!$B$1:$B$500,0),1))))</f>
        <v/>
      </c>
    </row>
    <row r="108" spans="4:12" x14ac:dyDescent="0.25">
      <c r="D108" s="125" t="str">
        <f>IF('Fixed Effects'!N108="","",'Fixed Effects'!N108)</f>
        <v/>
      </c>
      <c r="E108" s="126" t="str">
        <f>IF('Fixed Effects'!O108="","",'Fixed Effects'!O108)</f>
        <v/>
      </c>
      <c r="F108" s="127" t="str">
        <f>IF('Fixed Effects'!Q108="","",'Fixed Effects'!Q108)</f>
        <v/>
      </c>
      <c r="G108" s="128" t="str">
        <f>IF(D108="","",IF((INDEX('FE Inconsistency Results'!$H$1:$H$500,MATCH(SUBSTITUTE(D108,"OR","d"),'FE Inconsistency Results'!$B$1:$B$500,0),1))-(INDEX('FE Inconsistency Results'!$F$1:$F$500,MATCH(SUBSTITUTE(D108,"OR","d"),'FE Inconsistency Results'!$B$1:$B$500,0),1))&gt;50,"N/A",EXP(INDEX('FE Inconsistency Results'!$G$1:$G$500,MATCH(SUBSTITUTE(D108,"OR","d"),'FE Inconsistency Results'!$B$1:$B$500,0),1))))</f>
        <v/>
      </c>
      <c r="I108" s="138" t="str">
        <f ca="1">IF(INDIRECT(CONCATENATE("'",'Inconsistency Data'!$I$4,"'!N108"))="","",INDIRECT(CONCATENATE("'",'Inconsistency Data'!$I$4,"'!N108")))</f>
        <v/>
      </c>
      <c r="J108" s="126" t="str">
        <f ca="1">IF(INDIRECT(CONCATENATE("'",'Inconsistency Data'!$I$4,"'!O108"))="","",INDIRECT(CONCATENATE("'",'Inconsistency Data'!$I$4,"'!O108")))</f>
        <v/>
      </c>
      <c r="K108" s="127" t="str">
        <f ca="1">IF(INDIRECT(CONCATENATE("'",'Inconsistency Data'!$I$4,"'!Q108"))="","",INDIRECT(CONCATENATE("'",'Inconsistency Data'!$I$4,"'!Q108")))</f>
        <v/>
      </c>
      <c r="L108" s="128" t="str">
        <f>IF(D108="","",IF((INDEX('RE Inconsistency Results'!$H$1:$H$500,MATCH(SUBSTITUTE(D108,"OR","d"),'RE Inconsistency Results'!$B$1:$B$500,0),1))-(INDEX('RE Inconsistency Results'!$F$1:$F$500,MATCH(SUBSTITUTE(D108,"OR","d"),'RE Inconsistency Results'!$B$1:$B$500,0),1))&gt;50,"N/A",EXP(INDEX('RE Inconsistency Results'!$G$1:$G$500,MATCH(SUBSTITUTE(D108,"OR","d"),'RE Inconsistency Results'!$B$1:$B$500,0),1))))</f>
        <v/>
      </c>
    </row>
    <row r="109" spans="4:12" x14ac:dyDescent="0.25">
      <c r="D109" s="125" t="str">
        <f>IF('Fixed Effects'!N109="","",'Fixed Effects'!N109)</f>
        <v/>
      </c>
      <c r="E109" s="126" t="str">
        <f>IF('Fixed Effects'!O109="","",'Fixed Effects'!O109)</f>
        <v/>
      </c>
      <c r="F109" s="127" t="str">
        <f>IF('Fixed Effects'!Q109="","",'Fixed Effects'!Q109)</f>
        <v/>
      </c>
      <c r="G109" s="128" t="str">
        <f>IF(D109="","",IF((INDEX('FE Inconsistency Results'!$H$1:$H$500,MATCH(SUBSTITUTE(D109,"OR","d"),'FE Inconsistency Results'!$B$1:$B$500,0),1))-(INDEX('FE Inconsistency Results'!$F$1:$F$500,MATCH(SUBSTITUTE(D109,"OR","d"),'FE Inconsistency Results'!$B$1:$B$500,0),1))&gt;50,"N/A",EXP(INDEX('FE Inconsistency Results'!$G$1:$G$500,MATCH(SUBSTITUTE(D109,"OR","d"),'FE Inconsistency Results'!$B$1:$B$500,0),1))))</f>
        <v/>
      </c>
      <c r="I109" s="138" t="str">
        <f ca="1">IF(INDIRECT(CONCATENATE("'",'Inconsistency Data'!$I$4,"'!N109"))="","",INDIRECT(CONCATENATE("'",'Inconsistency Data'!$I$4,"'!N109")))</f>
        <v/>
      </c>
      <c r="J109" s="126" t="str">
        <f ca="1">IF(INDIRECT(CONCATENATE("'",'Inconsistency Data'!$I$4,"'!O109"))="","",INDIRECT(CONCATENATE("'",'Inconsistency Data'!$I$4,"'!O109")))</f>
        <v/>
      </c>
      <c r="K109" s="127" t="str">
        <f ca="1">IF(INDIRECT(CONCATENATE("'",'Inconsistency Data'!$I$4,"'!Q109"))="","",INDIRECT(CONCATENATE("'",'Inconsistency Data'!$I$4,"'!Q109")))</f>
        <v/>
      </c>
      <c r="L109" s="128" t="str">
        <f>IF(D109="","",IF((INDEX('RE Inconsistency Results'!$H$1:$H$500,MATCH(SUBSTITUTE(D109,"OR","d"),'RE Inconsistency Results'!$B$1:$B$500,0),1))-(INDEX('RE Inconsistency Results'!$F$1:$F$500,MATCH(SUBSTITUTE(D109,"OR","d"),'RE Inconsistency Results'!$B$1:$B$500,0),1))&gt;50,"N/A",EXP(INDEX('RE Inconsistency Results'!$G$1:$G$500,MATCH(SUBSTITUTE(D109,"OR","d"),'RE Inconsistency Results'!$B$1:$B$500,0),1))))</f>
        <v/>
      </c>
    </row>
    <row r="110" spans="4:12" x14ac:dyDescent="0.25">
      <c r="D110" s="125" t="str">
        <f>IF('Fixed Effects'!N110="","",'Fixed Effects'!N110)</f>
        <v/>
      </c>
      <c r="E110" s="126" t="str">
        <f>IF('Fixed Effects'!O110="","",'Fixed Effects'!O110)</f>
        <v/>
      </c>
      <c r="F110" s="127" t="str">
        <f>IF('Fixed Effects'!Q110="","",'Fixed Effects'!Q110)</f>
        <v/>
      </c>
      <c r="G110" s="128" t="str">
        <f>IF(D110="","",IF((INDEX('FE Inconsistency Results'!$H$1:$H$500,MATCH(SUBSTITUTE(D110,"OR","d"),'FE Inconsistency Results'!$B$1:$B$500,0),1))-(INDEX('FE Inconsistency Results'!$F$1:$F$500,MATCH(SUBSTITUTE(D110,"OR","d"),'FE Inconsistency Results'!$B$1:$B$500,0),1))&gt;50,"N/A",EXP(INDEX('FE Inconsistency Results'!$G$1:$G$500,MATCH(SUBSTITUTE(D110,"OR","d"),'FE Inconsistency Results'!$B$1:$B$500,0),1))))</f>
        <v/>
      </c>
      <c r="I110" s="138" t="str">
        <f ca="1">IF(INDIRECT(CONCATENATE("'",'Inconsistency Data'!$I$4,"'!N110"))="","",INDIRECT(CONCATENATE("'",'Inconsistency Data'!$I$4,"'!N110")))</f>
        <v/>
      </c>
      <c r="J110" s="126" t="str">
        <f ca="1">IF(INDIRECT(CONCATENATE("'",'Inconsistency Data'!$I$4,"'!O110"))="","",INDIRECT(CONCATENATE("'",'Inconsistency Data'!$I$4,"'!O110")))</f>
        <v/>
      </c>
      <c r="K110" s="127" t="str">
        <f ca="1">IF(INDIRECT(CONCATENATE("'",'Inconsistency Data'!$I$4,"'!Q110"))="","",INDIRECT(CONCATENATE("'",'Inconsistency Data'!$I$4,"'!Q110")))</f>
        <v/>
      </c>
      <c r="L110" s="128" t="str">
        <f>IF(D110="","",IF((INDEX('RE Inconsistency Results'!$H$1:$H$500,MATCH(SUBSTITUTE(D110,"OR","d"),'RE Inconsistency Results'!$B$1:$B$500,0),1))-(INDEX('RE Inconsistency Results'!$F$1:$F$500,MATCH(SUBSTITUTE(D110,"OR","d"),'RE Inconsistency Results'!$B$1:$B$500,0),1))&gt;50,"N/A",EXP(INDEX('RE Inconsistency Results'!$G$1:$G$500,MATCH(SUBSTITUTE(D110,"OR","d"),'RE Inconsistency Results'!$B$1:$B$500,0),1))))</f>
        <v/>
      </c>
    </row>
    <row r="111" spans="4:12" x14ac:dyDescent="0.25">
      <c r="D111" s="125" t="str">
        <f>IF('Fixed Effects'!N111="","",'Fixed Effects'!N111)</f>
        <v/>
      </c>
      <c r="E111" s="126" t="str">
        <f>IF('Fixed Effects'!O111="","",'Fixed Effects'!O111)</f>
        <v/>
      </c>
      <c r="F111" s="127" t="str">
        <f>IF('Fixed Effects'!Q111="","",'Fixed Effects'!Q111)</f>
        <v/>
      </c>
      <c r="G111" s="128" t="str">
        <f>IF(D111="","",IF((INDEX('FE Inconsistency Results'!$H$1:$H$500,MATCH(SUBSTITUTE(D111,"OR","d"),'FE Inconsistency Results'!$B$1:$B$500,0),1))-(INDEX('FE Inconsistency Results'!$F$1:$F$500,MATCH(SUBSTITUTE(D111,"OR","d"),'FE Inconsistency Results'!$B$1:$B$500,0),1))&gt;50,"N/A",EXP(INDEX('FE Inconsistency Results'!$G$1:$G$500,MATCH(SUBSTITUTE(D111,"OR","d"),'FE Inconsistency Results'!$B$1:$B$500,0),1))))</f>
        <v/>
      </c>
      <c r="I111" s="138" t="str">
        <f ca="1">IF(INDIRECT(CONCATENATE("'",'Inconsistency Data'!$I$4,"'!N111"))="","",INDIRECT(CONCATENATE("'",'Inconsistency Data'!$I$4,"'!N111")))</f>
        <v/>
      </c>
      <c r="J111" s="126" t="str">
        <f ca="1">IF(INDIRECT(CONCATENATE("'",'Inconsistency Data'!$I$4,"'!O111"))="","",INDIRECT(CONCATENATE("'",'Inconsistency Data'!$I$4,"'!O111")))</f>
        <v/>
      </c>
      <c r="K111" s="127" t="str">
        <f ca="1">IF(INDIRECT(CONCATENATE("'",'Inconsistency Data'!$I$4,"'!Q111"))="","",INDIRECT(CONCATENATE("'",'Inconsistency Data'!$I$4,"'!Q111")))</f>
        <v/>
      </c>
      <c r="L111" s="128" t="str">
        <f>IF(D111="","",IF((INDEX('RE Inconsistency Results'!$H$1:$H$500,MATCH(SUBSTITUTE(D111,"OR","d"),'RE Inconsistency Results'!$B$1:$B$500,0),1))-(INDEX('RE Inconsistency Results'!$F$1:$F$500,MATCH(SUBSTITUTE(D111,"OR","d"),'RE Inconsistency Results'!$B$1:$B$500,0),1))&gt;50,"N/A",EXP(INDEX('RE Inconsistency Results'!$G$1:$G$500,MATCH(SUBSTITUTE(D111,"OR","d"),'RE Inconsistency Results'!$B$1:$B$500,0),1))))</f>
        <v/>
      </c>
    </row>
    <row r="112" spans="4:12" x14ac:dyDescent="0.25">
      <c r="D112" s="125" t="str">
        <f>IF('Fixed Effects'!N112="","",'Fixed Effects'!N112)</f>
        <v/>
      </c>
      <c r="E112" s="126" t="str">
        <f>IF('Fixed Effects'!O112="","",'Fixed Effects'!O112)</f>
        <v/>
      </c>
      <c r="F112" s="127" t="str">
        <f>IF('Fixed Effects'!Q112="","",'Fixed Effects'!Q112)</f>
        <v/>
      </c>
      <c r="G112" s="128" t="str">
        <f>IF(D112="","",IF((INDEX('FE Inconsistency Results'!$H$1:$H$500,MATCH(SUBSTITUTE(D112,"OR","d"),'FE Inconsistency Results'!$B$1:$B$500,0),1))-(INDEX('FE Inconsistency Results'!$F$1:$F$500,MATCH(SUBSTITUTE(D112,"OR","d"),'FE Inconsistency Results'!$B$1:$B$500,0),1))&gt;50,"N/A",EXP(INDEX('FE Inconsistency Results'!$G$1:$G$500,MATCH(SUBSTITUTE(D112,"OR","d"),'FE Inconsistency Results'!$B$1:$B$500,0),1))))</f>
        <v/>
      </c>
      <c r="I112" s="138" t="str">
        <f ca="1">IF(INDIRECT(CONCATENATE("'",'Inconsistency Data'!$I$4,"'!N112"))="","",INDIRECT(CONCATENATE("'",'Inconsistency Data'!$I$4,"'!N112")))</f>
        <v/>
      </c>
      <c r="J112" s="126" t="str">
        <f ca="1">IF(INDIRECT(CONCATENATE("'",'Inconsistency Data'!$I$4,"'!O112"))="","",INDIRECT(CONCATENATE("'",'Inconsistency Data'!$I$4,"'!O112")))</f>
        <v/>
      </c>
      <c r="K112" s="127" t="str">
        <f ca="1">IF(INDIRECT(CONCATENATE("'",'Inconsistency Data'!$I$4,"'!Q112"))="","",INDIRECT(CONCATENATE("'",'Inconsistency Data'!$I$4,"'!Q112")))</f>
        <v/>
      </c>
      <c r="L112" s="128" t="str">
        <f>IF(D112="","",IF((INDEX('RE Inconsistency Results'!$H$1:$H$500,MATCH(SUBSTITUTE(D112,"OR","d"),'RE Inconsistency Results'!$B$1:$B$500,0),1))-(INDEX('RE Inconsistency Results'!$F$1:$F$500,MATCH(SUBSTITUTE(D112,"OR","d"),'RE Inconsistency Results'!$B$1:$B$500,0),1))&gt;50,"N/A",EXP(INDEX('RE Inconsistency Results'!$G$1:$G$500,MATCH(SUBSTITUTE(D112,"OR","d"),'RE Inconsistency Results'!$B$1:$B$500,0),1))))</f>
        <v/>
      </c>
    </row>
    <row r="113" spans="4:12" x14ac:dyDescent="0.25">
      <c r="D113" s="125" t="str">
        <f>IF('Fixed Effects'!N113="","",'Fixed Effects'!N113)</f>
        <v/>
      </c>
      <c r="E113" s="126" t="str">
        <f>IF('Fixed Effects'!O113="","",'Fixed Effects'!O113)</f>
        <v/>
      </c>
      <c r="F113" s="127" t="str">
        <f>IF('Fixed Effects'!Q113="","",'Fixed Effects'!Q113)</f>
        <v/>
      </c>
      <c r="G113" s="128" t="str">
        <f>IF(D113="","",IF((INDEX('FE Inconsistency Results'!$H$1:$H$500,MATCH(SUBSTITUTE(D113,"OR","d"),'FE Inconsistency Results'!$B$1:$B$500,0),1))-(INDEX('FE Inconsistency Results'!$F$1:$F$500,MATCH(SUBSTITUTE(D113,"OR","d"),'FE Inconsistency Results'!$B$1:$B$500,0),1))&gt;50,"N/A",EXP(INDEX('FE Inconsistency Results'!$G$1:$G$500,MATCH(SUBSTITUTE(D113,"OR","d"),'FE Inconsistency Results'!$B$1:$B$500,0),1))))</f>
        <v/>
      </c>
      <c r="I113" s="138" t="str">
        <f ca="1">IF(INDIRECT(CONCATENATE("'",'Inconsistency Data'!$I$4,"'!N113"))="","",INDIRECT(CONCATENATE("'",'Inconsistency Data'!$I$4,"'!N113")))</f>
        <v/>
      </c>
      <c r="J113" s="126" t="str">
        <f ca="1">IF(INDIRECT(CONCATENATE("'",'Inconsistency Data'!$I$4,"'!O113"))="","",INDIRECT(CONCATENATE("'",'Inconsistency Data'!$I$4,"'!O113")))</f>
        <v/>
      </c>
      <c r="K113" s="127" t="str">
        <f ca="1">IF(INDIRECT(CONCATENATE("'",'Inconsistency Data'!$I$4,"'!Q113"))="","",INDIRECT(CONCATENATE("'",'Inconsistency Data'!$I$4,"'!Q113")))</f>
        <v/>
      </c>
      <c r="L113" s="128" t="str">
        <f>IF(D113="","",IF((INDEX('RE Inconsistency Results'!$H$1:$H$500,MATCH(SUBSTITUTE(D113,"OR","d"),'RE Inconsistency Results'!$B$1:$B$500,0),1))-(INDEX('RE Inconsistency Results'!$F$1:$F$500,MATCH(SUBSTITUTE(D113,"OR","d"),'RE Inconsistency Results'!$B$1:$B$500,0),1))&gt;50,"N/A",EXP(INDEX('RE Inconsistency Results'!$G$1:$G$500,MATCH(SUBSTITUTE(D113,"OR","d"),'RE Inconsistency Results'!$B$1:$B$500,0),1))))</f>
        <v/>
      </c>
    </row>
    <row r="114" spans="4:12" x14ac:dyDescent="0.25">
      <c r="D114" s="125" t="str">
        <f>IF('Fixed Effects'!N114="","",'Fixed Effects'!N114)</f>
        <v/>
      </c>
      <c r="E114" s="126" t="str">
        <f>IF('Fixed Effects'!O114="","",'Fixed Effects'!O114)</f>
        <v/>
      </c>
      <c r="F114" s="127" t="str">
        <f>IF('Fixed Effects'!Q114="","",'Fixed Effects'!Q114)</f>
        <v/>
      </c>
      <c r="G114" s="128" t="str">
        <f>IF(D114="","",IF((INDEX('FE Inconsistency Results'!$H$1:$H$500,MATCH(SUBSTITUTE(D114,"OR","d"),'FE Inconsistency Results'!$B$1:$B$500,0),1))-(INDEX('FE Inconsistency Results'!$F$1:$F$500,MATCH(SUBSTITUTE(D114,"OR","d"),'FE Inconsistency Results'!$B$1:$B$500,0),1))&gt;50,"N/A",EXP(INDEX('FE Inconsistency Results'!$G$1:$G$500,MATCH(SUBSTITUTE(D114,"OR","d"),'FE Inconsistency Results'!$B$1:$B$500,0),1))))</f>
        <v/>
      </c>
      <c r="I114" s="138" t="str">
        <f ca="1">IF(INDIRECT(CONCATENATE("'",'Inconsistency Data'!$I$4,"'!N114"))="","",INDIRECT(CONCATENATE("'",'Inconsistency Data'!$I$4,"'!N114")))</f>
        <v/>
      </c>
      <c r="J114" s="126" t="str">
        <f ca="1">IF(INDIRECT(CONCATENATE("'",'Inconsistency Data'!$I$4,"'!O114"))="","",INDIRECT(CONCATENATE("'",'Inconsistency Data'!$I$4,"'!O114")))</f>
        <v/>
      </c>
      <c r="K114" s="127" t="str">
        <f ca="1">IF(INDIRECT(CONCATENATE("'",'Inconsistency Data'!$I$4,"'!Q114"))="","",INDIRECT(CONCATENATE("'",'Inconsistency Data'!$I$4,"'!Q114")))</f>
        <v/>
      </c>
      <c r="L114" s="128" t="str">
        <f>IF(D114="","",IF((INDEX('RE Inconsistency Results'!$H$1:$H$500,MATCH(SUBSTITUTE(D114,"OR","d"),'RE Inconsistency Results'!$B$1:$B$500,0),1))-(INDEX('RE Inconsistency Results'!$F$1:$F$500,MATCH(SUBSTITUTE(D114,"OR","d"),'RE Inconsistency Results'!$B$1:$B$500,0),1))&gt;50,"N/A",EXP(INDEX('RE Inconsistency Results'!$G$1:$G$500,MATCH(SUBSTITUTE(D114,"OR","d"),'RE Inconsistency Results'!$B$1:$B$500,0),1))))</f>
        <v/>
      </c>
    </row>
    <row r="115" spans="4:12" x14ac:dyDescent="0.25">
      <c r="D115" s="125" t="str">
        <f>IF('Fixed Effects'!N115="","",'Fixed Effects'!N115)</f>
        <v/>
      </c>
      <c r="E115" s="126" t="str">
        <f>IF('Fixed Effects'!O115="","",'Fixed Effects'!O115)</f>
        <v/>
      </c>
      <c r="F115" s="127" t="str">
        <f>IF('Fixed Effects'!Q115="","",'Fixed Effects'!Q115)</f>
        <v/>
      </c>
      <c r="G115" s="128" t="str">
        <f>IF(D115="","",IF((INDEX('FE Inconsistency Results'!$H$1:$H$500,MATCH(SUBSTITUTE(D115,"OR","d"),'FE Inconsistency Results'!$B$1:$B$500,0),1))-(INDEX('FE Inconsistency Results'!$F$1:$F$500,MATCH(SUBSTITUTE(D115,"OR","d"),'FE Inconsistency Results'!$B$1:$B$500,0),1))&gt;50,"N/A",EXP(INDEX('FE Inconsistency Results'!$G$1:$G$500,MATCH(SUBSTITUTE(D115,"OR","d"),'FE Inconsistency Results'!$B$1:$B$500,0),1))))</f>
        <v/>
      </c>
      <c r="I115" s="138" t="str">
        <f ca="1">IF(INDIRECT(CONCATENATE("'",'Inconsistency Data'!$I$4,"'!N115"))="","",INDIRECT(CONCATENATE("'",'Inconsistency Data'!$I$4,"'!N115")))</f>
        <v/>
      </c>
      <c r="J115" s="126" t="str">
        <f ca="1">IF(INDIRECT(CONCATENATE("'",'Inconsistency Data'!$I$4,"'!O115"))="","",INDIRECT(CONCATENATE("'",'Inconsistency Data'!$I$4,"'!O115")))</f>
        <v/>
      </c>
      <c r="K115" s="127" t="str">
        <f ca="1">IF(INDIRECT(CONCATENATE("'",'Inconsistency Data'!$I$4,"'!Q115"))="","",INDIRECT(CONCATENATE("'",'Inconsistency Data'!$I$4,"'!Q115")))</f>
        <v/>
      </c>
      <c r="L115" s="128" t="str">
        <f>IF(D115="","",IF((INDEX('RE Inconsistency Results'!$H$1:$H$500,MATCH(SUBSTITUTE(D115,"OR","d"),'RE Inconsistency Results'!$B$1:$B$500,0),1))-(INDEX('RE Inconsistency Results'!$F$1:$F$500,MATCH(SUBSTITUTE(D115,"OR","d"),'RE Inconsistency Results'!$B$1:$B$500,0),1))&gt;50,"N/A",EXP(INDEX('RE Inconsistency Results'!$G$1:$G$500,MATCH(SUBSTITUTE(D115,"OR","d"),'RE Inconsistency Results'!$B$1:$B$500,0),1))))</f>
        <v/>
      </c>
    </row>
    <row r="116" spans="4:12" x14ac:dyDescent="0.25">
      <c r="D116" s="125" t="str">
        <f>IF('Fixed Effects'!N116="","",'Fixed Effects'!N116)</f>
        <v/>
      </c>
      <c r="E116" s="126" t="str">
        <f>IF('Fixed Effects'!O116="","",'Fixed Effects'!O116)</f>
        <v/>
      </c>
      <c r="F116" s="127" t="str">
        <f>IF('Fixed Effects'!Q116="","",'Fixed Effects'!Q116)</f>
        <v/>
      </c>
      <c r="G116" s="128" t="str">
        <f>IF(D116="","",IF((INDEX('FE Inconsistency Results'!$H$1:$H$500,MATCH(SUBSTITUTE(D116,"OR","d"),'FE Inconsistency Results'!$B$1:$B$500,0),1))-(INDEX('FE Inconsistency Results'!$F$1:$F$500,MATCH(SUBSTITUTE(D116,"OR","d"),'FE Inconsistency Results'!$B$1:$B$500,0),1))&gt;50,"N/A",EXP(INDEX('FE Inconsistency Results'!$G$1:$G$500,MATCH(SUBSTITUTE(D116,"OR","d"),'FE Inconsistency Results'!$B$1:$B$500,0),1))))</f>
        <v/>
      </c>
      <c r="I116" s="138" t="str">
        <f ca="1">IF(INDIRECT(CONCATENATE("'",'Inconsistency Data'!$I$4,"'!N116"))="","",INDIRECT(CONCATENATE("'",'Inconsistency Data'!$I$4,"'!N116")))</f>
        <v/>
      </c>
      <c r="J116" s="126" t="str">
        <f ca="1">IF(INDIRECT(CONCATENATE("'",'Inconsistency Data'!$I$4,"'!O116"))="","",INDIRECT(CONCATENATE("'",'Inconsistency Data'!$I$4,"'!O116")))</f>
        <v/>
      </c>
      <c r="K116" s="127" t="str">
        <f ca="1">IF(INDIRECT(CONCATENATE("'",'Inconsistency Data'!$I$4,"'!Q116"))="","",INDIRECT(CONCATENATE("'",'Inconsistency Data'!$I$4,"'!Q116")))</f>
        <v/>
      </c>
      <c r="L116" s="128" t="str">
        <f>IF(D116="","",IF((INDEX('RE Inconsistency Results'!$H$1:$H$500,MATCH(SUBSTITUTE(D116,"OR","d"),'RE Inconsistency Results'!$B$1:$B$500,0),1))-(INDEX('RE Inconsistency Results'!$F$1:$F$500,MATCH(SUBSTITUTE(D116,"OR","d"),'RE Inconsistency Results'!$B$1:$B$500,0),1))&gt;50,"N/A",EXP(INDEX('RE Inconsistency Results'!$G$1:$G$500,MATCH(SUBSTITUTE(D116,"OR","d"),'RE Inconsistency Results'!$B$1:$B$500,0),1))))</f>
        <v/>
      </c>
    </row>
    <row r="117" spans="4:12" x14ac:dyDescent="0.25">
      <c r="D117" s="125" t="str">
        <f>IF('Fixed Effects'!N117="","",'Fixed Effects'!N117)</f>
        <v/>
      </c>
      <c r="E117" s="126" t="str">
        <f>IF('Fixed Effects'!O117="","",'Fixed Effects'!O117)</f>
        <v/>
      </c>
      <c r="F117" s="127" t="str">
        <f>IF('Fixed Effects'!Q117="","",'Fixed Effects'!Q117)</f>
        <v/>
      </c>
      <c r="G117" s="128" t="str">
        <f>IF(D117="","",IF((INDEX('FE Inconsistency Results'!$H$1:$H$500,MATCH(SUBSTITUTE(D117,"OR","d"),'FE Inconsistency Results'!$B$1:$B$500,0),1))-(INDEX('FE Inconsistency Results'!$F$1:$F$500,MATCH(SUBSTITUTE(D117,"OR","d"),'FE Inconsistency Results'!$B$1:$B$500,0),1))&gt;50,"N/A",EXP(INDEX('FE Inconsistency Results'!$G$1:$G$500,MATCH(SUBSTITUTE(D117,"OR","d"),'FE Inconsistency Results'!$B$1:$B$500,0),1))))</f>
        <v/>
      </c>
      <c r="I117" s="138" t="str">
        <f ca="1">IF(INDIRECT(CONCATENATE("'",'Inconsistency Data'!$I$4,"'!N117"))="","",INDIRECT(CONCATENATE("'",'Inconsistency Data'!$I$4,"'!N117")))</f>
        <v/>
      </c>
      <c r="J117" s="126" t="str">
        <f ca="1">IF(INDIRECT(CONCATENATE("'",'Inconsistency Data'!$I$4,"'!O117"))="","",INDIRECT(CONCATENATE("'",'Inconsistency Data'!$I$4,"'!O117")))</f>
        <v/>
      </c>
      <c r="K117" s="127" t="str">
        <f ca="1">IF(INDIRECT(CONCATENATE("'",'Inconsistency Data'!$I$4,"'!Q117"))="","",INDIRECT(CONCATENATE("'",'Inconsistency Data'!$I$4,"'!Q117")))</f>
        <v/>
      </c>
      <c r="L117" s="128" t="str">
        <f>IF(D117="","",IF((INDEX('RE Inconsistency Results'!$H$1:$H$500,MATCH(SUBSTITUTE(D117,"OR","d"),'RE Inconsistency Results'!$B$1:$B$500,0),1))-(INDEX('RE Inconsistency Results'!$F$1:$F$500,MATCH(SUBSTITUTE(D117,"OR","d"),'RE Inconsistency Results'!$B$1:$B$500,0),1))&gt;50,"N/A",EXP(INDEX('RE Inconsistency Results'!$G$1:$G$500,MATCH(SUBSTITUTE(D117,"OR","d"),'RE Inconsistency Results'!$B$1:$B$500,0),1))))</f>
        <v/>
      </c>
    </row>
    <row r="118" spans="4:12" x14ac:dyDescent="0.25">
      <c r="D118" s="125" t="str">
        <f>IF('Fixed Effects'!N118="","",'Fixed Effects'!N118)</f>
        <v/>
      </c>
      <c r="E118" s="126" t="str">
        <f>IF('Fixed Effects'!O118="","",'Fixed Effects'!O118)</f>
        <v/>
      </c>
      <c r="F118" s="127" t="str">
        <f>IF('Fixed Effects'!Q118="","",'Fixed Effects'!Q118)</f>
        <v/>
      </c>
      <c r="G118" s="128" t="str">
        <f>IF(D118="","",IF((INDEX('FE Inconsistency Results'!$H$1:$H$500,MATCH(SUBSTITUTE(D118,"OR","d"),'FE Inconsistency Results'!$B$1:$B$500,0),1))-(INDEX('FE Inconsistency Results'!$F$1:$F$500,MATCH(SUBSTITUTE(D118,"OR","d"),'FE Inconsistency Results'!$B$1:$B$500,0),1))&gt;50,"N/A",EXP(INDEX('FE Inconsistency Results'!$G$1:$G$500,MATCH(SUBSTITUTE(D118,"OR","d"),'FE Inconsistency Results'!$B$1:$B$500,0),1))))</f>
        <v/>
      </c>
      <c r="I118" s="138" t="str">
        <f ca="1">IF(INDIRECT(CONCATENATE("'",'Inconsistency Data'!$I$4,"'!N118"))="","",INDIRECT(CONCATENATE("'",'Inconsistency Data'!$I$4,"'!N118")))</f>
        <v/>
      </c>
      <c r="J118" s="126" t="str">
        <f ca="1">IF(INDIRECT(CONCATENATE("'",'Inconsistency Data'!$I$4,"'!O118"))="","",INDIRECT(CONCATENATE("'",'Inconsistency Data'!$I$4,"'!O118")))</f>
        <v/>
      </c>
      <c r="K118" s="127" t="str">
        <f ca="1">IF(INDIRECT(CONCATENATE("'",'Inconsistency Data'!$I$4,"'!Q118"))="","",INDIRECT(CONCATENATE("'",'Inconsistency Data'!$I$4,"'!Q118")))</f>
        <v/>
      </c>
      <c r="L118" s="128" t="str">
        <f>IF(D118="","",IF((INDEX('RE Inconsistency Results'!$H$1:$H$500,MATCH(SUBSTITUTE(D118,"OR","d"),'RE Inconsistency Results'!$B$1:$B$500,0),1))-(INDEX('RE Inconsistency Results'!$F$1:$F$500,MATCH(SUBSTITUTE(D118,"OR","d"),'RE Inconsistency Results'!$B$1:$B$500,0),1))&gt;50,"N/A",EXP(INDEX('RE Inconsistency Results'!$G$1:$G$500,MATCH(SUBSTITUTE(D118,"OR","d"),'RE Inconsistency Results'!$B$1:$B$500,0),1))))</f>
        <v/>
      </c>
    </row>
    <row r="119" spans="4:12" x14ac:dyDescent="0.25">
      <c r="D119" s="125" t="str">
        <f>IF('Fixed Effects'!N119="","",'Fixed Effects'!N119)</f>
        <v/>
      </c>
      <c r="E119" s="126" t="str">
        <f>IF('Fixed Effects'!O119="","",'Fixed Effects'!O119)</f>
        <v/>
      </c>
      <c r="F119" s="127" t="str">
        <f>IF('Fixed Effects'!Q119="","",'Fixed Effects'!Q119)</f>
        <v/>
      </c>
      <c r="G119" s="128" t="str">
        <f>IF(D119="","",IF((INDEX('FE Inconsistency Results'!$H$1:$H$500,MATCH(SUBSTITUTE(D119,"OR","d"),'FE Inconsistency Results'!$B$1:$B$500,0),1))-(INDEX('FE Inconsistency Results'!$F$1:$F$500,MATCH(SUBSTITUTE(D119,"OR","d"),'FE Inconsistency Results'!$B$1:$B$500,0),1))&gt;50,"N/A",EXP(INDEX('FE Inconsistency Results'!$G$1:$G$500,MATCH(SUBSTITUTE(D119,"OR","d"),'FE Inconsistency Results'!$B$1:$B$500,0),1))))</f>
        <v/>
      </c>
      <c r="I119" s="138" t="str">
        <f ca="1">IF(INDIRECT(CONCATENATE("'",'Inconsistency Data'!$I$4,"'!N119"))="","",INDIRECT(CONCATENATE("'",'Inconsistency Data'!$I$4,"'!N119")))</f>
        <v/>
      </c>
      <c r="J119" s="126" t="str">
        <f ca="1">IF(INDIRECT(CONCATENATE("'",'Inconsistency Data'!$I$4,"'!O119"))="","",INDIRECT(CONCATENATE("'",'Inconsistency Data'!$I$4,"'!O119")))</f>
        <v/>
      </c>
      <c r="K119" s="127" t="str">
        <f ca="1">IF(INDIRECT(CONCATENATE("'",'Inconsistency Data'!$I$4,"'!Q119"))="","",INDIRECT(CONCATENATE("'",'Inconsistency Data'!$I$4,"'!Q119")))</f>
        <v/>
      </c>
      <c r="L119" s="128" t="str">
        <f>IF(D119="","",IF((INDEX('RE Inconsistency Results'!$H$1:$H$500,MATCH(SUBSTITUTE(D119,"OR","d"),'RE Inconsistency Results'!$B$1:$B$500,0),1))-(INDEX('RE Inconsistency Results'!$F$1:$F$500,MATCH(SUBSTITUTE(D119,"OR","d"),'RE Inconsistency Results'!$B$1:$B$500,0),1))&gt;50,"N/A",EXP(INDEX('RE Inconsistency Results'!$G$1:$G$500,MATCH(SUBSTITUTE(D119,"OR","d"),'RE Inconsistency Results'!$B$1:$B$500,0),1))))</f>
        <v/>
      </c>
    </row>
    <row r="120" spans="4:12" x14ac:dyDescent="0.25">
      <c r="D120" s="125" t="str">
        <f>IF('Fixed Effects'!N120="","",'Fixed Effects'!N120)</f>
        <v/>
      </c>
      <c r="E120" s="126" t="str">
        <f>IF('Fixed Effects'!O120="","",'Fixed Effects'!O120)</f>
        <v/>
      </c>
      <c r="F120" s="127" t="str">
        <f>IF('Fixed Effects'!Q120="","",'Fixed Effects'!Q120)</f>
        <v/>
      </c>
      <c r="G120" s="128" t="str">
        <f>IF(D120="","",IF((INDEX('FE Inconsistency Results'!$H$1:$H$500,MATCH(SUBSTITUTE(D120,"OR","d"),'FE Inconsistency Results'!$B$1:$B$500,0),1))-(INDEX('FE Inconsistency Results'!$F$1:$F$500,MATCH(SUBSTITUTE(D120,"OR","d"),'FE Inconsistency Results'!$B$1:$B$500,0),1))&gt;50,"N/A",EXP(INDEX('FE Inconsistency Results'!$G$1:$G$500,MATCH(SUBSTITUTE(D120,"OR","d"),'FE Inconsistency Results'!$B$1:$B$500,0),1))))</f>
        <v/>
      </c>
      <c r="I120" s="138" t="str">
        <f ca="1">IF(INDIRECT(CONCATENATE("'",'Inconsistency Data'!$I$4,"'!N120"))="","",INDIRECT(CONCATENATE("'",'Inconsistency Data'!$I$4,"'!N120")))</f>
        <v/>
      </c>
      <c r="J120" s="126" t="str">
        <f ca="1">IF(INDIRECT(CONCATENATE("'",'Inconsistency Data'!$I$4,"'!O120"))="","",INDIRECT(CONCATENATE("'",'Inconsistency Data'!$I$4,"'!O120")))</f>
        <v/>
      </c>
      <c r="K120" s="127" t="str">
        <f ca="1">IF(INDIRECT(CONCATENATE("'",'Inconsistency Data'!$I$4,"'!Q120"))="","",INDIRECT(CONCATENATE("'",'Inconsistency Data'!$I$4,"'!Q120")))</f>
        <v/>
      </c>
      <c r="L120" s="128" t="str">
        <f>IF(D120="","",IF((INDEX('RE Inconsistency Results'!$H$1:$H$500,MATCH(SUBSTITUTE(D120,"OR","d"),'RE Inconsistency Results'!$B$1:$B$500,0),1))-(INDEX('RE Inconsistency Results'!$F$1:$F$500,MATCH(SUBSTITUTE(D120,"OR","d"),'RE Inconsistency Results'!$B$1:$B$500,0),1))&gt;50,"N/A",EXP(INDEX('RE Inconsistency Results'!$G$1:$G$500,MATCH(SUBSTITUTE(D120,"OR","d"),'RE Inconsistency Results'!$B$1:$B$500,0),1))))</f>
        <v/>
      </c>
    </row>
    <row r="121" spans="4:12" x14ac:dyDescent="0.25">
      <c r="D121" s="125" t="str">
        <f>IF('Fixed Effects'!N121="","",'Fixed Effects'!N121)</f>
        <v/>
      </c>
      <c r="E121" s="126" t="str">
        <f>IF('Fixed Effects'!O121="","",'Fixed Effects'!O121)</f>
        <v/>
      </c>
      <c r="F121" s="127" t="str">
        <f>IF('Fixed Effects'!Q121="","",'Fixed Effects'!Q121)</f>
        <v/>
      </c>
      <c r="G121" s="128" t="str">
        <f>IF(D121="","",IF((INDEX('FE Inconsistency Results'!$H$1:$H$500,MATCH(SUBSTITUTE(D121,"OR","d"),'FE Inconsistency Results'!$B$1:$B$500,0),1))-(INDEX('FE Inconsistency Results'!$F$1:$F$500,MATCH(SUBSTITUTE(D121,"OR","d"),'FE Inconsistency Results'!$B$1:$B$500,0),1))&gt;50,"N/A",EXP(INDEX('FE Inconsistency Results'!$G$1:$G$500,MATCH(SUBSTITUTE(D121,"OR","d"),'FE Inconsistency Results'!$B$1:$B$500,0),1))))</f>
        <v/>
      </c>
      <c r="I121" s="138" t="str">
        <f ca="1">IF(INDIRECT(CONCATENATE("'",'Inconsistency Data'!$I$4,"'!N121"))="","",INDIRECT(CONCATENATE("'",'Inconsistency Data'!$I$4,"'!N121")))</f>
        <v/>
      </c>
      <c r="J121" s="126" t="str">
        <f ca="1">IF(INDIRECT(CONCATENATE("'",'Inconsistency Data'!$I$4,"'!O121"))="","",INDIRECT(CONCATENATE("'",'Inconsistency Data'!$I$4,"'!O121")))</f>
        <v/>
      </c>
      <c r="K121" s="127" t="str">
        <f ca="1">IF(INDIRECT(CONCATENATE("'",'Inconsistency Data'!$I$4,"'!Q121"))="","",INDIRECT(CONCATENATE("'",'Inconsistency Data'!$I$4,"'!Q121")))</f>
        <v/>
      </c>
      <c r="L121" s="128" t="str">
        <f>IF(D121="","",IF((INDEX('RE Inconsistency Results'!$H$1:$H$500,MATCH(SUBSTITUTE(D121,"OR","d"),'RE Inconsistency Results'!$B$1:$B$500,0),1))-(INDEX('RE Inconsistency Results'!$F$1:$F$500,MATCH(SUBSTITUTE(D121,"OR","d"),'RE Inconsistency Results'!$B$1:$B$500,0),1))&gt;50,"N/A",EXP(INDEX('RE Inconsistency Results'!$G$1:$G$500,MATCH(SUBSTITUTE(D121,"OR","d"),'RE Inconsistency Results'!$B$1:$B$500,0),1))))</f>
        <v/>
      </c>
    </row>
    <row r="122" spans="4:12" x14ac:dyDescent="0.25">
      <c r="D122" s="125" t="str">
        <f>IF('Fixed Effects'!N122="","",'Fixed Effects'!N122)</f>
        <v/>
      </c>
      <c r="E122" s="126" t="str">
        <f>IF('Fixed Effects'!O122="","",'Fixed Effects'!O122)</f>
        <v/>
      </c>
      <c r="F122" s="127" t="str">
        <f>IF('Fixed Effects'!Q122="","",'Fixed Effects'!Q122)</f>
        <v/>
      </c>
      <c r="G122" s="128" t="str">
        <f>IF(D122="","",IF((INDEX('FE Inconsistency Results'!$H$1:$H$500,MATCH(SUBSTITUTE(D122,"OR","d"),'FE Inconsistency Results'!$B$1:$B$500,0),1))-(INDEX('FE Inconsistency Results'!$F$1:$F$500,MATCH(SUBSTITUTE(D122,"OR","d"),'FE Inconsistency Results'!$B$1:$B$500,0),1))&gt;50,"N/A",EXP(INDEX('FE Inconsistency Results'!$G$1:$G$500,MATCH(SUBSTITUTE(D122,"OR","d"),'FE Inconsistency Results'!$B$1:$B$500,0),1))))</f>
        <v/>
      </c>
      <c r="I122" s="138" t="str">
        <f ca="1">IF(INDIRECT(CONCATENATE("'",'Inconsistency Data'!$I$4,"'!N122"))="","",INDIRECT(CONCATENATE("'",'Inconsistency Data'!$I$4,"'!N122")))</f>
        <v/>
      </c>
      <c r="J122" s="126" t="str">
        <f ca="1">IF(INDIRECT(CONCATENATE("'",'Inconsistency Data'!$I$4,"'!O122"))="","",INDIRECT(CONCATENATE("'",'Inconsistency Data'!$I$4,"'!O122")))</f>
        <v/>
      </c>
      <c r="K122" s="127" t="str">
        <f ca="1">IF(INDIRECT(CONCATENATE("'",'Inconsistency Data'!$I$4,"'!Q122"))="","",INDIRECT(CONCATENATE("'",'Inconsistency Data'!$I$4,"'!Q122")))</f>
        <v/>
      </c>
      <c r="L122" s="128" t="str">
        <f>IF(D122="","",IF((INDEX('RE Inconsistency Results'!$H$1:$H$500,MATCH(SUBSTITUTE(D122,"OR","d"),'RE Inconsistency Results'!$B$1:$B$500,0),1))-(INDEX('RE Inconsistency Results'!$F$1:$F$500,MATCH(SUBSTITUTE(D122,"OR","d"),'RE Inconsistency Results'!$B$1:$B$500,0),1))&gt;50,"N/A",EXP(INDEX('RE Inconsistency Results'!$G$1:$G$500,MATCH(SUBSTITUTE(D122,"OR","d"),'RE Inconsistency Results'!$B$1:$B$500,0),1))))</f>
        <v/>
      </c>
    </row>
    <row r="123" spans="4:12" x14ac:dyDescent="0.25">
      <c r="D123" s="125" t="str">
        <f>IF('Fixed Effects'!N123="","",'Fixed Effects'!N123)</f>
        <v/>
      </c>
      <c r="E123" s="126" t="str">
        <f>IF('Fixed Effects'!O123="","",'Fixed Effects'!O123)</f>
        <v/>
      </c>
      <c r="F123" s="127" t="str">
        <f>IF('Fixed Effects'!Q123="","",'Fixed Effects'!Q123)</f>
        <v/>
      </c>
      <c r="G123" s="128" t="str">
        <f>IF(D123="","",IF((INDEX('FE Inconsistency Results'!$H$1:$H$500,MATCH(SUBSTITUTE(D123,"OR","d"),'FE Inconsistency Results'!$B$1:$B$500,0),1))-(INDEX('FE Inconsistency Results'!$F$1:$F$500,MATCH(SUBSTITUTE(D123,"OR","d"),'FE Inconsistency Results'!$B$1:$B$500,0),1))&gt;50,"N/A",EXP(INDEX('FE Inconsistency Results'!$G$1:$G$500,MATCH(SUBSTITUTE(D123,"OR","d"),'FE Inconsistency Results'!$B$1:$B$500,0),1))))</f>
        <v/>
      </c>
      <c r="I123" s="138" t="str">
        <f ca="1">IF(INDIRECT(CONCATENATE("'",'Inconsistency Data'!$I$4,"'!N123"))="","",INDIRECT(CONCATENATE("'",'Inconsistency Data'!$I$4,"'!N123")))</f>
        <v/>
      </c>
      <c r="J123" s="126" t="str">
        <f ca="1">IF(INDIRECT(CONCATENATE("'",'Inconsistency Data'!$I$4,"'!O123"))="","",INDIRECT(CONCATENATE("'",'Inconsistency Data'!$I$4,"'!O123")))</f>
        <v/>
      </c>
      <c r="K123" s="127" t="str">
        <f ca="1">IF(INDIRECT(CONCATENATE("'",'Inconsistency Data'!$I$4,"'!Q123"))="","",INDIRECT(CONCATENATE("'",'Inconsistency Data'!$I$4,"'!Q123")))</f>
        <v/>
      </c>
      <c r="L123" s="128" t="str">
        <f>IF(D123="","",IF((INDEX('RE Inconsistency Results'!$H$1:$H$500,MATCH(SUBSTITUTE(D123,"OR","d"),'RE Inconsistency Results'!$B$1:$B$500,0),1))-(INDEX('RE Inconsistency Results'!$F$1:$F$500,MATCH(SUBSTITUTE(D123,"OR","d"),'RE Inconsistency Results'!$B$1:$B$500,0),1))&gt;50,"N/A",EXP(INDEX('RE Inconsistency Results'!$G$1:$G$500,MATCH(SUBSTITUTE(D123,"OR","d"),'RE Inconsistency Results'!$B$1:$B$500,0),1))))</f>
        <v/>
      </c>
    </row>
    <row r="124" spans="4:12" x14ac:dyDescent="0.25">
      <c r="D124" s="125" t="str">
        <f>IF('Fixed Effects'!N124="","",'Fixed Effects'!N124)</f>
        <v/>
      </c>
      <c r="E124" s="126" t="str">
        <f>IF('Fixed Effects'!O124="","",'Fixed Effects'!O124)</f>
        <v/>
      </c>
      <c r="F124" s="127" t="str">
        <f>IF('Fixed Effects'!Q124="","",'Fixed Effects'!Q124)</f>
        <v/>
      </c>
      <c r="G124" s="128" t="str">
        <f>IF(D124="","",IF((INDEX('FE Inconsistency Results'!$H$1:$H$500,MATCH(SUBSTITUTE(D124,"OR","d"),'FE Inconsistency Results'!$B$1:$B$500,0),1))-(INDEX('FE Inconsistency Results'!$F$1:$F$500,MATCH(SUBSTITUTE(D124,"OR","d"),'FE Inconsistency Results'!$B$1:$B$500,0),1))&gt;50,"N/A",EXP(INDEX('FE Inconsistency Results'!$G$1:$G$500,MATCH(SUBSTITUTE(D124,"OR","d"),'FE Inconsistency Results'!$B$1:$B$500,0),1))))</f>
        <v/>
      </c>
      <c r="I124" s="138" t="str">
        <f ca="1">IF(INDIRECT(CONCATENATE("'",'Inconsistency Data'!$I$4,"'!N124"))="","",INDIRECT(CONCATENATE("'",'Inconsistency Data'!$I$4,"'!N124")))</f>
        <v/>
      </c>
      <c r="J124" s="126" t="str">
        <f ca="1">IF(INDIRECT(CONCATENATE("'",'Inconsistency Data'!$I$4,"'!O124"))="","",INDIRECT(CONCATENATE("'",'Inconsistency Data'!$I$4,"'!O124")))</f>
        <v/>
      </c>
      <c r="K124" s="127" t="str">
        <f ca="1">IF(INDIRECT(CONCATENATE("'",'Inconsistency Data'!$I$4,"'!Q124"))="","",INDIRECT(CONCATENATE("'",'Inconsistency Data'!$I$4,"'!Q124")))</f>
        <v/>
      </c>
      <c r="L124" s="128" t="str">
        <f>IF(D124="","",IF((INDEX('RE Inconsistency Results'!$H$1:$H$500,MATCH(SUBSTITUTE(D124,"OR","d"),'RE Inconsistency Results'!$B$1:$B$500,0),1))-(INDEX('RE Inconsistency Results'!$F$1:$F$500,MATCH(SUBSTITUTE(D124,"OR","d"),'RE Inconsistency Results'!$B$1:$B$500,0),1))&gt;50,"N/A",EXP(INDEX('RE Inconsistency Results'!$G$1:$G$500,MATCH(SUBSTITUTE(D124,"OR","d"),'RE Inconsistency Results'!$B$1:$B$500,0),1))))</f>
        <v/>
      </c>
    </row>
    <row r="125" spans="4:12" x14ac:dyDescent="0.25">
      <c r="D125" s="125" t="str">
        <f>IF('Fixed Effects'!N125="","",'Fixed Effects'!N125)</f>
        <v/>
      </c>
      <c r="E125" s="126" t="str">
        <f>IF('Fixed Effects'!O125="","",'Fixed Effects'!O125)</f>
        <v/>
      </c>
      <c r="F125" s="127" t="str">
        <f>IF('Fixed Effects'!Q125="","",'Fixed Effects'!Q125)</f>
        <v/>
      </c>
      <c r="G125" s="128" t="str">
        <f>IF(D125="","",IF((INDEX('FE Inconsistency Results'!$H$1:$H$500,MATCH(SUBSTITUTE(D125,"OR","d"),'FE Inconsistency Results'!$B$1:$B$500,0),1))-(INDEX('FE Inconsistency Results'!$F$1:$F$500,MATCH(SUBSTITUTE(D125,"OR","d"),'FE Inconsistency Results'!$B$1:$B$500,0),1))&gt;50,"N/A",EXP(INDEX('FE Inconsistency Results'!$G$1:$G$500,MATCH(SUBSTITUTE(D125,"OR","d"),'FE Inconsistency Results'!$B$1:$B$500,0),1))))</f>
        <v/>
      </c>
      <c r="I125" s="138" t="str">
        <f ca="1">IF(INDIRECT(CONCATENATE("'",'Inconsistency Data'!$I$4,"'!N125"))="","",INDIRECT(CONCATENATE("'",'Inconsistency Data'!$I$4,"'!N125")))</f>
        <v/>
      </c>
      <c r="J125" s="126" t="str">
        <f ca="1">IF(INDIRECT(CONCATENATE("'",'Inconsistency Data'!$I$4,"'!O125"))="","",INDIRECT(CONCATENATE("'",'Inconsistency Data'!$I$4,"'!O125")))</f>
        <v/>
      </c>
      <c r="K125" s="127" t="str">
        <f ca="1">IF(INDIRECT(CONCATENATE("'",'Inconsistency Data'!$I$4,"'!Q125"))="","",INDIRECT(CONCATENATE("'",'Inconsistency Data'!$I$4,"'!Q125")))</f>
        <v/>
      </c>
      <c r="L125" s="128" t="str">
        <f>IF(D125="","",IF((INDEX('RE Inconsistency Results'!$H$1:$H$500,MATCH(SUBSTITUTE(D125,"OR","d"),'RE Inconsistency Results'!$B$1:$B$500,0),1))-(INDEX('RE Inconsistency Results'!$F$1:$F$500,MATCH(SUBSTITUTE(D125,"OR","d"),'RE Inconsistency Results'!$B$1:$B$500,0),1))&gt;50,"N/A",EXP(INDEX('RE Inconsistency Results'!$G$1:$G$500,MATCH(SUBSTITUTE(D125,"OR","d"),'RE Inconsistency Results'!$B$1:$B$500,0),1))))</f>
        <v/>
      </c>
    </row>
    <row r="126" spans="4:12" x14ac:dyDescent="0.25">
      <c r="D126" s="125" t="str">
        <f>IF('Fixed Effects'!N126="","",'Fixed Effects'!N126)</f>
        <v/>
      </c>
      <c r="E126" s="126" t="str">
        <f>IF('Fixed Effects'!O126="","",'Fixed Effects'!O126)</f>
        <v/>
      </c>
      <c r="F126" s="127" t="str">
        <f>IF('Fixed Effects'!Q126="","",'Fixed Effects'!Q126)</f>
        <v/>
      </c>
      <c r="G126" s="128" t="str">
        <f>IF(D126="","",IF((INDEX('FE Inconsistency Results'!$H$1:$H$500,MATCH(SUBSTITUTE(D126,"OR","d"),'FE Inconsistency Results'!$B$1:$B$500,0),1))-(INDEX('FE Inconsistency Results'!$F$1:$F$500,MATCH(SUBSTITUTE(D126,"OR","d"),'FE Inconsistency Results'!$B$1:$B$500,0),1))&gt;50,"N/A",EXP(INDEX('FE Inconsistency Results'!$G$1:$G$500,MATCH(SUBSTITUTE(D126,"OR","d"),'FE Inconsistency Results'!$B$1:$B$500,0),1))))</f>
        <v/>
      </c>
      <c r="I126" s="138" t="str">
        <f ca="1">IF(INDIRECT(CONCATENATE("'",'Inconsistency Data'!$I$4,"'!N126"))="","",INDIRECT(CONCATENATE("'",'Inconsistency Data'!$I$4,"'!N126")))</f>
        <v/>
      </c>
      <c r="J126" s="126" t="str">
        <f ca="1">IF(INDIRECT(CONCATENATE("'",'Inconsistency Data'!$I$4,"'!O126"))="","",INDIRECT(CONCATENATE("'",'Inconsistency Data'!$I$4,"'!O126")))</f>
        <v/>
      </c>
      <c r="K126" s="127" t="str">
        <f ca="1">IF(INDIRECT(CONCATENATE("'",'Inconsistency Data'!$I$4,"'!Q126"))="","",INDIRECT(CONCATENATE("'",'Inconsistency Data'!$I$4,"'!Q126")))</f>
        <v/>
      </c>
      <c r="L126" s="128" t="str">
        <f>IF(D126="","",IF((INDEX('RE Inconsistency Results'!$H$1:$H$500,MATCH(SUBSTITUTE(D126,"OR","d"),'RE Inconsistency Results'!$B$1:$B$500,0),1))-(INDEX('RE Inconsistency Results'!$F$1:$F$500,MATCH(SUBSTITUTE(D126,"OR","d"),'RE Inconsistency Results'!$B$1:$B$500,0),1))&gt;50,"N/A",EXP(INDEX('RE Inconsistency Results'!$G$1:$G$500,MATCH(SUBSTITUTE(D126,"OR","d"),'RE Inconsistency Results'!$B$1:$B$500,0),1))))</f>
        <v/>
      </c>
    </row>
    <row r="127" spans="4:12" x14ac:dyDescent="0.25">
      <c r="D127" s="125" t="str">
        <f>IF('Fixed Effects'!N127="","",'Fixed Effects'!N127)</f>
        <v/>
      </c>
      <c r="E127" s="126" t="str">
        <f>IF('Fixed Effects'!O127="","",'Fixed Effects'!O127)</f>
        <v/>
      </c>
      <c r="F127" s="127" t="str">
        <f>IF('Fixed Effects'!Q127="","",'Fixed Effects'!Q127)</f>
        <v/>
      </c>
      <c r="G127" s="128" t="str">
        <f>IF(D127="","",IF((INDEX('FE Inconsistency Results'!$H$1:$H$500,MATCH(SUBSTITUTE(D127,"OR","d"),'FE Inconsistency Results'!$B$1:$B$500,0),1))-(INDEX('FE Inconsistency Results'!$F$1:$F$500,MATCH(SUBSTITUTE(D127,"OR","d"),'FE Inconsistency Results'!$B$1:$B$500,0),1))&gt;50,"N/A",EXP(INDEX('FE Inconsistency Results'!$G$1:$G$500,MATCH(SUBSTITUTE(D127,"OR","d"),'FE Inconsistency Results'!$B$1:$B$500,0),1))))</f>
        <v/>
      </c>
      <c r="I127" s="138" t="str">
        <f ca="1">IF(INDIRECT(CONCATENATE("'",'Inconsistency Data'!$I$4,"'!N127"))="","",INDIRECT(CONCATENATE("'",'Inconsistency Data'!$I$4,"'!N127")))</f>
        <v/>
      </c>
      <c r="J127" s="126" t="str">
        <f ca="1">IF(INDIRECT(CONCATENATE("'",'Inconsistency Data'!$I$4,"'!O127"))="","",INDIRECT(CONCATENATE("'",'Inconsistency Data'!$I$4,"'!O127")))</f>
        <v/>
      </c>
      <c r="K127" s="127" t="str">
        <f ca="1">IF(INDIRECT(CONCATENATE("'",'Inconsistency Data'!$I$4,"'!Q127"))="","",INDIRECT(CONCATENATE("'",'Inconsistency Data'!$I$4,"'!Q127")))</f>
        <v/>
      </c>
      <c r="L127" s="128" t="str">
        <f>IF(D127="","",IF((INDEX('RE Inconsistency Results'!$H$1:$H$500,MATCH(SUBSTITUTE(D127,"OR","d"),'RE Inconsistency Results'!$B$1:$B$500,0),1))-(INDEX('RE Inconsistency Results'!$F$1:$F$500,MATCH(SUBSTITUTE(D127,"OR","d"),'RE Inconsistency Results'!$B$1:$B$500,0),1))&gt;50,"N/A",EXP(INDEX('RE Inconsistency Results'!$G$1:$G$500,MATCH(SUBSTITUTE(D127,"OR","d"),'RE Inconsistency Results'!$B$1:$B$500,0),1))))</f>
        <v/>
      </c>
    </row>
    <row r="128" spans="4:12" x14ac:dyDescent="0.25">
      <c r="D128" s="125" t="str">
        <f>IF('Fixed Effects'!N128="","",'Fixed Effects'!N128)</f>
        <v/>
      </c>
      <c r="E128" s="126" t="str">
        <f>IF('Fixed Effects'!O128="","",'Fixed Effects'!O128)</f>
        <v/>
      </c>
      <c r="F128" s="127" t="str">
        <f>IF('Fixed Effects'!Q128="","",'Fixed Effects'!Q128)</f>
        <v/>
      </c>
      <c r="G128" s="128" t="str">
        <f>IF(D128="","",IF((INDEX('FE Inconsistency Results'!$H$1:$H$500,MATCH(SUBSTITUTE(D128,"OR","d"),'FE Inconsistency Results'!$B$1:$B$500,0),1))-(INDEX('FE Inconsistency Results'!$F$1:$F$500,MATCH(SUBSTITUTE(D128,"OR","d"),'FE Inconsistency Results'!$B$1:$B$500,0),1))&gt;50,"N/A",EXP(INDEX('FE Inconsistency Results'!$G$1:$G$500,MATCH(SUBSTITUTE(D128,"OR","d"),'FE Inconsistency Results'!$B$1:$B$500,0),1))))</f>
        <v/>
      </c>
      <c r="I128" s="138" t="str">
        <f ca="1">IF(INDIRECT(CONCATENATE("'",'Inconsistency Data'!$I$4,"'!N128"))="","",INDIRECT(CONCATENATE("'",'Inconsistency Data'!$I$4,"'!N128")))</f>
        <v/>
      </c>
      <c r="J128" s="126" t="str">
        <f ca="1">IF(INDIRECT(CONCATENATE("'",'Inconsistency Data'!$I$4,"'!O128"))="","",INDIRECT(CONCATENATE("'",'Inconsistency Data'!$I$4,"'!O128")))</f>
        <v/>
      </c>
      <c r="K128" s="127" t="str">
        <f ca="1">IF(INDIRECT(CONCATENATE("'",'Inconsistency Data'!$I$4,"'!Q128"))="","",INDIRECT(CONCATENATE("'",'Inconsistency Data'!$I$4,"'!Q128")))</f>
        <v/>
      </c>
      <c r="L128" s="128" t="str">
        <f>IF(D128="","",IF((INDEX('RE Inconsistency Results'!$H$1:$H$500,MATCH(SUBSTITUTE(D128,"OR","d"),'RE Inconsistency Results'!$B$1:$B$500,0),1))-(INDEX('RE Inconsistency Results'!$F$1:$F$500,MATCH(SUBSTITUTE(D128,"OR","d"),'RE Inconsistency Results'!$B$1:$B$500,0),1))&gt;50,"N/A",EXP(INDEX('RE Inconsistency Results'!$G$1:$G$500,MATCH(SUBSTITUTE(D128,"OR","d"),'RE Inconsistency Results'!$B$1:$B$500,0),1))))</f>
        <v/>
      </c>
    </row>
    <row r="129" spans="4:12" x14ac:dyDescent="0.25">
      <c r="D129" s="125" t="str">
        <f>IF('Fixed Effects'!N129="","",'Fixed Effects'!N129)</f>
        <v/>
      </c>
      <c r="E129" s="126" t="str">
        <f>IF('Fixed Effects'!O129="","",'Fixed Effects'!O129)</f>
        <v/>
      </c>
      <c r="F129" s="127" t="str">
        <f>IF('Fixed Effects'!Q129="","",'Fixed Effects'!Q129)</f>
        <v/>
      </c>
      <c r="G129" s="128" t="str">
        <f>IF(D129="","",IF((INDEX('FE Inconsistency Results'!$H$1:$H$500,MATCH(SUBSTITUTE(D129,"OR","d"),'FE Inconsistency Results'!$B$1:$B$500,0),1))-(INDEX('FE Inconsistency Results'!$F$1:$F$500,MATCH(SUBSTITUTE(D129,"OR","d"),'FE Inconsistency Results'!$B$1:$B$500,0),1))&gt;50,"N/A",EXP(INDEX('FE Inconsistency Results'!$G$1:$G$500,MATCH(SUBSTITUTE(D129,"OR","d"),'FE Inconsistency Results'!$B$1:$B$500,0),1))))</f>
        <v/>
      </c>
      <c r="I129" s="138" t="str">
        <f ca="1">IF(INDIRECT(CONCATENATE("'",'Inconsistency Data'!$I$4,"'!N129"))="","",INDIRECT(CONCATENATE("'",'Inconsistency Data'!$I$4,"'!N129")))</f>
        <v/>
      </c>
      <c r="J129" s="126" t="str">
        <f ca="1">IF(INDIRECT(CONCATENATE("'",'Inconsistency Data'!$I$4,"'!O129"))="","",INDIRECT(CONCATENATE("'",'Inconsistency Data'!$I$4,"'!O129")))</f>
        <v/>
      </c>
      <c r="K129" s="127" t="str">
        <f ca="1">IF(INDIRECT(CONCATENATE("'",'Inconsistency Data'!$I$4,"'!Q129"))="","",INDIRECT(CONCATENATE("'",'Inconsistency Data'!$I$4,"'!Q129")))</f>
        <v/>
      </c>
      <c r="L129" s="128" t="str">
        <f>IF(D129="","",IF((INDEX('RE Inconsistency Results'!$H$1:$H$500,MATCH(SUBSTITUTE(D129,"OR","d"),'RE Inconsistency Results'!$B$1:$B$500,0),1))-(INDEX('RE Inconsistency Results'!$F$1:$F$500,MATCH(SUBSTITUTE(D129,"OR","d"),'RE Inconsistency Results'!$B$1:$B$500,0),1))&gt;50,"N/A",EXP(INDEX('RE Inconsistency Results'!$G$1:$G$500,MATCH(SUBSTITUTE(D129,"OR","d"),'RE Inconsistency Results'!$B$1:$B$500,0),1))))</f>
        <v/>
      </c>
    </row>
    <row r="130" spans="4:12" x14ac:dyDescent="0.25">
      <c r="D130" s="125" t="str">
        <f>IF('Fixed Effects'!N130="","",'Fixed Effects'!N130)</f>
        <v/>
      </c>
      <c r="E130" s="126" t="str">
        <f>IF('Fixed Effects'!O130="","",'Fixed Effects'!O130)</f>
        <v/>
      </c>
      <c r="F130" s="127" t="str">
        <f>IF('Fixed Effects'!Q130="","",'Fixed Effects'!Q130)</f>
        <v/>
      </c>
      <c r="G130" s="128" t="str">
        <f>IF(D130="","",IF((INDEX('FE Inconsistency Results'!$H$1:$H$500,MATCH(SUBSTITUTE(D130,"OR","d"),'FE Inconsistency Results'!$B$1:$B$500,0),1))-(INDEX('FE Inconsistency Results'!$F$1:$F$500,MATCH(SUBSTITUTE(D130,"OR","d"),'FE Inconsistency Results'!$B$1:$B$500,0),1))&gt;50,"N/A",EXP(INDEX('FE Inconsistency Results'!$G$1:$G$500,MATCH(SUBSTITUTE(D130,"OR","d"),'FE Inconsistency Results'!$B$1:$B$500,0),1))))</f>
        <v/>
      </c>
      <c r="I130" s="138" t="str">
        <f ca="1">IF(INDIRECT(CONCATENATE("'",'Inconsistency Data'!$I$4,"'!N130"))="","",INDIRECT(CONCATENATE("'",'Inconsistency Data'!$I$4,"'!N130")))</f>
        <v/>
      </c>
      <c r="J130" s="126" t="str">
        <f ca="1">IF(INDIRECT(CONCATENATE("'",'Inconsistency Data'!$I$4,"'!O130"))="","",INDIRECT(CONCATENATE("'",'Inconsistency Data'!$I$4,"'!O130")))</f>
        <v/>
      </c>
      <c r="K130" s="127" t="str">
        <f ca="1">IF(INDIRECT(CONCATENATE("'",'Inconsistency Data'!$I$4,"'!Q130"))="","",INDIRECT(CONCATENATE("'",'Inconsistency Data'!$I$4,"'!Q130")))</f>
        <v/>
      </c>
      <c r="L130" s="128" t="str">
        <f>IF(D130="","",IF((INDEX('RE Inconsistency Results'!$H$1:$H$500,MATCH(SUBSTITUTE(D130,"OR","d"),'RE Inconsistency Results'!$B$1:$B$500,0),1))-(INDEX('RE Inconsistency Results'!$F$1:$F$500,MATCH(SUBSTITUTE(D130,"OR","d"),'RE Inconsistency Results'!$B$1:$B$500,0),1))&gt;50,"N/A",EXP(INDEX('RE Inconsistency Results'!$G$1:$G$500,MATCH(SUBSTITUTE(D130,"OR","d"),'RE Inconsistency Results'!$B$1:$B$500,0),1))))</f>
        <v/>
      </c>
    </row>
    <row r="131" spans="4:12" x14ac:dyDescent="0.25">
      <c r="D131" s="125" t="str">
        <f>IF('Fixed Effects'!N131="","",'Fixed Effects'!N131)</f>
        <v/>
      </c>
      <c r="E131" s="126" t="str">
        <f>IF('Fixed Effects'!O131="","",'Fixed Effects'!O131)</f>
        <v/>
      </c>
      <c r="F131" s="127" t="str">
        <f>IF('Fixed Effects'!Q131="","",'Fixed Effects'!Q131)</f>
        <v/>
      </c>
      <c r="G131" s="128" t="str">
        <f>IF(D131="","",IF((INDEX('FE Inconsistency Results'!$H$1:$H$500,MATCH(SUBSTITUTE(D131,"OR","d"),'FE Inconsistency Results'!$B$1:$B$500,0),1))-(INDEX('FE Inconsistency Results'!$F$1:$F$500,MATCH(SUBSTITUTE(D131,"OR","d"),'FE Inconsistency Results'!$B$1:$B$500,0),1))&gt;50,"N/A",EXP(INDEX('FE Inconsistency Results'!$G$1:$G$500,MATCH(SUBSTITUTE(D131,"OR","d"),'FE Inconsistency Results'!$B$1:$B$500,0),1))))</f>
        <v/>
      </c>
      <c r="I131" s="138" t="str">
        <f ca="1">IF(INDIRECT(CONCATENATE("'",'Inconsistency Data'!$I$4,"'!N131"))="","",INDIRECT(CONCATENATE("'",'Inconsistency Data'!$I$4,"'!N131")))</f>
        <v/>
      </c>
      <c r="J131" s="126" t="str">
        <f ca="1">IF(INDIRECT(CONCATENATE("'",'Inconsistency Data'!$I$4,"'!O131"))="","",INDIRECT(CONCATENATE("'",'Inconsistency Data'!$I$4,"'!O131")))</f>
        <v/>
      </c>
      <c r="K131" s="127" t="str">
        <f ca="1">IF(INDIRECT(CONCATENATE("'",'Inconsistency Data'!$I$4,"'!Q131"))="","",INDIRECT(CONCATENATE("'",'Inconsistency Data'!$I$4,"'!Q131")))</f>
        <v/>
      </c>
      <c r="L131" s="128" t="str">
        <f>IF(D131="","",IF((INDEX('RE Inconsistency Results'!$H$1:$H$500,MATCH(SUBSTITUTE(D131,"OR","d"),'RE Inconsistency Results'!$B$1:$B$500,0),1))-(INDEX('RE Inconsistency Results'!$F$1:$F$500,MATCH(SUBSTITUTE(D131,"OR","d"),'RE Inconsistency Results'!$B$1:$B$500,0),1))&gt;50,"N/A",EXP(INDEX('RE Inconsistency Results'!$G$1:$G$500,MATCH(SUBSTITUTE(D131,"OR","d"),'RE Inconsistency Results'!$B$1:$B$500,0),1))))</f>
        <v/>
      </c>
    </row>
    <row r="132" spans="4:12" x14ac:dyDescent="0.25">
      <c r="D132" s="125" t="str">
        <f>IF('Fixed Effects'!N132="","",'Fixed Effects'!N132)</f>
        <v/>
      </c>
      <c r="E132" s="126" t="str">
        <f>IF('Fixed Effects'!O132="","",'Fixed Effects'!O132)</f>
        <v/>
      </c>
      <c r="F132" s="127" t="str">
        <f>IF('Fixed Effects'!Q132="","",'Fixed Effects'!Q132)</f>
        <v/>
      </c>
      <c r="G132" s="128" t="str">
        <f>IF(D132="","",IF((INDEX('FE Inconsistency Results'!$H$1:$H$500,MATCH(SUBSTITUTE(D132,"OR","d"),'FE Inconsistency Results'!$B$1:$B$500,0),1))-(INDEX('FE Inconsistency Results'!$F$1:$F$500,MATCH(SUBSTITUTE(D132,"OR","d"),'FE Inconsistency Results'!$B$1:$B$500,0),1))&gt;50,"N/A",EXP(INDEX('FE Inconsistency Results'!$G$1:$G$500,MATCH(SUBSTITUTE(D132,"OR","d"),'FE Inconsistency Results'!$B$1:$B$500,0),1))))</f>
        <v/>
      </c>
      <c r="I132" s="138" t="str">
        <f ca="1">IF(INDIRECT(CONCATENATE("'",'Inconsistency Data'!$I$4,"'!N132"))="","",INDIRECT(CONCATENATE("'",'Inconsistency Data'!$I$4,"'!N132")))</f>
        <v/>
      </c>
      <c r="J132" s="126" t="str">
        <f ca="1">IF(INDIRECT(CONCATENATE("'",'Inconsistency Data'!$I$4,"'!O132"))="","",INDIRECT(CONCATENATE("'",'Inconsistency Data'!$I$4,"'!O132")))</f>
        <v/>
      </c>
      <c r="K132" s="127" t="str">
        <f ca="1">IF(INDIRECT(CONCATENATE("'",'Inconsistency Data'!$I$4,"'!Q132"))="","",INDIRECT(CONCATENATE("'",'Inconsistency Data'!$I$4,"'!Q132")))</f>
        <v/>
      </c>
      <c r="L132" s="128" t="str">
        <f>IF(D132="","",IF((INDEX('RE Inconsistency Results'!$H$1:$H$500,MATCH(SUBSTITUTE(D132,"OR","d"),'RE Inconsistency Results'!$B$1:$B$500,0),1))-(INDEX('RE Inconsistency Results'!$F$1:$F$500,MATCH(SUBSTITUTE(D132,"OR","d"),'RE Inconsistency Results'!$B$1:$B$500,0),1))&gt;50,"N/A",EXP(INDEX('RE Inconsistency Results'!$G$1:$G$500,MATCH(SUBSTITUTE(D132,"OR","d"),'RE Inconsistency Results'!$B$1:$B$500,0),1))))</f>
        <v/>
      </c>
    </row>
    <row r="133" spans="4:12" x14ac:dyDescent="0.25">
      <c r="D133" s="125" t="str">
        <f>IF('Fixed Effects'!N133="","",'Fixed Effects'!N133)</f>
        <v/>
      </c>
      <c r="E133" s="126" t="str">
        <f>IF('Fixed Effects'!O133="","",'Fixed Effects'!O133)</f>
        <v/>
      </c>
      <c r="F133" s="127" t="str">
        <f>IF('Fixed Effects'!Q133="","",'Fixed Effects'!Q133)</f>
        <v/>
      </c>
      <c r="G133" s="128" t="str">
        <f>IF(D133="","",IF((INDEX('FE Inconsistency Results'!$H$1:$H$500,MATCH(SUBSTITUTE(D133,"OR","d"),'FE Inconsistency Results'!$B$1:$B$500,0),1))-(INDEX('FE Inconsistency Results'!$F$1:$F$500,MATCH(SUBSTITUTE(D133,"OR","d"),'FE Inconsistency Results'!$B$1:$B$500,0),1))&gt;50,"N/A",EXP(INDEX('FE Inconsistency Results'!$G$1:$G$500,MATCH(SUBSTITUTE(D133,"OR","d"),'FE Inconsistency Results'!$B$1:$B$500,0),1))))</f>
        <v/>
      </c>
      <c r="I133" s="138" t="str">
        <f ca="1">IF(INDIRECT(CONCATENATE("'",'Inconsistency Data'!$I$4,"'!N133"))="","",INDIRECT(CONCATENATE("'",'Inconsistency Data'!$I$4,"'!N133")))</f>
        <v/>
      </c>
      <c r="J133" s="126" t="str">
        <f ca="1">IF(INDIRECT(CONCATENATE("'",'Inconsistency Data'!$I$4,"'!O133"))="","",INDIRECT(CONCATENATE("'",'Inconsistency Data'!$I$4,"'!O133")))</f>
        <v/>
      </c>
      <c r="K133" s="127" t="str">
        <f ca="1">IF(INDIRECT(CONCATENATE("'",'Inconsistency Data'!$I$4,"'!Q133"))="","",INDIRECT(CONCATENATE("'",'Inconsistency Data'!$I$4,"'!Q133")))</f>
        <v/>
      </c>
      <c r="L133" s="128" t="str">
        <f>IF(D133="","",IF((INDEX('RE Inconsistency Results'!$H$1:$H$500,MATCH(SUBSTITUTE(D133,"OR","d"),'RE Inconsistency Results'!$B$1:$B$500,0),1))-(INDEX('RE Inconsistency Results'!$F$1:$F$500,MATCH(SUBSTITUTE(D133,"OR","d"),'RE Inconsistency Results'!$B$1:$B$500,0),1))&gt;50,"N/A",EXP(INDEX('RE Inconsistency Results'!$G$1:$G$500,MATCH(SUBSTITUTE(D133,"OR","d"),'RE Inconsistency Results'!$B$1:$B$500,0),1))))</f>
        <v/>
      </c>
    </row>
    <row r="134" spans="4:12" x14ac:dyDescent="0.25">
      <c r="D134" s="125" t="str">
        <f>IF('Fixed Effects'!N134="","",'Fixed Effects'!N134)</f>
        <v/>
      </c>
      <c r="E134" s="126" t="str">
        <f>IF('Fixed Effects'!O134="","",'Fixed Effects'!O134)</f>
        <v/>
      </c>
      <c r="F134" s="127" t="str">
        <f>IF('Fixed Effects'!Q134="","",'Fixed Effects'!Q134)</f>
        <v/>
      </c>
      <c r="G134" s="128" t="str">
        <f>IF(D134="","",IF((INDEX('FE Inconsistency Results'!$H$1:$H$500,MATCH(SUBSTITUTE(D134,"OR","d"),'FE Inconsistency Results'!$B$1:$B$500,0),1))-(INDEX('FE Inconsistency Results'!$F$1:$F$500,MATCH(SUBSTITUTE(D134,"OR","d"),'FE Inconsistency Results'!$B$1:$B$500,0),1))&gt;50,"N/A",EXP(INDEX('FE Inconsistency Results'!$G$1:$G$500,MATCH(SUBSTITUTE(D134,"OR","d"),'FE Inconsistency Results'!$B$1:$B$500,0),1))))</f>
        <v/>
      </c>
      <c r="I134" s="138" t="str">
        <f ca="1">IF(INDIRECT(CONCATENATE("'",'Inconsistency Data'!$I$4,"'!N134"))="","",INDIRECT(CONCATENATE("'",'Inconsistency Data'!$I$4,"'!N134")))</f>
        <v/>
      </c>
      <c r="J134" s="126" t="str">
        <f ca="1">IF(INDIRECT(CONCATENATE("'",'Inconsistency Data'!$I$4,"'!O134"))="","",INDIRECT(CONCATENATE("'",'Inconsistency Data'!$I$4,"'!O134")))</f>
        <v/>
      </c>
      <c r="K134" s="127" t="str">
        <f ca="1">IF(INDIRECT(CONCATENATE("'",'Inconsistency Data'!$I$4,"'!Q134"))="","",INDIRECT(CONCATENATE("'",'Inconsistency Data'!$I$4,"'!Q134")))</f>
        <v/>
      </c>
      <c r="L134" s="128" t="str">
        <f>IF(D134="","",IF((INDEX('RE Inconsistency Results'!$H$1:$H$500,MATCH(SUBSTITUTE(D134,"OR","d"),'RE Inconsistency Results'!$B$1:$B$500,0),1))-(INDEX('RE Inconsistency Results'!$F$1:$F$500,MATCH(SUBSTITUTE(D134,"OR","d"),'RE Inconsistency Results'!$B$1:$B$500,0),1))&gt;50,"N/A",EXP(INDEX('RE Inconsistency Results'!$G$1:$G$500,MATCH(SUBSTITUTE(D134,"OR","d"),'RE Inconsistency Results'!$B$1:$B$500,0),1))))</f>
        <v/>
      </c>
    </row>
    <row r="135" spans="4:12" x14ac:dyDescent="0.25">
      <c r="D135" s="125" t="str">
        <f>IF('Fixed Effects'!N135="","",'Fixed Effects'!N135)</f>
        <v/>
      </c>
      <c r="E135" s="126" t="str">
        <f>IF('Fixed Effects'!O135="","",'Fixed Effects'!O135)</f>
        <v/>
      </c>
      <c r="F135" s="127" t="str">
        <f>IF('Fixed Effects'!Q135="","",'Fixed Effects'!Q135)</f>
        <v/>
      </c>
      <c r="G135" s="128" t="str">
        <f>IF(D135="","",IF((INDEX('FE Inconsistency Results'!$H$1:$H$500,MATCH(SUBSTITUTE(D135,"OR","d"),'FE Inconsistency Results'!$B$1:$B$500,0),1))-(INDEX('FE Inconsistency Results'!$F$1:$F$500,MATCH(SUBSTITUTE(D135,"OR","d"),'FE Inconsistency Results'!$B$1:$B$500,0),1))&gt;50,"N/A",EXP(INDEX('FE Inconsistency Results'!$G$1:$G$500,MATCH(SUBSTITUTE(D135,"OR","d"),'FE Inconsistency Results'!$B$1:$B$500,0),1))))</f>
        <v/>
      </c>
      <c r="I135" s="138" t="str">
        <f ca="1">IF(INDIRECT(CONCATENATE("'",'Inconsistency Data'!$I$4,"'!N135"))="","",INDIRECT(CONCATENATE("'",'Inconsistency Data'!$I$4,"'!N135")))</f>
        <v/>
      </c>
      <c r="J135" s="126" t="str">
        <f ca="1">IF(INDIRECT(CONCATENATE("'",'Inconsistency Data'!$I$4,"'!O135"))="","",INDIRECT(CONCATENATE("'",'Inconsistency Data'!$I$4,"'!O135")))</f>
        <v/>
      </c>
      <c r="K135" s="127" t="str">
        <f ca="1">IF(INDIRECT(CONCATENATE("'",'Inconsistency Data'!$I$4,"'!Q135"))="","",INDIRECT(CONCATENATE("'",'Inconsistency Data'!$I$4,"'!Q135")))</f>
        <v/>
      </c>
      <c r="L135" s="128" t="str">
        <f>IF(D135="","",IF((INDEX('RE Inconsistency Results'!$H$1:$H$500,MATCH(SUBSTITUTE(D135,"OR","d"),'RE Inconsistency Results'!$B$1:$B$500,0),1))-(INDEX('RE Inconsistency Results'!$F$1:$F$500,MATCH(SUBSTITUTE(D135,"OR","d"),'RE Inconsistency Results'!$B$1:$B$500,0),1))&gt;50,"N/A",EXP(INDEX('RE Inconsistency Results'!$G$1:$G$500,MATCH(SUBSTITUTE(D135,"OR","d"),'RE Inconsistency Results'!$B$1:$B$500,0),1))))</f>
        <v/>
      </c>
    </row>
    <row r="136" spans="4:12" x14ac:dyDescent="0.25">
      <c r="D136" s="125" t="str">
        <f>IF('Fixed Effects'!N136="","",'Fixed Effects'!N136)</f>
        <v/>
      </c>
      <c r="E136" s="126" t="str">
        <f>IF('Fixed Effects'!O136="","",'Fixed Effects'!O136)</f>
        <v/>
      </c>
      <c r="F136" s="127" t="str">
        <f>IF('Fixed Effects'!Q136="","",'Fixed Effects'!Q136)</f>
        <v/>
      </c>
      <c r="G136" s="128" t="str">
        <f>IF(D136="","",IF((INDEX('FE Inconsistency Results'!$H$1:$H$500,MATCH(SUBSTITUTE(D136,"OR","d"),'FE Inconsistency Results'!$B$1:$B$500,0),1))-(INDEX('FE Inconsistency Results'!$F$1:$F$500,MATCH(SUBSTITUTE(D136,"OR","d"),'FE Inconsistency Results'!$B$1:$B$500,0),1))&gt;50,"N/A",EXP(INDEX('FE Inconsistency Results'!$G$1:$G$500,MATCH(SUBSTITUTE(D136,"OR","d"),'FE Inconsistency Results'!$B$1:$B$500,0),1))))</f>
        <v/>
      </c>
      <c r="I136" s="138" t="str">
        <f ca="1">IF(INDIRECT(CONCATENATE("'",'Inconsistency Data'!$I$4,"'!N136"))="","",INDIRECT(CONCATENATE("'",'Inconsistency Data'!$I$4,"'!N136")))</f>
        <v/>
      </c>
      <c r="J136" s="126" t="str">
        <f ca="1">IF(INDIRECT(CONCATENATE("'",'Inconsistency Data'!$I$4,"'!O136"))="","",INDIRECT(CONCATENATE("'",'Inconsistency Data'!$I$4,"'!O136")))</f>
        <v/>
      </c>
      <c r="K136" s="127" t="str">
        <f ca="1">IF(INDIRECT(CONCATENATE("'",'Inconsistency Data'!$I$4,"'!Q136"))="","",INDIRECT(CONCATENATE("'",'Inconsistency Data'!$I$4,"'!Q136")))</f>
        <v/>
      </c>
      <c r="L136" s="128" t="str">
        <f>IF(D136="","",IF((INDEX('RE Inconsistency Results'!$H$1:$H$500,MATCH(SUBSTITUTE(D136,"OR","d"),'RE Inconsistency Results'!$B$1:$B$500,0),1))-(INDEX('RE Inconsistency Results'!$F$1:$F$500,MATCH(SUBSTITUTE(D136,"OR","d"),'RE Inconsistency Results'!$B$1:$B$500,0),1))&gt;50,"N/A",EXP(INDEX('RE Inconsistency Results'!$G$1:$G$500,MATCH(SUBSTITUTE(D136,"OR","d"),'RE Inconsistency Results'!$B$1:$B$500,0),1))))</f>
        <v/>
      </c>
    </row>
    <row r="137" spans="4:12" x14ac:dyDescent="0.25">
      <c r="D137" s="125" t="str">
        <f>IF('Fixed Effects'!N137="","",'Fixed Effects'!N137)</f>
        <v/>
      </c>
      <c r="E137" s="126" t="str">
        <f>IF('Fixed Effects'!O137="","",'Fixed Effects'!O137)</f>
        <v/>
      </c>
      <c r="F137" s="127" t="str">
        <f>IF('Fixed Effects'!Q137="","",'Fixed Effects'!Q137)</f>
        <v/>
      </c>
      <c r="G137" s="128" t="str">
        <f>IF(D137="","",IF((INDEX('FE Inconsistency Results'!$H$1:$H$500,MATCH(SUBSTITUTE(D137,"OR","d"),'FE Inconsistency Results'!$B$1:$B$500,0),1))-(INDEX('FE Inconsistency Results'!$F$1:$F$500,MATCH(SUBSTITUTE(D137,"OR","d"),'FE Inconsistency Results'!$B$1:$B$500,0),1))&gt;50,"N/A",EXP(INDEX('FE Inconsistency Results'!$G$1:$G$500,MATCH(SUBSTITUTE(D137,"OR","d"),'FE Inconsistency Results'!$B$1:$B$500,0),1))))</f>
        <v/>
      </c>
      <c r="I137" s="138" t="str">
        <f ca="1">IF(INDIRECT(CONCATENATE("'",'Inconsistency Data'!$I$4,"'!N137"))="","",INDIRECT(CONCATENATE("'",'Inconsistency Data'!$I$4,"'!N137")))</f>
        <v/>
      </c>
      <c r="J137" s="126" t="str">
        <f ca="1">IF(INDIRECT(CONCATENATE("'",'Inconsistency Data'!$I$4,"'!O137"))="","",INDIRECT(CONCATENATE("'",'Inconsistency Data'!$I$4,"'!O137")))</f>
        <v/>
      </c>
      <c r="K137" s="127" t="str">
        <f ca="1">IF(INDIRECT(CONCATENATE("'",'Inconsistency Data'!$I$4,"'!Q137"))="","",INDIRECT(CONCATENATE("'",'Inconsistency Data'!$I$4,"'!Q137")))</f>
        <v/>
      </c>
      <c r="L137" s="128" t="str">
        <f>IF(D137="","",IF((INDEX('RE Inconsistency Results'!$H$1:$H$500,MATCH(SUBSTITUTE(D137,"OR","d"),'RE Inconsistency Results'!$B$1:$B$500,0),1))-(INDEX('RE Inconsistency Results'!$F$1:$F$500,MATCH(SUBSTITUTE(D137,"OR","d"),'RE Inconsistency Results'!$B$1:$B$500,0),1))&gt;50,"N/A",EXP(INDEX('RE Inconsistency Results'!$G$1:$G$500,MATCH(SUBSTITUTE(D137,"OR","d"),'RE Inconsistency Results'!$B$1:$B$500,0),1))))</f>
        <v/>
      </c>
    </row>
    <row r="138" spans="4:12" x14ac:dyDescent="0.25">
      <c r="D138" s="125" t="str">
        <f>IF('Fixed Effects'!N138="","",'Fixed Effects'!N138)</f>
        <v/>
      </c>
      <c r="E138" s="126" t="str">
        <f>IF('Fixed Effects'!O138="","",'Fixed Effects'!O138)</f>
        <v/>
      </c>
      <c r="F138" s="127" t="str">
        <f>IF('Fixed Effects'!Q138="","",'Fixed Effects'!Q138)</f>
        <v/>
      </c>
      <c r="G138" s="128" t="str">
        <f>IF(D138="","",IF((INDEX('FE Inconsistency Results'!$H$1:$H$500,MATCH(SUBSTITUTE(D138,"OR","d"),'FE Inconsistency Results'!$B$1:$B$500,0),1))-(INDEX('FE Inconsistency Results'!$F$1:$F$500,MATCH(SUBSTITUTE(D138,"OR","d"),'FE Inconsistency Results'!$B$1:$B$500,0),1))&gt;50,"N/A",EXP(INDEX('FE Inconsistency Results'!$G$1:$G$500,MATCH(SUBSTITUTE(D138,"OR","d"),'FE Inconsistency Results'!$B$1:$B$500,0),1))))</f>
        <v/>
      </c>
      <c r="I138" s="138" t="str">
        <f ca="1">IF(INDIRECT(CONCATENATE("'",'Inconsistency Data'!$I$4,"'!N138"))="","",INDIRECT(CONCATENATE("'",'Inconsistency Data'!$I$4,"'!N138")))</f>
        <v/>
      </c>
      <c r="J138" s="126" t="str">
        <f ca="1">IF(INDIRECT(CONCATENATE("'",'Inconsistency Data'!$I$4,"'!O138"))="","",INDIRECT(CONCATENATE("'",'Inconsistency Data'!$I$4,"'!O138")))</f>
        <v/>
      </c>
      <c r="K138" s="127" t="str">
        <f ca="1">IF(INDIRECT(CONCATENATE("'",'Inconsistency Data'!$I$4,"'!Q138"))="","",INDIRECT(CONCATENATE("'",'Inconsistency Data'!$I$4,"'!Q138")))</f>
        <v/>
      </c>
      <c r="L138" s="128" t="str">
        <f>IF(D138="","",IF((INDEX('RE Inconsistency Results'!$H$1:$H$500,MATCH(SUBSTITUTE(D138,"OR","d"),'RE Inconsistency Results'!$B$1:$B$500,0),1))-(INDEX('RE Inconsistency Results'!$F$1:$F$500,MATCH(SUBSTITUTE(D138,"OR","d"),'RE Inconsistency Results'!$B$1:$B$500,0),1))&gt;50,"N/A",EXP(INDEX('RE Inconsistency Results'!$G$1:$G$500,MATCH(SUBSTITUTE(D138,"OR","d"),'RE Inconsistency Results'!$B$1:$B$500,0),1))))</f>
        <v/>
      </c>
    </row>
    <row r="139" spans="4:12" x14ac:dyDescent="0.25">
      <c r="D139" s="125" t="str">
        <f>IF('Fixed Effects'!N139="","",'Fixed Effects'!N139)</f>
        <v/>
      </c>
      <c r="E139" s="126" t="str">
        <f>IF('Fixed Effects'!O139="","",'Fixed Effects'!O139)</f>
        <v/>
      </c>
      <c r="F139" s="127" t="str">
        <f>IF('Fixed Effects'!Q139="","",'Fixed Effects'!Q139)</f>
        <v/>
      </c>
      <c r="G139" s="128" t="str">
        <f>IF(D139="","",IF((INDEX('FE Inconsistency Results'!$H$1:$H$500,MATCH(SUBSTITUTE(D139,"OR","d"),'FE Inconsistency Results'!$B$1:$B$500,0),1))-(INDEX('FE Inconsistency Results'!$F$1:$F$500,MATCH(SUBSTITUTE(D139,"OR","d"),'FE Inconsistency Results'!$B$1:$B$500,0),1))&gt;50,"N/A",EXP(INDEX('FE Inconsistency Results'!$G$1:$G$500,MATCH(SUBSTITUTE(D139,"OR","d"),'FE Inconsistency Results'!$B$1:$B$500,0),1))))</f>
        <v/>
      </c>
      <c r="I139" s="138" t="str">
        <f ca="1">IF(INDIRECT(CONCATENATE("'",'Inconsistency Data'!$I$4,"'!N139"))="","",INDIRECT(CONCATENATE("'",'Inconsistency Data'!$I$4,"'!N139")))</f>
        <v/>
      </c>
      <c r="J139" s="126" t="str">
        <f ca="1">IF(INDIRECT(CONCATENATE("'",'Inconsistency Data'!$I$4,"'!O139"))="","",INDIRECT(CONCATENATE("'",'Inconsistency Data'!$I$4,"'!O139")))</f>
        <v/>
      </c>
      <c r="K139" s="127" t="str">
        <f ca="1">IF(INDIRECT(CONCATENATE("'",'Inconsistency Data'!$I$4,"'!Q139"))="","",INDIRECT(CONCATENATE("'",'Inconsistency Data'!$I$4,"'!Q139")))</f>
        <v/>
      </c>
      <c r="L139" s="128" t="str">
        <f>IF(D139="","",IF((INDEX('RE Inconsistency Results'!$H$1:$H$500,MATCH(SUBSTITUTE(D139,"OR","d"),'RE Inconsistency Results'!$B$1:$B$500,0),1))-(INDEX('RE Inconsistency Results'!$F$1:$F$500,MATCH(SUBSTITUTE(D139,"OR","d"),'RE Inconsistency Results'!$B$1:$B$500,0),1))&gt;50,"N/A",EXP(INDEX('RE Inconsistency Results'!$G$1:$G$500,MATCH(SUBSTITUTE(D139,"OR","d"),'RE Inconsistency Results'!$B$1:$B$500,0),1))))</f>
        <v/>
      </c>
    </row>
    <row r="140" spans="4:12" x14ac:dyDescent="0.25">
      <c r="D140" s="125" t="str">
        <f>IF('Fixed Effects'!N140="","",'Fixed Effects'!N140)</f>
        <v/>
      </c>
      <c r="E140" s="126" t="str">
        <f>IF('Fixed Effects'!O140="","",'Fixed Effects'!O140)</f>
        <v/>
      </c>
      <c r="F140" s="127" t="str">
        <f>IF('Fixed Effects'!Q140="","",'Fixed Effects'!Q140)</f>
        <v/>
      </c>
      <c r="G140" s="128" t="str">
        <f>IF(D140="","",IF((INDEX('FE Inconsistency Results'!$H$1:$H$500,MATCH(SUBSTITUTE(D140,"OR","d"),'FE Inconsistency Results'!$B$1:$B$500,0),1))-(INDEX('FE Inconsistency Results'!$F$1:$F$500,MATCH(SUBSTITUTE(D140,"OR","d"),'FE Inconsistency Results'!$B$1:$B$500,0),1))&gt;50,"N/A",EXP(INDEX('FE Inconsistency Results'!$G$1:$G$500,MATCH(SUBSTITUTE(D140,"OR","d"),'FE Inconsistency Results'!$B$1:$B$500,0),1))))</f>
        <v/>
      </c>
      <c r="I140" s="138" t="str">
        <f ca="1">IF(INDIRECT(CONCATENATE("'",'Inconsistency Data'!$I$4,"'!N140"))="","",INDIRECT(CONCATENATE("'",'Inconsistency Data'!$I$4,"'!N140")))</f>
        <v/>
      </c>
      <c r="J140" s="126" t="str">
        <f ca="1">IF(INDIRECT(CONCATENATE("'",'Inconsistency Data'!$I$4,"'!O140"))="","",INDIRECT(CONCATENATE("'",'Inconsistency Data'!$I$4,"'!O140")))</f>
        <v/>
      </c>
      <c r="K140" s="127" t="str">
        <f ca="1">IF(INDIRECT(CONCATENATE("'",'Inconsistency Data'!$I$4,"'!Q140"))="","",INDIRECT(CONCATENATE("'",'Inconsistency Data'!$I$4,"'!Q140")))</f>
        <v/>
      </c>
      <c r="L140" s="128" t="str">
        <f>IF(D140="","",IF((INDEX('RE Inconsistency Results'!$H$1:$H$500,MATCH(SUBSTITUTE(D140,"OR","d"),'RE Inconsistency Results'!$B$1:$B$500,0),1))-(INDEX('RE Inconsistency Results'!$F$1:$F$500,MATCH(SUBSTITUTE(D140,"OR","d"),'RE Inconsistency Results'!$B$1:$B$500,0),1))&gt;50,"N/A",EXP(INDEX('RE Inconsistency Results'!$G$1:$G$500,MATCH(SUBSTITUTE(D140,"OR","d"),'RE Inconsistency Results'!$B$1:$B$500,0),1))))</f>
        <v/>
      </c>
    </row>
    <row r="141" spans="4:12" x14ac:dyDescent="0.25">
      <c r="D141" s="125" t="str">
        <f>IF('Fixed Effects'!N141="","",'Fixed Effects'!N141)</f>
        <v/>
      </c>
      <c r="E141" s="126" t="str">
        <f>IF('Fixed Effects'!O141="","",'Fixed Effects'!O141)</f>
        <v/>
      </c>
      <c r="F141" s="127" t="str">
        <f>IF('Fixed Effects'!Q141="","",'Fixed Effects'!Q141)</f>
        <v/>
      </c>
      <c r="G141" s="128" t="str">
        <f>IF(D141="","",IF((INDEX('FE Inconsistency Results'!$H$1:$H$500,MATCH(SUBSTITUTE(D141,"OR","d"),'FE Inconsistency Results'!$B$1:$B$500,0),1))-(INDEX('FE Inconsistency Results'!$F$1:$F$500,MATCH(SUBSTITUTE(D141,"OR","d"),'FE Inconsistency Results'!$B$1:$B$500,0),1))&gt;50,"N/A",EXP(INDEX('FE Inconsistency Results'!$G$1:$G$500,MATCH(SUBSTITUTE(D141,"OR","d"),'FE Inconsistency Results'!$B$1:$B$500,0),1))))</f>
        <v/>
      </c>
      <c r="I141" s="138" t="str">
        <f ca="1">IF(INDIRECT(CONCATENATE("'",'Inconsistency Data'!$I$4,"'!N141"))="","",INDIRECT(CONCATENATE("'",'Inconsistency Data'!$I$4,"'!N141")))</f>
        <v/>
      </c>
      <c r="J141" s="126" t="str">
        <f ca="1">IF(INDIRECT(CONCATENATE("'",'Inconsistency Data'!$I$4,"'!O141"))="","",INDIRECT(CONCATENATE("'",'Inconsistency Data'!$I$4,"'!O141")))</f>
        <v/>
      </c>
      <c r="K141" s="127" t="str">
        <f ca="1">IF(INDIRECT(CONCATENATE("'",'Inconsistency Data'!$I$4,"'!Q141"))="","",INDIRECT(CONCATENATE("'",'Inconsistency Data'!$I$4,"'!Q141")))</f>
        <v/>
      </c>
      <c r="L141" s="128" t="str">
        <f>IF(D141="","",IF((INDEX('RE Inconsistency Results'!$H$1:$H$500,MATCH(SUBSTITUTE(D141,"OR","d"),'RE Inconsistency Results'!$B$1:$B$500,0),1))-(INDEX('RE Inconsistency Results'!$F$1:$F$500,MATCH(SUBSTITUTE(D141,"OR","d"),'RE Inconsistency Results'!$B$1:$B$500,0),1))&gt;50,"N/A",EXP(INDEX('RE Inconsistency Results'!$G$1:$G$500,MATCH(SUBSTITUTE(D141,"OR","d"),'RE Inconsistency Results'!$B$1:$B$500,0),1))))</f>
        <v/>
      </c>
    </row>
    <row r="142" spans="4:12" x14ac:dyDescent="0.25">
      <c r="D142" s="125" t="str">
        <f>IF('Fixed Effects'!N142="","",'Fixed Effects'!N142)</f>
        <v/>
      </c>
      <c r="E142" s="126" t="str">
        <f>IF('Fixed Effects'!O142="","",'Fixed Effects'!O142)</f>
        <v/>
      </c>
      <c r="F142" s="127" t="str">
        <f>IF('Fixed Effects'!Q142="","",'Fixed Effects'!Q142)</f>
        <v/>
      </c>
      <c r="G142" s="128" t="str">
        <f>IF(D142="","",IF((INDEX('FE Inconsistency Results'!$H$1:$H$500,MATCH(SUBSTITUTE(D142,"OR","d"),'FE Inconsistency Results'!$B$1:$B$500,0),1))-(INDEX('FE Inconsistency Results'!$F$1:$F$500,MATCH(SUBSTITUTE(D142,"OR","d"),'FE Inconsistency Results'!$B$1:$B$500,0),1))&gt;50,"N/A",EXP(INDEX('FE Inconsistency Results'!$G$1:$G$500,MATCH(SUBSTITUTE(D142,"OR","d"),'FE Inconsistency Results'!$B$1:$B$500,0),1))))</f>
        <v/>
      </c>
      <c r="I142" s="138" t="str">
        <f ca="1">IF(INDIRECT(CONCATENATE("'",'Inconsistency Data'!$I$4,"'!N142"))="","",INDIRECT(CONCATENATE("'",'Inconsistency Data'!$I$4,"'!N142")))</f>
        <v/>
      </c>
      <c r="J142" s="126" t="str">
        <f ca="1">IF(INDIRECT(CONCATENATE("'",'Inconsistency Data'!$I$4,"'!O142"))="","",INDIRECT(CONCATENATE("'",'Inconsistency Data'!$I$4,"'!O142")))</f>
        <v/>
      </c>
      <c r="K142" s="127" t="str">
        <f ca="1">IF(INDIRECT(CONCATENATE("'",'Inconsistency Data'!$I$4,"'!Q142"))="","",INDIRECT(CONCATENATE("'",'Inconsistency Data'!$I$4,"'!Q142")))</f>
        <v/>
      </c>
      <c r="L142" s="128" t="str">
        <f>IF(D142="","",IF((INDEX('RE Inconsistency Results'!$H$1:$H$500,MATCH(SUBSTITUTE(D142,"OR","d"),'RE Inconsistency Results'!$B$1:$B$500,0),1))-(INDEX('RE Inconsistency Results'!$F$1:$F$500,MATCH(SUBSTITUTE(D142,"OR","d"),'RE Inconsistency Results'!$B$1:$B$500,0),1))&gt;50,"N/A",EXP(INDEX('RE Inconsistency Results'!$G$1:$G$500,MATCH(SUBSTITUTE(D142,"OR","d"),'RE Inconsistency Results'!$B$1:$B$500,0),1))))</f>
        <v/>
      </c>
    </row>
    <row r="143" spans="4:12" x14ac:dyDescent="0.25">
      <c r="D143" s="125" t="str">
        <f>IF('Fixed Effects'!N143="","",'Fixed Effects'!N143)</f>
        <v/>
      </c>
      <c r="E143" s="126" t="str">
        <f>IF('Fixed Effects'!O143="","",'Fixed Effects'!O143)</f>
        <v/>
      </c>
      <c r="F143" s="127" t="str">
        <f>IF('Fixed Effects'!Q143="","",'Fixed Effects'!Q143)</f>
        <v/>
      </c>
      <c r="G143" s="128" t="str">
        <f>IF(D143="","",IF((INDEX('FE Inconsistency Results'!$H$1:$H$500,MATCH(SUBSTITUTE(D143,"OR","d"),'FE Inconsistency Results'!$B$1:$B$500,0),1))-(INDEX('FE Inconsistency Results'!$F$1:$F$500,MATCH(SUBSTITUTE(D143,"OR","d"),'FE Inconsistency Results'!$B$1:$B$500,0),1))&gt;50,"N/A",EXP(INDEX('FE Inconsistency Results'!$G$1:$G$500,MATCH(SUBSTITUTE(D143,"OR","d"),'FE Inconsistency Results'!$B$1:$B$500,0),1))))</f>
        <v/>
      </c>
      <c r="I143" s="138" t="str">
        <f ca="1">IF(INDIRECT(CONCATENATE("'",'Inconsistency Data'!$I$4,"'!N143"))="","",INDIRECT(CONCATENATE("'",'Inconsistency Data'!$I$4,"'!N143")))</f>
        <v/>
      </c>
      <c r="J143" s="126" t="str">
        <f ca="1">IF(INDIRECT(CONCATENATE("'",'Inconsistency Data'!$I$4,"'!O143"))="","",INDIRECT(CONCATENATE("'",'Inconsistency Data'!$I$4,"'!O143")))</f>
        <v/>
      </c>
      <c r="K143" s="127" t="str">
        <f ca="1">IF(INDIRECT(CONCATENATE("'",'Inconsistency Data'!$I$4,"'!Q143"))="","",INDIRECT(CONCATENATE("'",'Inconsistency Data'!$I$4,"'!Q143")))</f>
        <v/>
      </c>
      <c r="L143" s="128" t="str">
        <f>IF(D143="","",IF((INDEX('RE Inconsistency Results'!$H$1:$H$500,MATCH(SUBSTITUTE(D143,"OR","d"),'RE Inconsistency Results'!$B$1:$B$500,0),1))-(INDEX('RE Inconsistency Results'!$F$1:$F$500,MATCH(SUBSTITUTE(D143,"OR","d"),'RE Inconsistency Results'!$B$1:$B$500,0),1))&gt;50,"N/A",EXP(INDEX('RE Inconsistency Results'!$G$1:$G$500,MATCH(SUBSTITUTE(D143,"OR","d"),'RE Inconsistency Results'!$B$1:$B$500,0),1))))</f>
        <v/>
      </c>
    </row>
    <row r="144" spans="4:12" x14ac:dyDescent="0.25">
      <c r="D144" s="125" t="str">
        <f>IF('Fixed Effects'!N144="","",'Fixed Effects'!N144)</f>
        <v/>
      </c>
      <c r="E144" s="126" t="str">
        <f>IF('Fixed Effects'!O144="","",'Fixed Effects'!O144)</f>
        <v/>
      </c>
      <c r="F144" s="127" t="str">
        <f>IF('Fixed Effects'!Q144="","",'Fixed Effects'!Q144)</f>
        <v/>
      </c>
      <c r="G144" s="128" t="str">
        <f>IF(D144="","",IF((INDEX('FE Inconsistency Results'!$H$1:$H$500,MATCH(SUBSTITUTE(D144,"OR","d"),'FE Inconsistency Results'!$B$1:$B$500,0),1))-(INDEX('FE Inconsistency Results'!$F$1:$F$500,MATCH(SUBSTITUTE(D144,"OR","d"),'FE Inconsistency Results'!$B$1:$B$500,0),1))&gt;50,"N/A",EXP(INDEX('FE Inconsistency Results'!$G$1:$G$500,MATCH(SUBSTITUTE(D144,"OR","d"),'FE Inconsistency Results'!$B$1:$B$500,0),1))))</f>
        <v/>
      </c>
      <c r="I144" s="138" t="str">
        <f ca="1">IF(INDIRECT(CONCATENATE("'",'Inconsistency Data'!$I$4,"'!N144"))="","",INDIRECT(CONCATENATE("'",'Inconsistency Data'!$I$4,"'!N144")))</f>
        <v/>
      </c>
      <c r="J144" s="126" t="str">
        <f ca="1">IF(INDIRECT(CONCATENATE("'",'Inconsistency Data'!$I$4,"'!O144"))="","",INDIRECT(CONCATENATE("'",'Inconsistency Data'!$I$4,"'!O144")))</f>
        <v/>
      </c>
      <c r="K144" s="127" t="str">
        <f ca="1">IF(INDIRECT(CONCATENATE("'",'Inconsistency Data'!$I$4,"'!Q144"))="","",INDIRECT(CONCATENATE("'",'Inconsistency Data'!$I$4,"'!Q144")))</f>
        <v/>
      </c>
      <c r="L144" s="128" t="str">
        <f>IF(D144="","",IF((INDEX('RE Inconsistency Results'!$H$1:$H$500,MATCH(SUBSTITUTE(D144,"OR","d"),'RE Inconsistency Results'!$B$1:$B$500,0),1))-(INDEX('RE Inconsistency Results'!$F$1:$F$500,MATCH(SUBSTITUTE(D144,"OR","d"),'RE Inconsistency Results'!$B$1:$B$500,0),1))&gt;50,"N/A",EXP(INDEX('RE Inconsistency Results'!$G$1:$G$500,MATCH(SUBSTITUTE(D144,"OR","d"),'RE Inconsistency Results'!$B$1:$B$500,0),1))))</f>
        <v/>
      </c>
    </row>
    <row r="145" spans="4:12" x14ac:dyDescent="0.25">
      <c r="D145" s="125" t="str">
        <f>IF('Fixed Effects'!N145="","",'Fixed Effects'!N145)</f>
        <v/>
      </c>
      <c r="E145" s="126" t="str">
        <f>IF('Fixed Effects'!O145="","",'Fixed Effects'!O145)</f>
        <v/>
      </c>
      <c r="F145" s="127" t="str">
        <f>IF('Fixed Effects'!Q145="","",'Fixed Effects'!Q145)</f>
        <v/>
      </c>
      <c r="G145" s="128" t="str">
        <f>IF(D145="","",IF((INDEX('FE Inconsistency Results'!$H$1:$H$500,MATCH(SUBSTITUTE(D145,"OR","d"),'FE Inconsistency Results'!$B$1:$B$500,0),1))-(INDEX('FE Inconsistency Results'!$F$1:$F$500,MATCH(SUBSTITUTE(D145,"OR","d"),'FE Inconsistency Results'!$B$1:$B$500,0),1))&gt;50,"N/A",EXP(INDEX('FE Inconsistency Results'!$G$1:$G$500,MATCH(SUBSTITUTE(D145,"OR","d"),'FE Inconsistency Results'!$B$1:$B$500,0),1))))</f>
        <v/>
      </c>
      <c r="I145" s="138" t="str">
        <f ca="1">IF(INDIRECT(CONCATENATE("'",'Inconsistency Data'!$I$4,"'!N145"))="","",INDIRECT(CONCATENATE("'",'Inconsistency Data'!$I$4,"'!N145")))</f>
        <v/>
      </c>
      <c r="J145" s="126" t="str">
        <f ca="1">IF(INDIRECT(CONCATENATE("'",'Inconsistency Data'!$I$4,"'!O145"))="","",INDIRECT(CONCATENATE("'",'Inconsistency Data'!$I$4,"'!O145")))</f>
        <v/>
      </c>
      <c r="K145" s="127" t="str">
        <f ca="1">IF(INDIRECT(CONCATENATE("'",'Inconsistency Data'!$I$4,"'!Q145"))="","",INDIRECT(CONCATENATE("'",'Inconsistency Data'!$I$4,"'!Q145")))</f>
        <v/>
      </c>
      <c r="L145" s="128" t="str">
        <f>IF(D145="","",IF((INDEX('RE Inconsistency Results'!$H$1:$H$500,MATCH(SUBSTITUTE(D145,"OR","d"),'RE Inconsistency Results'!$B$1:$B$500,0),1))-(INDEX('RE Inconsistency Results'!$F$1:$F$500,MATCH(SUBSTITUTE(D145,"OR","d"),'RE Inconsistency Results'!$B$1:$B$500,0),1))&gt;50,"N/A",EXP(INDEX('RE Inconsistency Results'!$G$1:$G$500,MATCH(SUBSTITUTE(D145,"OR","d"),'RE Inconsistency Results'!$B$1:$B$500,0),1))))</f>
        <v/>
      </c>
    </row>
    <row r="146" spans="4:12" x14ac:dyDescent="0.25">
      <c r="D146" s="125" t="str">
        <f>IF('Fixed Effects'!N146="","",'Fixed Effects'!N146)</f>
        <v/>
      </c>
      <c r="E146" s="126" t="str">
        <f>IF('Fixed Effects'!O146="","",'Fixed Effects'!O146)</f>
        <v/>
      </c>
      <c r="F146" s="127" t="str">
        <f>IF('Fixed Effects'!Q146="","",'Fixed Effects'!Q146)</f>
        <v/>
      </c>
      <c r="G146" s="128" t="str">
        <f>IF(D146="","",IF((INDEX('FE Inconsistency Results'!$H$1:$H$500,MATCH(SUBSTITUTE(D146,"OR","d"),'FE Inconsistency Results'!$B$1:$B$500,0),1))-(INDEX('FE Inconsistency Results'!$F$1:$F$500,MATCH(SUBSTITUTE(D146,"OR","d"),'FE Inconsistency Results'!$B$1:$B$500,0),1))&gt;50,"N/A",EXP(INDEX('FE Inconsistency Results'!$G$1:$G$500,MATCH(SUBSTITUTE(D146,"OR","d"),'FE Inconsistency Results'!$B$1:$B$500,0),1))))</f>
        <v/>
      </c>
      <c r="I146" s="138" t="str">
        <f ca="1">IF(INDIRECT(CONCATENATE("'",'Inconsistency Data'!$I$4,"'!N146"))="","",INDIRECT(CONCATENATE("'",'Inconsistency Data'!$I$4,"'!N146")))</f>
        <v/>
      </c>
      <c r="J146" s="126" t="str">
        <f ca="1">IF(INDIRECT(CONCATENATE("'",'Inconsistency Data'!$I$4,"'!O146"))="","",INDIRECT(CONCATENATE("'",'Inconsistency Data'!$I$4,"'!O146")))</f>
        <v/>
      </c>
      <c r="K146" s="127" t="str">
        <f ca="1">IF(INDIRECT(CONCATENATE("'",'Inconsistency Data'!$I$4,"'!Q146"))="","",INDIRECT(CONCATENATE("'",'Inconsistency Data'!$I$4,"'!Q146")))</f>
        <v/>
      </c>
      <c r="L146" s="128" t="str">
        <f>IF(D146="","",IF((INDEX('RE Inconsistency Results'!$H$1:$H$500,MATCH(SUBSTITUTE(D146,"OR","d"),'RE Inconsistency Results'!$B$1:$B$500,0),1))-(INDEX('RE Inconsistency Results'!$F$1:$F$500,MATCH(SUBSTITUTE(D146,"OR","d"),'RE Inconsistency Results'!$B$1:$B$500,0),1))&gt;50,"N/A",EXP(INDEX('RE Inconsistency Results'!$G$1:$G$500,MATCH(SUBSTITUTE(D146,"OR","d"),'RE Inconsistency Results'!$B$1:$B$500,0),1))))</f>
        <v/>
      </c>
    </row>
    <row r="147" spans="4:12" x14ac:dyDescent="0.25">
      <c r="D147" s="125" t="str">
        <f>IF('Fixed Effects'!N147="","",'Fixed Effects'!N147)</f>
        <v/>
      </c>
      <c r="E147" s="126" t="str">
        <f>IF('Fixed Effects'!O147="","",'Fixed Effects'!O147)</f>
        <v/>
      </c>
      <c r="F147" s="127" t="str">
        <f>IF('Fixed Effects'!Q147="","",'Fixed Effects'!Q147)</f>
        <v/>
      </c>
      <c r="G147" s="128" t="str">
        <f>IF(D147="","",IF((INDEX('FE Inconsistency Results'!$H$1:$H$500,MATCH(SUBSTITUTE(D147,"OR","d"),'FE Inconsistency Results'!$B$1:$B$500,0),1))-(INDEX('FE Inconsistency Results'!$F$1:$F$500,MATCH(SUBSTITUTE(D147,"OR","d"),'FE Inconsistency Results'!$B$1:$B$500,0),1))&gt;50,"N/A",EXP(INDEX('FE Inconsistency Results'!$G$1:$G$500,MATCH(SUBSTITUTE(D147,"OR","d"),'FE Inconsistency Results'!$B$1:$B$500,0),1))))</f>
        <v/>
      </c>
      <c r="I147" s="138" t="str">
        <f ca="1">IF(INDIRECT(CONCATENATE("'",'Inconsistency Data'!$I$4,"'!N147"))="","",INDIRECT(CONCATENATE("'",'Inconsistency Data'!$I$4,"'!N147")))</f>
        <v/>
      </c>
      <c r="J147" s="126" t="str">
        <f ca="1">IF(INDIRECT(CONCATENATE("'",'Inconsistency Data'!$I$4,"'!O147"))="","",INDIRECT(CONCATENATE("'",'Inconsistency Data'!$I$4,"'!O147")))</f>
        <v/>
      </c>
      <c r="K147" s="127" t="str">
        <f ca="1">IF(INDIRECT(CONCATENATE("'",'Inconsistency Data'!$I$4,"'!Q147"))="","",INDIRECT(CONCATENATE("'",'Inconsistency Data'!$I$4,"'!Q147")))</f>
        <v/>
      </c>
      <c r="L147" s="128" t="str">
        <f>IF(D147="","",IF((INDEX('RE Inconsistency Results'!$H$1:$H$500,MATCH(SUBSTITUTE(D147,"OR","d"),'RE Inconsistency Results'!$B$1:$B$500,0),1))-(INDEX('RE Inconsistency Results'!$F$1:$F$500,MATCH(SUBSTITUTE(D147,"OR","d"),'RE Inconsistency Results'!$B$1:$B$500,0),1))&gt;50,"N/A",EXP(INDEX('RE Inconsistency Results'!$G$1:$G$500,MATCH(SUBSTITUTE(D147,"OR","d"),'RE Inconsistency Results'!$B$1:$B$500,0),1))))</f>
        <v/>
      </c>
    </row>
    <row r="148" spans="4:12" x14ac:dyDescent="0.25">
      <c r="D148" s="125" t="str">
        <f>IF('Fixed Effects'!N148="","",'Fixed Effects'!N148)</f>
        <v/>
      </c>
      <c r="E148" s="126" t="str">
        <f>IF('Fixed Effects'!O148="","",'Fixed Effects'!O148)</f>
        <v/>
      </c>
      <c r="F148" s="127" t="str">
        <f>IF('Fixed Effects'!Q148="","",'Fixed Effects'!Q148)</f>
        <v/>
      </c>
      <c r="G148" s="128" t="str">
        <f>IF(D148="","",IF((INDEX('FE Inconsistency Results'!$H$1:$H$500,MATCH(SUBSTITUTE(D148,"OR","d"),'FE Inconsistency Results'!$B$1:$B$500,0),1))-(INDEX('FE Inconsistency Results'!$F$1:$F$500,MATCH(SUBSTITUTE(D148,"OR","d"),'FE Inconsistency Results'!$B$1:$B$500,0),1))&gt;50,"N/A",EXP(INDEX('FE Inconsistency Results'!$G$1:$G$500,MATCH(SUBSTITUTE(D148,"OR","d"),'FE Inconsistency Results'!$B$1:$B$500,0),1))))</f>
        <v/>
      </c>
      <c r="I148" s="138" t="str">
        <f ca="1">IF(INDIRECT(CONCATENATE("'",'Inconsistency Data'!$I$4,"'!N148"))="","",INDIRECT(CONCATENATE("'",'Inconsistency Data'!$I$4,"'!N148")))</f>
        <v/>
      </c>
      <c r="J148" s="126" t="str">
        <f ca="1">IF(INDIRECT(CONCATENATE("'",'Inconsistency Data'!$I$4,"'!O148"))="","",INDIRECT(CONCATENATE("'",'Inconsistency Data'!$I$4,"'!O148")))</f>
        <v/>
      </c>
      <c r="K148" s="127" t="str">
        <f ca="1">IF(INDIRECT(CONCATENATE("'",'Inconsistency Data'!$I$4,"'!Q148"))="","",INDIRECT(CONCATENATE("'",'Inconsistency Data'!$I$4,"'!Q148")))</f>
        <v/>
      </c>
      <c r="L148" s="128" t="str">
        <f>IF(D148="","",IF((INDEX('RE Inconsistency Results'!$H$1:$H$500,MATCH(SUBSTITUTE(D148,"OR","d"),'RE Inconsistency Results'!$B$1:$B$500,0),1))-(INDEX('RE Inconsistency Results'!$F$1:$F$500,MATCH(SUBSTITUTE(D148,"OR","d"),'RE Inconsistency Results'!$B$1:$B$500,0),1))&gt;50,"N/A",EXP(INDEX('RE Inconsistency Results'!$G$1:$G$500,MATCH(SUBSTITUTE(D148,"OR","d"),'RE Inconsistency Results'!$B$1:$B$500,0),1))))</f>
        <v/>
      </c>
    </row>
    <row r="149" spans="4:12" x14ac:dyDescent="0.25">
      <c r="D149" s="125" t="str">
        <f>IF('Fixed Effects'!N149="","",'Fixed Effects'!N149)</f>
        <v/>
      </c>
      <c r="E149" s="126" t="str">
        <f>IF('Fixed Effects'!O149="","",'Fixed Effects'!O149)</f>
        <v/>
      </c>
      <c r="F149" s="127" t="str">
        <f>IF('Fixed Effects'!Q149="","",'Fixed Effects'!Q149)</f>
        <v/>
      </c>
      <c r="G149" s="128" t="str">
        <f>IF(D149="","",IF((INDEX('FE Inconsistency Results'!$H$1:$H$500,MATCH(SUBSTITUTE(D149,"OR","d"),'FE Inconsistency Results'!$B$1:$B$500,0),1))-(INDEX('FE Inconsistency Results'!$F$1:$F$500,MATCH(SUBSTITUTE(D149,"OR","d"),'FE Inconsistency Results'!$B$1:$B$500,0),1))&gt;50,"N/A",EXP(INDEX('FE Inconsistency Results'!$G$1:$G$500,MATCH(SUBSTITUTE(D149,"OR","d"),'FE Inconsistency Results'!$B$1:$B$500,0),1))))</f>
        <v/>
      </c>
      <c r="I149" s="138" t="str">
        <f ca="1">IF(INDIRECT(CONCATENATE("'",'Inconsistency Data'!$I$4,"'!N149"))="","",INDIRECT(CONCATENATE("'",'Inconsistency Data'!$I$4,"'!N149")))</f>
        <v/>
      </c>
      <c r="J149" s="126" t="str">
        <f ca="1">IF(INDIRECT(CONCATENATE("'",'Inconsistency Data'!$I$4,"'!O149"))="","",INDIRECT(CONCATENATE("'",'Inconsistency Data'!$I$4,"'!O149")))</f>
        <v/>
      </c>
      <c r="K149" s="127" t="str">
        <f ca="1">IF(INDIRECT(CONCATENATE("'",'Inconsistency Data'!$I$4,"'!Q149"))="","",INDIRECT(CONCATENATE("'",'Inconsistency Data'!$I$4,"'!Q149")))</f>
        <v/>
      </c>
      <c r="L149" s="128" t="str">
        <f>IF(D149="","",IF((INDEX('RE Inconsistency Results'!$H$1:$H$500,MATCH(SUBSTITUTE(D149,"OR","d"),'RE Inconsistency Results'!$B$1:$B$500,0),1))-(INDEX('RE Inconsistency Results'!$F$1:$F$500,MATCH(SUBSTITUTE(D149,"OR","d"),'RE Inconsistency Results'!$B$1:$B$500,0),1))&gt;50,"N/A",EXP(INDEX('RE Inconsistency Results'!$G$1:$G$500,MATCH(SUBSTITUTE(D149,"OR","d"),'RE Inconsistency Results'!$B$1:$B$500,0),1))))</f>
        <v/>
      </c>
    </row>
    <row r="150" spans="4:12" ht="15.75" thickBot="1" x14ac:dyDescent="0.3">
      <c r="D150" s="129" t="str">
        <f>IF('Fixed Effects'!N150="","",'Fixed Effects'!N150)</f>
        <v/>
      </c>
      <c r="E150" s="130" t="str">
        <f>IF('Fixed Effects'!O150="","",'Fixed Effects'!O150)</f>
        <v/>
      </c>
      <c r="F150" s="131" t="str">
        <f>IF('Fixed Effects'!Q150="","",'Fixed Effects'!Q150)</f>
        <v/>
      </c>
      <c r="G150" s="132" t="str">
        <f>IF(D150="","",IF((INDEX('FE Inconsistency Results'!$H$1:$H$500,MATCH(SUBSTITUTE(D150,"OR","d"),'FE Inconsistency Results'!$B$1:$B$500,0),1))-(INDEX('FE Inconsistency Results'!$F$1:$F$500,MATCH(SUBSTITUTE(D150,"OR","d"),'FE Inconsistency Results'!$B$1:$B$500,0),1))&gt;50,"N/A",EXP(INDEX('FE Inconsistency Results'!$G$1:$G$500,MATCH(SUBSTITUTE(D150,"OR","d"),'FE Inconsistency Results'!$B$1:$B$500,0),1))))</f>
        <v/>
      </c>
      <c r="I150" s="139" t="str">
        <f ca="1">IF(INDIRECT(CONCATENATE("'",'Inconsistency Data'!$I$4,"'!N150"))="","",INDIRECT(CONCATENATE("'",'Inconsistency Data'!$I$4,"'!N150")))</f>
        <v/>
      </c>
      <c r="J150" s="130" t="str">
        <f ca="1">IF(INDIRECT(CONCATENATE("'",'Inconsistency Data'!$I$4,"'!O150"))="","",INDIRECT(CONCATENATE("'",'Inconsistency Data'!$I$4,"'!O150")))</f>
        <v/>
      </c>
      <c r="K150" s="131" t="str">
        <f ca="1">IF(INDIRECT(CONCATENATE("'",'Inconsistency Data'!$I$4,"'!Q150"))="","",INDIRECT(CONCATENATE("'",'Inconsistency Data'!$I$4,"'!Q150")))</f>
        <v/>
      </c>
      <c r="L150" s="132" t="str">
        <f>IF(D150="","",IF((INDEX('RE Inconsistency Results'!$H$1:$H$500,MATCH(SUBSTITUTE(D150,"OR","d"),'RE Inconsistency Results'!$B$1:$B$500,0),1))-(INDEX('RE Inconsistency Results'!$F$1:$F$500,MATCH(SUBSTITUTE(D150,"OR","d"),'RE Inconsistency Results'!$B$1:$B$500,0),1))&gt;50,"N/A",EXP(INDEX('RE Inconsistency Results'!$G$1:$G$500,MATCH(SUBSTITUTE(D150,"OR","d"),'RE Inconsistency Results'!$B$1:$B$500,0),1))))</f>
        <v/>
      </c>
    </row>
  </sheetData>
  <mergeCells count="2">
    <mergeCell ref="E3:G3"/>
    <mergeCell ref="J3:L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7" r:id="rId3" name="List Box 3">
              <controlPr defaultSize="0" autoLine="0" autoPict="0">
                <anchor moveWithCells="1">
                  <from>
                    <xdr:col>10</xdr:col>
                    <xdr:colOff>723900</xdr:colOff>
                    <xdr:row>1</xdr:row>
                    <xdr:rowOff>1600200</xdr:rowOff>
                  </from>
                  <to>
                    <xdr:col>16</xdr:col>
                    <xdr:colOff>333375</xdr:colOff>
                    <xdr:row>1</xdr:row>
                    <xdr:rowOff>2009775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C00000"/>
  </sheetPr>
  <dimension ref="C1:H348"/>
  <sheetViews>
    <sheetView showGridLines="0" topLeftCell="A79" workbookViewId="0">
      <selection activeCell="B34" sqref="B34:D43"/>
    </sheetView>
  </sheetViews>
  <sheetFormatPr defaultRowHeight="15" x14ac:dyDescent="0.25"/>
  <sheetData>
    <row r="1" hidden="1" x14ac:dyDescent="0.25"/>
    <row r="2" hidden="1" x14ac:dyDescent="0.25"/>
    <row r="3" hidden="1" x14ac:dyDescent="0.25"/>
    <row r="4" hidden="1" x14ac:dyDescent="0.25"/>
    <row r="5" hidden="1" x14ac:dyDescent="0.25"/>
    <row r="6" hidden="1" x14ac:dyDescent="0.25"/>
    <row r="7" hidden="1" x14ac:dyDescent="0.25"/>
    <row r="8" hidden="1" x14ac:dyDescent="0.25"/>
    <row r="9" hidden="1" x14ac:dyDescent="0.25"/>
    <row r="10" hidden="1" x14ac:dyDescent="0.25"/>
    <row r="11" hidden="1" x14ac:dyDescent="0.25"/>
    <row r="12" hidden="1" x14ac:dyDescent="0.25"/>
    <row r="13" hidden="1" x14ac:dyDescent="0.25"/>
    <row r="14" hidden="1" x14ac:dyDescent="0.25"/>
    <row r="15" hidden="1" x14ac:dyDescent="0.25"/>
    <row r="16" hidden="1" x14ac:dyDescent="0.25"/>
    <row r="17" spans="6:8" hidden="1" x14ac:dyDescent="0.25"/>
    <row r="18" spans="6:8" hidden="1" x14ac:dyDescent="0.25"/>
    <row r="19" spans="6:8" hidden="1" x14ac:dyDescent="0.25"/>
    <row r="20" spans="6:8" hidden="1" x14ac:dyDescent="0.25"/>
    <row r="21" spans="6:8" hidden="1" x14ac:dyDescent="0.25"/>
    <row r="22" spans="6:8" hidden="1" x14ac:dyDescent="0.25"/>
    <row r="23" spans="6:8" hidden="1" x14ac:dyDescent="0.25"/>
    <row r="24" spans="6:8" hidden="1" x14ac:dyDescent="0.25"/>
    <row r="25" spans="6:8" hidden="1" x14ac:dyDescent="0.25"/>
    <row r="26" spans="6:8" hidden="1" x14ac:dyDescent="0.25"/>
    <row r="27" spans="6:8" hidden="1" x14ac:dyDescent="0.25"/>
    <row r="28" spans="6:8" hidden="1" x14ac:dyDescent="0.25"/>
    <row r="29" spans="6:8" hidden="1" x14ac:dyDescent="0.25"/>
    <row r="32" spans="6:8" x14ac:dyDescent="0.25">
      <c r="F32" s="12"/>
      <c r="H32" s="12"/>
    </row>
    <row r="33" spans="5:5" x14ac:dyDescent="0.25">
      <c r="E33" s="13"/>
    </row>
    <row r="40" spans="5:5" x14ac:dyDescent="0.25">
      <c r="E40" s="13"/>
    </row>
    <row r="41" spans="5:5" x14ac:dyDescent="0.25">
      <c r="E41" s="13"/>
    </row>
    <row r="49" spans="5:5" x14ac:dyDescent="0.25">
      <c r="E49" s="13"/>
    </row>
    <row r="53" spans="5:5" x14ac:dyDescent="0.25">
      <c r="E53" s="13"/>
    </row>
    <row r="55" spans="5:5" x14ac:dyDescent="0.25">
      <c r="E55" s="13"/>
    </row>
    <row r="56" spans="5:5" x14ac:dyDescent="0.25">
      <c r="E56" s="13"/>
    </row>
    <row r="59" spans="5:5" x14ac:dyDescent="0.25">
      <c r="E59" s="13"/>
    </row>
    <row r="62" spans="5:5" x14ac:dyDescent="0.25">
      <c r="E62" s="13"/>
    </row>
    <row r="64" spans="5:5" x14ac:dyDescent="0.25">
      <c r="E64" s="13"/>
    </row>
    <row r="67" spans="5:5" x14ac:dyDescent="0.25">
      <c r="E67" s="13"/>
    </row>
    <row r="68" spans="5:5" x14ac:dyDescent="0.25">
      <c r="E68" s="13"/>
    </row>
    <row r="69" spans="5:5" x14ac:dyDescent="0.25">
      <c r="E69" s="13"/>
    </row>
    <row r="70" spans="5:5" x14ac:dyDescent="0.25">
      <c r="E70" s="13"/>
    </row>
    <row r="71" spans="5:5" x14ac:dyDescent="0.25">
      <c r="E71" s="13"/>
    </row>
    <row r="74" spans="5:5" x14ac:dyDescent="0.25">
      <c r="E74" s="13"/>
    </row>
    <row r="76" spans="5:5" x14ac:dyDescent="0.25">
      <c r="E76" s="13"/>
    </row>
    <row r="77" spans="5:5" x14ac:dyDescent="0.25">
      <c r="E77" s="13"/>
    </row>
    <row r="78" spans="5:5" x14ac:dyDescent="0.25">
      <c r="E78" s="13"/>
    </row>
    <row r="79" spans="5:5" x14ac:dyDescent="0.25">
      <c r="E79" s="13"/>
    </row>
    <row r="80" spans="5:5" x14ac:dyDescent="0.25">
      <c r="E80" s="13"/>
    </row>
    <row r="81" spans="3:5" x14ac:dyDescent="0.25">
      <c r="E81" s="13"/>
    </row>
    <row r="82" spans="3:5" x14ac:dyDescent="0.25">
      <c r="E82" s="13"/>
    </row>
    <row r="83" spans="3:5" x14ac:dyDescent="0.25">
      <c r="E83" s="13"/>
    </row>
    <row r="84" spans="3:5" x14ac:dyDescent="0.25">
      <c r="E84" s="13"/>
    </row>
    <row r="85" spans="3:5" x14ac:dyDescent="0.25">
      <c r="E85" s="13"/>
    </row>
    <row r="86" spans="3:5" x14ac:dyDescent="0.25">
      <c r="E86" s="13"/>
    </row>
    <row r="87" spans="3:5" x14ac:dyDescent="0.25">
      <c r="C87" s="13"/>
      <c r="E87" s="13"/>
    </row>
    <row r="88" spans="3:5" x14ac:dyDescent="0.25">
      <c r="E88" s="13"/>
    </row>
    <row r="89" spans="3:5" x14ac:dyDescent="0.25">
      <c r="E89" s="13"/>
    </row>
    <row r="90" spans="3:5" x14ac:dyDescent="0.25">
      <c r="C90" s="13"/>
      <c r="E90" s="13"/>
    </row>
    <row r="91" spans="3:5" x14ac:dyDescent="0.25">
      <c r="E91" s="13"/>
    </row>
    <row r="94" spans="3:5" x14ac:dyDescent="0.25">
      <c r="C94" s="13"/>
      <c r="E94" s="13"/>
    </row>
    <row r="95" spans="3:5" x14ac:dyDescent="0.25">
      <c r="E95" s="13"/>
    </row>
    <row r="96" spans="3:5" x14ac:dyDescent="0.25">
      <c r="E96" s="13"/>
    </row>
    <row r="97" spans="5:6" x14ac:dyDescent="0.25">
      <c r="E97" s="13"/>
    </row>
    <row r="98" spans="5:6" x14ac:dyDescent="0.25">
      <c r="F98" s="13"/>
    </row>
    <row r="99" spans="5:6" x14ac:dyDescent="0.25">
      <c r="F99" s="13"/>
    </row>
    <row r="104" spans="5:6" x14ac:dyDescent="0.25">
      <c r="F104" s="13"/>
    </row>
    <row r="105" spans="5:6" x14ac:dyDescent="0.25">
      <c r="F105" s="13"/>
    </row>
    <row r="106" spans="5:6" x14ac:dyDescent="0.25">
      <c r="E106" s="13"/>
      <c r="F106" s="13"/>
    </row>
    <row r="107" spans="5:6" x14ac:dyDescent="0.25">
      <c r="F107" s="13"/>
    </row>
    <row r="108" spans="5:6" x14ac:dyDescent="0.25">
      <c r="F108" s="13"/>
    </row>
    <row r="109" spans="5:6" x14ac:dyDescent="0.25">
      <c r="F109" s="13"/>
    </row>
    <row r="110" spans="5:6" x14ac:dyDescent="0.25">
      <c r="F110" s="13"/>
    </row>
    <row r="111" spans="5:6" x14ac:dyDescent="0.25">
      <c r="F111" s="13"/>
    </row>
    <row r="116" spans="6:6" x14ac:dyDescent="0.25">
      <c r="F116" s="13"/>
    </row>
    <row r="117" spans="6:6" x14ac:dyDescent="0.25">
      <c r="F117" s="13"/>
    </row>
    <row r="123" spans="6:6" x14ac:dyDescent="0.25">
      <c r="F123" s="13"/>
    </row>
    <row r="124" spans="6:6" x14ac:dyDescent="0.25">
      <c r="F124" s="13"/>
    </row>
    <row r="125" spans="6:6" x14ac:dyDescent="0.25">
      <c r="F125" s="13"/>
    </row>
    <row r="132" spans="6:6" x14ac:dyDescent="0.25">
      <c r="F132" s="13"/>
    </row>
    <row r="133" spans="6:6" x14ac:dyDescent="0.25">
      <c r="F133" s="13"/>
    </row>
    <row r="134" spans="6:6" x14ac:dyDescent="0.25">
      <c r="F134" s="13"/>
    </row>
    <row r="135" spans="6:6" x14ac:dyDescent="0.25">
      <c r="F135" s="13"/>
    </row>
    <row r="138" spans="6:6" x14ac:dyDescent="0.25">
      <c r="F138" s="13"/>
    </row>
    <row r="140" spans="6:6" x14ac:dyDescent="0.25">
      <c r="F140" s="13"/>
    </row>
    <row r="141" spans="6:6" x14ac:dyDescent="0.25">
      <c r="F141" s="13"/>
    </row>
    <row r="142" spans="6:6" x14ac:dyDescent="0.25">
      <c r="F142" s="13"/>
    </row>
    <row r="148" spans="6:6" x14ac:dyDescent="0.25">
      <c r="F148" s="13"/>
    </row>
    <row r="149" spans="6:6" x14ac:dyDescent="0.25">
      <c r="F149" s="13"/>
    </row>
    <row r="150" spans="6:6" x14ac:dyDescent="0.25">
      <c r="F150" s="13"/>
    </row>
    <row r="151" spans="6:6" x14ac:dyDescent="0.25">
      <c r="F151" s="13"/>
    </row>
    <row r="152" spans="6:6" x14ac:dyDescent="0.25">
      <c r="F152" s="13"/>
    </row>
    <row r="153" spans="6:6" x14ac:dyDescent="0.25">
      <c r="F153" s="13"/>
    </row>
    <row r="154" spans="6:6" x14ac:dyDescent="0.25">
      <c r="F154" s="13"/>
    </row>
    <row r="155" spans="6:6" x14ac:dyDescent="0.25">
      <c r="F155" s="13"/>
    </row>
    <row r="159" spans="6:6" x14ac:dyDescent="0.25">
      <c r="F159" s="13"/>
    </row>
    <row r="162" spans="6:6" x14ac:dyDescent="0.25">
      <c r="F162" s="13"/>
    </row>
    <row r="168" spans="6:6" x14ac:dyDescent="0.25">
      <c r="F168" s="13"/>
    </row>
    <row r="170" spans="6:6" x14ac:dyDescent="0.25">
      <c r="F170" s="13"/>
    </row>
    <row r="171" spans="6:6" x14ac:dyDescent="0.25">
      <c r="F171" s="13"/>
    </row>
    <row r="172" spans="6:6" x14ac:dyDescent="0.25">
      <c r="F172" s="13"/>
    </row>
    <row r="173" spans="6:6" x14ac:dyDescent="0.25">
      <c r="F173" s="13"/>
    </row>
    <row r="176" spans="6:6" x14ac:dyDescent="0.25">
      <c r="F176" s="13"/>
    </row>
    <row r="177" spans="5:6" x14ac:dyDescent="0.25">
      <c r="F177" s="13"/>
    </row>
    <row r="178" spans="5:6" x14ac:dyDescent="0.25">
      <c r="F178" s="13"/>
    </row>
    <row r="179" spans="5:6" x14ac:dyDescent="0.25">
      <c r="F179" s="13"/>
    </row>
    <row r="180" spans="5:6" x14ac:dyDescent="0.25">
      <c r="F180" s="13"/>
    </row>
    <row r="181" spans="5:6" x14ac:dyDescent="0.25">
      <c r="F181" s="13"/>
    </row>
    <row r="182" spans="5:6" x14ac:dyDescent="0.25">
      <c r="F182" s="13"/>
    </row>
    <row r="183" spans="5:6" x14ac:dyDescent="0.25">
      <c r="F183" s="13"/>
    </row>
    <row r="184" spans="5:6" x14ac:dyDescent="0.25">
      <c r="F184" s="13"/>
    </row>
    <row r="185" spans="5:6" x14ac:dyDescent="0.25">
      <c r="F185" s="13"/>
    </row>
    <row r="192" spans="5:6" x14ac:dyDescent="0.25">
      <c r="E192" s="13"/>
    </row>
    <row r="193" spans="3:5" x14ac:dyDescent="0.25">
      <c r="C193" s="13"/>
      <c r="E193" s="13"/>
    </row>
    <row r="194" spans="3:5" x14ac:dyDescent="0.25">
      <c r="E194" s="13"/>
    </row>
    <row r="195" spans="3:5" x14ac:dyDescent="0.25">
      <c r="E195" s="13"/>
    </row>
    <row r="199" spans="3:5" x14ac:dyDescent="0.25">
      <c r="E199" s="13"/>
    </row>
    <row r="200" spans="3:5" x14ac:dyDescent="0.25">
      <c r="C200" s="13"/>
      <c r="E200" s="13"/>
    </row>
    <row r="201" spans="3:5" x14ac:dyDescent="0.25">
      <c r="E201" s="13"/>
    </row>
    <row r="202" spans="3:5" x14ac:dyDescent="0.25">
      <c r="E202" s="13"/>
    </row>
    <row r="203" spans="3:5" x14ac:dyDescent="0.25">
      <c r="E203" s="13"/>
    </row>
    <row r="204" spans="3:5" x14ac:dyDescent="0.25">
      <c r="E204" s="13"/>
    </row>
    <row r="205" spans="3:5" x14ac:dyDescent="0.25">
      <c r="E205" s="13"/>
    </row>
    <row r="206" spans="3:5" x14ac:dyDescent="0.25">
      <c r="C206" s="13"/>
      <c r="E206" s="13"/>
    </row>
    <row r="207" spans="3:5" x14ac:dyDescent="0.25">
      <c r="E207" s="13"/>
    </row>
    <row r="211" spans="3:5" x14ac:dyDescent="0.25">
      <c r="E211" s="13"/>
    </row>
    <row r="212" spans="3:5" x14ac:dyDescent="0.25">
      <c r="C212" s="13"/>
      <c r="E212" s="13"/>
    </row>
    <row r="213" spans="3:5" x14ac:dyDescent="0.25">
      <c r="E213" s="13"/>
    </row>
    <row r="217" spans="3:5" x14ac:dyDescent="0.25">
      <c r="E217" s="13"/>
    </row>
    <row r="218" spans="3:5" x14ac:dyDescent="0.25">
      <c r="E218" s="13"/>
    </row>
    <row r="219" spans="3:5" x14ac:dyDescent="0.25">
      <c r="C219" s="13"/>
      <c r="E219" s="13"/>
    </row>
    <row r="220" spans="3:5" x14ac:dyDescent="0.25">
      <c r="C220" s="13"/>
      <c r="E220" s="13"/>
    </row>
    <row r="221" spans="3:5" x14ac:dyDescent="0.25">
      <c r="E221" s="13"/>
    </row>
    <row r="222" spans="3:5" x14ac:dyDescent="0.25">
      <c r="E222" s="13"/>
    </row>
    <row r="226" spans="3:5" x14ac:dyDescent="0.25">
      <c r="E226" s="13"/>
    </row>
    <row r="227" spans="3:5" x14ac:dyDescent="0.25">
      <c r="E227" s="13"/>
    </row>
    <row r="228" spans="3:5" x14ac:dyDescent="0.25">
      <c r="E228" s="13"/>
    </row>
    <row r="229" spans="3:5" x14ac:dyDescent="0.25">
      <c r="C229" s="13"/>
      <c r="E229" s="13"/>
    </row>
    <row r="230" spans="3:5" x14ac:dyDescent="0.25">
      <c r="C230" s="13"/>
      <c r="E230" s="13"/>
    </row>
    <row r="231" spans="3:5" x14ac:dyDescent="0.25">
      <c r="E231" s="13"/>
    </row>
    <row r="236" spans="3:5" x14ac:dyDescent="0.25">
      <c r="E236" s="13"/>
    </row>
    <row r="237" spans="3:5" x14ac:dyDescent="0.25">
      <c r="E237" s="13"/>
    </row>
    <row r="238" spans="3:5" x14ac:dyDescent="0.25">
      <c r="E238" s="13"/>
    </row>
    <row r="239" spans="3:5" x14ac:dyDescent="0.25">
      <c r="E239" s="13"/>
    </row>
    <row r="240" spans="3:5" x14ac:dyDescent="0.25">
      <c r="E240" s="13"/>
    </row>
    <row r="241" spans="3:5" x14ac:dyDescent="0.25">
      <c r="E241" s="13"/>
    </row>
    <row r="244" spans="3:5" x14ac:dyDescent="0.25">
      <c r="E244" s="13"/>
    </row>
    <row r="245" spans="3:5" x14ac:dyDescent="0.25">
      <c r="E245" s="13"/>
    </row>
    <row r="246" spans="3:5" x14ac:dyDescent="0.25">
      <c r="C246" s="13"/>
      <c r="E246" s="13"/>
    </row>
    <row r="247" spans="3:5" x14ac:dyDescent="0.25">
      <c r="C247" s="13"/>
      <c r="E247" s="13"/>
    </row>
    <row r="248" spans="3:5" x14ac:dyDescent="0.25">
      <c r="C248" s="13"/>
      <c r="E248" s="13"/>
    </row>
    <row r="249" spans="3:5" x14ac:dyDescent="0.25">
      <c r="C249" s="13"/>
      <c r="E249" s="13"/>
    </row>
    <row r="250" spans="3:5" x14ac:dyDescent="0.25">
      <c r="E250" s="13"/>
    </row>
    <row r="251" spans="3:5" x14ac:dyDescent="0.25">
      <c r="E251" s="13"/>
    </row>
    <row r="252" spans="3:5" x14ac:dyDescent="0.25">
      <c r="C252" s="13"/>
      <c r="E252" s="13"/>
    </row>
    <row r="253" spans="3:5" x14ac:dyDescent="0.25">
      <c r="C253" s="13"/>
      <c r="E253" s="13"/>
    </row>
    <row r="254" spans="3:5" x14ac:dyDescent="0.25">
      <c r="E254" s="13"/>
    </row>
    <row r="255" spans="3:5" x14ac:dyDescent="0.25">
      <c r="E255" s="13"/>
    </row>
    <row r="256" spans="3:5" x14ac:dyDescent="0.25">
      <c r="E256" s="13"/>
    </row>
    <row r="257" spans="3:5" x14ac:dyDescent="0.25">
      <c r="E257" s="13"/>
    </row>
    <row r="258" spans="3:5" x14ac:dyDescent="0.25">
      <c r="E258" s="13"/>
    </row>
    <row r="261" spans="3:5" x14ac:dyDescent="0.25">
      <c r="E261" s="13"/>
    </row>
    <row r="262" spans="3:5" x14ac:dyDescent="0.25">
      <c r="E262" s="13"/>
    </row>
    <row r="263" spans="3:5" x14ac:dyDescent="0.25">
      <c r="E263" s="13"/>
    </row>
    <row r="264" spans="3:5" x14ac:dyDescent="0.25">
      <c r="E264" s="13"/>
    </row>
    <row r="265" spans="3:5" x14ac:dyDescent="0.25">
      <c r="E265" s="13"/>
    </row>
    <row r="267" spans="3:5" x14ac:dyDescent="0.25">
      <c r="E267" s="13"/>
    </row>
    <row r="271" spans="3:5" x14ac:dyDescent="0.25">
      <c r="C271" s="13"/>
      <c r="E271" s="13"/>
    </row>
    <row r="272" spans="3:5" x14ac:dyDescent="0.25">
      <c r="E272" s="13"/>
    </row>
    <row r="273" spans="3:5" x14ac:dyDescent="0.25">
      <c r="C273" s="13"/>
      <c r="E273" s="13"/>
    </row>
    <row r="274" spans="3:5" x14ac:dyDescent="0.25">
      <c r="E274" s="13"/>
    </row>
    <row r="275" spans="3:5" x14ac:dyDescent="0.25">
      <c r="E275" s="13"/>
    </row>
    <row r="279" spans="3:5" x14ac:dyDescent="0.25">
      <c r="E279" s="13"/>
    </row>
    <row r="280" spans="3:5" x14ac:dyDescent="0.25">
      <c r="E280" s="13"/>
    </row>
    <row r="281" spans="3:5" x14ac:dyDescent="0.25">
      <c r="E281" s="13"/>
    </row>
    <row r="282" spans="3:5" x14ac:dyDescent="0.25">
      <c r="E282" s="13"/>
    </row>
    <row r="283" spans="3:5" x14ac:dyDescent="0.25">
      <c r="E283" s="13"/>
    </row>
    <row r="284" spans="3:5" x14ac:dyDescent="0.25">
      <c r="E284" s="13"/>
    </row>
    <row r="285" spans="3:5" x14ac:dyDescent="0.25">
      <c r="E285" s="13"/>
    </row>
    <row r="286" spans="3:5" x14ac:dyDescent="0.25">
      <c r="E286" s="13"/>
    </row>
    <row r="287" spans="3:5" x14ac:dyDescent="0.25">
      <c r="E287" s="13"/>
    </row>
    <row r="288" spans="3:5" x14ac:dyDescent="0.25">
      <c r="E288" s="13"/>
    </row>
    <row r="289" spans="3:5" x14ac:dyDescent="0.25">
      <c r="C289" s="13"/>
      <c r="E289" s="13"/>
    </row>
    <row r="290" spans="3:5" x14ac:dyDescent="0.25">
      <c r="E290" s="13"/>
    </row>
    <row r="291" spans="3:5" x14ac:dyDescent="0.25">
      <c r="E291" s="13"/>
    </row>
    <row r="348" spans="5:5" x14ac:dyDescent="0.25">
      <c r="E348" s="13"/>
    </row>
  </sheetData>
  <dataConsolidate/>
  <pageMargins left="0.7" right="0.7" top="0.75" bottom="0.75" header="0.3" footer="0.3"/>
  <customProperties>
    <customPr name="SSCSheetTrackingNo" r:id="rId1"/>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C00000"/>
  </sheetPr>
  <dimension ref="A1:J263"/>
  <sheetViews>
    <sheetView showGridLines="0" topLeftCell="A31" workbookViewId="0">
      <selection activeCell="N43" sqref="N43"/>
    </sheetView>
  </sheetViews>
  <sheetFormatPr defaultRowHeight="15" x14ac:dyDescent="0.25"/>
  <sheetData>
    <row r="1" spans="1:1" hidden="1" x14ac:dyDescent="0.25">
      <c r="A1" t="s">
        <v>384</v>
      </c>
    </row>
    <row r="2" spans="1:1" hidden="1" x14ac:dyDescent="0.25">
      <c r="A2" t="s">
        <v>727</v>
      </c>
    </row>
    <row r="3" spans="1:1" hidden="1" x14ac:dyDescent="0.25">
      <c r="A3" t="s">
        <v>388</v>
      </c>
    </row>
    <row r="4" spans="1:1" hidden="1" x14ac:dyDescent="0.25">
      <c r="A4" t="s">
        <v>389</v>
      </c>
    </row>
    <row r="5" spans="1:1" hidden="1" x14ac:dyDescent="0.25">
      <c r="A5" t="s">
        <v>390</v>
      </c>
    </row>
    <row r="6" spans="1:1" hidden="1" x14ac:dyDescent="0.25">
      <c r="A6" t="s">
        <v>391</v>
      </c>
    </row>
    <row r="7" spans="1:1" hidden="1" x14ac:dyDescent="0.25">
      <c r="A7" t="s">
        <v>390</v>
      </c>
    </row>
    <row r="8" spans="1:1" hidden="1" x14ac:dyDescent="0.25">
      <c r="A8" t="s">
        <v>21</v>
      </c>
    </row>
    <row r="9" spans="1:1" hidden="1" x14ac:dyDescent="0.25">
      <c r="A9" t="s">
        <v>392</v>
      </c>
    </row>
    <row r="10" spans="1:1" hidden="1" x14ac:dyDescent="0.25">
      <c r="A10" t="s">
        <v>728</v>
      </c>
    </row>
    <row r="11" spans="1:1" hidden="1" x14ac:dyDescent="0.25">
      <c r="A11" t="s">
        <v>677</v>
      </c>
    </row>
    <row r="12" spans="1:1" hidden="1" x14ac:dyDescent="0.25">
      <c r="A12" t="s">
        <v>729</v>
      </c>
    </row>
    <row r="13" spans="1:1" hidden="1" x14ac:dyDescent="0.25">
      <c r="A13" t="s">
        <v>677</v>
      </c>
    </row>
    <row r="14" spans="1:1" hidden="1" x14ac:dyDescent="0.25">
      <c r="A14" t="s">
        <v>730</v>
      </c>
    </row>
    <row r="15" spans="1:1" hidden="1" x14ac:dyDescent="0.25">
      <c r="A15" t="s">
        <v>677</v>
      </c>
    </row>
    <row r="16" spans="1:1" hidden="1" x14ac:dyDescent="0.25">
      <c r="A16" t="s">
        <v>23</v>
      </c>
    </row>
    <row r="17" spans="1:1" hidden="1" x14ac:dyDescent="0.25">
      <c r="A17" t="s">
        <v>680</v>
      </c>
    </row>
    <row r="18" spans="1:1" hidden="1" x14ac:dyDescent="0.25">
      <c r="A18" t="s">
        <v>731</v>
      </c>
    </row>
    <row r="19" spans="1:1" hidden="1" x14ac:dyDescent="0.25">
      <c r="A19" t="s">
        <v>393</v>
      </c>
    </row>
    <row r="20" spans="1:1" hidden="1" x14ac:dyDescent="0.25">
      <c r="A20" t="s">
        <v>394</v>
      </c>
    </row>
    <row r="21" spans="1:1" hidden="1" x14ac:dyDescent="0.25">
      <c r="A21" t="s">
        <v>395</v>
      </c>
    </row>
    <row r="22" spans="1:1" hidden="1" x14ac:dyDescent="0.25">
      <c r="A22" t="s">
        <v>396</v>
      </c>
    </row>
    <row r="23" spans="1:1" hidden="1" x14ac:dyDescent="0.25">
      <c r="A23" t="s">
        <v>397</v>
      </c>
    </row>
    <row r="24" spans="1:1" hidden="1" x14ac:dyDescent="0.25">
      <c r="A24" t="s">
        <v>398</v>
      </c>
    </row>
    <row r="25" spans="1:1" hidden="1" x14ac:dyDescent="0.25">
      <c r="A25" t="s">
        <v>399</v>
      </c>
    </row>
    <row r="26" spans="1:1" hidden="1" x14ac:dyDescent="0.25">
      <c r="A26" t="s">
        <v>197</v>
      </c>
    </row>
    <row r="27" spans="1:1" hidden="1" x14ac:dyDescent="0.25">
      <c r="A27" t="s">
        <v>199</v>
      </c>
    </row>
    <row r="28" spans="1:1" hidden="1" x14ac:dyDescent="0.25">
      <c r="A28" t="s">
        <v>261</v>
      </c>
    </row>
    <row r="29" spans="1:1" hidden="1" x14ac:dyDescent="0.25">
      <c r="A29" t="s">
        <v>731</v>
      </c>
    </row>
    <row r="30" spans="1:1" hidden="1" x14ac:dyDescent="0.25">
      <c r="A30" t="s">
        <v>387</v>
      </c>
    </row>
    <row r="32" spans="1:1" x14ac:dyDescent="0.25">
      <c r="A32" t="s">
        <v>400</v>
      </c>
    </row>
    <row r="33" spans="2:10" x14ac:dyDescent="0.25">
      <c r="B33" t="s">
        <v>401</v>
      </c>
      <c r="C33" t="s">
        <v>402</v>
      </c>
      <c r="D33" t="s">
        <v>403</v>
      </c>
      <c r="E33" t="s">
        <v>404</v>
      </c>
      <c r="F33" s="12">
        <v>2.5000000000000001E-2</v>
      </c>
      <c r="G33" t="s">
        <v>405</v>
      </c>
      <c r="H33" s="12">
        <v>0.97499999999999998</v>
      </c>
      <c r="I33" t="s">
        <v>406</v>
      </c>
      <c r="J33" t="s">
        <v>407</v>
      </c>
    </row>
    <row r="34" spans="2:10" x14ac:dyDescent="0.25">
      <c r="B34" t="s">
        <v>408</v>
      </c>
      <c r="C34">
        <v>1.115</v>
      </c>
      <c r="D34">
        <v>0.19839999999999999</v>
      </c>
      <c r="E34">
        <v>5.4739999999999997E-3</v>
      </c>
      <c r="F34">
        <v>0.77939999999999998</v>
      </c>
      <c r="G34">
        <v>1.0960000000000001</v>
      </c>
      <c r="H34">
        <v>1.5489999999999999</v>
      </c>
      <c r="I34">
        <v>10001</v>
      </c>
      <c r="J34">
        <v>30000</v>
      </c>
    </row>
    <row r="35" spans="2:10" x14ac:dyDescent="0.25">
      <c r="B35" t="s">
        <v>409</v>
      </c>
      <c r="C35">
        <v>0.70320000000000005</v>
      </c>
      <c r="D35">
        <v>0.187</v>
      </c>
      <c r="E35">
        <v>5.0049999999999999E-3</v>
      </c>
      <c r="F35">
        <v>0.40100000000000002</v>
      </c>
      <c r="G35">
        <v>0.68210000000000004</v>
      </c>
      <c r="H35">
        <v>1.135</v>
      </c>
      <c r="I35">
        <v>10001</v>
      </c>
      <c r="J35">
        <v>30000</v>
      </c>
    </row>
    <row r="36" spans="2:10" x14ac:dyDescent="0.25">
      <c r="B36" t="s">
        <v>410</v>
      </c>
      <c r="C36">
        <v>0.69169999999999998</v>
      </c>
      <c r="D36">
        <v>0.33189999999999997</v>
      </c>
      <c r="E36">
        <v>9.6600000000000002E-3</v>
      </c>
      <c r="F36">
        <v>0.25359999999999999</v>
      </c>
      <c r="G36">
        <v>0.62890000000000001</v>
      </c>
      <c r="H36">
        <v>1.5269999999999999</v>
      </c>
      <c r="I36">
        <v>10001</v>
      </c>
      <c r="J36">
        <v>30000</v>
      </c>
    </row>
    <row r="37" spans="2:10" x14ac:dyDescent="0.25">
      <c r="B37" t="s">
        <v>411</v>
      </c>
      <c r="C37">
        <v>2.8719999999999999</v>
      </c>
      <c r="D37">
        <v>2.048</v>
      </c>
      <c r="E37">
        <v>5.2560000000000003E-2</v>
      </c>
      <c r="F37">
        <v>0.72929999999999995</v>
      </c>
      <c r="G37">
        <v>2.3679999999999999</v>
      </c>
      <c r="H37">
        <v>8.016</v>
      </c>
      <c r="I37">
        <v>10001</v>
      </c>
      <c r="J37">
        <v>30000</v>
      </c>
    </row>
    <row r="38" spans="2:10" x14ac:dyDescent="0.25">
      <c r="B38" t="s">
        <v>412</v>
      </c>
      <c r="C38">
        <v>1.4630000000000001</v>
      </c>
      <c r="D38">
        <v>0.90439999999999998</v>
      </c>
      <c r="E38">
        <v>2.2710000000000001E-2</v>
      </c>
      <c r="F38">
        <v>0.40429999999999999</v>
      </c>
      <c r="G38">
        <v>1.2470000000000001</v>
      </c>
      <c r="H38">
        <v>3.7639999999999998</v>
      </c>
      <c r="I38">
        <v>10001</v>
      </c>
      <c r="J38">
        <v>30000</v>
      </c>
    </row>
    <row r="39" spans="2:10" x14ac:dyDescent="0.25">
      <c r="B39" t="s">
        <v>413</v>
      </c>
      <c r="C39">
        <v>1.4079999999999999</v>
      </c>
      <c r="D39">
        <v>0.3947</v>
      </c>
      <c r="E39">
        <v>1.0319999999999999E-2</v>
      </c>
      <c r="F39">
        <v>0.78469999999999995</v>
      </c>
      <c r="G39">
        <v>1.3560000000000001</v>
      </c>
      <c r="H39">
        <v>2.323</v>
      </c>
      <c r="I39">
        <v>10001</v>
      </c>
      <c r="J39">
        <v>30000</v>
      </c>
    </row>
    <row r="40" spans="2:10" x14ac:dyDescent="0.25">
      <c r="B40" t="s">
        <v>414</v>
      </c>
      <c r="C40">
        <v>1.4159999999999999</v>
      </c>
      <c r="D40">
        <v>0.33729999999999999</v>
      </c>
      <c r="E40">
        <v>8.6870000000000003E-3</v>
      </c>
      <c r="F40">
        <v>0.89390000000000003</v>
      </c>
      <c r="G40">
        <v>1.367</v>
      </c>
      <c r="H40">
        <v>2.2029999999999998</v>
      </c>
      <c r="I40">
        <v>10001</v>
      </c>
      <c r="J40">
        <v>30000</v>
      </c>
    </row>
    <row r="41" spans="2:10" x14ac:dyDescent="0.25">
      <c r="B41" t="s">
        <v>415</v>
      </c>
      <c r="C41">
        <v>0.6411</v>
      </c>
      <c r="D41">
        <v>0.17169999999999999</v>
      </c>
      <c r="E41">
        <v>4.6709999999999998E-3</v>
      </c>
      <c r="F41">
        <v>0.36149999999999999</v>
      </c>
      <c r="G41">
        <v>0.62009999999999998</v>
      </c>
      <c r="H41">
        <v>1.03</v>
      </c>
      <c r="I41">
        <v>10001</v>
      </c>
      <c r="J41">
        <v>30000</v>
      </c>
    </row>
    <row r="42" spans="2:10" x14ac:dyDescent="0.25">
      <c r="B42" t="s">
        <v>416</v>
      </c>
      <c r="C42">
        <v>0.63280000000000003</v>
      </c>
      <c r="D42">
        <v>0.309</v>
      </c>
      <c r="E42">
        <v>8.5769999999999996E-3</v>
      </c>
      <c r="F42">
        <v>0.221</v>
      </c>
      <c r="G42">
        <v>0.57340000000000002</v>
      </c>
      <c r="H42">
        <v>1.3839999999999999</v>
      </c>
      <c r="I42">
        <v>10001</v>
      </c>
      <c r="J42">
        <v>30000</v>
      </c>
    </row>
    <row r="43" spans="2:10" x14ac:dyDescent="0.25">
      <c r="B43" t="s">
        <v>417</v>
      </c>
      <c r="C43">
        <v>2.5750000000000002</v>
      </c>
      <c r="D43">
        <v>1.821</v>
      </c>
      <c r="E43">
        <v>4.7539999999999999E-2</v>
      </c>
      <c r="F43">
        <v>0.71150000000000002</v>
      </c>
      <c r="G43">
        <v>2.1419999999999999</v>
      </c>
      <c r="H43">
        <v>6.8550000000000004</v>
      </c>
      <c r="I43">
        <v>10001</v>
      </c>
      <c r="J43">
        <v>30000</v>
      </c>
    </row>
    <row r="44" spans="2:10" x14ac:dyDescent="0.25">
      <c r="B44" t="s">
        <v>418</v>
      </c>
      <c r="C44">
        <v>1.3120000000000001</v>
      </c>
      <c r="D44">
        <v>0.78029999999999999</v>
      </c>
      <c r="E44">
        <v>1.9050000000000001E-2</v>
      </c>
      <c r="F44">
        <v>0.39290000000000003</v>
      </c>
      <c r="G44">
        <v>1.1319999999999999</v>
      </c>
      <c r="H44">
        <v>3.262</v>
      </c>
      <c r="I44">
        <v>10001</v>
      </c>
      <c r="J44">
        <v>30000</v>
      </c>
    </row>
    <row r="45" spans="2:10" x14ac:dyDescent="0.25">
      <c r="B45" t="s">
        <v>419</v>
      </c>
      <c r="C45">
        <v>1.3029999999999999</v>
      </c>
      <c r="D45">
        <v>0.44159999999999999</v>
      </c>
      <c r="E45">
        <v>1.1480000000000001E-2</v>
      </c>
      <c r="F45">
        <v>0.64729999999999999</v>
      </c>
      <c r="G45">
        <v>1.2270000000000001</v>
      </c>
      <c r="H45">
        <v>2.351</v>
      </c>
      <c r="I45">
        <v>10001</v>
      </c>
      <c r="J45">
        <v>30000</v>
      </c>
    </row>
    <row r="46" spans="2:10" x14ac:dyDescent="0.25">
      <c r="B46" t="s">
        <v>420</v>
      </c>
      <c r="C46">
        <v>1.298</v>
      </c>
      <c r="D46">
        <v>0.34029999999999999</v>
      </c>
      <c r="E46">
        <v>8.652E-3</v>
      </c>
      <c r="F46">
        <v>0.75639999999999996</v>
      </c>
      <c r="G46">
        <v>1.2509999999999999</v>
      </c>
      <c r="H46">
        <v>2.0920000000000001</v>
      </c>
      <c r="I46">
        <v>10001</v>
      </c>
      <c r="J46">
        <v>30000</v>
      </c>
    </row>
    <row r="47" spans="2:10" x14ac:dyDescent="0.25">
      <c r="B47" t="s">
        <v>421</v>
      </c>
      <c r="C47">
        <v>1.0109999999999999</v>
      </c>
      <c r="D47">
        <v>0.4637</v>
      </c>
      <c r="E47">
        <v>1.388E-2</v>
      </c>
      <c r="F47">
        <v>0.37740000000000001</v>
      </c>
      <c r="G47">
        <v>0.9194</v>
      </c>
      <c r="H47">
        <v>2.149</v>
      </c>
      <c r="I47">
        <v>10001</v>
      </c>
      <c r="J47">
        <v>30000</v>
      </c>
    </row>
    <row r="48" spans="2:10" x14ac:dyDescent="0.25">
      <c r="B48" t="s">
        <v>422</v>
      </c>
      <c r="C48">
        <v>4.3079999999999998</v>
      </c>
      <c r="D48">
        <v>3.2789999999999999</v>
      </c>
      <c r="E48">
        <v>8.609E-2</v>
      </c>
      <c r="F48">
        <v>0.99950000000000006</v>
      </c>
      <c r="G48">
        <v>3.4860000000000002</v>
      </c>
      <c r="H48">
        <v>12.43</v>
      </c>
      <c r="I48">
        <v>10001</v>
      </c>
      <c r="J48">
        <v>30000</v>
      </c>
    </row>
    <row r="49" spans="2:10" x14ac:dyDescent="0.25">
      <c r="B49" t="s">
        <v>423</v>
      </c>
      <c r="C49">
        <v>2.1970000000000001</v>
      </c>
      <c r="D49">
        <v>1.46</v>
      </c>
      <c r="E49">
        <v>3.7350000000000001E-2</v>
      </c>
      <c r="F49">
        <v>0.54569999999999996</v>
      </c>
      <c r="G49">
        <v>1.8220000000000001</v>
      </c>
      <c r="H49">
        <v>5.9119999999999999</v>
      </c>
      <c r="I49">
        <v>10001</v>
      </c>
      <c r="J49">
        <v>30000</v>
      </c>
    </row>
    <row r="50" spans="2:10" x14ac:dyDescent="0.25">
      <c r="B50" t="s">
        <v>424</v>
      </c>
      <c r="C50">
        <v>2.145</v>
      </c>
      <c r="D50">
        <v>0.85589999999999999</v>
      </c>
      <c r="E50">
        <v>2.3550000000000001E-2</v>
      </c>
      <c r="F50">
        <v>0.98199999999999998</v>
      </c>
      <c r="G50">
        <v>1.9850000000000001</v>
      </c>
      <c r="H50">
        <v>4.157</v>
      </c>
      <c r="I50">
        <v>10001</v>
      </c>
      <c r="J50">
        <v>30000</v>
      </c>
    </row>
    <row r="51" spans="2:10" x14ac:dyDescent="0.25">
      <c r="B51" t="s">
        <v>425</v>
      </c>
      <c r="C51">
        <v>2.1139999999999999</v>
      </c>
      <c r="D51">
        <v>0.62660000000000005</v>
      </c>
      <c r="E51">
        <v>1.6799999999999999E-2</v>
      </c>
      <c r="F51">
        <v>1.1870000000000001</v>
      </c>
      <c r="G51">
        <v>2.0110000000000001</v>
      </c>
      <c r="H51">
        <v>3.56</v>
      </c>
      <c r="I51">
        <v>10001</v>
      </c>
      <c r="J51">
        <v>30000</v>
      </c>
    </row>
    <row r="52" spans="2:10" x14ac:dyDescent="0.25">
      <c r="B52" t="s">
        <v>426</v>
      </c>
      <c r="C52">
        <v>4.99</v>
      </c>
      <c r="D52">
        <v>4.4400000000000004</v>
      </c>
      <c r="E52">
        <v>0.1042</v>
      </c>
      <c r="F52">
        <v>0.90480000000000005</v>
      </c>
      <c r="G52">
        <v>3.7349999999999999</v>
      </c>
      <c r="H52">
        <v>15.61</v>
      </c>
      <c r="I52">
        <v>10001</v>
      </c>
      <c r="J52">
        <v>30000</v>
      </c>
    </row>
    <row r="53" spans="2:10" x14ac:dyDescent="0.25">
      <c r="B53" t="s">
        <v>427</v>
      </c>
      <c r="C53">
        <v>2.548</v>
      </c>
      <c r="D53">
        <v>2.036</v>
      </c>
      <c r="E53">
        <v>4.7669999999999997E-2</v>
      </c>
      <c r="F53">
        <v>0.47420000000000001</v>
      </c>
      <c r="G53">
        <v>2.0049999999999999</v>
      </c>
      <c r="H53">
        <v>7.6790000000000003</v>
      </c>
      <c r="I53">
        <v>10001</v>
      </c>
      <c r="J53">
        <v>30000</v>
      </c>
    </row>
    <row r="54" spans="2:10" x14ac:dyDescent="0.25">
      <c r="B54" t="s">
        <v>428</v>
      </c>
      <c r="C54">
        <v>2.5030000000000001</v>
      </c>
      <c r="D54">
        <v>1.444</v>
      </c>
      <c r="E54">
        <v>4.0890000000000003E-2</v>
      </c>
      <c r="F54">
        <v>0.7903</v>
      </c>
      <c r="G54">
        <v>2.161</v>
      </c>
      <c r="H54">
        <v>6.0129999999999999</v>
      </c>
      <c r="I54">
        <v>10001</v>
      </c>
      <c r="J54">
        <v>30000</v>
      </c>
    </row>
    <row r="55" spans="2:10" x14ac:dyDescent="0.25">
      <c r="B55" t="s">
        <v>429</v>
      </c>
      <c r="C55">
        <v>2.4910000000000001</v>
      </c>
      <c r="D55">
        <v>1.3169999999999999</v>
      </c>
      <c r="E55">
        <v>3.7629999999999997E-2</v>
      </c>
      <c r="F55">
        <v>0.89429999999999998</v>
      </c>
      <c r="G55">
        <v>2.1669999999999998</v>
      </c>
      <c r="H55">
        <v>5.76</v>
      </c>
      <c r="I55">
        <v>10001</v>
      </c>
      <c r="J55">
        <v>30000</v>
      </c>
    </row>
    <row r="56" spans="2:10" x14ac:dyDescent="0.25">
      <c r="B56" t="s">
        <v>430</v>
      </c>
      <c r="C56">
        <v>0.72170000000000001</v>
      </c>
      <c r="D56">
        <v>0.70569999999999999</v>
      </c>
      <c r="E56">
        <v>1.559E-2</v>
      </c>
      <c r="F56">
        <v>0.109</v>
      </c>
      <c r="G56">
        <v>0.53359999999999996</v>
      </c>
      <c r="H56">
        <v>2.4140000000000001</v>
      </c>
      <c r="I56">
        <v>10001</v>
      </c>
      <c r="J56">
        <v>30000</v>
      </c>
    </row>
    <row r="57" spans="2:10" x14ac:dyDescent="0.25">
      <c r="B57" t="s">
        <v>431</v>
      </c>
      <c r="C57">
        <v>0.71419999999999995</v>
      </c>
      <c r="D57">
        <v>0.55030000000000001</v>
      </c>
      <c r="E57">
        <v>1.2030000000000001E-2</v>
      </c>
      <c r="F57">
        <v>0.15809999999999999</v>
      </c>
      <c r="G57">
        <v>0.5706</v>
      </c>
      <c r="H57">
        <v>2.1070000000000002</v>
      </c>
      <c r="I57">
        <v>10001</v>
      </c>
      <c r="J57">
        <v>30000</v>
      </c>
    </row>
    <row r="58" spans="2:10" x14ac:dyDescent="0.25">
      <c r="B58" t="s">
        <v>432</v>
      </c>
      <c r="C58">
        <v>0.71399999999999997</v>
      </c>
      <c r="D58">
        <v>0.51829999999999998</v>
      </c>
      <c r="E58">
        <v>1.154E-2</v>
      </c>
      <c r="F58">
        <v>0.1663</v>
      </c>
      <c r="G58">
        <v>0.58250000000000002</v>
      </c>
      <c r="H58">
        <v>2.024</v>
      </c>
      <c r="I58">
        <v>10001</v>
      </c>
      <c r="J58">
        <v>30000</v>
      </c>
    </row>
    <row r="59" spans="2:10" x14ac:dyDescent="0.25">
      <c r="B59" t="s">
        <v>433</v>
      </c>
      <c r="C59">
        <v>1.341</v>
      </c>
      <c r="D59">
        <v>0.98440000000000005</v>
      </c>
      <c r="E59">
        <v>2.3E-2</v>
      </c>
      <c r="F59">
        <v>0.31009999999999999</v>
      </c>
      <c r="G59">
        <v>1.095</v>
      </c>
      <c r="H59">
        <v>3.9279999999999999</v>
      </c>
      <c r="I59">
        <v>10001</v>
      </c>
      <c r="J59">
        <v>30000</v>
      </c>
    </row>
    <row r="60" spans="2:10" x14ac:dyDescent="0.25">
      <c r="B60" t="s">
        <v>434</v>
      </c>
      <c r="C60">
        <v>1.3260000000000001</v>
      </c>
      <c r="D60">
        <v>0.89580000000000004</v>
      </c>
      <c r="E60">
        <v>2.0119999999999999E-2</v>
      </c>
      <c r="F60">
        <v>0.34699999999999998</v>
      </c>
      <c r="G60">
        <v>1.107</v>
      </c>
      <c r="H60">
        <v>3.6339999999999999</v>
      </c>
      <c r="I60">
        <v>10001</v>
      </c>
      <c r="J60">
        <v>30000</v>
      </c>
    </row>
    <row r="61" spans="2:10" x14ac:dyDescent="0.25">
      <c r="B61" t="s">
        <v>435</v>
      </c>
      <c r="C61">
        <v>1.079</v>
      </c>
      <c r="D61">
        <v>0.38929999999999998</v>
      </c>
      <c r="E61">
        <v>1.0319999999999999E-2</v>
      </c>
      <c r="F61">
        <v>0.52</v>
      </c>
      <c r="G61">
        <v>1.016</v>
      </c>
      <c r="H61">
        <v>1.998</v>
      </c>
      <c r="I61">
        <v>10001</v>
      </c>
      <c r="J61">
        <v>30000</v>
      </c>
    </row>
    <row r="62" spans="2:10" x14ac:dyDescent="0.25">
      <c r="B62" t="s">
        <v>436</v>
      </c>
      <c r="C62">
        <v>0.61260000000000003</v>
      </c>
      <c r="D62">
        <v>0.15909999999999999</v>
      </c>
      <c r="E62">
        <v>4.3889999999999997E-3</v>
      </c>
      <c r="F62">
        <v>0.28570000000000001</v>
      </c>
      <c r="G62">
        <v>0.57140000000000002</v>
      </c>
      <c r="H62">
        <v>0.85709999999999997</v>
      </c>
      <c r="I62">
        <v>10001</v>
      </c>
      <c r="J62">
        <v>30000</v>
      </c>
    </row>
    <row r="63" spans="2:10" x14ac:dyDescent="0.25">
      <c r="B63" t="s">
        <v>437</v>
      </c>
      <c r="C63">
        <v>0.50119999999999998</v>
      </c>
      <c r="D63">
        <v>0.16389999999999999</v>
      </c>
      <c r="E63">
        <v>3.8210000000000002E-3</v>
      </c>
      <c r="F63">
        <v>0.1429</v>
      </c>
      <c r="G63">
        <v>0.57140000000000002</v>
      </c>
      <c r="H63">
        <v>0.85709999999999997</v>
      </c>
      <c r="I63">
        <v>10001</v>
      </c>
      <c r="J63">
        <v>30000</v>
      </c>
    </row>
    <row r="64" spans="2:10" x14ac:dyDescent="0.25">
      <c r="B64" t="s">
        <v>438</v>
      </c>
      <c r="C64">
        <v>0.87319999999999998</v>
      </c>
      <c r="D64">
        <v>0.12559999999999999</v>
      </c>
      <c r="E64">
        <v>3.1319999999999998E-3</v>
      </c>
      <c r="F64">
        <v>0.57140000000000002</v>
      </c>
      <c r="G64">
        <v>0.85709999999999997</v>
      </c>
      <c r="H64">
        <v>1</v>
      </c>
      <c r="I64">
        <v>10001</v>
      </c>
      <c r="J64">
        <v>30000</v>
      </c>
    </row>
    <row r="65" spans="2:10" x14ac:dyDescent="0.25">
      <c r="B65" t="s">
        <v>439</v>
      </c>
      <c r="C65">
        <v>0.85880000000000001</v>
      </c>
      <c r="D65">
        <v>0.20760000000000001</v>
      </c>
      <c r="E65">
        <v>5.4169999999999999E-3</v>
      </c>
      <c r="F65">
        <v>0.28570000000000001</v>
      </c>
      <c r="G65">
        <v>1</v>
      </c>
      <c r="H65">
        <v>1</v>
      </c>
      <c r="I65">
        <v>10001</v>
      </c>
      <c r="J65">
        <v>30000</v>
      </c>
    </row>
    <row r="66" spans="2:10" x14ac:dyDescent="0.25">
      <c r="B66" t="s">
        <v>440</v>
      </c>
      <c r="C66">
        <v>0.1205</v>
      </c>
      <c r="D66">
        <v>0.221</v>
      </c>
      <c r="E66">
        <v>4.8269999999999997E-3</v>
      </c>
      <c r="F66">
        <v>0</v>
      </c>
      <c r="G66">
        <v>0</v>
      </c>
      <c r="H66">
        <v>0.85709999999999997</v>
      </c>
      <c r="I66">
        <v>10001</v>
      </c>
      <c r="J66">
        <v>30000</v>
      </c>
    </row>
    <row r="67" spans="2:10" x14ac:dyDescent="0.25">
      <c r="B67" t="s">
        <v>441</v>
      </c>
      <c r="C67">
        <v>0.42620000000000002</v>
      </c>
      <c r="D67">
        <v>0.3301</v>
      </c>
      <c r="E67">
        <v>8.7349999999999997E-3</v>
      </c>
      <c r="F67">
        <v>0</v>
      </c>
      <c r="G67">
        <v>0.42859999999999998</v>
      </c>
      <c r="H67">
        <v>1</v>
      </c>
      <c r="I67">
        <v>10001</v>
      </c>
      <c r="J67">
        <v>30000</v>
      </c>
    </row>
    <row r="68" spans="2:10" x14ac:dyDescent="0.25">
      <c r="B68" t="s">
        <v>442</v>
      </c>
      <c r="C68">
        <v>0.32090000000000002</v>
      </c>
      <c r="D68">
        <v>0.22109999999999999</v>
      </c>
      <c r="E68">
        <v>5.9080000000000001E-3</v>
      </c>
      <c r="F68">
        <v>0</v>
      </c>
      <c r="G68">
        <v>0.28570000000000001</v>
      </c>
      <c r="H68">
        <v>0.85709999999999997</v>
      </c>
      <c r="I68">
        <v>10001</v>
      </c>
      <c r="J68">
        <v>30000</v>
      </c>
    </row>
    <row r="69" spans="2:10" x14ac:dyDescent="0.25">
      <c r="B69" t="s">
        <v>443</v>
      </c>
      <c r="C69">
        <v>0.28670000000000001</v>
      </c>
      <c r="D69">
        <v>0.17780000000000001</v>
      </c>
      <c r="E69">
        <v>4.365E-3</v>
      </c>
      <c r="F69">
        <v>0</v>
      </c>
      <c r="G69">
        <v>0.28570000000000001</v>
      </c>
      <c r="H69">
        <v>0.71430000000000005</v>
      </c>
      <c r="I69">
        <v>10001</v>
      </c>
      <c r="J69">
        <v>30000</v>
      </c>
    </row>
    <row r="70" spans="2:10" x14ac:dyDescent="0.25">
      <c r="B70" t="s">
        <v>444</v>
      </c>
      <c r="C70">
        <v>1.387E-2</v>
      </c>
      <c r="D70">
        <v>0.1169</v>
      </c>
      <c r="E70">
        <v>1.6180000000000001E-3</v>
      </c>
      <c r="F70">
        <v>0</v>
      </c>
      <c r="G70">
        <v>0</v>
      </c>
      <c r="H70">
        <v>0</v>
      </c>
      <c r="I70">
        <v>10001</v>
      </c>
      <c r="J70">
        <v>30000</v>
      </c>
    </row>
    <row r="71" spans="2:10" x14ac:dyDescent="0.25">
      <c r="B71" t="s">
        <v>445</v>
      </c>
      <c r="C71">
        <v>3.5999999999999999E-3</v>
      </c>
      <c r="D71">
        <v>5.9889999999999999E-2</v>
      </c>
      <c r="E71" s="13">
        <v>4.7980000000000001E-4</v>
      </c>
      <c r="F71">
        <v>0</v>
      </c>
      <c r="G71">
        <v>0</v>
      </c>
      <c r="H71">
        <v>0</v>
      </c>
      <c r="I71">
        <v>10001</v>
      </c>
      <c r="J71">
        <v>30000</v>
      </c>
    </row>
    <row r="72" spans="2:10" x14ac:dyDescent="0.25">
      <c r="B72" t="s">
        <v>446</v>
      </c>
      <c r="C72">
        <v>0.34970000000000001</v>
      </c>
      <c r="D72">
        <v>0.47689999999999999</v>
      </c>
      <c r="E72">
        <v>1.3440000000000001E-2</v>
      </c>
      <c r="F72">
        <v>0</v>
      </c>
      <c r="G72">
        <v>0</v>
      </c>
      <c r="H72">
        <v>1</v>
      </c>
      <c r="I72">
        <v>10001</v>
      </c>
      <c r="J72">
        <v>30000</v>
      </c>
    </row>
    <row r="73" spans="2:10" x14ac:dyDescent="0.25">
      <c r="B73" t="s">
        <v>447</v>
      </c>
      <c r="C73">
        <v>0.5222</v>
      </c>
      <c r="D73">
        <v>0.4995</v>
      </c>
      <c r="E73">
        <v>1.421E-2</v>
      </c>
      <c r="F73">
        <v>0</v>
      </c>
      <c r="G73">
        <v>1</v>
      </c>
      <c r="H73">
        <v>1</v>
      </c>
      <c r="I73">
        <v>10001</v>
      </c>
      <c r="J73">
        <v>30000</v>
      </c>
    </row>
    <row r="74" spans="2:10" x14ac:dyDescent="0.25">
      <c r="B74" t="s">
        <v>448</v>
      </c>
      <c r="C74">
        <v>1.223E-2</v>
      </c>
      <c r="D74">
        <v>0.1099</v>
      </c>
      <c r="E74">
        <v>1.361E-3</v>
      </c>
      <c r="F74">
        <v>0</v>
      </c>
      <c r="G74">
        <v>0</v>
      </c>
      <c r="H74">
        <v>0</v>
      </c>
      <c r="I74">
        <v>10001</v>
      </c>
      <c r="J74">
        <v>30000</v>
      </c>
    </row>
    <row r="75" spans="2:10" x14ac:dyDescent="0.25">
      <c r="B75" t="s">
        <v>449</v>
      </c>
      <c r="C75">
        <v>9.2730000000000007E-2</v>
      </c>
      <c r="D75">
        <v>0.29010000000000002</v>
      </c>
      <c r="E75">
        <v>5.4390000000000003E-3</v>
      </c>
      <c r="F75">
        <v>0</v>
      </c>
      <c r="G75">
        <v>0</v>
      </c>
      <c r="H75">
        <v>1</v>
      </c>
      <c r="I75">
        <v>10001</v>
      </c>
      <c r="J75">
        <v>30000</v>
      </c>
    </row>
    <row r="76" spans="2:10" x14ac:dyDescent="0.25">
      <c r="B76" t="s">
        <v>450</v>
      </c>
      <c r="C76">
        <v>5.1330000000000004E-3</v>
      </c>
      <c r="D76">
        <v>7.1459999999999996E-2</v>
      </c>
      <c r="E76" s="13">
        <v>6.8900000000000005E-4</v>
      </c>
      <c r="F76">
        <v>0</v>
      </c>
      <c r="G76">
        <v>0</v>
      </c>
      <c r="H76">
        <v>0</v>
      </c>
      <c r="I76">
        <v>10001</v>
      </c>
      <c r="J76">
        <v>30000</v>
      </c>
    </row>
    <row r="77" spans="2:10" x14ac:dyDescent="0.25">
      <c r="B77" t="s">
        <v>451</v>
      </c>
      <c r="C77" s="13">
        <v>5.6669999999999995E-4</v>
      </c>
      <c r="D77">
        <v>2.3800000000000002E-2</v>
      </c>
      <c r="E77" s="13">
        <v>1.7090000000000001E-4</v>
      </c>
      <c r="F77">
        <v>0</v>
      </c>
      <c r="G77">
        <v>0</v>
      </c>
      <c r="H77">
        <v>0</v>
      </c>
      <c r="I77">
        <v>10001</v>
      </c>
      <c r="J77">
        <v>30000</v>
      </c>
    </row>
    <row r="78" spans="2:10" x14ac:dyDescent="0.25">
      <c r="B78" t="s">
        <v>452</v>
      </c>
      <c r="C78">
        <v>1.6419999999999999</v>
      </c>
      <c r="D78">
        <v>1.8740000000000001</v>
      </c>
      <c r="E78">
        <v>2.282E-2</v>
      </c>
      <c r="F78">
        <v>2.8519999999999999E-3</v>
      </c>
      <c r="G78">
        <v>1.0009999999999999</v>
      </c>
      <c r="H78">
        <v>6.7359999999999998</v>
      </c>
      <c r="I78">
        <v>10001</v>
      </c>
      <c r="J78">
        <v>30000</v>
      </c>
    </row>
    <row r="79" spans="2:10" x14ac:dyDescent="0.25">
      <c r="B79" t="s">
        <v>453</v>
      </c>
      <c r="C79">
        <v>1.859</v>
      </c>
      <c r="D79">
        <v>2.036</v>
      </c>
      <c r="E79">
        <v>2.758E-2</v>
      </c>
      <c r="F79">
        <v>3.7390000000000001E-3</v>
      </c>
      <c r="G79">
        <v>1.1970000000000001</v>
      </c>
      <c r="H79">
        <v>7.3609999999999998</v>
      </c>
      <c r="I79">
        <v>10001</v>
      </c>
      <c r="J79">
        <v>30000</v>
      </c>
    </row>
    <row r="80" spans="2:10" x14ac:dyDescent="0.25">
      <c r="B80" t="s">
        <v>454</v>
      </c>
      <c r="C80">
        <v>0.79869999999999997</v>
      </c>
      <c r="D80">
        <v>1.147</v>
      </c>
      <c r="E80">
        <v>1.107E-2</v>
      </c>
      <c r="F80" s="13">
        <v>8.0060000000000005E-4</v>
      </c>
      <c r="G80">
        <v>0.36</v>
      </c>
      <c r="H80">
        <v>4.0279999999999996</v>
      </c>
      <c r="I80">
        <v>10001</v>
      </c>
      <c r="J80">
        <v>30000</v>
      </c>
    </row>
    <row r="81" spans="2:10" x14ac:dyDescent="0.25">
      <c r="B81" t="s">
        <v>455</v>
      </c>
      <c r="C81">
        <v>0.85199999999999998</v>
      </c>
      <c r="D81">
        <v>1.1439999999999999</v>
      </c>
      <c r="E81">
        <v>1.528E-2</v>
      </c>
      <c r="F81" s="13">
        <v>8.3620000000000005E-4</v>
      </c>
      <c r="G81">
        <v>0.40989999999999999</v>
      </c>
      <c r="H81">
        <v>4.0529999999999999</v>
      </c>
      <c r="I81">
        <v>10001</v>
      </c>
      <c r="J81">
        <v>30000</v>
      </c>
    </row>
    <row r="82" spans="2:10" x14ac:dyDescent="0.25">
      <c r="B82" t="s">
        <v>456</v>
      </c>
      <c r="C82">
        <v>0.79959999999999998</v>
      </c>
      <c r="D82">
        <v>1.101</v>
      </c>
      <c r="E82">
        <v>1.089E-2</v>
      </c>
      <c r="F82" s="13">
        <v>8.6350000000000001E-4</v>
      </c>
      <c r="G82">
        <v>0.37480000000000002</v>
      </c>
      <c r="H82">
        <v>3.91</v>
      </c>
      <c r="I82">
        <v>10001</v>
      </c>
      <c r="J82">
        <v>30000</v>
      </c>
    </row>
    <row r="83" spans="2:10" x14ac:dyDescent="0.25">
      <c r="B83" t="s">
        <v>457</v>
      </c>
      <c r="C83">
        <v>0.69910000000000005</v>
      </c>
      <c r="D83">
        <v>0.99070000000000003</v>
      </c>
      <c r="E83">
        <v>8.7600000000000004E-3</v>
      </c>
      <c r="F83" s="13">
        <v>6.7139999999999995E-4</v>
      </c>
      <c r="G83">
        <v>0.316</v>
      </c>
      <c r="H83">
        <v>3.4430000000000001</v>
      </c>
      <c r="I83">
        <v>10001</v>
      </c>
      <c r="J83">
        <v>30000</v>
      </c>
    </row>
    <row r="84" spans="2:10" x14ac:dyDescent="0.25">
      <c r="B84" t="s">
        <v>458</v>
      </c>
      <c r="C84">
        <v>0.71160000000000001</v>
      </c>
      <c r="D84">
        <v>1.0009999999999999</v>
      </c>
      <c r="E84">
        <v>9.3179999999999999E-3</v>
      </c>
      <c r="F84" s="13">
        <v>6.5300000000000004E-4</v>
      </c>
      <c r="G84">
        <v>0.32729999999999998</v>
      </c>
      <c r="H84">
        <v>3.5419999999999998</v>
      </c>
      <c r="I84">
        <v>10001</v>
      </c>
      <c r="J84">
        <v>30000</v>
      </c>
    </row>
    <row r="85" spans="2:10" x14ac:dyDescent="0.25">
      <c r="B85" t="s">
        <v>459</v>
      </c>
      <c r="C85">
        <v>0.72309999999999997</v>
      </c>
      <c r="D85">
        <v>1.0049999999999999</v>
      </c>
      <c r="E85">
        <v>7.1799999999999998E-3</v>
      </c>
      <c r="F85" s="13">
        <v>6.9289999999999998E-4</v>
      </c>
      <c r="G85">
        <v>0.33779999999999999</v>
      </c>
      <c r="H85">
        <v>3.59</v>
      </c>
      <c r="I85">
        <v>10001</v>
      </c>
      <c r="J85">
        <v>30000</v>
      </c>
    </row>
    <row r="86" spans="2:10" x14ac:dyDescent="0.25">
      <c r="B86" t="s">
        <v>460</v>
      </c>
      <c r="C86">
        <v>0.75600000000000001</v>
      </c>
      <c r="D86">
        <v>1.077</v>
      </c>
      <c r="E86">
        <v>9.2750000000000003E-3</v>
      </c>
      <c r="F86" s="13">
        <v>6.7040000000000003E-4</v>
      </c>
      <c r="G86">
        <v>0.34720000000000001</v>
      </c>
      <c r="H86">
        <v>3.8010000000000002</v>
      </c>
      <c r="I86">
        <v>10001</v>
      </c>
      <c r="J86">
        <v>30000</v>
      </c>
    </row>
    <row r="87" spans="2:10" x14ac:dyDescent="0.25">
      <c r="B87" t="s">
        <v>461</v>
      </c>
      <c r="C87">
        <v>0.77100000000000002</v>
      </c>
      <c r="D87">
        <v>1.0740000000000001</v>
      </c>
      <c r="E87">
        <v>1.11E-2</v>
      </c>
      <c r="F87" s="13">
        <v>7.2849999999999998E-4</v>
      </c>
      <c r="G87">
        <v>0.35239999999999999</v>
      </c>
      <c r="H87">
        <v>3.8319999999999999</v>
      </c>
      <c r="I87">
        <v>10001</v>
      </c>
      <c r="J87">
        <v>30000</v>
      </c>
    </row>
    <row r="88" spans="2:10" x14ac:dyDescent="0.25">
      <c r="B88" t="s">
        <v>462</v>
      </c>
      <c r="C88">
        <v>0.68089999999999995</v>
      </c>
      <c r="D88">
        <v>0.72399999999999998</v>
      </c>
      <c r="E88">
        <v>5.8599999999999998E-3</v>
      </c>
      <c r="F88">
        <v>1.5879999999999998E-2</v>
      </c>
      <c r="G88">
        <v>0.45069999999999999</v>
      </c>
      <c r="H88">
        <v>2.66</v>
      </c>
      <c r="I88">
        <v>10001</v>
      </c>
      <c r="J88">
        <v>30000</v>
      </c>
    </row>
    <row r="89" spans="2:10" x14ac:dyDescent="0.25">
      <c r="B89" t="s">
        <v>463</v>
      </c>
      <c r="C89">
        <v>1.3120000000000001</v>
      </c>
      <c r="D89">
        <v>1.7490000000000001</v>
      </c>
      <c r="E89">
        <v>1.018E-2</v>
      </c>
      <c r="F89">
        <v>1.289E-3</v>
      </c>
      <c r="G89">
        <v>0.6381</v>
      </c>
      <c r="H89">
        <v>6.2720000000000002</v>
      </c>
      <c r="I89">
        <v>10001</v>
      </c>
      <c r="J89">
        <v>30000</v>
      </c>
    </row>
    <row r="90" spans="2:10" x14ac:dyDescent="0.25">
      <c r="B90" t="s">
        <v>464</v>
      </c>
      <c r="C90">
        <v>0.66159999999999997</v>
      </c>
      <c r="D90">
        <v>0.94</v>
      </c>
      <c r="E90">
        <v>5.6160000000000003E-3</v>
      </c>
      <c r="F90" s="13">
        <v>6.6220000000000005E-4</v>
      </c>
      <c r="G90">
        <v>0.30249999999999999</v>
      </c>
      <c r="H90">
        <v>3.3180000000000001</v>
      </c>
      <c r="I90">
        <v>10001</v>
      </c>
      <c r="J90">
        <v>30000</v>
      </c>
    </row>
    <row r="91" spans="2:10" x14ac:dyDescent="0.25">
      <c r="B91" t="s">
        <v>465</v>
      </c>
      <c r="C91">
        <v>0.49869999999999998</v>
      </c>
      <c r="D91">
        <v>0.69699999999999995</v>
      </c>
      <c r="E91">
        <v>4.7019999999999996E-3</v>
      </c>
      <c r="F91" s="13">
        <v>4.8979999999999998E-4</v>
      </c>
      <c r="G91">
        <v>0.2288</v>
      </c>
      <c r="H91">
        <v>2.4860000000000002</v>
      </c>
      <c r="I91">
        <v>10001</v>
      </c>
      <c r="J91">
        <v>30000</v>
      </c>
    </row>
    <row r="92" spans="2:10" x14ac:dyDescent="0.25">
      <c r="B92" t="s">
        <v>466</v>
      </c>
      <c r="C92">
        <v>0.61950000000000005</v>
      </c>
      <c r="D92">
        <v>0.87280000000000002</v>
      </c>
      <c r="E92">
        <v>5.679E-3</v>
      </c>
      <c r="F92" s="13">
        <v>6.0930000000000001E-4</v>
      </c>
      <c r="G92">
        <v>0.28499999999999998</v>
      </c>
      <c r="H92">
        <v>3.101</v>
      </c>
      <c r="I92">
        <v>10001</v>
      </c>
      <c r="J92">
        <v>30000</v>
      </c>
    </row>
    <row r="93" spans="2:10" x14ac:dyDescent="0.25">
      <c r="B93" t="s">
        <v>467</v>
      </c>
      <c r="C93">
        <v>0.59950000000000003</v>
      </c>
      <c r="D93">
        <v>0.84760000000000002</v>
      </c>
      <c r="E93">
        <v>5.5630000000000002E-3</v>
      </c>
      <c r="F93" s="13">
        <v>6.0959999999999996E-4</v>
      </c>
      <c r="G93">
        <v>0.27229999999999999</v>
      </c>
      <c r="H93">
        <v>3.0129999999999999</v>
      </c>
      <c r="I93">
        <v>10001</v>
      </c>
      <c r="J93">
        <v>30000</v>
      </c>
    </row>
    <row r="94" spans="2:10" x14ac:dyDescent="0.25">
      <c r="B94" t="s">
        <v>468</v>
      </c>
      <c r="C94">
        <v>1.63</v>
      </c>
      <c r="D94">
        <v>1.819</v>
      </c>
      <c r="E94">
        <v>1.9529999999999999E-2</v>
      </c>
      <c r="F94">
        <v>2.9650000000000002E-3</v>
      </c>
      <c r="G94">
        <v>1.028</v>
      </c>
      <c r="H94">
        <v>6.5309999999999997</v>
      </c>
      <c r="I94">
        <v>10001</v>
      </c>
      <c r="J94">
        <v>30000</v>
      </c>
    </row>
    <row r="95" spans="2:10" x14ac:dyDescent="0.25">
      <c r="B95" t="s">
        <v>469</v>
      </c>
      <c r="C95">
        <v>1.663</v>
      </c>
      <c r="D95">
        <v>1.794</v>
      </c>
      <c r="E95">
        <v>1.9519999999999999E-2</v>
      </c>
      <c r="F95">
        <v>3.5209999999999998E-3</v>
      </c>
      <c r="G95">
        <v>1.083</v>
      </c>
      <c r="H95">
        <v>6.4470000000000001</v>
      </c>
      <c r="I95">
        <v>10001</v>
      </c>
      <c r="J95">
        <v>30000</v>
      </c>
    </row>
    <row r="96" spans="2:10" x14ac:dyDescent="0.25">
      <c r="B96" t="s">
        <v>470</v>
      </c>
      <c r="C96">
        <v>1.0429999999999999</v>
      </c>
      <c r="D96">
        <v>1.528</v>
      </c>
      <c r="E96">
        <v>2.462E-2</v>
      </c>
      <c r="F96">
        <v>1.193E-3</v>
      </c>
      <c r="G96">
        <v>0.47299999999999998</v>
      </c>
      <c r="H96">
        <v>5.2080000000000002</v>
      </c>
      <c r="I96">
        <v>10001</v>
      </c>
      <c r="J96">
        <v>30000</v>
      </c>
    </row>
    <row r="97" spans="2:10" x14ac:dyDescent="0.25">
      <c r="B97" t="s">
        <v>471</v>
      </c>
      <c r="C97">
        <v>1.032</v>
      </c>
      <c r="D97">
        <v>1.4450000000000001</v>
      </c>
      <c r="E97">
        <v>1.431E-2</v>
      </c>
      <c r="F97">
        <v>1.0989999999999999E-3</v>
      </c>
      <c r="G97">
        <v>0.47539999999999999</v>
      </c>
      <c r="H97">
        <v>5.1909999999999998</v>
      </c>
      <c r="I97">
        <v>10001</v>
      </c>
      <c r="J97">
        <v>30000</v>
      </c>
    </row>
    <row r="98" spans="2:10" x14ac:dyDescent="0.25">
      <c r="B98" t="s">
        <v>472</v>
      </c>
      <c r="C98">
        <v>1.1160000000000001</v>
      </c>
      <c r="D98">
        <v>1.4670000000000001</v>
      </c>
      <c r="E98">
        <v>1.8239999999999999E-2</v>
      </c>
      <c r="F98">
        <v>1.224E-3</v>
      </c>
      <c r="G98">
        <v>0.55110000000000003</v>
      </c>
      <c r="H98">
        <v>5.2350000000000003</v>
      </c>
      <c r="I98">
        <v>10001</v>
      </c>
      <c r="J98">
        <v>30000</v>
      </c>
    </row>
    <row r="99" spans="2:10" x14ac:dyDescent="0.25">
      <c r="B99" t="s">
        <v>473</v>
      </c>
      <c r="C99">
        <v>1.165</v>
      </c>
      <c r="D99">
        <v>1.54</v>
      </c>
      <c r="E99">
        <v>1.771E-2</v>
      </c>
      <c r="F99">
        <v>1.193E-3</v>
      </c>
      <c r="G99">
        <v>0.56920000000000004</v>
      </c>
      <c r="H99">
        <v>5.5110000000000001</v>
      </c>
      <c r="I99">
        <v>10001</v>
      </c>
      <c r="J99">
        <v>30000</v>
      </c>
    </row>
    <row r="100" spans="2:10" x14ac:dyDescent="0.25">
      <c r="B100" t="s">
        <v>474</v>
      </c>
      <c r="C100">
        <v>0.63300000000000001</v>
      </c>
      <c r="D100">
        <v>0.89529999999999998</v>
      </c>
      <c r="E100">
        <v>7.1500000000000001E-3</v>
      </c>
      <c r="F100" s="13">
        <v>7.6389999999999997E-4</v>
      </c>
      <c r="G100">
        <v>0.29210000000000003</v>
      </c>
      <c r="H100">
        <v>3.1360000000000001</v>
      </c>
      <c r="I100">
        <v>10001</v>
      </c>
      <c r="J100">
        <v>30000</v>
      </c>
    </row>
    <row r="101" spans="2:10" x14ac:dyDescent="0.25">
      <c r="B101" t="s">
        <v>475</v>
      </c>
      <c r="C101">
        <v>0.71099999999999997</v>
      </c>
      <c r="D101">
        <v>1.01</v>
      </c>
      <c r="E101">
        <v>6.881E-3</v>
      </c>
      <c r="F101" s="13">
        <v>7.1540000000000004E-4</v>
      </c>
      <c r="G101">
        <v>0.31900000000000001</v>
      </c>
      <c r="H101">
        <v>3.61</v>
      </c>
      <c r="I101">
        <v>10001</v>
      </c>
      <c r="J101">
        <v>30000</v>
      </c>
    </row>
    <row r="102" spans="2:10" x14ac:dyDescent="0.25">
      <c r="B102" t="s">
        <v>476</v>
      </c>
      <c r="C102">
        <v>1.0169999999999999</v>
      </c>
      <c r="D102">
        <v>1.325</v>
      </c>
      <c r="E102">
        <v>1.6920000000000001E-2</v>
      </c>
      <c r="F102">
        <v>1.258E-3</v>
      </c>
      <c r="G102">
        <v>0.50760000000000005</v>
      </c>
      <c r="H102">
        <v>4.7320000000000002</v>
      </c>
      <c r="I102">
        <v>10001</v>
      </c>
      <c r="J102">
        <v>30000</v>
      </c>
    </row>
    <row r="103" spans="2:10" x14ac:dyDescent="0.25">
      <c r="B103" t="s">
        <v>477</v>
      </c>
      <c r="C103">
        <v>1.0940000000000001</v>
      </c>
      <c r="D103">
        <v>1.464</v>
      </c>
      <c r="E103">
        <v>1.342E-2</v>
      </c>
      <c r="F103">
        <v>1.2509999999999999E-3</v>
      </c>
      <c r="G103">
        <v>0.53759999999999997</v>
      </c>
      <c r="H103">
        <v>5.2190000000000003</v>
      </c>
      <c r="I103">
        <v>10001</v>
      </c>
      <c r="J103">
        <v>30000</v>
      </c>
    </row>
    <row r="104" spans="2:10" x14ac:dyDescent="0.25">
      <c r="B104" t="s">
        <v>478</v>
      </c>
      <c r="C104">
        <v>1.024</v>
      </c>
      <c r="D104">
        <v>1.452</v>
      </c>
      <c r="E104">
        <v>2.0389999999999998E-2</v>
      </c>
      <c r="F104" s="13">
        <v>9.875000000000001E-4</v>
      </c>
      <c r="G104">
        <v>0.4708</v>
      </c>
      <c r="H104">
        <v>5.1619999999999999</v>
      </c>
      <c r="I104">
        <v>10001</v>
      </c>
      <c r="J104">
        <v>30000</v>
      </c>
    </row>
    <row r="105" spans="2:10" x14ac:dyDescent="0.25">
      <c r="B105" t="s">
        <v>479</v>
      </c>
      <c r="C105">
        <v>1.024</v>
      </c>
      <c r="D105">
        <v>1.431</v>
      </c>
      <c r="E105">
        <v>1.516E-2</v>
      </c>
      <c r="F105">
        <v>1.013E-3</v>
      </c>
      <c r="G105">
        <v>0.47439999999999999</v>
      </c>
      <c r="H105">
        <v>5.1580000000000004</v>
      </c>
      <c r="I105">
        <v>10001</v>
      </c>
      <c r="J105">
        <v>30000</v>
      </c>
    </row>
    <row r="106" spans="2:10" x14ac:dyDescent="0.25">
      <c r="B106" t="s">
        <v>480</v>
      </c>
      <c r="C106">
        <v>2.1509999999999998</v>
      </c>
      <c r="D106">
        <v>1.966</v>
      </c>
      <c r="E106">
        <v>2.0060000000000001E-2</v>
      </c>
      <c r="F106">
        <v>1.3899999999999999E-2</v>
      </c>
      <c r="G106">
        <v>1.6379999999999999</v>
      </c>
      <c r="H106">
        <v>7.2439999999999998</v>
      </c>
      <c r="I106">
        <v>10001</v>
      </c>
      <c r="J106">
        <v>30000</v>
      </c>
    </row>
    <row r="107" spans="2:10" x14ac:dyDescent="0.25">
      <c r="B107" t="s">
        <v>481</v>
      </c>
      <c r="C107">
        <v>1.905</v>
      </c>
      <c r="D107">
        <v>2.0209999999999999</v>
      </c>
      <c r="E107">
        <v>1.7139999999999999E-2</v>
      </c>
      <c r="F107">
        <v>4.4539999999999996E-3</v>
      </c>
      <c r="G107">
        <v>1.268</v>
      </c>
      <c r="H107">
        <v>7.173</v>
      </c>
      <c r="I107">
        <v>10001</v>
      </c>
      <c r="J107">
        <v>30000</v>
      </c>
    </row>
    <row r="108" spans="2:10" x14ac:dyDescent="0.25">
      <c r="B108" t="s">
        <v>482</v>
      </c>
      <c r="C108">
        <v>0.58620000000000005</v>
      </c>
      <c r="D108">
        <v>0.81540000000000001</v>
      </c>
      <c r="E108">
        <v>4.8919999999999996E-3</v>
      </c>
      <c r="F108" s="13">
        <v>5.8200000000000005E-4</v>
      </c>
      <c r="G108">
        <v>0.27010000000000001</v>
      </c>
      <c r="H108">
        <v>2.8929999999999998</v>
      </c>
      <c r="I108">
        <v>10001</v>
      </c>
      <c r="J108">
        <v>30000</v>
      </c>
    </row>
    <row r="109" spans="2:10" x14ac:dyDescent="0.25">
      <c r="B109" t="s">
        <v>483</v>
      </c>
      <c r="C109">
        <v>0.58799999999999997</v>
      </c>
      <c r="D109">
        <v>0.82250000000000001</v>
      </c>
      <c r="E109">
        <v>5.0930000000000003E-3</v>
      </c>
      <c r="F109" s="13">
        <v>5.8810000000000004E-4</v>
      </c>
      <c r="G109">
        <v>0.27029999999999998</v>
      </c>
      <c r="H109">
        <v>2.9119999999999999</v>
      </c>
      <c r="I109">
        <v>10001</v>
      </c>
      <c r="J109">
        <v>30000</v>
      </c>
    </row>
    <row r="110" spans="2:10" x14ac:dyDescent="0.25">
      <c r="B110" t="s">
        <v>484</v>
      </c>
      <c r="C110">
        <v>0.75690000000000002</v>
      </c>
      <c r="D110">
        <v>1.081</v>
      </c>
      <c r="E110">
        <v>1.303E-2</v>
      </c>
      <c r="F110" s="13">
        <v>7.1420000000000001E-4</v>
      </c>
      <c r="G110">
        <v>0.3473</v>
      </c>
      <c r="H110">
        <v>3.8079999999999998</v>
      </c>
      <c r="I110">
        <v>10001</v>
      </c>
      <c r="J110">
        <v>30000</v>
      </c>
    </row>
    <row r="111" spans="2:10" x14ac:dyDescent="0.25">
      <c r="B111" t="s">
        <v>485</v>
      </c>
      <c r="C111">
        <v>0.83830000000000005</v>
      </c>
      <c r="D111">
        <v>1.165</v>
      </c>
      <c r="E111">
        <v>1.307E-2</v>
      </c>
      <c r="F111" s="13">
        <v>8.0090000000000001E-4</v>
      </c>
      <c r="G111">
        <v>0.39379999999999998</v>
      </c>
      <c r="H111">
        <v>4.21</v>
      </c>
      <c r="I111">
        <v>10001</v>
      </c>
      <c r="J111">
        <v>30000</v>
      </c>
    </row>
    <row r="112" spans="2:10" x14ac:dyDescent="0.25">
      <c r="B112" t="s">
        <v>486</v>
      </c>
      <c r="C112">
        <v>0.63160000000000005</v>
      </c>
      <c r="D112">
        <v>0.89370000000000005</v>
      </c>
      <c r="E112">
        <v>7.3720000000000001E-3</v>
      </c>
      <c r="F112" s="13">
        <v>5.978E-4</v>
      </c>
      <c r="G112">
        <v>0.28589999999999999</v>
      </c>
      <c r="H112">
        <v>3.1680000000000001</v>
      </c>
      <c r="I112">
        <v>10001</v>
      </c>
      <c r="J112">
        <v>30000</v>
      </c>
    </row>
    <row r="113" spans="2:10" x14ac:dyDescent="0.25">
      <c r="B113" t="s">
        <v>487</v>
      </c>
      <c r="C113">
        <v>0.71460000000000001</v>
      </c>
      <c r="D113">
        <v>1.0149999999999999</v>
      </c>
      <c r="E113">
        <v>6.9420000000000003E-3</v>
      </c>
      <c r="F113" s="13">
        <v>7.1369999999999995E-4</v>
      </c>
      <c r="G113">
        <v>0.3226</v>
      </c>
      <c r="H113">
        <v>3.6150000000000002</v>
      </c>
      <c r="I113">
        <v>10001</v>
      </c>
      <c r="J113">
        <v>30000</v>
      </c>
    </row>
    <row r="114" spans="2:10" x14ac:dyDescent="0.25">
      <c r="B114" t="s">
        <v>488</v>
      </c>
      <c r="C114">
        <v>0.81950000000000001</v>
      </c>
      <c r="D114">
        <v>1.1419999999999999</v>
      </c>
      <c r="E114">
        <v>1.048E-2</v>
      </c>
      <c r="F114" s="13">
        <v>8.6609999999999996E-4</v>
      </c>
      <c r="G114">
        <v>0.37409999999999999</v>
      </c>
      <c r="H114">
        <v>4.0890000000000004</v>
      </c>
      <c r="I114">
        <v>10001</v>
      </c>
      <c r="J114">
        <v>30000</v>
      </c>
    </row>
    <row r="115" spans="2:10" x14ac:dyDescent="0.25">
      <c r="B115" t="s">
        <v>489</v>
      </c>
      <c r="C115">
        <v>0.77810000000000001</v>
      </c>
      <c r="D115">
        <v>1.1080000000000001</v>
      </c>
      <c r="E115">
        <v>8.9460000000000008E-3</v>
      </c>
      <c r="F115" s="13">
        <v>6.4820000000000003E-4</v>
      </c>
      <c r="G115">
        <v>0.3543</v>
      </c>
      <c r="H115">
        <v>3.9369999999999998</v>
      </c>
      <c r="I115">
        <v>10001</v>
      </c>
      <c r="J115">
        <v>30000</v>
      </c>
    </row>
    <row r="116" spans="2:10" x14ac:dyDescent="0.25">
      <c r="B116" t="s">
        <v>490</v>
      </c>
      <c r="C116">
        <v>0.73360000000000003</v>
      </c>
      <c r="D116">
        <v>1.01</v>
      </c>
      <c r="E116">
        <v>8.9379999999999998E-3</v>
      </c>
      <c r="F116" s="13">
        <v>6.3949999999999999E-4</v>
      </c>
      <c r="G116">
        <v>0.34370000000000001</v>
      </c>
      <c r="H116">
        <v>3.6</v>
      </c>
      <c r="I116">
        <v>10001</v>
      </c>
      <c r="J116">
        <v>30000</v>
      </c>
    </row>
    <row r="117" spans="2:10" x14ac:dyDescent="0.25">
      <c r="B117" t="s">
        <v>491</v>
      </c>
      <c r="C117">
        <v>0.73180000000000001</v>
      </c>
      <c r="D117">
        <v>1.04</v>
      </c>
      <c r="E117">
        <v>7.3499999999999998E-3</v>
      </c>
      <c r="F117" s="13">
        <v>6.4590000000000003E-4</v>
      </c>
      <c r="G117">
        <v>0.32979999999999998</v>
      </c>
      <c r="H117">
        <v>3.669</v>
      </c>
      <c r="I117">
        <v>10001</v>
      </c>
      <c r="J117">
        <v>30000</v>
      </c>
    </row>
    <row r="118" spans="2:10" x14ac:dyDescent="0.25">
      <c r="B118" t="s">
        <v>492</v>
      </c>
      <c r="C118">
        <v>0.77200000000000002</v>
      </c>
      <c r="D118">
        <v>1.0740000000000001</v>
      </c>
      <c r="E118">
        <v>9.7450000000000002E-3</v>
      </c>
      <c r="F118" s="13">
        <v>8.7719999999999996E-4</v>
      </c>
      <c r="G118">
        <v>0.35539999999999999</v>
      </c>
      <c r="H118">
        <v>3.8340000000000001</v>
      </c>
      <c r="I118">
        <v>10001</v>
      </c>
      <c r="J118">
        <v>30000</v>
      </c>
    </row>
    <row r="119" spans="2:10" x14ac:dyDescent="0.25">
      <c r="B119" t="s">
        <v>493</v>
      </c>
      <c r="C119">
        <v>0.74360000000000004</v>
      </c>
      <c r="D119">
        <v>1.0660000000000001</v>
      </c>
      <c r="E119">
        <v>8.6499999999999997E-3</v>
      </c>
      <c r="F119" s="13">
        <v>5.8319999999999997E-4</v>
      </c>
      <c r="G119">
        <v>0.33550000000000002</v>
      </c>
      <c r="H119">
        <v>3.7589999999999999</v>
      </c>
      <c r="I119">
        <v>10001</v>
      </c>
      <c r="J119">
        <v>30000</v>
      </c>
    </row>
    <row r="120" spans="2:10" x14ac:dyDescent="0.25">
      <c r="B120" t="s">
        <v>494</v>
      </c>
      <c r="C120">
        <v>0.74160000000000004</v>
      </c>
      <c r="D120">
        <v>1.018</v>
      </c>
      <c r="E120">
        <v>7.7710000000000001E-3</v>
      </c>
      <c r="F120" s="13">
        <v>7.3789999999999999E-4</v>
      </c>
      <c r="G120">
        <v>0.34920000000000001</v>
      </c>
      <c r="H120">
        <v>3.6429999999999998</v>
      </c>
      <c r="I120">
        <v>10001</v>
      </c>
      <c r="J120">
        <v>30000</v>
      </c>
    </row>
    <row r="121" spans="2:10" x14ac:dyDescent="0.25">
      <c r="B121" t="s">
        <v>495</v>
      </c>
      <c r="C121">
        <v>0.6885</v>
      </c>
      <c r="D121">
        <v>0.97299999999999998</v>
      </c>
      <c r="E121">
        <v>7.077E-3</v>
      </c>
      <c r="F121" s="13">
        <v>6.2759999999999997E-4</v>
      </c>
      <c r="G121">
        <v>0.31609999999999999</v>
      </c>
      <c r="H121">
        <v>3.4369999999999998</v>
      </c>
      <c r="I121">
        <v>10001</v>
      </c>
      <c r="J121">
        <v>30000</v>
      </c>
    </row>
    <row r="122" spans="2:10" x14ac:dyDescent="0.25">
      <c r="B122" t="s">
        <v>496</v>
      </c>
      <c r="C122">
        <v>0.65539999999999998</v>
      </c>
      <c r="D122">
        <v>0.89070000000000005</v>
      </c>
      <c r="E122">
        <v>6.0730000000000003E-3</v>
      </c>
      <c r="F122" s="13">
        <v>6.6540000000000002E-4</v>
      </c>
      <c r="G122">
        <v>0.31209999999999999</v>
      </c>
      <c r="H122">
        <v>3.206</v>
      </c>
      <c r="I122">
        <v>10001</v>
      </c>
      <c r="J122">
        <v>30000</v>
      </c>
    </row>
    <row r="123" spans="2:10" x14ac:dyDescent="0.25">
      <c r="B123" t="s">
        <v>497</v>
      </c>
      <c r="C123">
        <v>0.64049999999999996</v>
      </c>
      <c r="D123">
        <v>0.90269999999999995</v>
      </c>
      <c r="E123">
        <v>6.0229999999999997E-3</v>
      </c>
      <c r="F123" s="13">
        <v>5.8279999999999996E-4</v>
      </c>
      <c r="G123">
        <v>0.2908</v>
      </c>
      <c r="H123">
        <v>3.1920000000000002</v>
      </c>
      <c r="I123">
        <v>10001</v>
      </c>
      <c r="J123">
        <v>30000</v>
      </c>
    </row>
    <row r="124" spans="2:10" x14ac:dyDescent="0.25">
      <c r="B124" t="s">
        <v>498</v>
      </c>
      <c r="C124">
        <v>1.4910000000000001</v>
      </c>
      <c r="D124">
        <v>1.7390000000000001</v>
      </c>
      <c r="E124">
        <v>2.7199999999999998E-2</v>
      </c>
      <c r="F124">
        <v>2.3270000000000001E-3</v>
      </c>
      <c r="G124">
        <v>0.88060000000000005</v>
      </c>
      <c r="H124">
        <v>6.2649999999999997</v>
      </c>
      <c r="I124">
        <v>10001</v>
      </c>
      <c r="J124">
        <v>30000</v>
      </c>
    </row>
    <row r="125" spans="2:10" x14ac:dyDescent="0.25">
      <c r="B125" t="s">
        <v>499</v>
      </c>
      <c r="C125">
        <v>1.542</v>
      </c>
      <c r="D125">
        <v>1.82</v>
      </c>
      <c r="E125">
        <v>2.392E-2</v>
      </c>
      <c r="F125">
        <v>1.786E-3</v>
      </c>
      <c r="G125">
        <v>0.89810000000000001</v>
      </c>
      <c r="H125">
        <v>6.5469999999999997</v>
      </c>
      <c r="I125">
        <v>10001</v>
      </c>
      <c r="J125">
        <v>30000</v>
      </c>
    </row>
    <row r="126" spans="2:10" x14ac:dyDescent="0.25">
      <c r="B126" t="s">
        <v>500</v>
      </c>
      <c r="C126">
        <v>1.216</v>
      </c>
      <c r="D126">
        <v>1.5680000000000001</v>
      </c>
      <c r="E126">
        <v>2.0789999999999999E-2</v>
      </c>
      <c r="F126">
        <v>1.511E-3</v>
      </c>
      <c r="G126">
        <v>0.62949999999999995</v>
      </c>
      <c r="H126">
        <v>5.54</v>
      </c>
      <c r="I126">
        <v>10001</v>
      </c>
      <c r="J126">
        <v>30000</v>
      </c>
    </row>
    <row r="127" spans="2:10" x14ac:dyDescent="0.25">
      <c r="B127" t="s">
        <v>501</v>
      </c>
      <c r="C127">
        <v>1.236</v>
      </c>
      <c r="D127">
        <v>1.579</v>
      </c>
      <c r="E127">
        <v>2.01E-2</v>
      </c>
      <c r="F127">
        <v>1.539E-3</v>
      </c>
      <c r="G127">
        <v>0.64100000000000001</v>
      </c>
      <c r="H127">
        <v>5.6840000000000002</v>
      </c>
      <c r="I127">
        <v>10001</v>
      </c>
      <c r="J127">
        <v>30000</v>
      </c>
    </row>
    <row r="128" spans="2:10" x14ac:dyDescent="0.25">
      <c r="B128" t="s">
        <v>502</v>
      </c>
      <c r="C128">
        <v>0.61450000000000005</v>
      </c>
      <c r="D128">
        <v>0.87309999999999999</v>
      </c>
      <c r="E128">
        <v>5.5079999999999999E-3</v>
      </c>
      <c r="F128" s="13">
        <v>6.2640000000000005E-4</v>
      </c>
      <c r="G128">
        <v>0.27939999999999998</v>
      </c>
      <c r="H128">
        <v>3.1219999999999999</v>
      </c>
      <c r="I128">
        <v>10001</v>
      </c>
      <c r="J128">
        <v>30000</v>
      </c>
    </row>
    <row r="129" spans="2:10" x14ac:dyDescent="0.25">
      <c r="B129" t="s">
        <v>503</v>
      </c>
      <c r="C129">
        <v>0.59499999999999997</v>
      </c>
      <c r="D129">
        <v>0.84470000000000001</v>
      </c>
      <c r="E129">
        <v>5.1050000000000002E-3</v>
      </c>
      <c r="F129" s="13">
        <v>6.2940000000000001E-4</v>
      </c>
      <c r="G129">
        <v>0.26889999999999997</v>
      </c>
      <c r="H129">
        <v>2.97</v>
      </c>
      <c r="I129">
        <v>10001</v>
      </c>
      <c r="J129">
        <v>30000</v>
      </c>
    </row>
    <row r="130" spans="2:10" x14ac:dyDescent="0.25">
      <c r="B130" t="s">
        <v>504</v>
      </c>
      <c r="C130">
        <v>1.373</v>
      </c>
      <c r="D130">
        <v>1.63</v>
      </c>
      <c r="E130">
        <v>1.5630000000000002E-2</v>
      </c>
      <c r="F130">
        <v>1.946E-3</v>
      </c>
      <c r="G130">
        <v>0.79659999999999997</v>
      </c>
      <c r="H130">
        <v>5.8029999999999999</v>
      </c>
      <c r="I130">
        <v>10001</v>
      </c>
      <c r="J130">
        <v>30000</v>
      </c>
    </row>
    <row r="131" spans="2:10" x14ac:dyDescent="0.25">
      <c r="B131" t="s">
        <v>505</v>
      </c>
      <c r="C131">
        <v>1.2569999999999999</v>
      </c>
      <c r="D131">
        <v>1.5229999999999999</v>
      </c>
      <c r="E131">
        <v>1.4290000000000001E-2</v>
      </c>
      <c r="F131">
        <v>1.9589999999999998E-3</v>
      </c>
      <c r="G131">
        <v>0.71199999999999997</v>
      </c>
      <c r="H131">
        <v>5.4820000000000002</v>
      </c>
      <c r="I131">
        <v>10001</v>
      </c>
      <c r="J131">
        <v>30000</v>
      </c>
    </row>
    <row r="132" spans="2:10" x14ac:dyDescent="0.25">
      <c r="B132" t="s">
        <v>506</v>
      </c>
      <c r="C132">
        <v>1.1639999999999999</v>
      </c>
      <c r="D132">
        <v>1.506</v>
      </c>
      <c r="E132">
        <v>1.874E-2</v>
      </c>
      <c r="F132">
        <v>1.3519999999999999E-3</v>
      </c>
      <c r="G132">
        <v>0.59389999999999998</v>
      </c>
      <c r="H132">
        <v>5.452</v>
      </c>
      <c r="I132">
        <v>10001</v>
      </c>
      <c r="J132">
        <v>30000</v>
      </c>
    </row>
    <row r="133" spans="2:10" x14ac:dyDescent="0.25">
      <c r="B133" t="s">
        <v>507</v>
      </c>
      <c r="C133">
        <v>1.1599999999999999</v>
      </c>
      <c r="D133">
        <v>1.496</v>
      </c>
      <c r="E133">
        <v>1.7760000000000001E-2</v>
      </c>
      <c r="F133">
        <v>1.441E-3</v>
      </c>
      <c r="G133">
        <v>0.5897</v>
      </c>
      <c r="H133">
        <v>5.399</v>
      </c>
      <c r="I133">
        <v>10001</v>
      </c>
      <c r="J133">
        <v>30000</v>
      </c>
    </row>
    <row r="134" spans="2:10" x14ac:dyDescent="0.25">
      <c r="B134" t="s">
        <v>508</v>
      </c>
      <c r="C134">
        <v>0.59519999999999995</v>
      </c>
      <c r="D134">
        <v>0.82640000000000002</v>
      </c>
      <c r="E134">
        <v>5.3489999999999996E-3</v>
      </c>
      <c r="F134" s="13">
        <v>6.2379999999999998E-4</v>
      </c>
      <c r="G134">
        <v>0.27439999999999998</v>
      </c>
      <c r="H134">
        <v>2.976</v>
      </c>
      <c r="I134">
        <v>10001</v>
      </c>
      <c r="J134">
        <v>30000</v>
      </c>
    </row>
    <row r="135" spans="2:10" x14ac:dyDescent="0.25">
      <c r="B135" t="s">
        <v>509</v>
      </c>
      <c r="C135">
        <v>0.5948</v>
      </c>
      <c r="D135">
        <v>0.83779999999999999</v>
      </c>
      <c r="E135">
        <v>5.169E-3</v>
      </c>
      <c r="F135" s="13">
        <v>6.3460000000000003E-4</v>
      </c>
      <c r="G135">
        <v>0.27239999999999998</v>
      </c>
      <c r="H135">
        <v>2.9780000000000002</v>
      </c>
      <c r="I135">
        <v>10001</v>
      </c>
      <c r="J135">
        <v>30000</v>
      </c>
    </row>
    <row r="136" spans="2:10" x14ac:dyDescent="0.25">
      <c r="B136" t="s">
        <v>510</v>
      </c>
      <c r="C136">
        <v>0.88149999999999995</v>
      </c>
      <c r="D136">
        <v>1.1850000000000001</v>
      </c>
      <c r="E136">
        <v>8.933E-3</v>
      </c>
      <c r="F136" s="13">
        <v>8.5300000000000003E-4</v>
      </c>
      <c r="G136">
        <v>0.42109999999999997</v>
      </c>
      <c r="H136">
        <v>4.1989999999999998</v>
      </c>
      <c r="I136">
        <v>10001</v>
      </c>
      <c r="J136">
        <v>30000</v>
      </c>
    </row>
    <row r="137" spans="2:10" x14ac:dyDescent="0.25">
      <c r="B137" t="s">
        <v>511</v>
      </c>
      <c r="C137">
        <v>0.8</v>
      </c>
      <c r="D137">
        <v>1.0780000000000001</v>
      </c>
      <c r="E137">
        <v>8.0870000000000004E-3</v>
      </c>
      <c r="F137" s="13">
        <v>8.0460000000000004E-4</v>
      </c>
      <c r="G137">
        <v>0.39150000000000001</v>
      </c>
      <c r="H137">
        <v>3.8029999999999999</v>
      </c>
      <c r="I137">
        <v>10001</v>
      </c>
      <c r="J137">
        <v>30000</v>
      </c>
    </row>
    <row r="138" spans="2:10" x14ac:dyDescent="0.25">
      <c r="B138" t="s">
        <v>512</v>
      </c>
      <c r="C138">
        <v>1.016</v>
      </c>
      <c r="D138">
        <v>1.369</v>
      </c>
      <c r="E138">
        <v>1.5980000000000001E-2</v>
      </c>
      <c r="F138">
        <v>1.0610000000000001E-3</v>
      </c>
      <c r="G138">
        <v>0.48559999999999998</v>
      </c>
      <c r="H138">
        <v>4.9329999999999998</v>
      </c>
      <c r="I138">
        <v>10001</v>
      </c>
      <c r="J138">
        <v>30000</v>
      </c>
    </row>
    <row r="139" spans="2:10" x14ac:dyDescent="0.25">
      <c r="B139" t="s">
        <v>513</v>
      </c>
      <c r="C139">
        <v>1.0720000000000001</v>
      </c>
      <c r="D139">
        <v>1.405</v>
      </c>
      <c r="E139">
        <v>1.7430000000000001E-2</v>
      </c>
      <c r="F139">
        <v>1.227E-3</v>
      </c>
      <c r="G139">
        <v>0.53320000000000001</v>
      </c>
      <c r="H139">
        <v>5.117</v>
      </c>
      <c r="I139">
        <v>10001</v>
      </c>
      <c r="J139">
        <v>30000</v>
      </c>
    </row>
    <row r="140" spans="2:10" x14ac:dyDescent="0.25">
      <c r="B140" t="s">
        <v>514</v>
      </c>
      <c r="C140">
        <v>0.80830000000000002</v>
      </c>
      <c r="D140">
        <v>1.113</v>
      </c>
      <c r="E140">
        <v>1.1299999999999999E-2</v>
      </c>
      <c r="F140" s="13">
        <v>9.3510000000000002E-4</v>
      </c>
      <c r="G140">
        <v>0.3785</v>
      </c>
      <c r="H140">
        <v>3.9950000000000001</v>
      </c>
      <c r="I140">
        <v>10001</v>
      </c>
      <c r="J140">
        <v>30000</v>
      </c>
    </row>
    <row r="141" spans="2:10" x14ac:dyDescent="0.25">
      <c r="B141" t="s">
        <v>515</v>
      </c>
      <c r="C141">
        <v>0.71960000000000002</v>
      </c>
      <c r="D141">
        <v>1.022</v>
      </c>
      <c r="E141">
        <v>9.3360000000000005E-3</v>
      </c>
      <c r="F141" s="13">
        <v>6.7089999999999999E-4</v>
      </c>
      <c r="G141">
        <v>0.3306</v>
      </c>
      <c r="H141">
        <v>3.5670000000000002</v>
      </c>
      <c r="I141">
        <v>10001</v>
      </c>
      <c r="J141">
        <v>30000</v>
      </c>
    </row>
    <row r="142" spans="2:10" x14ac:dyDescent="0.25">
      <c r="B142" t="s">
        <v>516</v>
      </c>
      <c r="C142">
        <v>1.387E-2</v>
      </c>
      <c r="D142">
        <v>0.1169</v>
      </c>
      <c r="E142">
        <v>1.6180000000000001E-3</v>
      </c>
      <c r="F142">
        <v>0</v>
      </c>
      <c r="G142">
        <v>0</v>
      </c>
      <c r="H142">
        <v>0</v>
      </c>
      <c r="I142">
        <v>10001</v>
      </c>
      <c r="J142">
        <v>30000</v>
      </c>
    </row>
    <row r="143" spans="2:10" x14ac:dyDescent="0.25">
      <c r="B143" t="s">
        <v>517</v>
      </c>
      <c r="C143">
        <v>9.1170000000000001E-2</v>
      </c>
      <c r="D143">
        <v>0.2878</v>
      </c>
      <c r="E143">
        <v>6.2639999999999996E-3</v>
      </c>
      <c r="F143">
        <v>0</v>
      </c>
      <c r="G143">
        <v>0</v>
      </c>
      <c r="H143">
        <v>1</v>
      </c>
      <c r="I143">
        <v>10001</v>
      </c>
      <c r="J143">
        <v>30000</v>
      </c>
    </row>
    <row r="144" spans="2:10" x14ac:dyDescent="0.25">
      <c r="B144" t="s">
        <v>518</v>
      </c>
      <c r="C144">
        <v>0.36159999999999998</v>
      </c>
      <c r="D144">
        <v>0.48049999999999998</v>
      </c>
      <c r="E144">
        <v>9.8820000000000002E-3</v>
      </c>
      <c r="F144">
        <v>0</v>
      </c>
      <c r="G144">
        <v>0</v>
      </c>
      <c r="H144">
        <v>1</v>
      </c>
      <c r="I144">
        <v>10001</v>
      </c>
      <c r="J144">
        <v>30000</v>
      </c>
    </row>
    <row r="145" spans="2:10" x14ac:dyDescent="0.25">
      <c r="B145" t="s">
        <v>519</v>
      </c>
      <c r="C145">
        <v>0.31019999999999998</v>
      </c>
      <c r="D145">
        <v>0.46260000000000001</v>
      </c>
      <c r="E145">
        <v>7.5129999999999997E-3</v>
      </c>
      <c r="F145">
        <v>0</v>
      </c>
      <c r="G145">
        <v>0</v>
      </c>
      <c r="H145">
        <v>1</v>
      </c>
      <c r="I145">
        <v>10001</v>
      </c>
      <c r="J145">
        <v>30000</v>
      </c>
    </row>
    <row r="146" spans="2:10" x14ac:dyDescent="0.25">
      <c r="B146" t="s">
        <v>520</v>
      </c>
      <c r="C146">
        <v>0.1618</v>
      </c>
      <c r="D146">
        <v>0.36830000000000002</v>
      </c>
      <c r="E146">
        <v>6.6429999999999996E-3</v>
      </c>
      <c r="F146">
        <v>0</v>
      </c>
      <c r="G146">
        <v>0</v>
      </c>
      <c r="H146">
        <v>1</v>
      </c>
      <c r="I146">
        <v>10001</v>
      </c>
      <c r="J146">
        <v>30000</v>
      </c>
    </row>
    <row r="147" spans="2:10" x14ac:dyDescent="0.25">
      <c r="B147" t="s">
        <v>521</v>
      </c>
      <c r="C147">
        <v>4.8399999999999999E-2</v>
      </c>
      <c r="D147">
        <v>0.21460000000000001</v>
      </c>
      <c r="E147">
        <v>4.0309999999999999E-3</v>
      </c>
      <c r="F147">
        <v>0</v>
      </c>
      <c r="G147">
        <v>0</v>
      </c>
      <c r="H147">
        <v>1</v>
      </c>
      <c r="I147">
        <v>10001</v>
      </c>
      <c r="J147">
        <v>30000</v>
      </c>
    </row>
    <row r="148" spans="2:10" x14ac:dyDescent="0.25">
      <c r="B148" t="s">
        <v>522</v>
      </c>
      <c r="C148">
        <v>1.2699999999999999E-2</v>
      </c>
      <c r="D148">
        <v>0.112</v>
      </c>
      <c r="E148">
        <v>3.774E-3</v>
      </c>
      <c r="F148">
        <v>0</v>
      </c>
      <c r="G148">
        <v>0</v>
      </c>
      <c r="H148">
        <v>0</v>
      </c>
      <c r="I148">
        <v>10001</v>
      </c>
      <c r="J148">
        <v>30000</v>
      </c>
    </row>
    <row r="149" spans="2:10" x14ac:dyDescent="0.25">
      <c r="B149" t="s">
        <v>523</v>
      </c>
      <c r="C149" s="13">
        <v>2.0000000000000001E-4</v>
      </c>
      <c r="D149">
        <v>1.414E-2</v>
      </c>
      <c r="E149" s="13">
        <v>9.4040000000000001E-5</v>
      </c>
      <c r="F149">
        <v>0</v>
      </c>
      <c r="G149">
        <v>0</v>
      </c>
      <c r="H149">
        <v>0</v>
      </c>
      <c r="I149">
        <v>10001</v>
      </c>
      <c r="J149">
        <v>30000</v>
      </c>
    </row>
    <row r="150" spans="2:10" x14ac:dyDescent="0.25">
      <c r="B150" t="s">
        <v>524</v>
      </c>
      <c r="C150">
        <v>3.5999999999999999E-3</v>
      </c>
      <c r="D150">
        <v>5.9889999999999999E-2</v>
      </c>
      <c r="E150" s="13">
        <v>4.7980000000000001E-4</v>
      </c>
      <c r="F150">
        <v>0</v>
      </c>
      <c r="G150">
        <v>0</v>
      </c>
      <c r="H150">
        <v>0</v>
      </c>
      <c r="I150">
        <v>10001</v>
      </c>
      <c r="J150">
        <v>30000</v>
      </c>
    </row>
    <row r="151" spans="2:10" x14ac:dyDescent="0.25">
      <c r="B151" t="s">
        <v>525</v>
      </c>
      <c r="C151">
        <v>3.193E-2</v>
      </c>
      <c r="D151">
        <v>0.17580000000000001</v>
      </c>
      <c r="E151">
        <v>2.6619999999999999E-3</v>
      </c>
      <c r="F151">
        <v>0</v>
      </c>
      <c r="G151">
        <v>0</v>
      </c>
      <c r="H151">
        <v>1</v>
      </c>
      <c r="I151">
        <v>10001</v>
      </c>
      <c r="J151">
        <v>30000</v>
      </c>
    </row>
    <row r="152" spans="2:10" x14ac:dyDescent="0.25">
      <c r="B152" t="s">
        <v>526</v>
      </c>
      <c r="C152">
        <v>0.15179999999999999</v>
      </c>
      <c r="D152">
        <v>0.35880000000000001</v>
      </c>
      <c r="E152">
        <v>6.4060000000000002E-3</v>
      </c>
      <c r="F152">
        <v>0</v>
      </c>
      <c r="G152">
        <v>0</v>
      </c>
      <c r="H152">
        <v>1</v>
      </c>
      <c r="I152">
        <v>10001</v>
      </c>
      <c r="J152">
        <v>30000</v>
      </c>
    </row>
    <row r="153" spans="2:10" x14ac:dyDescent="0.25">
      <c r="B153" t="s">
        <v>527</v>
      </c>
      <c r="C153">
        <v>0.31929999999999997</v>
      </c>
      <c r="D153">
        <v>0.4662</v>
      </c>
      <c r="E153">
        <v>7.927E-3</v>
      </c>
      <c r="F153">
        <v>0</v>
      </c>
      <c r="G153">
        <v>0</v>
      </c>
      <c r="H153">
        <v>1</v>
      </c>
      <c r="I153">
        <v>10001</v>
      </c>
      <c r="J153">
        <v>30000</v>
      </c>
    </row>
    <row r="154" spans="2:10" x14ac:dyDescent="0.25">
      <c r="B154" t="s">
        <v>528</v>
      </c>
      <c r="C154">
        <v>0.3054</v>
      </c>
      <c r="D154">
        <v>0.46060000000000001</v>
      </c>
      <c r="E154">
        <v>8.2360000000000003E-3</v>
      </c>
      <c r="F154">
        <v>0</v>
      </c>
      <c r="G154">
        <v>0</v>
      </c>
      <c r="H154">
        <v>1</v>
      </c>
      <c r="I154">
        <v>10001</v>
      </c>
      <c r="J154">
        <v>30000</v>
      </c>
    </row>
    <row r="155" spans="2:10" x14ac:dyDescent="0.25">
      <c r="B155" t="s">
        <v>529</v>
      </c>
      <c r="C155">
        <v>0.15390000000000001</v>
      </c>
      <c r="D155">
        <v>0.3609</v>
      </c>
      <c r="E155">
        <v>7.5799999999999999E-3</v>
      </c>
      <c r="F155">
        <v>0</v>
      </c>
      <c r="G155">
        <v>0</v>
      </c>
      <c r="H155">
        <v>1</v>
      </c>
      <c r="I155">
        <v>10001</v>
      </c>
      <c r="J155">
        <v>30000</v>
      </c>
    </row>
    <row r="156" spans="2:10" x14ac:dyDescent="0.25">
      <c r="B156" t="s">
        <v>530</v>
      </c>
      <c r="C156">
        <v>3.1329999999999997E-2</v>
      </c>
      <c r="D156">
        <v>0.17419999999999999</v>
      </c>
      <c r="E156">
        <v>2.4039999999999999E-3</v>
      </c>
      <c r="F156">
        <v>0</v>
      </c>
      <c r="G156">
        <v>0</v>
      </c>
      <c r="H156">
        <v>1</v>
      </c>
      <c r="I156">
        <v>10001</v>
      </c>
      <c r="J156">
        <v>30000</v>
      </c>
    </row>
    <row r="157" spans="2:10" x14ac:dyDescent="0.25">
      <c r="B157" t="s">
        <v>531</v>
      </c>
      <c r="C157">
        <v>2.7000000000000001E-3</v>
      </c>
      <c r="D157">
        <v>5.1889999999999999E-2</v>
      </c>
      <c r="E157" s="13">
        <v>7.8359999999999996E-4</v>
      </c>
      <c r="F157">
        <v>0</v>
      </c>
      <c r="G157">
        <v>0</v>
      </c>
      <c r="H157">
        <v>0</v>
      </c>
      <c r="I157">
        <v>10001</v>
      </c>
      <c r="J157">
        <v>30000</v>
      </c>
    </row>
    <row r="158" spans="2:10" x14ac:dyDescent="0.25">
      <c r="B158" t="s">
        <v>532</v>
      </c>
      <c r="C158">
        <v>0.34970000000000001</v>
      </c>
      <c r="D158">
        <v>0.47689999999999999</v>
      </c>
      <c r="E158">
        <v>1.3440000000000001E-2</v>
      </c>
      <c r="F158">
        <v>0</v>
      </c>
      <c r="G158">
        <v>0</v>
      </c>
      <c r="H158">
        <v>1</v>
      </c>
      <c r="I158">
        <v>10001</v>
      </c>
      <c r="J158">
        <v>30000</v>
      </c>
    </row>
    <row r="159" spans="2:10" x14ac:dyDescent="0.25">
      <c r="B159" t="s">
        <v>533</v>
      </c>
      <c r="C159">
        <v>0.48280000000000001</v>
      </c>
      <c r="D159">
        <v>0.49969999999999998</v>
      </c>
      <c r="E159">
        <v>1.18E-2</v>
      </c>
      <c r="F159">
        <v>0</v>
      </c>
      <c r="G159">
        <v>0</v>
      </c>
      <c r="H159">
        <v>1</v>
      </c>
      <c r="I159">
        <v>10001</v>
      </c>
      <c r="J159">
        <v>30000</v>
      </c>
    </row>
    <row r="160" spans="2:10" x14ac:dyDescent="0.25">
      <c r="B160" t="s">
        <v>534</v>
      </c>
      <c r="C160">
        <v>0.1201</v>
      </c>
      <c r="D160">
        <v>0.3251</v>
      </c>
      <c r="E160">
        <v>6.5550000000000001E-3</v>
      </c>
      <c r="F160">
        <v>0</v>
      </c>
      <c r="G160">
        <v>0</v>
      </c>
      <c r="H160">
        <v>1</v>
      </c>
      <c r="I160">
        <v>10001</v>
      </c>
      <c r="J160">
        <v>30000</v>
      </c>
    </row>
    <row r="161" spans="2:10" x14ac:dyDescent="0.25">
      <c r="B161" t="s">
        <v>535</v>
      </c>
      <c r="C161">
        <v>3.1269999999999999E-2</v>
      </c>
      <c r="D161">
        <v>0.17399999999999999</v>
      </c>
      <c r="E161">
        <v>2.5300000000000001E-3</v>
      </c>
      <c r="F161">
        <v>0</v>
      </c>
      <c r="G161">
        <v>0</v>
      </c>
      <c r="H161">
        <v>1</v>
      </c>
      <c r="I161">
        <v>10001</v>
      </c>
      <c r="J161">
        <v>30000</v>
      </c>
    </row>
    <row r="162" spans="2:10" x14ac:dyDescent="0.25">
      <c r="B162" t="s">
        <v>536</v>
      </c>
      <c r="C162">
        <v>1.137E-2</v>
      </c>
      <c r="D162">
        <v>0.106</v>
      </c>
      <c r="E162">
        <v>1.072E-3</v>
      </c>
      <c r="F162">
        <v>0</v>
      </c>
      <c r="G162">
        <v>0</v>
      </c>
      <c r="H162">
        <v>0</v>
      </c>
      <c r="I162">
        <v>10001</v>
      </c>
      <c r="J162">
        <v>30000</v>
      </c>
    </row>
    <row r="163" spans="2:10" x14ac:dyDescent="0.25">
      <c r="B163" t="s">
        <v>537</v>
      </c>
      <c r="C163">
        <v>3.6670000000000001E-3</v>
      </c>
      <c r="D163">
        <v>6.0440000000000001E-2</v>
      </c>
      <c r="E163" s="13">
        <v>5.5420000000000003E-4</v>
      </c>
      <c r="F163">
        <v>0</v>
      </c>
      <c r="G163">
        <v>0</v>
      </c>
      <c r="H163">
        <v>0</v>
      </c>
      <c r="I163">
        <v>10001</v>
      </c>
      <c r="J163">
        <v>30000</v>
      </c>
    </row>
    <row r="164" spans="2:10" x14ac:dyDescent="0.25">
      <c r="B164" t="s">
        <v>538</v>
      </c>
      <c r="C164">
        <v>1.0330000000000001E-3</v>
      </c>
      <c r="D164">
        <v>3.2129999999999999E-2</v>
      </c>
      <c r="E164" s="13">
        <v>2.364E-4</v>
      </c>
      <c r="F164">
        <v>0</v>
      </c>
      <c r="G164">
        <v>0</v>
      </c>
      <c r="H164">
        <v>0</v>
      </c>
      <c r="I164">
        <v>10001</v>
      </c>
      <c r="J164">
        <v>30000</v>
      </c>
    </row>
    <row r="165" spans="2:10" x14ac:dyDescent="0.25">
      <c r="B165" t="s">
        <v>539</v>
      </c>
      <c r="C165" s="13">
        <v>1E-4</v>
      </c>
      <c r="D165">
        <v>9.9989999999999992E-3</v>
      </c>
      <c r="E165" s="13">
        <v>5.7739999999999999E-5</v>
      </c>
      <c r="F165">
        <v>0</v>
      </c>
      <c r="G165">
        <v>0</v>
      </c>
      <c r="H165">
        <v>0</v>
      </c>
      <c r="I165">
        <v>10001</v>
      </c>
      <c r="J165">
        <v>30000</v>
      </c>
    </row>
    <row r="166" spans="2:10" x14ac:dyDescent="0.25">
      <c r="B166" t="s">
        <v>540</v>
      </c>
      <c r="C166">
        <v>0.5222</v>
      </c>
      <c r="D166">
        <v>0.4995</v>
      </c>
      <c r="E166">
        <v>1.421E-2</v>
      </c>
      <c r="F166">
        <v>0</v>
      </c>
      <c r="G166">
        <v>1</v>
      </c>
      <c r="H166">
        <v>1</v>
      </c>
      <c r="I166">
        <v>10001</v>
      </c>
      <c r="J166">
        <v>30000</v>
      </c>
    </row>
    <row r="167" spans="2:10" x14ac:dyDescent="0.25">
      <c r="B167" t="s">
        <v>541</v>
      </c>
      <c r="C167">
        <v>0.25659999999999999</v>
      </c>
      <c r="D167">
        <v>0.43669999999999998</v>
      </c>
      <c r="E167">
        <v>9.7870000000000006E-3</v>
      </c>
      <c r="F167">
        <v>0</v>
      </c>
      <c r="G167">
        <v>0</v>
      </c>
      <c r="H167">
        <v>1</v>
      </c>
      <c r="I167">
        <v>10001</v>
      </c>
      <c r="J167">
        <v>30000</v>
      </c>
    </row>
    <row r="168" spans="2:10" x14ac:dyDescent="0.25">
      <c r="B168" t="s">
        <v>542</v>
      </c>
      <c r="C168">
        <v>8.6999999999999994E-2</v>
      </c>
      <c r="D168">
        <v>0.28179999999999999</v>
      </c>
      <c r="E168">
        <v>4.5459999999999997E-3</v>
      </c>
      <c r="F168">
        <v>0</v>
      </c>
      <c r="G168">
        <v>0</v>
      </c>
      <c r="H168">
        <v>1</v>
      </c>
      <c r="I168">
        <v>10001</v>
      </c>
      <c r="J168">
        <v>30000</v>
      </c>
    </row>
    <row r="169" spans="2:10" x14ac:dyDescent="0.25">
      <c r="B169" t="s">
        <v>543</v>
      </c>
      <c r="C169">
        <v>4.743E-2</v>
      </c>
      <c r="D169">
        <v>0.21260000000000001</v>
      </c>
      <c r="E169">
        <v>2.8370000000000001E-3</v>
      </c>
      <c r="F169">
        <v>0</v>
      </c>
      <c r="G169">
        <v>0</v>
      </c>
      <c r="H169">
        <v>1</v>
      </c>
      <c r="I169">
        <v>10001</v>
      </c>
      <c r="J169">
        <v>30000</v>
      </c>
    </row>
    <row r="170" spans="2:10" x14ac:dyDescent="0.25">
      <c r="B170" t="s">
        <v>544</v>
      </c>
      <c r="C170">
        <v>4.1230000000000003E-2</v>
      </c>
      <c r="D170">
        <v>0.1988</v>
      </c>
      <c r="E170">
        <v>3.3210000000000002E-3</v>
      </c>
      <c r="F170">
        <v>0</v>
      </c>
      <c r="G170">
        <v>0</v>
      </c>
      <c r="H170">
        <v>1</v>
      </c>
      <c r="I170">
        <v>10001</v>
      </c>
      <c r="J170">
        <v>30000</v>
      </c>
    </row>
    <row r="171" spans="2:10" x14ac:dyDescent="0.25">
      <c r="B171" t="s">
        <v>545</v>
      </c>
      <c r="C171">
        <v>2.6200000000000001E-2</v>
      </c>
      <c r="D171">
        <v>0.15970000000000001</v>
      </c>
      <c r="E171">
        <v>2.6679999999999998E-3</v>
      </c>
      <c r="F171">
        <v>0</v>
      </c>
      <c r="G171">
        <v>0</v>
      </c>
      <c r="H171">
        <v>1</v>
      </c>
      <c r="I171">
        <v>10001</v>
      </c>
      <c r="J171">
        <v>30000</v>
      </c>
    </row>
    <row r="172" spans="2:10" x14ac:dyDescent="0.25">
      <c r="B172" t="s">
        <v>546</v>
      </c>
      <c r="C172">
        <v>1.583E-2</v>
      </c>
      <c r="D172">
        <v>0.12479999999999999</v>
      </c>
      <c r="E172">
        <v>1.6609999999999999E-3</v>
      </c>
      <c r="F172">
        <v>0</v>
      </c>
      <c r="G172">
        <v>0</v>
      </c>
      <c r="H172">
        <v>0</v>
      </c>
      <c r="I172">
        <v>10001</v>
      </c>
      <c r="J172">
        <v>30000</v>
      </c>
    </row>
    <row r="173" spans="2:10" x14ac:dyDescent="0.25">
      <c r="B173" t="s">
        <v>547</v>
      </c>
      <c r="C173">
        <v>3.5330000000000001E-3</v>
      </c>
      <c r="D173">
        <v>5.9339999999999997E-2</v>
      </c>
      <c r="E173" s="13">
        <v>5.3870000000000003E-4</v>
      </c>
      <c r="F173">
        <v>0</v>
      </c>
      <c r="G173">
        <v>0</v>
      </c>
      <c r="H173">
        <v>0</v>
      </c>
      <c r="I173">
        <v>10001</v>
      </c>
      <c r="J173">
        <v>30000</v>
      </c>
    </row>
    <row r="174" spans="2:10" x14ac:dyDescent="0.25">
      <c r="B174" t="s">
        <v>548</v>
      </c>
      <c r="C174">
        <v>1.223E-2</v>
      </c>
      <c r="D174">
        <v>0.1099</v>
      </c>
      <c r="E174">
        <v>1.361E-3</v>
      </c>
      <c r="F174">
        <v>0</v>
      </c>
      <c r="G174">
        <v>0</v>
      </c>
      <c r="H174">
        <v>0</v>
      </c>
      <c r="I174">
        <v>10001</v>
      </c>
      <c r="J174">
        <v>30000</v>
      </c>
    </row>
    <row r="175" spans="2:10" x14ac:dyDescent="0.25">
      <c r="B175" t="s">
        <v>549</v>
      </c>
      <c r="C175">
        <v>1.5169999999999999E-2</v>
      </c>
      <c r="D175">
        <v>0.1222</v>
      </c>
      <c r="E175">
        <v>1.206E-3</v>
      </c>
      <c r="F175">
        <v>0</v>
      </c>
      <c r="G175">
        <v>0</v>
      </c>
      <c r="H175">
        <v>0</v>
      </c>
      <c r="I175">
        <v>10001</v>
      </c>
      <c r="J175">
        <v>30000</v>
      </c>
    </row>
    <row r="176" spans="2:10" x14ac:dyDescent="0.25">
      <c r="B176" t="s">
        <v>550</v>
      </c>
      <c r="C176">
        <v>2.9899999999999999E-2</v>
      </c>
      <c r="D176">
        <v>0.17030000000000001</v>
      </c>
      <c r="E176">
        <v>2.2060000000000001E-3</v>
      </c>
      <c r="F176">
        <v>0</v>
      </c>
      <c r="G176">
        <v>0</v>
      </c>
      <c r="H176">
        <v>1</v>
      </c>
      <c r="I176">
        <v>10001</v>
      </c>
      <c r="J176">
        <v>30000</v>
      </c>
    </row>
    <row r="177" spans="2:10" x14ac:dyDescent="0.25">
      <c r="B177" t="s">
        <v>551</v>
      </c>
      <c r="C177">
        <v>2.5770000000000001E-2</v>
      </c>
      <c r="D177">
        <v>0.15840000000000001</v>
      </c>
      <c r="E177">
        <v>1.9780000000000002E-3</v>
      </c>
      <c r="F177">
        <v>0</v>
      </c>
      <c r="G177">
        <v>0</v>
      </c>
      <c r="H177">
        <v>1</v>
      </c>
      <c r="I177">
        <v>10001</v>
      </c>
      <c r="J177">
        <v>30000</v>
      </c>
    </row>
    <row r="178" spans="2:10" x14ac:dyDescent="0.25">
      <c r="B178" t="s">
        <v>552</v>
      </c>
      <c r="C178">
        <v>4.0899999999999999E-2</v>
      </c>
      <c r="D178">
        <v>0.1981</v>
      </c>
      <c r="E178">
        <v>2.7720000000000002E-3</v>
      </c>
      <c r="F178">
        <v>0</v>
      </c>
      <c r="G178">
        <v>0</v>
      </c>
      <c r="H178">
        <v>1</v>
      </c>
      <c r="I178">
        <v>10001</v>
      </c>
      <c r="J178">
        <v>30000</v>
      </c>
    </row>
    <row r="179" spans="2:10" x14ac:dyDescent="0.25">
      <c r="B179" t="s">
        <v>553</v>
      </c>
      <c r="C179">
        <v>6.9470000000000004E-2</v>
      </c>
      <c r="D179">
        <v>0.25419999999999998</v>
      </c>
      <c r="E179">
        <v>4.3449999999999999E-3</v>
      </c>
      <c r="F179">
        <v>0</v>
      </c>
      <c r="G179">
        <v>0</v>
      </c>
      <c r="H179">
        <v>1</v>
      </c>
      <c r="I179">
        <v>10001</v>
      </c>
      <c r="J179">
        <v>30000</v>
      </c>
    </row>
    <row r="180" spans="2:10" x14ac:dyDescent="0.25">
      <c r="B180" t="s">
        <v>554</v>
      </c>
      <c r="C180">
        <v>0.15240000000000001</v>
      </c>
      <c r="D180">
        <v>0.3594</v>
      </c>
      <c r="E180">
        <v>6.796E-3</v>
      </c>
      <c r="F180">
        <v>0</v>
      </c>
      <c r="G180">
        <v>0</v>
      </c>
      <c r="H180">
        <v>1</v>
      </c>
      <c r="I180">
        <v>10001</v>
      </c>
      <c r="J180">
        <v>30000</v>
      </c>
    </row>
    <row r="181" spans="2:10" x14ac:dyDescent="0.25">
      <c r="B181" t="s">
        <v>555</v>
      </c>
      <c r="C181">
        <v>0.6542</v>
      </c>
      <c r="D181">
        <v>0.47560000000000002</v>
      </c>
      <c r="E181">
        <v>1.145E-2</v>
      </c>
      <c r="F181">
        <v>0</v>
      </c>
      <c r="G181">
        <v>1</v>
      </c>
      <c r="H181">
        <v>1</v>
      </c>
      <c r="I181">
        <v>10001</v>
      </c>
      <c r="J181">
        <v>30000</v>
      </c>
    </row>
    <row r="182" spans="2:10" x14ac:dyDescent="0.25">
      <c r="B182" t="s">
        <v>556</v>
      </c>
      <c r="C182">
        <v>9.2730000000000007E-2</v>
      </c>
      <c r="D182">
        <v>0.29010000000000002</v>
      </c>
      <c r="E182">
        <v>5.4390000000000003E-3</v>
      </c>
      <c r="F182">
        <v>0</v>
      </c>
      <c r="G182">
        <v>0</v>
      </c>
      <c r="H182">
        <v>1</v>
      </c>
      <c r="I182">
        <v>10001</v>
      </c>
      <c r="J182">
        <v>30000</v>
      </c>
    </row>
    <row r="183" spans="2:10" x14ac:dyDescent="0.25">
      <c r="B183" t="s">
        <v>557</v>
      </c>
      <c r="C183">
        <v>9.2499999999999999E-2</v>
      </c>
      <c r="D183">
        <v>0.28970000000000001</v>
      </c>
      <c r="E183">
        <v>5.2350000000000001E-3</v>
      </c>
      <c r="F183">
        <v>0</v>
      </c>
      <c r="G183">
        <v>0</v>
      </c>
      <c r="H183">
        <v>1</v>
      </c>
      <c r="I183">
        <v>10001</v>
      </c>
      <c r="J183">
        <v>30000</v>
      </c>
    </row>
    <row r="184" spans="2:10" x14ac:dyDescent="0.25">
      <c r="B184" t="s">
        <v>558</v>
      </c>
      <c r="C184">
        <v>0.14099999999999999</v>
      </c>
      <c r="D184">
        <v>0.34799999999999998</v>
      </c>
      <c r="E184">
        <v>6.9129999999999999E-3</v>
      </c>
      <c r="F184">
        <v>0</v>
      </c>
      <c r="G184">
        <v>0</v>
      </c>
      <c r="H184">
        <v>1</v>
      </c>
      <c r="I184">
        <v>10001</v>
      </c>
      <c r="J184">
        <v>30000</v>
      </c>
    </row>
    <row r="185" spans="2:10" x14ac:dyDescent="0.25">
      <c r="B185" t="s">
        <v>559</v>
      </c>
      <c r="C185">
        <v>7.8130000000000005E-2</v>
      </c>
      <c r="D185">
        <v>0.26840000000000003</v>
      </c>
      <c r="E185">
        <v>3.9490000000000003E-3</v>
      </c>
      <c r="F185">
        <v>0</v>
      </c>
      <c r="G185">
        <v>0</v>
      </c>
      <c r="H185">
        <v>1</v>
      </c>
      <c r="I185">
        <v>10001</v>
      </c>
      <c r="J185">
        <v>30000</v>
      </c>
    </row>
    <row r="186" spans="2:10" x14ac:dyDescent="0.25">
      <c r="B186" t="s">
        <v>560</v>
      </c>
      <c r="C186">
        <v>9.7769999999999996E-2</v>
      </c>
      <c r="D186">
        <v>0.29699999999999999</v>
      </c>
      <c r="E186">
        <v>3.2420000000000001E-3</v>
      </c>
      <c r="F186">
        <v>0</v>
      </c>
      <c r="G186">
        <v>0</v>
      </c>
      <c r="H186">
        <v>1</v>
      </c>
      <c r="I186">
        <v>10001</v>
      </c>
      <c r="J186">
        <v>30000</v>
      </c>
    </row>
    <row r="187" spans="2:10" x14ac:dyDescent="0.25">
      <c r="B187" t="s">
        <v>561</v>
      </c>
      <c r="C187">
        <v>0.1212</v>
      </c>
      <c r="D187">
        <v>0.32629999999999998</v>
      </c>
      <c r="E187">
        <v>3.9909999999999998E-3</v>
      </c>
      <c r="F187">
        <v>0</v>
      </c>
      <c r="G187">
        <v>0</v>
      </c>
      <c r="H187">
        <v>1</v>
      </c>
      <c r="I187">
        <v>10001</v>
      </c>
      <c r="J187">
        <v>30000</v>
      </c>
    </row>
    <row r="188" spans="2:10" x14ac:dyDescent="0.25">
      <c r="B188" t="s">
        <v>562</v>
      </c>
      <c r="C188">
        <v>0.22620000000000001</v>
      </c>
      <c r="D188">
        <v>0.41839999999999999</v>
      </c>
      <c r="E188">
        <v>8.8090000000000009E-3</v>
      </c>
      <c r="F188">
        <v>0</v>
      </c>
      <c r="G188">
        <v>0</v>
      </c>
      <c r="H188">
        <v>1</v>
      </c>
      <c r="I188">
        <v>10001</v>
      </c>
      <c r="J188">
        <v>30000</v>
      </c>
    </row>
    <row r="189" spans="2:10" x14ac:dyDescent="0.25">
      <c r="B189" t="s">
        <v>563</v>
      </c>
      <c r="C189">
        <v>0.15049999999999999</v>
      </c>
      <c r="D189">
        <v>0.35759999999999997</v>
      </c>
      <c r="E189">
        <v>9.1459999999999996E-3</v>
      </c>
      <c r="F189">
        <v>0</v>
      </c>
      <c r="G189">
        <v>0</v>
      </c>
      <c r="H189">
        <v>1</v>
      </c>
      <c r="I189">
        <v>10001</v>
      </c>
      <c r="J189">
        <v>30000</v>
      </c>
    </row>
    <row r="190" spans="2:10" x14ac:dyDescent="0.25">
      <c r="B190" t="s">
        <v>564</v>
      </c>
      <c r="C190">
        <v>5.1330000000000004E-3</v>
      </c>
      <c r="D190">
        <v>7.1459999999999996E-2</v>
      </c>
      <c r="E190" s="13">
        <v>6.8900000000000005E-4</v>
      </c>
      <c r="F190">
        <v>0</v>
      </c>
      <c r="G190">
        <v>0</v>
      </c>
      <c r="H190">
        <v>0</v>
      </c>
      <c r="I190">
        <v>10001</v>
      </c>
      <c r="J190">
        <v>30000</v>
      </c>
    </row>
    <row r="191" spans="2:10" x14ac:dyDescent="0.25">
      <c r="B191" t="s">
        <v>565</v>
      </c>
      <c r="C191">
        <v>2.4199999999999999E-2</v>
      </c>
      <c r="D191">
        <v>0.1537</v>
      </c>
      <c r="E191">
        <v>2.1029999999999998E-3</v>
      </c>
      <c r="F191">
        <v>0</v>
      </c>
      <c r="G191">
        <v>0</v>
      </c>
      <c r="H191">
        <v>0</v>
      </c>
      <c r="I191">
        <v>10001</v>
      </c>
      <c r="J191">
        <v>30000</v>
      </c>
    </row>
    <row r="192" spans="2:10" x14ac:dyDescent="0.25">
      <c r="B192" t="s">
        <v>566</v>
      </c>
      <c r="C192">
        <v>7.3599999999999999E-2</v>
      </c>
      <c r="D192">
        <v>0.2611</v>
      </c>
      <c r="E192">
        <v>6.9230000000000003E-3</v>
      </c>
      <c r="F192">
        <v>0</v>
      </c>
      <c r="G192">
        <v>0</v>
      </c>
      <c r="H192">
        <v>1</v>
      </c>
      <c r="I192">
        <v>10001</v>
      </c>
      <c r="J192">
        <v>30000</v>
      </c>
    </row>
    <row r="193" spans="2:10" x14ac:dyDescent="0.25">
      <c r="B193" t="s">
        <v>567</v>
      </c>
      <c r="C193">
        <v>0.10979999999999999</v>
      </c>
      <c r="D193">
        <v>0.31269999999999998</v>
      </c>
      <c r="E193">
        <v>6.3680000000000004E-3</v>
      </c>
      <c r="F193">
        <v>0</v>
      </c>
      <c r="G193">
        <v>0</v>
      </c>
      <c r="H193">
        <v>1</v>
      </c>
      <c r="I193">
        <v>10001</v>
      </c>
      <c r="J193">
        <v>30000</v>
      </c>
    </row>
    <row r="194" spans="2:10" x14ac:dyDescent="0.25">
      <c r="B194" t="s">
        <v>568</v>
      </c>
      <c r="C194">
        <v>0.16020000000000001</v>
      </c>
      <c r="D194">
        <v>0.36680000000000001</v>
      </c>
      <c r="E194">
        <v>6.8979999999999996E-3</v>
      </c>
      <c r="F194">
        <v>0</v>
      </c>
      <c r="G194">
        <v>0</v>
      </c>
      <c r="H194">
        <v>1</v>
      </c>
      <c r="I194">
        <v>10001</v>
      </c>
      <c r="J194">
        <v>30000</v>
      </c>
    </row>
    <row r="195" spans="2:10" x14ac:dyDescent="0.25">
      <c r="B195" t="s">
        <v>569</v>
      </c>
      <c r="C195">
        <v>0.25090000000000001</v>
      </c>
      <c r="D195">
        <v>0.43359999999999999</v>
      </c>
      <c r="E195">
        <v>7.633E-3</v>
      </c>
      <c r="F195">
        <v>0</v>
      </c>
      <c r="G195">
        <v>0</v>
      </c>
      <c r="H195">
        <v>1</v>
      </c>
      <c r="I195">
        <v>10001</v>
      </c>
      <c r="J195">
        <v>30000</v>
      </c>
    </row>
    <row r="196" spans="2:10" x14ac:dyDescent="0.25">
      <c r="B196" t="s">
        <v>570</v>
      </c>
      <c r="C196">
        <v>0.27510000000000001</v>
      </c>
      <c r="D196">
        <v>0.4466</v>
      </c>
      <c r="E196">
        <v>8.8940000000000009E-3</v>
      </c>
      <c r="F196">
        <v>0</v>
      </c>
      <c r="G196">
        <v>0</v>
      </c>
      <c r="H196">
        <v>1</v>
      </c>
      <c r="I196">
        <v>10001</v>
      </c>
      <c r="J196">
        <v>30000</v>
      </c>
    </row>
    <row r="197" spans="2:10" x14ac:dyDescent="0.25">
      <c r="B197" t="s">
        <v>571</v>
      </c>
      <c r="C197">
        <v>0.10100000000000001</v>
      </c>
      <c r="D197">
        <v>0.30130000000000001</v>
      </c>
      <c r="E197">
        <v>5.7460000000000002E-3</v>
      </c>
      <c r="F197">
        <v>0</v>
      </c>
      <c r="G197">
        <v>0</v>
      </c>
      <c r="H197">
        <v>1</v>
      </c>
      <c r="I197">
        <v>10001</v>
      </c>
      <c r="J197">
        <v>30000</v>
      </c>
    </row>
    <row r="198" spans="2:10" x14ac:dyDescent="0.25">
      <c r="B198" t="s">
        <v>572</v>
      </c>
      <c r="C198" s="13">
        <v>5.6669999999999995E-4</v>
      </c>
      <c r="D198">
        <v>2.3800000000000002E-2</v>
      </c>
      <c r="E198" s="13">
        <v>1.7090000000000001E-4</v>
      </c>
      <c r="F198">
        <v>0</v>
      </c>
      <c r="G198">
        <v>0</v>
      </c>
      <c r="H198">
        <v>0</v>
      </c>
      <c r="I198">
        <v>10001</v>
      </c>
      <c r="J198">
        <v>30000</v>
      </c>
    </row>
    <row r="199" spans="2:10" x14ac:dyDescent="0.25">
      <c r="B199" t="s">
        <v>573</v>
      </c>
      <c r="C199">
        <v>5.6670000000000002E-3</v>
      </c>
      <c r="D199">
        <v>7.5060000000000002E-2</v>
      </c>
      <c r="E199" s="13">
        <v>8.499E-4</v>
      </c>
      <c r="F199">
        <v>0</v>
      </c>
      <c r="G199">
        <v>0</v>
      </c>
      <c r="H199">
        <v>0</v>
      </c>
      <c r="I199">
        <v>10001</v>
      </c>
      <c r="J199">
        <v>30000</v>
      </c>
    </row>
    <row r="200" spans="2:10" x14ac:dyDescent="0.25">
      <c r="B200" t="s">
        <v>574</v>
      </c>
      <c r="C200">
        <v>3.5000000000000003E-2</v>
      </c>
      <c r="D200">
        <v>0.18379999999999999</v>
      </c>
      <c r="E200">
        <v>2.9580000000000001E-3</v>
      </c>
      <c r="F200">
        <v>0</v>
      </c>
      <c r="G200">
        <v>0</v>
      </c>
      <c r="H200">
        <v>1</v>
      </c>
      <c r="I200">
        <v>10001</v>
      </c>
      <c r="J200">
        <v>30000</v>
      </c>
    </row>
    <row r="201" spans="2:10" x14ac:dyDescent="0.25">
      <c r="B201" t="s">
        <v>575</v>
      </c>
      <c r="C201">
        <v>7.8E-2</v>
      </c>
      <c r="D201">
        <v>0.26819999999999999</v>
      </c>
      <c r="E201">
        <v>4.7889999999999999E-3</v>
      </c>
      <c r="F201">
        <v>0</v>
      </c>
      <c r="G201">
        <v>0</v>
      </c>
      <c r="H201">
        <v>1</v>
      </c>
      <c r="I201">
        <v>10001</v>
      </c>
      <c r="J201">
        <v>30000</v>
      </c>
    </row>
    <row r="202" spans="2:10" x14ac:dyDescent="0.25">
      <c r="B202" t="s">
        <v>576</v>
      </c>
      <c r="C202">
        <v>0.18129999999999999</v>
      </c>
      <c r="D202">
        <v>0.38529999999999998</v>
      </c>
      <c r="E202">
        <v>6.3400000000000001E-3</v>
      </c>
      <c r="F202">
        <v>0</v>
      </c>
      <c r="G202">
        <v>0</v>
      </c>
      <c r="H202">
        <v>1</v>
      </c>
      <c r="I202">
        <v>10001</v>
      </c>
      <c r="J202">
        <v>30000</v>
      </c>
    </row>
    <row r="203" spans="2:10" x14ac:dyDescent="0.25">
      <c r="B203" t="s">
        <v>577</v>
      </c>
      <c r="C203">
        <v>0.32629999999999998</v>
      </c>
      <c r="D203">
        <v>0.46879999999999999</v>
      </c>
      <c r="E203">
        <v>8.6429999999999996E-3</v>
      </c>
      <c r="F203">
        <v>0</v>
      </c>
      <c r="G203">
        <v>0</v>
      </c>
      <c r="H203">
        <v>1</v>
      </c>
      <c r="I203">
        <v>10001</v>
      </c>
      <c r="J203">
        <v>30000</v>
      </c>
    </row>
    <row r="204" spans="2:10" x14ac:dyDescent="0.25">
      <c r="B204" t="s">
        <v>578</v>
      </c>
      <c r="C204">
        <v>0.28539999999999999</v>
      </c>
      <c r="D204">
        <v>0.4516</v>
      </c>
      <c r="E204">
        <v>8.8970000000000004E-3</v>
      </c>
      <c r="F204">
        <v>0</v>
      </c>
      <c r="G204">
        <v>0</v>
      </c>
      <c r="H204">
        <v>1</v>
      </c>
      <c r="I204">
        <v>10001</v>
      </c>
      <c r="J204">
        <v>30000</v>
      </c>
    </row>
    <row r="205" spans="2:10" x14ac:dyDescent="0.25">
      <c r="B205" t="s">
        <v>579</v>
      </c>
      <c r="C205">
        <v>8.7730000000000002E-2</v>
      </c>
      <c r="D205">
        <v>0.28289999999999998</v>
      </c>
      <c r="E205">
        <v>6.6800000000000002E-3</v>
      </c>
      <c r="F205">
        <v>0</v>
      </c>
      <c r="G205">
        <v>0</v>
      </c>
      <c r="H205">
        <v>1</v>
      </c>
      <c r="I205">
        <v>10001</v>
      </c>
      <c r="J205">
        <v>30000</v>
      </c>
    </row>
    <row r="206" spans="2:10" x14ac:dyDescent="0.25">
      <c r="B206" t="s">
        <v>580</v>
      </c>
      <c r="C206">
        <v>3.5009999999999999</v>
      </c>
      <c r="D206">
        <v>2.3119999999999998</v>
      </c>
      <c r="E206">
        <v>4.6879999999999998E-2</v>
      </c>
      <c r="F206">
        <v>0.27010000000000001</v>
      </c>
      <c r="G206">
        <v>3.1059999999999999</v>
      </c>
      <c r="H206">
        <v>9.0790000000000006</v>
      </c>
      <c r="I206">
        <v>10001</v>
      </c>
      <c r="J206">
        <v>30000</v>
      </c>
    </row>
    <row r="207" spans="2:10" x14ac:dyDescent="0.25">
      <c r="B207" t="s">
        <v>581</v>
      </c>
      <c r="C207">
        <v>1.651</v>
      </c>
      <c r="D207">
        <v>1.675</v>
      </c>
      <c r="E207">
        <v>2.4410000000000001E-2</v>
      </c>
      <c r="F207">
        <v>4.1689999999999998E-2</v>
      </c>
      <c r="G207">
        <v>1.153</v>
      </c>
      <c r="H207">
        <v>6.1379999999999999</v>
      </c>
      <c r="I207">
        <v>10001</v>
      </c>
      <c r="J207">
        <v>30000</v>
      </c>
    </row>
    <row r="208" spans="2:10" x14ac:dyDescent="0.25">
      <c r="B208" t="s">
        <v>582</v>
      </c>
      <c r="C208">
        <v>1.4990000000000001</v>
      </c>
      <c r="D208">
        <v>1.595</v>
      </c>
      <c r="E208">
        <v>1.7659999999999999E-2</v>
      </c>
      <c r="F208">
        <v>3.4299999999999997E-2</v>
      </c>
      <c r="G208">
        <v>0.99650000000000005</v>
      </c>
      <c r="H208">
        <v>5.7880000000000003</v>
      </c>
      <c r="I208">
        <v>10001</v>
      </c>
      <c r="J208">
        <v>30000</v>
      </c>
    </row>
    <row r="209" spans="2:10" x14ac:dyDescent="0.25">
      <c r="B209" t="s">
        <v>583</v>
      </c>
      <c r="C209">
        <v>1.4350000000000001</v>
      </c>
      <c r="D209">
        <v>1.5349999999999999</v>
      </c>
      <c r="E209">
        <v>1.4789999999999999E-2</v>
      </c>
      <c r="F209">
        <v>3.4340000000000002E-2</v>
      </c>
      <c r="G209">
        <v>0.93730000000000002</v>
      </c>
      <c r="H209">
        <v>5.6520000000000001</v>
      </c>
      <c r="I209">
        <v>10001</v>
      </c>
      <c r="J209">
        <v>30000</v>
      </c>
    </row>
    <row r="210" spans="2:10" x14ac:dyDescent="0.25">
      <c r="B210" t="s">
        <v>584</v>
      </c>
      <c r="C210">
        <v>1.5269999999999999</v>
      </c>
      <c r="D210">
        <v>1.6060000000000001</v>
      </c>
      <c r="E210">
        <v>1.857E-2</v>
      </c>
      <c r="F210">
        <v>3.3739999999999999E-2</v>
      </c>
      <c r="G210">
        <v>1.0269999999999999</v>
      </c>
      <c r="H210">
        <v>5.8259999999999996</v>
      </c>
      <c r="I210">
        <v>10001</v>
      </c>
      <c r="J210">
        <v>30000</v>
      </c>
    </row>
    <row r="211" spans="2:10" x14ac:dyDescent="0.25">
      <c r="B211" t="s">
        <v>585</v>
      </c>
      <c r="C211">
        <v>1.9930000000000001</v>
      </c>
      <c r="D211">
        <v>1.631</v>
      </c>
      <c r="E211">
        <v>1.093E-2</v>
      </c>
      <c r="F211">
        <v>0.56220000000000003</v>
      </c>
      <c r="G211">
        <v>1.4179999999999999</v>
      </c>
      <c r="H211">
        <v>6.5730000000000004</v>
      </c>
      <c r="I211">
        <v>10001</v>
      </c>
      <c r="J211">
        <v>30000</v>
      </c>
    </row>
    <row r="212" spans="2:10" x14ac:dyDescent="0.25">
      <c r="B212" t="s">
        <v>586</v>
      </c>
      <c r="C212">
        <v>1.1599999999999999</v>
      </c>
      <c r="D212">
        <v>1.474</v>
      </c>
      <c r="E212">
        <v>9.4599999999999997E-3</v>
      </c>
      <c r="F212">
        <v>1.7659999999999999E-2</v>
      </c>
      <c r="G212">
        <v>0.62729999999999997</v>
      </c>
      <c r="H212">
        <v>5.3250000000000002</v>
      </c>
      <c r="I212">
        <v>10001</v>
      </c>
      <c r="J212">
        <v>30000</v>
      </c>
    </row>
    <row r="213" spans="2:10" x14ac:dyDescent="0.25">
      <c r="B213" t="s">
        <v>587</v>
      </c>
      <c r="C213">
        <v>1.2190000000000001</v>
      </c>
      <c r="D213">
        <v>1.4590000000000001</v>
      </c>
      <c r="E213">
        <v>9.979E-3</v>
      </c>
      <c r="F213">
        <v>2.2960000000000001E-2</v>
      </c>
      <c r="G213">
        <v>0.71489999999999998</v>
      </c>
      <c r="H213">
        <v>5.3369999999999997</v>
      </c>
      <c r="I213">
        <v>10001</v>
      </c>
      <c r="J213">
        <v>30000</v>
      </c>
    </row>
    <row r="214" spans="2:10" x14ac:dyDescent="0.25">
      <c r="B214" t="s">
        <v>588</v>
      </c>
      <c r="C214">
        <v>3.2930000000000001</v>
      </c>
      <c r="D214">
        <v>1.96</v>
      </c>
      <c r="E214">
        <v>3.3950000000000001E-2</v>
      </c>
      <c r="F214">
        <v>0.41410000000000002</v>
      </c>
      <c r="G214">
        <v>3.02</v>
      </c>
      <c r="H214">
        <v>8.0269999999999992</v>
      </c>
      <c r="I214">
        <v>10001</v>
      </c>
      <c r="J214">
        <v>30000</v>
      </c>
    </row>
    <row r="215" spans="2:10" x14ac:dyDescent="0.25">
      <c r="B215" t="s">
        <v>589</v>
      </c>
      <c r="C215">
        <v>2.0760000000000001</v>
      </c>
      <c r="D215">
        <v>2.1040000000000001</v>
      </c>
      <c r="E215">
        <v>3.6339999999999997E-2</v>
      </c>
      <c r="F215">
        <v>5.8569999999999997E-2</v>
      </c>
      <c r="G215">
        <v>1.4550000000000001</v>
      </c>
      <c r="H215">
        <v>7.6120000000000001</v>
      </c>
      <c r="I215">
        <v>10001</v>
      </c>
      <c r="J215">
        <v>30000</v>
      </c>
    </row>
    <row r="216" spans="2:10" x14ac:dyDescent="0.25">
      <c r="B216" t="s">
        <v>590</v>
      </c>
      <c r="C216">
        <v>2.2810000000000001</v>
      </c>
      <c r="D216">
        <v>1.9830000000000001</v>
      </c>
      <c r="E216">
        <v>3.3439999999999998E-2</v>
      </c>
      <c r="F216">
        <v>7.893E-2</v>
      </c>
      <c r="G216">
        <v>1.772</v>
      </c>
      <c r="H216">
        <v>7.46</v>
      </c>
      <c r="I216">
        <v>10001</v>
      </c>
      <c r="J216">
        <v>30000</v>
      </c>
    </row>
    <row r="217" spans="2:10" x14ac:dyDescent="0.25">
      <c r="B217" t="s">
        <v>591</v>
      </c>
      <c r="C217">
        <v>1.3440000000000001</v>
      </c>
      <c r="D217">
        <v>1.51</v>
      </c>
      <c r="E217">
        <v>1.2149999999999999E-2</v>
      </c>
      <c r="F217">
        <v>2.8709999999999999E-2</v>
      </c>
      <c r="G217">
        <v>0.83660000000000001</v>
      </c>
      <c r="H217">
        <v>5.5380000000000003</v>
      </c>
      <c r="I217">
        <v>10001</v>
      </c>
      <c r="J217">
        <v>30000</v>
      </c>
    </row>
    <row r="218" spans="2:10" x14ac:dyDescent="0.25">
      <c r="B218" t="s">
        <v>592</v>
      </c>
      <c r="C218">
        <v>2.1110000000000002</v>
      </c>
      <c r="D218">
        <v>1.8120000000000001</v>
      </c>
      <c r="E218">
        <v>2.7650000000000001E-2</v>
      </c>
      <c r="F218">
        <v>8.6470000000000005E-2</v>
      </c>
      <c r="G218">
        <v>1.6739999999999999</v>
      </c>
      <c r="H218">
        <v>6.8319999999999999</v>
      </c>
      <c r="I218">
        <v>10001</v>
      </c>
      <c r="J218">
        <v>30000</v>
      </c>
    </row>
    <row r="219" spans="2:10" x14ac:dyDescent="0.25">
      <c r="B219" t="s">
        <v>593</v>
      </c>
      <c r="C219">
        <v>2.048</v>
      </c>
      <c r="D219">
        <v>2.0259999999999998</v>
      </c>
      <c r="E219">
        <v>3.184E-2</v>
      </c>
      <c r="F219">
        <v>5.2999999999999999E-2</v>
      </c>
      <c r="G219">
        <v>1.4430000000000001</v>
      </c>
      <c r="H219">
        <v>7.4580000000000002</v>
      </c>
      <c r="I219">
        <v>10001</v>
      </c>
      <c r="J219">
        <v>30000</v>
      </c>
    </row>
    <row r="220" spans="2:10" x14ac:dyDescent="0.25">
      <c r="B220" t="s">
        <v>594</v>
      </c>
      <c r="C220">
        <v>4.056</v>
      </c>
      <c r="D220">
        <v>1.9319999999999999</v>
      </c>
      <c r="E220">
        <v>3.1040000000000002E-2</v>
      </c>
      <c r="F220">
        <v>1.0429999999999999</v>
      </c>
      <c r="G220">
        <v>3.806</v>
      </c>
      <c r="H220">
        <v>8.7799999999999994</v>
      </c>
      <c r="I220">
        <v>10001</v>
      </c>
      <c r="J220">
        <v>30000</v>
      </c>
    </row>
    <row r="221" spans="2:10" x14ac:dyDescent="0.25">
      <c r="B221" t="s">
        <v>595</v>
      </c>
      <c r="C221">
        <v>1.1739999999999999</v>
      </c>
      <c r="D221">
        <v>1.542</v>
      </c>
      <c r="E221">
        <v>9.5469999999999999E-3</v>
      </c>
      <c r="F221">
        <v>1.4500000000000001E-2</v>
      </c>
      <c r="G221">
        <v>0.5907</v>
      </c>
      <c r="H221">
        <v>5.4850000000000003</v>
      </c>
      <c r="I221">
        <v>10001</v>
      </c>
      <c r="J221">
        <v>30000</v>
      </c>
    </row>
    <row r="222" spans="2:10" x14ac:dyDescent="0.25">
      <c r="B222" t="s">
        <v>596</v>
      </c>
      <c r="C222">
        <v>1.595</v>
      </c>
      <c r="D222">
        <v>1.6359999999999999</v>
      </c>
      <c r="E222">
        <v>2.4510000000000001E-2</v>
      </c>
      <c r="F222">
        <v>3.6229999999999998E-2</v>
      </c>
      <c r="G222">
        <v>1.093</v>
      </c>
      <c r="H222">
        <v>5.976</v>
      </c>
      <c r="I222">
        <v>10001</v>
      </c>
      <c r="J222">
        <v>30000</v>
      </c>
    </row>
    <row r="223" spans="2:10" x14ac:dyDescent="0.25">
      <c r="B223" t="s">
        <v>597</v>
      </c>
      <c r="C223">
        <v>1.3460000000000001</v>
      </c>
      <c r="D223">
        <v>1.514</v>
      </c>
      <c r="E223">
        <v>1.2529999999999999E-2</v>
      </c>
      <c r="F223">
        <v>2.86E-2</v>
      </c>
      <c r="G223">
        <v>0.83609999999999995</v>
      </c>
      <c r="H223">
        <v>5.5430000000000001</v>
      </c>
      <c r="I223">
        <v>10001</v>
      </c>
      <c r="J223">
        <v>30000</v>
      </c>
    </row>
    <row r="224" spans="2:10" x14ac:dyDescent="0.25">
      <c r="B224" t="s">
        <v>598</v>
      </c>
      <c r="C224">
        <v>1.5980000000000001</v>
      </c>
      <c r="D224">
        <v>1.6439999999999999</v>
      </c>
      <c r="E224">
        <v>1.7239999999999998E-2</v>
      </c>
      <c r="F224">
        <v>3.8039999999999997E-2</v>
      </c>
      <c r="G224">
        <v>1.0940000000000001</v>
      </c>
      <c r="H224">
        <v>6.0220000000000002</v>
      </c>
      <c r="I224">
        <v>10001</v>
      </c>
      <c r="J224">
        <v>30000</v>
      </c>
    </row>
    <row r="225" spans="2:10" x14ac:dyDescent="0.25">
      <c r="B225" t="s">
        <v>599</v>
      </c>
      <c r="C225">
        <v>1.4650000000000001</v>
      </c>
      <c r="D225">
        <v>1.56</v>
      </c>
      <c r="E225">
        <v>1.4030000000000001E-2</v>
      </c>
      <c r="F225">
        <v>3.6159999999999998E-2</v>
      </c>
      <c r="G225">
        <v>0.96879999999999999</v>
      </c>
      <c r="H225">
        <v>5.7439999999999998</v>
      </c>
      <c r="I225">
        <v>10001</v>
      </c>
      <c r="J225">
        <v>30000</v>
      </c>
    </row>
    <row r="226" spans="2:10" x14ac:dyDescent="0.25">
      <c r="B226" t="s">
        <v>600</v>
      </c>
      <c r="C226">
        <v>1.516</v>
      </c>
      <c r="D226">
        <v>1.58</v>
      </c>
      <c r="E226">
        <v>1.6389999999999998E-2</v>
      </c>
      <c r="F226">
        <v>3.7240000000000002E-2</v>
      </c>
      <c r="G226">
        <v>1.022</v>
      </c>
      <c r="H226">
        <v>5.8010000000000002</v>
      </c>
      <c r="I226">
        <v>10001</v>
      </c>
      <c r="J226">
        <v>30000</v>
      </c>
    </row>
    <row r="227" spans="2:10" x14ac:dyDescent="0.25">
      <c r="B227" t="s">
        <v>601</v>
      </c>
      <c r="C227">
        <v>1.43</v>
      </c>
      <c r="D227">
        <v>1.5189999999999999</v>
      </c>
      <c r="E227">
        <v>1.2630000000000001E-2</v>
      </c>
      <c r="F227">
        <v>4.2099999999999999E-2</v>
      </c>
      <c r="G227">
        <v>0.95760000000000001</v>
      </c>
      <c r="H227">
        <v>5.6749999999999998</v>
      </c>
      <c r="I227">
        <v>10001</v>
      </c>
      <c r="J227">
        <v>30000</v>
      </c>
    </row>
    <row r="228" spans="2:10" x14ac:dyDescent="0.25">
      <c r="B228" t="s">
        <v>602</v>
      </c>
      <c r="C228">
        <v>1.296</v>
      </c>
      <c r="D228">
        <v>1.494</v>
      </c>
      <c r="E228">
        <v>1.0670000000000001E-2</v>
      </c>
      <c r="F228">
        <v>3.5340000000000003E-2</v>
      </c>
      <c r="G228">
        <v>0.77459999999999996</v>
      </c>
      <c r="H228">
        <v>5.5149999999999997</v>
      </c>
      <c r="I228">
        <v>10001</v>
      </c>
      <c r="J228">
        <v>30000</v>
      </c>
    </row>
    <row r="229" spans="2:10" x14ac:dyDescent="0.25">
      <c r="B229" t="s">
        <v>603</v>
      </c>
      <c r="C229">
        <v>3.0329999999999999</v>
      </c>
      <c r="D229">
        <v>2.1139999999999999</v>
      </c>
      <c r="E229">
        <v>4.8379999999999999E-2</v>
      </c>
      <c r="F229">
        <v>0.23169999999999999</v>
      </c>
      <c r="G229">
        <v>2.625</v>
      </c>
      <c r="H229">
        <v>8.1989999999999998</v>
      </c>
      <c r="I229">
        <v>10001</v>
      </c>
      <c r="J229">
        <v>30000</v>
      </c>
    </row>
    <row r="230" spans="2:10" x14ac:dyDescent="0.25">
      <c r="B230" t="s">
        <v>604</v>
      </c>
      <c r="C230">
        <v>2.452</v>
      </c>
      <c r="D230">
        <v>2.0179999999999998</v>
      </c>
      <c r="E230">
        <v>3.8330000000000003E-2</v>
      </c>
      <c r="F230">
        <v>9.9159999999999998E-2</v>
      </c>
      <c r="G230">
        <v>1.976</v>
      </c>
      <c r="H230">
        <v>7.5019999999999998</v>
      </c>
      <c r="I230">
        <v>10001</v>
      </c>
      <c r="J230">
        <v>30000</v>
      </c>
    </row>
    <row r="231" spans="2:10" x14ac:dyDescent="0.25">
      <c r="B231" t="s">
        <v>605</v>
      </c>
      <c r="C231">
        <v>1.21</v>
      </c>
      <c r="D231">
        <v>1.4790000000000001</v>
      </c>
      <c r="E231">
        <v>9.4669999999999997E-3</v>
      </c>
      <c r="F231">
        <v>2.2079999999999999E-2</v>
      </c>
      <c r="G231">
        <v>0.6925</v>
      </c>
      <c r="H231">
        <v>5.3479999999999999</v>
      </c>
      <c r="I231">
        <v>10001</v>
      </c>
      <c r="J231">
        <v>30000</v>
      </c>
    </row>
    <row r="232" spans="2:10" x14ac:dyDescent="0.25">
      <c r="B232" t="s">
        <v>606</v>
      </c>
      <c r="C232">
        <v>2.63</v>
      </c>
      <c r="D232">
        <v>1.8460000000000001</v>
      </c>
      <c r="E232">
        <v>2.597E-2</v>
      </c>
      <c r="F232">
        <v>0.2586</v>
      </c>
      <c r="G232">
        <v>2.2389999999999999</v>
      </c>
      <c r="H232">
        <v>7.2969999999999997</v>
      </c>
      <c r="I232">
        <v>10001</v>
      </c>
      <c r="J232">
        <v>30000</v>
      </c>
    </row>
    <row r="233" spans="2:10" x14ac:dyDescent="0.25">
      <c r="B233" t="s">
        <v>607</v>
      </c>
      <c r="C233">
        <v>2.323</v>
      </c>
      <c r="D233">
        <v>1.893</v>
      </c>
      <c r="E233">
        <v>3.3849999999999998E-2</v>
      </c>
      <c r="F233">
        <v>9.9250000000000005E-2</v>
      </c>
      <c r="G233">
        <v>1.8859999999999999</v>
      </c>
      <c r="H233">
        <v>7.181</v>
      </c>
      <c r="I233">
        <v>10001</v>
      </c>
      <c r="J233">
        <v>30000</v>
      </c>
    </row>
    <row r="234" spans="2:10" x14ac:dyDescent="0.25">
      <c r="B234" t="s">
        <v>608</v>
      </c>
      <c r="C234">
        <v>1.19</v>
      </c>
      <c r="D234">
        <v>1.4339999999999999</v>
      </c>
      <c r="E234">
        <v>9.3080000000000003E-3</v>
      </c>
      <c r="F234">
        <v>1.9179999999999999E-2</v>
      </c>
      <c r="G234">
        <v>0.68230000000000002</v>
      </c>
      <c r="H234">
        <v>5.2960000000000003</v>
      </c>
      <c r="I234">
        <v>10001</v>
      </c>
      <c r="J234">
        <v>30000</v>
      </c>
    </row>
    <row r="235" spans="2:10" x14ac:dyDescent="0.25">
      <c r="B235" t="s">
        <v>609</v>
      </c>
      <c r="C235">
        <v>1.681</v>
      </c>
      <c r="D235">
        <v>1.548</v>
      </c>
      <c r="E235">
        <v>1.401E-2</v>
      </c>
      <c r="F235">
        <v>0.1057</v>
      </c>
      <c r="G235">
        <v>1.2390000000000001</v>
      </c>
      <c r="H235">
        <v>5.9649999999999999</v>
      </c>
      <c r="I235">
        <v>10001</v>
      </c>
      <c r="J235">
        <v>30000</v>
      </c>
    </row>
    <row r="236" spans="2:10" x14ac:dyDescent="0.25">
      <c r="B236" t="s">
        <v>610</v>
      </c>
      <c r="C236">
        <v>2.0880000000000001</v>
      </c>
      <c r="D236">
        <v>1.823</v>
      </c>
      <c r="E236">
        <v>3.1130000000000001E-2</v>
      </c>
      <c r="F236">
        <v>8.2229999999999998E-2</v>
      </c>
      <c r="G236">
        <v>1.597</v>
      </c>
      <c r="H236">
        <v>6.8129999999999997</v>
      </c>
      <c r="I236">
        <v>10001</v>
      </c>
      <c r="J236">
        <v>30000</v>
      </c>
    </row>
    <row r="237" spans="2:10" x14ac:dyDescent="0.25">
      <c r="B237" t="s">
        <v>611</v>
      </c>
      <c r="C237">
        <v>1.528</v>
      </c>
      <c r="D237">
        <v>1.591</v>
      </c>
      <c r="E237">
        <v>1.8259999999999998E-2</v>
      </c>
      <c r="F237">
        <v>3.9510000000000003E-2</v>
      </c>
      <c r="G237">
        <v>1.0309999999999999</v>
      </c>
      <c r="H237">
        <v>5.9050000000000002</v>
      </c>
      <c r="I237">
        <v>10001</v>
      </c>
      <c r="J237">
        <v>30000</v>
      </c>
    </row>
    <row r="238" spans="2:10" x14ac:dyDescent="0.25">
      <c r="B238" t="s">
        <v>612</v>
      </c>
      <c r="C238">
        <v>3.7120000000000002</v>
      </c>
      <c r="D238">
        <v>1.1140000000000001</v>
      </c>
      <c r="E238">
        <v>3.0720000000000001E-2</v>
      </c>
      <c r="F238">
        <v>2</v>
      </c>
      <c r="G238">
        <v>4</v>
      </c>
      <c r="H238">
        <v>6</v>
      </c>
      <c r="I238">
        <v>10001</v>
      </c>
      <c r="J238">
        <v>30000</v>
      </c>
    </row>
    <row r="239" spans="2:10" x14ac:dyDescent="0.25">
      <c r="B239" t="s">
        <v>613</v>
      </c>
      <c r="C239">
        <v>4.492</v>
      </c>
      <c r="D239">
        <v>1.147</v>
      </c>
      <c r="E239">
        <v>2.6749999999999999E-2</v>
      </c>
      <c r="F239">
        <v>2</v>
      </c>
      <c r="G239">
        <v>4</v>
      </c>
      <c r="H239">
        <v>7</v>
      </c>
      <c r="I239">
        <v>10001</v>
      </c>
      <c r="J239">
        <v>30000</v>
      </c>
    </row>
    <row r="240" spans="2:10" x14ac:dyDescent="0.25">
      <c r="B240" t="s">
        <v>614</v>
      </c>
      <c r="C240">
        <v>1.887</v>
      </c>
      <c r="D240">
        <v>0.879</v>
      </c>
      <c r="E240">
        <v>2.1919999999999999E-2</v>
      </c>
      <c r="F240">
        <v>1</v>
      </c>
      <c r="G240">
        <v>2</v>
      </c>
      <c r="H240">
        <v>4</v>
      </c>
      <c r="I240">
        <v>10001</v>
      </c>
      <c r="J240">
        <v>30000</v>
      </c>
    </row>
    <row r="241" spans="1:10" x14ac:dyDescent="0.25">
      <c r="B241" t="s">
        <v>615</v>
      </c>
      <c r="C241">
        <v>1.9890000000000001</v>
      </c>
      <c r="D241">
        <v>1.4530000000000001</v>
      </c>
      <c r="E241">
        <v>3.7920000000000002E-2</v>
      </c>
      <c r="F241">
        <v>1</v>
      </c>
      <c r="G241">
        <v>1</v>
      </c>
      <c r="H241">
        <v>6</v>
      </c>
      <c r="I241">
        <v>10001</v>
      </c>
      <c r="J241">
        <v>30000</v>
      </c>
    </row>
    <row r="242" spans="1:10" x14ac:dyDescent="0.25">
      <c r="B242" t="s">
        <v>616</v>
      </c>
      <c r="C242">
        <v>7.157</v>
      </c>
      <c r="D242">
        <v>1.5469999999999999</v>
      </c>
      <c r="E242">
        <v>3.3790000000000001E-2</v>
      </c>
      <c r="F242">
        <v>2</v>
      </c>
      <c r="G242">
        <v>8</v>
      </c>
      <c r="H242">
        <v>8</v>
      </c>
      <c r="I242">
        <v>10001</v>
      </c>
      <c r="J242">
        <v>30000</v>
      </c>
    </row>
    <row r="243" spans="1:10" x14ac:dyDescent="0.25">
      <c r="B243" t="s">
        <v>617</v>
      </c>
      <c r="C243">
        <v>5.0170000000000003</v>
      </c>
      <c r="D243">
        <v>2.3109999999999999</v>
      </c>
      <c r="E243">
        <v>6.114E-2</v>
      </c>
      <c r="F243">
        <v>1</v>
      </c>
      <c r="G243">
        <v>5</v>
      </c>
      <c r="H243">
        <v>8</v>
      </c>
      <c r="I243">
        <v>10001</v>
      </c>
      <c r="J243">
        <v>30000</v>
      </c>
    </row>
    <row r="244" spans="1:10" x14ac:dyDescent="0.25">
      <c r="B244" t="s">
        <v>618</v>
      </c>
      <c r="C244">
        <v>5.7539999999999996</v>
      </c>
      <c r="D244">
        <v>1.548</v>
      </c>
      <c r="E244">
        <v>4.1360000000000001E-2</v>
      </c>
      <c r="F244">
        <v>2</v>
      </c>
      <c r="G244">
        <v>6</v>
      </c>
      <c r="H244">
        <v>8</v>
      </c>
      <c r="I244">
        <v>10001</v>
      </c>
      <c r="J244">
        <v>30000</v>
      </c>
    </row>
    <row r="245" spans="1:10" x14ac:dyDescent="0.25">
      <c r="B245" t="s">
        <v>619</v>
      </c>
      <c r="C245">
        <v>5.9930000000000003</v>
      </c>
      <c r="D245">
        <v>1.2450000000000001</v>
      </c>
      <c r="E245">
        <v>3.0550000000000001E-2</v>
      </c>
      <c r="F245">
        <v>3</v>
      </c>
      <c r="G245">
        <v>6</v>
      </c>
      <c r="H245">
        <v>8</v>
      </c>
      <c r="I245">
        <v>10001</v>
      </c>
      <c r="J245">
        <v>30000</v>
      </c>
    </row>
    <row r="246" spans="1:10" x14ac:dyDescent="0.25">
      <c r="B246" t="s">
        <v>681</v>
      </c>
      <c r="C246">
        <v>0.2203</v>
      </c>
      <c r="D246">
        <v>0.14099999999999999</v>
      </c>
      <c r="E246">
        <v>5.3880000000000004E-3</v>
      </c>
      <c r="F246">
        <v>1.238E-2</v>
      </c>
      <c r="G246">
        <v>0.2031</v>
      </c>
      <c r="H246">
        <v>0.5413</v>
      </c>
      <c r="I246">
        <v>10001</v>
      </c>
      <c r="J246">
        <v>30000</v>
      </c>
    </row>
    <row r="247" spans="1:10" x14ac:dyDescent="0.25">
      <c r="B247" t="s">
        <v>620</v>
      </c>
      <c r="C247">
        <v>60.75</v>
      </c>
      <c r="D247">
        <v>9.8160000000000007</v>
      </c>
      <c r="E247">
        <v>0.13930000000000001</v>
      </c>
      <c r="F247">
        <v>43.12</v>
      </c>
      <c r="G247">
        <v>60.17</v>
      </c>
      <c r="H247">
        <v>81.790000000000006</v>
      </c>
      <c r="I247">
        <v>10001</v>
      </c>
      <c r="J247">
        <v>30000</v>
      </c>
    </row>
    <row r="248" spans="1:10" x14ac:dyDescent="0.25">
      <c r="A248" t="s">
        <v>621</v>
      </c>
    </row>
    <row r="250" spans="1:10" x14ac:dyDescent="0.25">
      <c r="A250" t="s">
        <v>622</v>
      </c>
    </row>
    <row r="251" spans="1:10" x14ac:dyDescent="0.25">
      <c r="A251" t="s">
        <v>623</v>
      </c>
    </row>
    <row r="252" spans="1:10" x14ac:dyDescent="0.25">
      <c r="B252" t="s">
        <v>624</v>
      </c>
      <c r="C252" t="s">
        <v>625</v>
      </c>
      <c r="D252" t="s">
        <v>626</v>
      </c>
      <c r="E252" t="s">
        <v>622</v>
      </c>
    </row>
    <row r="253" spans="1:10" x14ac:dyDescent="0.25">
      <c r="A253" t="s">
        <v>627</v>
      </c>
      <c r="B253">
        <v>291.81299999999999</v>
      </c>
      <c r="C253">
        <v>248.214</v>
      </c>
      <c r="D253">
        <v>43.598999999999997</v>
      </c>
      <c r="E253">
        <v>335.41199999999998</v>
      </c>
    </row>
    <row r="254" spans="1:10" x14ac:dyDescent="0.25">
      <c r="A254" t="s">
        <v>628</v>
      </c>
      <c r="B254">
        <v>291.81299999999999</v>
      </c>
      <c r="C254">
        <v>248.214</v>
      </c>
      <c r="D254">
        <v>43.598999999999997</v>
      </c>
      <c r="E254">
        <v>335.41199999999998</v>
      </c>
    </row>
    <row r="255" spans="1:10" x14ac:dyDescent="0.25">
      <c r="A255" t="s">
        <v>629</v>
      </c>
    </row>
    <row r="257" spans="1:1" x14ac:dyDescent="0.25">
      <c r="A257" t="s">
        <v>630</v>
      </c>
    </row>
    <row r="259" spans="1:1" x14ac:dyDescent="0.25">
      <c r="A259" t="s">
        <v>631</v>
      </c>
    </row>
    <row r="261" spans="1:1" x14ac:dyDescent="0.25">
      <c r="A261" t="s">
        <v>632</v>
      </c>
    </row>
    <row r="263" spans="1:1" x14ac:dyDescent="0.25">
      <c r="A263" t="s">
        <v>732</v>
      </c>
    </row>
  </sheetData>
  <dataConsolidate/>
  <pageMargins left="0.7" right="0.7" top="0.75" bottom="0.75" header="0.3" footer="0.3"/>
  <customProperties>
    <customPr name="SSCSheetTrackingNo" r:id="rId1"/>
  </customPropertie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rgb="FFC00000"/>
  </sheetPr>
  <dimension ref="A1:J263"/>
  <sheetViews>
    <sheetView showGridLines="0" topLeftCell="A31" workbookViewId="0">
      <selection activeCell="L16" sqref="L16"/>
    </sheetView>
  </sheetViews>
  <sheetFormatPr defaultRowHeight="15" x14ac:dyDescent="0.25"/>
  <sheetData>
    <row r="1" spans="1:1" hidden="1" x14ac:dyDescent="0.25">
      <c r="A1" t="s">
        <v>384</v>
      </c>
    </row>
    <row r="2" spans="1:1" hidden="1" x14ac:dyDescent="0.25">
      <c r="A2" t="s">
        <v>675</v>
      </c>
    </row>
    <row r="3" spans="1:1" hidden="1" x14ac:dyDescent="0.25">
      <c r="A3" t="s">
        <v>388</v>
      </c>
    </row>
    <row r="4" spans="1:1" hidden="1" x14ac:dyDescent="0.25">
      <c r="A4" t="s">
        <v>389</v>
      </c>
    </row>
    <row r="5" spans="1:1" hidden="1" x14ac:dyDescent="0.25">
      <c r="A5" t="s">
        <v>390</v>
      </c>
    </row>
    <row r="6" spans="1:1" hidden="1" x14ac:dyDescent="0.25">
      <c r="A6" t="s">
        <v>391</v>
      </c>
    </row>
    <row r="7" spans="1:1" hidden="1" x14ac:dyDescent="0.25">
      <c r="A7" t="s">
        <v>390</v>
      </c>
    </row>
    <row r="8" spans="1:1" hidden="1" x14ac:dyDescent="0.25">
      <c r="A8" t="s">
        <v>21</v>
      </c>
    </row>
    <row r="9" spans="1:1" hidden="1" x14ac:dyDescent="0.25">
      <c r="A9" t="s">
        <v>392</v>
      </c>
    </row>
    <row r="10" spans="1:1" hidden="1" x14ac:dyDescent="0.25">
      <c r="A10" t="s">
        <v>676</v>
      </c>
    </row>
    <row r="11" spans="1:1" hidden="1" x14ac:dyDescent="0.25">
      <c r="A11" t="s">
        <v>677</v>
      </c>
    </row>
    <row r="12" spans="1:1" hidden="1" x14ac:dyDescent="0.25">
      <c r="A12" t="s">
        <v>678</v>
      </c>
    </row>
    <row r="13" spans="1:1" hidden="1" x14ac:dyDescent="0.25">
      <c r="A13" t="s">
        <v>677</v>
      </c>
    </row>
    <row r="14" spans="1:1" hidden="1" x14ac:dyDescent="0.25">
      <c r="A14" t="s">
        <v>679</v>
      </c>
    </row>
    <row r="15" spans="1:1" hidden="1" x14ac:dyDescent="0.25">
      <c r="A15" t="s">
        <v>677</v>
      </c>
    </row>
    <row r="16" spans="1:1" hidden="1" x14ac:dyDescent="0.25">
      <c r="A16" t="s">
        <v>23</v>
      </c>
    </row>
    <row r="17" spans="1:1" hidden="1" x14ac:dyDescent="0.25">
      <c r="A17" t="s">
        <v>680</v>
      </c>
    </row>
    <row r="18" spans="1:1" hidden="1" x14ac:dyDescent="0.25">
      <c r="A18" t="s">
        <v>731</v>
      </c>
    </row>
    <row r="19" spans="1:1" hidden="1" x14ac:dyDescent="0.25">
      <c r="A19" t="s">
        <v>393</v>
      </c>
    </row>
    <row r="20" spans="1:1" hidden="1" x14ac:dyDescent="0.25">
      <c r="A20" t="s">
        <v>394</v>
      </c>
    </row>
    <row r="21" spans="1:1" hidden="1" x14ac:dyDescent="0.25">
      <c r="A21" t="s">
        <v>395</v>
      </c>
    </row>
    <row r="22" spans="1:1" hidden="1" x14ac:dyDescent="0.25">
      <c r="A22" t="s">
        <v>396</v>
      </c>
    </row>
    <row r="23" spans="1:1" hidden="1" x14ac:dyDescent="0.25">
      <c r="A23" t="s">
        <v>397</v>
      </c>
    </row>
    <row r="24" spans="1:1" hidden="1" x14ac:dyDescent="0.25">
      <c r="A24" t="s">
        <v>398</v>
      </c>
    </row>
    <row r="25" spans="1:1" hidden="1" x14ac:dyDescent="0.25">
      <c r="A25" t="s">
        <v>399</v>
      </c>
    </row>
    <row r="26" spans="1:1" hidden="1" x14ac:dyDescent="0.25">
      <c r="A26" t="s">
        <v>197</v>
      </c>
    </row>
    <row r="27" spans="1:1" hidden="1" x14ac:dyDescent="0.25">
      <c r="A27" t="s">
        <v>199</v>
      </c>
    </row>
    <row r="28" spans="1:1" hidden="1" x14ac:dyDescent="0.25">
      <c r="A28" t="s">
        <v>261</v>
      </c>
    </row>
    <row r="29" spans="1:1" hidden="1" x14ac:dyDescent="0.25">
      <c r="A29" t="s">
        <v>731</v>
      </c>
    </row>
    <row r="30" spans="1:1" hidden="1" x14ac:dyDescent="0.25">
      <c r="A30" t="s">
        <v>387</v>
      </c>
    </row>
    <row r="32" spans="1:1" x14ac:dyDescent="0.25">
      <c r="A32" t="s">
        <v>400</v>
      </c>
    </row>
    <row r="33" spans="2:10" x14ac:dyDescent="0.25">
      <c r="B33" t="s">
        <v>401</v>
      </c>
      <c r="C33" t="s">
        <v>402</v>
      </c>
      <c r="D33" t="s">
        <v>403</v>
      </c>
      <c r="E33" t="s">
        <v>404</v>
      </c>
      <c r="F33" s="12">
        <v>2.5000000000000001E-2</v>
      </c>
      <c r="G33" t="s">
        <v>405</v>
      </c>
      <c r="H33" s="12">
        <v>0.97499999999999998</v>
      </c>
      <c r="I33" t="s">
        <v>406</v>
      </c>
      <c r="J33" t="s">
        <v>407</v>
      </c>
    </row>
    <row r="34" spans="2:10" x14ac:dyDescent="0.25">
      <c r="B34" t="s">
        <v>408</v>
      </c>
      <c r="C34">
        <v>1.1160000000000001</v>
      </c>
      <c r="D34">
        <v>0.17019999999999999</v>
      </c>
      <c r="E34">
        <v>5.3470000000000002E-3</v>
      </c>
      <c r="F34">
        <v>0.82569999999999999</v>
      </c>
      <c r="G34">
        <v>1.101</v>
      </c>
      <c r="H34">
        <v>1.488</v>
      </c>
      <c r="I34">
        <v>10001</v>
      </c>
      <c r="J34">
        <v>30000</v>
      </c>
    </row>
    <row r="35" spans="2:10" x14ac:dyDescent="0.25">
      <c r="B35" t="s">
        <v>409</v>
      </c>
      <c r="C35">
        <v>0.68679999999999997</v>
      </c>
      <c r="D35">
        <v>0.1749</v>
      </c>
      <c r="E35">
        <v>6.1399999999999996E-3</v>
      </c>
      <c r="F35">
        <v>0.40200000000000002</v>
      </c>
      <c r="G35">
        <v>0.6704</v>
      </c>
      <c r="H35">
        <v>1.069</v>
      </c>
      <c r="I35">
        <v>10001</v>
      </c>
      <c r="J35">
        <v>30000</v>
      </c>
    </row>
    <row r="36" spans="2:10" x14ac:dyDescent="0.25">
      <c r="B36" t="s">
        <v>410</v>
      </c>
      <c r="C36">
        <v>0.66200000000000003</v>
      </c>
      <c r="D36">
        <v>0.29110000000000003</v>
      </c>
      <c r="E36">
        <v>9.5460000000000007E-3</v>
      </c>
      <c r="F36">
        <v>0.26600000000000001</v>
      </c>
      <c r="G36">
        <v>0.61180000000000001</v>
      </c>
      <c r="H36">
        <v>1.3660000000000001</v>
      </c>
      <c r="I36">
        <v>10001</v>
      </c>
      <c r="J36">
        <v>30000</v>
      </c>
    </row>
    <row r="37" spans="2:10" x14ac:dyDescent="0.25">
      <c r="B37" t="s">
        <v>411</v>
      </c>
      <c r="C37">
        <v>2.794</v>
      </c>
      <c r="D37">
        <v>1.6990000000000001</v>
      </c>
      <c r="E37">
        <v>5.2170000000000001E-2</v>
      </c>
      <c r="F37">
        <v>0.78800000000000003</v>
      </c>
      <c r="G37">
        <v>2.3809999999999998</v>
      </c>
      <c r="H37">
        <v>7.3129999999999997</v>
      </c>
      <c r="I37">
        <v>10001</v>
      </c>
      <c r="J37">
        <v>30000</v>
      </c>
    </row>
    <row r="38" spans="2:10" x14ac:dyDescent="0.25">
      <c r="B38" t="s">
        <v>412</v>
      </c>
      <c r="C38">
        <v>1.397</v>
      </c>
      <c r="D38">
        <v>0.78180000000000005</v>
      </c>
      <c r="E38">
        <v>2.2460000000000001E-2</v>
      </c>
      <c r="F38">
        <v>0.44890000000000002</v>
      </c>
      <c r="G38">
        <v>1.2110000000000001</v>
      </c>
      <c r="H38">
        <v>3.355</v>
      </c>
      <c r="I38">
        <v>10001</v>
      </c>
      <c r="J38">
        <v>30000</v>
      </c>
    </row>
    <row r="39" spans="2:10" x14ac:dyDescent="0.25">
      <c r="B39" t="s">
        <v>413</v>
      </c>
      <c r="C39">
        <v>1.391</v>
      </c>
      <c r="D39">
        <v>0.35099999999999998</v>
      </c>
      <c r="E39">
        <v>1.0789999999999999E-2</v>
      </c>
      <c r="F39">
        <v>0.84740000000000004</v>
      </c>
      <c r="G39">
        <v>1.349</v>
      </c>
      <c r="H39">
        <v>2.2010000000000001</v>
      </c>
      <c r="I39">
        <v>10001</v>
      </c>
      <c r="J39">
        <v>30000</v>
      </c>
    </row>
    <row r="40" spans="2:10" x14ac:dyDescent="0.25">
      <c r="B40" t="s">
        <v>414</v>
      </c>
      <c r="C40">
        <v>1.4059999999999999</v>
      </c>
      <c r="D40">
        <v>0.30180000000000001</v>
      </c>
      <c r="E40">
        <v>1.038E-2</v>
      </c>
      <c r="F40">
        <v>0.91080000000000005</v>
      </c>
      <c r="G40">
        <v>1.373</v>
      </c>
      <c r="H40">
        <v>2.0920000000000001</v>
      </c>
      <c r="I40">
        <v>10001</v>
      </c>
      <c r="J40">
        <v>30000</v>
      </c>
    </row>
    <row r="41" spans="2:10" x14ac:dyDescent="0.25">
      <c r="B41" t="s">
        <v>415</v>
      </c>
      <c r="C41">
        <v>0.62209999999999999</v>
      </c>
      <c r="D41">
        <v>0.15709999999999999</v>
      </c>
      <c r="E41">
        <v>5.5779999999999996E-3</v>
      </c>
      <c r="F41">
        <v>0.36349999999999999</v>
      </c>
      <c r="G41">
        <v>0.61009999999999998</v>
      </c>
      <c r="H41">
        <v>0.98019999999999996</v>
      </c>
      <c r="I41">
        <v>10001</v>
      </c>
      <c r="J41">
        <v>30000</v>
      </c>
    </row>
    <row r="42" spans="2:10" x14ac:dyDescent="0.25">
      <c r="B42" t="s">
        <v>416</v>
      </c>
      <c r="C42">
        <v>0.6028</v>
      </c>
      <c r="D42">
        <v>0.27200000000000002</v>
      </c>
      <c r="E42">
        <v>8.8850000000000005E-3</v>
      </c>
      <c r="F42">
        <v>0.23250000000000001</v>
      </c>
      <c r="G42">
        <v>0.55430000000000001</v>
      </c>
      <c r="H42">
        <v>1.274</v>
      </c>
      <c r="I42">
        <v>10001</v>
      </c>
      <c r="J42">
        <v>30000</v>
      </c>
    </row>
    <row r="43" spans="2:10" x14ac:dyDescent="0.25">
      <c r="B43" t="s">
        <v>417</v>
      </c>
      <c r="C43">
        <v>2.4969999999999999</v>
      </c>
      <c r="D43">
        <v>1.444</v>
      </c>
      <c r="E43">
        <v>4.2450000000000002E-2</v>
      </c>
      <c r="F43">
        <v>0.76419999999999999</v>
      </c>
      <c r="G43">
        <v>2.1440000000000001</v>
      </c>
      <c r="H43">
        <v>6.32</v>
      </c>
      <c r="I43">
        <v>10001</v>
      </c>
      <c r="J43">
        <v>30000</v>
      </c>
    </row>
    <row r="44" spans="2:10" x14ac:dyDescent="0.25">
      <c r="B44" t="s">
        <v>418</v>
      </c>
      <c r="C44">
        <v>1.25</v>
      </c>
      <c r="D44">
        <v>0.6613</v>
      </c>
      <c r="E44">
        <v>1.8509999999999999E-2</v>
      </c>
      <c r="F44">
        <v>0.42899999999999999</v>
      </c>
      <c r="G44">
        <v>1.1000000000000001</v>
      </c>
      <c r="H44">
        <v>2.9060000000000001</v>
      </c>
      <c r="I44">
        <v>10001</v>
      </c>
      <c r="J44">
        <v>30000</v>
      </c>
    </row>
    <row r="45" spans="2:10" x14ac:dyDescent="0.25">
      <c r="B45" t="s">
        <v>419</v>
      </c>
      <c r="C45">
        <v>1.2729999999999999</v>
      </c>
      <c r="D45">
        <v>0.37169999999999997</v>
      </c>
      <c r="E45">
        <v>1.0999999999999999E-2</v>
      </c>
      <c r="F45">
        <v>0.71379999999999999</v>
      </c>
      <c r="G45">
        <v>1.218</v>
      </c>
      <c r="H45">
        <v>2.15</v>
      </c>
      <c r="I45">
        <v>10001</v>
      </c>
      <c r="J45">
        <v>30000</v>
      </c>
    </row>
    <row r="46" spans="2:10" x14ac:dyDescent="0.25">
      <c r="B46" t="s">
        <v>420</v>
      </c>
      <c r="C46">
        <v>1.2789999999999999</v>
      </c>
      <c r="D46">
        <v>0.29970000000000002</v>
      </c>
      <c r="E46">
        <v>9.7459999999999995E-3</v>
      </c>
      <c r="F46">
        <v>0.80089999999999995</v>
      </c>
      <c r="G46">
        <v>1.2410000000000001</v>
      </c>
      <c r="H46">
        <v>1.966</v>
      </c>
      <c r="I46">
        <v>10001</v>
      </c>
      <c r="J46">
        <v>30000</v>
      </c>
    </row>
    <row r="47" spans="2:10" x14ac:dyDescent="0.25">
      <c r="B47" t="s">
        <v>421</v>
      </c>
      <c r="C47">
        <v>0.98560000000000003</v>
      </c>
      <c r="D47">
        <v>0.40539999999999998</v>
      </c>
      <c r="E47">
        <v>1.363E-2</v>
      </c>
      <c r="F47">
        <v>0.4148</v>
      </c>
      <c r="G47">
        <v>0.91849999999999998</v>
      </c>
      <c r="H47">
        <v>1.9650000000000001</v>
      </c>
      <c r="I47">
        <v>10001</v>
      </c>
      <c r="J47">
        <v>30000</v>
      </c>
    </row>
    <row r="48" spans="2:10" x14ac:dyDescent="0.25">
      <c r="B48" t="s">
        <v>422</v>
      </c>
      <c r="C48">
        <v>4.2439999999999998</v>
      </c>
      <c r="D48">
        <v>2.6920000000000002</v>
      </c>
      <c r="E48">
        <v>7.9699999999999993E-2</v>
      </c>
      <c r="F48">
        <v>1.1459999999999999</v>
      </c>
      <c r="G48">
        <v>3.6160000000000001</v>
      </c>
      <c r="H48">
        <v>11.28</v>
      </c>
      <c r="I48">
        <v>10001</v>
      </c>
      <c r="J48">
        <v>30000</v>
      </c>
    </row>
    <row r="49" spans="2:10" x14ac:dyDescent="0.25">
      <c r="B49" t="s">
        <v>423</v>
      </c>
      <c r="C49">
        <v>2.14</v>
      </c>
      <c r="D49">
        <v>1.282</v>
      </c>
      <c r="E49">
        <v>3.8949999999999999E-2</v>
      </c>
      <c r="F49">
        <v>0.63129999999999997</v>
      </c>
      <c r="G49">
        <v>1.8149999999999999</v>
      </c>
      <c r="H49">
        <v>5.5209999999999999</v>
      </c>
      <c r="I49">
        <v>10001</v>
      </c>
      <c r="J49">
        <v>30000</v>
      </c>
    </row>
    <row r="50" spans="2:10" x14ac:dyDescent="0.25">
      <c r="B50" t="s">
        <v>424</v>
      </c>
      <c r="C50">
        <v>2.1560000000000001</v>
      </c>
      <c r="D50">
        <v>0.79310000000000003</v>
      </c>
      <c r="E50">
        <v>2.7230000000000001E-2</v>
      </c>
      <c r="F50">
        <v>1.03</v>
      </c>
      <c r="G50">
        <v>2.0190000000000001</v>
      </c>
      <c r="H50">
        <v>4.117</v>
      </c>
      <c r="I50">
        <v>10001</v>
      </c>
      <c r="J50">
        <v>30000</v>
      </c>
    </row>
    <row r="51" spans="2:10" x14ac:dyDescent="0.25">
      <c r="B51" t="s">
        <v>425</v>
      </c>
      <c r="C51">
        <v>2.1440000000000001</v>
      </c>
      <c r="D51">
        <v>0.59719999999999995</v>
      </c>
      <c r="E51">
        <v>2.1059999999999999E-2</v>
      </c>
      <c r="F51">
        <v>1.244</v>
      </c>
      <c r="G51">
        <v>2.056</v>
      </c>
      <c r="H51">
        <v>3.5630000000000002</v>
      </c>
      <c r="I51">
        <v>10001</v>
      </c>
      <c r="J51">
        <v>30000</v>
      </c>
    </row>
    <row r="52" spans="2:10" x14ac:dyDescent="0.25">
      <c r="B52" t="s">
        <v>426</v>
      </c>
      <c r="C52">
        <v>5.0270000000000001</v>
      </c>
      <c r="D52">
        <v>4.069</v>
      </c>
      <c r="E52">
        <v>0.13070000000000001</v>
      </c>
      <c r="F52">
        <v>0.98970000000000002</v>
      </c>
      <c r="G52">
        <v>3.899</v>
      </c>
      <c r="H52">
        <v>15.69</v>
      </c>
      <c r="I52">
        <v>10001</v>
      </c>
      <c r="J52">
        <v>30000</v>
      </c>
    </row>
    <row r="53" spans="2:10" x14ac:dyDescent="0.25">
      <c r="B53" t="s">
        <v>427</v>
      </c>
      <c r="C53">
        <v>2.5</v>
      </c>
      <c r="D53">
        <v>1.8360000000000001</v>
      </c>
      <c r="E53">
        <v>5.6149999999999999E-2</v>
      </c>
      <c r="F53">
        <v>0.57079999999999997</v>
      </c>
      <c r="G53">
        <v>1.998</v>
      </c>
      <c r="H53">
        <v>7.3170000000000002</v>
      </c>
      <c r="I53">
        <v>10001</v>
      </c>
      <c r="J53">
        <v>30000</v>
      </c>
    </row>
    <row r="54" spans="2:10" x14ac:dyDescent="0.25">
      <c r="B54" t="s">
        <v>428</v>
      </c>
      <c r="C54">
        <v>2.5169999999999999</v>
      </c>
      <c r="D54">
        <v>1.327</v>
      </c>
      <c r="E54">
        <v>4.4760000000000001E-2</v>
      </c>
      <c r="F54">
        <v>0.85070000000000001</v>
      </c>
      <c r="G54">
        <v>2.2210000000000001</v>
      </c>
      <c r="H54">
        <v>5.7869999999999999</v>
      </c>
      <c r="I54">
        <v>10001</v>
      </c>
      <c r="J54">
        <v>30000</v>
      </c>
    </row>
    <row r="55" spans="2:10" x14ac:dyDescent="0.25">
      <c r="B55" t="s">
        <v>429</v>
      </c>
      <c r="C55">
        <v>2.504</v>
      </c>
      <c r="D55">
        <v>1.177</v>
      </c>
      <c r="E55">
        <v>4.0430000000000001E-2</v>
      </c>
      <c r="F55">
        <v>0.96430000000000005</v>
      </c>
      <c r="G55">
        <v>2.2549999999999999</v>
      </c>
      <c r="H55">
        <v>5.4260000000000002</v>
      </c>
      <c r="I55">
        <v>10001</v>
      </c>
      <c r="J55">
        <v>30000</v>
      </c>
    </row>
    <row r="56" spans="2:10" x14ac:dyDescent="0.25">
      <c r="B56" t="s">
        <v>430</v>
      </c>
      <c r="C56">
        <v>0.66869999999999996</v>
      </c>
      <c r="D56">
        <v>0.58109999999999995</v>
      </c>
      <c r="E56">
        <v>1.4760000000000001E-2</v>
      </c>
      <c r="F56">
        <v>0.1168</v>
      </c>
      <c r="G56">
        <v>0.51719999999999999</v>
      </c>
      <c r="H56">
        <v>2.1339999999999999</v>
      </c>
      <c r="I56">
        <v>10001</v>
      </c>
      <c r="J56">
        <v>30000</v>
      </c>
    </row>
    <row r="57" spans="2:10" x14ac:dyDescent="0.25">
      <c r="B57" t="s">
        <v>431</v>
      </c>
      <c r="C57">
        <v>0.68220000000000003</v>
      </c>
      <c r="D57">
        <v>0.46160000000000001</v>
      </c>
      <c r="E57">
        <v>1.3429999999999999E-2</v>
      </c>
      <c r="F57">
        <v>0.16589999999999999</v>
      </c>
      <c r="G57">
        <v>0.57179999999999997</v>
      </c>
      <c r="H57">
        <v>1.8680000000000001</v>
      </c>
      <c r="I57">
        <v>10001</v>
      </c>
      <c r="J57">
        <v>30000</v>
      </c>
    </row>
    <row r="58" spans="2:10" x14ac:dyDescent="0.25">
      <c r="B58" t="s">
        <v>432</v>
      </c>
      <c r="C58">
        <v>0.68720000000000003</v>
      </c>
      <c r="D58">
        <v>0.45789999999999997</v>
      </c>
      <c r="E58">
        <v>1.384E-2</v>
      </c>
      <c r="F58">
        <v>0.19109999999999999</v>
      </c>
      <c r="G58">
        <v>0.56779999999999997</v>
      </c>
      <c r="H58">
        <v>1.9059999999999999</v>
      </c>
      <c r="I58">
        <v>10001</v>
      </c>
      <c r="J58">
        <v>30000</v>
      </c>
    </row>
    <row r="59" spans="2:10" x14ac:dyDescent="0.25">
      <c r="B59" t="s">
        <v>433</v>
      </c>
      <c r="C59">
        <v>1.2989999999999999</v>
      </c>
      <c r="D59">
        <v>0.80959999999999999</v>
      </c>
      <c r="E59">
        <v>2.197E-2</v>
      </c>
      <c r="F59">
        <v>0.3619</v>
      </c>
      <c r="G59">
        <v>1.1080000000000001</v>
      </c>
      <c r="H59">
        <v>3.4169999999999998</v>
      </c>
      <c r="I59">
        <v>10001</v>
      </c>
      <c r="J59">
        <v>30000</v>
      </c>
    </row>
    <row r="60" spans="2:10" x14ac:dyDescent="0.25">
      <c r="B60" t="s">
        <v>434</v>
      </c>
      <c r="C60">
        <v>1.3049999999999999</v>
      </c>
      <c r="D60">
        <v>0.76270000000000004</v>
      </c>
      <c r="E60">
        <v>2.12E-2</v>
      </c>
      <c r="F60">
        <v>0.3841</v>
      </c>
      <c r="G60">
        <v>1.127</v>
      </c>
      <c r="H60">
        <v>3.294</v>
      </c>
      <c r="I60">
        <v>10001</v>
      </c>
      <c r="J60">
        <v>30000</v>
      </c>
    </row>
    <row r="61" spans="2:10" x14ac:dyDescent="0.25">
      <c r="B61" t="s">
        <v>435</v>
      </c>
      <c r="C61">
        <v>1.07</v>
      </c>
      <c r="D61">
        <v>0.34100000000000003</v>
      </c>
      <c r="E61">
        <v>1.123E-2</v>
      </c>
      <c r="F61">
        <v>0.55400000000000005</v>
      </c>
      <c r="G61">
        <v>1.0129999999999999</v>
      </c>
      <c r="H61">
        <v>1.869</v>
      </c>
      <c r="I61">
        <v>10001</v>
      </c>
      <c r="J61">
        <v>30000</v>
      </c>
    </row>
    <row r="62" spans="2:10" x14ac:dyDescent="0.25">
      <c r="B62" t="s">
        <v>436</v>
      </c>
      <c r="C62">
        <v>0.6169</v>
      </c>
      <c r="D62">
        <v>0.14430000000000001</v>
      </c>
      <c r="E62">
        <v>4.0109999999999998E-3</v>
      </c>
      <c r="F62">
        <v>0.28570000000000001</v>
      </c>
      <c r="G62">
        <v>0.57140000000000002</v>
      </c>
      <c r="H62">
        <v>0.85709999999999997</v>
      </c>
      <c r="I62">
        <v>10001</v>
      </c>
      <c r="J62">
        <v>30000</v>
      </c>
    </row>
    <row r="63" spans="2:10" x14ac:dyDescent="0.25">
      <c r="B63" t="s">
        <v>437</v>
      </c>
      <c r="C63">
        <v>0.49249999999999999</v>
      </c>
      <c r="D63">
        <v>0.15509999999999999</v>
      </c>
      <c r="E63">
        <v>4.0289999999999996E-3</v>
      </c>
      <c r="F63">
        <v>0.1429</v>
      </c>
      <c r="G63">
        <v>0.42859999999999998</v>
      </c>
      <c r="H63">
        <v>0.71430000000000005</v>
      </c>
      <c r="I63">
        <v>10001</v>
      </c>
      <c r="J63">
        <v>30000</v>
      </c>
    </row>
    <row r="64" spans="2:10" x14ac:dyDescent="0.25">
      <c r="B64" t="s">
        <v>438</v>
      </c>
      <c r="C64">
        <v>0.88280000000000003</v>
      </c>
      <c r="D64">
        <v>0.1125</v>
      </c>
      <c r="E64">
        <v>3.2550000000000001E-3</v>
      </c>
      <c r="F64">
        <v>0.57140000000000002</v>
      </c>
      <c r="G64">
        <v>0.85709999999999997</v>
      </c>
      <c r="H64">
        <v>1</v>
      </c>
      <c r="I64">
        <v>10001</v>
      </c>
      <c r="J64">
        <v>30000</v>
      </c>
    </row>
    <row r="65" spans="2:10" x14ac:dyDescent="0.25">
      <c r="B65" t="s">
        <v>439</v>
      </c>
      <c r="C65">
        <v>0.87680000000000002</v>
      </c>
      <c r="D65">
        <v>0.1895</v>
      </c>
      <c r="E65">
        <v>5.4250000000000001E-3</v>
      </c>
      <c r="F65">
        <v>0.28570000000000001</v>
      </c>
      <c r="G65">
        <v>1</v>
      </c>
      <c r="H65">
        <v>1</v>
      </c>
      <c r="I65">
        <v>10001</v>
      </c>
      <c r="J65">
        <v>30000</v>
      </c>
    </row>
    <row r="66" spans="2:10" x14ac:dyDescent="0.25">
      <c r="B66" t="s">
        <v>440</v>
      </c>
      <c r="C66">
        <v>9.8909999999999998E-2</v>
      </c>
      <c r="D66">
        <v>0.19919999999999999</v>
      </c>
      <c r="E66">
        <v>5.0179999999999999E-3</v>
      </c>
      <c r="F66">
        <v>0</v>
      </c>
      <c r="G66">
        <v>0</v>
      </c>
      <c r="H66">
        <v>0.71430000000000005</v>
      </c>
      <c r="I66">
        <v>10001</v>
      </c>
      <c r="J66">
        <v>30000</v>
      </c>
    </row>
    <row r="67" spans="2:10" x14ac:dyDescent="0.25">
      <c r="B67" t="s">
        <v>441</v>
      </c>
      <c r="C67">
        <v>0.4325</v>
      </c>
      <c r="D67">
        <v>0.318</v>
      </c>
      <c r="E67">
        <v>8.5540000000000008E-3</v>
      </c>
      <c r="F67">
        <v>0</v>
      </c>
      <c r="G67">
        <v>0.42859999999999998</v>
      </c>
      <c r="H67">
        <v>1</v>
      </c>
      <c r="I67">
        <v>10001</v>
      </c>
      <c r="J67">
        <v>30000</v>
      </c>
    </row>
    <row r="68" spans="2:10" x14ac:dyDescent="0.25">
      <c r="B68" t="s">
        <v>442</v>
      </c>
      <c r="C68">
        <v>0.31390000000000001</v>
      </c>
      <c r="D68">
        <v>0.21079999999999999</v>
      </c>
      <c r="E68">
        <v>6.1269999999999996E-3</v>
      </c>
      <c r="F68">
        <v>0</v>
      </c>
      <c r="G68">
        <v>0.28570000000000001</v>
      </c>
      <c r="H68">
        <v>0.71430000000000005</v>
      </c>
      <c r="I68">
        <v>10001</v>
      </c>
      <c r="J68">
        <v>30000</v>
      </c>
    </row>
    <row r="69" spans="2:10" x14ac:dyDescent="0.25">
      <c r="B69" t="s">
        <v>443</v>
      </c>
      <c r="C69">
        <v>0.28570000000000001</v>
      </c>
      <c r="D69">
        <v>0.1741</v>
      </c>
      <c r="E69">
        <v>5.2570000000000004E-3</v>
      </c>
      <c r="F69">
        <v>0</v>
      </c>
      <c r="G69">
        <v>0.28570000000000001</v>
      </c>
      <c r="H69">
        <v>0.71430000000000005</v>
      </c>
      <c r="I69">
        <v>10001</v>
      </c>
      <c r="J69">
        <v>30000</v>
      </c>
    </row>
    <row r="70" spans="2:10" x14ac:dyDescent="0.25">
      <c r="B70" t="s">
        <v>444</v>
      </c>
      <c r="C70">
        <v>8.1329999999999996E-3</v>
      </c>
      <c r="D70">
        <v>8.9819999999999997E-2</v>
      </c>
      <c r="E70">
        <v>1.41E-3</v>
      </c>
      <c r="F70">
        <v>0</v>
      </c>
      <c r="G70">
        <v>0</v>
      </c>
      <c r="H70">
        <v>0</v>
      </c>
      <c r="I70">
        <v>10001</v>
      </c>
      <c r="J70">
        <v>30000</v>
      </c>
    </row>
    <row r="71" spans="2:10" x14ac:dyDescent="0.25">
      <c r="B71" t="s">
        <v>445</v>
      </c>
      <c r="C71">
        <v>2E-3</v>
      </c>
      <c r="D71">
        <v>4.4679999999999997E-2</v>
      </c>
      <c r="E71" s="13">
        <v>5.3810000000000001E-4</v>
      </c>
      <c r="F71">
        <v>0</v>
      </c>
      <c r="G71">
        <v>0</v>
      </c>
      <c r="H71">
        <v>0</v>
      </c>
      <c r="I71">
        <v>10001</v>
      </c>
      <c r="J71">
        <v>30000</v>
      </c>
    </row>
    <row r="72" spans="2:10" x14ac:dyDescent="0.25">
      <c r="B72" t="s">
        <v>446</v>
      </c>
      <c r="C72">
        <v>0.35460000000000003</v>
      </c>
      <c r="D72">
        <v>0.47839999999999999</v>
      </c>
      <c r="E72">
        <v>1.388E-2</v>
      </c>
      <c r="F72">
        <v>0</v>
      </c>
      <c r="G72">
        <v>0</v>
      </c>
      <c r="H72">
        <v>1</v>
      </c>
      <c r="I72">
        <v>10001</v>
      </c>
      <c r="J72">
        <v>30000</v>
      </c>
    </row>
    <row r="73" spans="2:10" x14ac:dyDescent="0.25">
      <c r="B73" t="s">
        <v>447</v>
      </c>
      <c r="C73">
        <v>0.54620000000000002</v>
      </c>
      <c r="D73">
        <v>0.49790000000000001</v>
      </c>
      <c r="E73">
        <v>1.4670000000000001E-2</v>
      </c>
      <c r="F73">
        <v>0</v>
      </c>
      <c r="G73">
        <v>1</v>
      </c>
      <c r="H73">
        <v>1</v>
      </c>
      <c r="I73">
        <v>10001</v>
      </c>
      <c r="J73">
        <v>30000</v>
      </c>
    </row>
    <row r="74" spans="2:10" x14ac:dyDescent="0.25">
      <c r="B74" t="s">
        <v>448</v>
      </c>
      <c r="C74">
        <v>8.3669999999999994E-3</v>
      </c>
      <c r="D74">
        <v>9.1090000000000004E-2</v>
      </c>
      <c r="E74">
        <v>1.846E-3</v>
      </c>
      <c r="F74">
        <v>0</v>
      </c>
      <c r="G74">
        <v>0</v>
      </c>
      <c r="H74">
        <v>0</v>
      </c>
      <c r="I74">
        <v>10001</v>
      </c>
      <c r="J74">
        <v>30000</v>
      </c>
    </row>
    <row r="75" spans="2:10" x14ac:dyDescent="0.25">
      <c r="B75" t="s">
        <v>449</v>
      </c>
      <c r="C75">
        <v>7.4899999999999994E-2</v>
      </c>
      <c r="D75">
        <v>0.26319999999999999</v>
      </c>
      <c r="E75">
        <v>5.2339999999999999E-3</v>
      </c>
      <c r="F75">
        <v>0</v>
      </c>
      <c r="G75">
        <v>0</v>
      </c>
      <c r="H75">
        <v>1</v>
      </c>
      <c r="I75">
        <v>10001</v>
      </c>
      <c r="J75">
        <v>30000</v>
      </c>
    </row>
    <row r="76" spans="2:10" x14ac:dyDescent="0.25">
      <c r="B76" t="s">
        <v>450</v>
      </c>
      <c r="C76">
        <v>5.4669999999999996E-3</v>
      </c>
      <c r="D76">
        <v>7.3730000000000004E-2</v>
      </c>
      <c r="E76">
        <v>1.3500000000000001E-3</v>
      </c>
      <c r="F76">
        <v>0</v>
      </c>
      <c r="G76">
        <v>0</v>
      </c>
      <c r="H76">
        <v>0</v>
      </c>
      <c r="I76">
        <v>10001</v>
      </c>
      <c r="J76">
        <v>30000</v>
      </c>
    </row>
    <row r="77" spans="2:10" x14ac:dyDescent="0.25">
      <c r="B77" t="s">
        <v>451</v>
      </c>
      <c r="C77" s="13">
        <v>2.9999999999999997E-4</v>
      </c>
      <c r="D77">
        <v>1.7319999999999999E-2</v>
      </c>
      <c r="E77" s="13">
        <v>1.7320000000000001E-4</v>
      </c>
      <c r="F77">
        <v>0</v>
      </c>
      <c r="G77">
        <v>0</v>
      </c>
      <c r="H77">
        <v>0</v>
      </c>
      <c r="I77">
        <v>10001</v>
      </c>
      <c r="J77">
        <v>30000</v>
      </c>
    </row>
    <row r="78" spans="2:10" x14ac:dyDescent="0.25">
      <c r="B78" t="s">
        <v>452</v>
      </c>
      <c r="C78">
        <v>1.88</v>
      </c>
      <c r="D78">
        <v>2.012</v>
      </c>
      <c r="E78">
        <v>2.8070000000000001E-2</v>
      </c>
      <c r="F78">
        <v>3.9810000000000002E-3</v>
      </c>
      <c r="G78">
        <v>1.2509999999999999</v>
      </c>
      <c r="H78">
        <v>7.2789999999999999</v>
      </c>
      <c r="I78">
        <v>10001</v>
      </c>
      <c r="J78">
        <v>30000</v>
      </c>
    </row>
    <row r="79" spans="2:10" x14ac:dyDescent="0.25">
      <c r="B79" t="s">
        <v>453</v>
      </c>
      <c r="C79">
        <v>2.1230000000000002</v>
      </c>
      <c r="D79">
        <v>2.165</v>
      </c>
      <c r="E79">
        <v>3.1910000000000001E-2</v>
      </c>
      <c r="F79">
        <v>5.8599999999999998E-3</v>
      </c>
      <c r="G79">
        <v>1.4830000000000001</v>
      </c>
      <c r="H79">
        <v>7.7910000000000004</v>
      </c>
      <c r="I79">
        <v>10001</v>
      </c>
      <c r="J79">
        <v>30000</v>
      </c>
    </row>
    <row r="80" spans="2:10" x14ac:dyDescent="0.25">
      <c r="B80" t="s">
        <v>454</v>
      </c>
      <c r="C80">
        <v>0.78610000000000002</v>
      </c>
      <c r="D80">
        <v>1.117</v>
      </c>
      <c r="E80">
        <v>1.035E-2</v>
      </c>
      <c r="F80" s="13">
        <v>8.518E-4</v>
      </c>
      <c r="G80">
        <v>0.36149999999999999</v>
      </c>
      <c r="H80">
        <v>3.9940000000000002</v>
      </c>
      <c r="I80">
        <v>10001</v>
      </c>
      <c r="J80">
        <v>30000</v>
      </c>
    </row>
    <row r="81" spans="2:10" x14ac:dyDescent="0.25">
      <c r="B81" t="s">
        <v>455</v>
      </c>
      <c r="C81">
        <v>0.85580000000000001</v>
      </c>
      <c r="D81">
        <v>1.1379999999999999</v>
      </c>
      <c r="E81">
        <v>1.772E-2</v>
      </c>
      <c r="F81" s="13">
        <v>9.7639999999999999E-4</v>
      </c>
      <c r="G81">
        <v>0.41849999999999998</v>
      </c>
      <c r="H81">
        <v>4.1180000000000003</v>
      </c>
      <c r="I81">
        <v>10001</v>
      </c>
      <c r="J81">
        <v>30000</v>
      </c>
    </row>
    <row r="82" spans="2:10" x14ac:dyDescent="0.25">
      <c r="B82" t="s">
        <v>456</v>
      </c>
      <c r="C82">
        <v>0.76249999999999996</v>
      </c>
      <c r="D82">
        <v>1.0409999999999999</v>
      </c>
      <c r="E82">
        <v>9.4299999999999991E-3</v>
      </c>
      <c r="F82" s="13">
        <v>8.005E-4</v>
      </c>
      <c r="G82">
        <v>0.36049999999999999</v>
      </c>
      <c r="H82">
        <v>3.726</v>
      </c>
      <c r="I82">
        <v>10001</v>
      </c>
      <c r="J82">
        <v>30000</v>
      </c>
    </row>
    <row r="83" spans="2:10" x14ac:dyDescent="0.25">
      <c r="B83" t="s">
        <v>457</v>
      </c>
      <c r="C83">
        <v>0.64149999999999996</v>
      </c>
      <c r="D83">
        <v>0.91420000000000001</v>
      </c>
      <c r="E83">
        <v>7.3239999999999998E-3</v>
      </c>
      <c r="F83" s="13">
        <v>6.5979999999999999E-4</v>
      </c>
      <c r="G83">
        <v>0.28870000000000001</v>
      </c>
      <c r="H83">
        <v>3.2519999999999998</v>
      </c>
      <c r="I83">
        <v>10001</v>
      </c>
      <c r="J83">
        <v>30000</v>
      </c>
    </row>
    <row r="84" spans="2:10" x14ac:dyDescent="0.25">
      <c r="B84" t="s">
        <v>458</v>
      </c>
      <c r="C84">
        <v>0.70489999999999997</v>
      </c>
      <c r="D84">
        <v>0.99980000000000002</v>
      </c>
      <c r="E84">
        <v>1.1270000000000001E-2</v>
      </c>
      <c r="F84" s="13">
        <v>6.6239999999999995E-4</v>
      </c>
      <c r="G84">
        <v>0.32069999999999999</v>
      </c>
      <c r="H84">
        <v>3.5750000000000002</v>
      </c>
      <c r="I84">
        <v>10001</v>
      </c>
      <c r="J84">
        <v>30000</v>
      </c>
    </row>
    <row r="85" spans="2:10" x14ac:dyDescent="0.25">
      <c r="B85" t="s">
        <v>459</v>
      </c>
      <c r="C85">
        <v>0.7298</v>
      </c>
      <c r="D85">
        <v>1.018</v>
      </c>
      <c r="E85">
        <v>9.8259999999999997E-3</v>
      </c>
      <c r="F85" s="13">
        <v>7.094E-4</v>
      </c>
      <c r="G85">
        <v>0.33779999999999999</v>
      </c>
      <c r="H85">
        <v>3.629</v>
      </c>
      <c r="I85">
        <v>10001</v>
      </c>
      <c r="J85">
        <v>30000</v>
      </c>
    </row>
    <row r="86" spans="2:10" x14ac:dyDescent="0.25">
      <c r="B86" t="s">
        <v>460</v>
      </c>
      <c r="C86">
        <v>0.76090000000000002</v>
      </c>
      <c r="D86">
        <v>1.075</v>
      </c>
      <c r="E86">
        <v>1.167E-2</v>
      </c>
      <c r="F86" s="13">
        <v>7.1460000000000002E-4</v>
      </c>
      <c r="G86">
        <v>0.34510000000000002</v>
      </c>
      <c r="H86">
        <v>3.8050000000000002</v>
      </c>
      <c r="I86">
        <v>10001</v>
      </c>
      <c r="J86">
        <v>30000</v>
      </c>
    </row>
    <row r="87" spans="2:10" x14ac:dyDescent="0.25">
      <c r="B87" t="s">
        <v>461</v>
      </c>
      <c r="C87">
        <v>0.78310000000000002</v>
      </c>
      <c r="D87">
        <v>1.069</v>
      </c>
      <c r="E87">
        <v>1.374E-2</v>
      </c>
      <c r="F87" s="13">
        <v>8.7279999999999996E-4</v>
      </c>
      <c r="G87">
        <v>0.37690000000000001</v>
      </c>
      <c r="H87">
        <v>3.7559999999999998</v>
      </c>
      <c r="I87">
        <v>10001</v>
      </c>
      <c r="J87">
        <v>30000</v>
      </c>
    </row>
    <row r="88" spans="2:10" x14ac:dyDescent="0.25">
      <c r="B88" t="s">
        <v>462</v>
      </c>
      <c r="C88">
        <v>0.66620000000000001</v>
      </c>
      <c r="D88">
        <v>0.68920000000000003</v>
      </c>
      <c r="E88">
        <v>5.8110000000000002E-3</v>
      </c>
      <c r="F88">
        <v>1.627E-2</v>
      </c>
      <c r="G88">
        <v>0.45269999999999999</v>
      </c>
      <c r="H88">
        <v>2.5430000000000001</v>
      </c>
      <c r="I88">
        <v>10001</v>
      </c>
      <c r="J88">
        <v>30000</v>
      </c>
    </row>
    <row r="89" spans="2:10" x14ac:dyDescent="0.25">
      <c r="B89" t="s">
        <v>463</v>
      </c>
      <c r="C89">
        <v>1.294</v>
      </c>
      <c r="D89">
        <v>1.728</v>
      </c>
      <c r="E89">
        <v>0.01</v>
      </c>
      <c r="F89">
        <v>1.4519999999999999E-3</v>
      </c>
      <c r="G89">
        <v>0.62319999999999998</v>
      </c>
      <c r="H89">
        <v>6.2229999999999999</v>
      </c>
      <c r="I89">
        <v>10001</v>
      </c>
      <c r="J89">
        <v>30000</v>
      </c>
    </row>
    <row r="90" spans="2:10" x14ac:dyDescent="0.25">
      <c r="B90" t="s">
        <v>464</v>
      </c>
      <c r="C90">
        <v>0.63959999999999995</v>
      </c>
      <c r="D90">
        <v>0.90190000000000003</v>
      </c>
      <c r="E90">
        <v>5.4209999999999996E-3</v>
      </c>
      <c r="F90" s="13">
        <v>6.6220000000000005E-4</v>
      </c>
      <c r="G90">
        <v>0.2928</v>
      </c>
      <c r="H90">
        <v>3.2269999999999999</v>
      </c>
      <c r="I90">
        <v>10001</v>
      </c>
      <c r="J90">
        <v>30000</v>
      </c>
    </row>
    <row r="91" spans="2:10" x14ac:dyDescent="0.25">
      <c r="B91" t="s">
        <v>465</v>
      </c>
      <c r="C91">
        <v>0.47370000000000001</v>
      </c>
      <c r="D91">
        <v>0.6573</v>
      </c>
      <c r="E91">
        <v>4.4580000000000002E-3</v>
      </c>
      <c r="F91" s="13">
        <v>4.417E-4</v>
      </c>
      <c r="G91">
        <v>0.21890000000000001</v>
      </c>
      <c r="H91">
        <v>2.355</v>
      </c>
      <c r="I91">
        <v>10001</v>
      </c>
      <c r="J91">
        <v>30000</v>
      </c>
    </row>
    <row r="92" spans="2:10" x14ac:dyDescent="0.25">
      <c r="B92" t="s">
        <v>466</v>
      </c>
      <c r="C92">
        <v>0.5968</v>
      </c>
      <c r="D92">
        <v>0.82499999999999996</v>
      </c>
      <c r="E92">
        <v>5.6429999999999996E-3</v>
      </c>
      <c r="F92" s="13">
        <v>5.8679999999999995E-4</v>
      </c>
      <c r="G92">
        <v>0.2772</v>
      </c>
      <c r="H92">
        <v>2.9630000000000001</v>
      </c>
      <c r="I92">
        <v>10001</v>
      </c>
      <c r="J92">
        <v>30000</v>
      </c>
    </row>
    <row r="93" spans="2:10" x14ac:dyDescent="0.25">
      <c r="B93" t="s">
        <v>467</v>
      </c>
      <c r="C93">
        <v>0.58479999999999999</v>
      </c>
      <c r="D93">
        <v>0.81720000000000004</v>
      </c>
      <c r="E93">
        <v>5.6049999999999997E-3</v>
      </c>
      <c r="F93" s="13">
        <v>6.1090000000000005E-4</v>
      </c>
      <c r="G93">
        <v>0.26700000000000002</v>
      </c>
      <c r="H93">
        <v>2.9049999999999998</v>
      </c>
      <c r="I93">
        <v>10001</v>
      </c>
      <c r="J93">
        <v>30000</v>
      </c>
    </row>
    <row r="94" spans="2:10" x14ac:dyDescent="0.25">
      <c r="B94" t="s">
        <v>468</v>
      </c>
      <c r="C94">
        <v>1.7529999999999999</v>
      </c>
      <c r="D94">
        <v>1.88</v>
      </c>
      <c r="E94">
        <v>2.035E-2</v>
      </c>
      <c r="F94">
        <v>3.852E-3</v>
      </c>
      <c r="G94">
        <v>1.161</v>
      </c>
      <c r="H94">
        <v>6.6859999999999999</v>
      </c>
      <c r="I94">
        <v>10001</v>
      </c>
      <c r="J94">
        <v>30000</v>
      </c>
    </row>
    <row r="95" spans="2:10" x14ac:dyDescent="0.25">
      <c r="B95" t="s">
        <v>469</v>
      </c>
      <c r="C95">
        <v>1.766</v>
      </c>
      <c r="D95">
        <v>1.8280000000000001</v>
      </c>
      <c r="E95">
        <v>2.095E-2</v>
      </c>
      <c r="F95">
        <v>4.8690000000000001E-3</v>
      </c>
      <c r="G95">
        <v>1.2130000000000001</v>
      </c>
      <c r="H95">
        <v>6.6260000000000003</v>
      </c>
      <c r="I95">
        <v>10001</v>
      </c>
      <c r="J95">
        <v>30000</v>
      </c>
    </row>
    <row r="96" spans="2:10" x14ac:dyDescent="0.25">
      <c r="B96" t="s">
        <v>470</v>
      </c>
      <c r="C96">
        <v>1.0109999999999999</v>
      </c>
      <c r="D96">
        <v>1.4179999999999999</v>
      </c>
      <c r="E96">
        <v>2.0629999999999999E-2</v>
      </c>
      <c r="F96" s="13">
        <v>8.2649999999999998E-4</v>
      </c>
      <c r="G96">
        <v>0.45989999999999998</v>
      </c>
      <c r="H96">
        <v>5.0990000000000002</v>
      </c>
      <c r="I96">
        <v>10001</v>
      </c>
      <c r="J96">
        <v>30000</v>
      </c>
    </row>
    <row r="97" spans="2:10" x14ac:dyDescent="0.25">
      <c r="B97" t="s">
        <v>471</v>
      </c>
      <c r="C97">
        <v>1.0089999999999999</v>
      </c>
      <c r="D97">
        <v>1.4370000000000001</v>
      </c>
      <c r="E97">
        <v>1.6330000000000001E-2</v>
      </c>
      <c r="F97">
        <v>1.145E-3</v>
      </c>
      <c r="G97">
        <v>0.45750000000000002</v>
      </c>
      <c r="H97">
        <v>5.0780000000000003</v>
      </c>
      <c r="I97">
        <v>10001</v>
      </c>
      <c r="J97">
        <v>30000</v>
      </c>
    </row>
    <row r="98" spans="2:10" x14ac:dyDescent="0.25">
      <c r="B98" t="s">
        <v>472</v>
      </c>
      <c r="C98">
        <v>1.2050000000000001</v>
      </c>
      <c r="D98">
        <v>1.5740000000000001</v>
      </c>
      <c r="E98">
        <v>2.2110000000000001E-2</v>
      </c>
      <c r="F98">
        <v>1.3569999999999999E-3</v>
      </c>
      <c r="G98">
        <v>0.61499999999999999</v>
      </c>
      <c r="H98">
        <v>5.6109999999999998</v>
      </c>
      <c r="I98">
        <v>10001</v>
      </c>
      <c r="J98">
        <v>30000</v>
      </c>
    </row>
    <row r="99" spans="2:10" x14ac:dyDescent="0.25">
      <c r="B99" t="s">
        <v>473</v>
      </c>
      <c r="C99">
        <v>1.24</v>
      </c>
      <c r="D99">
        <v>1.6060000000000001</v>
      </c>
      <c r="E99">
        <v>2.0729999999999998E-2</v>
      </c>
      <c r="F99">
        <v>1.3489999999999999E-3</v>
      </c>
      <c r="G99">
        <v>0.62360000000000004</v>
      </c>
      <c r="H99">
        <v>5.7489999999999997</v>
      </c>
      <c r="I99">
        <v>10001</v>
      </c>
      <c r="J99">
        <v>30000</v>
      </c>
    </row>
    <row r="100" spans="2:10" x14ac:dyDescent="0.25">
      <c r="B100" t="s">
        <v>474</v>
      </c>
      <c r="C100">
        <v>0.58879999999999999</v>
      </c>
      <c r="D100">
        <v>0.82230000000000003</v>
      </c>
      <c r="E100">
        <v>6.7739999999999996E-3</v>
      </c>
      <c r="F100" s="13">
        <v>5.2059999999999997E-4</v>
      </c>
      <c r="G100">
        <v>0.27489999999999998</v>
      </c>
      <c r="H100">
        <v>2.9</v>
      </c>
      <c r="I100">
        <v>10001</v>
      </c>
      <c r="J100">
        <v>30000</v>
      </c>
    </row>
    <row r="101" spans="2:10" x14ac:dyDescent="0.25">
      <c r="B101" t="s">
        <v>475</v>
      </c>
      <c r="C101">
        <v>0.67490000000000006</v>
      </c>
      <c r="D101">
        <v>0.9496</v>
      </c>
      <c r="E101">
        <v>6.404E-3</v>
      </c>
      <c r="F101" s="13">
        <v>5.9710000000000004E-4</v>
      </c>
      <c r="G101">
        <v>0.30620000000000003</v>
      </c>
      <c r="H101">
        <v>3.4169999999999998</v>
      </c>
      <c r="I101">
        <v>10001</v>
      </c>
      <c r="J101">
        <v>30000</v>
      </c>
    </row>
    <row r="102" spans="2:10" x14ac:dyDescent="0.25">
      <c r="B102" t="s">
        <v>476</v>
      </c>
      <c r="C102">
        <v>1.0760000000000001</v>
      </c>
      <c r="D102">
        <v>1.359</v>
      </c>
      <c r="E102">
        <v>1.6299999999999999E-2</v>
      </c>
      <c r="F102">
        <v>1.549E-3</v>
      </c>
      <c r="G102">
        <v>0.56799999999999995</v>
      </c>
      <c r="H102">
        <v>4.8959999999999999</v>
      </c>
      <c r="I102">
        <v>10001</v>
      </c>
      <c r="J102">
        <v>30000</v>
      </c>
    </row>
    <row r="103" spans="2:10" x14ac:dyDescent="0.25">
      <c r="B103" t="s">
        <v>477</v>
      </c>
      <c r="C103">
        <v>1.145</v>
      </c>
      <c r="D103">
        <v>1.4630000000000001</v>
      </c>
      <c r="E103">
        <v>1.3339999999999999E-2</v>
      </c>
      <c r="F103">
        <v>1.2949999999999999E-3</v>
      </c>
      <c r="G103">
        <v>0.59689999999999999</v>
      </c>
      <c r="H103">
        <v>5.2510000000000003</v>
      </c>
      <c r="I103">
        <v>10001</v>
      </c>
      <c r="J103">
        <v>30000</v>
      </c>
    </row>
    <row r="104" spans="2:10" x14ac:dyDescent="0.25">
      <c r="B104" t="s">
        <v>478</v>
      </c>
      <c r="C104">
        <v>1.0229999999999999</v>
      </c>
      <c r="D104">
        <v>1.4430000000000001</v>
      </c>
      <c r="E104">
        <v>2.052E-2</v>
      </c>
      <c r="F104">
        <v>1.1069999999999999E-3</v>
      </c>
      <c r="G104">
        <v>0.4672</v>
      </c>
      <c r="H104">
        <v>5.1260000000000003</v>
      </c>
      <c r="I104">
        <v>10001</v>
      </c>
      <c r="J104">
        <v>30000</v>
      </c>
    </row>
    <row r="105" spans="2:10" x14ac:dyDescent="0.25">
      <c r="B105" t="s">
        <v>479</v>
      </c>
      <c r="C105">
        <v>1.014</v>
      </c>
      <c r="D105">
        <v>1.4359999999999999</v>
      </c>
      <c r="E105">
        <v>1.7659999999999999E-2</v>
      </c>
      <c r="F105" s="13">
        <v>9.9139999999999992E-4</v>
      </c>
      <c r="G105">
        <v>0.46739999999999998</v>
      </c>
      <c r="H105">
        <v>5.0599999999999996</v>
      </c>
      <c r="I105">
        <v>10001</v>
      </c>
      <c r="J105">
        <v>30000</v>
      </c>
    </row>
    <row r="106" spans="2:10" x14ac:dyDescent="0.25">
      <c r="B106" t="s">
        <v>480</v>
      </c>
      <c r="C106">
        <v>2.2679999999999998</v>
      </c>
      <c r="D106">
        <v>1.946</v>
      </c>
      <c r="E106">
        <v>2.0629999999999999E-2</v>
      </c>
      <c r="F106">
        <v>2.256E-2</v>
      </c>
      <c r="G106">
        <v>1.788</v>
      </c>
      <c r="H106">
        <v>7.1879999999999997</v>
      </c>
      <c r="I106">
        <v>10001</v>
      </c>
      <c r="J106">
        <v>30000</v>
      </c>
    </row>
    <row r="107" spans="2:10" x14ac:dyDescent="0.25">
      <c r="B107" t="s">
        <v>481</v>
      </c>
      <c r="C107">
        <v>1.9690000000000001</v>
      </c>
      <c r="D107">
        <v>2.0310000000000001</v>
      </c>
      <c r="E107">
        <v>1.6809999999999999E-2</v>
      </c>
      <c r="F107">
        <v>5.7200000000000003E-3</v>
      </c>
      <c r="G107">
        <v>1.3540000000000001</v>
      </c>
      <c r="H107">
        <v>7.343</v>
      </c>
      <c r="I107">
        <v>10001</v>
      </c>
      <c r="J107">
        <v>30000</v>
      </c>
    </row>
    <row r="108" spans="2:10" x14ac:dyDescent="0.25">
      <c r="B108" t="s">
        <v>482</v>
      </c>
      <c r="C108">
        <v>0.57389999999999997</v>
      </c>
      <c r="D108">
        <v>0.81010000000000004</v>
      </c>
      <c r="E108">
        <v>4.5440000000000003E-3</v>
      </c>
      <c r="F108" s="13">
        <v>5.6570000000000004E-4</v>
      </c>
      <c r="G108">
        <v>0.26219999999999999</v>
      </c>
      <c r="H108">
        <v>2.8740000000000001</v>
      </c>
      <c r="I108">
        <v>10001</v>
      </c>
      <c r="J108">
        <v>30000</v>
      </c>
    </row>
    <row r="109" spans="2:10" x14ac:dyDescent="0.25">
      <c r="B109" t="s">
        <v>483</v>
      </c>
      <c r="C109">
        <v>0.57110000000000005</v>
      </c>
      <c r="D109">
        <v>0.79649999999999999</v>
      </c>
      <c r="E109">
        <v>4.7060000000000001E-3</v>
      </c>
      <c r="F109" s="13">
        <v>5.9800000000000001E-4</v>
      </c>
      <c r="G109">
        <v>0.26279999999999998</v>
      </c>
      <c r="H109">
        <v>2.879</v>
      </c>
      <c r="I109">
        <v>10001</v>
      </c>
      <c r="J109">
        <v>30000</v>
      </c>
    </row>
    <row r="110" spans="2:10" x14ac:dyDescent="0.25">
      <c r="B110" t="s">
        <v>484</v>
      </c>
      <c r="C110">
        <v>0.70340000000000003</v>
      </c>
      <c r="D110">
        <v>1.002</v>
      </c>
      <c r="E110">
        <v>1.065E-2</v>
      </c>
      <c r="F110" s="13">
        <v>7.2860000000000004E-4</v>
      </c>
      <c r="G110">
        <v>0.31440000000000001</v>
      </c>
      <c r="H110">
        <v>3.5760000000000001</v>
      </c>
      <c r="I110">
        <v>10001</v>
      </c>
      <c r="J110">
        <v>30000</v>
      </c>
    </row>
    <row r="111" spans="2:10" x14ac:dyDescent="0.25">
      <c r="B111" t="s">
        <v>485</v>
      </c>
      <c r="C111">
        <v>0.80620000000000003</v>
      </c>
      <c r="D111">
        <v>1.121</v>
      </c>
      <c r="E111">
        <v>1.0529999999999999E-2</v>
      </c>
      <c r="F111" s="13">
        <v>8.3569999999999998E-4</v>
      </c>
      <c r="G111">
        <v>0.37569999999999998</v>
      </c>
      <c r="H111">
        <v>4.0069999999999997</v>
      </c>
      <c r="I111">
        <v>10001</v>
      </c>
      <c r="J111">
        <v>30000</v>
      </c>
    </row>
    <row r="112" spans="2:10" x14ac:dyDescent="0.25">
      <c r="B112" t="s">
        <v>486</v>
      </c>
      <c r="C112">
        <v>0.59509999999999996</v>
      </c>
      <c r="D112">
        <v>0.84260000000000002</v>
      </c>
      <c r="E112">
        <v>7.5420000000000001E-3</v>
      </c>
      <c r="F112" s="13">
        <v>5.9310000000000005E-4</v>
      </c>
      <c r="G112">
        <v>0.2717</v>
      </c>
      <c r="H112">
        <v>2.9460000000000002</v>
      </c>
      <c r="I112">
        <v>10001</v>
      </c>
      <c r="J112">
        <v>30000</v>
      </c>
    </row>
    <row r="113" spans="2:10" x14ac:dyDescent="0.25">
      <c r="B113" t="s">
        <v>487</v>
      </c>
      <c r="C113">
        <v>0.6855</v>
      </c>
      <c r="D113">
        <v>0.96540000000000004</v>
      </c>
      <c r="E113">
        <v>6.8539999999999998E-3</v>
      </c>
      <c r="F113" s="13">
        <v>7.203E-4</v>
      </c>
      <c r="G113">
        <v>0.30919999999999997</v>
      </c>
      <c r="H113">
        <v>3.5030000000000001</v>
      </c>
      <c r="I113">
        <v>10001</v>
      </c>
      <c r="J113">
        <v>30000</v>
      </c>
    </row>
    <row r="114" spans="2:10" x14ac:dyDescent="0.25">
      <c r="B114" t="s">
        <v>488</v>
      </c>
      <c r="C114">
        <v>0.80959999999999999</v>
      </c>
      <c r="D114">
        <v>1.125</v>
      </c>
      <c r="E114">
        <v>1.214E-2</v>
      </c>
      <c r="F114" s="13">
        <v>7.9250000000000002E-4</v>
      </c>
      <c r="G114">
        <v>0.37590000000000001</v>
      </c>
      <c r="H114">
        <v>4.0140000000000002</v>
      </c>
      <c r="I114">
        <v>10001</v>
      </c>
      <c r="J114">
        <v>30000</v>
      </c>
    </row>
    <row r="115" spans="2:10" x14ac:dyDescent="0.25">
      <c r="B115" t="s">
        <v>489</v>
      </c>
      <c r="C115">
        <v>0.76970000000000005</v>
      </c>
      <c r="D115">
        <v>1.079</v>
      </c>
      <c r="E115">
        <v>1.038E-2</v>
      </c>
      <c r="F115" s="13">
        <v>7.7309999999999998E-4</v>
      </c>
      <c r="G115">
        <v>0.35060000000000002</v>
      </c>
      <c r="H115">
        <v>3.8730000000000002</v>
      </c>
      <c r="I115">
        <v>10001</v>
      </c>
      <c r="J115">
        <v>30000</v>
      </c>
    </row>
    <row r="116" spans="2:10" x14ac:dyDescent="0.25">
      <c r="B116" t="s">
        <v>490</v>
      </c>
      <c r="C116">
        <v>0.68930000000000002</v>
      </c>
      <c r="D116">
        <v>0.94750000000000001</v>
      </c>
      <c r="E116">
        <v>8.8889999999999993E-3</v>
      </c>
      <c r="F116" s="13">
        <v>7.6090000000000001E-4</v>
      </c>
      <c r="G116">
        <v>0.32079999999999997</v>
      </c>
      <c r="H116">
        <v>3.3639999999999999</v>
      </c>
      <c r="I116">
        <v>10001</v>
      </c>
      <c r="J116">
        <v>30000</v>
      </c>
    </row>
    <row r="117" spans="2:10" x14ac:dyDescent="0.25">
      <c r="B117" t="s">
        <v>491</v>
      </c>
      <c r="C117">
        <v>0.70130000000000003</v>
      </c>
      <c r="D117">
        <v>0.9929</v>
      </c>
      <c r="E117">
        <v>7.8510000000000003E-3</v>
      </c>
      <c r="F117" s="13">
        <v>6.6169999999999998E-4</v>
      </c>
      <c r="G117">
        <v>0.31929999999999997</v>
      </c>
      <c r="H117">
        <v>3.4910000000000001</v>
      </c>
      <c r="I117">
        <v>10001</v>
      </c>
      <c r="J117">
        <v>30000</v>
      </c>
    </row>
    <row r="118" spans="2:10" x14ac:dyDescent="0.25">
      <c r="B118" t="s">
        <v>492</v>
      </c>
      <c r="C118">
        <v>0.74960000000000004</v>
      </c>
      <c r="D118">
        <v>1.048</v>
      </c>
      <c r="E118">
        <v>9.2280000000000001E-3</v>
      </c>
      <c r="F118" s="13">
        <v>7.6320000000000001E-4</v>
      </c>
      <c r="G118">
        <v>0.34139999999999998</v>
      </c>
      <c r="H118">
        <v>3.746</v>
      </c>
      <c r="I118">
        <v>10001</v>
      </c>
      <c r="J118">
        <v>30000</v>
      </c>
    </row>
    <row r="119" spans="2:10" x14ac:dyDescent="0.25">
      <c r="B119" t="s">
        <v>493</v>
      </c>
      <c r="C119">
        <v>0.71819999999999995</v>
      </c>
      <c r="D119">
        <v>1.0249999999999999</v>
      </c>
      <c r="E119">
        <v>7.7799999999999996E-3</v>
      </c>
      <c r="F119" s="13">
        <v>6.8210000000000005E-4</v>
      </c>
      <c r="G119">
        <v>0.33169999999999999</v>
      </c>
      <c r="H119">
        <v>3.6589999999999998</v>
      </c>
      <c r="I119">
        <v>10001</v>
      </c>
      <c r="J119">
        <v>30000</v>
      </c>
    </row>
    <row r="120" spans="2:10" x14ac:dyDescent="0.25">
      <c r="B120" t="s">
        <v>494</v>
      </c>
      <c r="C120">
        <v>0.72929999999999995</v>
      </c>
      <c r="D120">
        <v>1.01</v>
      </c>
      <c r="E120">
        <v>7.4530000000000004E-3</v>
      </c>
      <c r="F120" s="13">
        <v>8.1119999999999999E-4</v>
      </c>
      <c r="G120">
        <v>0.34329999999999999</v>
      </c>
      <c r="H120">
        <v>3.6190000000000002</v>
      </c>
      <c r="I120">
        <v>10001</v>
      </c>
      <c r="J120">
        <v>30000</v>
      </c>
    </row>
    <row r="121" spans="2:10" x14ac:dyDescent="0.25">
      <c r="B121" t="s">
        <v>495</v>
      </c>
      <c r="C121">
        <v>0.65769999999999995</v>
      </c>
      <c r="D121">
        <v>0.92390000000000005</v>
      </c>
      <c r="E121">
        <v>6.8570000000000002E-3</v>
      </c>
      <c r="F121" s="13">
        <v>6.736E-4</v>
      </c>
      <c r="G121">
        <v>0.3004</v>
      </c>
      <c r="H121">
        <v>3.302</v>
      </c>
      <c r="I121">
        <v>10001</v>
      </c>
      <c r="J121">
        <v>30000</v>
      </c>
    </row>
    <row r="122" spans="2:10" x14ac:dyDescent="0.25">
      <c r="B122" t="s">
        <v>496</v>
      </c>
      <c r="C122">
        <v>0.65100000000000002</v>
      </c>
      <c r="D122">
        <v>0.89490000000000003</v>
      </c>
      <c r="E122">
        <v>7.1469999999999997E-3</v>
      </c>
      <c r="F122" s="13">
        <v>6.9899999999999997E-4</v>
      </c>
      <c r="G122">
        <v>0.30730000000000002</v>
      </c>
      <c r="H122">
        <v>3.206</v>
      </c>
      <c r="I122">
        <v>10001</v>
      </c>
      <c r="J122">
        <v>30000</v>
      </c>
    </row>
    <row r="123" spans="2:10" x14ac:dyDescent="0.25">
      <c r="B123" t="s">
        <v>497</v>
      </c>
      <c r="C123">
        <v>0.63090000000000002</v>
      </c>
      <c r="D123">
        <v>0.88270000000000004</v>
      </c>
      <c r="E123">
        <v>6.2350000000000001E-3</v>
      </c>
      <c r="F123" s="13">
        <v>6.1569999999999995E-4</v>
      </c>
      <c r="G123">
        <v>0.2913</v>
      </c>
      <c r="H123">
        <v>3.1579999999999999</v>
      </c>
      <c r="I123">
        <v>10001</v>
      </c>
      <c r="J123">
        <v>30000</v>
      </c>
    </row>
    <row r="124" spans="2:10" x14ac:dyDescent="0.25">
      <c r="B124" t="s">
        <v>498</v>
      </c>
      <c r="C124">
        <v>1.6160000000000001</v>
      </c>
      <c r="D124">
        <v>1.756</v>
      </c>
      <c r="E124">
        <v>2.4E-2</v>
      </c>
      <c r="F124">
        <v>3.3709999999999999E-3</v>
      </c>
      <c r="G124">
        <v>1.0569999999999999</v>
      </c>
      <c r="H124">
        <v>6.3230000000000004</v>
      </c>
      <c r="I124">
        <v>10001</v>
      </c>
      <c r="J124">
        <v>30000</v>
      </c>
    </row>
    <row r="125" spans="2:10" x14ac:dyDescent="0.25">
      <c r="B125" t="s">
        <v>499</v>
      </c>
      <c r="C125">
        <v>1.605</v>
      </c>
      <c r="D125">
        <v>1.8180000000000001</v>
      </c>
      <c r="E125">
        <v>2.036E-2</v>
      </c>
      <c r="F125">
        <v>2.6210000000000001E-3</v>
      </c>
      <c r="G125">
        <v>0.97970000000000002</v>
      </c>
      <c r="H125">
        <v>6.5629999999999997</v>
      </c>
      <c r="I125">
        <v>10001</v>
      </c>
      <c r="J125">
        <v>30000</v>
      </c>
    </row>
    <row r="126" spans="2:10" x14ac:dyDescent="0.25">
      <c r="B126" t="s">
        <v>500</v>
      </c>
      <c r="C126">
        <v>1.3049999999999999</v>
      </c>
      <c r="D126">
        <v>1.5920000000000001</v>
      </c>
      <c r="E126">
        <v>1.8270000000000002E-2</v>
      </c>
      <c r="F126">
        <v>1.872E-3</v>
      </c>
      <c r="G126">
        <v>0.72550000000000003</v>
      </c>
      <c r="H126">
        <v>5.7190000000000003</v>
      </c>
      <c r="I126">
        <v>10001</v>
      </c>
      <c r="J126">
        <v>30000</v>
      </c>
    </row>
    <row r="127" spans="2:10" x14ac:dyDescent="0.25">
      <c r="B127" t="s">
        <v>501</v>
      </c>
      <c r="C127">
        <v>1.3049999999999999</v>
      </c>
      <c r="D127">
        <v>1.591</v>
      </c>
      <c r="E127">
        <v>1.779E-2</v>
      </c>
      <c r="F127">
        <v>1.8159999999999999E-3</v>
      </c>
      <c r="G127">
        <v>0.72789999999999999</v>
      </c>
      <c r="H127">
        <v>5.702</v>
      </c>
      <c r="I127">
        <v>10001</v>
      </c>
      <c r="J127">
        <v>30000</v>
      </c>
    </row>
    <row r="128" spans="2:10" x14ac:dyDescent="0.25">
      <c r="B128" t="s">
        <v>502</v>
      </c>
      <c r="C128">
        <v>0.5756</v>
      </c>
      <c r="D128">
        <v>0.82720000000000005</v>
      </c>
      <c r="E128">
        <v>5.1050000000000002E-3</v>
      </c>
      <c r="F128" s="13">
        <v>5.6070000000000002E-4</v>
      </c>
      <c r="G128">
        <v>0.25559999999999999</v>
      </c>
      <c r="H128">
        <v>2.8849999999999998</v>
      </c>
      <c r="I128">
        <v>10001</v>
      </c>
      <c r="J128">
        <v>30000</v>
      </c>
    </row>
    <row r="129" spans="2:10" x14ac:dyDescent="0.25">
      <c r="B129" t="s">
        <v>503</v>
      </c>
      <c r="C129">
        <v>0.55659999999999998</v>
      </c>
      <c r="D129">
        <v>0.78990000000000005</v>
      </c>
      <c r="E129">
        <v>4.8430000000000001E-3</v>
      </c>
      <c r="F129" s="13">
        <v>4.7080000000000001E-4</v>
      </c>
      <c r="G129">
        <v>0.2487</v>
      </c>
      <c r="H129">
        <v>2.7850000000000001</v>
      </c>
      <c r="I129">
        <v>10001</v>
      </c>
      <c r="J129">
        <v>30000</v>
      </c>
    </row>
    <row r="130" spans="2:10" x14ac:dyDescent="0.25">
      <c r="B130" t="s">
        <v>504</v>
      </c>
      <c r="C130">
        <v>1.4770000000000001</v>
      </c>
      <c r="D130">
        <v>1.671</v>
      </c>
      <c r="E130">
        <v>1.942E-2</v>
      </c>
      <c r="F130">
        <v>2.4109999999999999E-3</v>
      </c>
      <c r="G130">
        <v>0.90280000000000005</v>
      </c>
      <c r="H130">
        <v>5.98</v>
      </c>
      <c r="I130">
        <v>10001</v>
      </c>
      <c r="J130">
        <v>30000</v>
      </c>
    </row>
    <row r="131" spans="2:10" x14ac:dyDescent="0.25">
      <c r="B131" t="s">
        <v>505</v>
      </c>
      <c r="C131">
        <v>1.329</v>
      </c>
      <c r="D131">
        <v>1.5680000000000001</v>
      </c>
      <c r="E131">
        <v>1.729E-2</v>
      </c>
      <c r="F131">
        <v>2.2409999999999999E-3</v>
      </c>
      <c r="G131">
        <v>0.76659999999999995</v>
      </c>
      <c r="H131">
        <v>5.6609999999999996</v>
      </c>
      <c r="I131">
        <v>10001</v>
      </c>
      <c r="J131">
        <v>30000</v>
      </c>
    </row>
    <row r="132" spans="2:10" x14ac:dyDescent="0.25">
      <c r="B132" t="s">
        <v>506</v>
      </c>
      <c r="C132">
        <v>1.17</v>
      </c>
      <c r="D132">
        <v>1.488</v>
      </c>
      <c r="E132">
        <v>2.0879999999999999E-2</v>
      </c>
      <c r="F132">
        <v>1.39E-3</v>
      </c>
      <c r="G132">
        <v>0.60119999999999996</v>
      </c>
      <c r="H132">
        <v>5.2709999999999999</v>
      </c>
      <c r="I132">
        <v>10001</v>
      </c>
      <c r="J132">
        <v>30000</v>
      </c>
    </row>
    <row r="133" spans="2:10" x14ac:dyDescent="0.25">
      <c r="B133" t="s">
        <v>507</v>
      </c>
      <c r="C133">
        <v>1.181</v>
      </c>
      <c r="D133">
        <v>1.496</v>
      </c>
      <c r="E133">
        <v>2.043E-2</v>
      </c>
      <c r="F133">
        <v>1.609E-3</v>
      </c>
      <c r="G133">
        <v>0.6119</v>
      </c>
      <c r="H133">
        <v>5.383</v>
      </c>
      <c r="I133">
        <v>10001</v>
      </c>
      <c r="J133">
        <v>30000</v>
      </c>
    </row>
    <row r="134" spans="2:10" x14ac:dyDescent="0.25">
      <c r="B134" t="s">
        <v>508</v>
      </c>
      <c r="C134">
        <v>0.56520000000000004</v>
      </c>
      <c r="D134">
        <v>0.7994</v>
      </c>
      <c r="E134">
        <v>5.0829999999999998E-3</v>
      </c>
      <c r="F134" s="13">
        <v>5.2559999999999998E-4</v>
      </c>
      <c r="G134">
        <v>0.25590000000000002</v>
      </c>
      <c r="H134">
        <v>2.8839999999999999</v>
      </c>
      <c r="I134">
        <v>10001</v>
      </c>
      <c r="J134">
        <v>30000</v>
      </c>
    </row>
    <row r="135" spans="2:10" x14ac:dyDescent="0.25">
      <c r="B135" t="s">
        <v>509</v>
      </c>
      <c r="C135">
        <v>0.55530000000000002</v>
      </c>
      <c r="D135">
        <v>0.78249999999999997</v>
      </c>
      <c r="E135">
        <v>4.5209999999999998E-3</v>
      </c>
      <c r="F135" s="13">
        <v>4.9830000000000002E-4</v>
      </c>
      <c r="G135">
        <v>0.252</v>
      </c>
      <c r="H135">
        <v>2.8290000000000002</v>
      </c>
      <c r="I135">
        <v>10001</v>
      </c>
      <c r="J135">
        <v>30000</v>
      </c>
    </row>
    <row r="136" spans="2:10" x14ac:dyDescent="0.25">
      <c r="B136" t="s">
        <v>510</v>
      </c>
      <c r="C136">
        <v>0.90349999999999997</v>
      </c>
      <c r="D136">
        <v>1.1859999999999999</v>
      </c>
      <c r="E136">
        <v>8.4349999999999998E-3</v>
      </c>
      <c r="F136" s="13">
        <v>9.859999999999999E-4</v>
      </c>
      <c r="G136">
        <v>0.4466</v>
      </c>
      <c r="H136">
        <v>4.2930000000000001</v>
      </c>
      <c r="I136">
        <v>10001</v>
      </c>
      <c r="J136">
        <v>30000</v>
      </c>
    </row>
    <row r="137" spans="2:10" x14ac:dyDescent="0.25">
      <c r="B137" t="s">
        <v>511</v>
      </c>
      <c r="C137">
        <v>0.81189999999999996</v>
      </c>
      <c r="D137">
        <v>1.0820000000000001</v>
      </c>
      <c r="E137">
        <v>8.2690000000000003E-3</v>
      </c>
      <c r="F137" s="13">
        <v>8.2160000000000002E-4</v>
      </c>
      <c r="G137">
        <v>0.39889999999999998</v>
      </c>
      <c r="H137">
        <v>3.883</v>
      </c>
      <c r="I137">
        <v>10001</v>
      </c>
      <c r="J137">
        <v>30000</v>
      </c>
    </row>
    <row r="138" spans="2:10" x14ac:dyDescent="0.25">
      <c r="B138" t="s">
        <v>512</v>
      </c>
      <c r="C138">
        <v>1.0720000000000001</v>
      </c>
      <c r="D138">
        <v>1.391</v>
      </c>
      <c r="E138">
        <v>1.5820000000000001E-2</v>
      </c>
      <c r="F138">
        <v>1.2669999999999999E-3</v>
      </c>
      <c r="G138">
        <v>0.54430000000000001</v>
      </c>
      <c r="H138">
        <v>4.9740000000000002</v>
      </c>
      <c r="I138">
        <v>10001</v>
      </c>
      <c r="J138">
        <v>30000</v>
      </c>
    </row>
    <row r="139" spans="2:10" x14ac:dyDescent="0.25">
      <c r="B139" t="s">
        <v>513</v>
      </c>
      <c r="C139">
        <v>1.1259999999999999</v>
      </c>
      <c r="D139">
        <v>1.4319999999999999</v>
      </c>
      <c r="E139">
        <v>1.6109999999999999E-2</v>
      </c>
      <c r="F139">
        <v>1.503E-3</v>
      </c>
      <c r="G139">
        <v>0.58989999999999998</v>
      </c>
      <c r="H139">
        <v>5.1909999999999998</v>
      </c>
      <c r="I139">
        <v>10001</v>
      </c>
      <c r="J139">
        <v>30000</v>
      </c>
    </row>
    <row r="140" spans="2:10" x14ac:dyDescent="0.25">
      <c r="B140" t="s">
        <v>514</v>
      </c>
      <c r="C140">
        <v>0.76780000000000004</v>
      </c>
      <c r="D140">
        <v>1.0569999999999999</v>
      </c>
      <c r="E140">
        <v>9.9159999999999995E-3</v>
      </c>
      <c r="F140" s="13">
        <v>6.7790000000000005E-4</v>
      </c>
      <c r="G140">
        <v>0.35849999999999999</v>
      </c>
      <c r="H140">
        <v>3.8330000000000002</v>
      </c>
      <c r="I140">
        <v>10001</v>
      </c>
      <c r="J140">
        <v>30000</v>
      </c>
    </row>
    <row r="141" spans="2:10" x14ac:dyDescent="0.25">
      <c r="B141" t="s">
        <v>515</v>
      </c>
      <c r="C141">
        <v>0.68440000000000001</v>
      </c>
      <c r="D141">
        <v>0.97860000000000003</v>
      </c>
      <c r="E141">
        <v>8.8140000000000007E-3</v>
      </c>
      <c r="F141" s="13">
        <v>7.2179999999999998E-4</v>
      </c>
      <c r="G141">
        <v>0.30690000000000001</v>
      </c>
      <c r="H141">
        <v>3.4780000000000002</v>
      </c>
      <c r="I141">
        <v>10001</v>
      </c>
      <c r="J141">
        <v>30000</v>
      </c>
    </row>
    <row r="142" spans="2:10" x14ac:dyDescent="0.25">
      <c r="B142" t="s">
        <v>516</v>
      </c>
      <c r="C142">
        <v>8.1329999999999996E-3</v>
      </c>
      <c r="D142">
        <v>8.9819999999999997E-2</v>
      </c>
      <c r="E142">
        <v>1.41E-3</v>
      </c>
      <c r="F142">
        <v>0</v>
      </c>
      <c r="G142">
        <v>0</v>
      </c>
      <c r="H142">
        <v>0</v>
      </c>
      <c r="I142">
        <v>10001</v>
      </c>
      <c r="J142">
        <v>30000</v>
      </c>
    </row>
    <row r="143" spans="2:10" x14ac:dyDescent="0.25">
      <c r="B143" t="s">
        <v>517</v>
      </c>
      <c r="C143">
        <v>7.1429999999999993E-2</v>
      </c>
      <c r="D143">
        <v>0.25750000000000001</v>
      </c>
      <c r="E143">
        <v>5.2550000000000001E-3</v>
      </c>
      <c r="F143">
        <v>0</v>
      </c>
      <c r="G143">
        <v>0</v>
      </c>
      <c r="H143">
        <v>1</v>
      </c>
      <c r="I143">
        <v>10001</v>
      </c>
      <c r="J143">
        <v>30000</v>
      </c>
    </row>
    <row r="144" spans="2:10" x14ac:dyDescent="0.25">
      <c r="B144" t="s">
        <v>518</v>
      </c>
      <c r="C144">
        <v>0.3977</v>
      </c>
      <c r="D144">
        <v>0.4894</v>
      </c>
      <c r="E144">
        <v>1.1310000000000001E-2</v>
      </c>
      <c r="F144">
        <v>0</v>
      </c>
      <c r="G144">
        <v>0</v>
      </c>
      <c r="H144">
        <v>1</v>
      </c>
      <c r="I144">
        <v>10001</v>
      </c>
      <c r="J144">
        <v>30000</v>
      </c>
    </row>
    <row r="145" spans="2:10" x14ac:dyDescent="0.25">
      <c r="B145" t="s">
        <v>519</v>
      </c>
      <c r="C145">
        <v>0.32979999999999998</v>
      </c>
      <c r="D145">
        <v>0.47010000000000002</v>
      </c>
      <c r="E145">
        <v>8.5939999999999992E-3</v>
      </c>
      <c r="F145">
        <v>0</v>
      </c>
      <c r="G145">
        <v>0</v>
      </c>
      <c r="H145">
        <v>1</v>
      </c>
      <c r="I145">
        <v>10001</v>
      </c>
      <c r="J145">
        <v>30000</v>
      </c>
    </row>
    <row r="146" spans="2:10" x14ac:dyDescent="0.25">
      <c r="B146" t="s">
        <v>520</v>
      </c>
      <c r="C146">
        <v>0.14449999999999999</v>
      </c>
      <c r="D146">
        <v>0.35160000000000002</v>
      </c>
      <c r="E146">
        <v>6.96E-3</v>
      </c>
      <c r="F146">
        <v>0</v>
      </c>
      <c r="G146">
        <v>0</v>
      </c>
      <c r="H146">
        <v>1</v>
      </c>
      <c r="I146">
        <v>10001</v>
      </c>
      <c r="J146">
        <v>30000</v>
      </c>
    </row>
    <row r="147" spans="2:10" x14ac:dyDescent="0.25">
      <c r="B147" t="s">
        <v>521</v>
      </c>
      <c r="C147">
        <v>4.2970000000000001E-2</v>
      </c>
      <c r="D147">
        <v>0.20280000000000001</v>
      </c>
      <c r="E147">
        <v>3.9960000000000004E-3</v>
      </c>
      <c r="F147">
        <v>0</v>
      </c>
      <c r="G147">
        <v>0</v>
      </c>
      <c r="H147">
        <v>1</v>
      </c>
      <c r="I147">
        <v>10001</v>
      </c>
      <c r="J147">
        <v>30000</v>
      </c>
    </row>
    <row r="148" spans="2:10" x14ac:dyDescent="0.25">
      <c r="B148" t="s">
        <v>522</v>
      </c>
      <c r="C148">
        <v>5.4330000000000003E-3</v>
      </c>
      <c r="D148">
        <v>7.3510000000000006E-2</v>
      </c>
      <c r="E148">
        <v>1.696E-3</v>
      </c>
      <c r="F148">
        <v>0</v>
      </c>
      <c r="G148">
        <v>0</v>
      </c>
      <c r="H148">
        <v>0</v>
      </c>
      <c r="I148">
        <v>10001</v>
      </c>
      <c r="J148">
        <v>30000</v>
      </c>
    </row>
    <row r="149" spans="2:10" x14ac:dyDescent="0.25">
      <c r="B149" t="s">
        <v>523</v>
      </c>
      <c r="C149">
        <v>0</v>
      </c>
      <c r="D149">
        <v>0</v>
      </c>
      <c r="E149" s="13">
        <v>3.333E-13</v>
      </c>
      <c r="F149">
        <v>0</v>
      </c>
      <c r="G149">
        <v>0</v>
      </c>
      <c r="H149">
        <v>0</v>
      </c>
      <c r="I149">
        <v>10001</v>
      </c>
      <c r="J149">
        <v>30000</v>
      </c>
    </row>
    <row r="150" spans="2:10" x14ac:dyDescent="0.25">
      <c r="B150" t="s">
        <v>524</v>
      </c>
      <c r="C150">
        <v>2E-3</v>
      </c>
      <c r="D150">
        <v>4.4679999999999997E-2</v>
      </c>
      <c r="E150" s="13">
        <v>5.3810000000000001E-4</v>
      </c>
      <c r="F150">
        <v>0</v>
      </c>
      <c r="G150">
        <v>0</v>
      </c>
      <c r="H150">
        <v>0</v>
      </c>
      <c r="I150">
        <v>10001</v>
      </c>
      <c r="J150">
        <v>30000</v>
      </c>
    </row>
    <row r="151" spans="2:10" x14ac:dyDescent="0.25">
      <c r="B151" t="s">
        <v>525</v>
      </c>
      <c r="C151">
        <v>1.9369999999999998E-2</v>
      </c>
      <c r="D151">
        <v>0.13780000000000001</v>
      </c>
      <c r="E151">
        <v>2.1359999999999999E-3</v>
      </c>
      <c r="F151">
        <v>0</v>
      </c>
      <c r="G151">
        <v>0</v>
      </c>
      <c r="H151">
        <v>0</v>
      </c>
      <c r="I151">
        <v>10001</v>
      </c>
      <c r="J151">
        <v>30000</v>
      </c>
    </row>
    <row r="152" spans="2:10" x14ac:dyDescent="0.25">
      <c r="B152" t="s">
        <v>526</v>
      </c>
      <c r="C152">
        <v>0.13880000000000001</v>
      </c>
      <c r="D152">
        <v>0.34570000000000001</v>
      </c>
      <c r="E152">
        <v>7.4640000000000001E-3</v>
      </c>
      <c r="F152">
        <v>0</v>
      </c>
      <c r="G152">
        <v>0</v>
      </c>
      <c r="H152">
        <v>1</v>
      </c>
      <c r="I152">
        <v>10001</v>
      </c>
      <c r="J152">
        <v>30000</v>
      </c>
    </row>
    <row r="153" spans="2:10" x14ac:dyDescent="0.25">
      <c r="B153" t="s">
        <v>527</v>
      </c>
      <c r="C153">
        <v>0.32479999999999998</v>
      </c>
      <c r="D153">
        <v>0.46829999999999999</v>
      </c>
      <c r="E153">
        <v>8.7200000000000003E-3</v>
      </c>
      <c r="F153">
        <v>0</v>
      </c>
      <c r="G153">
        <v>0</v>
      </c>
      <c r="H153">
        <v>1</v>
      </c>
      <c r="I153">
        <v>10001</v>
      </c>
      <c r="J153">
        <v>30000</v>
      </c>
    </row>
    <row r="154" spans="2:10" x14ac:dyDescent="0.25">
      <c r="B154" t="s">
        <v>528</v>
      </c>
      <c r="C154">
        <v>0.32929999999999998</v>
      </c>
      <c r="D154">
        <v>0.47</v>
      </c>
      <c r="E154">
        <v>8.5509999999999996E-3</v>
      </c>
      <c r="F154">
        <v>0</v>
      </c>
      <c r="G154">
        <v>0</v>
      </c>
      <c r="H154">
        <v>1</v>
      </c>
      <c r="I154">
        <v>10001</v>
      </c>
      <c r="J154">
        <v>30000</v>
      </c>
    </row>
    <row r="155" spans="2:10" x14ac:dyDescent="0.25">
      <c r="B155" t="s">
        <v>529</v>
      </c>
      <c r="C155">
        <v>0.1525</v>
      </c>
      <c r="D155">
        <v>0.35949999999999999</v>
      </c>
      <c r="E155">
        <v>6.705E-3</v>
      </c>
      <c r="F155">
        <v>0</v>
      </c>
      <c r="G155">
        <v>0</v>
      </c>
      <c r="H155">
        <v>1</v>
      </c>
      <c r="I155">
        <v>10001</v>
      </c>
      <c r="J155">
        <v>30000</v>
      </c>
    </row>
    <row r="156" spans="2:10" x14ac:dyDescent="0.25">
      <c r="B156" t="s">
        <v>530</v>
      </c>
      <c r="C156">
        <v>3.1800000000000002E-2</v>
      </c>
      <c r="D156">
        <v>0.17549999999999999</v>
      </c>
      <c r="E156">
        <v>3.1740000000000002E-3</v>
      </c>
      <c r="F156">
        <v>0</v>
      </c>
      <c r="G156">
        <v>0</v>
      </c>
      <c r="H156">
        <v>1</v>
      </c>
      <c r="I156">
        <v>10001</v>
      </c>
      <c r="J156">
        <v>30000</v>
      </c>
    </row>
    <row r="157" spans="2:10" x14ac:dyDescent="0.25">
      <c r="B157" t="s">
        <v>531</v>
      </c>
      <c r="C157">
        <v>1.5E-3</v>
      </c>
      <c r="D157">
        <v>3.8699999999999998E-2</v>
      </c>
      <c r="E157" s="13">
        <v>3.5179999999999999E-4</v>
      </c>
      <c r="F157">
        <v>0</v>
      </c>
      <c r="G157">
        <v>0</v>
      </c>
      <c r="H157">
        <v>0</v>
      </c>
      <c r="I157">
        <v>10001</v>
      </c>
      <c r="J157">
        <v>30000</v>
      </c>
    </row>
    <row r="158" spans="2:10" x14ac:dyDescent="0.25">
      <c r="B158" t="s">
        <v>532</v>
      </c>
      <c r="C158">
        <v>0.35460000000000003</v>
      </c>
      <c r="D158">
        <v>0.47839999999999999</v>
      </c>
      <c r="E158">
        <v>1.388E-2</v>
      </c>
      <c r="F158">
        <v>0</v>
      </c>
      <c r="G158">
        <v>0</v>
      </c>
      <c r="H158">
        <v>1</v>
      </c>
      <c r="I158">
        <v>10001</v>
      </c>
      <c r="J158">
        <v>30000</v>
      </c>
    </row>
    <row r="159" spans="2:10" x14ac:dyDescent="0.25">
      <c r="B159" t="s">
        <v>533</v>
      </c>
      <c r="C159">
        <v>0.51339999999999997</v>
      </c>
      <c r="D159">
        <v>0.49980000000000002</v>
      </c>
      <c r="E159">
        <v>1.2030000000000001E-2</v>
      </c>
      <c r="F159">
        <v>0</v>
      </c>
      <c r="G159">
        <v>1</v>
      </c>
      <c r="H159">
        <v>1</v>
      </c>
      <c r="I159">
        <v>10001</v>
      </c>
      <c r="J159">
        <v>30000</v>
      </c>
    </row>
    <row r="160" spans="2:10" x14ac:dyDescent="0.25">
      <c r="B160" t="s">
        <v>534</v>
      </c>
      <c r="C160">
        <v>0.10299999999999999</v>
      </c>
      <c r="D160">
        <v>0.30399999999999999</v>
      </c>
      <c r="E160">
        <v>6.8009999999999998E-3</v>
      </c>
      <c r="F160">
        <v>0</v>
      </c>
      <c r="G160">
        <v>0</v>
      </c>
      <c r="H160">
        <v>1</v>
      </c>
      <c r="I160">
        <v>10001</v>
      </c>
      <c r="J160">
        <v>30000</v>
      </c>
    </row>
    <row r="161" spans="2:10" x14ac:dyDescent="0.25">
      <c r="B161" t="s">
        <v>535</v>
      </c>
      <c r="C161">
        <v>1.847E-2</v>
      </c>
      <c r="D161">
        <v>0.1346</v>
      </c>
      <c r="E161">
        <v>1.9940000000000001E-3</v>
      </c>
      <c r="F161">
        <v>0</v>
      </c>
      <c r="G161">
        <v>0</v>
      </c>
      <c r="H161">
        <v>0</v>
      </c>
      <c r="I161">
        <v>10001</v>
      </c>
      <c r="J161">
        <v>30000</v>
      </c>
    </row>
    <row r="162" spans="2:10" x14ac:dyDescent="0.25">
      <c r="B162" t="s">
        <v>536</v>
      </c>
      <c r="C162">
        <v>7.4669999999999997E-3</v>
      </c>
      <c r="D162">
        <v>8.609E-2</v>
      </c>
      <c r="E162">
        <v>1.271E-3</v>
      </c>
      <c r="F162">
        <v>0</v>
      </c>
      <c r="G162">
        <v>0</v>
      </c>
      <c r="H162">
        <v>0</v>
      </c>
      <c r="I162">
        <v>10001</v>
      </c>
      <c r="J162">
        <v>30000</v>
      </c>
    </row>
    <row r="163" spans="2:10" x14ac:dyDescent="0.25">
      <c r="B163" t="s">
        <v>537</v>
      </c>
      <c r="C163">
        <v>2.5999999999999999E-3</v>
      </c>
      <c r="D163">
        <v>5.092E-2</v>
      </c>
      <c r="E163" s="13">
        <v>7.9120000000000004E-4</v>
      </c>
      <c r="F163">
        <v>0</v>
      </c>
      <c r="G163">
        <v>0</v>
      </c>
      <c r="H163">
        <v>0</v>
      </c>
      <c r="I163">
        <v>10001</v>
      </c>
      <c r="J163">
        <v>30000</v>
      </c>
    </row>
    <row r="164" spans="2:10" x14ac:dyDescent="0.25">
      <c r="B164" t="s">
        <v>538</v>
      </c>
      <c r="C164" s="13">
        <v>3.6670000000000002E-4</v>
      </c>
      <c r="D164">
        <v>1.915E-2</v>
      </c>
      <c r="E164" s="13">
        <v>1.661E-4</v>
      </c>
      <c r="F164">
        <v>0</v>
      </c>
      <c r="G164">
        <v>0</v>
      </c>
      <c r="H164">
        <v>0</v>
      </c>
      <c r="I164">
        <v>10001</v>
      </c>
      <c r="J164">
        <v>30000</v>
      </c>
    </row>
    <row r="165" spans="2:10" x14ac:dyDescent="0.25">
      <c r="B165" t="s">
        <v>539</v>
      </c>
      <c r="C165" s="13">
        <v>6.6669999999999997E-5</v>
      </c>
      <c r="D165">
        <v>8.1650000000000004E-3</v>
      </c>
      <c r="E165" s="13">
        <v>6.6890000000000005E-5</v>
      </c>
      <c r="F165">
        <v>0</v>
      </c>
      <c r="G165">
        <v>0</v>
      </c>
      <c r="H165">
        <v>0</v>
      </c>
      <c r="I165">
        <v>10001</v>
      </c>
      <c r="J165">
        <v>30000</v>
      </c>
    </row>
    <row r="166" spans="2:10" x14ac:dyDescent="0.25">
      <c r="B166" t="s">
        <v>540</v>
      </c>
      <c r="C166">
        <v>0.54620000000000002</v>
      </c>
      <c r="D166">
        <v>0.49790000000000001</v>
      </c>
      <c r="E166">
        <v>1.4670000000000001E-2</v>
      </c>
      <c r="F166">
        <v>0</v>
      </c>
      <c r="G166">
        <v>1</v>
      </c>
      <c r="H166">
        <v>1</v>
      </c>
      <c r="I166">
        <v>10001</v>
      </c>
      <c r="J166">
        <v>30000</v>
      </c>
    </row>
    <row r="167" spans="2:10" x14ac:dyDescent="0.25">
      <c r="B167" t="s">
        <v>541</v>
      </c>
      <c r="C167">
        <v>0.26800000000000002</v>
      </c>
      <c r="D167">
        <v>0.44290000000000002</v>
      </c>
      <c r="E167">
        <v>0.01</v>
      </c>
      <c r="F167">
        <v>0</v>
      </c>
      <c r="G167">
        <v>0</v>
      </c>
      <c r="H167">
        <v>1</v>
      </c>
      <c r="I167">
        <v>10001</v>
      </c>
      <c r="J167">
        <v>30000</v>
      </c>
    </row>
    <row r="168" spans="2:10" x14ac:dyDescent="0.25">
      <c r="B168" t="s">
        <v>542</v>
      </c>
      <c r="C168">
        <v>8.1269999999999995E-2</v>
      </c>
      <c r="D168">
        <v>0.2732</v>
      </c>
      <c r="E168">
        <v>4.6860000000000001E-3</v>
      </c>
      <c r="F168">
        <v>0</v>
      </c>
      <c r="G168">
        <v>0</v>
      </c>
      <c r="H168">
        <v>1</v>
      </c>
      <c r="I168">
        <v>10001</v>
      </c>
      <c r="J168">
        <v>30000</v>
      </c>
    </row>
    <row r="169" spans="2:10" x14ac:dyDescent="0.25">
      <c r="B169" t="s">
        <v>543</v>
      </c>
      <c r="C169">
        <v>3.823E-2</v>
      </c>
      <c r="D169">
        <v>0.1918</v>
      </c>
      <c r="E169">
        <v>2.7239999999999999E-3</v>
      </c>
      <c r="F169">
        <v>0</v>
      </c>
      <c r="G169">
        <v>0</v>
      </c>
      <c r="H169">
        <v>1</v>
      </c>
      <c r="I169">
        <v>10001</v>
      </c>
      <c r="J169">
        <v>30000</v>
      </c>
    </row>
    <row r="170" spans="2:10" x14ac:dyDescent="0.25">
      <c r="B170" t="s">
        <v>544</v>
      </c>
      <c r="C170">
        <v>2.9569999999999999E-2</v>
      </c>
      <c r="D170">
        <v>0.1694</v>
      </c>
      <c r="E170">
        <v>2.3479999999999998E-3</v>
      </c>
      <c r="F170">
        <v>0</v>
      </c>
      <c r="G170">
        <v>0</v>
      </c>
      <c r="H170">
        <v>1</v>
      </c>
      <c r="I170">
        <v>10001</v>
      </c>
      <c r="J170">
        <v>30000</v>
      </c>
    </row>
    <row r="171" spans="2:10" x14ac:dyDescent="0.25">
      <c r="B171" t="s">
        <v>545</v>
      </c>
      <c r="C171">
        <v>2.3269999999999999E-2</v>
      </c>
      <c r="D171">
        <v>0.1507</v>
      </c>
      <c r="E171">
        <v>2.4870000000000001E-3</v>
      </c>
      <c r="F171">
        <v>0</v>
      </c>
      <c r="G171">
        <v>0</v>
      </c>
      <c r="H171">
        <v>0</v>
      </c>
      <c r="I171">
        <v>10001</v>
      </c>
      <c r="J171">
        <v>30000</v>
      </c>
    </row>
    <row r="172" spans="2:10" x14ac:dyDescent="0.25">
      <c r="B172" t="s">
        <v>546</v>
      </c>
      <c r="C172">
        <v>1.157E-2</v>
      </c>
      <c r="D172">
        <v>0.1069</v>
      </c>
      <c r="E172">
        <v>1.8129999999999999E-3</v>
      </c>
      <c r="F172">
        <v>0</v>
      </c>
      <c r="G172">
        <v>0</v>
      </c>
      <c r="H172">
        <v>0</v>
      </c>
      <c r="I172">
        <v>10001</v>
      </c>
      <c r="J172">
        <v>30000</v>
      </c>
    </row>
    <row r="173" spans="2:10" x14ac:dyDescent="0.25">
      <c r="B173" t="s">
        <v>547</v>
      </c>
      <c r="C173">
        <v>1.933E-3</v>
      </c>
      <c r="D173">
        <v>4.3929999999999997E-2</v>
      </c>
      <c r="E173" s="13">
        <v>4.6030000000000002E-4</v>
      </c>
      <c r="F173">
        <v>0</v>
      </c>
      <c r="G173">
        <v>0</v>
      </c>
      <c r="H173">
        <v>0</v>
      </c>
      <c r="I173">
        <v>10001</v>
      </c>
      <c r="J173">
        <v>30000</v>
      </c>
    </row>
    <row r="174" spans="2:10" x14ac:dyDescent="0.25">
      <c r="B174" t="s">
        <v>548</v>
      </c>
      <c r="C174">
        <v>8.3669999999999994E-3</v>
      </c>
      <c r="D174">
        <v>9.1090000000000004E-2</v>
      </c>
      <c r="E174">
        <v>1.846E-3</v>
      </c>
      <c r="F174">
        <v>0</v>
      </c>
      <c r="G174">
        <v>0</v>
      </c>
      <c r="H174">
        <v>0</v>
      </c>
      <c r="I174">
        <v>10001</v>
      </c>
      <c r="J174">
        <v>30000</v>
      </c>
    </row>
    <row r="175" spans="2:10" x14ac:dyDescent="0.25">
      <c r="B175" t="s">
        <v>549</v>
      </c>
      <c r="C175">
        <v>1.12E-2</v>
      </c>
      <c r="D175">
        <v>0.1052</v>
      </c>
      <c r="E175">
        <v>1.5089999999999999E-3</v>
      </c>
      <c r="F175">
        <v>0</v>
      </c>
      <c r="G175">
        <v>0</v>
      </c>
      <c r="H175">
        <v>0</v>
      </c>
      <c r="I175">
        <v>10001</v>
      </c>
      <c r="J175">
        <v>30000</v>
      </c>
    </row>
    <row r="176" spans="2:10" x14ac:dyDescent="0.25">
      <c r="B176" t="s">
        <v>550</v>
      </c>
      <c r="C176">
        <v>2.3130000000000001E-2</v>
      </c>
      <c r="D176">
        <v>0.15029999999999999</v>
      </c>
      <c r="E176">
        <v>2.0790000000000001E-3</v>
      </c>
      <c r="F176">
        <v>0</v>
      </c>
      <c r="G176">
        <v>0</v>
      </c>
      <c r="H176">
        <v>0</v>
      </c>
      <c r="I176">
        <v>10001</v>
      </c>
      <c r="J176">
        <v>30000</v>
      </c>
    </row>
    <row r="177" spans="2:10" x14ac:dyDescent="0.25">
      <c r="B177" t="s">
        <v>551</v>
      </c>
      <c r="C177">
        <v>2.043E-2</v>
      </c>
      <c r="D177">
        <v>0.14149999999999999</v>
      </c>
      <c r="E177">
        <v>1.6739999999999999E-3</v>
      </c>
      <c r="F177">
        <v>0</v>
      </c>
      <c r="G177">
        <v>0</v>
      </c>
      <c r="H177">
        <v>0</v>
      </c>
      <c r="I177">
        <v>10001</v>
      </c>
      <c r="J177">
        <v>30000</v>
      </c>
    </row>
    <row r="178" spans="2:10" x14ac:dyDescent="0.25">
      <c r="B178" t="s">
        <v>552</v>
      </c>
      <c r="C178">
        <v>3.5069999999999997E-2</v>
      </c>
      <c r="D178">
        <v>0.18390000000000001</v>
      </c>
      <c r="E178">
        <v>2.4480000000000001E-3</v>
      </c>
      <c r="F178">
        <v>0</v>
      </c>
      <c r="G178">
        <v>0</v>
      </c>
      <c r="H178">
        <v>1</v>
      </c>
      <c r="I178">
        <v>10001</v>
      </c>
      <c r="J178">
        <v>30000</v>
      </c>
    </row>
    <row r="179" spans="2:10" x14ac:dyDescent="0.25">
      <c r="B179" t="s">
        <v>553</v>
      </c>
      <c r="C179">
        <v>6.3170000000000004E-2</v>
      </c>
      <c r="D179">
        <v>0.24329999999999999</v>
      </c>
      <c r="E179">
        <v>3.4269999999999999E-3</v>
      </c>
      <c r="F179">
        <v>0</v>
      </c>
      <c r="G179">
        <v>0</v>
      </c>
      <c r="H179">
        <v>1</v>
      </c>
      <c r="I179">
        <v>10001</v>
      </c>
      <c r="J179">
        <v>30000</v>
      </c>
    </row>
    <row r="180" spans="2:10" x14ac:dyDescent="0.25">
      <c r="B180" t="s">
        <v>554</v>
      </c>
      <c r="C180">
        <v>0.13769999999999999</v>
      </c>
      <c r="D180">
        <v>0.34460000000000002</v>
      </c>
      <c r="E180">
        <v>5.2589999999999998E-3</v>
      </c>
      <c r="F180">
        <v>0</v>
      </c>
      <c r="G180">
        <v>0</v>
      </c>
      <c r="H180">
        <v>1</v>
      </c>
      <c r="I180">
        <v>10001</v>
      </c>
      <c r="J180">
        <v>30000</v>
      </c>
    </row>
    <row r="181" spans="2:10" x14ac:dyDescent="0.25">
      <c r="B181" t="s">
        <v>555</v>
      </c>
      <c r="C181">
        <v>0.70089999999999997</v>
      </c>
      <c r="D181">
        <v>0.45779999999999998</v>
      </c>
      <c r="E181">
        <v>1.0619999999999999E-2</v>
      </c>
      <c r="F181">
        <v>0</v>
      </c>
      <c r="G181">
        <v>1</v>
      </c>
      <c r="H181">
        <v>1</v>
      </c>
      <c r="I181">
        <v>10001</v>
      </c>
      <c r="J181">
        <v>30000</v>
      </c>
    </row>
    <row r="182" spans="2:10" x14ac:dyDescent="0.25">
      <c r="B182" t="s">
        <v>556</v>
      </c>
      <c r="C182">
        <v>7.4899999999999994E-2</v>
      </c>
      <c r="D182">
        <v>0.26319999999999999</v>
      </c>
      <c r="E182">
        <v>5.2339999999999999E-3</v>
      </c>
      <c r="F182">
        <v>0</v>
      </c>
      <c r="G182">
        <v>0</v>
      </c>
      <c r="H182">
        <v>1</v>
      </c>
      <c r="I182">
        <v>10001</v>
      </c>
      <c r="J182">
        <v>30000</v>
      </c>
    </row>
    <row r="183" spans="2:10" x14ac:dyDescent="0.25">
      <c r="B183" t="s">
        <v>557</v>
      </c>
      <c r="C183">
        <v>9.4670000000000004E-2</v>
      </c>
      <c r="D183">
        <v>0.2928</v>
      </c>
      <c r="E183">
        <v>4.9129999999999998E-3</v>
      </c>
      <c r="F183">
        <v>0</v>
      </c>
      <c r="G183">
        <v>0</v>
      </c>
      <c r="H183">
        <v>1</v>
      </c>
      <c r="I183">
        <v>10001</v>
      </c>
      <c r="J183">
        <v>30000</v>
      </c>
    </row>
    <row r="184" spans="2:10" x14ac:dyDescent="0.25">
      <c r="B184" t="s">
        <v>558</v>
      </c>
      <c r="C184">
        <v>0.16039999999999999</v>
      </c>
      <c r="D184">
        <v>0.3669</v>
      </c>
      <c r="E184">
        <v>6.9680000000000002E-3</v>
      </c>
      <c r="F184">
        <v>0</v>
      </c>
      <c r="G184">
        <v>0</v>
      </c>
      <c r="H184">
        <v>1</v>
      </c>
      <c r="I184">
        <v>10001</v>
      </c>
      <c r="J184">
        <v>30000</v>
      </c>
    </row>
    <row r="185" spans="2:10" x14ac:dyDescent="0.25">
      <c r="B185" t="s">
        <v>559</v>
      </c>
      <c r="C185">
        <v>8.4029999999999994E-2</v>
      </c>
      <c r="D185">
        <v>0.27739999999999998</v>
      </c>
      <c r="E185">
        <v>3.5010000000000002E-3</v>
      </c>
      <c r="F185">
        <v>0</v>
      </c>
      <c r="G185">
        <v>0</v>
      </c>
      <c r="H185">
        <v>1</v>
      </c>
      <c r="I185">
        <v>10001</v>
      </c>
      <c r="J185">
        <v>30000</v>
      </c>
    </row>
    <row r="186" spans="2:10" x14ac:dyDescent="0.25">
      <c r="B186" t="s">
        <v>560</v>
      </c>
      <c r="C186">
        <v>0.10580000000000001</v>
      </c>
      <c r="D186">
        <v>0.30759999999999998</v>
      </c>
      <c r="E186">
        <v>3.8180000000000002E-3</v>
      </c>
      <c r="F186">
        <v>0</v>
      </c>
      <c r="G186">
        <v>0</v>
      </c>
      <c r="H186">
        <v>1</v>
      </c>
      <c r="I186">
        <v>10001</v>
      </c>
      <c r="J186">
        <v>30000</v>
      </c>
    </row>
    <row r="187" spans="2:10" x14ac:dyDescent="0.25">
      <c r="B187" t="s">
        <v>561</v>
      </c>
      <c r="C187">
        <v>0.12759999999999999</v>
      </c>
      <c r="D187">
        <v>0.3337</v>
      </c>
      <c r="E187">
        <v>4.2760000000000003E-3</v>
      </c>
      <c r="F187">
        <v>0</v>
      </c>
      <c r="G187">
        <v>0</v>
      </c>
      <c r="H187">
        <v>1</v>
      </c>
      <c r="I187">
        <v>10001</v>
      </c>
      <c r="J187">
        <v>30000</v>
      </c>
    </row>
    <row r="188" spans="2:10" x14ac:dyDescent="0.25">
      <c r="B188" t="s">
        <v>562</v>
      </c>
      <c r="C188">
        <v>0.22439999999999999</v>
      </c>
      <c r="D188">
        <v>0.41720000000000002</v>
      </c>
      <c r="E188">
        <v>8.4799999999999997E-3</v>
      </c>
      <c r="F188">
        <v>0</v>
      </c>
      <c r="G188">
        <v>0</v>
      </c>
      <c r="H188">
        <v>1</v>
      </c>
      <c r="I188">
        <v>10001</v>
      </c>
      <c r="J188">
        <v>30000</v>
      </c>
    </row>
    <row r="189" spans="2:10" x14ac:dyDescent="0.25">
      <c r="B189" t="s">
        <v>563</v>
      </c>
      <c r="C189">
        <v>0.12820000000000001</v>
      </c>
      <c r="D189">
        <v>0.33429999999999999</v>
      </c>
      <c r="E189">
        <v>7.0959999999999999E-3</v>
      </c>
      <c r="F189">
        <v>0</v>
      </c>
      <c r="G189">
        <v>0</v>
      </c>
      <c r="H189">
        <v>1</v>
      </c>
      <c r="I189">
        <v>10001</v>
      </c>
      <c r="J189">
        <v>30000</v>
      </c>
    </row>
    <row r="190" spans="2:10" x14ac:dyDescent="0.25">
      <c r="B190" t="s">
        <v>564</v>
      </c>
      <c r="C190">
        <v>5.4669999999999996E-3</v>
      </c>
      <c r="D190">
        <v>7.3730000000000004E-2</v>
      </c>
      <c r="E190">
        <v>1.3500000000000001E-3</v>
      </c>
      <c r="F190">
        <v>0</v>
      </c>
      <c r="G190">
        <v>0</v>
      </c>
      <c r="H190">
        <v>0</v>
      </c>
      <c r="I190">
        <v>10001</v>
      </c>
      <c r="J190">
        <v>30000</v>
      </c>
    </row>
    <row r="191" spans="2:10" x14ac:dyDescent="0.25">
      <c r="B191" t="s">
        <v>565</v>
      </c>
      <c r="C191">
        <v>1.857E-2</v>
      </c>
      <c r="D191">
        <v>0.13500000000000001</v>
      </c>
      <c r="E191">
        <v>2.4459999999999998E-3</v>
      </c>
      <c r="F191">
        <v>0</v>
      </c>
      <c r="G191">
        <v>0</v>
      </c>
      <c r="H191">
        <v>0</v>
      </c>
      <c r="I191">
        <v>10001</v>
      </c>
      <c r="J191">
        <v>30000</v>
      </c>
    </row>
    <row r="192" spans="2:10" x14ac:dyDescent="0.25">
      <c r="B192" t="s">
        <v>566</v>
      </c>
      <c r="C192">
        <v>6.3570000000000002E-2</v>
      </c>
      <c r="D192">
        <v>0.24399999999999999</v>
      </c>
      <c r="E192">
        <v>4.4039999999999999E-3</v>
      </c>
      <c r="F192">
        <v>0</v>
      </c>
      <c r="G192">
        <v>0</v>
      </c>
      <c r="H192">
        <v>1</v>
      </c>
      <c r="I192">
        <v>10001</v>
      </c>
      <c r="J192">
        <v>30000</v>
      </c>
    </row>
    <row r="193" spans="2:10" x14ac:dyDescent="0.25">
      <c r="B193" t="s">
        <v>567</v>
      </c>
      <c r="C193">
        <v>0.105</v>
      </c>
      <c r="D193">
        <v>0.30649999999999999</v>
      </c>
      <c r="E193">
        <v>5.6740000000000002E-3</v>
      </c>
      <c r="F193">
        <v>0</v>
      </c>
      <c r="G193">
        <v>0</v>
      </c>
      <c r="H193">
        <v>1</v>
      </c>
      <c r="I193">
        <v>10001</v>
      </c>
      <c r="J193">
        <v>30000</v>
      </c>
    </row>
    <row r="194" spans="2:10" x14ac:dyDescent="0.25">
      <c r="B194" t="s">
        <v>568</v>
      </c>
      <c r="C194">
        <v>0.1565</v>
      </c>
      <c r="D194">
        <v>0.36330000000000001</v>
      </c>
      <c r="E194">
        <v>5.8919999999999997E-3</v>
      </c>
      <c r="F194">
        <v>0</v>
      </c>
      <c r="G194">
        <v>0</v>
      </c>
      <c r="H194">
        <v>1</v>
      </c>
      <c r="I194">
        <v>10001</v>
      </c>
      <c r="J194">
        <v>30000</v>
      </c>
    </row>
    <row r="195" spans="2:10" x14ac:dyDescent="0.25">
      <c r="B195" t="s">
        <v>569</v>
      </c>
      <c r="C195">
        <v>0.27610000000000001</v>
      </c>
      <c r="D195">
        <v>0.4471</v>
      </c>
      <c r="E195">
        <v>8.0129999999999993E-3</v>
      </c>
      <c r="F195">
        <v>0</v>
      </c>
      <c r="G195">
        <v>0</v>
      </c>
      <c r="H195">
        <v>1</v>
      </c>
      <c r="I195">
        <v>10001</v>
      </c>
      <c r="J195">
        <v>30000</v>
      </c>
    </row>
    <row r="196" spans="2:10" x14ac:dyDescent="0.25">
      <c r="B196" t="s">
        <v>570</v>
      </c>
      <c r="C196">
        <v>0.28839999999999999</v>
      </c>
      <c r="D196">
        <v>0.45300000000000001</v>
      </c>
      <c r="E196">
        <v>1.0120000000000001E-2</v>
      </c>
      <c r="F196">
        <v>0</v>
      </c>
      <c r="G196">
        <v>0</v>
      </c>
      <c r="H196">
        <v>1</v>
      </c>
      <c r="I196">
        <v>10001</v>
      </c>
      <c r="J196">
        <v>30000</v>
      </c>
    </row>
    <row r="197" spans="2:10" x14ac:dyDescent="0.25">
      <c r="B197" t="s">
        <v>571</v>
      </c>
      <c r="C197">
        <v>8.6470000000000005E-2</v>
      </c>
      <c r="D197">
        <v>0.28110000000000002</v>
      </c>
      <c r="E197">
        <v>6.3420000000000004E-3</v>
      </c>
      <c r="F197">
        <v>0</v>
      </c>
      <c r="G197">
        <v>0</v>
      </c>
      <c r="H197">
        <v>1</v>
      </c>
      <c r="I197">
        <v>10001</v>
      </c>
      <c r="J197">
        <v>30000</v>
      </c>
    </row>
    <row r="198" spans="2:10" x14ac:dyDescent="0.25">
      <c r="B198" t="s">
        <v>572</v>
      </c>
      <c r="C198" s="13">
        <v>2.9999999999999997E-4</v>
      </c>
      <c r="D198">
        <v>1.7319999999999999E-2</v>
      </c>
      <c r="E198" s="13">
        <v>1.7320000000000001E-4</v>
      </c>
      <c r="F198">
        <v>0</v>
      </c>
      <c r="G198">
        <v>0</v>
      </c>
      <c r="H198">
        <v>0</v>
      </c>
      <c r="I198">
        <v>10001</v>
      </c>
      <c r="J198">
        <v>30000</v>
      </c>
    </row>
    <row r="199" spans="2:10" x14ac:dyDescent="0.25">
      <c r="B199" t="s">
        <v>573</v>
      </c>
      <c r="C199">
        <v>3.4329999999999999E-3</v>
      </c>
      <c r="D199">
        <v>5.849E-2</v>
      </c>
      <c r="E199" s="13">
        <v>9.1969999999999997E-4</v>
      </c>
      <c r="F199">
        <v>0</v>
      </c>
      <c r="G199">
        <v>0</v>
      </c>
      <c r="H199">
        <v>0</v>
      </c>
      <c r="I199">
        <v>10001</v>
      </c>
      <c r="J199">
        <v>30000</v>
      </c>
    </row>
    <row r="200" spans="2:10" x14ac:dyDescent="0.25">
      <c r="B200" t="s">
        <v>574</v>
      </c>
      <c r="C200">
        <v>3.2169999999999997E-2</v>
      </c>
      <c r="D200">
        <v>0.1764</v>
      </c>
      <c r="E200">
        <v>3.8400000000000001E-3</v>
      </c>
      <c r="F200">
        <v>0</v>
      </c>
      <c r="G200">
        <v>0</v>
      </c>
      <c r="H200">
        <v>1</v>
      </c>
      <c r="I200">
        <v>10001</v>
      </c>
      <c r="J200">
        <v>30000</v>
      </c>
    </row>
    <row r="201" spans="2:10" x14ac:dyDescent="0.25">
      <c r="B201" t="s">
        <v>575</v>
      </c>
      <c r="C201">
        <v>7.9299999999999995E-2</v>
      </c>
      <c r="D201">
        <v>0.2702</v>
      </c>
      <c r="E201">
        <v>4.9490000000000003E-3</v>
      </c>
      <c r="F201">
        <v>0</v>
      </c>
      <c r="G201">
        <v>0</v>
      </c>
      <c r="H201">
        <v>1</v>
      </c>
      <c r="I201">
        <v>10001</v>
      </c>
      <c r="J201">
        <v>30000</v>
      </c>
    </row>
    <row r="202" spans="2:10" x14ac:dyDescent="0.25">
      <c r="B202" t="s">
        <v>576</v>
      </c>
      <c r="C202">
        <v>0.1918</v>
      </c>
      <c r="D202">
        <v>0.39369999999999999</v>
      </c>
      <c r="E202">
        <v>7.8539999999999999E-3</v>
      </c>
      <c r="F202">
        <v>0</v>
      </c>
      <c r="G202">
        <v>0</v>
      </c>
      <c r="H202">
        <v>1</v>
      </c>
      <c r="I202">
        <v>10001</v>
      </c>
      <c r="J202">
        <v>30000</v>
      </c>
    </row>
    <row r="203" spans="2:10" x14ac:dyDescent="0.25">
      <c r="B203" t="s">
        <v>577</v>
      </c>
      <c r="C203">
        <v>0.31180000000000002</v>
      </c>
      <c r="D203">
        <v>0.4632</v>
      </c>
      <c r="E203">
        <v>8.3350000000000004E-3</v>
      </c>
      <c r="F203">
        <v>0</v>
      </c>
      <c r="G203">
        <v>0</v>
      </c>
      <c r="H203">
        <v>1</v>
      </c>
      <c r="I203">
        <v>10001</v>
      </c>
      <c r="J203">
        <v>30000</v>
      </c>
    </row>
    <row r="204" spans="2:10" x14ac:dyDescent="0.25">
      <c r="B204" t="s">
        <v>578</v>
      </c>
      <c r="C204">
        <v>0.30030000000000001</v>
      </c>
      <c r="D204">
        <v>0.45839999999999997</v>
      </c>
      <c r="E204">
        <v>1.0200000000000001E-2</v>
      </c>
      <c r="F204">
        <v>0</v>
      </c>
      <c r="G204">
        <v>0</v>
      </c>
      <c r="H204">
        <v>1</v>
      </c>
      <c r="I204">
        <v>10001</v>
      </c>
      <c r="J204">
        <v>30000</v>
      </c>
    </row>
    <row r="205" spans="2:10" x14ac:dyDescent="0.25">
      <c r="B205" t="s">
        <v>579</v>
      </c>
      <c r="C205">
        <v>8.0930000000000002E-2</v>
      </c>
      <c r="D205">
        <v>0.2727</v>
      </c>
      <c r="E205">
        <v>6.6990000000000001E-3</v>
      </c>
      <c r="F205">
        <v>0</v>
      </c>
      <c r="G205">
        <v>0</v>
      </c>
      <c r="H205">
        <v>1</v>
      </c>
      <c r="I205">
        <v>10001</v>
      </c>
      <c r="J205">
        <v>30000</v>
      </c>
    </row>
    <row r="206" spans="2:10" x14ac:dyDescent="0.25">
      <c r="B206" t="s">
        <v>580</v>
      </c>
      <c r="C206">
        <v>4.0030000000000001</v>
      </c>
      <c r="D206">
        <v>2.3149999999999999</v>
      </c>
      <c r="E206">
        <v>5.6140000000000002E-2</v>
      </c>
      <c r="F206">
        <v>0.62929999999999997</v>
      </c>
      <c r="G206">
        <v>3.629</v>
      </c>
      <c r="H206">
        <v>9.516</v>
      </c>
      <c r="I206">
        <v>10001</v>
      </c>
      <c r="J206">
        <v>30000</v>
      </c>
    </row>
    <row r="207" spans="2:10" x14ac:dyDescent="0.25">
      <c r="B207" t="s">
        <v>581</v>
      </c>
      <c r="C207">
        <v>1.6419999999999999</v>
      </c>
      <c r="D207">
        <v>1.65</v>
      </c>
      <c r="E207">
        <v>2.6290000000000001E-2</v>
      </c>
      <c r="F207">
        <v>4.1180000000000001E-2</v>
      </c>
      <c r="G207">
        <v>1.1479999999999999</v>
      </c>
      <c r="H207">
        <v>6.1040000000000001</v>
      </c>
      <c r="I207">
        <v>10001</v>
      </c>
      <c r="J207">
        <v>30000</v>
      </c>
    </row>
    <row r="208" spans="2:10" x14ac:dyDescent="0.25">
      <c r="B208" t="s">
        <v>582</v>
      </c>
      <c r="C208">
        <v>1.4039999999999999</v>
      </c>
      <c r="D208">
        <v>1.5249999999999999</v>
      </c>
      <c r="E208">
        <v>1.4880000000000001E-2</v>
      </c>
      <c r="F208">
        <v>3.143E-2</v>
      </c>
      <c r="G208">
        <v>0.91679999999999995</v>
      </c>
      <c r="H208">
        <v>5.6059999999999999</v>
      </c>
      <c r="I208">
        <v>10001</v>
      </c>
      <c r="J208">
        <v>30000</v>
      </c>
    </row>
    <row r="209" spans="2:10" x14ac:dyDescent="0.25">
      <c r="B209" t="s">
        <v>583</v>
      </c>
      <c r="C209">
        <v>1.4350000000000001</v>
      </c>
      <c r="D209">
        <v>1.5620000000000001</v>
      </c>
      <c r="E209">
        <v>1.9769999999999999E-2</v>
      </c>
      <c r="F209">
        <v>3.3180000000000001E-2</v>
      </c>
      <c r="G209">
        <v>0.94359999999999999</v>
      </c>
      <c r="H209">
        <v>5.673</v>
      </c>
      <c r="I209">
        <v>10001</v>
      </c>
      <c r="J209">
        <v>30000</v>
      </c>
    </row>
    <row r="210" spans="2:10" x14ac:dyDescent="0.25">
      <c r="B210" t="s">
        <v>584</v>
      </c>
      <c r="C210">
        <v>1.544</v>
      </c>
      <c r="D210">
        <v>1.583</v>
      </c>
      <c r="E210">
        <v>2.4080000000000001E-2</v>
      </c>
      <c r="F210">
        <v>3.8960000000000002E-2</v>
      </c>
      <c r="G210">
        <v>1.0620000000000001</v>
      </c>
      <c r="H210">
        <v>5.819</v>
      </c>
      <c r="I210">
        <v>10001</v>
      </c>
      <c r="J210">
        <v>30000</v>
      </c>
    </row>
    <row r="211" spans="2:10" x14ac:dyDescent="0.25">
      <c r="B211" t="s">
        <v>585</v>
      </c>
      <c r="C211">
        <v>1.96</v>
      </c>
      <c r="D211">
        <v>1.599</v>
      </c>
      <c r="E211">
        <v>1.086E-2</v>
      </c>
      <c r="F211">
        <v>0.59799999999999998</v>
      </c>
      <c r="G211">
        <v>1.381</v>
      </c>
      <c r="H211">
        <v>6.5129999999999999</v>
      </c>
      <c r="I211">
        <v>10001</v>
      </c>
      <c r="J211">
        <v>30000</v>
      </c>
    </row>
    <row r="212" spans="2:10" x14ac:dyDescent="0.25">
      <c r="B212" t="s">
        <v>586</v>
      </c>
      <c r="C212">
        <v>1.113</v>
      </c>
      <c r="D212">
        <v>1.4390000000000001</v>
      </c>
      <c r="E212">
        <v>9.0489999999999998E-3</v>
      </c>
      <c r="F212">
        <v>1.508E-2</v>
      </c>
      <c r="G212">
        <v>0.57840000000000003</v>
      </c>
      <c r="H212">
        <v>5.194</v>
      </c>
      <c r="I212">
        <v>10001</v>
      </c>
      <c r="J212">
        <v>30000</v>
      </c>
    </row>
    <row r="213" spans="2:10" x14ac:dyDescent="0.25">
      <c r="B213" t="s">
        <v>587</v>
      </c>
      <c r="C213">
        <v>1.1819999999999999</v>
      </c>
      <c r="D213">
        <v>1.4239999999999999</v>
      </c>
      <c r="E213">
        <v>1.021E-2</v>
      </c>
      <c r="F213">
        <v>2.154E-2</v>
      </c>
      <c r="G213">
        <v>0.68289999999999995</v>
      </c>
      <c r="H213">
        <v>5.1909999999999998</v>
      </c>
      <c r="I213">
        <v>10001</v>
      </c>
      <c r="J213">
        <v>30000</v>
      </c>
    </row>
    <row r="214" spans="2:10" x14ac:dyDescent="0.25">
      <c r="B214" t="s">
        <v>588</v>
      </c>
      <c r="C214">
        <v>3.5190000000000001</v>
      </c>
      <c r="D214">
        <v>1.87</v>
      </c>
      <c r="E214">
        <v>3.6420000000000001E-2</v>
      </c>
      <c r="F214">
        <v>0.87749999999999995</v>
      </c>
      <c r="G214">
        <v>3.194</v>
      </c>
      <c r="H214">
        <v>8.1229999999999993</v>
      </c>
      <c r="I214">
        <v>10001</v>
      </c>
      <c r="J214">
        <v>30000</v>
      </c>
    </row>
    <row r="215" spans="2:10" x14ac:dyDescent="0.25">
      <c r="B215" t="s">
        <v>589</v>
      </c>
      <c r="C215">
        <v>2.02</v>
      </c>
      <c r="D215">
        <v>2.0230000000000001</v>
      </c>
      <c r="E215">
        <v>3.456E-2</v>
      </c>
      <c r="F215">
        <v>5.0509999999999999E-2</v>
      </c>
      <c r="G215">
        <v>1.395</v>
      </c>
      <c r="H215">
        <v>7.5019999999999998</v>
      </c>
      <c r="I215">
        <v>10001</v>
      </c>
      <c r="J215">
        <v>30000</v>
      </c>
    </row>
    <row r="216" spans="2:10" x14ac:dyDescent="0.25">
      <c r="B216" t="s">
        <v>590</v>
      </c>
      <c r="C216">
        <v>2.4449999999999998</v>
      </c>
      <c r="D216">
        <v>2.0539999999999998</v>
      </c>
      <c r="E216">
        <v>4.0590000000000001E-2</v>
      </c>
      <c r="F216">
        <v>0.1048</v>
      </c>
      <c r="G216">
        <v>1.9339999999999999</v>
      </c>
      <c r="H216">
        <v>7.7539999999999996</v>
      </c>
      <c r="I216">
        <v>10001</v>
      </c>
      <c r="J216">
        <v>30000</v>
      </c>
    </row>
    <row r="217" spans="2:10" x14ac:dyDescent="0.25">
      <c r="B217" t="s">
        <v>591</v>
      </c>
      <c r="C217">
        <v>1.264</v>
      </c>
      <c r="D217">
        <v>1.454</v>
      </c>
      <c r="E217">
        <v>1.171E-2</v>
      </c>
      <c r="F217">
        <v>2.511E-2</v>
      </c>
      <c r="G217">
        <v>0.77</v>
      </c>
      <c r="H217">
        <v>5.3520000000000003</v>
      </c>
      <c r="I217">
        <v>10001</v>
      </c>
      <c r="J217">
        <v>30000</v>
      </c>
    </row>
    <row r="218" spans="2:10" x14ac:dyDescent="0.25">
      <c r="B218" t="s">
        <v>592</v>
      </c>
      <c r="C218">
        <v>2.2210000000000001</v>
      </c>
      <c r="D218">
        <v>1.758</v>
      </c>
      <c r="E218">
        <v>2.647E-2</v>
      </c>
      <c r="F218">
        <v>0.1449</v>
      </c>
      <c r="G218">
        <v>1.8109999999999999</v>
      </c>
      <c r="H218">
        <v>6.766</v>
      </c>
      <c r="I218">
        <v>10001</v>
      </c>
      <c r="J218">
        <v>30000</v>
      </c>
    </row>
    <row r="219" spans="2:10" x14ac:dyDescent="0.25">
      <c r="B219" t="s">
        <v>593</v>
      </c>
      <c r="C219">
        <v>2.0369999999999999</v>
      </c>
      <c r="D219">
        <v>2.0230000000000001</v>
      </c>
      <c r="E219">
        <v>3.5060000000000001E-2</v>
      </c>
      <c r="F219">
        <v>5.1749999999999997E-2</v>
      </c>
      <c r="G219">
        <v>1.43</v>
      </c>
      <c r="H219">
        <v>7.5490000000000004</v>
      </c>
      <c r="I219">
        <v>10001</v>
      </c>
      <c r="J219">
        <v>30000</v>
      </c>
    </row>
    <row r="220" spans="2:10" x14ac:dyDescent="0.25">
      <c r="B220" t="s">
        <v>594</v>
      </c>
      <c r="C220">
        <v>4.2370000000000001</v>
      </c>
      <c r="D220">
        <v>1.776</v>
      </c>
      <c r="E220">
        <v>3.193E-2</v>
      </c>
      <c r="F220">
        <v>1.6739999999999999</v>
      </c>
      <c r="G220">
        <v>3.9340000000000002</v>
      </c>
      <c r="H220">
        <v>8.65</v>
      </c>
      <c r="I220">
        <v>10001</v>
      </c>
      <c r="J220">
        <v>30000</v>
      </c>
    </row>
    <row r="221" spans="2:10" x14ac:dyDescent="0.25">
      <c r="B221" t="s">
        <v>595</v>
      </c>
      <c r="C221">
        <v>1.145</v>
      </c>
      <c r="D221">
        <v>1.538</v>
      </c>
      <c r="E221">
        <v>8.8489999999999992E-3</v>
      </c>
      <c r="F221">
        <v>1.307E-2</v>
      </c>
      <c r="G221">
        <v>0.56469999999999998</v>
      </c>
      <c r="H221">
        <v>5.4950000000000001</v>
      </c>
      <c r="I221">
        <v>10001</v>
      </c>
      <c r="J221">
        <v>30000</v>
      </c>
    </row>
    <row r="222" spans="2:10" x14ac:dyDescent="0.25">
      <c r="B222" t="s">
        <v>596</v>
      </c>
      <c r="C222">
        <v>1.51</v>
      </c>
      <c r="D222">
        <v>1.5680000000000001</v>
      </c>
      <c r="E222">
        <v>1.951E-2</v>
      </c>
      <c r="F222">
        <v>3.8530000000000002E-2</v>
      </c>
      <c r="G222">
        <v>1.032</v>
      </c>
      <c r="H222">
        <v>5.7549999999999999</v>
      </c>
      <c r="I222">
        <v>10001</v>
      </c>
      <c r="J222">
        <v>30000</v>
      </c>
    </row>
    <row r="223" spans="2:10" x14ac:dyDescent="0.25">
      <c r="B223" t="s">
        <v>597</v>
      </c>
      <c r="C223">
        <v>1.2809999999999999</v>
      </c>
      <c r="D223">
        <v>1.4730000000000001</v>
      </c>
      <c r="E223">
        <v>1.2619999999999999E-2</v>
      </c>
      <c r="F223">
        <v>2.512E-2</v>
      </c>
      <c r="G223">
        <v>0.78310000000000002</v>
      </c>
      <c r="H223">
        <v>5.3849999999999998</v>
      </c>
      <c r="I223">
        <v>10001</v>
      </c>
      <c r="J223">
        <v>30000</v>
      </c>
    </row>
    <row r="224" spans="2:10" x14ac:dyDescent="0.25">
      <c r="B224" t="s">
        <v>598</v>
      </c>
      <c r="C224">
        <v>1.579</v>
      </c>
      <c r="D224">
        <v>1.613</v>
      </c>
      <c r="E224">
        <v>2.085E-2</v>
      </c>
      <c r="F224">
        <v>3.7240000000000002E-2</v>
      </c>
      <c r="G224">
        <v>1.091</v>
      </c>
      <c r="H224">
        <v>5.9139999999999997</v>
      </c>
      <c r="I224">
        <v>10001</v>
      </c>
      <c r="J224">
        <v>30000</v>
      </c>
    </row>
    <row r="225" spans="2:10" x14ac:dyDescent="0.25">
      <c r="B225" t="s">
        <v>599</v>
      </c>
      <c r="C225">
        <v>1.391</v>
      </c>
      <c r="D225">
        <v>1.5129999999999999</v>
      </c>
      <c r="E225">
        <v>1.524E-2</v>
      </c>
      <c r="F225">
        <v>3.2550000000000003E-2</v>
      </c>
      <c r="G225">
        <v>0.90229999999999999</v>
      </c>
      <c r="H225">
        <v>5.5410000000000004</v>
      </c>
      <c r="I225">
        <v>10001</v>
      </c>
      <c r="J225">
        <v>30000</v>
      </c>
    </row>
    <row r="226" spans="2:10" x14ac:dyDescent="0.25">
      <c r="B226" t="s">
        <v>600</v>
      </c>
      <c r="C226">
        <v>1.468</v>
      </c>
      <c r="D226">
        <v>1.57</v>
      </c>
      <c r="E226">
        <v>1.5049999999999999E-2</v>
      </c>
      <c r="F226">
        <v>3.9539999999999999E-2</v>
      </c>
      <c r="G226">
        <v>0.97409999999999997</v>
      </c>
      <c r="H226">
        <v>5.73</v>
      </c>
      <c r="I226">
        <v>10001</v>
      </c>
      <c r="J226">
        <v>30000</v>
      </c>
    </row>
    <row r="227" spans="2:10" x14ac:dyDescent="0.25">
      <c r="B227" t="s">
        <v>601</v>
      </c>
      <c r="C227">
        <v>1.387</v>
      </c>
      <c r="D227">
        <v>1.4970000000000001</v>
      </c>
      <c r="E227">
        <v>1.2200000000000001E-2</v>
      </c>
      <c r="F227">
        <v>5.2839999999999998E-2</v>
      </c>
      <c r="G227">
        <v>0.91080000000000005</v>
      </c>
      <c r="H227">
        <v>5.55</v>
      </c>
      <c r="I227">
        <v>10001</v>
      </c>
      <c r="J227">
        <v>30000</v>
      </c>
    </row>
    <row r="228" spans="2:10" x14ac:dyDescent="0.25">
      <c r="B228" t="s">
        <v>602</v>
      </c>
      <c r="C228">
        <v>1.282</v>
      </c>
      <c r="D228">
        <v>1.4910000000000001</v>
      </c>
      <c r="E228">
        <v>1.2120000000000001E-2</v>
      </c>
      <c r="F228">
        <v>3.6799999999999999E-2</v>
      </c>
      <c r="G228">
        <v>0.76800000000000002</v>
      </c>
      <c r="H228">
        <v>5.5389999999999997</v>
      </c>
      <c r="I228">
        <v>10001</v>
      </c>
      <c r="J228">
        <v>30000</v>
      </c>
    </row>
    <row r="229" spans="2:10" x14ac:dyDescent="0.25">
      <c r="B229" t="s">
        <v>603</v>
      </c>
      <c r="C229">
        <v>3.2210000000000001</v>
      </c>
      <c r="D229">
        <v>1.98</v>
      </c>
      <c r="E229">
        <v>4.1090000000000002E-2</v>
      </c>
      <c r="F229">
        <v>0.44119999999999998</v>
      </c>
      <c r="G229">
        <v>2.8780000000000001</v>
      </c>
      <c r="H229">
        <v>8.0719999999999992</v>
      </c>
      <c r="I229">
        <v>10001</v>
      </c>
      <c r="J229">
        <v>30000</v>
      </c>
    </row>
    <row r="230" spans="2:10" x14ac:dyDescent="0.25">
      <c r="B230" t="s">
        <v>604</v>
      </c>
      <c r="C230">
        <v>2.6110000000000002</v>
      </c>
      <c r="D230">
        <v>1.9159999999999999</v>
      </c>
      <c r="E230">
        <v>3.2669999999999998E-2</v>
      </c>
      <c r="F230">
        <v>0.17580000000000001</v>
      </c>
      <c r="G230">
        <v>2.2149999999999999</v>
      </c>
      <c r="H230">
        <v>7.4169999999999998</v>
      </c>
      <c r="I230">
        <v>10001</v>
      </c>
      <c r="J230">
        <v>30000</v>
      </c>
    </row>
    <row r="231" spans="2:10" x14ac:dyDescent="0.25">
      <c r="B231" t="s">
        <v>605</v>
      </c>
      <c r="C231">
        <v>1.1319999999999999</v>
      </c>
      <c r="D231">
        <v>1.4710000000000001</v>
      </c>
      <c r="E231">
        <v>9.2420000000000002E-3</v>
      </c>
      <c r="F231">
        <v>1.6590000000000001E-2</v>
      </c>
      <c r="G231">
        <v>0.59360000000000002</v>
      </c>
      <c r="H231">
        <v>5.2889999999999997</v>
      </c>
      <c r="I231">
        <v>10001</v>
      </c>
      <c r="J231">
        <v>30000</v>
      </c>
    </row>
    <row r="232" spans="2:10" x14ac:dyDescent="0.25">
      <c r="B232" t="s">
        <v>606</v>
      </c>
      <c r="C232">
        <v>2.806</v>
      </c>
      <c r="D232">
        <v>1.784</v>
      </c>
      <c r="E232">
        <v>3.2559999999999999E-2</v>
      </c>
      <c r="F232">
        <v>0.47610000000000002</v>
      </c>
      <c r="G232">
        <v>2.4369999999999998</v>
      </c>
      <c r="H232">
        <v>7.3369999999999997</v>
      </c>
      <c r="I232">
        <v>10001</v>
      </c>
      <c r="J232">
        <v>30000</v>
      </c>
    </row>
    <row r="233" spans="2:10" x14ac:dyDescent="0.25">
      <c r="B233" t="s">
        <v>607</v>
      </c>
      <c r="C233">
        <v>2.351</v>
      </c>
      <c r="D233">
        <v>1.857</v>
      </c>
      <c r="E233">
        <v>3.9030000000000002E-2</v>
      </c>
      <c r="F233">
        <v>0.1295</v>
      </c>
      <c r="G233">
        <v>1.9279999999999999</v>
      </c>
      <c r="H233">
        <v>7.0679999999999996</v>
      </c>
      <c r="I233">
        <v>10001</v>
      </c>
      <c r="J233">
        <v>30000</v>
      </c>
    </row>
    <row r="234" spans="2:10" x14ac:dyDescent="0.25">
      <c r="B234" t="s">
        <v>608</v>
      </c>
      <c r="C234">
        <v>1.121</v>
      </c>
      <c r="D234">
        <v>1.4430000000000001</v>
      </c>
      <c r="E234">
        <v>8.907E-3</v>
      </c>
      <c r="F234">
        <v>1.6750000000000001E-2</v>
      </c>
      <c r="G234">
        <v>0.5877</v>
      </c>
      <c r="H234">
        <v>5.2619999999999996</v>
      </c>
      <c r="I234">
        <v>10001</v>
      </c>
      <c r="J234">
        <v>30000</v>
      </c>
    </row>
    <row r="235" spans="2:10" x14ac:dyDescent="0.25">
      <c r="B235" t="s">
        <v>609</v>
      </c>
      <c r="C235">
        <v>1.7150000000000001</v>
      </c>
      <c r="D235">
        <v>1.5189999999999999</v>
      </c>
      <c r="E235">
        <v>1.316E-2</v>
      </c>
      <c r="F235">
        <v>0.18529999999999999</v>
      </c>
      <c r="G235">
        <v>1.2689999999999999</v>
      </c>
      <c r="H235">
        <v>5.9450000000000003</v>
      </c>
      <c r="I235">
        <v>10001</v>
      </c>
      <c r="J235">
        <v>30000</v>
      </c>
    </row>
    <row r="236" spans="2:10" x14ac:dyDescent="0.25">
      <c r="B236" t="s">
        <v>610</v>
      </c>
      <c r="C236">
        <v>2.1970000000000001</v>
      </c>
      <c r="D236">
        <v>1.7849999999999999</v>
      </c>
      <c r="E236">
        <v>2.9250000000000002E-2</v>
      </c>
      <c r="F236">
        <v>0.13289999999999999</v>
      </c>
      <c r="G236">
        <v>1.7849999999999999</v>
      </c>
      <c r="H236">
        <v>6.7750000000000004</v>
      </c>
      <c r="I236">
        <v>10001</v>
      </c>
      <c r="J236">
        <v>30000</v>
      </c>
    </row>
    <row r="237" spans="2:10" x14ac:dyDescent="0.25">
      <c r="B237" t="s">
        <v>611</v>
      </c>
      <c r="C237">
        <v>1.452</v>
      </c>
      <c r="D237">
        <v>1.5620000000000001</v>
      </c>
      <c r="E237">
        <v>1.6480000000000002E-2</v>
      </c>
      <c r="F237">
        <v>3.703E-2</v>
      </c>
      <c r="G237">
        <v>0.95889999999999997</v>
      </c>
      <c r="H237">
        <v>5.7560000000000002</v>
      </c>
      <c r="I237">
        <v>10001</v>
      </c>
      <c r="J237">
        <v>30000</v>
      </c>
    </row>
    <row r="238" spans="2:10" x14ac:dyDescent="0.25">
      <c r="B238" t="s">
        <v>612</v>
      </c>
      <c r="C238">
        <v>3.6819999999999999</v>
      </c>
      <c r="D238">
        <v>1.01</v>
      </c>
      <c r="E238">
        <v>2.8080000000000001E-2</v>
      </c>
      <c r="F238">
        <v>2</v>
      </c>
      <c r="G238">
        <v>4</v>
      </c>
      <c r="H238">
        <v>6</v>
      </c>
      <c r="I238">
        <v>10001</v>
      </c>
      <c r="J238">
        <v>30000</v>
      </c>
    </row>
    <row r="239" spans="2:10" x14ac:dyDescent="0.25">
      <c r="B239" t="s">
        <v>613</v>
      </c>
      <c r="C239">
        <v>4.5519999999999996</v>
      </c>
      <c r="D239">
        <v>1.0860000000000001</v>
      </c>
      <c r="E239">
        <v>2.8199999999999999E-2</v>
      </c>
      <c r="F239">
        <v>3</v>
      </c>
      <c r="G239">
        <v>5</v>
      </c>
      <c r="H239">
        <v>7</v>
      </c>
      <c r="I239">
        <v>10001</v>
      </c>
      <c r="J239">
        <v>30000</v>
      </c>
    </row>
    <row r="240" spans="2:10" x14ac:dyDescent="0.25">
      <c r="B240" t="s">
        <v>614</v>
      </c>
      <c r="C240">
        <v>1.82</v>
      </c>
      <c r="D240">
        <v>0.78720000000000001</v>
      </c>
      <c r="E240">
        <v>2.2780000000000002E-2</v>
      </c>
      <c r="F240">
        <v>1</v>
      </c>
      <c r="G240">
        <v>2</v>
      </c>
      <c r="H240">
        <v>4</v>
      </c>
      <c r="I240">
        <v>10001</v>
      </c>
      <c r="J240">
        <v>30000</v>
      </c>
    </row>
    <row r="241" spans="1:10" x14ac:dyDescent="0.25">
      <c r="B241" t="s">
        <v>615</v>
      </c>
      <c r="C241">
        <v>1.863</v>
      </c>
      <c r="D241">
        <v>1.3260000000000001</v>
      </c>
      <c r="E241">
        <v>3.7969999999999997E-2</v>
      </c>
      <c r="F241">
        <v>1</v>
      </c>
      <c r="G241">
        <v>1</v>
      </c>
      <c r="H241">
        <v>6</v>
      </c>
      <c r="I241">
        <v>10001</v>
      </c>
      <c r="J241">
        <v>30000</v>
      </c>
    </row>
    <row r="242" spans="1:10" x14ac:dyDescent="0.25">
      <c r="B242" t="s">
        <v>616</v>
      </c>
      <c r="C242">
        <v>7.3079999999999998</v>
      </c>
      <c r="D242">
        <v>1.395</v>
      </c>
      <c r="E242">
        <v>3.5119999999999998E-2</v>
      </c>
      <c r="F242">
        <v>3</v>
      </c>
      <c r="G242">
        <v>8</v>
      </c>
      <c r="H242">
        <v>8</v>
      </c>
      <c r="I242">
        <v>10001</v>
      </c>
      <c r="J242">
        <v>30000</v>
      </c>
    </row>
    <row r="243" spans="1:10" x14ac:dyDescent="0.25">
      <c r="B243" t="s">
        <v>617</v>
      </c>
      <c r="C243">
        <v>4.9729999999999999</v>
      </c>
      <c r="D243">
        <v>2.226</v>
      </c>
      <c r="E243">
        <v>5.9880000000000003E-2</v>
      </c>
      <c r="F243">
        <v>1</v>
      </c>
      <c r="G243">
        <v>5</v>
      </c>
      <c r="H243">
        <v>8</v>
      </c>
      <c r="I243">
        <v>10001</v>
      </c>
      <c r="J243">
        <v>30000</v>
      </c>
    </row>
    <row r="244" spans="1:10" x14ac:dyDescent="0.25">
      <c r="B244" t="s">
        <v>618</v>
      </c>
      <c r="C244">
        <v>5.8029999999999999</v>
      </c>
      <c r="D244">
        <v>1.476</v>
      </c>
      <c r="E244">
        <v>4.2889999999999998E-2</v>
      </c>
      <c r="F244">
        <v>3</v>
      </c>
      <c r="G244">
        <v>6</v>
      </c>
      <c r="H244">
        <v>8</v>
      </c>
      <c r="I244">
        <v>10001</v>
      </c>
      <c r="J244">
        <v>30000</v>
      </c>
    </row>
    <row r="245" spans="1:10" x14ac:dyDescent="0.25">
      <c r="B245" t="s">
        <v>619</v>
      </c>
      <c r="C245">
        <v>6</v>
      </c>
      <c r="D245">
        <v>1.2190000000000001</v>
      </c>
      <c r="E245">
        <v>3.6799999999999999E-2</v>
      </c>
      <c r="F245">
        <v>3</v>
      </c>
      <c r="G245">
        <v>6</v>
      </c>
      <c r="H245">
        <v>8</v>
      </c>
      <c r="I245">
        <v>10001</v>
      </c>
      <c r="J245">
        <v>30000</v>
      </c>
    </row>
    <row r="246" spans="1:10" x14ac:dyDescent="0.25">
      <c r="B246" t="s">
        <v>681</v>
      </c>
      <c r="C246">
        <v>0.14050000000000001</v>
      </c>
      <c r="D246">
        <v>7.4410000000000004E-2</v>
      </c>
      <c r="E246">
        <v>2.2269999999999998E-3</v>
      </c>
      <c r="F246">
        <v>4.0039999999999999E-2</v>
      </c>
      <c r="G246">
        <v>0.12559999999999999</v>
      </c>
      <c r="H246">
        <v>0.32200000000000001</v>
      </c>
      <c r="I246">
        <v>10001</v>
      </c>
      <c r="J246">
        <v>30000</v>
      </c>
    </row>
    <row r="247" spans="1:10" x14ac:dyDescent="0.25">
      <c r="B247" t="s">
        <v>620</v>
      </c>
      <c r="C247">
        <v>61.67</v>
      </c>
      <c r="D247">
        <v>9.36</v>
      </c>
      <c r="E247">
        <v>0.1153</v>
      </c>
      <c r="F247">
        <v>44.98</v>
      </c>
      <c r="G247">
        <v>61.06</v>
      </c>
      <c r="H247">
        <v>81.73</v>
      </c>
      <c r="I247">
        <v>10001</v>
      </c>
      <c r="J247">
        <v>30000</v>
      </c>
    </row>
    <row r="248" spans="1:10" x14ac:dyDescent="0.25">
      <c r="A248" t="s">
        <v>621</v>
      </c>
    </row>
    <row r="250" spans="1:10" x14ac:dyDescent="0.25">
      <c r="A250" t="s">
        <v>622</v>
      </c>
    </row>
    <row r="251" spans="1:10" x14ac:dyDescent="0.25">
      <c r="A251" t="s">
        <v>623</v>
      </c>
    </row>
    <row r="252" spans="1:10" x14ac:dyDescent="0.25">
      <c r="B252" t="s">
        <v>624</v>
      </c>
      <c r="C252" t="s">
        <v>625</v>
      </c>
      <c r="D252" t="s">
        <v>626</v>
      </c>
      <c r="E252" t="s">
        <v>622</v>
      </c>
    </row>
    <row r="253" spans="1:10" x14ac:dyDescent="0.25">
      <c r="A253" t="s">
        <v>627</v>
      </c>
      <c r="B253">
        <v>292.73899999999998</v>
      </c>
      <c r="C253">
        <v>251.732</v>
      </c>
      <c r="D253">
        <v>41.006999999999998</v>
      </c>
      <c r="E253">
        <v>333.74599999999998</v>
      </c>
    </row>
    <row r="254" spans="1:10" x14ac:dyDescent="0.25">
      <c r="A254" t="s">
        <v>628</v>
      </c>
      <c r="B254">
        <v>292.73899999999998</v>
      </c>
      <c r="C254">
        <v>251.732</v>
      </c>
      <c r="D254">
        <v>41.006999999999998</v>
      </c>
      <c r="E254">
        <v>333.74599999999998</v>
      </c>
    </row>
    <row r="255" spans="1:10" x14ac:dyDescent="0.25">
      <c r="A255" t="s">
        <v>629</v>
      </c>
    </row>
    <row r="257" spans="1:1" x14ac:dyDescent="0.25">
      <c r="A257" t="s">
        <v>630</v>
      </c>
    </row>
    <row r="259" spans="1:1" x14ac:dyDescent="0.25">
      <c r="A259" t="s">
        <v>631</v>
      </c>
    </row>
    <row r="261" spans="1:1" x14ac:dyDescent="0.25">
      <c r="A261" t="s">
        <v>632</v>
      </c>
    </row>
    <row r="263" spans="1:1" x14ac:dyDescent="0.25">
      <c r="A263" t="s">
        <v>740</v>
      </c>
    </row>
  </sheetData>
  <dataConsolidate/>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C00000"/>
  </sheetPr>
  <dimension ref="E1:H158"/>
  <sheetViews>
    <sheetView showGridLines="0" topLeftCell="A25" workbookViewId="0">
      <selection activeCell="X65" sqref="X65"/>
    </sheetView>
  </sheetViews>
  <sheetFormatPr defaultRowHeight="15" x14ac:dyDescent="0.25"/>
  <sheetData>
    <row r="1" hidden="1" x14ac:dyDescent="0.25"/>
    <row r="2" hidden="1" x14ac:dyDescent="0.25"/>
    <row r="3" hidden="1" x14ac:dyDescent="0.25"/>
    <row r="4" hidden="1" x14ac:dyDescent="0.25"/>
    <row r="5" hidden="1" x14ac:dyDescent="0.25"/>
    <row r="6" hidden="1" x14ac:dyDescent="0.25"/>
    <row r="7" hidden="1" x14ac:dyDescent="0.25"/>
    <row r="8" hidden="1" x14ac:dyDescent="0.25"/>
    <row r="9" hidden="1" x14ac:dyDescent="0.25"/>
    <row r="10" hidden="1" x14ac:dyDescent="0.25"/>
    <row r="11" hidden="1" x14ac:dyDescent="0.25"/>
    <row r="12" hidden="1" x14ac:dyDescent="0.25"/>
    <row r="13" hidden="1" x14ac:dyDescent="0.25"/>
    <row r="14" hidden="1" x14ac:dyDescent="0.25"/>
    <row r="15" hidden="1" x14ac:dyDescent="0.25"/>
    <row r="16" hidden="1" x14ac:dyDescent="0.25"/>
    <row r="17" spans="5:8" hidden="1" x14ac:dyDescent="0.25"/>
    <row r="18" spans="5:8" hidden="1" x14ac:dyDescent="0.25"/>
    <row r="19" spans="5:8" hidden="1" x14ac:dyDescent="0.25"/>
    <row r="20" spans="5:8" hidden="1" x14ac:dyDescent="0.25"/>
    <row r="21" spans="5:8" hidden="1" x14ac:dyDescent="0.25"/>
    <row r="22" spans="5:8" hidden="1" x14ac:dyDescent="0.25"/>
    <row r="23" spans="5:8" hidden="1" x14ac:dyDescent="0.25"/>
    <row r="24" spans="5:8" hidden="1" x14ac:dyDescent="0.25"/>
    <row r="27" spans="5:8" x14ac:dyDescent="0.25">
      <c r="F27" s="12"/>
      <c r="H27" s="12"/>
    </row>
    <row r="28" spans="5:8" x14ac:dyDescent="0.25">
      <c r="E28" s="13"/>
    </row>
    <row r="35" spans="5:5" x14ac:dyDescent="0.25">
      <c r="E35" s="13"/>
    </row>
    <row r="45" spans="5:5" x14ac:dyDescent="0.25">
      <c r="E45" s="13"/>
    </row>
    <row r="74" spans="6:6" x14ac:dyDescent="0.25">
      <c r="F74" s="13"/>
    </row>
    <row r="75" spans="6:6" x14ac:dyDescent="0.25">
      <c r="F75" s="13"/>
    </row>
    <row r="77" spans="6:6" x14ac:dyDescent="0.25">
      <c r="F77" s="13"/>
    </row>
    <row r="78" spans="6:6" x14ac:dyDescent="0.25">
      <c r="F78" s="13"/>
    </row>
    <row r="81" spans="6:6" x14ac:dyDescent="0.25">
      <c r="F81" s="13"/>
    </row>
    <row r="82" spans="6:6" x14ac:dyDescent="0.25">
      <c r="F82" s="13"/>
    </row>
    <row r="83" spans="6:6" x14ac:dyDescent="0.25">
      <c r="F83" s="13"/>
    </row>
    <row r="84" spans="6:6" x14ac:dyDescent="0.25">
      <c r="F84" s="13"/>
    </row>
    <row r="85" spans="6:6" x14ac:dyDescent="0.25">
      <c r="F85" s="13"/>
    </row>
    <row r="86" spans="6:6" x14ac:dyDescent="0.25">
      <c r="F86" s="13"/>
    </row>
    <row r="87" spans="6:6" x14ac:dyDescent="0.25">
      <c r="F87" s="13"/>
    </row>
    <row r="88" spans="6:6" x14ac:dyDescent="0.25">
      <c r="F88" s="13"/>
    </row>
    <row r="91" spans="6:6" x14ac:dyDescent="0.25">
      <c r="F91" s="13"/>
    </row>
    <row r="92" spans="6:6" x14ac:dyDescent="0.25">
      <c r="F92" s="13"/>
    </row>
    <row r="93" spans="6:6" x14ac:dyDescent="0.25">
      <c r="F93" s="13"/>
    </row>
    <row r="94" spans="6:6" x14ac:dyDescent="0.25">
      <c r="F94" s="13"/>
    </row>
    <row r="95" spans="6:6" x14ac:dyDescent="0.25">
      <c r="F95" s="13"/>
    </row>
    <row r="98" spans="6:6" x14ac:dyDescent="0.25">
      <c r="F98" s="13"/>
    </row>
    <row r="100" spans="6:6" x14ac:dyDescent="0.25">
      <c r="F100" s="13"/>
    </row>
    <row r="101" spans="6:6" x14ac:dyDescent="0.25">
      <c r="F101" s="13"/>
    </row>
    <row r="102" spans="6:6" x14ac:dyDescent="0.25">
      <c r="F102" s="13"/>
    </row>
    <row r="107" spans="6:6" x14ac:dyDescent="0.25">
      <c r="F107" s="13"/>
    </row>
    <row r="108" spans="6:6" x14ac:dyDescent="0.25">
      <c r="F108" s="13"/>
    </row>
    <row r="109" spans="6:6" x14ac:dyDescent="0.25">
      <c r="F109" s="13"/>
    </row>
    <row r="110" spans="6:6" x14ac:dyDescent="0.25">
      <c r="F110" s="13"/>
    </row>
    <row r="115" spans="6:6" x14ac:dyDescent="0.25">
      <c r="F115" s="13"/>
    </row>
    <row r="116" spans="6:6" x14ac:dyDescent="0.25">
      <c r="F116" s="13"/>
    </row>
    <row r="117" spans="6:6" x14ac:dyDescent="0.25">
      <c r="F117" s="13"/>
    </row>
    <row r="119" spans="6:6" x14ac:dyDescent="0.25">
      <c r="F119" s="13"/>
    </row>
    <row r="120" spans="6:6" x14ac:dyDescent="0.25">
      <c r="F120" s="13"/>
    </row>
    <row r="123" spans="6:6" x14ac:dyDescent="0.25">
      <c r="F123" s="13"/>
    </row>
    <row r="124" spans="6:6" x14ac:dyDescent="0.25">
      <c r="F124" s="13"/>
    </row>
    <row r="125" spans="6:6" x14ac:dyDescent="0.25">
      <c r="F125" s="13"/>
    </row>
    <row r="127" spans="6:6" x14ac:dyDescent="0.25">
      <c r="F127" s="13"/>
    </row>
    <row r="128" spans="6:6" x14ac:dyDescent="0.25">
      <c r="F128" s="13"/>
    </row>
    <row r="129" spans="6:6" x14ac:dyDescent="0.25">
      <c r="F129" s="13"/>
    </row>
    <row r="130" spans="6:6" x14ac:dyDescent="0.25">
      <c r="F130" s="13"/>
    </row>
    <row r="133" spans="6:6" x14ac:dyDescent="0.25">
      <c r="F133" s="13"/>
    </row>
    <row r="134" spans="6:6" x14ac:dyDescent="0.25">
      <c r="F134" s="13"/>
    </row>
    <row r="135" spans="6:6" x14ac:dyDescent="0.25">
      <c r="F135" s="13"/>
    </row>
    <row r="136" spans="6:6" x14ac:dyDescent="0.25">
      <c r="F136" s="13"/>
    </row>
    <row r="137" spans="6:6" x14ac:dyDescent="0.25">
      <c r="F137" s="13"/>
    </row>
    <row r="138" spans="6:6" x14ac:dyDescent="0.25">
      <c r="F138" s="13"/>
    </row>
    <row r="143" spans="6:6" x14ac:dyDescent="0.25">
      <c r="F143" s="13"/>
    </row>
    <row r="147" spans="6:6" x14ac:dyDescent="0.25">
      <c r="F147" s="13"/>
    </row>
    <row r="148" spans="6:6" x14ac:dyDescent="0.25">
      <c r="F148" s="13"/>
    </row>
    <row r="149" spans="6:6" x14ac:dyDescent="0.25">
      <c r="F149" s="13"/>
    </row>
    <row r="151" spans="6:6" x14ac:dyDescent="0.25">
      <c r="F151" s="13"/>
    </row>
    <row r="152" spans="6:6" x14ac:dyDescent="0.25">
      <c r="F152" s="13"/>
    </row>
    <row r="153" spans="6:6" x14ac:dyDescent="0.25">
      <c r="F153" s="13"/>
    </row>
    <row r="154" spans="6:6" x14ac:dyDescent="0.25">
      <c r="F154" s="13"/>
    </row>
    <row r="155" spans="6:6" x14ac:dyDescent="0.25">
      <c r="F155" s="13"/>
    </row>
    <row r="156" spans="6:6" x14ac:dyDescent="0.25">
      <c r="F156" s="13"/>
    </row>
    <row r="157" spans="6:6" x14ac:dyDescent="0.25">
      <c r="F157" s="13"/>
    </row>
    <row r="158" spans="6:6" x14ac:dyDescent="0.25">
      <c r="F158" s="13"/>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C00000"/>
  </sheetPr>
  <dimension ref="A1:J120"/>
  <sheetViews>
    <sheetView showGridLines="0" topLeftCell="A24" workbookViewId="0">
      <selection activeCell="H27" sqref="H27:H54"/>
    </sheetView>
  </sheetViews>
  <sheetFormatPr defaultRowHeight="15" x14ac:dyDescent="0.25"/>
  <sheetData>
    <row r="1" spans="1:1" hidden="1" x14ac:dyDescent="0.25">
      <c r="A1" t="s">
        <v>384</v>
      </c>
    </row>
    <row r="2" spans="1:1" hidden="1" x14ac:dyDescent="0.25">
      <c r="A2" t="s">
        <v>713</v>
      </c>
    </row>
    <row r="3" spans="1:1" hidden="1" x14ac:dyDescent="0.25">
      <c r="A3" t="s">
        <v>388</v>
      </c>
    </row>
    <row r="4" spans="1:1" hidden="1" x14ac:dyDescent="0.25">
      <c r="A4" t="s">
        <v>385</v>
      </c>
    </row>
    <row r="5" spans="1:1" hidden="1" x14ac:dyDescent="0.25">
      <c r="A5" t="s">
        <v>390</v>
      </c>
    </row>
    <row r="6" spans="1:1" hidden="1" x14ac:dyDescent="0.25">
      <c r="A6" t="s">
        <v>386</v>
      </c>
    </row>
    <row r="7" spans="1:1" hidden="1" x14ac:dyDescent="0.25">
      <c r="A7" t="s">
        <v>390</v>
      </c>
    </row>
    <row r="8" spans="1:1" hidden="1" x14ac:dyDescent="0.25">
      <c r="A8" t="s">
        <v>21</v>
      </c>
    </row>
    <row r="9" spans="1:1" hidden="1" x14ac:dyDescent="0.25">
      <c r="A9" t="s">
        <v>392</v>
      </c>
    </row>
    <row r="10" spans="1:1" hidden="1" x14ac:dyDescent="0.25">
      <c r="A10" t="s">
        <v>714</v>
      </c>
    </row>
    <row r="11" spans="1:1" hidden="1" x14ac:dyDescent="0.25">
      <c r="A11" t="s">
        <v>677</v>
      </c>
    </row>
    <row r="12" spans="1:1" hidden="1" x14ac:dyDescent="0.25">
      <c r="A12" t="s">
        <v>715</v>
      </c>
    </row>
    <row r="13" spans="1:1" hidden="1" x14ac:dyDescent="0.25">
      <c r="A13" t="s">
        <v>677</v>
      </c>
    </row>
    <row r="14" spans="1:1" hidden="1" x14ac:dyDescent="0.25">
      <c r="A14" t="s">
        <v>716</v>
      </c>
    </row>
    <row r="15" spans="1:1" hidden="1" x14ac:dyDescent="0.25">
      <c r="A15" t="s">
        <v>677</v>
      </c>
    </row>
    <row r="16" spans="1:1" hidden="1" x14ac:dyDescent="0.25">
      <c r="A16" t="s">
        <v>23</v>
      </c>
    </row>
    <row r="17" spans="1:10" hidden="1" x14ac:dyDescent="0.25">
      <c r="A17" t="s">
        <v>680</v>
      </c>
    </row>
    <row r="18" spans="1:10" hidden="1" x14ac:dyDescent="0.25">
      <c r="A18" t="s">
        <v>731</v>
      </c>
    </row>
    <row r="19" spans="1:10" hidden="1" x14ac:dyDescent="0.25">
      <c r="A19" t="s">
        <v>197</v>
      </c>
    </row>
    <row r="20" spans="1:10" hidden="1" x14ac:dyDescent="0.25">
      <c r="A20" t="s">
        <v>198</v>
      </c>
    </row>
    <row r="21" spans="1:10" hidden="1" x14ac:dyDescent="0.25">
      <c r="A21" t="s">
        <v>199</v>
      </c>
    </row>
    <row r="22" spans="1:10" hidden="1" x14ac:dyDescent="0.25">
      <c r="A22" t="s">
        <v>731</v>
      </c>
    </row>
    <row r="23" spans="1:10" hidden="1" x14ac:dyDescent="0.25">
      <c r="A23" t="s">
        <v>387</v>
      </c>
    </row>
    <row r="25" spans="1:10" x14ac:dyDescent="0.25">
      <c r="A25" t="s">
        <v>400</v>
      </c>
    </row>
    <row r="26" spans="1:10" x14ac:dyDescent="0.25">
      <c r="B26" t="s">
        <v>401</v>
      </c>
      <c r="C26" t="s">
        <v>402</v>
      </c>
      <c r="D26" t="s">
        <v>403</v>
      </c>
      <c r="E26" t="s">
        <v>404</v>
      </c>
      <c r="F26" s="12">
        <v>2.5000000000000001E-2</v>
      </c>
      <c r="G26" t="s">
        <v>405</v>
      </c>
      <c r="H26" s="12">
        <v>0.97499999999999998</v>
      </c>
      <c r="I26" t="s">
        <v>406</v>
      </c>
      <c r="J26" t="s">
        <v>407</v>
      </c>
    </row>
    <row r="27" spans="1:10" x14ac:dyDescent="0.25">
      <c r="B27" t="s">
        <v>685</v>
      </c>
      <c r="C27">
        <v>9.2100000000000001E-2</v>
      </c>
      <c r="D27">
        <v>0.19789999999999999</v>
      </c>
      <c r="E27">
        <v>3.748E-3</v>
      </c>
      <c r="F27">
        <v>-0.309</v>
      </c>
      <c r="G27">
        <v>9.2249999999999999E-2</v>
      </c>
      <c r="H27">
        <v>0.47949999999999998</v>
      </c>
      <c r="I27">
        <v>10001</v>
      </c>
      <c r="J27">
        <v>30000</v>
      </c>
    </row>
    <row r="28" spans="1:10" x14ac:dyDescent="0.25">
      <c r="B28" t="s">
        <v>686</v>
      </c>
      <c r="C28">
        <v>-0.1988</v>
      </c>
      <c r="D28">
        <v>0.63959999999999995</v>
      </c>
      <c r="E28">
        <v>1.8849999999999999E-2</v>
      </c>
      <c r="F28">
        <v>-1.472</v>
      </c>
      <c r="G28">
        <v>-0.21729999999999999</v>
      </c>
      <c r="H28">
        <v>1.071</v>
      </c>
      <c r="I28">
        <v>10001</v>
      </c>
      <c r="J28">
        <v>30000</v>
      </c>
    </row>
    <row r="29" spans="1:10" x14ac:dyDescent="0.25">
      <c r="B29" t="s">
        <v>687</v>
      </c>
      <c r="C29">
        <v>-0.20830000000000001</v>
      </c>
      <c r="D29">
        <v>0.75490000000000002</v>
      </c>
      <c r="E29">
        <v>2.2009999999999998E-2</v>
      </c>
      <c r="F29">
        <v>-1.7170000000000001</v>
      </c>
      <c r="G29">
        <v>-0.2026</v>
      </c>
      <c r="H29">
        <v>1.282</v>
      </c>
      <c r="I29">
        <v>10001</v>
      </c>
      <c r="J29">
        <v>30000</v>
      </c>
    </row>
    <row r="30" spans="1:10" x14ac:dyDescent="0.25">
      <c r="B30" t="s">
        <v>688</v>
      </c>
      <c r="C30">
        <v>0.19320000000000001</v>
      </c>
      <c r="D30">
        <v>99.58</v>
      </c>
      <c r="E30">
        <v>0.56440000000000001</v>
      </c>
      <c r="F30">
        <v>-194.3</v>
      </c>
      <c r="G30">
        <v>0.31209999999999999</v>
      </c>
      <c r="H30">
        <v>195.1</v>
      </c>
      <c r="I30">
        <v>10001</v>
      </c>
      <c r="J30">
        <v>30000</v>
      </c>
    </row>
    <row r="31" spans="1:10" x14ac:dyDescent="0.25">
      <c r="B31" t="s">
        <v>689</v>
      </c>
      <c r="C31">
        <v>-9.017E-2</v>
      </c>
      <c r="D31">
        <v>99.84</v>
      </c>
      <c r="E31">
        <v>0.56710000000000005</v>
      </c>
      <c r="F31">
        <v>-197.5</v>
      </c>
      <c r="G31">
        <v>0.88929999999999998</v>
      </c>
      <c r="H31">
        <v>194.7</v>
      </c>
      <c r="I31">
        <v>10001</v>
      </c>
      <c r="J31">
        <v>30000</v>
      </c>
    </row>
    <row r="32" spans="1:10" x14ac:dyDescent="0.25">
      <c r="B32" t="s">
        <v>690</v>
      </c>
      <c r="C32">
        <v>0.3352</v>
      </c>
      <c r="D32">
        <v>0.2802</v>
      </c>
      <c r="E32">
        <v>5.9230000000000003E-3</v>
      </c>
      <c r="F32">
        <v>-0.20860000000000001</v>
      </c>
      <c r="G32">
        <v>0.33200000000000002</v>
      </c>
      <c r="H32">
        <v>0.89470000000000005</v>
      </c>
      <c r="I32">
        <v>10001</v>
      </c>
      <c r="J32">
        <v>30000</v>
      </c>
    </row>
    <row r="33" spans="2:10" x14ac:dyDescent="0.25">
      <c r="B33" t="s">
        <v>691</v>
      </c>
      <c r="C33">
        <v>0.25800000000000001</v>
      </c>
      <c r="D33">
        <v>0.29480000000000001</v>
      </c>
      <c r="E33">
        <v>7.6870000000000003E-3</v>
      </c>
      <c r="F33">
        <v>-0.29110000000000003</v>
      </c>
      <c r="G33">
        <v>0.25919999999999999</v>
      </c>
      <c r="H33">
        <v>0.85009999999999997</v>
      </c>
      <c r="I33">
        <v>10001</v>
      </c>
      <c r="J33">
        <v>30000</v>
      </c>
    </row>
    <row r="34" spans="2:10" x14ac:dyDescent="0.25">
      <c r="B34" t="s">
        <v>692</v>
      </c>
      <c r="C34">
        <v>-0.33489999999999998</v>
      </c>
      <c r="D34">
        <v>0.37390000000000001</v>
      </c>
      <c r="E34">
        <v>9.2510000000000005E-3</v>
      </c>
      <c r="F34">
        <v>-1.0780000000000001</v>
      </c>
      <c r="G34">
        <v>-0.33379999999999999</v>
      </c>
      <c r="H34">
        <v>0.3931</v>
      </c>
      <c r="I34">
        <v>10001</v>
      </c>
      <c r="J34">
        <v>30000</v>
      </c>
    </row>
    <row r="35" spans="2:10" x14ac:dyDescent="0.25">
      <c r="B35" t="s">
        <v>693</v>
      </c>
      <c r="C35">
        <v>-5.7099999999999998E-2</v>
      </c>
      <c r="D35">
        <v>99.92</v>
      </c>
      <c r="E35">
        <v>0.61460000000000004</v>
      </c>
      <c r="F35">
        <v>-193</v>
      </c>
      <c r="G35">
        <v>-0.189</v>
      </c>
      <c r="H35">
        <v>196.8</v>
      </c>
      <c r="I35">
        <v>10001</v>
      </c>
      <c r="J35">
        <v>30000</v>
      </c>
    </row>
    <row r="36" spans="2:10" x14ac:dyDescent="0.25">
      <c r="B36" t="s">
        <v>694</v>
      </c>
      <c r="C36">
        <v>0.73009999999999997</v>
      </c>
      <c r="D36">
        <v>0.59019999999999995</v>
      </c>
      <c r="E36">
        <v>1.3939999999999999E-2</v>
      </c>
      <c r="F36">
        <v>-0.43609999999999999</v>
      </c>
      <c r="G36">
        <v>0.72160000000000002</v>
      </c>
      <c r="H36">
        <v>1.891</v>
      </c>
      <c r="I36">
        <v>10001</v>
      </c>
      <c r="J36">
        <v>30000</v>
      </c>
    </row>
    <row r="37" spans="2:10" x14ac:dyDescent="0.25">
      <c r="B37" t="s">
        <v>695</v>
      </c>
      <c r="C37">
        <v>0.1235</v>
      </c>
      <c r="D37">
        <v>0.54490000000000005</v>
      </c>
      <c r="E37">
        <v>1.1690000000000001E-2</v>
      </c>
      <c r="F37">
        <v>-0.94630000000000003</v>
      </c>
      <c r="G37">
        <v>0.1166</v>
      </c>
      <c r="H37">
        <v>1.2210000000000001</v>
      </c>
      <c r="I37">
        <v>10001</v>
      </c>
      <c r="J37">
        <v>30000</v>
      </c>
    </row>
    <row r="38" spans="2:10" x14ac:dyDescent="0.25">
      <c r="B38" t="s">
        <v>696</v>
      </c>
      <c r="C38">
        <v>-0.90820000000000001</v>
      </c>
      <c r="D38">
        <v>100.7</v>
      </c>
      <c r="E38">
        <v>0.57330000000000003</v>
      </c>
      <c r="F38">
        <v>-199.5</v>
      </c>
      <c r="G38">
        <v>-1.1519999999999999</v>
      </c>
      <c r="H38">
        <v>199.2</v>
      </c>
      <c r="I38">
        <v>10001</v>
      </c>
      <c r="J38">
        <v>30000</v>
      </c>
    </row>
    <row r="39" spans="2:10" x14ac:dyDescent="0.25">
      <c r="B39" t="s">
        <v>697</v>
      </c>
      <c r="C39">
        <v>-2.7320000000000001E-3</v>
      </c>
      <c r="D39">
        <v>0.52059999999999995</v>
      </c>
      <c r="E39">
        <v>1.082E-2</v>
      </c>
      <c r="F39">
        <v>-1.0329999999999999</v>
      </c>
      <c r="G39">
        <v>2.477E-3</v>
      </c>
      <c r="H39">
        <v>1.012</v>
      </c>
      <c r="I39">
        <v>10001</v>
      </c>
      <c r="J39">
        <v>30000</v>
      </c>
    </row>
    <row r="40" spans="2:10" x14ac:dyDescent="0.25">
      <c r="B40" t="s">
        <v>698</v>
      </c>
      <c r="C40">
        <v>-0.23419999999999999</v>
      </c>
      <c r="D40">
        <v>0.57420000000000004</v>
      </c>
      <c r="E40">
        <v>1.8880000000000001E-2</v>
      </c>
      <c r="F40">
        <v>-1.369</v>
      </c>
      <c r="G40">
        <v>-0.24</v>
      </c>
      <c r="H40">
        <v>0.92049999999999998</v>
      </c>
      <c r="I40">
        <v>10001</v>
      </c>
      <c r="J40">
        <v>30000</v>
      </c>
    </row>
    <row r="41" spans="2:10" x14ac:dyDescent="0.25">
      <c r="B41" t="s">
        <v>699</v>
      </c>
      <c r="C41">
        <v>-1.333</v>
      </c>
      <c r="D41">
        <v>99.98</v>
      </c>
      <c r="E41">
        <v>0.57799999999999996</v>
      </c>
      <c r="F41">
        <v>-196.4</v>
      </c>
      <c r="G41">
        <v>-1.41</v>
      </c>
      <c r="H41">
        <v>194.2</v>
      </c>
      <c r="I41">
        <v>10001</v>
      </c>
      <c r="J41">
        <v>30000</v>
      </c>
    </row>
    <row r="42" spans="2:10" x14ac:dyDescent="0.25">
      <c r="B42" t="s">
        <v>700</v>
      </c>
      <c r="C42">
        <v>1.2809999999999999</v>
      </c>
      <c r="D42">
        <v>100.6</v>
      </c>
      <c r="E42">
        <v>0.54220000000000002</v>
      </c>
      <c r="F42">
        <v>-194.9</v>
      </c>
      <c r="G42">
        <v>0.94840000000000002</v>
      </c>
      <c r="H42">
        <v>201.3</v>
      </c>
      <c r="I42">
        <v>10001</v>
      </c>
      <c r="J42">
        <v>30000</v>
      </c>
    </row>
    <row r="43" spans="2:10" x14ac:dyDescent="0.25">
      <c r="B43" t="s">
        <v>701</v>
      </c>
      <c r="C43">
        <v>-0.16589999999999999</v>
      </c>
      <c r="D43">
        <v>99.72</v>
      </c>
      <c r="E43">
        <v>0.56169999999999998</v>
      </c>
      <c r="F43">
        <v>-195.6</v>
      </c>
      <c r="G43">
        <v>3.8269999999999998E-2</v>
      </c>
      <c r="H43">
        <v>195</v>
      </c>
      <c r="I43">
        <v>10001</v>
      </c>
      <c r="J43">
        <v>30000</v>
      </c>
    </row>
    <row r="44" spans="2:10" x14ac:dyDescent="0.25">
      <c r="B44" t="s">
        <v>702</v>
      </c>
      <c r="C44">
        <v>1.089</v>
      </c>
      <c r="D44">
        <v>0.43430000000000002</v>
      </c>
      <c r="E44">
        <v>1.2E-2</v>
      </c>
      <c r="F44">
        <v>0.25230000000000002</v>
      </c>
      <c r="G44">
        <v>1.0860000000000001</v>
      </c>
      <c r="H44">
        <v>1.954</v>
      </c>
      <c r="I44">
        <v>10001</v>
      </c>
      <c r="J44">
        <v>30000</v>
      </c>
    </row>
    <row r="45" spans="2:10" x14ac:dyDescent="0.25">
      <c r="B45" t="s">
        <v>703</v>
      </c>
      <c r="C45">
        <v>-0.33810000000000001</v>
      </c>
      <c r="D45">
        <v>100.9</v>
      </c>
      <c r="E45">
        <v>0.60629999999999995</v>
      </c>
      <c r="F45">
        <v>-197.8</v>
      </c>
      <c r="G45">
        <v>-9.0079999999999993E-2</v>
      </c>
      <c r="H45">
        <v>197.2</v>
      </c>
      <c r="I45">
        <v>10001</v>
      </c>
      <c r="J45">
        <v>30000</v>
      </c>
    </row>
    <row r="46" spans="2:10" x14ac:dyDescent="0.25">
      <c r="B46" t="s">
        <v>704</v>
      </c>
      <c r="C46">
        <v>0.3866</v>
      </c>
      <c r="D46">
        <v>100.4</v>
      </c>
      <c r="E46">
        <v>0.60219999999999996</v>
      </c>
      <c r="F46">
        <v>-195.4</v>
      </c>
      <c r="G46">
        <v>1.1240000000000001</v>
      </c>
      <c r="H46">
        <v>197</v>
      </c>
      <c r="I46">
        <v>10001</v>
      </c>
      <c r="J46">
        <v>30000</v>
      </c>
    </row>
    <row r="47" spans="2:10" x14ac:dyDescent="0.25">
      <c r="B47" t="s">
        <v>705</v>
      </c>
      <c r="C47">
        <v>1.036</v>
      </c>
      <c r="D47">
        <v>100.1</v>
      </c>
      <c r="E47">
        <v>0.55030000000000001</v>
      </c>
      <c r="F47">
        <v>-196.7</v>
      </c>
      <c r="G47">
        <v>1.641</v>
      </c>
      <c r="H47">
        <v>196.5</v>
      </c>
      <c r="I47">
        <v>10001</v>
      </c>
      <c r="J47">
        <v>30000</v>
      </c>
    </row>
    <row r="48" spans="2:10" x14ac:dyDescent="0.25">
      <c r="B48" t="s">
        <v>706</v>
      </c>
      <c r="C48">
        <v>-0.95889999999999997</v>
      </c>
      <c r="D48">
        <v>99.41</v>
      </c>
      <c r="E48">
        <v>0.5786</v>
      </c>
      <c r="F48">
        <v>-195.7</v>
      </c>
      <c r="G48">
        <v>-4.5350000000000001E-2</v>
      </c>
      <c r="H48">
        <v>193.7</v>
      </c>
      <c r="I48">
        <v>10001</v>
      </c>
      <c r="J48">
        <v>30000</v>
      </c>
    </row>
    <row r="49" spans="2:10" x14ac:dyDescent="0.25">
      <c r="B49" t="s">
        <v>707</v>
      </c>
      <c r="C49">
        <v>0.66259999999999997</v>
      </c>
      <c r="D49">
        <v>100.2</v>
      </c>
      <c r="E49">
        <v>0.62190000000000001</v>
      </c>
      <c r="F49">
        <v>-196.7</v>
      </c>
      <c r="G49">
        <v>1.149</v>
      </c>
      <c r="H49">
        <v>194.3</v>
      </c>
      <c r="I49">
        <v>10001</v>
      </c>
      <c r="J49">
        <v>30000</v>
      </c>
    </row>
    <row r="50" spans="2:10" x14ac:dyDescent="0.25">
      <c r="B50" t="s">
        <v>708</v>
      </c>
      <c r="C50">
        <v>-0.64929999999999999</v>
      </c>
      <c r="D50">
        <v>99.79</v>
      </c>
      <c r="E50">
        <v>0.60499999999999998</v>
      </c>
      <c r="F50">
        <v>-199.5</v>
      </c>
      <c r="G50">
        <v>-0.24310000000000001</v>
      </c>
      <c r="H50">
        <v>193.7</v>
      </c>
      <c r="I50">
        <v>10001</v>
      </c>
      <c r="J50">
        <v>30000</v>
      </c>
    </row>
    <row r="51" spans="2:10" x14ac:dyDescent="0.25">
      <c r="B51" t="s">
        <v>709</v>
      </c>
      <c r="C51">
        <v>0.15679999999999999</v>
      </c>
      <c r="D51">
        <v>100.6</v>
      </c>
      <c r="E51">
        <v>0.5484</v>
      </c>
      <c r="F51">
        <v>-196.5</v>
      </c>
      <c r="G51">
        <v>0.15970000000000001</v>
      </c>
      <c r="H51">
        <v>195.8</v>
      </c>
      <c r="I51">
        <v>10001</v>
      </c>
      <c r="J51">
        <v>30000</v>
      </c>
    </row>
    <row r="52" spans="2:10" x14ac:dyDescent="0.25">
      <c r="B52" t="s">
        <v>710</v>
      </c>
      <c r="C52">
        <v>-0.86509999999999998</v>
      </c>
      <c r="D52">
        <v>99.69</v>
      </c>
      <c r="E52">
        <v>0.57120000000000004</v>
      </c>
      <c r="F52">
        <v>-194.9</v>
      </c>
      <c r="G52">
        <v>-1.2989999999999999</v>
      </c>
      <c r="H52">
        <v>197.2</v>
      </c>
      <c r="I52">
        <v>10001</v>
      </c>
      <c r="J52">
        <v>30000</v>
      </c>
    </row>
    <row r="53" spans="2:10" x14ac:dyDescent="0.25">
      <c r="B53" t="s">
        <v>711</v>
      </c>
      <c r="C53">
        <v>0.22650000000000001</v>
      </c>
      <c r="D53">
        <v>99.42</v>
      </c>
      <c r="E53">
        <v>0.57240000000000002</v>
      </c>
      <c r="F53">
        <v>-194.1</v>
      </c>
      <c r="G53">
        <v>9.6750000000000003E-2</v>
      </c>
      <c r="H53">
        <v>193.9</v>
      </c>
      <c r="I53">
        <v>10001</v>
      </c>
      <c r="J53">
        <v>30000</v>
      </c>
    </row>
    <row r="54" spans="2:10" x14ac:dyDescent="0.25">
      <c r="B54" t="s">
        <v>712</v>
      </c>
      <c r="C54">
        <v>6.4630000000000007E-2</v>
      </c>
      <c r="D54">
        <v>1.946</v>
      </c>
      <c r="E54">
        <v>8.6139999999999994E-2</v>
      </c>
      <c r="F54">
        <v>-3.7010000000000001</v>
      </c>
      <c r="G54">
        <v>-6.1510000000000002E-3</v>
      </c>
      <c r="H54">
        <v>4.2670000000000003</v>
      </c>
      <c r="I54">
        <v>10001</v>
      </c>
      <c r="J54">
        <v>30000</v>
      </c>
    </row>
    <row r="55" spans="2:10" x14ac:dyDescent="0.25">
      <c r="B55" t="s">
        <v>452</v>
      </c>
      <c r="C55">
        <v>1.4410000000000001</v>
      </c>
      <c r="D55">
        <v>1.7729999999999999</v>
      </c>
      <c r="E55">
        <v>2.6540000000000001E-2</v>
      </c>
      <c r="F55">
        <v>1.97E-3</v>
      </c>
      <c r="G55">
        <v>0.79300000000000004</v>
      </c>
      <c r="H55">
        <v>6.3570000000000002</v>
      </c>
      <c r="I55">
        <v>10001</v>
      </c>
      <c r="J55">
        <v>30000</v>
      </c>
    </row>
    <row r="56" spans="2:10" x14ac:dyDescent="0.25">
      <c r="B56" t="s">
        <v>453</v>
      </c>
      <c r="C56">
        <v>1.655</v>
      </c>
      <c r="D56">
        <v>1.9670000000000001</v>
      </c>
      <c r="E56">
        <v>2.75E-2</v>
      </c>
      <c r="F56">
        <v>2.617E-3</v>
      </c>
      <c r="G56">
        <v>0.95240000000000002</v>
      </c>
      <c r="H56">
        <v>7.085</v>
      </c>
      <c r="I56">
        <v>10001</v>
      </c>
      <c r="J56">
        <v>30000</v>
      </c>
    </row>
    <row r="57" spans="2:10" x14ac:dyDescent="0.25">
      <c r="B57" t="s">
        <v>454</v>
      </c>
      <c r="C57">
        <v>1.048</v>
      </c>
      <c r="D57">
        <v>1.476</v>
      </c>
      <c r="E57">
        <v>2.4889999999999999E-2</v>
      </c>
      <c r="F57" s="13">
        <v>9.1330000000000003E-4</v>
      </c>
      <c r="G57">
        <v>0.47589999999999999</v>
      </c>
      <c r="H57">
        <v>5.3150000000000004</v>
      </c>
      <c r="I57">
        <v>10001</v>
      </c>
      <c r="J57">
        <v>30000</v>
      </c>
    </row>
    <row r="58" spans="2:10" x14ac:dyDescent="0.25">
      <c r="B58" t="s">
        <v>455</v>
      </c>
      <c r="C58">
        <v>1.0609999999999999</v>
      </c>
      <c r="D58">
        <v>1.496</v>
      </c>
      <c r="E58">
        <v>2.2329999999999999E-2</v>
      </c>
      <c r="F58">
        <v>1.005E-3</v>
      </c>
      <c r="G58">
        <v>0.48180000000000001</v>
      </c>
      <c r="H58">
        <v>5.319</v>
      </c>
      <c r="I58">
        <v>10001</v>
      </c>
      <c r="J58">
        <v>30000</v>
      </c>
    </row>
    <row r="59" spans="2:10" x14ac:dyDescent="0.25">
      <c r="B59" t="s">
        <v>456</v>
      </c>
      <c r="C59">
        <v>0.87350000000000005</v>
      </c>
      <c r="D59">
        <v>1.2330000000000001</v>
      </c>
      <c r="E59">
        <v>1.8970000000000001E-2</v>
      </c>
      <c r="F59" s="13">
        <v>7.4529999999999996E-4</v>
      </c>
      <c r="G59">
        <v>0.39389999999999997</v>
      </c>
      <c r="H59">
        <v>4.4279999999999999</v>
      </c>
      <c r="I59">
        <v>10001</v>
      </c>
      <c r="J59">
        <v>30000</v>
      </c>
    </row>
    <row r="60" spans="2:10" x14ac:dyDescent="0.25">
      <c r="B60" t="s">
        <v>457</v>
      </c>
      <c r="C60">
        <v>0.79890000000000005</v>
      </c>
      <c r="D60">
        <v>1.121</v>
      </c>
      <c r="E60">
        <v>1.5769999999999999E-2</v>
      </c>
      <c r="F60" s="13">
        <v>7.785E-4</v>
      </c>
      <c r="G60">
        <v>0.37080000000000002</v>
      </c>
      <c r="H60">
        <v>3.9849999999999999</v>
      </c>
      <c r="I60">
        <v>10001</v>
      </c>
      <c r="J60">
        <v>30000</v>
      </c>
    </row>
    <row r="61" spans="2:10" x14ac:dyDescent="0.25">
      <c r="B61" t="s">
        <v>458</v>
      </c>
      <c r="C61">
        <v>0.78690000000000004</v>
      </c>
      <c r="D61">
        <v>1.1100000000000001</v>
      </c>
      <c r="E61">
        <v>9.2630000000000004E-3</v>
      </c>
      <c r="F61" s="13">
        <v>7.3349999999999999E-4</v>
      </c>
      <c r="G61">
        <v>0.35659999999999997</v>
      </c>
      <c r="H61">
        <v>3.9350000000000001</v>
      </c>
      <c r="I61">
        <v>10001</v>
      </c>
      <c r="J61">
        <v>30000</v>
      </c>
    </row>
    <row r="62" spans="2:10" x14ac:dyDescent="0.25">
      <c r="B62" t="s">
        <v>459</v>
      </c>
      <c r="C62">
        <v>0.8</v>
      </c>
      <c r="D62">
        <v>1.135</v>
      </c>
      <c r="E62">
        <v>8.2459999999999999E-3</v>
      </c>
      <c r="F62" s="13">
        <v>7.1080000000000004E-4</v>
      </c>
      <c r="G62">
        <v>0.36730000000000002</v>
      </c>
      <c r="H62">
        <v>3.9889999999999999</v>
      </c>
      <c r="I62">
        <v>10001</v>
      </c>
      <c r="J62">
        <v>30000</v>
      </c>
    </row>
    <row r="63" spans="2:10" x14ac:dyDescent="0.25">
      <c r="B63" t="s">
        <v>460</v>
      </c>
      <c r="C63">
        <v>0.81540000000000001</v>
      </c>
      <c r="D63">
        <v>1.157</v>
      </c>
      <c r="E63">
        <v>9.4000000000000004E-3</v>
      </c>
      <c r="F63" s="13">
        <v>6.6640000000000004E-4</v>
      </c>
      <c r="G63">
        <v>0.36809999999999998</v>
      </c>
      <c r="H63">
        <v>4.0810000000000004</v>
      </c>
      <c r="I63">
        <v>10001</v>
      </c>
      <c r="J63">
        <v>30000</v>
      </c>
    </row>
    <row r="64" spans="2:10" x14ac:dyDescent="0.25">
      <c r="B64" t="s">
        <v>461</v>
      </c>
      <c r="C64">
        <v>0.79859999999999998</v>
      </c>
      <c r="D64">
        <v>1.113</v>
      </c>
      <c r="E64">
        <v>1.0149999999999999E-2</v>
      </c>
      <c r="F64" s="13">
        <v>7.896E-4</v>
      </c>
      <c r="G64">
        <v>0.3649</v>
      </c>
      <c r="H64">
        <v>4.0110000000000001</v>
      </c>
      <c r="I64">
        <v>10001</v>
      </c>
      <c r="J64">
        <v>30000</v>
      </c>
    </row>
    <row r="65" spans="2:10" x14ac:dyDescent="0.25">
      <c r="B65" t="s">
        <v>462</v>
      </c>
      <c r="C65">
        <v>0.53029999999999999</v>
      </c>
      <c r="D65">
        <v>0.59750000000000003</v>
      </c>
      <c r="E65">
        <v>5.8110000000000002E-3</v>
      </c>
      <c r="F65">
        <v>1.154E-2</v>
      </c>
      <c r="G65">
        <v>0.33660000000000001</v>
      </c>
      <c r="H65">
        <v>2.1829999999999998</v>
      </c>
      <c r="I65">
        <v>10001</v>
      </c>
      <c r="J65">
        <v>30000</v>
      </c>
    </row>
    <row r="66" spans="2:10" x14ac:dyDescent="0.25">
      <c r="B66" t="s">
        <v>463</v>
      </c>
      <c r="C66">
        <v>1.252</v>
      </c>
      <c r="D66">
        <v>1.716</v>
      </c>
      <c r="E66">
        <v>9.8899999999999995E-3</v>
      </c>
      <c r="F66">
        <v>1.34E-3</v>
      </c>
      <c r="G66">
        <v>0.59770000000000001</v>
      </c>
      <c r="H66">
        <v>6.0389999999999997</v>
      </c>
      <c r="I66">
        <v>10001</v>
      </c>
      <c r="J66">
        <v>30000</v>
      </c>
    </row>
    <row r="67" spans="2:10" x14ac:dyDescent="0.25">
      <c r="B67" t="s">
        <v>464</v>
      </c>
      <c r="C67">
        <v>0.72189999999999999</v>
      </c>
      <c r="D67">
        <v>1.0149999999999999</v>
      </c>
      <c r="E67">
        <v>6.7619999999999998E-3</v>
      </c>
      <c r="F67" s="13">
        <v>7.0290000000000001E-4</v>
      </c>
      <c r="G67">
        <v>0.3246</v>
      </c>
      <c r="H67">
        <v>3.62</v>
      </c>
      <c r="I67">
        <v>10001</v>
      </c>
      <c r="J67">
        <v>30000</v>
      </c>
    </row>
    <row r="68" spans="2:10" x14ac:dyDescent="0.25">
      <c r="B68" t="s">
        <v>465</v>
      </c>
      <c r="C68">
        <v>0.5464</v>
      </c>
      <c r="D68">
        <v>0.78900000000000003</v>
      </c>
      <c r="E68">
        <v>5.1019999999999998E-3</v>
      </c>
      <c r="F68" s="13">
        <v>5.3050000000000005E-4</v>
      </c>
      <c r="G68">
        <v>0.2457</v>
      </c>
      <c r="H68">
        <v>2.7549999999999999</v>
      </c>
      <c r="I68">
        <v>10001</v>
      </c>
      <c r="J68">
        <v>30000</v>
      </c>
    </row>
    <row r="69" spans="2:10" x14ac:dyDescent="0.25">
      <c r="B69" t="s">
        <v>466</v>
      </c>
      <c r="C69">
        <v>0.8669</v>
      </c>
      <c r="D69">
        <v>1.2350000000000001</v>
      </c>
      <c r="E69">
        <v>1.439E-2</v>
      </c>
      <c r="F69" s="13">
        <v>8.3659999999999995E-4</v>
      </c>
      <c r="G69">
        <v>0.38519999999999999</v>
      </c>
      <c r="H69">
        <v>4.3879999999999999</v>
      </c>
      <c r="I69">
        <v>10001</v>
      </c>
      <c r="J69">
        <v>30000</v>
      </c>
    </row>
    <row r="70" spans="2:10" x14ac:dyDescent="0.25">
      <c r="B70" t="s">
        <v>467</v>
      </c>
      <c r="C70">
        <v>0.84709999999999996</v>
      </c>
      <c r="D70">
        <v>1.208</v>
      </c>
      <c r="E70">
        <v>1.227E-2</v>
      </c>
      <c r="F70" s="13">
        <v>8.7350000000000004E-4</v>
      </c>
      <c r="G70">
        <v>0.3856</v>
      </c>
      <c r="H70">
        <v>4.2640000000000002</v>
      </c>
      <c r="I70">
        <v>10001</v>
      </c>
      <c r="J70">
        <v>30000</v>
      </c>
    </row>
    <row r="71" spans="2:10" x14ac:dyDescent="0.25">
      <c r="B71" t="s">
        <v>468</v>
      </c>
      <c r="C71">
        <v>1.732</v>
      </c>
      <c r="D71">
        <v>1.9319999999999999</v>
      </c>
      <c r="E71">
        <v>2.6419999999999999E-2</v>
      </c>
      <c r="F71">
        <v>3.5609999999999999E-3</v>
      </c>
      <c r="G71">
        <v>1.0840000000000001</v>
      </c>
      <c r="H71">
        <v>6.85</v>
      </c>
      <c r="I71">
        <v>10001</v>
      </c>
      <c r="J71">
        <v>30000</v>
      </c>
    </row>
    <row r="72" spans="2:10" x14ac:dyDescent="0.25">
      <c r="B72" t="s">
        <v>469</v>
      </c>
      <c r="C72">
        <v>1.7589999999999999</v>
      </c>
      <c r="D72">
        <v>1.9159999999999999</v>
      </c>
      <c r="E72">
        <v>2.427E-2</v>
      </c>
      <c r="F72">
        <v>3.6410000000000001E-3</v>
      </c>
      <c r="G72">
        <v>1.147</v>
      </c>
      <c r="H72">
        <v>6.9269999999999996</v>
      </c>
      <c r="I72">
        <v>10001</v>
      </c>
      <c r="J72">
        <v>30000</v>
      </c>
    </row>
    <row r="73" spans="2:10" x14ac:dyDescent="0.25">
      <c r="B73" t="s">
        <v>470</v>
      </c>
      <c r="C73">
        <v>0.99439999999999995</v>
      </c>
      <c r="D73">
        <v>1.4259999999999999</v>
      </c>
      <c r="E73">
        <v>1.6469999999999999E-2</v>
      </c>
      <c r="F73" s="13">
        <v>9.4700000000000003E-4</v>
      </c>
      <c r="G73">
        <v>0.44890000000000002</v>
      </c>
      <c r="H73">
        <v>5.0359999999999996</v>
      </c>
      <c r="I73">
        <v>10001</v>
      </c>
      <c r="J73">
        <v>30000</v>
      </c>
    </row>
    <row r="74" spans="2:10" x14ac:dyDescent="0.25">
      <c r="B74" t="s">
        <v>471</v>
      </c>
      <c r="C74">
        <v>1.0129999999999999</v>
      </c>
      <c r="D74">
        <v>1.456</v>
      </c>
      <c r="E74">
        <v>1.29E-2</v>
      </c>
      <c r="F74">
        <v>1.0150000000000001E-3</v>
      </c>
      <c r="G74">
        <v>0.45739999999999997</v>
      </c>
      <c r="H74">
        <v>5.1639999999999997</v>
      </c>
      <c r="I74">
        <v>10001</v>
      </c>
      <c r="J74">
        <v>30000</v>
      </c>
    </row>
    <row r="75" spans="2:10" x14ac:dyDescent="0.25">
      <c r="B75" t="s">
        <v>472</v>
      </c>
      <c r="C75">
        <v>1.157</v>
      </c>
      <c r="D75">
        <v>1.532</v>
      </c>
      <c r="E75">
        <v>1.9570000000000001E-2</v>
      </c>
      <c r="F75">
        <v>1.129E-3</v>
      </c>
      <c r="G75">
        <v>0.5776</v>
      </c>
      <c r="H75">
        <v>5.4950000000000001</v>
      </c>
      <c r="I75">
        <v>10001</v>
      </c>
      <c r="J75">
        <v>30000</v>
      </c>
    </row>
    <row r="76" spans="2:10" x14ac:dyDescent="0.25">
      <c r="B76" t="s">
        <v>473</v>
      </c>
      <c r="C76">
        <v>1.1859999999999999</v>
      </c>
      <c r="D76">
        <v>1.5620000000000001</v>
      </c>
      <c r="E76">
        <v>1.6709999999999999E-2</v>
      </c>
      <c r="F76">
        <v>1.3339999999999999E-3</v>
      </c>
      <c r="G76">
        <v>0.58579999999999999</v>
      </c>
      <c r="H76">
        <v>5.6529999999999996</v>
      </c>
      <c r="I76">
        <v>10001</v>
      </c>
      <c r="J76">
        <v>30000</v>
      </c>
    </row>
    <row r="77" spans="2:10" x14ac:dyDescent="0.25">
      <c r="B77" t="s">
        <v>474</v>
      </c>
      <c r="C77">
        <v>0.70089999999999997</v>
      </c>
      <c r="D77">
        <v>0.99980000000000002</v>
      </c>
      <c r="E77">
        <v>8.796E-3</v>
      </c>
      <c r="F77" s="13">
        <v>6.5720000000000004E-4</v>
      </c>
      <c r="G77">
        <v>0.3125</v>
      </c>
      <c r="H77">
        <v>3.581</v>
      </c>
      <c r="I77">
        <v>10001</v>
      </c>
      <c r="J77">
        <v>30000</v>
      </c>
    </row>
    <row r="78" spans="2:10" x14ac:dyDescent="0.25">
      <c r="B78" t="s">
        <v>475</v>
      </c>
      <c r="C78">
        <v>0.77390000000000003</v>
      </c>
      <c r="D78">
        <v>1.091</v>
      </c>
      <c r="E78">
        <v>8.482E-3</v>
      </c>
      <c r="F78" s="13">
        <v>7.5679999999999996E-4</v>
      </c>
      <c r="G78">
        <v>0.35310000000000002</v>
      </c>
      <c r="H78">
        <v>3.8820000000000001</v>
      </c>
      <c r="I78">
        <v>10001</v>
      </c>
      <c r="J78">
        <v>30000</v>
      </c>
    </row>
    <row r="79" spans="2:10" x14ac:dyDescent="0.25">
      <c r="B79" t="s">
        <v>476</v>
      </c>
      <c r="C79">
        <v>1.01</v>
      </c>
      <c r="D79">
        <v>1.3380000000000001</v>
      </c>
      <c r="E79">
        <v>1.355E-2</v>
      </c>
      <c r="F79">
        <v>1.09E-3</v>
      </c>
      <c r="G79">
        <v>0.50119999999999998</v>
      </c>
      <c r="H79">
        <v>4.7939999999999996</v>
      </c>
      <c r="I79">
        <v>10001</v>
      </c>
      <c r="J79">
        <v>30000</v>
      </c>
    </row>
    <row r="80" spans="2:10" x14ac:dyDescent="0.25">
      <c r="B80" t="s">
        <v>477</v>
      </c>
      <c r="C80">
        <v>1.0960000000000001</v>
      </c>
      <c r="D80">
        <v>1.466</v>
      </c>
      <c r="E80">
        <v>1.0789999999999999E-2</v>
      </c>
      <c r="F80">
        <v>1.2489999999999999E-3</v>
      </c>
      <c r="G80">
        <v>0.53620000000000001</v>
      </c>
      <c r="H80">
        <v>5.2389999999999999</v>
      </c>
      <c r="I80">
        <v>10001</v>
      </c>
      <c r="J80">
        <v>30000</v>
      </c>
    </row>
    <row r="81" spans="2:10" x14ac:dyDescent="0.25">
      <c r="B81" t="s">
        <v>478</v>
      </c>
      <c r="C81">
        <v>0.97750000000000004</v>
      </c>
      <c r="D81">
        <v>1.4</v>
      </c>
      <c r="E81">
        <v>1.6899999999999998E-2</v>
      </c>
      <c r="F81" s="13">
        <v>9.1790000000000003E-4</v>
      </c>
      <c r="G81">
        <v>0.43930000000000002</v>
      </c>
      <c r="H81">
        <v>4.8689999999999998</v>
      </c>
      <c r="I81">
        <v>10001</v>
      </c>
      <c r="J81">
        <v>30000</v>
      </c>
    </row>
    <row r="82" spans="2:10" x14ac:dyDescent="0.25">
      <c r="B82" t="s">
        <v>479</v>
      </c>
      <c r="C82">
        <v>0.98260000000000003</v>
      </c>
      <c r="D82">
        <v>1.4059999999999999</v>
      </c>
      <c r="E82">
        <v>1.396E-2</v>
      </c>
      <c r="F82">
        <v>1.057E-3</v>
      </c>
      <c r="G82">
        <v>0.442</v>
      </c>
      <c r="H82">
        <v>4.9329999999999998</v>
      </c>
      <c r="I82">
        <v>10001</v>
      </c>
      <c r="J82">
        <v>30000</v>
      </c>
    </row>
    <row r="83" spans="2:10" x14ac:dyDescent="0.25">
      <c r="B83" t="s">
        <v>480</v>
      </c>
      <c r="C83">
        <v>2.2469999999999999</v>
      </c>
      <c r="D83">
        <v>2.0779999999999998</v>
      </c>
      <c r="E83">
        <v>2.5510000000000001E-2</v>
      </c>
      <c r="F83">
        <v>1.3440000000000001E-2</v>
      </c>
      <c r="G83">
        <v>1.7030000000000001</v>
      </c>
      <c r="H83">
        <v>7.5730000000000004</v>
      </c>
      <c r="I83">
        <v>10001</v>
      </c>
      <c r="J83">
        <v>30000</v>
      </c>
    </row>
    <row r="84" spans="2:10" x14ac:dyDescent="0.25">
      <c r="B84" t="s">
        <v>481</v>
      </c>
      <c r="C84">
        <v>1.968</v>
      </c>
      <c r="D84">
        <v>2.1080000000000001</v>
      </c>
      <c r="E84">
        <v>2.1239999999999998E-2</v>
      </c>
      <c r="F84">
        <v>5.2960000000000004E-3</v>
      </c>
      <c r="G84">
        <v>1.3049999999999999</v>
      </c>
      <c r="H84">
        <v>7.6</v>
      </c>
      <c r="I84">
        <v>10001</v>
      </c>
      <c r="J84">
        <v>30000</v>
      </c>
    </row>
    <row r="85" spans="2:10" x14ac:dyDescent="0.25">
      <c r="B85" t="s">
        <v>482</v>
      </c>
      <c r="C85">
        <v>1.2030000000000001</v>
      </c>
      <c r="D85">
        <v>1.653</v>
      </c>
      <c r="E85">
        <v>5.0529999999999999E-2</v>
      </c>
      <c r="F85">
        <v>1.047E-3</v>
      </c>
      <c r="G85">
        <v>0.5575</v>
      </c>
      <c r="H85">
        <v>6.077</v>
      </c>
      <c r="I85">
        <v>10001</v>
      </c>
      <c r="J85">
        <v>30000</v>
      </c>
    </row>
    <row r="86" spans="2:10" x14ac:dyDescent="0.25">
      <c r="B86" t="s">
        <v>483</v>
      </c>
      <c r="C86">
        <v>1.212</v>
      </c>
      <c r="D86">
        <v>1.623</v>
      </c>
      <c r="E86">
        <v>4.3990000000000001E-2</v>
      </c>
      <c r="F86">
        <v>1.2440000000000001E-3</v>
      </c>
      <c r="G86">
        <v>0.59209999999999996</v>
      </c>
      <c r="H86">
        <v>5.8540000000000001</v>
      </c>
      <c r="I86">
        <v>10001</v>
      </c>
      <c r="J86">
        <v>30000</v>
      </c>
    </row>
    <row r="87" spans="2:10" x14ac:dyDescent="0.25">
      <c r="B87" t="s">
        <v>484</v>
      </c>
      <c r="C87">
        <v>0.73719999999999997</v>
      </c>
      <c r="D87">
        <v>1.052</v>
      </c>
      <c r="E87">
        <v>8.7510000000000001E-3</v>
      </c>
      <c r="F87" s="13">
        <v>7.4839999999999998E-4</v>
      </c>
      <c r="G87">
        <v>0.33860000000000001</v>
      </c>
      <c r="H87">
        <v>3.7360000000000002</v>
      </c>
      <c r="I87">
        <v>10001</v>
      </c>
      <c r="J87">
        <v>30000</v>
      </c>
    </row>
    <row r="88" spans="2:10" x14ac:dyDescent="0.25">
      <c r="B88" t="s">
        <v>485</v>
      </c>
      <c r="C88">
        <v>0.82340000000000002</v>
      </c>
      <c r="D88">
        <v>1.151</v>
      </c>
      <c r="E88">
        <v>8.5880000000000001E-3</v>
      </c>
      <c r="F88" s="13">
        <v>8.007E-4</v>
      </c>
      <c r="G88">
        <v>0.37259999999999999</v>
      </c>
      <c r="H88">
        <v>4.1580000000000004</v>
      </c>
      <c r="I88">
        <v>10001</v>
      </c>
      <c r="J88">
        <v>30000</v>
      </c>
    </row>
    <row r="89" spans="2:10" x14ac:dyDescent="0.25">
      <c r="B89" t="s">
        <v>486</v>
      </c>
      <c r="C89">
        <v>0.9415</v>
      </c>
      <c r="D89">
        <v>1.274</v>
      </c>
      <c r="E89">
        <v>1.8960000000000001E-2</v>
      </c>
      <c r="F89" s="13">
        <v>8.9209999999999995E-4</v>
      </c>
      <c r="G89">
        <v>0.44479999999999997</v>
      </c>
      <c r="H89">
        <v>4.5880000000000001</v>
      </c>
      <c r="I89">
        <v>10001</v>
      </c>
      <c r="J89">
        <v>30000</v>
      </c>
    </row>
    <row r="90" spans="2:10" x14ac:dyDescent="0.25">
      <c r="B90" t="s">
        <v>487</v>
      </c>
      <c r="C90">
        <v>0.91159999999999997</v>
      </c>
      <c r="D90">
        <v>1.266</v>
      </c>
      <c r="E90">
        <v>1.197E-2</v>
      </c>
      <c r="F90">
        <v>1.0399999999999999E-3</v>
      </c>
      <c r="G90">
        <v>0.42270000000000002</v>
      </c>
      <c r="H90">
        <v>4.5259999999999998</v>
      </c>
      <c r="I90">
        <v>10001</v>
      </c>
      <c r="J90">
        <v>30000</v>
      </c>
    </row>
    <row r="91" spans="2:10" x14ac:dyDescent="0.25">
      <c r="B91" t="s">
        <v>488</v>
      </c>
      <c r="C91">
        <v>1.0169999999999999</v>
      </c>
      <c r="D91">
        <v>1.4350000000000001</v>
      </c>
      <c r="E91">
        <v>1.5810000000000001E-2</v>
      </c>
      <c r="F91">
        <v>1.021E-3</v>
      </c>
      <c r="G91">
        <v>0.4637</v>
      </c>
      <c r="H91">
        <v>5.101</v>
      </c>
      <c r="I91">
        <v>10001</v>
      </c>
      <c r="J91">
        <v>30000</v>
      </c>
    </row>
    <row r="92" spans="2:10" x14ac:dyDescent="0.25">
      <c r="B92" t="s">
        <v>489</v>
      </c>
      <c r="C92">
        <v>0.99960000000000004</v>
      </c>
      <c r="D92">
        <v>1.419</v>
      </c>
      <c r="E92">
        <v>1.421E-2</v>
      </c>
      <c r="F92" s="13">
        <v>9.7309999999999996E-4</v>
      </c>
      <c r="G92">
        <v>0.46100000000000002</v>
      </c>
      <c r="H92">
        <v>4.9340000000000002</v>
      </c>
      <c r="I92">
        <v>10001</v>
      </c>
      <c r="J92">
        <v>30000</v>
      </c>
    </row>
    <row r="93" spans="2:10" x14ac:dyDescent="0.25">
      <c r="B93" t="s">
        <v>490</v>
      </c>
      <c r="C93">
        <v>0.7732</v>
      </c>
      <c r="D93">
        <v>1.0920000000000001</v>
      </c>
      <c r="E93">
        <v>1.056E-2</v>
      </c>
      <c r="F93" s="13">
        <v>7.4989999999999996E-4</v>
      </c>
      <c r="G93">
        <v>0.35680000000000001</v>
      </c>
      <c r="H93">
        <v>3.8969999999999998</v>
      </c>
      <c r="I93">
        <v>10001</v>
      </c>
      <c r="J93">
        <v>30000</v>
      </c>
    </row>
    <row r="94" spans="2:10" x14ac:dyDescent="0.25">
      <c r="B94" t="s">
        <v>491</v>
      </c>
      <c r="C94">
        <v>0.745</v>
      </c>
      <c r="D94">
        <v>1.0569999999999999</v>
      </c>
      <c r="E94">
        <v>7.5789999999999998E-3</v>
      </c>
      <c r="F94" s="13">
        <v>6.9390000000000001E-4</v>
      </c>
      <c r="G94">
        <v>0.33629999999999999</v>
      </c>
      <c r="H94">
        <v>3.7349999999999999</v>
      </c>
      <c r="I94">
        <v>10001</v>
      </c>
      <c r="J94">
        <v>30000</v>
      </c>
    </row>
    <row r="95" spans="2:10" x14ac:dyDescent="0.25">
      <c r="B95" t="s">
        <v>492</v>
      </c>
      <c r="C95">
        <v>0.80279999999999996</v>
      </c>
      <c r="D95">
        <v>1.131</v>
      </c>
      <c r="E95">
        <v>9.2040000000000004E-3</v>
      </c>
      <c r="F95" s="13">
        <v>7.6309999999999995E-4</v>
      </c>
      <c r="G95">
        <v>0.3705</v>
      </c>
      <c r="H95">
        <v>4.0430000000000001</v>
      </c>
      <c r="I95">
        <v>10001</v>
      </c>
      <c r="J95">
        <v>30000</v>
      </c>
    </row>
    <row r="96" spans="2:10" x14ac:dyDescent="0.25">
      <c r="B96" t="s">
        <v>493</v>
      </c>
      <c r="C96">
        <v>0.75690000000000002</v>
      </c>
      <c r="D96">
        <v>1.0880000000000001</v>
      </c>
      <c r="E96">
        <v>7.4390000000000003E-3</v>
      </c>
      <c r="F96" s="13">
        <v>6.8479999999999995E-4</v>
      </c>
      <c r="G96">
        <v>0.34260000000000002</v>
      </c>
      <c r="H96">
        <v>3.806</v>
      </c>
      <c r="I96">
        <v>10001</v>
      </c>
      <c r="J96">
        <v>30000</v>
      </c>
    </row>
    <row r="97" spans="2:10" x14ac:dyDescent="0.25">
      <c r="B97" t="s">
        <v>494</v>
      </c>
      <c r="C97">
        <v>0.75029999999999997</v>
      </c>
      <c r="D97">
        <v>1.042</v>
      </c>
      <c r="E97">
        <v>7.3299999999999997E-3</v>
      </c>
      <c r="F97" s="13">
        <v>6.736E-4</v>
      </c>
      <c r="G97">
        <v>0.35060000000000002</v>
      </c>
      <c r="H97">
        <v>3.77</v>
      </c>
      <c r="I97">
        <v>10001</v>
      </c>
      <c r="J97">
        <v>30000</v>
      </c>
    </row>
    <row r="98" spans="2:10" x14ac:dyDescent="0.25">
      <c r="B98" t="s">
        <v>495</v>
      </c>
      <c r="C98">
        <v>0.69289999999999996</v>
      </c>
      <c r="D98">
        <v>0.97870000000000001</v>
      </c>
      <c r="E98">
        <v>6.4939999999999998E-3</v>
      </c>
      <c r="F98" s="13">
        <v>6.9720000000000003E-4</v>
      </c>
      <c r="G98">
        <v>0.31280000000000002</v>
      </c>
      <c r="H98">
        <v>3.4860000000000002</v>
      </c>
      <c r="I98">
        <v>10001</v>
      </c>
      <c r="J98">
        <v>30000</v>
      </c>
    </row>
    <row r="99" spans="2:10" x14ac:dyDescent="0.25">
      <c r="B99" t="s">
        <v>496</v>
      </c>
      <c r="C99">
        <v>0.751</v>
      </c>
      <c r="D99">
        <v>1.0369999999999999</v>
      </c>
      <c r="E99">
        <v>9.9550000000000003E-3</v>
      </c>
      <c r="F99" s="13">
        <v>6.9160000000000001E-4</v>
      </c>
      <c r="G99">
        <v>0.35160000000000002</v>
      </c>
      <c r="H99">
        <v>3.6760000000000002</v>
      </c>
      <c r="I99">
        <v>10001</v>
      </c>
      <c r="J99">
        <v>30000</v>
      </c>
    </row>
    <row r="100" spans="2:10" x14ac:dyDescent="0.25">
      <c r="B100" t="s">
        <v>497</v>
      </c>
      <c r="C100">
        <v>0.73109999999999997</v>
      </c>
      <c r="D100">
        <v>1.0249999999999999</v>
      </c>
      <c r="E100">
        <v>8.234E-3</v>
      </c>
      <c r="F100" s="13">
        <v>7.4589999999999997E-4</v>
      </c>
      <c r="G100">
        <v>0.33460000000000001</v>
      </c>
      <c r="H100">
        <v>3.6240000000000001</v>
      </c>
      <c r="I100">
        <v>10001</v>
      </c>
      <c r="J100">
        <v>30000</v>
      </c>
    </row>
    <row r="101" spans="2:10" x14ac:dyDescent="0.25">
      <c r="B101" t="s">
        <v>498</v>
      </c>
      <c r="C101">
        <v>1.371</v>
      </c>
      <c r="D101">
        <v>1.637</v>
      </c>
      <c r="E101">
        <v>1.9140000000000001E-2</v>
      </c>
      <c r="F101">
        <v>1.8289999999999999E-3</v>
      </c>
      <c r="G101">
        <v>0.77910000000000001</v>
      </c>
      <c r="H101">
        <v>5.9029999999999996</v>
      </c>
      <c r="I101">
        <v>10001</v>
      </c>
      <c r="J101">
        <v>30000</v>
      </c>
    </row>
    <row r="102" spans="2:10" x14ac:dyDescent="0.25">
      <c r="B102" t="s">
        <v>499</v>
      </c>
      <c r="C102">
        <v>1.417</v>
      </c>
      <c r="D102">
        <v>1.722</v>
      </c>
      <c r="E102">
        <v>1.618E-2</v>
      </c>
      <c r="F102">
        <v>1.9870000000000001E-3</v>
      </c>
      <c r="G102">
        <v>0.77839999999999998</v>
      </c>
      <c r="H102">
        <v>6.1909999999999998</v>
      </c>
      <c r="I102">
        <v>10001</v>
      </c>
      <c r="J102">
        <v>30000</v>
      </c>
    </row>
    <row r="103" spans="2:10" x14ac:dyDescent="0.25">
      <c r="B103" t="s">
        <v>500</v>
      </c>
      <c r="C103">
        <v>1.167</v>
      </c>
      <c r="D103">
        <v>1.532</v>
      </c>
      <c r="E103">
        <v>1.661E-2</v>
      </c>
      <c r="F103">
        <v>1.274E-3</v>
      </c>
      <c r="G103">
        <v>0.58699999999999997</v>
      </c>
      <c r="H103">
        <v>5.4779999999999998</v>
      </c>
      <c r="I103">
        <v>10001</v>
      </c>
      <c r="J103">
        <v>30000</v>
      </c>
    </row>
    <row r="104" spans="2:10" x14ac:dyDescent="0.25">
      <c r="B104" t="s">
        <v>501</v>
      </c>
      <c r="C104">
        <v>1.181</v>
      </c>
      <c r="D104">
        <v>1.532</v>
      </c>
      <c r="E104">
        <v>1.4710000000000001E-2</v>
      </c>
      <c r="F104">
        <v>1.145E-3</v>
      </c>
      <c r="G104">
        <v>0.59330000000000005</v>
      </c>
      <c r="H104">
        <v>5.4770000000000003</v>
      </c>
      <c r="I104">
        <v>10001</v>
      </c>
      <c r="J104">
        <v>30000</v>
      </c>
    </row>
    <row r="105" spans="2:10" x14ac:dyDescent="0.25">
      <c r="B105" t="s">
        <v>502</v>
      </c>
      <c r="C105">
        <v>0.62219999999999998</v>
      </c>
      <c r="D105">
        <v>0.89090000000000003</v>
      </c>
      <c r="E105">
        <v>5.8529999999999997E-3</v>
      </c>
      <c r="F105" s="13">
        <v>5.7269999999999999E-4</v>
      </c>
      <c r="G105">
        <v>0.27850000000000003</v>
      </c>
      <c r="H105">
        <v>3.1629999999999998</v>
      </c>
      <c r="I105">
        <v>10001</v>
      </c>
      <c r="J105">
        <v>30000</v>
      </c>
    </row>
    <row r="106" spans="2:10" x14ac:dyDescent="0.25">
      <c r="B106" t="s">
        <v>503</v>
      </c>
      <c r="C106">
        <v>0.61519999999999997</v>
      </c>
      <c r="D106">
        <v>0.87780000000000002</v>
      </c>
      <c r="E106">
        <v>5.9880000000000003E-3</v>
      </c>
      <c r="F106" s="13">
        <v>6.0240000000000001E-4</v>
      </c>
      <c r="G106">
        <v>0.27339999999999998</v>
      </c>
      <c r="H106">
        <v>3.1549999999999998</v>
      </c>
      <c r="I106">
        <v>10001</v>
      </c>
      <c r="J106">
        <v>30000</v>
      </c>
    </row>
    <row r="107" spans="2:10" x14ac:dyDescent="0.25">
      <c r="B107" t="s">
        <v>504</v>
      </c>
      <c r="C107">
        <v>1.2749999999999999</v>
      </c>
      <c r="D107">
        <v>1.5669999999999999</v>
      </c>
      <c r="E107">
        <v>1.6490000000000001E-2</v>
      </c>
      <c r="F107">
        <v>1.727E-3</v>
      </c>
      <c r="G107">
        <v>0.69630000000000003</v>
      </c>
      <c r="H107">
        <v>5.6509999999999998</v>
      </c>
      <c r="I107">
        <v>10001</v>
      </c>
      <c r="J107">
        <v>30000</v>
      </c>
    </row>
    <row r="108" spans="2:10" x14ac:dyDescent="0.25">
      <c r="B108" t="s">
        <v>505</v>
      </c>
      <c r="C108">
        <v>1.143</v>
      </c>
      <c r="D108">
        <v>1.4790000000000001</v>
      </c>
      <c r="E108">
        <v>1.392E-2</v>
      </c>
      <c r="F108">
        <v>1.3079999999999999E-3</v>
      </c>
      <c r="G108">
        <v>0.58289999999999997</v>
      </c>
      <c r="H108">
        <v>5.2560000000000002</v>
      </c>
      <c r="I108">
        <v>10001</v>
      </c>
      <c r="J108">
        <v>30000</v>
      </c>
    </row>
    <row r="109" spans="2:10" x14ac:dyDescent="0.25">
      <c r="B109" t="s">
        <v>506</v>
      </c>
      <c r="C109">
        <v>0.86829999999999996</v>
      </c>
      <c r="D109">
        <v>1.226</v>
      </c>
      <c r="E109">
        <v>1.469E-2</v>
      </c>
      <c r="F109" s="13">
        <v>7.6230000000000004E-4</v>
      </c>
      <c r="G109">
        <v>0.39450000000000002</v>
      </c>
      <c r="H109">
        <v>4.383</v>
      </c>
      <c r="I109">
        <v>10001</v>
      </c>
      <c r="J109">
        <v>30000</v>
      </c>
    </row>
    <row r="110" spans="2:10" x14ac:dyDescent="0.25">
      <c r="B110" t="s">
        <v>507</v>
      </c>
      <c r="C110">
        <v>0.86839999999999995</v>
      </c>
      <c r="D110">
        <v>1.2290000000000001</v>
      </c>
      <c r="E110">
        <v>1.367E-2</v>
      </c>
      <c r="F110" s="13">
        <v>8.9860000000000005E-4</v>
      </c>
      <c r="G110">
        <v>0.39410000000000001</v>
      </c>
      <c r="H110">
        <v>4.3079999999999998</v>
      </c>
      <c r="I110">
        <v>10001</v>
      </c>
      <c r="J110">
        <v>30000</v>
      </c>
    </row>
    <row r="111" spans="2:10" x14ac:dyDescent="0.25">
      <c r="B111" t="s">
        <v>508</v>
      </c>
      <c r="C111">
        <v>0.62170000000000003</v>
      </c>
      <c r="D111">
        <v>0.8871</v>
      </c>
      <c r="E111">
        <v>6.1260000000000004E-3</v>
      </c>
      <c r="F111" s="13">
        <v>5.9900000000000003E-4</v>
      </c>
      <c r="G111">
        <v>0.28439999999999999</v>
      </c>
      <c r="H111">
        <v>3.1389999999999998</v>
      </c>
      <c r="I111">
        <v>10001</v>
      </c>
      <c r="J111">
        <v>30000</v>
      </c>
    </row>
    <row r="112" spans="2:10" x14ac:dyDescent="0.25">
      <c r="B112" t="s">
        <v>509</v>
      </c>
      <c r="C112">
        <v>0.61</v>
      </c>
      <c r="D112">
        <v>0.87709999999999999</v>
      </c>
      <c r="E112">
        <v>5.457E-3</v>
      </c>
      <c r="F112" s="13">
        <v>5.8290000000000002E-4</v>
      </c>
      <c r="G112">
        <v>0.27550000000000002</v>
      </c>
      <c r="H112">
        <v>3.0529999999999999</v>
      </c>
      <c r="I112">
        <v>10001</v>
      </c>
      <c r="J112">
        <v>30000</v>
      </c>
    </row>
    <row r="113" spans="1:10" x14ac:dyDescent="0.25">
      <c r="B113" t="s">
        <v>510</v>
      </c>
      <c r="C113">
        <v>0.88580000000000003</v>
      </c>
      <c r="D113">
        <v>1.196</v>
      </c>
      <c r="E113">
        <v>8.397E-3</v>
      </c>
      <c r="F113" s="13">
        <v>8.629E-4</v>
      </c>
      <c r="G113">
        <v>0.42599999999999999</v>
      </c>
      <c r="H113">
        <v>4.2990000000000004</v>
      </c>
      <c r="I113">
        <v>10001</v>
      </c>
      <c r="J113">
        <v>30000</v>
      </c>
    </row>
    <row r="114" spans="1:10" x14ac:dyDescent="0.25">
      <c r="B114" t="s">
        <v>511</v>
      </c>
      <c r="C114">
        <v>0.79610000000000003</v>
      </c>
      <c r="D114">
        <v>1.101</v>
      </c>
      <c r="E114">
        <v>7.2570000000000004E-3</v>
      </c>
      <c r="F114" s="13">
        <v>8.9530000000000002E-4</v>
      </c>
      <c r="G114">
        <v>0.37980000000000003</v>
      </c>
      <c r="H114">
        <v>3.9060000000000001</v>
      </c>
      <c r="I114">
        <v>10001</v>
      </c>
      <c r="J114">
        <v>30000</v>
      </c>
    </row>
    <row r="115" spans="1:10" x14ac:dyDescent="0.25">
      <c r="B115" t="s">
        <v>512</v>
      </c>
      <c r="C115">
        <v>1.0189999999999999</v>
      </c>
      <c r="D115">
        <v>1.3759999999999999</v>
      </c>
      <c r="E115">
        <v>1.367E-2</v>
      </c>
      <c r="F115">
        <v>1.1299999999999999E-3</v>
      </c>
      <c r="G115">
        <v>0.4869</v>
      </c>
      <c r="H115">
        <v>4.8920000000000003</v>
      </c>
      <c r="I115">
        <v>10001</v>
      </c>
      <c r="J115">
        <v>30000</v>
      </c>
    </row>
    <row r="116" spans="1:10" x14ac:dyDescent="0.25">
      <c r="B116" t="s">
        <v>513</v>
      </c>
      <c r="C116">
        <v>1.0680000000000001</v>
      </c>
      <c r="D116">
        <v>1.413</v>
      </c>
      <c r="E116">
        <v>1.298E-2</v>
      </c>
      <c r="F116">
        <v>1.1980000000000001E-3</v>
      </c>
      <c r="G116">
        <v>0.52359999999999995</v>
      </c>
      <c r="H116">
        <v>5.08</v>
      </c>
      <c r="I116">
        <v>10001</v>
      </c>
      <c r="J116">
        <v>30000</v>
      </c>
    </row>
    <row r="117" spans="1:10" x14ac:dyDescent="0.25">
      <c r="B117" t="s">
        <v>514</v>
      </c>
      <c r="C117">
        <v>0.88229999999999997</v>
      </c>
      <c r="D117">
        <v>1.2490000000000001</v>
      </c>
      <c r="E117">
        <v>1.949E-2</v>
      </c>
      <c r="F117" s="13">
        <v>9.7490000000000001E-4</v>
      </c>
      <c r="G117">
        <v>0.4042</v>
      </c>
      <c r="H117">
        <v>4.4450000000000003</v>
      </c>
      <c r="I117">
        <v>10001</v>
      </c>
      <c r="J117">
        <v>30000</v>
      </c>
    </row>
    <row r="118" spans="1:10" x14ac:dyDescent="0.25">
      <c r="B118" t="s">
        <v>515</v>
      </c>
      <c r="C118">
        <v>0.85070000000000001</v>
      </c>
      <c r="D118">
        <v>1.1910000000000001</v>
      </c>
      <c r="E118">
        <v>1.8409999999999999E-2</v>
      </c>
      <c r="F118" s="13">
        <v>8.2839999999999997E-4</v>
      </c>
      <c r="G118">
        <v>0.3911</v>
      </c>
      <c r="H118">
        <v>4.2279999999999998</v>
      </c>
      <c r="I118">
        <v>10001</v>
      </c>
      <c r="J118">
        <v>30000</v>
      </c>
    </row>
    <row r="119" spans="1:10" x14ac:dyDescent="0.25">
      <c r="B119" t="s">
        <v>620</v>
      </c>
      <c r="C119">
        <v>63.55</v>
      </c>
      <c r="D119">
        <v>10.39</v>
      </c>
      <c r="E119">
        <v>0.17780000000000001</v>
      </c>
      <c r="F119">
        <v>44.78</v>
      </c>
      <c r="G119">
        <v>62.98</v>
      </c>
      <c r="H119">
        <v>85.41</v>
      </c>
      <c r="I119">
        <v>10001</v>
      </c>
      <c r="J119">
        <v>30000</v>
      </c>
    </row>
    <row r="120" spans="1:10" x14ac:dyDescent="0.25">
      <c r="A120" t="s">
        <v>744</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3"/>
  </sheetPr>
  <dimension ref="E3:V21"/>
  <sheetViews>
    <sheetView showGridLines="0" workbookViewId="0">
      <selection activeCell="I16" sqref="I16"/>
    </sheetView>
  </sheetViews>
  <sheetFormatPr defaultRowHeight="15" x14ac:dyDescent="0.25"/>
  <cols>
    <col min="5" max="5" width="17.7109375" customWidth="1"/>
    <col min="6" max="6" width="16.140625" customWidth="1"/>
    <col min="7" max="7" width="17.140625" customWidth="1"/>
    <col min="8" max="8" width="15.85546875" customWidth="1"/>
    <col min="22" max="24" width="0" hidden="1" customWidth="1"/>
  </cols>
  <sheetData>
    <row r="3" spans="5:22" x14ac:dyDescent="0.25">
      <c r="E3" t="s">
        <v>215</v>
      </c>
    </row>
    <row r="4" spans="5:22" ht="15.75" thickBot="1" x14ac:dyDescent="0.3"/>
    <row r="5" spans="5:22" ht="15.75" thickBot="1" x14ac:dyDescent="0.3">
      <c r="E5" s="275" t="s">
        <v>149</v>
      </c>
      <c r="F5" s="276"/>
      <c r="G5" s="276"/>
      <c r="H5" s="277"/>
    </row>
    <row r="6" spans="5:22" ht="45.75" thickBot="1" x14ac:dyDescent="0.3">
      <c r="E6" s="38" t="s">
        <v>154</v>
      </c>
      <c r="F6" s="34" t="s">
        <v>227</v>
      </c>
      <c r="G6" s="34" t="s">
        <v>146</v>
      </c>
      <c r="H6" s="35" t="s">
        <v>147</v>
      </c>
      <c r="V6" t="s">
        <v>227</v>
      </c>
    </row>
    <row r="7" spans="5:22" ht="30" x14ac:dyDescent="0.25">
      <c r="E7" s="36" t="s">
        <v>144</v>
      </c>
      <c r="F7" s="31">
        <v>-4.0599999999999996</v>
      </c>
      <c r="G7" s="31">
        <v>-4.2699999999999996</v>
      </c>
      <c r="H7" s="1">
        <v>-3.93</v>
      </c>
      <c r="V7" t="s">
        <v>146</v>
      </c>
    </row>
    <row r="8" spans="5:22" x14ac:dyDescent="0.25">
      <c r="E8" s="36" t="s">
        <v>148</v>
      </c>
      <c r="F8" s="31">
        <v>-3.02</v>
      </c>
      <c r="G8" s="31">
        <v>-3.23</v>
      </c>
      <c r="H8" s="1">
        <v>-2.89</v>
      </c>
      <c r="M8" t="s">
        <v>82</v>
      </c>
      <c r="V8" t="s">
        <v>147</v>
      </c>
    </row>
    <row r="9" spans="5:22" ht="15.75" thickBot="1" x14ac:dyDescent="0.3">
      <c r="E9" s="37" t="s">
        <v>145</v>
      </c>
      <c r="F9" s="32">
        <v>-2.13</v>
      </c>
      <c r="G9" s="32">
        <v>-2.34</v>
      </c>
      <c r="H9" s="2">
        <v>-2.0099999999999998</v>
      </c>
    </row>
    <row r="10" spans="5:22" ht="15.75" thickBot="1" x14ac:dyDescent="0.3"/>
    <row r="11" spans="5:22" ht="15.75" thickBot="1" x14ac:dyDescent="0.3">
      <c r="E11" s="275" t="s">
        <v>151</v>
      </c>
      <c r="F11" s="276"/>
      <c r="G11" s="276"/>
      <c r="H11" s="277"/>
    </row>
    <row r="12" spans="5:22" ht="45.75" thickBot="1" x14ac:dyDescent="0.3">
      <c r="E12" s="38" t="s">
        <v>154</v>
      </c>
      <c r="F12" s="34" t="str">
        <f>F6</f>
        <v>Pharmacological vs Control/Placebo</v>
      </c>
      <c r="G12" s="34" t="str">
        <f>G6</f>
        <v>Pharmacological vs Pharmacological</v>
      </c>
      <c r="H12" s="35" t="str">
        <f>H6</f>
        <v>Non-Pharmacological (Any)</v>
      </c>
    </row>
    <row r="13" spans="5:22" ht="30" x14ac:dyDescent="0.25">
      <c r="E13" s="36" t="str">
        <f>E7</f>
        <v>All Cause Mortality</v>
      </c>
      <c r="F13" s="31">
        <v>1.45</v>
      </c>
      <c r="G13" s="31">
        <v>1.48</v>
      </c>
      <c r="H13" s="1">
        <v>1.51</v>
      </c>
    </row>
    <row r="14" spans="5:22" x14ac:dyDescent="0.25">
      <c r="E14" s="36" t="str">
        <f>E8</f>
        <v>Semi-Objective</v>
      </c>
      <c r="F14" s="31">
        <v>1.85</v>
      </c>
      <c r="G14" s="31">
        <v>1.88</v>
      </c>
      <c r="H14" s="1">
        <v>1.91</v>
      </c>
    </row>
    <row r="15" spans="5:22" ht="15.75" thickBot="1" x14ac:dyDescent="0.3">
      <c r="E15" s="37" t="str">
        <f>E9</f>
        <v>Subjective</v>
      </c>
      <c r="F15" s="32">
        <v>1.58</v>
      </c>
      <c r="G15" s="32">
        <v>1.62</v>
      </c>
      <c r="H15" s="2">
        <v>1.64</v>
      </c>
    </row>
    <row r="16" spans="5:22" ht="15.75" thickBot="1" x14ac:dyDescent="0.3"/>
    <row r="17" spans="5:8" ht="15.75" thickBot="1" x14ac:dyDescent="0.3">
      <c r="E17" s="275" t="s">
        <v>150</v>
      </c>
      <c r="F17" s="276"/>
      <c r="G17" s="276"/>
      <c r="H17" s="277"/>
    </row>
    <row r="18" spans="5:8" ht="45.75" thickBot="1" x14ac:dyDescent="0.3">
      <c r="E18" s="38" t="s">
        <v>154</v>
      </c>
      <c r="F18" s="34" t="str">
        <f>F12</f>
        <v>Pharmacological vs Control/Placebo</v>
      </c>
      <c r="G18" s="34" t="str">
        <f>G12</f>
        <v>Pharmacological vs Pharmacological</v>
      </c>
      <c r="H18" s="35" t="str">
        <f>H12</f>
        <v>Non-Pharmacological (Any)</v>
      </c>
    </row>
    <row r="19" spans="5:8" ht="30" x14ac:dyDescent="0.25">
      <c r="E19" s="36" t="str">
        <f>E13</f>
        <v>All Cause Mortality</v>
      </c>
      <c r="F19" s="31">
        <f t="shared" ref="F19:H21" si="0">F13^2</f>
        <v>2.1025</v>
      </c>
      <c r="G19" s="31">
        <f t="shared" si="0"/>
        <v>2.1903999999999999</v>
      </c>
      <c r="H19" s="1">
        <f t="shared" si="0"/>
        <v>2.2801</v>
      </c>
    </row>
    <row r="20" spans="5:8" x14ac:dyDescent="0.25">
      <c r="E20" s="36" t="str">
        <f>E14</f>
        <v>Semi-Objective</v>
      </c>
      <c r="F20" s="31">
        <f t="shared" si="0"/>
        <v>3.4225000000000003</v>
      </c>
      <c r="G20" s="31">
        <f t="shared" si="0"/>
        <v>3.5343999999999998</v>
      </c>
      <c r="H20" s="1">
        <f t="shared" si="0"/>
        <v>3.6480999999999999</v>
      </c>
    </row>
    <row r="21" spans="5:8" ht="15.75" thickBot="1" x14ac:dyDescent="0.3">
      <c r="E21" s="37" t="str">
        <f>E15</f>
        <v>Subjective</v>
      </c>
      <c r="F21" s="32">
        <f t="shared" si="0"/>
        <v>2.4964000000000004</v>
      </c>
      <c r="G21" s="32">
        <f t="shared" si="0"/>
        <v>2.6244000000000005</v>
      </c>
      <c r="H21" s="2">
        <f t="shared" si="0"/>
        <v>2.6895999999999995</v>
      </c>
    </row>
  </sheetData>
  <mergeCells count="3">
    <mergeCell ref="E5:H5"/>
    <mergeCell ref="E11:H11"/>
    <mergeCell ref="E17:H17"/>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3"/>
  </sheetPr>
  <dimension ref="A1:Y52"/>
  <sheetViews>
    <sheetView showGridLines="0" showRowColHeaders="0" topLeftCell="A2" workbookViewId="0">
      <selection activeCell="A2" sqref="A2:P2"/>
    </sheetView>
  </sheetViews>
  <sheetFormatPr defaultRowHeight="15" x14ac:dyDescent="0.25"/>
  <sheetData>
    <row r="1" spans="1:25" x14ac:dyDescent="0.25">
      <c r="A1" s="19" t="s">
        <v>0</v>
      </c>
      <c r="B1" s="19" t="s">
        <v>1</v>
      </c>
      <c r="C1" s="19" t="s">
        <v>2</v>
      </c>
      <c r="D1" s="19" t="s">
        <v>3</v>
      </c>
      <c r="E1" s="19" t="s">
        <v>42</v>
      </c>
      <c r="F1" s="19" t="s">
        <v>43</v>
      </c>
      <c r="G1" s="19" t="s">
        <v>44</v>
      </c>
      <c r="H1" s="19" t="s">
        <v>45</v>
      </c>
      <c r="I1" s="19" t="s">
        <v>251</v>
      </c>
      <c r="J1" s="19" t="s">
        <v>252</v>
      </c>
      <c r="K1" s="19" t="s">
        <v>361</v>
      </c>
      <c r="L1" s="19" t="s">
        <v>362</v>
      </c>
      <c r="M1" s="19" t="s">
        <v>363</v>
      </c>
      <c r="N1" s="19" t="s">
        <v>364</v>
      </c>
      <c r="O1" s="19" t="s">
        <v>365</v>
      </c>
      <c r="P1" s="19" t="s">
        <v>366</v>
      </c>
      <c r="Q1" s="19" t="s">
        <v>4</v>
      </c>
      <c r="R1" s="19" t="s">
        <v>5</v>
      </c>
      <c r="S1" s="19" t="s">
        <v>46</v>
      </c>
      <c r="T1" s="16" t="s">
        <v>47</v>
      </c>
      <c r="U1" s="16" t="s">
        <v>253</v>
      </c>
      <c r="V1" s="16" t="s">
        <v>367</v>
      </c>
      <c r="W1" s="16" t="s">
        <v>368</v>
      </c>
      <c r="X1" s="16" t="s">
        <v>369</v>
      </c>
      <c r="Y1" t="s">
        <v>6</v>
      </c>
    </row>
    <row r="2" spans="1:25" x14ac:dyDescent="0.25">
      <c r="A2" s="19">
        <v>58</v>
      </c>
      <c r="B2" s="19">
        <v>68</v>
      </c>
      <c r="C2" s="19">
        <v>53</v>
      </c>
      <c r="D2" s="19">
        <v>68</v>
      </c>
      <c r="E2" s="19" t="s">
        <v>370</v>
      </c>
      <c r="F2" s="19">
        <v>1</v>
      </c>
      <c r="G2" s="19" t="s">
        <v>370</v>
      </c>
      <c r="H2" s="19">
        <v>1</v>
      </c>
      <c r="I2" s="19" t="s">
        <v>370</v>
      </c>
      <c r="J2" s="19">
        <v>1</v>
      </c>
      <c r="K2" s="19" t="s">
        <v>370</v>
      </c>
      <c r="L2" s="19">
        <v>1</v>
      </c>
      <c r="M2" s="19" t="s">
        <v>370</v>
      </c>
      <c r="N2" s="19">
        <v>1</v>
      </c>
      <c r="O2" s="19" t="s">
        <v>370</v>
      </c>
      <c r="P2" s="19">
        <v>1</v>
      </c>
      <c r="Q2" s="19">
        <v>1</v>
      </c>
      <c r="R2" s="19">
        <v>8</v>
      </c>
      <c r="S2" s="19" t="s">
        <v>370</v>
      </c>
      <c r="T2" s="16" t="s">
        <v>370</v>
      </c>
      <c r="U2" s="16" t="s">
        <v>370</v>
      </c>
      <c r="V2" s="16" t="s">
        <v>370</v>
      </c>
      <c r="W2" s="16" t="s">
        <v>370</v>
      </c>
      <c r="X2" s="16" t="s">
        <v>370</v>
      </c>
      <c r="Y2">
        <v>2</v>
      </c>
    </row>
    <row r="3" spans="1:25" x14ac:dyDescent="0.25">
      <c r="A3" s="19">
        <v>6</v>
      </c>
      <c r="B3" s="19">
        <v>39</v>
      </c>
      <c r="C3" s="19">
        <v>5</v>
      </c>
      <c r="D3" s="19">
        <v>38</v>
      </c>
      <c r="E3" s="19" t="s">
        <v>370</v>
      </c>
      <c r="F3" s="19">
        <v>1</v>
      </c>
      <c r="G3" s="19" t="s">
        <v>370</v>
      </c>
      <c r="H3" s="19">
        <v>1</v>
      </c>
      <c r="I3" s="19" t="s">
        <v>370</v>
      </c>
      <c r="J3" s="19">
        <v>1</v>
      </c>
      <c r="K3" s="19" t="s">
        <v>370</v>
      </c>
      <c r="L3" s="19">
        <v>1</v>
      </c>
      <c r="M3" s="19" t="s">
        <v>370</v>
      </c>
      <c r="N3" s="19">
        <v>1</v>
      </c>
      <c r="O3" s="19" t="s">
        <v>370</v>
      </c>
      <c r="P3" s="19">
        <v>1</v>
      </c>
      <c r="Q3" s="19">
        <v>1</v>
      </c>
      <c r="R3" s="19">
        <v>4</v>
      </c>
      <c r="S3" s="19" t="s">
        <v>370</v>
      </c>
      <c r="T3" s="16" t="s">
        <v>370</v>
      </c>
      <c r="U3" s="16" t="s">
        <v>370</v>
      </c>
      <c r="V3" s="16" t="s">
        <v>370</v>
      </c>
      <c r="W3" s="16" t="s">
        <v>370</v>
      </c>
      <c r="X3" s="16" t="s">
        <v>370</v>
      </c>
      <c r="Y3">
        <v>2</v>
      </c>
    </row>
    <row r="4" spans="1:25" x14ac:dyDescent="0.25">
      <c r="A4" s="19">
        <v>5</v>
      </c>
      <c r="B4" s="19">
        <v>80</v>
      </c>
      <c r="C4" s="19">
        <v>4</v>
      </c>
      <c r="D4" s="19">
        <v>80</v>
      </c>
      <c r="E4" s="19" t="s">
        <v>370</v>
      </c>
      <c r="F4" s="19">
        <v>1</v>
      </c>
      <c r="G4" s="19" t="s">
        <v>370</v>
      </c>
      <c r="H4" s="19">
        <v>1</v>
      </c>
      <c r="I4" s="19" t="s">
        <v>370</v>
      </c>
      <c r="J4" s="19">
        <v>1</v>
      </c>
      <c r="K4" s="19" t="s">
        <v>370</v>
      </c>
      <c r="L4" s="19">
        <v>1</v>
      </c>
      <c r="M4" s="19" t="s">
        <v>370</v>
      </c>
      <c r="N4" s="19">
        <v>1</v>
      </c>
      <c r="O4" s="19" t="s">
        <v>370</v>
      </c>
      <c r="P4" s="19">
        <v>1</v>
      </c>
      <c r="Q4" s="19">
        <v>3</v>
      </c>
      <c r="R4" s="19">
        <v>4</v>
      </c>
      <c r="S4" s="19" t="s">
        <v>370</v>
      </c>
      <c r="T4" s="16" t="s">
        <v>370</v>
      </c>
      <c r="U4" s="16" t="s">
        <v>370</v>
      </c>
      <c r="V4" s="16" t="s">
        <v>370</v>
      </c>
      <c r="W4" s="16" t="s">
        <v>370</v>
      </c>
      <c r="X4" s="16" t="s">
        <v>370</v>
      </c>
      <c r="Y4">
        <v>2</v>
      </c>
    </row>
    <row r="5" spans="1:25" x14ac:dyDescent="0.25">
      <c r="A5" s="19">
        <v>19</v>
      </c>
      <c r="B5" s="19">
        <v>34</v>
      </c>
      <c r="C5" s="19">
        <v>17</v>
      </c>
      <c r="D5" s="19">
        <v>36</v>
      </c>
      <c r="E5" s="19" t="s">
        <v>370</v>
      </c>
      <c r="F5" s="19">
        <v>1</v>
      </c>
      <c r="G5" s="19" t="s">
        <v>370</v>
      </c>
      <c r="H5" s="19">
        <v>1</v>
      </c>
      <c r="I5" s="19" t="s">
        <v>370</v>
      </c>
      <c r="J5" s="19">
        <v>1</v>
      </c>
      <c r="K5" s="19" t="s">
        <v>370</v>
      </c>
      <c r="L5" s="19">
        <v>1</v>
      </c>
      <c r="M5" s="19" t="s">
        <v>370</v>
      </c>
      <c r="N5" s="19">
        <v>1</v>
      </c>
      <c r="O5" s="19" t="s">
        <v>370</v>
      </c>
      <c r="P5" s="19">
        <v>1</v>
      </c>
      <c r="Q5" s="19">
        <v>2</v>
      </c>
      <c r="R5" s="19">
        <v>3</v>
      </c>
      <c r="S5" s="19" t="s">
        <v>370</v>
      </c>
      <c r="T5" s="16" t="s">
        <v>370</v>
      </c>
      <c r="U5" s="16" t="s">
        <v>370</v>
      </c>
      <c r="V5" s="16" t="s">
        <v>370</v>
      </c>
      <c r="W5" s="16" t="s">
        <v>370</v>
      </c>
      <c r="X5" s="16" t="s">
        <v>370</v>
      </c>
      <c r="Y5">
        <v>2</v>
      </c>
    </row>
    <row r="6" spans="1:25" x14ac:dyDescent="0.25">
      <c r="A6" s="19">
        <v>13</v>
      </c>
      <c r="B6" s="19">
        <v>50</v>
      </c>
      <c r="C6" s="19">
        <v>11</v>
      </c>
      <c r="D6" s="19">
        <v>52</v>
      </c>
      <c r="E6" s="19" t="s">
        <v>370</v>
      </c>
      <c r="F6" s="19">
        <v>1</v>
      </c>
      <c r="G6" s="19" t="s">
        <v>370</v>
      </c>
      <c r="H6" s="19">
        <v>1</v>
      </c>
      <c r="I6" s="19" t="s">
        <v>370</v>
      </c>
      <c r="J6" s="19">
        <v>1</v>
      </c>
      <c r="K6" s="19" t="s">
        <v>370</v>
      </c>
      <c r="L6" s="19">
        <v>1</v>
      </c>
      <c r="M6" s="19" t="s">
        <v>370</v>
      </c>
      <c r="N6" s="19">
        <v>1</v>
      </c>
      <c r="O6" s="19" t="s">
        <v>370</v>
      </c>
      <c r="P6" s="19">
        <v>1</v>
      </c>
      <c r="Q6" s="19">
        <v>2</v>
      </c>
      <c r="R6" s="19">
        <v>3</v>
      </c>
      <c r="S6" s="19" t="s">
        <v>370</v>
      </c>
      <c r="T6" s="16" t="s">
        <v>370</v>
      </c>
      <c r="U6" s="16" t="s">
        <v>370</v>
      </c>
      <c r="V6" s="16" t="s">
        <v>370</v>
      </c>
      <c r="W6" s="16" t="s">
        <v>370</v>
      </c>
      <c r="X6" s="16" t="s">
        <v>370</v>
      </c>
      <c r="Y6">
        <v>2</v>
      </c>
    </row>
    <row r="7" spans="1:25" x14ac:dyDescent="0.25">
      <c r="A7" s="19">
        <v>0</v>
      </c>
      <c r="B7" s="19">
        <v>33</v>
      </c>
      <c r="C7" s="19">
        <v>1</v>
      </c>
      <c r="D7" s="19">
        <v>33</v>
      </c>
      <c r="E7" s="19" t="s">
        <v>370</v>
      </c>
      <c r="F7" s="19">
        <v>1</v>
      </c>
      <c r="G7" s="19" t="s">
        <v>370</v>
      </c>
      <c r="H7" s="19">
        <v>1</v>
      </c>
      <c r="I7" s="19" t="s">
        <v>370</v>
      </c>
      <c r="J7" s="19">
        <v>1</v>
      </c>
      <c r="K7" s="19" t="s">
        <v>370</v>
      </c>
      <c r="L7" s="19">
        <v>1</v>
      </c>
      <c r="M7" s="19" t="s">
        <v>370</v>
      </c>
      <c r="N7" s="19">
        <v>1</v>
      </c>
      <c r="O7" s="19" t="s">
        <v>370</v>
      </c>
      <c r="P7" s="19">
        <v>1</v>
      </c>
      <c r="Q7" s="19">
        <v>3</v>
      </c>
      <c r="R7" s="19">
        <v>8</v>
      </c>
      <c r="S7" s="19" t="s">
        <v>370</v>
      </c>
      <c r="T7" s="16" t="s">
        <v>370</v>
      </c>
      <c r="U7" s="16" t="s">
        <v>370</v>
      </c>
      <c r="V7" s="16" t="s">
        <v>370</v>
      </c>
      <c r="W7" s="16" t="s">
        <v>370</v>
      </c>
      <c r="X7" s="16" t="s">
        <v>370</v>
      </c>
      <c r="Y7">
        <v>2</v>
      </c>
    </row>
    <row r="8" spans="1:25" x14ac:dyDescent="0.25">
      <c r="A8" s="19">
        <v>3</v>
      </c>
      <c r="B8" s="19">
        <v>32</v>
      </c>
      <c r="C8" s="19">
        <v>2</v>
      </c>
      <c r="D8" s="19">
        <v>32</v>
      </c>
      <c r="E8" s="19" t="s">
        <v>370</v>
      </c>
      <c r="F8" s="19">
        <v>1</v>
      </c>
      <c r="G8" s="19" t="s">
        <v>370</v>
      </c>
      <c r="H8" s="19">
        <v>1</v>
      </c>
      <c r="I8" s="19" t="s">
        <v>370</v>
      </c>
      <c r="J8" s="19">
        <v>1</v>
      </c>
      <c r="K8" s="19" t="s">
        <v>370</v>
      </c>
      <c r="L8" s="19">
        <v>1</v>
      </c>
      <c r="M8" s="19" t="s">
        <v>370</v>
      </c>
      <c r="N8" s="19">
        <v>1</v>
      </c>
      <c r="O8" s="19" t="s">
        <v>370</v>
      </c>
      <c r="P8" s="19">
        <v>1</v>
      </c>
      <c r="Q8" s="19">
        <v>2</v>
      </c>
      <c r="R8" s="19">
        <v>3</v>
      </c>
      <c r="S8" s="19" t="s">
        <v>370</v>
      </c>
      <c r="T8" s="16" t="s">
        <v>370</v>
      </c>
      <c r="U8" s="16" t="s">
        <v>370</v>
      </c>
      <c r="V8" s="16" t="s">
        <v>370</v>
      </c>
      <c r="W8" s="16" t="s">
        <v>370</v>
      </c>
      <c r="X8" s="16" t="s">
        <v>370</v>
      </c>
      <c r="Y8">
        <v>2</v>
      </c>
    </row>
    <row r="9" spans="1:25" x14ac:dyDescent="0.25">
      <c r="A9" s="19">
        <v>7</v>
      </c>
      <c r="B9" s="19">
        <v>15</v>
      </c>
      <c r="C9" s="19">
        <v>6</v>
      </c>
      <c r="D9" s="19">
        <v>15</v>
      </c>
      <c r="E9" s="19" t="s">
        <v>370</v>
      </c>
      <c r="F9" s="19">
        <v>1</v>
      </c>
      <c r="G9" s="19" t="s">
        <v>370</v>
      </c>
      <c r="H9" s="19">
        <v>1</v>
      </c>
      <c r="I9" s="19" t="s">
        <v>370</v>
      </c>
      <c r="J9" s="19">
        <v>1</v>
      </c>
      <c r="K9" s="19" t="s">
        <v>370</v>
      </c>
      <c r="L9" s="19">
        <v>1</v>
      </c>
      <c r="M9" s="19" t="s">
        <v>370</v>
      </c>
      <c r="N9" s="19">
        <v>1</v>
      </c>
      <c r="O9" s="19" t="s">
        <v>370</v>
      </c>
      <c r="P9" s="19">
        <v>1</v>
      </c>
      <c r="Q9" s="19">
        <v>1</v>
      </c>
      <c r="R9" s="19">
        <v>3</v>
      </c>
      <c r="S9" s="19" t="s">
        <v>370</v>
      </c>
      <c r="T9" s="16" t="s">
        <v>370</v>
      </c>
      <c r="U9" s="16" t="s">
        <v>370</v>
      </c>
      <c r="V9" s="16" t="s">
        <v>370</v>
      </c>
      <c r="W9" s="16" t="s">
        <v>370</v>
      </c>
      <c r="X9" s="16" t="s">
        <v>370</v>
      </c>
      <c r="Y9">
        <v>2</v>
      </c>
    </row>
    <row r="10" spans="1:25" x14ac:dyDescent="0.25">
      <c r="A10" s="19">
        <v>7</v>
      </c>
      <c r="B10" s="19">
        <v>20</v>
      </c>
      <c r="C10" s="19">
        <v>13</v>
      </c>
      <c r="D10" s="19">
        <v>19</v>
      </c>
      <c r="E10" s="19" t="s">
        <v>370</v>
      </c>
      <c r="F10" s="19">
        <v>1</v>
      </c>
      <c r="G10" s="19" t="s">
        <v>370</v>
      </c>
      <c r="H10" s="19">
        <v>1</v>
      </c>
      <c r="I10" s="19" t="s">
        <v>370</v>
      </c>
      <c r="J10" s="19">
        <v>1</v>
      </c>
      <c r="K10" s="19" t="s">
        <v>370</v>
      </c>
      <c r="L10" s="19">
        <v>1</v>
      </c>
      <c r="M10" s="19" t="s">
        <v>370</v>
      </c>
      <c r="N10" s="19">
        <v>1</v>
      </c>
      <c r="O10" s="19" t="s">
        <v>370</v>
      </c>
      <c r="P10" s="19">
        <v>1</v>
      </c>
      <c r="Q10" s="19">
        <v>1</v>
      </c>
      <c r="R10" s="19">
        <v>8</v>
      </c>
      <c r="S10" s="19" t="s">
        <v>370</v>
      </c>
      <c r="T10" s="16" t="s">
        <v>370</v>
      </c>
      <c r="U10" s="16" t="s">
        <v>370</v>
      </c>
      <c r="V10" s="16" t="s">
        <v>370</v>
      </c>
      <c r="W10" s="16" t="s">
        <v>370</v>
      </c>
      <c r="X10" s="16" t="s">
        <v>370</v>
      </c>
      <c r="Y10">
        <v>2</v>
      </c>
    </row>
    <row r="11" spans="1:25" x14ac:dyDescent="0.25">
      <c r="A11" s="19">
        <v>10</v>
      </c>
      <c r="B11" s="19">
        <v>35</v>
      </c>
      <c r="C11" s="19">
        <v>16</v>
      </c>
      <c r="D11" s="19">
        <v>35</v>
      </c>
      <c r="E11" s="19" t="s">
        <v>370</v>
      </c>
      <c r="F11" s="19">
        <v>1</v>
      </c>
      <c r="G11" s="19" t="s">
        <v>370</v>
      </c>
      <c r="H11" s="19">
        <v>1</v>
      </c>
      <c r="I11" s="19" t="s">
        <v>370</v>
      </c>
      <c r="J11" s="19">
        <v>1</v>
      </c>
      <c r="K11" s="19" t="s">
        <v>370</v>
      </c>
      <c r="L11" s="19">
        <v>1</v>
      </c>
      <c r="M11" s="19" t="s">
        <v>370</v>
      </c>
      <c r="N11" s="19">
        <v>1</v>
      </c>
      <c r="O11" s="19" t="s">
        <v>370</v>
      </c>
      <c r="P11" s="19">
        <v>1</v>
      </c>
      <c r="Q11" s="19">
        <v>2</v>
      </c>
      <c r="R11" s="19">
        <v>5</v>
      </c>
      <c r="S11" s="19" t="s">
        <v>370</v>
      </c>
      <c r="T11" s="16" t="s">
        <v>370</v>
      </c>
      <c r="U11" s="16" t="s">
        <v>370</v>
      </c>
      <c r="V11" s="16" t="s">
        <v>370</v>
      </c>
      <c r="W11" s="16" t="s">
        <v>370</v>
      </c>
      <c r="X11" s="16" t="s">
        <v>370</v>
      </c>
      <c r="Y11">
        <v>2</v>
      </c>
    </row>
    <row r="12" spans="1:25" x14ac:dyDescent="0.25">
      <c r="A12" s="19">
        <v>31</v>
      </c>
      <c r="B12" s="19">
        <v>50</v>
      </c>
      <c r="C12" s="19">
        <v>32</v>
      </c>
      <c r="D12" s="19">
        <v>55</v>
      </c>
      <c r="E12" s="19" t="s">
        <v>370</v>
      </c>
      <c r="F12" s="19">
        <v>1</v>
      </c>
      <c r="G12" s="19" t="s">
        <v>370</v>
      </c>
      <c r="H12" s="19">
        <v>1</v>
      </c>
      <c r="I12" s="19" t="s">
        <v>370</v>
      </c>
      <c r="J12" s="19">
        <v>1</v>
      </c>
      <c r="K12" s="19" t="s">
        <v>370</v>
      </c>
      <c r="L12" s="19">
        <v>1</v>
      </c>
      <c r="M12" s="19" t="s">
        <v>370</v>
      </c>
      <c r="N12" s="19">
        <v>1</v>
      </c>
      <c r="O12" s="19" t="s">
        <v>370</v>
      </c>
      <c r="P12" s="19">
        <v>1</v>
      </c>
      <c r="Q12" s="19">
        <v>1</v>
      </c>
      <c r="R12" s="19">
        <v>7</v>
      </c>
      <c r="S12" s="19" t="s">
        <v>370</v>
      </c>
      <c r="T12" s="16" t="s">
        <v>370</v>
      </c>
      <c r="U12" s="16" t="s">
        <v>370</v>
      </c>
      <c r="V12" s="16" t="s">
        <v>370</v>
      </c>
      <c r="W12" s="16" t="s">
        <v>370</v>
      </c>
      <c r="X12" s="16" t="s">
        <v>370</v>
      </c>
      <c r="Y12">
        <v>2</v>
      </c>
    </row>
    <row r="13" spans="1:25" x14ac:dyDescent="0.25">
      <c r="A13" s="19">
        <v>11</v>
      </c>
      <c r="B13" s="19">
        <v>44</v>
      </c>
      <c r="C13" s="19">
        <v>15</v>
      </c>
      <c r="D13" s="19">
        <v>48</v>
      </c>
      <c r="E13" s="19" t="s">
        <v>370</v>
      </c>
      <c r="F13" s="19">
        <v>1</v>
      </c>
      <c r="G13" s="19" t="s">
        <v>370</v>
      </c>
      <c r="H13" s="19">
        <v>1</v>
      </c>
      <c r="I13" s="19" t="s">
        <v>370</v>
      </c>
      <c r="J13" s="19">
        <v>1</v>
      </c>
      <c r="K13" s="19" t="s">
        <v>370</v>
      </c>
      <c r="L13" s="19">
        <v>1</v>
      </c>
      <c r="M13" s="19" t="s">
        <v>370</v>
      </c>
      <c r="N13" s="19">
        <v>1</v>
      </c>
      <c r="O13" s="19" t="s">
        <v>370</v>
      </c>
      <c r="P13" s="19">
        <v>1</v>
      </c>
      <c r="Q13" s="19">
        <v>1</v>
      </c>
      <c r="R13" s="19">
        <v>8</v>
      </c>
      <c r="S13" s="19" t="s">
        <v>370</v>
      </c>
      <c r="T13" s="16" t="s">
        <v>370</v>
      </c>
      <c r="U13" s="16" t="s">
        <v>370</v>
      </c>
      <c r="V13" s="16" t="s">
        <v>370</v>
      </c>
      <c r="W13" s="16" t="s">
        <v>370</v>
      </c>
      <c r="X13" s="16" t="s">
        <v>370</v>
      </c>
      <c r="Y13">
        <v>2</v>
      </c>
    </row>
    <row r="14" spans="1:25" x14ac:dyDescent="0.25">
      <c r="A14" s="19">
        <v>13</v>
      </c>
      <c r="B14" s="19">
        <v>81</v>
      </c>
      <c r="C14" s="19">
        <v>23</v>
      </c>
      <c r="D14" s="19">
        <v>94</v>
      </c>
      <c r="E14" s="19" t="s">
        <v>370</v>
      </c>
      <c r="F14" s="19">
        <v>1</v>
      </c>
      <c r="G14" s="19" t="s">
        <v>370</v>
      </c>
      <c r="H14" s="19">
        <v>1</v>
      </c>
      <c r="I14" s="19" t="s">
        <v>370</v>
      </c>
      <c r="J14" s="19">
        <v>1</v>
      </c>
      <c r="K14" s="19" t="s">
        <v>370</v>
      </c>
      <c r="L14" s="19">
        <v>1</v>
      </c>
      <c r="M14" s="19" t="s">
        <v>370</v>
      </c>
      <c r="N14" s="19">
        <v>1</v>
      </c>
      <c r="O14" s="19" t="s">
        <v>370</v>
      </c>
      <c r="P14" s="19">
        <v>1</v>
      </c>
      <c r="Q14" s="19">
        <v>1</v>
      </c>
      <c r="R14" s="19">
        <v>2</v>
      </c>
      <c r="S14" s="19" t="s">
        <v>370</v>
      </c>
      <c r="T14" s="16" t="s">
        <v>370</v>
      </c>
      <c r="U14" s="16" t="s">
        <v>370</v>
      </c>
      <c r="V14" s="16" t="s">
        <v>370</v>
      </c>
      <c r="W14" s="16" t="s">
        <v>370</v>
      </c>
      <c r="X14" s="16" t="s">
        <v>370</v>
      </c>
      <c r="Y14">
        <v>2</v>
      </c>
    </row>
    <row r="15" spans="1:25" x14ac:dyDescent="0.25">
      <c r="A15" s="19">
        <v>12</v>
      </c>
      <c r="B15" s="19">
        <v>56</v>
      </c>
      <c r="C15" s="19">
        <v>13</v>
      </c>
      <c r="D15" s="19">
        <v>55</v>
      </c>
      <c r="E15" s="19" t="s">
        <v>370</v>
      </c>
      <c r="F15" s="19">
        <v>1</v>
      </c>
      <c r="G15" s="19" t="s">
        <v>370</v>
      </c>
      <c r="H15" s="19">
        <v>1</v>
      </c>
      <c r="I15" s="19" t="s">
        <v>370</v>
      </c>
      <c r="J15" s="19">
        <v>1</v>
      </c>
      <c r="K15" s="19" t="s">
        <v>370</v>
      </c>
      <c r="L15" s="19">
        <v>1</v>
      </c>
      <c r="M15" s="19" t="s">
        <v>370</v>
      </c>
      <c r="N15" s="19">
        <v>1</v>
      </c>
      <c r="O15" s="19" t="s">
        <v>370</v>
      </c>
      <c r="P15" s="19">
        <v>1</v>
      </c>
      <c r="Q15" s="19">
        <v>2</v>
      </c>
      <c r="R15" s="19">
        <v>6</v>
      </c>
      <c r="S15" s="19" t="s">
        <v>370</v>
      </c>
      <c r="T15" s="16" t="s">
        <v>370</v>
      </c>
      <c r="U15" s="16" t="s">
        <v>370</v>
      </c>
      <c r="V15" s="16" t="s">
        <v>370</v>
      </c>
      <c r="W15" s="16" t="s">
        <v>370</v>
      </c>
      <c r="X15" s="16" t="s">
        <v>370</v>
      </c>
      <c r="Y15">
        <v>2</v>
      </c>
    </row>
    <row r="16" spans="1:25" x14ac:dyDescent="0.25">
      <c r="A16" s="19">
        <v>2</v>
      </c>
      <c r="B16" s="19">
        <v>11</v>
      </c>
      <c r="C16" s="19">
        <v>8</v>
      </c>
      <c r="D16" s="19">
        <v>13</v>
      </c>
      <c r="E16" s="19" t="s">
        <v>370</v>
      </c>
      <c r="F16" s="19">
        <v>1</v>
      </c>
      <c r="G16" s="19" t="s">
        <v>370</v>
      </c>
      <c r="H16" s="19">
        <v>1</v>
      </c>
      <c r="I16" s="19" t="s">
        <v>370</v>
      </c>
      <c r="J16" s="19">
        <v>1</v>
      </c>
      <c r="K16" s="19" t="s">
        <v>370</v>
      </c>
      <c r="L16" s="19">
        <v>1</v>
      </c>
      <c r="M16" s="19" t="s">
        <v>370</v>
      </c>
      <c r="N16" s="19">
        <v>1</v>
      </c>
      <c r="O16" s="19" t="s">
        <v>370</v>
      </c>
      <c r="P16" s="19">
        <v>1</v>
      </c>
      <c r="Q16" s="19">
        <v>1</v>
      </c>
      <c r="R16" s="19">
        <v>8</v>
      </c>
      <c r="S16" s="19" t="s">
        <v>370</v>
      </c>
      <c r="T16" s="16" t="s">
        <v>370</v>
      </c>
      <c r="U16" s="16" t="s">
        <v>370</v>
      </c>
      <c r="V16" s="16" t="s">
        <v>370</v>
      </c>
      <c r="W16" s="16" t="s">
        <v>370</v>
      </c>
      <c r="X16" s="16" t="s">
        <v>370</v>
      </c>
      <c r="Y16">
        <v>2</v>
      </c>
    </row>
    <row r="17" spans="1:25" x14ac:dyDescent="0.25">
      <c r="A17" s="19">
        <v>1</v>
      </c>
      <c r="B17" s="19">
        <v>12</v>
      </c>
      <c r="C17" s="19">
        <v>1</v>
      </c>
      <c r="D17" s="19">
        <v>11</v>
      </c>
      <c r="E17" s="19" t="s">
        <v>370</v>
      </c>
      <c r="F17" s="19">
        <v>1</v>
      </c>
      <c r="G17" s="19" t="s">
        <v>370</v>
      </c>
      <c r="H17" s="19">
        <v>1</v>
      </c>
      <c r="I17" s="19" t="s">
        <v>370</v>
      </c>
      <c r="J17" s="19">
        <v>1</v>
      </c>
      <c r="K17" s="19" t="s">
        <v>370</v>
      </c>
      <c r="L17" s="19">
        <v>1</v>
      </c>
      <c r="M17" s="19" t="s">
        <v>370</v>
      </c>
      <c r="N17" s="19">
        <v>1</v>
      </c>
      <c r="O17" s="19" t="s">
        <v>370</v>
      </c>
      <c r="P17" s="19">
        <v>1</v>
      </c>
      <c r="Q17" s="19">
        <v>7</v>
      </c>
      <c r="R17" s="19">
        <v>8</v>
      </c>
      <c r="S17" s="19" t="s">
        <v>370</v>
      </c>
      <c r="T17" s="16" t="s">
        <v>370</v>
      </c>
      <c r="U17" s="16" t="s">
        <v>370</v>
      </c>
      <c r="V17" s="16" t="s">
        <v>370</v>
      </c>
      <c r="W17" s="16" t="s">
        <v>370</v>
      </c>
      <c r="X17" s="16" t="s">
        <v>370</v>
      </c>
      <c r="Y17">
        <v>2</v>
      </c>
    </row>
    <row r="18" spans="1:25" x14ac:dyDescent="0.25">
      <c r="A18" s="19">
        <v>12</v>
      </c>
      <c r="B18" s="19">
        <v>64</v>
      </c>
      <c r="C18" s="19">
        <v>17</v>
      </c>
      <c r="D18" s="19">
        <v>63</v>
      </c>
      <c r="E18" s="19" t="s">
        <v>370</v>
      </c>
      <c r="F18" s="19">
        <v>1</v>
      </c>
      <c r="G18" s="19" t="s">
        <v>370</v>
      </c>
      <c r="H18" s="19">
        <v>1</v>
      </c>
      <c r="I18" s="19" t="s">
        <v>370</v>
      </c>
      <c r="J18" s="19">
        <v>1</v>
      </c>
      <c r="K18" s="19" t="s">
        <v>370</v>
      </c>
      <c r="L18" s="19">
        <v>1</v>
      </c>
      <c r="M18" s="19" t="s">
        <v>370</v>
      </c>
      <c r="N18" s="19">
        <v>1</v>
      </c>
      <c r="O18" s="19" t="s">
        <v>370</v>
      </c>
      <c r="P18" s="19">
        <v>1</v>
      </c>
      <c r="Q18" s="19">
        <v>1</v>
      </c>
      <c r="R18" s="19">
        <v>7</v>
      </c>
      <c r="S18" s="19" t="s">
        <v>370</v>
      </c>
      <c r="T18" s="16" t="s">
        <v>370</v>
      </c>
      <c r="U18" s="16" t="s">
        <v>370</v>
      </c>
      <c r="V18" s="16" t="s">
        <v>370</v>
      </c>
      <c r="W18" s="16" t="s">
        <v>370</v>
      </c>
      <c r="X18" s="16" t="s">
        <v>370</v>
      </c>
      <c r="Y18">
        <v>2</v>
      </c>
    </row>
    <row r="19" spans="1:25" x14ac:dyDescent="0.25">
      <c r="A19" s="19">
        <v>8</v>
      </c>
      <c r="B19" s="19">
        <v>31</v>
      </c>
      <c r="C19" s="19">
        <v>13</v>
      </c>
      <c r="D19" s="19">
        <v>31</v>
      </c>
      <c r="E19" s="19" t="s">
        <v>370</v>
      </c>
      <c r="F19" s="19">
        <v>1</v>
      </c>
      <c r="G19" s="19" t="s">
        <v>370</v>
      </c>
      <c r="H19" s="19">
        <v>1</v>
      </c>
      <c r="I19" s="19" t="s">
        <v>370</v>
      </c>
      <c r="J19" s="19">
        <v>1</v>
      </c>
      <c r="K19" s="19" t="s">
        <v>370</v>
      </c>
      <c r="L19" s="19">
        <v>1</v>
      </c>
      <c r="M19" s="19" t="s">
        <v>370</v>
      </c>
      <c r="N19" s="19">
        <v>1</v>
      </c>
      <c r="O19" s="19" t="s">
        <v>370</v>
      </c>
      <c r="P19" s="19">
        <v>1</v>
      </c>
      <c r="Q19" s="19">
        <v>3</v>
      </c>
      <c r="R19" s="19">
        <v>8</v>
      </c>
      <c r="S19" s="19" t="s">
        <v>370</v>
      </c>
      <c r="T19" s="16" t="s">
        <v>370</v>
      </c>
      <c r="U19" s="16" t="s">
        <v>370</v>
      </c>
      <c r="V19" s="16" t="s">
        <v>370</v>
      </c>
      <c r="W19" s="16" t="s">
        <v>370</v>
      </c>
      <c r="X19" s="16" t="s">
        <v>370</v>
      </c>
      <c r="Y19">
        <v>2</v>
      </c>
    </row>
    <row r="20" spans="1:25" x14ac:dyDescent="0.25">
      <c r="A20" s="19">
        <v>17</v>
      </c>
      <c r="B20" s="19">
        <v>54</v>
      </c>
      <c r="C20" s="19">
        <v>16</v>
      </c>
      <c r="D20" s="19">
        <v>51</v>
      </c>
      <c r="E20" s="19" t="s">
        <v>370</v>
      </c>
      <c r="F20" s="19">
        <v>1</v>
      </c>
      <c r="G20" s="19" t="s">
        <v>370</v>
      </c>
      <c r="H20" s="19">
        <v>1</v>
      </c>
      <c r="I20" s="19" t="s">
        <v>370</v>
      </c>
      <c r="J20" s="19">
        <v>1</v>
      </c>
      <c r="K20" s="19" t="s">
        <v>370</v>
      </c>
      <c r="L20" s="19">
        <v>1</v>
      </c>
      <c r="M20" s="19" t="s">
        <v>370</v>
      </c>
      <c r="N20" s="19">
        <v>1</v>
      </c>
      <c r="O20" s="19" t="s">
        <v>370</v>
      </c>
      <c r="P20" s="19">
        <v>1</v>
      </c>
      <c r="Q20" s="19">
        <v>2</v>
      </c>
      <c r="R20" s="19">
        <v>8</v>
      </c>
      <c r="S20" s="19" t="s">
        <v>370</v>
      </c>
      <c r="T20" s="16" t="s">
        <v>370</v>
      </c>
      <c r="U20" s="16" t="s">
        <v>370</v>
      </c>
      <c r="V20" s="16" t="s">
        <v>370</v>
      </c>
      <c r="W20" s="16" t="s">
        <v>370</v>
      </c>
      <c r="X20" s="16" t="s">
        <v>370</v>
      </c>
      <c r="Y20">
        <v>2</v>
      </c>
    </row>
    <row r="21" spans="1:25" x14ac:dyDescent="0.25">
      <c r="A21" s="19">
        <v>9</v>
      </c>
      <c r="B21" s="19">
        <v>46</v>
      </c>
      <c r="C21" s="19">
        <v>10</v>
      </c>
      <c r="D21" s="19">
        <v>47</v>
      </c>
      <c r="E21" s="19" t="s">
        <v>370</v>
      </c>
      <c r="F21" s="19">
        <v>1</v>
      </c>
      <c r="G21" s="19" t="s">
        <v>370</v>
      </c>
      <c r="H21" s="19">
        <v>1</v>
      </c>
      <c r="I21" s="19" t="s">
        <v>370</v>
      </c>
      <c r="J21" s="19">
        <v>1</v>
      </c>
      <c r="K21" s="19" t="s">
        <v>370</v>
      </c>
      <c r="L21" s="19">
        <v>1</v>
      </c>
      <c r="M21" s="19" t="s">
        <v>370</v>
      </c>
      <c r="N21" s="19">
        <v>1</v>
      </c>
      <c r="O21" s="19" t="s">
        <v>370</v>
      </c>
      <c r="P21" s="19">
        <v>1</v>
      </c>
      <c r="Q21" s="19">
        <v>1</v>
      </c>
      <c r="R21" s="19">
        <v>7</v>
      </c>
      <c r="S21" s="19" t="s">
        <v>370</v>
      </c>
      <c r="T21" s="16" t="s">
        <v>370</v>
      </c>
      <c r="U21" s="16" t="s">
        <v>370</v>
      </c>
      <c r="V21" s="16" t="s">
        <v>370</v>
      </c>
      <c r="W21" s="16" t="s">
        <v>370</v>
      </c>
      <c r="X21" s="16" t="s">
        <v>370</v>
      </c>
      <c r="Y21">
        <v>2</v>
      </c>
    </row>
    <row r="22" spans="1:25" x14ac:dyDescent="0.25">
      <c r="A22" s="19">
        <v>19</v>
      </c>
      <c r="B22" s="19">
        <v>59</v>
      </c>
      <c r="C22" s="19">
        <v>18</v>
      </c>
      <c r="D22" s="19">
        <v>60</v>
      </c>
      <c r="E22" s="19" t="s">
        <v>370</v>
      </c>
      <c r="F22" s="19">
        <v>1</v>
      </c>
      <c r="G22" s="19" t="s">
        <v>370</v>
      </c>
      <c r="H22" s="19">
        <v>1</v>
      </c>
      <c r="I22" s="19" t="s">
        <v>370</v>
      </c>
      <c r="J22" s="19">
        <v>1</v>
      </c>
      <c r="K22" s="19" t="s">
        <v>370</v>
      </c>
      <c r="L22" s="19">
        <v>1</v>
      </c>
      <c r="M22" s="19" t="s">
        <v>370</v>
      </c>
      <c r="N22" s="19">
        <v>1</v>
      </c>
      <c r="O22" s="19" t="s">
        <v>370</v>
      </c>
      <c r="P22" s="19">
        <v>1</v>
      </c>
      <c r="Q22" s="19">
        <v>1</v>
      </c>
      <c r="R22" s="19">
        <v>2</v>
      </c>
      <c r="S22" s="19" t="s">
        <v>370</v>
      </c>
      <c r="T22" s="16" t="s">
        <v>370</v>
      </c>
      <c r="U22" s="16" t="s">
        <v>370</v>
      </c>
      <c r="V22" s="16" t="s">
        <v>370</v>
      </c>
      <c r="W22" s="16" t="s">
        <v>370</v>
      </c>
      <c r="X22" s="16" t="s">
        <v>370</v>
      </c>
      <c r="Y22">
        <v>2</v>
      </c>
    </row>
    <row r="23" spans="1:25" x14ac:dyDescent="0.25">
      <c r="A23" s="19">
        <v>8</v>
      </c>
      <c r="B23" s="19">
        <v>31</v>
      </c>
      <c r="C23" s="19">
        <v>7</v>
      </c>
      <c r="D23" s="19">
        <v>32</v>
      </c>
      <c r="E23" s="19" t="s">
        <v>370</v>
      </c>
      <c r="F23" s="19">
        <v>1</v>
      </c>
      <c r="G23" s="19" t="s">
        <v>370</v>
      </c>
      <c r="H23" s="19">
        <v>1</v>
      </c>
      <c r="I23" s="19" t="s">
        <v>370</v>
      </c>
      <c r="J23" s="19">
        <v>1</v>
      </c>
      <c r="K23" s="19" t="s">
        <v>370</v>
      </c>
      <c r="L23" s="19">
        <v>1</v>
      </c>
      <c r="M23" s="19" t="s">
        <v>370</v>
      </c>
      <c r="N23" s="19">
        <v>1</v>
      </c>
      <c r="O23" s="19" t="s">
        <v>370</v>
      </c>
      <c r="P23" s="19">
        <v>1</v>
      </c>
      <c r="Q23" s="19">
        <v>1</v>
      </c>
      <c r="R23" s="19">
        <v>2</v>
      </c>
      <c r="S23" s="19" t="s">
        <v>370</v>
      </c>
      <c r="T23" s="16" t="s">
        <v>370</v>
      </c>
      <c r="U23" s="16" t="s">
        <v>370</v>
      </c>
      <c r="V23" s="16" t="s">
        <v>370</v>
      </c>
      <c r="W23" s="16" t="s">
        <v>370</v>
      </c>
      <c r="X23" s="16" t="s">
        <v>370</v>
      </c>
      <c r="Y23">
        <v>2</v>
      </c>
    </row>
    <row r="24" spans="1:25" x14ac:dyDescent="0.25">
      <c r="A24" s="19">
        <v>6</v>
      </c>
      <c r="B24" s="19">
        <v>9</v>
      </c>
      <c r="C24" s="19">
        <v>6</v>
      </c>
      <c r="D24" s="19">
        <v>9</v>
      </c>
      <c r="E24" s="19" t="s">
        <v>370</v>
      </c>
      <c r="F24" s="19">
        <v>1</v>
      </c>
      <c r="G24" s="19" t="s">
        <v>370</v>
      </c>
      <c r="H24" s="19">
        <v>1</v>
      </c>
      <c r="I24" s="19" t="s">
        <v>370</v>
      </c>
      <c r="J24" s="19">
        <v>1</v>
      </c>
      <c r="K24" s="19" t="s">
        <v>370</v>
      </c>
      <c r="L24" s="19">
        <v>1</v>
      </c>
      <c r="M24" s="19" t="s">
        <v>370</v>
      </c>
      <c r="N24" s="19">
        <v>1</v>
      </c>
      <c r="O24" s="19" t="s">
        <v>370</v>
      </c>
      <c r="P24" s="19">
        <v>1</v>
      </c>
      <c r="Q24" s="19">
        <v>1</v>
      </c>
      <c r="R24" s="19">
        <v>3</v>
      </c>
      <c r="S24" s="19" t="s">
        <v>370</v>
      </c>
      <c r="T24" s="16" t="s">
        <v>370</v>
      </c>
      <c r="U24" s="16" t="s">
        <v>370</v>
      </c>
      <c r="V24" s="16" t="s">
        <v>370</v>
      </c>
      <c r="W24" s="16" t="s">
        <v>370</v>
      </c>
      <c r="X24" s="16" t="s">
        <v>370</v>
      </c>
      <c r="Y24">
        <v>2</v>
      </c>
    </row>
    <row r="25" spans="1:25" x14ac:dyDescent="0.25">
      <c r="A25" s="19">
        <v>6</v>
      </c>
      <c r="B25" s="19">
        <v>31</v>
      </c>
      <c r="C25" s="19">
        <v>13</v>
      </c>
      <c r="D25" s="19">
        <v>30</v>
      </c>
      <c r="E25" s="19" t="s">
        <v>370</v>
      </c>
      <c r="F25" s="19">
        <v>1</v>
      </c>
      <c r="G25" s="19" t="s">
        <v>370</v>
      </c>
      <c r="H25" s="19">
        <v>1</v>
      </c>
      <c r="I25" s="19" t="s">
        <v>370</v>
      </c>
      <c r="J25" s="19">
        <v>1</v>
      </c>
      <c r="K25" s="19" t="s">
        <v>370</v>
      </c>
      <c r="L25" s="19">
        <v>1</v>
      </c>
      <c r="M25" s="19" t="s">
        <v>370</v>
      </c>
      <c r="N25" s="19">
        <v>1</v>
      </c>
      <c r="O25" s="19" t="s">
        <v>370</v>
      </c>
      <c r="P25" s="19">
        <v>1</v>
      </c>
      <c r="Q25" s="19">
        <v>1</v>
      </c>
      <c r="R25" s="19">
        <v>7</v>
      </c>
      <c r="S25" s="19" t="s">
        <v>370</v>
      </c>
      <c r="T25" s="16" t="s">
        <v>370</v>
      </c>
      <c r="U25" s="16" t="s">
        <v>370</v>
      </c>
      <c r="V25" s="16" t="s">
        <v>370</v>
      </c>
      <c r="W25" s="16" t="s">
        <v>370</v>
      </c>
      <c r="X25" s="16" t="s">
        <v>370</v>
      </c>
      <c r="Y25">
        <v>2</v>
      </c>
    </row>
    <row r="26" spans="1:25" x14ac:dyDescent="0.25">
      <c r="A26" s="19">
        <v>29</v>
      </c>
      <c r="B26" s="19">
        <v>74</v>
      </c>
      <c r="C26" s="19">
        <v>39</v>
      </c>
      <c r="D26" s="19">
        <v>74</v>
      </c>
      <c r="E26" s="19" t="s">
        <v>370</v>
      </c>
      <c r="F26" s="19">
        <v>1</v>
      </c>
      <c r="G26" s="19" t="s">
        <v>370</v>
      </c>
      <c r="H26" s="19">
        <v>1</v>
      </c>
      <c r="I26" s="19" t="s">
        <v>370</v>
      </c>
      <c r="J26" s="19">
        <v>1</v>
      </c>
      <c r="K26" s="19" t="s">
        <v>370</v>
      </c>
      <c r="L26" s="19">
        <v>1</v>
      </c>
      <c r="M26" s="19" t="s">
        <v>370</v>
      </c>
      <c r="N26" s="19">
        <v>1</v>
      </c>
      <c r="O26" s="19" t="s">
        <v>370</v>
      </c>
      <c r="P26" s="19">
        <v>1</v>
      </c>
      <c r="Q26" s="19">
        <v>1</v>
      </c>
      <c r="R26" s="19">
        <v>2</v>
      </c>
      <c r="S26" s="19" t="s">
        <v>370</v>
      </c>
      <c r="T26" s="16" t="s">
        <v>370</v>
      </c>
      <c r="U26" s="16" t="s">
        <v>370</v>
      </c>
      <c r="V26" s="16" t="s">
        <v>370</v>
      </c>
      <c r="W26" s="16" t="s">
        <v>370</v>
      </c>
      <c r="X26" s="16" t="s">
        <v>370</v>
      </c>
      <c r="Y26">
        <v>2</v>
      </c>
    </row>
    <row r="27" spans="1:25" x14ac:dyDescent="0.25">
      <c r="A27" s="19">
        <v>8</v>
      </c>
      <c r="B27" s="19">
        <v>24</v>
      </c>
      <c r="C27" s="19">
        <v>8</v>
      </c>
      <c r="D27" s="19">
        <v>22</v>
      </c>
      <c r="E27" s="19" t="s">
        <v>370</v>
      </c>
      <c r="F27" s="19">
        <v>1</v>
      </c>
      <c r="G27" s="19" t="s">
        <v>370</v>
      </c>
      <c r="H27" s="19">
        <v>1</v>
      </c>
      <c r="I27" s="19" t="s">
        <v>370</v>
      </c>
      <c r="J27" s="19">
        <v>1</v>
      </c>
      <c r="K27" s="19" t="s">
        <v>370</v>
      </c>
      <c r="L27" s="19">
        <v>1</v>
      </c>
      <c r="M27" s="19" t="s">
        <v>370</v>
      </c>
      <c r="N27" s="19">
        <v>1</v>
      </c>
      <c r="O27" s="19" t="s">
        <v>370</v>
      </c>
      <c r="P27" s="19">
        <v>1</v>
      </c>
      <c r="Q27" s="19">
        <v>1</v>
      </c>
      <c r="R27" s="19">
        <v>2</v>
      </c>
      <c r="S27" s="19" t="s">
        <v>370</v>
      </c>
      <c r="T27" s="16" t="s">
        <v>370</v>
      </c>
      <c r="U27" s="16" t="s">
        <v>370</v>
      </c>
      <c r="V27" s="16" t="s">
        <v>370</v>
      </c>
      <c r="W27" s="16" t="s">
        <v>370</v>
      </c>
      <c r="X27" s="16" t="s">
        <v>370</v>
      </c>
      <c r="Y27">
        <v>2</v>
      </c>
    </row>
    <row r="28" spans="1:25" x14ac:dyDescent="0.25">
      <c r="A28" s="19">
        <v>9</v>
      </c>
      <c r="B28" s="19">
        <v>28</v>
      </c>
      <c r="C28" s="19">
        <v>6</v>
      </c>
      <c r="D28" s="19">
        <v>27</v>
      </c>
      <c r="E28" s="19" t="s">
        <v>370</v>
      </c>
      <c r="F28" s="19">
        <v>1</v>
      </c>
      <c r="G28" s="19" t="s">
        <v>370</v>
      </c>
      <c r="H28" s="19">
        <v>1</v>
      </c>
      <c r="I28" s="19" t="s">
        <v>370</v>
      </c>
      <c r="J28" s="19">
        <v>1</v>
      </c>
      <c r="K28" s="19" t="s">
        <v>370</v>
      </c>
      <c r="L28" s="19">
        <v>1</v>
      </c>
      <c r="M28" s="19" t="s">
        <v>370</v>
      </c>
      <c r="N28" s="19">
        <v>1</v>
      </c>
      <c r="O28" s="19" t="s">
        <v>370</v>
      </c>
      <c r="P28" s="19">
        <v>1</v>
      </c>
      <c r="Q28" s="19">
        <v>1</v>
      </c>
      <c r="R28" s="19">
        <v>8</v>
      </c>
      <c r="S28" s="19" t="s">
        <v>370</v>
      </c>
      <c r="T28" s="16" t="s">
        <v>370</v>
      </c>
      <c r="U28" s="16" t="s">
        <v>370</v>
      </c>
      <c r="V28" s="16" t="s">
        <v>370</v>
      </c>
      <c r="W28" s="16" t="s">
        <v>370</v>
      </c>
      <c r="X28" s="16" t="s">
        <v>370</v>
      </c>
      <c r="Y28">
        <v>2</v>
      </c>
    </row>
    <row r="29" spans="1:25" x14ac:dyDescent="0.25">
      <c r="A29" s="19">
        <v>11</v>
      </c>
      <c r="B29" s="19">
        <v>32</v>
      </c>
      <c r="C29" s="19">
        <v>21</v>
      </c>
      <c r="D29" s="19">
        <v>32</v>
      </c>
      <c r="E29" s="19" t="s">
        <v>370</v>
      </c>
      <c r="F29" s="19">
        <v>1</v>
      </c>
      <c r="G29" s="19" t="s">
        <v>370</v>
      </c>
      <c r="H29" s="19">
        <v>1</v>
      </c>
      <c r="I29" s="19" t="s">
        <v>370</v>
      </c>
      <c r="J29" s="19">
        <v>1</v>
      </c>
      <c r="K29" s="19" t="s">
        <v>370</v>
      </c>
      <c r="L29" s="19">
        <v>1</v>
      </c>
      <c r="M29" s="19" t="s">
        <v>370</v>
      </c>
      <c r="N29" s="19">
        <v>1</v>
      </c>
      <c r="O29" s="19" t="s">
        <v>370</v>
      </c>
      <c r="P29" s="19">
        <v>1</v>
      </c>
      <c r="Q29" s="19">
        <v>3</v>
      </c>
      <c r="R29" s="19">
        <v>8</v>
      </c>
      <c r="S29" s="19" t="s">
        <v>370</v>
      </c>
      <c r="T29" s="16" t="s">
        <v>370</v>
      </c>
      <c r="U29" s="16" t="s">
        <v>370</v>
      </c>
      <c r="V29" s="16" t="s">
        <v>370</v>
      </c>
      <c r="W29" s="16" t="s">
        <v>370</v>
      </c>
      <c r="X29" s="16" t="s">
        <v>370</v>
      </c>
      <c r="Y29">
        <v>2</v>
      </c>
    </row>
    <row r="30" spans="1:25" x14ac:dyDescent="0.25">
      <c r="A30" s="19">
        <v>7</v>
      </c>
      <c r="B30" s="19">
        <v>24</v>
      </c>
      <c r="C30" s="19">
        <v>7</v>
      </c>
      <c r="D30" s="19">
        <v>23</v>
      </c>
      <c r="E30" s="19" t="s">
        <v>370</v>
      </c>
      <c r="F30" s="19">
        <v>1</v>
      </c>
      <c r="G30" s="19" t="s">
        <v>370</v>
      </c>
      <c r="H30" s="19">
        <v>1</v>
      </c>
      <c r="I30" s="19" t="s">
        <v>370</v>
      </c>
      <c r="J30" s="19">
        <v>1</v>
      </c>
      <c r="K30" s="19" t="s">
        <v>370</v>
      </c>
      <c r="L30" s="19">
        <v>1</v>
      </c>
      <c r="M30" s="19" t="s">
        <v>370</v>
      </c>
      <c r="N30" s="19">
        <v>1</v>
      </c>
      <c r="O30" s="19" t="s">
        <v>370</v>
      </c>
      <c r="P30" s="19">
        <v>1</v>
      </c>
      <c r="Q30" s="19">
        <v>1</v>
      </c>
      <c r="R30" s="19">
        <v>2</v>
      </c>
      <c r="S30" s="19" t="s">
        <v>370</v>
      </c>
      <c r="T30" s="16" t="s">
        <v>370</v>
      </c>
      <c r="U30" s="16" t="s">
        <v>370</v>
      </c>
      <c r="V30" s="16" t="s">
        <v>370</v>
      </c>
      <c r="W30" s="16" t="s">
        <v>370</v>
      </c>
      <c r="X30" s="16" t="s">
        <v>370</v>
      </c>
      <c r="Y30">
        <v>2</v>
      </c>
    </row>
    <row r="31" spans="1:25" x14ac:dyDescent="0.25">
      <c r="A31" s="19">
        <v>8</v>
      </c>
      <c r="B31" s="19">
        <v>19</v>
      </c>
      <c r="C31" s="19">
        <v>5</v>
      </c>
      <c r="D31" s="19">
        <v>16</v>
      </c>
      <c r="E31" s="19" t="s">
        <v>370</v>
      </c>
      <c r="F31" s="19">
        <v>1</v>
      </c>
      <c r="G31" s="19" t="s">
        <v>370</v>
      </c>
      <c r="H31" s="19">
        <v>1</v>
      </c>
      <c r="I31" s="19" t="s">
        <v>370</v>
      </c>
      <c r="J31" s="19">
        <v>1</v>
      </c>
      <c r="K31" s="19" t="s">
        <v>370</v>
      </c>
      <c r="L31" s="19">
        <v>1</v>
      </c>
      <c r="M31" s="19" t="s">
        <v>370</v>
      </c>
      <c r="N31" s="19">
        <v>1</v>
      </c>
      <c r="O31" s="19" t="s">
        <v>370</v>
      </c>
      <c r="P31" s="19">
        <v>1</v>
      </c>
      <c r="Q31" s="19">
        <v>1</v>
      </c>
      <c r="R31" s="19">
        <v>2</v>
      </c>
      <c r="S31" s="19" t="s">
        <v>370</v>
      </c>
      <c r="T31" s="16" t="s">
        <v>370</v>
      </c>
      <c r="U31" s="16" t="s">
        <v>370</v>
      </c>
      <c r="V31" s="16" t="s">
        <v>370</v>
      </c>
      <c r="W31" s="16" t="s">
        <v>370</v>
      </c>
      <c r="X31" s="16" t="s">
        <v>370</v>
      </c>
      <c r="Y31">
        <v>2</v>
      </c>
    </row>
    <row r="32" spans="1:25" x14ac:dyDescent="0.25">
      <c r="A32" s="19">
        <v>51</v>
      </c>
      <c r="B32" s="19">
        <v>73</v>
      </c>
      <c r="C32" s="19">
        <v>45</v>
      </c>
      <c r="D32" s="19">
        <v>71</v>
      </c>
      <c r="E32" s="19" t="s">
        <v>370</v>
      </c>
      <c r="F32" s="19">
        <v>1</v>
      </c>
      <c r="G32" s="19" t="s">
        <v>370</v>
      </c>
      <c r="H32" s="19">
        <v>1</v>
      </c>
      <c r="I32" s="19" t="s">
        <v>370</v>
      </c>
      <c r="J32" s="19">
        <v>1</v>
      </c>
      <c r="K32" s="19" t="s">
        <v>370</v>
      </c>
      <c r="L32" s="19">
        <v>1</v>
      </c>
      <c r="M32" s="19" t="s">
        <v>370</v>
      </c>
      <c r="N32" s="19">
        <v>1</v>
      </c>
      <c r="O32" s="19" t="s">
        <v>370</v>
      </c>
      <c r="P32" s="19">
        <v>1</v>
      </c>
      <c r="Q32" s="19">
        <v>1</v>
      </c>
      <c r="R32" s="19">
        <v>2</v>
      </c>
      <c r="S32" s="19" t="s">
        <v>370</v>
      </c>
      <c r="T32" s="16" t="s">
        <v>370</v>
      </c>
      <c r="U32" s="16" t="s">
        <v>370</v>
      </c>
      <c r="V32" s="16" t="s">
        <v>370</v>
      </c>
      <c r="W32" s="16" t="s">
        <v>370</v>
      </c>
      <c r="X32" s="16" t="s">
        <v>370</v>
      </c>
      <c r="Y32">
        <v>2</v>
      </c>
    </row>
    <row r="33" spans="1:25" x14ac:dyDescent="0.25">
      <c r="A33" s="19">
        <v>6</v>
      </c>
      <c r="B33" s="19">
        <v>43</v>
      </c>
      <c r="C33" s="19">
        <v>5</v>
      </c>
      <c r="D33" s="19">
        <v>44</v>
      </c>
      <c r="E33" s="19" t="s">
        <v>370</v>
      </c>
      <c r="F33" s="19">
        <v>1</v>
      </c>
      <c r="G33" s="19" t="s">
        <v>370</v>
      </c>
      <c r="H33" s="19">
        <v>1</v>
      </c>
      <c r="I33" s="19" t="s">
        <v>370</v>
      </c>
      <c r="J33" s="19">
        <v>1</v>
      </c>
      <c r="K33" s="19" t="s">
        <v>370</v>
      </c>
      <c r="L33" s="19">
        <v>1</v>
      </c>
      <c r="M33" s="19" t="s">
        <v>370</v>
      </c>
      <c r="N33" s="19">
        <v>1</v>
      </c>
      <c r="O33" s="19" t="s">
        <v>370</v>
      </c>
      <c r="P33" s="19">
        <v>1</v>
      </c>
      <c r="Q33" s="19">
        <v>3</v>
      </c>
      <c r="R33" s="19">
        <v>4</v>
      </c>
      <c r="S33" s="19" t="s">
        <v>370</v>
      </c>
      <c r="T33" s="16" t="s">
        <v>370</v>
      </c>
      <c r="U33" s="16" t="s">
        <v>370</v>
      </c>
      <c r="V33" s="16" t="s">
        <v>370</v>
      </c>
      <c r="W33" s="16" t="s">
        <v>370</v>
      </c>
      <c r="X33" s="16" t="s">
        <v>370</v>
      </c>
      <c r="Y33">
        <v>2</v>
      </c>
    </row>
    <row r="34" spans="1:25" x14ac:dyDescent="0.25">
      <c r="A34" s="19" t="s">
        <v>371</v>
      </c>
      <c r="B34" s="19"/>
      <c r="C34" s="19"/>
      <c r="D34" s="19"/>
      <c r="E34" s="19"/>
      <c r="F34" s="19"/>
      <c r="G34" s="19"/>
      <c r="H34" s="19"/>
      <c r="I34" s="19"/>
      <c r="J34" s="19"/>
      <c r="K34" s="19"/>
      <c r="L34" s="19"/>
      <c r="M34" s="19"/>
      <c r="N34" s="19"/>
      <c r="O34" s="19"/>
      <c r="P34" s="19"/>
      <c r="Q34" s="19"/>
      <c r="R34" s="19"/>
      <c r="S34" s="19"/>
      <c r="T34" s="16"/>
      <c r="U34" s="16"/>
      <c r="V34" s="16"/>
      <c r="W34" s="16"/>
      <c r="X34" s="16"/>
    </row>
    <row r="35" spans="1:25" x14ac:dyDescent="0.25">
      <c r="A35" s="19"/>
      <c r="B35" s="19"/>
      <c r="C35" s="19"/>
      <c r="D35" s="19"/>
      <c r="E35" s="19"/>
      <c r="F35" s="19"/>
      <c r="G35" s="19"/>
      <c r="H35" s="19"/>
      <c r="I35" s="19"/>
      <c r="J35" s="19"/>
      <c r="K35" s="19"/>
      <c r="L35" s="19"/>
      <c r="M35" s="19"/>
      <c r="N35" s="19"/>
      <c r="O35" s="19"/>
      <c r="P35" s="19"/>
      <c r="Q35" s="19"/>
      <c r="R35" s="19"/>
      <c r="S35" s="19"/>
      <c r="T35" s="16"/>
      <c r="U35" s="16"/>
      <c r="V35" s="16"/>
      <c r="W35" s="16"/>
      <c r="X35" s="16"/>
    </row>
    <row r="36" spans="1:25" x14ac:dyDescent="0.25">
      <c r="A36" s="19"/>
      <c r="B36" s="19"/>
      <c r="C36" s="19"/>
      <c r="D36" s="19"/>
      <c r="E36" s="19"/>
      <c r="F36" s="19"/>
      <c r="G36" s="19"/>
      <c r="H36" s="19"/>
      <c r="I36" s="19"/>
      <c r="J36" s="19"/>
      <c r="K36" s="19"/>
      <c r="L36" s="19"/>
      <c r="M36" s="19"/>
      <c r="N36" s="19"/>
      <c r="O36" s="19"/>
      <c r="P36" s="19"/>
      <c r="Q36" s="19"/>
      <c r="R36" s="19"/>
      <c r="S36" s="19"/>
      <c r="T36" s="16"/>
      <c r="U36" s="16"/>
      <c r="V36" s="16"/>
      <c r="W36" s="16"/>
      <c r="X36" s="16"/>
    </row>
    <row r="37" spans="1:25" x14ac:dyDescent="0.25">
      <c r="A37" s="19"/>
      <c r="B37" s="19"/>
      <c r="C37" s="19"/>
      <c r="D37" s="19"/>
      <c r="E37" s="19"/>
      <c r="F37" s="19"/>
      <c r="G37" s="19"/>
      <c r="H37" s="19"/>
      <c r="I37" s="19"/>
      <c r="J37" s="19"/>
      <c r="K37" s="19"/>
      <c r="L37" s="19"/>
      <c r="M37" s="19"/>
      <c r="N37" s="19"/>
      <c r="O37" s="19"/>
      <c r="P37" s="19"/>
      <c r="Q37" s="19"/>
      <c r="R37" s="19"/>
      <c r="S37" s="19"/>
      <c r="T37" s="16"/>
      <c r="U37" s="16"/>
      <c r="V37" s="16"/>
      <c r="W37" s="16"/>
      <c r="X37" s="16"/>
    </row>
    <row r="38" spans="1:25" x14ac:dyDescent="0.25">
      <c r="A38" s="19"/>
      <c r="B38" s="19"/>
      <c r="C38" s="19"/>
      <c r="D38" s="19"/>
      <c r="E38" s="19"/>
      <c r="F38" s="19"/>
      <c r="G38" s="19"/>
      <c r="H38" s="19"/>
      <c r="I38" s="19"/>
      <c r="J38" s="19"/>
      <c r="K38" s="19"/>
      <c r="L38" s="19"/>
      <c r="M38" s="19"/>
      <c r="N38" s="19"/>
      <c r="O38" s="19"/>
      <c r="P38" s="19"/>
      <c r="Q38" s="19"/>
      <c r="R38" s="19"/>
      <c r="S38" s="19"/>
      <c r="T38" s="16"/>
      <c r="U38" s="16"/>
      <c r="V38" s="16"/>
      <c r="W38" s="16"/>
      <c r="X38" s="16"/>
    </row>
    <row r="39" spans="1:25" x14ac:dyDescent="0.25">
      <c r="A39" s="19"/>
      <c r="B39" s="19"/>
      <c r="C39" s="19"/>
      <c r="D39" s="19"/>
      <c r="E39" s="19"/>
      <c r="F39" s="19"/>
      <c r="G39" s="19"/>
      <c r="H39" s="19"/>
      <c r="I39" s="19"/>
      <c r="J39" s="19"/>
      <c r="K39" s="19"/>
      <c r="L39" s="19"/>
      <c r="M39" s="19"/>
      <c r="N39" s="19"/>
      <c r="O39" s="19"/>
      <c r="P39" s="19"/>
      <c r="Q39" s="19"/>
      <c r="R39" s="19"/>
      <c r="S39" s="19"/>
      <c r="T39" s="16"/>
      <c r="U39" s="16"/>
      <c r="V39" s="16"/>
      <c r="W39" s="16"/>
      <c r="X39" s="16"/>
    </row>
    <row r="40" spans="1:25" x14ac:dyDescent="0.25">
      <c r="A40" s="19"/>
      <c r="B40" s="19"/>
      <c r="C40" s="19"/>
      <c r="D40" s="19"/>
      <c r="E40" s="19"/>
      <c r="F40" s="19"/>
      <c r="G40" s="19"/>
      <c r="H40" s="19"/>
      <c r="I40" s="19"/>
      <c r="J40" s="19"/>
      <c r="K40" s="19"/>
      <c r="L40" s="19"/>
      <c r="M40" s="19"/>
      <c r="N40" s="19"/>
      <c r="O40" s="19"/>
      <c r="P40" s="19"/>
      <c r="Q40" s="19"/>
      <c r="R40" s="19"/>
      <c r="S40" s="19"/>
      <c r="T40" s="16"/>
      <c r="U40" s="16"/>
      <c r="V40" s="16"/>
      <c r="W40" s="16"/>
      <c r="X40" s="16"/>
    </row>
    <row r="41" spans="1:25" x14ac:dyDescent="0.25">
      <c r="A41" s="19"/>
      <c r="B41" s="19"/>
      <c r="C41" s="19"/>
      <c r="D41" s="19"/>
      <c r="E41" s="19"/>
      <c r="F41" s="19"/>
      <c r="G41" s="19"/>
      <c r="H41" s="19"/>
      <c r="I41" s="19"/>
      <c r="J41" s="19"/>
      <c r="K41" s="19"/>
      <c r="L41" s="19"/>
      <c r="M41" s="19"/>
      <c r="N41" s="19"/>
      <c r="O41" s="19"/>
      <c r="P41" s="19"/>
      <c r="Q41" s="19"/>
      <c r="R41" s="19"/>
      <c r="S41" s="19"/>
      <c r="T41" s="16"/>
      <c r="U41" s="16"/>
      <c r="V41" s="16"/>
      <c r="W41" s="16"/>
      <c r="X41" s="16"/>
    </row>
    <row r="42" spans="1:25" x14ac:dyDescent="0.25">
      <c r="A42" s="19"/>
      <c r="B42" s="19"/>
      <c r="C42" s="19"/>
      <c r="D42" s="19"/>
      <c r="E42" s="19"/>
      <c r="F42" s="19"/>
      <c r="G42" s="19"/>
      <c r="H42" s="19"/>
      <c r="I42" s="19"/>
      <c r="J42" s="19"/>
      <c r="K42" s="19"/>
      <c r="L42" s="19"/>
      <c r="M42" s="19"/>
      <c r="N42" s="19"/>
      <c r="O42" s="19"/>
      <c r="P42" s="19"/>
      <c r="Q42" s="19"/>
      <c r="R42" s="19"/>
      <c r="S42" s="19"/>
      <c r="T42" s="16"/>
      <c r="U42" s="16"/>
      <c r="V42" s="16"/>
      <c r="W42" s="16"/>
      <c r="X42" s="16"/>
    </row>
    <row r="43" spans="1:25" x14ac:dyDescent="0.25">
      <c r="A43" s="20"/>
      <c r="B43" s="20"/>
      <c r="C43" s="20"/>
      <c r="D43" s="20"/>
      <c r="E43" s="20"/>
      <c r="F43" s="20"/>
      <c r="G43" s="20"/>
      <c r="H43" s="20"/>
      <c r="I43" s="20"/>
      <c r="J43" s="20"/>
      <c r="K43" s="20"/>
      <c r="L43" s="20"/>
      <c r="M43" s="20"/>
      <c r="N43" s="20"/>
      <c r="O43" s="20"/>
      <c r="P43" s="20"/>
      <c r="Q43" s="20"/>
      <c r="R43" s="20"/>
      <c r="S43" s="20"/>
    </row>
    <row r="44" spans="1:25" x14ac:dyDescent="0.25">
      <c r="A44" s="20"/>
      <c r="B44" s="20"/>
      <c r="C44" s="20"/>
      <c r="D44" s="20"/>
      <c r="E44" s="20"/>
      <c r="F44" s="20"/>
      <c r="G44" s="20"/>
      <c r="H44" s="20"/>
      <c r="I44" s="20"/>
      <c r="J44" s="20"/>
      <c r="K44" s="20"/>
      <c r="L44" s="20"/>
      <c r="M44" s="20"/>
      <c r="N44" s="20"/>
      <c r="O44" s="20"/>
      <c r="P44" s="20"/>
      <c r="Q44" s="20"/>
      <c r="R44" s="20"/>
      <c r="S44" s="20"/>
    </row>
    <row r="45" spans="1:25" x14ac:dyDescent="0.25">
      <c r="A45" s="20"/>
      <c r="B45" s="20"/>
      <c r="C45" s="20"/>
      <c r="D45" s="20"/>
      <c r="E45" s="20"/>
      <c r="F45" s="20"/>
      <c r="G45" s="20"/>
      <c r="H45" s="20"/>
      <c r="I45" s="20"/>
      <c r="J45" s="20"/>
      <c r="K45" s="20"/>
      <c r="L45" s="20"/>
      <c r="M45" s="20"/>
      <c r="N45" s="20"/>
      <c r="O45" s="20"/>
      <c r="P45" s="20"/>
      <c r="Q45" s="20"/>
      <c r="R45" s="20"/>
      <c r="S45" s="20"/>
    </row>
    <row r="46" spans="1:25" x14ac:dyDescent="0.25">
      <c r="A46" s="20"/>
      <c r="B46" s="20"/>
      <c r="C46" s="20"/>
      <c r="D46" s="20"/>
      <c r="E46" s="20"/>
      <c r="F46" s="20"/>
      <c r="G46" s="20"/>
      <c r="H46" s="20"/>
      <c r="I46" s="20"/>
      <c r="J46" s="20"/>
      <c r="K46" s="20"/>
      <c r="L46" s="20"/>
      <c r="M46" s="20"/>
      <c r="N46" s="20"/>
      <c r="O46" s="20"/>
      <c r="P46" s="20"/>
      <c r="Q46" s="20"/>
      <c r="R46" s="20"/>
      <c r="S46" s="20"/>
    </row>
    <row r="47" spans="1:25" x14ac:dyDescent="0.25">
      <c r="A47" s="20"/>
      <c r="B47" s="20"/>
      <c r="C47" s="20"/>
      <c r="D47" s="20"/>
      <c r="E47" s="20"/>
      <c r="F47" s="20"/>
      <c r="G47" s="20"/>
      <c r="H47" s="20"/>
      <c r="I47" s="20"/>
      <c r="J47" s="20"/>
      <c r="K47" s="20"/>
      <c r="L47" s="20"/>
      <c r="M47" s="20"/>
      <c r="N47" s="20"/>
      <c r="O47" s="20"/>
      <c r="P47" s="20"/>
      <c r="Q47" s="20"/>
      <c r="R47" s="20"/>
      <c r="S47" s="20"/>
    </row>
    <row r="48" spans="1:25" x14ac:dyDescent="0.25">
      <c r="A48" s="20"/>
      <c r="B48" s="20"/>
      <c r="C48" s="20"/>
      <c r="D48" s="20"/>
      <c r="E48" s="20"/>
      <c r="F48" s="20"/>
      <c r="G48" s="20"/>
      <c r="H48" s="20"/>
      <c r="I48" s="20"/>
      <c r="J48" s="20"/>
      <c r="K48" s="20"/>
      <c r="L48" s="20"/>
      <c r="M48" s="20"/>
      <c r="N48" s="20"/>
      <c r="O48" s="20"/>
      <c r="P48" s="20"/>
      <c r="Q48" s="20"/>
      <c r="R48" s="20"/>
      <c r="S48" s="20"/>
    </row>
    <row r="49" spans="1:19" x14ac:dyDescent="0.25">
      <c r="A49" s="20"/>
      <c r="B49" s="20"/>
      <c r="C49" s="20"/>
      <c r="D49" s="20"/>
      <c r="E49" s="20"/>
      <c r="F49" s="20"/>
      <c r="G49" s="20"/>
      <c r="H49" s="20"/>
      <c r="I49" s="20"/>
      <c r="J49" s="20"/>
      <c r="K49" s="20"/>
      <c r="L49" s="20"/>
      <c r="M49" s="20"/>
      <c r="N49" s="20"/>
      <c r="O49" s="20"/>
      <c r="P49" s="20"/>
      <c r="Q49" s="20"/>
      <c r="R49" s="20"/>
      <c r="S49" s="20"/>
    </row>
    <row r="50" spans="1:19" x14ac:dyDescent="0.25">
      <c r="A50" s="20"/>
      <c r="B50" s="20"/>
      <c r="C50" s="20"/>
      <c r="D50" s="20"/>
      <c r="E50" s="20"/>
      <c r="F50" s="20"/>
      <c r="G50" s="20"/>
      <c r="H50" s="20"/>
      <c r="I50" s="20"/>
      <c r="J50" s="20"/>
      <c r="K50" s="20"/>
      <c r="L50" s="20"/>
      <c r="M50" s="20"/>
      <c r="N50" s="20"/>
      <c r="O50" s="20"/>
      <c r="P50" s="20"/>
      <c r="Q50" s="20"/>
      <c r="R50" s="20"/>
      <c r="S50" s="20"/>
    </row>
    <row r="51" spans="1:19" x14ac:dyDescent="0.25">
      <c r="A51" s="20"/>
      <c r="B51" s="20"/>
      <c r="C51" s="20"/>
      <c r="D51" s="20"/>
      <c r="E51" s="20"/>
      <c r="F51" s="20"/>
      <c r="G51" s="20"/>
      <c r="H51" s="20"/>
      <c r="I51" s="20"/>
      <c r="J51" s="20"/>
      <c r="K51" s="20"/>
      <c r="L51" s="20"/>
      <c r="M51" s="20"/>
      <c r="N51" s="20"/>
      <c r="O51" s="20"/>
      <c r="P51" s="20"/>
      <c r="Q51" s="20"/>
      <c r="R51" s="20"/>
      <c r="S51" s="20"/>
    </row>
    <row r="52" spans="1:19" x14ac:dyDescent="0.25">
      <c r="A52" s="20"/>
      <c r="B52" s="20"/>
      <c r="C52" s="20"/>
      <c r="D52" s="20"/>
      <c r="E52" s="20"/>
      <c r="F52" s="20"/>
      <c r="G52" s="20"/>
      <c r="H52" s="20"/>
      <c r="I52" s="20"/>
      <c r="J52" s="20"/>
      <c r="K52" s="20"/>
      <c r="L52" s="20"/>
      <c r="M52" s="20"/>
      <c r="N52" s="20"/>
      <c r="O52" s="20"/>
      <c r="P52" s="20"/>
      <c r="Q52" s="20"/>
      <c r="R52" s="20"/>
      <c r="S52" s="20"/>
    </row>
  </sheetData>
  <pageMargins left="0.7" right="0.7" top="0.75" bottom="0.75" header="0.3" footer="0.3"/>
  <customProperties>
    <customPr name="SSCSheetTrackingNo" r:id="rId1"/>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3"/>
  </sheetPr>
  <dimension ref="A1:A47"/>
  <sheetViews>
    <sheetView showGridLines="0" zoomScale="90" zoomScaleNormal="90" workbookViewId="0">
      <selection activeCell="H29" sqref="H29"/>
    </sheetView>
  </sheetViews>
  <sheetFormatPr defaultRowHeight="15" x14ac:dyDescent="0.25"/>
  <sheetData>
    <row r="1" spans="1:1" x14ac:dyDescent="0.25">
      <c r="A1" t="s">
        <v>16</v>
      </c>
    </row>
    <row r="2" spans="1:1" x14ac:dyDescent="0.25">
      <c r="A2" t="s">
        <v>17</v>
      </c>
    </row>
    <row r="3" spans="1:1" x14ac:dyDescent="0.25">
      <c r="A3" t="s">
        <v>18</v>
      </c>
    </row>
    <row r="4" spans="1:1" x14ac:dyDescent="0.25">
      <c r="A4" t="str">
        <f>CONCATENATE("check('",SUBSTITUTE(data_directory,"\","/"),FEmodel_name,".txt')")</f>
        <v>check('C:/WinBUGS data/Fixed Effect Model.txt')</v>
      </c>
    </row>
    <row r="5" spans="1:1" x14ac:dyDescent="0.25">
      <c r="A5" t="s">
        <v>19</v>
      </c>
    </row>
    <row r="6" spans="1:1" x14ac:dyDescent="0.25">
      <c r="A6" t="str">
        <f>CONCATENATE("data('",SUBSTITUTE(data_directory,"\","/"),datalist_name,".txt')")</f>
        <v>data('C:/WinBUGS data/Data List.txt')</v>
      </c>
    </row>
    <row r="7" spans="1:1" x14ac:dyDescent="0.25">
      <c r="A7" t="s">
        <v>75</v>
      </c>
    </row>
    <row r="8" spans="1:1" x14ac:dyDescent="0.25">
      <c r="A8" t="str">
        <f>CONCATENATE("data('",SUBSTITUTE(data_directory,"\","/"),data_name,".txt')")</f>
        <v>data('C:/WinBUGS data/Data Table.txt')</v>
      </c>
    </row>
    <row r="9" spans="1:1" x14ac:dyDescent="0.25">
      <c r="A9" t="s">
        <v>20</v>
      </c>
    </row>
    <row r="10" spans="1:1" x14ac:dyDescent="0.25">
      <c r="A10" t="s">
        <v>21</v>
      </c>
    </row>
    <row r="11" spans="1:1" x14ac:dyDescent="0.25">
      <c r="A11" t="s">
        <v>19</v>
      </c>
    </row>
    <row r="12" spans="1:1" x14ac:dyDescent="0.25">
      <c r="A12" t="str">
        <f>CONCATENATE("inits(1,'",SUBSTITUTE(data_directory,"\","/"),FEinits_name,"1.txt')")</f>
        <v>inits(1,'C:/WinBUGS data/Fixed Effect Inits1.txt')</v>
      </c>
    </row>
    <row r="13" spans="1:1" x14ac:dyDescent="0.25">
      <c r="A13" t="s">
        <v>19</v>
      </c>
    </row>
    <row r="14" spans="1:1" x14ac:dyDescent="0.25">
      <c r="A14" t="str">
        <f>CONCATENATE("inits(2,'",SUBSTITUTE(data_directory,"\","/"),FEinits_name,"2.txt')")</f>
        <v>inits(2,'C:/WinBUGS data/Fixed Effect Inits2.txt')</v>
      </c>
    </row>
    <row r="15" spans="1:1" x14ac:dyDescent="0.25">
      <c r="A15" t="s">
        <v>19</v>
      </c>
    </row>
    <row r="16" spans="1:1" x14ac:dyDescent="0.25">
      <c r="A16" t="str">
        <f>CONCATENATE("inits(3,'",SUBSTITUTE(data_directory,"\","/"),FEinits_name,"3.txt')")</f>
        <v>inits(3,'C:/WinBUGS data/Fixed Effect Inits3.txt')</v>
      </c>
    </row>
    <row r="17" spans="1:1" x14ac:dyDescent="0.25">
      <c r="A17" t="s">
        <v>22</v>
      </c>
    </row>
    <row r="18" spans="1:1" x14ac:dyDescent="0.25">
      <c r="A18" t="s">
        <v>23</v>
      </c>
    </row>
    <row r="19" spans="1:1" x14ac:dyDescent="0.25">
      <c r="A19" t="s">
        <v>24</v>
      </c>
    </row>
    <row r="20" spans="1:1" x14ac:dyDescent="0.25">
      <c r="A20" t="str">
        <f>IF(auto_run,CONCATENATE("update(",burn_in,")"),"")</f>
        <v>update(10000)</v>
      </c>
    </row>
    <row r="21" spans="1:1" x14ac:dyDescent="0.25">
      <c r="A21" t="s">
        <v>25</v>
      </c>
    </row>
    <row r="22" spans="1:1" x14ac:dyDescent="0.25">
      <c r="A22" t="str">
        <f>IF(auto_run,IF(DIC,"dic.set()",""),"")</f>
        <v>dic.set()</v>
      </c>
    </row>
    <row r="23" spans="1:1" x14ac:dyDescent="0.25">
      <c r="A23" t="str">
        <f>IF(auto_run,IF(rank,"set(rk)",""),"")</f>
        <v>set(rk)</v>
      </c>
    </row>
    <row r="24" spans="1:1" x14ac:dyDescent="0.25">
      <c r="A24" t="str">
        <f>IF(auto_run,IF(best,"set(best)",""),"")</f>
        <v>set(best)</v>
      </c>
    </row>
    <row r="25" spans="1:1" x14ac:dyDescent="0.25">
      <c r="A25" t="str">
        <f>IF(auto_run,IF(monitor_or,"set(OR)",""),"")</f>
        <v>set(OR)</v>
      </c>
    </row>
    <row r="26" spans="1:1" x14ac:dyDescent="0.25">
      <c r="A26" t="str">
        <f>IF(auto_run,IF(prob,"set(prob)",""),"")</f>
        <v>set(prob)</v>
      </c>
    </row>
    <row r="27" spans="1:1" x14ac:dyDescent="0.25">
      <c r="A27" t="str">
        <f>IF(auto_run,IF(monitor_resdev,"set(resdev)",""),"")</f>
        <v>set(resdev)</v>
      </c>
    </row>
    <row r="28" spans="1:1" x14ac:dyDescent="0.25">
      <c r="A28" t="s">
        <v>199</v>
      </c>
    </row>
    <row r="29" spans="1:1" x14ac:dyDescent="0.25">
      <c r="A29" t="str">
        <f>IF(auto_run,IF(monitor_rd,"set(RD)",""),"")</f>
        <v/>
      </c>
    </row>
    <row r="30" spans="1:1" x14ac:dyDescent="0.25">
      <c r="A30" t="str">
        <f>IF(auto_run,IF(monitor_nnt,"set(NNT)",""),"")</f>
        <v/>
      </c>
    </row>
    <row r="31" spans="1:1" x14ac:dyDescent="0.25">
      <c r="A31" t="str">
        <f>IF(auto_run,IF(monitor_SUCRA,"set(SUCRA)",""),"")</f>
        <v>set(SUCRA)</v>
      </c>
    </row>
    <row r="34" spans="1:1" x14ac:dyDescent="0.25">
      <c r="A34" t="s">
        <v>197</v>
      </c>
    </row>
    <row r="35" spans="1:1" x14ac:dyDescent="0.25">
      <c r="A35" t="s">
        <v>26</v>
      </c>
    </row>
    <row r="36" spans="1:1" x14ac:dyDescent="0.25">
      <c r="A36" t="str">
        <f>IF(auto_run,CONCATENATE("update(",model_runs,")"),"")</f>
        <v>update(10000)</v>
      </c>
    </row>
    <row r="37" spans="1:1" x14ac:dyDescent="0.25">
      <c r="A37" t="s">
        <v>73</v>
      </c>
    </row>
    <row r="38" spans="1:1" x14ac:dyDescent="0.25">
      <c r="A38" t="str">
        <f>IF(auto_run,"stats(*)","")</f>
        <v>stats(*)</v>
      </c>
    </row>
    <row r="39" spans="1:1" x14ac:dyDescent="0.25">
      <c r="A39" t="str">
        <f>IF(auto_run,IF(DIC,"dic.stats()",""),"")</f>
        <v>dic.stats()</v>
      </c>
    </row>
    <row r="40" spans="1:1" x14ac:dyDescent="0.25">
      <c r="A40" t="str">
        <f>IF(auto_run,IF(gr_or,"gr(OR)",""),"")</f>
        <v>gr(OR)</v>
      </c>
    </row>
    <row r="41" spans="1:1" x14ac:dyDescent="0.25">
      <c r="A41" t="str">
        <f>IF(auto_run,IF(trace_or,"trace(OR)",""),"")</f>
        <v>trace(OR)</v>
      </c>
    </row>
    <row r="42" spans="1:1" x14ac:dyDescent="0.25">
      <c r="A42" t="str">
        <f>IF(auto_run,IF(gr_rr,"gr(RR)",""),"")</f>
        <v/>
      </c>
    </row>
    <row r="43" spans="1:1" x14ac:dyDescent="0.25">
      <c r="A43" t="str">
        <f>IF(auto_run,IF(trace_rr,"trace(RR)",""),"")</f>
        <v/>
      </c>
    </row>
    <row r="44" spans="1:1" x14ac:dyDescent="0.25">
      <c r="A44" t="s">
        <v>74</v>
      </c>
    </row>
    <row r="45" spans="1:1" x14ac:dyDescent="0.25">
      <c r="A45" t="str">
        <f ca="1">IF(auto_run,CONCATENATE("save('",SUBSTITUTE(results_directory,"\","/"),FEresults_name,TEXT(date_time," m d yyyy h mm ss AM/PM"),".txt')"),"")</f>
        <v>save('C:/WinBUGS Results/Fixed Effect Results 1 16 2018 3 58 53 PM.txt')</v>
      </c>
    </row>
    <row r="46" spans="1:1" x14ac:dyDescent="0.25">
      <c r="A46" t="str">
        <f ca="1">IF(auto_run,CONCATENATE("save('",SUBSTITUTE(results_directory,"\","/"),FEresults_name,TEXT(date_time," m d yyyy h mm ss AM/PM"),".odc')"),"")</f>
        <v>save('C:/WinBUGS Results/Fixed Effect Results 1 16 2018 3 58 53 PM.odc')</v>
      </c>
    </row>
    <row r="47" spans="1:1" x14ac:dyDescent="0.25">
      <c r="A47" t="str">
        <f>IF(auto_run,"quit()","")</f>
        <v>quit()</v>
      </c>
    </row>
  </sheetData>
  <pageMargins left="0.7" right="0.7" top="0.75" bottom="0.75" header="0.3" footer="0.3"/>
  <customProperties>
    <customPr name="SSCSheetTrackingNo" r:id="rId1"/>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3"/>
  </sheetPr>
  <dimension ref="A1:A47"/>
  <sheetViews>
    <sheetView showGridLines="0" zoomScale="90" zoomScaleNormal="90" workbookViewId="0">
      <selection activeCell="A32" sqref="A32"/>
    </sheetView>
  </sheetViews>
  <sheetFormatPr defaultRowHeight="15" x14ac:dyDescent="0.25"/>
  <sheetData>
    <row r="1" spans="1:1" x14ac:dyDescent="0.25">
      <c r="A1" t="s">
        <v>16</v>
      </c>
    </row>
    <row r="2" spans="1:1" x14ac:dyDescent="0.25">
      <c r="A2" t="s">
        <v>17</v>
      </c>
    </row>
    <row r="3" spans="1:1" x14ac:dyDescent="0.25">
      <c r="A3" t="s">
        <v>18</v>
      </c>
    </row>
    <row r="4" spans="1:1" x14ac:dyDescent="0.25">
      <c r="A4" t="str">
        <f>CONCATENATE("check('",SUBSTITUTE(data_directory,"\","/"),REmodel_name,".txt')")</f>
        <v>check('C:/WinBUGS data/Random Effect Model (Vague).txt')</v>
      </c>
    </row>
    <row r="5" spans="1:1" x14ac:dyDescent="0.25">
      <c r="A5" t="s">
        <v>19</v>
      </c>
    </row>
    <row r="6" spans="1:1" x14ac:dyDescent="0.25">
      <c r="A6" t="str">
        <f>CONCATENATE("data('",SUBSTITUTE(data_directory,"\","/"),datalist_name,".txt')")</f>
        <v>data('C:/WinBUGS data/Data List.txt')</v>
      </c>
    </row>
    <row r="7" spans="1:1" x14ac:dyDescent="0.25">
      <c r="A7" t="s">
        <v>75</v>
      </c>
    </row>
    <row r="8" spans="1:1" x14ac:dyDescent="0.25">
      <c r="A8" t="str">
        <f>CONCATENATE("data('",SUBSTITUTE(data_directory,"\","/"),data_name,".txt')")</f>
        <v>data('C:/WinBUGS data/Data Table.txt')</v>
      </c>
    </row>
    <row r="9" spans="1:1" x14ac:dyDescent="0.25">
      <c r="A9" t="s">
        <v>20</v>
      </c>
    </row>
    <row r="10" spans="1:1" x14ac:dyDescent="0.25">
      <c r="A10" t="s">
        <v>21</v>
      </c>
    </row>
    <row r="11" spans="1:1" x14ac:dyDescent="0.25">
      <c r="A11" t="s">
        <v>19</v>
      </c>
    </row>
    <row r="12" spans="1:1" x14ac:dyDescent="0.25">
      <c r="A12" t="str">
        <f>CONCATENATE("inits(1,'",SUBSTITUTE(data_directory,"\","/"),REinits_name,"1.txt')")</f>
        <v>inits(1,'C:/WinBUGS data/Random Effect Inits (Vague)1.txt')</v>
      </c>
    </row>
    <row r="13" spans="1:1" x14ac:dyDescent="0.25">
      <c r="A13" t="s">
        <v>19</v>
      </c>
    </row>
    <row r="14" spans="1:1" x14ac:dyDescent="0.25">
      <c r="A14" t="str">
        <f>CONCATENATE("inits(2,'",SUBSTITUTE(data_directory,"\","/"),REinits_name,"2.txt')")</f>
        <v>inits(2,'C:/WinBUGS data/Random Effect Inits (Vague)2.txt')</v>
      </c>
    </row>
    <row r="15" spans="1:1" x14ac:dyDescent="0.25">
      <c r="A15" t="s">
        <v>19</v>
      </c>
    </row>
    <row r="16" spans="1:1" x14ac:dyDescent="0.25">
      <c r="A16" t="str">
        <f>CONCATENATE("inits(3,'",SUBSTITUTE(data_directory,"\","/"),REinits_name,"3.txt')")</f>
        <v>inits(3,'C:/WinBUGS data/Random Effect Inits (Vague)3.txt')</v>
      </c>
    </row>
    <row r="17" spans="1:1" x14ac:dyDescent="0.25">
      <c r="A17" t="s">
        <v>22</v>
      </c>
    </row>
    <row r="18" spans="1:1" x14ac:dyDescent="0.25">
      <c r="A18" t="s">
        <v>23</v>
      </c>
    </row>
    <row r="19" spans="1:1" x14ac:dyDescent="0.25">
      <c r="A19" t="s">
        <v>24</v>
      </c>
    </row>
    <row r="20" spans="1:1" x14ac:dyDescent="0.25">
      <c r="A20" t="str">
        <f>IF(auto_run,CONCATENATE("update(",burn_in,")"),"")</f>
        <v>update(10000)</v>
      </c>
    </row>
    <row r="21" spans="1:1" x14ac:dyDescent="0.25">
      <c r="A21" t="s">
        <v>25</v>
      </c>
    </row>
    <row r="22" spans="1:1" x14ac:dyDescent="0.25">
      <c r="A22" t="str">
        <f>IF(auto_run,IF(DIC,"dic.set()",""),"")</f>
        <v>dic.set()</v>
      </c>
    </row>
    <row r="23" spans="1:1" x14ac:dyDescent="0.25">
      <c r="A23" t="str">
        <f>IF(auto_run,IF(rank,"set(rk)",""),"")</f>
        <v>set(rk)</v>
      </c>
    </row>
    <row r="24" spans="1:1" x14ac:dyDescent="0.25">
      <c r="A24" t="str">
        <f>IF(auto_run,IF(best,"set(best)",""),"")</f>
        <v>set(best)</v>
      </c>
    </row>
    <row r="25" spans="1:1" x14ac:dyDescent="0.25">
      <c r="A25" t="str">
        <f>IF(auto_run,IF(monitor_or,"set(OR)",""),"")</f>
        <v>set(OR)</v>
      </c>
    </row>
    <row r="26" spans="1:1" x14ac:dyDescent="0.25">
      <c r="A26" t="str">
        <f>IF(auto_run,IF(prob,"set(prob)",""),"")</f>
        <v>set(prob)</v>
      </c>
    </row>
    <row r="27" spans="1:1" x14ac:dyDescent="0.25">
      <c r="A27" t="str">
        <f>IF(auto_run,IF(monitor_resdev,"set(resdev)",""),"")</f>
        <v>set(resdev)</v>
      </c>
    </row>
    <row r="28" spans="1:1" x14ac:dyDescent="0.25">
      <c r="A28" t="str">
        <f>IF(auto_run,IF(monitor_rr,"set(RR)",""),"")</f>
        <v/>
      </c>
    </row>
    <row r="29" spans="1:1" x14ac:dyDescent="0.25">
      <c r="A29" t="str">
        <f>IF(auto_run,IF(monitor_rd,"set(RD)",""),"")</f>
        <v/>
      </c>
    </row>
    <row r="30" spans="1:1" x14ac:dyDescent="0.25">
      <c r="A30" t="str">
        <f>IF(auto_run,IF(monitor_nnt,"set(NNT)",""),"")</f>
        <v/>
      </c>
    </row>
    <row r="31" spans="1:1" x14ac:dyDescent="0.25">
      <c r="A31" t="str">
        <f>IF(auto_run,IF(monitor_SUCRA,"set(SUCRA)",""),"")</f>
        <v>set(SUCRA)</v>
      </c>
    </row>
    <row r="32" spans="1:1" x14ac:dyDescent="0.25">
      <c r="A32" t="s">
        <v>197</v>
      </c>
    </row>
    <row r="33" spans="1:1" x14ac:dyDescent="0.25">
      <c r="A33" t="s">
        <v>199</v>
      </c>
    </row>
    <row r="34" spans="1:1" x14ac:dyDescent="0.25">
      <c r="A34" t="s">
        <v>261</v>
      </c>
    </row>
    <row r="35" spans="1:1" x14ac:dyDescent="0.25">
      <c r="A35" t="s">
        <v>26</v>
      </c>
    </row>
    <row r="36" spans="1:1" x14ac:dyDescent="0.25">
      <c r="A36" t="str">
        <f>IF(auto_run,CONCATENATE("update(",model_runs,")"),"")</f>
        <v>update(10000)</v>
      </c>
    </row>
    <row r="37" spans="1:1" x14ac:dyDescent="0.25">
      <c r="A37" t="s">
        <v>73</v>
      </c>
    </row>
    <row r="38" spans="1:1" x14ac:dyDescent="0.25">
      <c r="A38" t="str">
        <f>IF(auto_run,"stats(*)","")</f>
        <v>stats(*)</v>
      </c>
    </row>
    <row r="39" spans="1:1" x14ac:dyDescent="0.25">
      <c r="A39" t="str">
        <f>IF(auto_run,IF(DIC,"dic.stats()",""),"")</f>
        <v>dic.stats()</v>
      </c>
    </row>
    <row r="40" spans="1:1" x14ac:dyDescent="0.25">
      <c r="A40" t="str">
        <f>IF(auto_run,IF(gr_or,"gr(OR)",""),"")</f>
        <v>gr(OR)</v>
      </c>
    </row>
    <row r="41" spans="1:1" x14ac:dyDescent="0.25">
      <c r="A41" t="str">
        <f>IF(auto_run,IF(trace_or,"trace(OR)",""),"")</f>
        <v>trace(OR)</v>
      </c>
    </row>
    <row r="42" spans="1:1" x14ac:dyDescent="0.25">
      <c r="A42" t="str">
        <f>IF(auto_run,IF(gr_rr,"gr(RR)",""),"")</f>
        <v/>
      </c>
    </row>
    <row r="43" spans="1:1" x14ac:dyDescent="0.25">
      <c r="A43" t="str">
        <f>IF(auto_run,IF(trace_rr,"trace(RR)",""),"")</f>
        <v/>
      </c>
    </row>
    <row r="44" spans="1:1" x14ac:dyDescent="0.25">
      <c r="A44" t="s">
        <v>74</v>
      </c>
    </row>
    <row r="45" spans="1:1" x14ac:dyDescent="0.25">
      <c r="A45" t="str">
        <f ca="1">IF(auto_run,CONCATENATE("save('",SUBSTITUTE(results_directory,"\","/"),REresults_name,TEXT(date_time," m d yyyy h mm ss AM/PM"),".txt')"),"")</f>
        <v>save('C:/WinBUGS Results/Random Effect Results (Vague ) 1 16 2018 3 58 53 PM.txt')</v>
      </c>
    </row>
    <row r="46" spans="1:1" x14ac:dyDescent="0.25">
      <c r="A46" t="str">
        <f ca="1">IF(auto_run,CONCATENATE("save('",SUBSTITUTE(results_directory,"\","/"),REresults_name,TEXT(date_time," m d yyyy h mm ss AM/PM"),".odc')"),"")</f>
        <v>save('C:/WinBUGS Results/Random Effect Results (Vague ) 1 16 2018 3 58 53 PM.odc')</v>
      </c>
    </row>
    <row r="47" spans="1:1" x14ac:dyDescent="0.25">
      <c r="A47" t="str">
        <f>IF(auto_run,"quit()","")</f>
        <v>quit()</v>
      </c>
    </row>
  </sheetData>
  <pageMargins left="0.7" right="0.7" top="0.75" bottom="0.75" header="0.3" footer="0.3"/>
  <customProperties>
    <customPr name="SSCSheetTrackingNo" r:id="rId1"/>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3"/>
  </sheetPr>
  <dimension ref="A1:A33"/>
  <sheetViews>
    <sheetView showGridLines="0" zoomScale="90" zoomScaleNormal="90" workbookViewId="0">
      <selection activeCell="U46" sqref="U46"/>
    </sheetView>
  </sheetViews>
  <sheetFormatPr defaultRowHeight="15" x14ac:dyDescent="0.25"/>
  <sheetData>
    <row r="1" spans="1:1" x14ac:dyDescent="0.25">
      <c r="A1" t="s">
        <v>16</v>
      </c>
    </row>
    <row r="2" spans="1:1" x14ac:dyDescent="0.25">
      <c r="A2" t="s">
        <v>17</v>
      </c>
    </row>
    <row r="3" spans="1:1" x14ac:dyDescent="0.25">
      <c r="A3" t="s">
        <v>18</v>
      </c>
    </row>
    <row r="4" spans="1:1" x14ac:dyDescent="0.25">
      <c r="A4" t="str">
        <f>CONCATENATE("check('",SUBSTITUTE(data_directory,"\","/"),"Inconsistency ",FEmodel_name,".txt')")</f>
        <v>check('C:/WinBUGS data/Inconsistency Fixed Effect Model.txt')</v>
      </c>
    </row>
    <row r="5" spans="1:1" x14ac:dyDescent="0.25">
      <c r="A5" t="s">
        <v>19</v>
      </c>
    </row>
    <row r="6" spans="1:1" x14ac:dyDescent="0.25">
      <c r="A6" t="str">
        <f>CONCATENATE("data('",SUBSTITUTE(data_directory,"\","/"),"Inconsistency ",datalist_name,".txt')")</f>
        <v>data('C:/WinBUGS data/Inconsistency Data List.txt')</v>
      </c>
    </row>
    <row r="7" spans="1:1" x14ac:dyDescent="0.25">
      <c r="A7" t="s">
        <v>75</v>
      </c>
    </row>
    <row r="8" spans="1:1" x14ac:dyDescent="0.25">
      <c r="A8" t="str">
        <f>CONCATENATE("data('",SUBSTITUTE(data_directory,"\","/"),"Inconsistency ",data_name,".txt')")</f>
        <v>data('C:/WinBUGS data/Inconsistency Data Table.txt')</v>
      </c>
    </row>
    <row r="9" spans="1:1" x14ac:dyDescent="0.25">
      <c r="A9" t="s">
        <v>20</v>
      </c>
    </row>
    <row r="10" spans="1:1" x14ac:dyDescent="0.25">
      <c r="A10" t="s">
        <v>21</v>
      </c>
    </row>
    <row r="11" spans="1:1" x14ac:dyDescent="0.25">
      <c r="A11" t="s">
        <v>19</v>
      </c>
    </row>
    <row r="12" spans="1:1" x14ac:dyDescent="0.25">
      <c r="A12" t="str">
        <f>CONCATENATE("inits(1,'",SUBSTITUTE(data_directory,"\","/"),"Inconsistency ",FEinits_name,"1.txt')")</f>
        <v>inits(1,'C:/WinBUGS data/Inconsistency Fixed Effect Inits1.txt')</v>
      </c>
    </row>
    <row r="13" spans="1:1" x14ac:dyDescent="0.25">
      <c r="A13" t="s">
        <v>19</v>
      </c>
    </row>
    <row r="14" spans="1:1" x14ac:dyDescent="0.25">
      <c r="A14" t="str">
        <f>CONCATENATE("inits(2,'",SUBSTITUTE(data_directory,"\","/"),"Inconsistency ",FEinits_name,"2.txt')")</f>
        <v>inits(2,'C:/WinBUGS data/Inconsistency Fixed Effect Inits2.txt')</v>
      </c>
    </row>
    <row r="15" spans="1:1" x14ac:dyDescent="0.25">
      <c r="A15" t="s">
        <v>19</v>
      </c>
    </row>
    <row r="16" spans="1:1" x14ac:dyDescent="0.25">
      <c r="A16" t="str">
        <f>CONCATENATE("inits(3,'",SUBSTITUTE(data_directory,"\","/"),"Inconsistency ",FEinits_name,"3.txt')")</f>
        <v>inits(3,'C:/WinBUGS data/Inconsistency Fixed Effect Inits3.txt')</v>
      </c>
    </row>
    <row r="17" spans="1:1" x14ac:dyDescent="0.25">
      <c r="A17" t="s">
        <v>22</v>
      </c>
    </row>
    <row r="18" spans="1:1" x14ac:dyDescent="0.25">
      <c r="A18" t="s">
        <v>23</v>
      </c>
    </row>
    <row r="19" spans="1:1" x14ac:dyDescent="0.25">
      <c r="A19" t="s">
        <v>24</v>
      </c>
    </row>
    <row r="20" spans="1:1" x14ac:dyDescent="0.25">
      <c r="A20" t="str">
        <f>IF(auto_run,CONCATENATE("update(",burn_in,")"),"")</f>
        <v>update(10000)</v>
      </c>
    </row>
    <row r="21" spans="1:1" x14ac:dyDescent="0.25">
      <c r="A21" t="s">
        <v>25</v>
      </c>
    </row>
    <row r="22" spans="1:1" x14ac:dyDescent="0.25">
      <c r="A22" t="s">
        <v>197</v>
      </c>
    </row>
    <row r="23" spans="1:1" x14ac:dyDescent="0.25">
      <c r="A23" t="s">
        <v>198</v>
      </c>
    </row>
    <row r="24" spans="1:1" x14ac:dyDescent="0.25">
      <c r="A24" t="s">
        <v>199</v>
      </c>
    </row>
    <row r="25" spans="1:1" x14ac:dyDescent="0.25">
      <c r="A25" t="str">
        <f>IF(auto_run,IF(DIC,"dic.set()",""),"")</f>
        <v>dic.set()</v>
      </c>
    </row>
    <row r="26" spans="1:1" x14ac:dyDescent="0.25">
      <c r="A26" t="s">
        <v>26</v>
      </c>
    </row>
    <row r="27" spans="1:1" x14ac:dyDescent="0.25">
      <c r="A27" t="str">
        <f>IF(auto_run,CONCATENATE("update(",model_runs,")"),"")</f>
        <v>update(10000)</v>
      </c>
    </row>
    <row r="28" spans="1:1" x14ac:dyDescent="0.25">
      <c r="A28" t="s">
        <v>73</v>
      </c>
    </row>
    <row r="29" spans="1:1" x14ac:dyDescent="0.25">
      <c r="A29" t="str">
        <f>IF(auto_run,"stats(*)","")</f>
        <v>stats(*)</v>
      </c>
    </row>
    <row r="30" spans="1:1" x14ac:dyDescent="0.25">
      <c r="A30" t="s">
        <v>74</v>
      </c>
    </row>
    <row r="31" spans="1:1" x14ac:dyDescent="0.25">
      <c r="A31" t="str">
        <f ca="1">IF(auto_run,CONCATENATE("save('",SUBSTITUTE(results_directory,"\","/"),"Inconsistency ",FEresults_name,TEXT(date_time," m d yyyy h mm ss AM/PM"),".txt')"),"")</f>
        <v>save('C:/WinBUGS Results/Inconsistency Fixed Effect Results 1 16 2018 3 58 53 PM.txt')</v>
      </c>
    </row>
    <row r="32" spans="1:1" x14ac:dyDescent="0.25">
      <c r="A32" t="str">
        <f ca="1">IF(auto_run,CONCATENATE("save('",SUBSTITUTE(results_directory,"\","/"),"Inconsistency ",FEresults_name,TEXT(date_time," m d yyyy h mm ss AM/PM"),".odc')"),"")</f>
        <v>save('C:/WinBUGS Results/Inconsistency Fixed Effect Results 1 16 2018 3 58 53 PM.odc')</v>
      </c>
    </row>
    <row r="33" spans="1:1" x14ac:dyDescent="0.25">
      <c r="A33" t="s">
        <v>206</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3"/>
  </sheetPr>
  <dimension ref="A1:A32"/>
  <sheetViews>
    <sheetView showGridLines="0" zoomScale="90" zoomScaleNormal="90" workbookViewId="0"/>
  </sheetViews>
  <sheetFormatPr defaultRowHeight="15" x14ac:dyDescent="0.25"/>
  <sheetData>
    <row r="1" spans="1:1" x14ac:dyDescent="0.25">
      <c r="A1" t="s">
        <v>16</v>
      </c>
    </row>
    <row r="2" spans="1:1" x14ac:dyDescent="0.25">
      <c r="A2" t="s">
        <v>17</v>
      </c>
    </row>
    <row r="3" spans="1:1" x14ac:dyDescent="0.25">
      <c r="A3" t="s">
        <v>18</v>
      </c>
    </row>
    <row r="4" spans="1:1" x14ac:dyDescent="0.25">
      <c r="A4" t="str">
        <f>CONCATENATE("check('",SUBSTITUTE(data_directory,"\","/"),"Inconsistency ",REmodel_name,".txt')")</f>
        <v>check('C:/WinBUGS data/Inconsistency Random Effect Model (Vague).txt')</v>
      </c>
    </row>
    <row r="5" spans="1:1" x14ac:dyDescent="0.25">
      <c r="A5" t="s">
        <v>19</v>
      </c>
    </row>
    <row r="6" spans="1:1" x14ac:dyDescent="0.25">
      <c r="A6" t="str">
        <f>CONCATENATE("data('",SUBSTITUTE(data_directory,"\","/"),"Inconsistency ",datalist_name,".txt')")</f>
        <v>data('C:/WinBUGS data/Inconsistency Data List.txt')</v>
      </c>
    </row>
    <row r="7" spans="1:1" x14ac:dyDescent="0.25">
      <c r="A7" t="s">
        <v>19</v>
      </c>
    </row>
    <row r="8" spans="1:1" x14ac:dyDescent="0.25">
      <c r="A8" t="str">
        <f>CONCATENATE("data('",SUBSTITUTE(data_directory,"\","/"),"Inconsistency ",data_name,".txt')")</f>
        <v>data('C:/WinBUGS data/Inconsistency Data Table.txt')</v>
      </c>
    </row>
    <row r="9" spans="1:1" x14ac:dyDescent="0.25">
      <c r="A9" t="s">
        <v>20</v>
      </c>
    </row>
    <row r="10" spans="1:1" x14ac:dyDescent="0.25">
      <c r="A10" t="s">
        <v>21</v>
      </c>
    </row>
    <row r="11" spans="1:1" x14ac:dyDescent="0.25">
      <c r="A11" t="s">
        <v>19</v>
      </c>
    </row>
    <row r="12" spans="1:1" x14ac:dyDescent="0.25">
      <c r="A12" t="str">
        <f>CONCATENATE("inits(1,'",SUBSTITUTE(data_directory,"\","/"),"Inconsistency ",REinits_name,"1.txt')")</f>
        <v>inits(1,'C:/WinBUGS data/Inconsistency Random Effect Inits (Vague)1.txt')</v>
      </c>
    </row>
    <row r="13" spans="1:1" x14ac:dyDescent="0.25">
      <c r="A13" t="s">
        <v>19</v>
      </c>
    </row>
    <row r="14" spans="1:1" x14ac:dyDescent="0.25">
      <c r="A14" t="str">
        <f>CONCATENATE("inits(2,'",SUBSTITUTE(data_directory,"\","/"),"Inconsistency ",REinits_name,"2.txt')")</f>
        <v>inits(2,'C:/WinBUGS data/Inconsistency Random Effect Inits (Vague)2.txt')</v>
      </c>
    </row>
    <row r="15" spans="1:1" x14ac:dyDescent="0.25">
      <c r="A15" t="s">
        <v>19</v>
      </c>
    </row>
    <row r="16" spans="1:1" x14ac:dyDescent="0.25">
      <c r="A16" t="str">
        <f>CONCATENATE("inits(3,'",SUBSTITUTE(data_directory,"\","/"),"Inconsistency ",REinits_name,"3.txt')")</f>
        <v>inits(3,'C:/WinBUGS data/Inconsistency Random Effect Inits (Vague)3.txt')</v>
      </c>
    </row>
    <row r="17" spans="1:1" x14ac:dyDescent="0.25">
      <c r="A17" t="s">
        <v>22</v>
      </c>
    </row>
    <row r="18" spans="1:1" x14ac:dyDescent="0.25">
      <c r="A18" t="s">
        <v>23</v>
      </c>
    </row>
    <row r="19" spans="1:1" x14ac:dyDescent="0.25">
      <c r="A19" t="s">
        <v>24</v>
      </c>
    </row>
    <row r="20" spans="1:1" x14ac:dyDescent="0.25">
      <c r="A20" t="str">
        <f>IF(auto_run,CONCATENATE("update(",burn_in,")"),"")</f>
        <v>update(10000)</v>
      </c>
    </row>
    <row r="21" spans="1:1" x14ac:dyDescent="0.25">
      <c r="A21" t="s">
        <v>25</v>
      </c>
    </row>
    <row r="22" spans="1:1" x14ac:dyDescent="0.25">
      <c r="A22" t="s">
        <v>197</v>
      </c>
    </row>
    <row r="23" spans="1:1" x14ac:dyDescent="0.25">
      <c r="A23" t="s">
        <v>198</v>
      </c>
    </row>
    <row r="24" spans="1:1" x14ac:dyDescent="0.25">
      <c r="A24" t="s">
        <v>199</v>
      </c>
    </row>
    <row r="25" spans="1:1" x14ac:dyDescent="0.25">
      <c r="A25" t="s">
        <v>26</v>
      </c>
    </row>
    <row r="26" spans="1:1" x14ac:dyDescent="0.25">
      <c r="A26" t="str">
        <f>IF(auto_run,CONCATENATE("update(",model_runs,")"),"")</f>
        <v>update(10000)</v>
      </c>
    </row>
    <row r="27" spans="1:1" x14ac:dyDescent="0.25">
      <c r="A27" t="s">
        <v>73</v>
      </c>
    </row>
    <row r="28" spans="1:1" x14ac:dyDescent="0.25">
      <c r="A28" t="str">
        <f>IF(auto_run,"stats(*)","")</f>
        <v>stats(*)</v>
      </c>
    </row>
    <row r="29" spans="1:1" x14ac:dyDescent="0.25">
      <c r="A29" t="s">
        <v>74</v>
      </c>
    </row>
    <row r="30" spans="1:1" x14ac:dyDescent="0.25">
      <c r="A30" t="str">
        <f ca="1">IF(auto_run,CONCATENATE("save('",SUBSTITUTE(results_directory,"\","/"),"Inconsistency ",REresults_name,TEXT(date_time," m d yyyy h mm ss AM/PM"),".txt')"),"")</f>
        <v>save('C:/WinBUGS Results/Inconsistency Random Effect Results (Vague ) 1 16 2018 3 58 53 PM.txt')</v>
      </c>
    </row>
    <row r="31" spans="1:1" x14ac:dyDescent="0.25">
      <c r="A31" t="str">
        <f ca="1">IF(auto_run,CONCATENATE("save('",SUBSTITUTE(results_directory,"\","/"),"Inconsistency ",REresults_name,TEXT(date_time," m d yyyy h mm ss AM/PM"),".odc')"),"")</f>
        <v>save('C:/WinBUGS Results/Inconsistency Random Effect Results (Vague ) 1 16 2018 3 58 53 PM.odc')</v>
      </c>
    </row>
    <row r="32" spans="1:1" x14ac:dyDescent="0.25">
      <c r="A32" t="s">
        <v>206</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3"/>
  </sheetPr>
  <dimension ref="A1:H60"/>
  <sheetViews>
    <sheetView showGridLines="0" topLeftCell="A12" zoomScale="90" zoomScaleNormal="90" workbookViewId="0">
      <selection activeCell="A26" sqref="A26:XFD34"/>
    </sheetView>
  </sheetViews>
  <sheetFormatPr defaultRowHeight="15" x14ac:dyDescent="0.25"/>
  <sheetData>
    <row r="1" spans="1:8" x14ac:dyDescent="0.25">
      <c r="A1" t="s">
        <v>27</v>
      </c>
      <c r="D1" t="s">
        <v>122</v>
      </c>
    </row>
    <row r="2" spans="1:8" x14ac:dyDescent="0.25">
      <c r="B2" t="s">
        <v>77</v>
      </c>
    </row>
    <row r="3" spans="1:8" x14ac:dyDescent="0.25">
      <c r="B3" t="s">
        <v>78</v>
      </c>
    </row>
    <row r="4" spans="1:8" x14ac:dyDescent="0.25">
      <c r="B4" t="s">
        <v>322</v>
      </c>
    </row>
    <row r="5" spans="1:8" x14ac:dyDescent="0.25">
      <c r="B5" t="s">
        <v>28</v>
      </c>
      <c r="G5" t="s">
        <v>325</v>
      </c>
    </row>
    <row r="6" spans="1:8" x14ac:dyDescent="0.25">
      <c r="B6" t="s">
        <v>79</v>
      </c>
      <c r="G6" t="s">
        <v>326</v>
      </c>
    </row>
    <row r="7" spans="1:8" x14ac:dyDescent="0.25">
      <c r="C7" t="s">
        <v>87</v>
      </c>
    </row>
    <row r="8" spans="1:8" x14ac:dyDescent="0.25">
      <c r="C8" t="s">
        <v>141</v>
      </c>
    </row>
    <row r="9" spans="1:8" x14ac:dyDescent="0.25">
      <c r="A9" t="s">
        <v>80</v>
      </c>
      <c r="C9" t="s">
        <v>316</v>
      </c>
      <c r="H9" t="s">
        <v>324</v>
      </c>
    </row>
    <row r="10" spans="1:8" x14ac:dyDescent="0.25">
      <c r="C10" t="s">
        <v>317</v>
      </c>
      <c r="H10" t="s">
        <v>323</v>
      </c>
    </row>
    <row r="11" spans="1:8" x14ac:dyDescent="0.25">
      <c r="C11" t="s">
        <v>328</v>
      </c>
    </row>
    <row r="12" spans="1:8" x14ac:dyDescent="0.25">
      <c r="C12" t="s">
        <v>327</v>
      </c>
    </row>
    <row r="13" spans="1:8" x14ac:dyDescent="0.25">
      <c r="C13" t="s">
        <v>29</v>
      </c>
    </row>
    <row r="14" spans="1:8" x14ac:dyDescent="0.25">
      <c r="B14" t="s">
        <v>321</v>
      </c>
      <c r="F14" t="s">
        <v>320</v>
      </c>
    </row>
    <row r="15" spans="1:8" x14ac:dyDescent="0.25">
      <c r="A15" t="s">
        <v>82</v>
      </c>
      <c r="B15" t="s">
        <v>83</v>
      </c>
    </row>
    <row r="16" spans="1:8" x14ac:dyDescent="0.25">
      <c r="B16" t="s">
        <v>329</v>
      </c>
    </row>
    <row r="18" spans="1:6" x14ac:dyDescent="0.25">
      <c r="B18" t="s">
        <v>31</v>
      </c>
    </row>
    <row r="20" spans="1:6" x14ac:dyDescent="0.25">
      <c r="B20" t="s">
        <v>84</v>
      </c>
    </row>
    <row r="21" spans="1:6" x14ac:dyDescent="0.25">
      <c r="B21" t="s">
        <v>81</v>
      </c>
    </row>
    <row r="22" spans="1:6" x14ac:dyDescent="0.25">
      <c r="C22" t="s">
        <v>85</v>
      </c>
    </row>
    <row r="23" spans="1:6" x14ac:dyDescent="0.25">
      <c r="B23" t="s">
        <v>86</v>
      </c>
    </row>
    <row r="25" spans="1:6" x14ac:dyDescent="0.25">
      <c r="A25" t="s">
        <v>82</v>
      </c>
    </row>
    <row r="26" spans="1:6" x14ac:dyDescent="0.25">
      <c r="B26" t="s">
        <v>76</v>
      </c>
    </row>
    <row r="27" spans="1:6" x14ac:dyDescent="0.25">
      <c r="B27" t="s">
        <v>88</v>
      </c>
    </row>
    <row r="28" spans="1:6" x14ac:dyDescent="0.25">
      <c r="B28" t="s">
        <v>87</v>
      </c>
    </row>
    <row r="29" spans="1:6" x14ac:dyDescent="0.25">
      <c r="C29" t="str">
        <f>IF(events_bad,"","rk[k]&lt;-NT+1-rank(d[],k)")</f>
        <v/>
      </c>
      <c r="F29" t="s">
        <v>156</v>
      </c>
    </row>
    <row r="30" spans="1:6" x14ac:dyDescent="0.25">
      <c r="C30" t="str">
        <f>IF(events_bad,"rk[k]&lt;- rank(d[],k)","")</f>
        <v>rk[k]&lt;- rank(d[],k)</v>
      </c>
      <c r="F30" t="s">
        <v>155</v>
      </c>
    </row>
    <row r="31" spans="1:6" x14ac:dyDescent="0.25">
      <c r="A31" t="s">
        <v>89</v>
      </c>
      <c r="C31" t="s">
        <v>132</v>
      </c>
    </row>
    <row r="33" spans="2:4" x14ac:dyDescent="0.25">
      <c r="C33" t="s">
        <v>90</v>
      </c>
    </row>
    <row r="34" spans="2:4" x14ac:dyDescent="0.25">
      <c r="C34" t="s">
        <v>81</v>
      </c>
    </row>
    <row r="35" spans="2:4" x14ac:dyDescent="0.25">
      <c r="D35" t="s">
        <v>255</v>
      </c>
    </row>
    <row r="36" spans="2:4" x14ac:dyDescent="0.25">
      <c r="C36" t="s">
        <v>30</v>
      </c>
    </row>
    <row r="37" spans="2:4" x14ac:dyDescent="0.25">
      <c r="B37" t="s">
        <v>30</v>
      </c>
    </row>
    <row r="38" spans="2:4" x14ac:dyDescent="0.25">
      <c r="B38" t="s">
        <v>88</v>
      </c>
    </row>
    <row r="39" spans="2:4" x14ac:dyDescent="0.25">
      <c r="B39" t="s">
        <v>87</v>
      </c>
    </row>
    <row r="40" spans="2:4" x14ac:dyDescent="0.25">
      <c r="C40" t="s">
        <v>90</v>
      </c>
    </row>
    <row r="41" spans="2:4" x14ac:dyDescent="0.25">
      <c r="C41" t="s">
        <v>81</v>
      </c>
    </row>
    <row r="42" spans="2:4" x14ac:dyDescent="0.25">
      <c r="D42" t="s">
        <v>254</v>
      </c>
    </row>
    <row r="43" spans="2:4" x14ac:dyDescent="0.25">
      <c r="C43" t="s">
        <v>30</v>
      </c>
    </row>
    <row r="44" spans="2:4" x14ac:dyDescent="0.25">
      <c r="B44" t="s">
        <v>30</v>
      </c>
    </row>
    <row r="45" spans="2:4" x14ac:dyDescent="0.25">
      <c r="B45" t="s">
        <v>143</v>
      </c>
    </row>
    <row r="46" spans="2:4" x14ac:dyDescent="0.25">
      <c r="B46" t="s">
        <v>81</v>
      </c>
    </row>
    <row r="47" spans="2:4" x14ac:dyDescent="0.25">
      <c r="B47" t="s">
        <v>142</v>
      </c>
    </row>
    <row r="48" spans="2:4" x14ac:dyDescent="0.25">
      <c r="B48" t="s">
        <v>30</v>
      </c>
    </row>
    <row r="50" spans="1:4" x14ac:dyDescent="0.25">
      <c r="B50" t="s">
        <v>350</v>
      </c>
    </row>
    <row r="51" spans="1:4" x14ac:dyDescent="0.25">
      <c r="B51" t="s">
        <v>91</v>
      </c>
    </row>
    <row r="52" spans="1:4" x14ac:dyDescent="0.25">
      <c r="B52" t="s">
        <v>92</v>
      </c>
    </row>
    <row r="53" spans="1:4" x14ac:dyDescent="0.25">
      <c r="C53" t="s">
        <v>93</v>
      </c>
    </row>
    <row r="54" spans="1:4" x14ac:dyDescent="0.25">
      <c r="C54" t="s">
        <v>87</v>
      </c>
    </row>
    <row r="55" spans="1:4" x14ac:dyDescent="0.25">
      <c r="D55" t="s">
        <v>108</v>
      </c>
    </row>
    <row r="56" spans="1:4" x14ac:dyDescent="0.25">
      <c r="D56" t="s">
        <v>113</v>
      </c>
    </row>
    <row r="57" spans="1:4" x14ac:dyDescent="0.25">
      <c r="C57" t="s">
        <v>94</v>
      </c>
    </row>
    <row r="58" spans="1:4" x14ac:dyDescent="0.25">
      <c r="B58" t="s">
        <v>30</v>
      </c>
    </row>
    <row r="60" spans="1:4" x14ac:dyDescent="0.25">
      <c r="A60" t="s">
        <v>30</v>
      </c>
      <c r="B60" t="s">
        <v>95</v>
      </c>
    </row>
  </sheetData>
  <pageMargins left="0.7" right="0.7" top="0.75" bottom="0.75" header="0.3" footer="0.3"/>
  <customProperties>
    <customPr name="SSCSheetTrackingNo" r:id="rId1"/>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T202"/>
  <sheetViews>
    <sheetView showGridLines="0" topLeftCell="D1" zoomScaleNormal="100" workbookViewId="0">
      <selection activeCell="E5" sqref="E5:L49"/>
    </sheetView>
  </sheetViews>
  <sheetFormatPr defaultRowHeight="15" x14ac:dyDescent="0.25"/>
  <cols>
    <col min="1" max="1" width="29" customWidth="1"/>
    <col min="2" max="2" width="12.5703125" style="54" customWidth="1"/>
    <col min="3" max="3" width="12.85546875" style="54" customWidth="1"/>
    <col min="4" max="4" width="19.140625" style="19" customWidth="1"/>
    <col min="5" max="5" width="11.42578125" style="19" customWidth="1"/>
    <col min="6" max="6" width="17.42578125" style="19" customWidth="1"/>
    <col min="7" max="7" width="49.140625" style="19" customWidth="1"/>
    <col min="8" max="8" width="22.85546875" style="19" customWidth="1"/>
    <col min="9" max="13" width="17.42578125" style="19" customWidth="1"/>
    <col min="14" max="14" width="28.140625" style="19" customWidth="1"/>
    <col min="15" max="15" width="43.140625" style="19" customWidth="1"/>
    <col min="19" max="19" width="12.85546875" customWidth="1"/>
    <col min="20" max="20" width="12.28515625" customWidth="1"/>
    <col min="243" max="243" width="9.140625" customWidth="1"/>
  </cols>
  <sheetData>
    <row r="1" spans="1:20" x14ac:dyDescent="0.25">
      <c r="A1" s="50" t="str">
        <f ca="1">RIGHT(CELL("filename",A1),LEN(CELL("filename",A1))-FIND("]",CELL("filename",A1)))</f>
        <v>Fixed Effects</v>
      </c>
      <c r="F1" s="57"/>
      <c r="G1" s="57"/>
      <c r="H1" s="57"/>
      <c r="I1" s="57"/>
      <c r="J1" s="57"/>
      <c r="K1" s="57"/>
      <c r="L1" s="57"/>
      <c r="M1" s="57"/>
    </row>
    <row r="2" spans="1:20" x14ac:dyDescent="0.25">
      <c r="F2" s="57"/>
      <c r="G2" s="57"/>
      <c r="H2" s="57"/>
      <c r="I2" s="57"/>
      <c r="J2" s="57"/>
      <c r="K2" s="57"/>
      <c r="L2" s="57"/>
      <c r="M2" s="57"/>
    </row>
    <row r="3" spans="1:20" x14ac:dyDescent="0.25">
      <c r="F3" s="278" t="str">
        <f>"Fixed Effects"</f>
        <v>Fixed Effects</v>
      </c>
      <c r="G3" s="278"/>
      <c r="H3" s="278"/>
      <c r="I3" s="278"/>
      <c r="J3" s="278"/>
      <c r="K3" s="278"/>
      <c r="L3" s="278"/>
      <c r="N3" s="278" t="str">
        <f>"Fixed Effects"</f>
        <v>Fixed Effects</v>
      </c>
      <c r="O3" s="278"/>
      <c r="P3" s="278"/>
      <c r="Q3" s="278"/>
      <c r="R3" s="278"/>
      <c r="S3" s="278"/>
      <c r="T3" s="278"/>
    </row>
    <row r="4" spans="1:20" ht="15.75" thickBot="1" x14ac:dyDescent="0.3">
      <c r="A4" s="103" t="s">
        <v>241</v>
      </c>
      <c r="B4" s="103" t="s">
        <v>242</v>
      </c>
      <c r="C4" s="103" t="s">
        <v>235</v>
      </c>
      <c r="E4" s="14" t="s">
        <v>236</v>
      </c>
      <c r="F4" s="14" t="s">
        <v>237</v>
      </c>
      <c r="G4" s="55" t="s">
        <v>109</v>
      </c>
      <c r="H4" s="58" t="s">
        <v>238</v>
      </c>
      <c r="I4" s="58" t="s">
        <v>111</v>
      </c>
      <c r="J4" s="58" t="s">
        <v>239</v>
      </c>
      <c r="K4" s="58" t="str">
        <f>$N$4 &amp;" (95% Cr.I.)"</f>
        <v>O.R. (95% Cr.I.)</v>
      </c>
      <c r="L4" s="58" t="str">
        <f>$N$4 &amp;" (95% Cr.I.)"</f>
        <v>O.R. (95% Cr.I.)</v>
      </c>
      <c r="N4" s="105" t="str">
        <f>IF(Forest="RR", "R.R","O.R.")</f>
        <v>O.R.</v>
      </c>
      <c r="O4" s="55" t="s">
        <v>109</v>
      </c>
      <c r="P4" s="58" t="s">
        <v>110</v>
      </c>
      <c r="Q4" s="58" t="s">
        <v>111</v>
      </c>
      <c r="R4" s="58" t="s">
        <v>112</v>
      </c>
      <c r="S4" s="58" t="s">
        <v>240</v>
      </c>
      <c r="T4" s="58" t="s">
        <v>237</v>
      </c>
    </row>
    <row r="5" spans="1:20" x14ac:dyDescent="0.25">
      <c r="B5" s="19"/>
      <c r="C5" s="19"/>
      <c r="F5" s="59"/>
      <c r="G5" s="54"/>
      <c r="H5" s="16"/>
      <c r="I5" s="16"/>
      <c r="J5" s="16"/>
      <c r="K5" s="59" t="str">
        <f t="shared" ref="K5:K49" si="0">CONCATENATE(TEXT(I5,"0.00")," (",TEXT(H5,"0.00")," – ",TEXT(J5,"0.00"),")")</f>
        <v>0.00 (0.00 – 0.00)</v>
      </c>
      <c r="L5" s="16" t="str">
        <f t="shared" ref="L5:L49" si="1">CONCATENATE(TEXT(I5,"0.00"),"
(",TEXT(H5,"0.00")," – ",TEXT(J5,"0.00"),")")</f>
        <v>0.00
(0.00 – 0.00)</v>
      </c>
      <c r="N5" s="59"/>
      <c r="O5" s="104"/>
    </row>
    <row r="6" spans="1:20" x14ac:dyDescent="0.25">
      <c r="K6" s="59" t="str">
        <f t="shared" si="0"/>
        <v>0.00 (0.00 – 0.00)</v>
      </c>
      <c r="L6" s="16" t="str">
        <f t="shared" si="1"/>
        <v>0.00
(0.00 – 0.00)</v>
      </c>
      <c r="N6" s="59"/>
      <c r="O6" s="16"/>
    </row>
    <row r="7" spans="1:20" x14ac:dyDescent="0.25">
      <c r="B7" s="19"/>
      <c r="C7" s="19"/>
      <c r="K7" s="59" t="str">
        <f t="shared" si="0"/>
        <v>0.00 (0.00 – 0.00)</v>
      </c>
      <c r="L7" s="16" t="str">
        <f t="shared" si="1"/>
        <v>0.00
(0.00 – 0.00)</v>
      </c>
      <c r="N7" s="59"/>
      <c r="O7" s="16"/>
    </row>
    <row r="8" spans="1:20" x14ac:dyDescent="0.25">
      <c r="B8" s="19"/>
      <c r="C8" s="19"/>
      <c r="E8" s="57"/>
      <c r="F8" s="57"/>
      <c r="G8" s="57"/>
      <c r="H8" s="57"/>
      <c r="I8" s="57"/>
      <c r="J8" s="57"/>
      <c r="K8" s="59" t="str">
        <f t="shared" si="0"/>
        <v>0.00 (0.00 – 0.00)</v>
      </c>
      <c r="L8" s="16" t="str">
        <f t="shared" si="1"/>
        <v>0.00
(0.00 – 0.00)</v>
      </c>
      <c r="N8" s="59"/>
      <c r="O8" s="16"/>
    </row>
    <row r="9" spans="1:20" x14ac:dyDescent="0.25">
      <c r="E9" s="57"/>
      <c r="F9" s="57"/>
      <c r="G9" s="57"/>
      <c r="H9" s="57"/>
      <c r="I9" s="57"/>
      <c r="J9" s="57"/>
      <c r="K9" s="59" t="str">
        <f t="shared" si="0"/>
        <v>0.00 (0.00 – 0.00)</v>
      </c>
      <c r="L9" s="16" t="str">
        <f t="shared" si="1"/>
        <v>0.00
(0.00 – 0.00)</v>
      </c>
      <c r="N9" s="59"/>
      <c r="O9" s="16"/>
    </row>
    <row r="10" spans="1:20" x14ac:dyDescent="0.25">
      <c r="E10" s="57"/>
      <c r="F10" s="57"/>
      <c r="G10" s="57"/>
      <c r="H10" s="57"/>
      <c r="I10" s="57"/>
      <c r="J10" s="57"/>
      <c r="K10" s="59" t="str">
        <f t="shared" si="0"/>
        <v>0.00 (0.00 – 0.00)</v>
      </c>
      <c r="L10" s="16" t="str">
        <f t="shared" si="1"/>
        <v>0.00
(0.00 – 0.00)</v>
      </c>
      <c r="N10" s="59"/>
      <c r="O10" s="16"/>
    </row>
    <row r="11" spans="1:20" x14ac:dyDescent="0.25">
      <c r="B11" s="19"/>
      <c r="C11" s="19"/>
      <c r="F11" s="59"/>
      <c r="G11" s="54"/>
      <c r="H11" s="16"/>
      <c r="I11" s="16"/>
      <c r="J11" s="16"/>
      <c r="K11" s="59" t="str">
        <f t="shared" si="0"/>
        <v>0.00 (0.00 – 0.00)</v>
      </c>
      <c r="L11" s="16" t="str">
        <f t="shared" si="1"/>
        <v>0.00
(0.00 – 0.00)</v>
      </c>
      <c r="N11" s="59"/>
      <c r="O11" s="16"/>
    </row>
    <row r="12" spans="1:20" x14ac:dyDescent="0.25">
      <c r="F12" s="59"/>
      <c r="G12" s="54"/>
      <c r="H12" s="16"/>
      <c r="I12" s="16"/>
      <c r="J12" s="16"/>
      <c r="K12" s="59" t="str">
        <f t="shared" si="0"/>
        <v>0.00 (0.00 – 0.00)</v>
      </c>
      <c r="L12" s="16" t="str">
        <f t="shared" si="1"/>
        <v>0.00
(0.00 – 0.00)</v>
      </c>
      <c r="N12" s="59"/>
      <c r="O12" s="16"/>
    </row>
    <row r="13" spans="1:20" x14ac:dyDescent="0.25">
      <c r="B13" s="19"/>
      <c r="C13" s="19"/>
      <c r="F13" s="59"/>
      <c r="G13" s="54"/>
      <c r="H13" s="16"/>
      <c r="I13" s="16"/>
      <c r="J13" s="16"/>
      <c r="K13" s="59" t="str">
        <f t="shared" si="0"/>
        <v>0.00 (0.00 – 0.00)</v>
      </c>
      <c r="L13" s="16" t="str">
        <f t="shared" si="1"/>
        <v>0.00
(0.00 – 0.00)</v>
      </c>
      <c r="N13" s="59"/>
      <c r="O13" s="16"/>
    </row>
    <row r="14" spans="1:20" x14ac:dyDescent="0.25">
      <c r="F14" s="59"/>
      <c r="G14" s="54"/>
      <c r="H14" s="16"/>
      <c r="I14" s="16"/>
      <c r="J14" s="16"/>
      <c r="K14" s="59" t="str">
        <f t="shared" si="0"/>
        <v>0.00 (0.00 – 0.00)</v>
      </c>
      <c r="L14" s="16" t="str">
        <f t="shared" si="1"/>
        <v>0.00
(0.00 – 0.00)</v>
      </c>
      <c r="N14" s="59"/>
      <c r="O14" s="16"/>
    </row>
    <row r="15" spans="1:20" ht="15" customHeight="1" x14ac:dyDescent="0.25">
      <c r="K15" s="59" t="str">
        <f t="shared" si="0"/>
        <v>0.00 (0.00 – 0.00)</v>
      </c>
      <c r="L15" s="16" t="str">
        <f t="shared" si="1"/>
        <v>0.00
(0.00 – 0.00)</v>
      </c>
      <c r="N15" s="59"/>
      <c r="O15" s="16"/>
    </row>
    <row r="16" spans="1:20" ht="15" customHeight="1" x14ac:dyDescent="0.25">
      <c r="E16" s="57"/>
      <c r="F16" s="57"/>
      <c r="G16" s="57"/>
      <c r="H16" s="57"/>
      <c r="I16" s="57"/>
      <c r="J16" s="57"/>
      <c r="K16" s="59" t="str">
        <f t="shared" si="0"/>
        <v>0.00 (0.00 – 0.00)</v>
      </c>
      <c r="L16" s="16" t="str">
        <f t="shared" si="1"/>
        <v>0.00
(0.00 – 0.00)</v>
      </c>
      <c r="N16" s="59"/>
      <c r="O16" s="16"/>
    </row>
    <row r="17" spans="5:15" ht="15" customHeight="1" x14ac:dyDescent="0.25">
      <c r="E17" s="57"/>
      <c r="F17" s="57"/>
      <c r="G17" s="57"/>
      <c r="H17" s="57"/>
      <c r="I17" s="57"/>
      <c r="J17" s="57"/>
      <c r="K17" s="59" t="str">
        <f t="shared" si="0"/>
        <v>0.00 (0.00 – 0.00)</v>
      </c>
      <c r="L17" s="16" t="str">
        <f t="shared" si="1"/>
        <v>0.00
(0.00 – 0.00)</v>
      </c>
      <c r="N17" s="59"/>
      <c r="O17" s="16"/>
    </row>
    <row r="18" spans="5:15" ht="15" customHeight="1" x14ac:dyDescent="0.25">
      <c r="E18" s="57"/>
      <c r="F18" s="57"/>
      <c r="G18" s="57"/>
      <c r="H18" s="57"/>
      <c r="I18" s="57"/>
      <c r="J18" s="57"/>
      <c r="K18" s="59" t="str">
        <f t="shared" si="0"/>
        <v>0.00 (0.00 – 0.00)</v>
      </c>
      <c r="L18" s="16" t="str">
        <f t="shared" si="1"/>
        <v>0.00
(0.00 – 0.00)</v>
      </c>
      <c r="N18" s="59"/>
      <c r="O18" s="16"/>
    </row>
    <row r="19" spans="5:15" ht="15" customHeight="1" x14ac:dyDescent="0.25">
      <c r="K19" s="59" t="str">
        <f t="shared" si="0"/>
        <v>0.00 (0.00 – 0.00)</v>
      </c>
      <c r="L19" s="16" t="str">
        <f t="shared" si="1"/>
        <v>0.00
(0.00 – 0.00)</v>
      </c>
      <c r="N19" s="59"/>
      <c r="O19" s="16"/>
    </row>
    <row r="20" spans="5:15" ht="15" customHeight="1" x14ac:dyDescent="0.25">
      <c r="K20" s="59" t="str">
        <f t="shared" si="0"/>
        <v>0.00 (0.00 – 0.00)</v>
      </c>
      <c r="L20" s="16" t="str">
        <f t="shared" si="1"/>
        <v>0.00
(0.00 – 0.00)</v>
      </c>
      <c r="N20" s="59"/>
      <c r="O20" s="16"/>
    </row>
    <row r="21" spans="5:15" ht="15" customHeight="1" x14ac:dyDescent="0.25">
      <c r="K21" s="59" t="str">
        <f t="shared" si="0"/>
        <v>0.00 (0.00 – 0.00)</v>
      </c>
      <c r="L21" s="16" t="str">
        <f t="shared" si="1"/>
        <v>0.00
(0.00 – 0.00)</v>
      </c>
      <c r="N21" s="59"/>
      <c r="O21" s="16"/>
    </row>
    <row r="22" spans="5:15" ht="15" customHeight="1" x14ac:dyDescent="0.25">
      <c r="K22" s="59" t="str">
        <f t="shared" si="0"/>
        <v>0.00 (0.00 – 0.00)</v>
      </c>
      <c r="L22" s="16" t="str">
        <f t="shared" si="1"/>
        <v>0.00
(0.00 – 0.00)</v>
      </c>
      <c r="N22" s="59"/>
      <c r="O22" s="16"/>
    </row>
    <row r="23" spans="5:15" ht="15" customHeight="1" x14ac:dyDescent="0.25">
      <c r="F23" s="59"/>
      <c r="G23" s="54"/>
      <c r="H23" s="16"/>
      <c r="I23" s="16"/>
      <c r="J23" s="16"/>
      <c r="K23" s="59" t="str">
        <f t="shared" si="0"/>
        <v>0.00 (0.00 – 0.00)</v>
      </c>
      <c r="L23" s="16" t="str">
        <f t="shared" si="1"/>
        <v>0.00
(0.00 – 0.00)</v>
      </c>
      <c r="N23" s="59"/>
      <c r="O23" s="16"/>
    </row>
    <row r="24" spans="5:15" ht="15" customHeight="1" x14ac:dyDescent="0.25">
      <c r="K24" s="59" t="str">
        <f t="shared" si="0"/>
        <v>0.00 (0.00 – 0.00)</v>
      </c>
      <c r="L24" s="16" t="str">
        <f t="shared" si="1"/>
        <v>0.00
(0.00 – 0.00)</v>
      </c>
      <c r="N24" s="59"/>
      <c r="O24" s="16"/>
    </row>
    <row r="25" spans="5:15" ht="15" customHeight="1" x14ac:dyDescent="0.25">
      <c r="E25" s="57"/>
      <c r="F25" s="57"/>
      <c r="G25" s="57"/>
      <c r="H25" s="57"/>
      <c r="I25" s="57"/>
      <c r="J25" s="57"/>
      <c r="K25" s="59" t="str">
        <f t="shared" si="0"/>
        <v>0.00 (0.00 – 0.00)</v>
      </c>
      <c r="L25" s="16" t="str">
        <f t="shared" si="1"/>
        <v>0.00
(0.00 – 0.00)</v>
      </c>
      <c r="N25" s="59"/>
      <c r="O25" s="16"/>
    </row>
    <row r="26" spans="5:15" ht="15" customHeight="1" x14ac:dyDescent="0.25">
      <c r="K26" s="59" t="str">
        <f t="shared" si="0"/>
        <v>0.00 (0.00 – 0.00)</v>
      </c>
      <c r="L26" s="16" t="str">
        <f t="shared" si="1"/>
        <v>0.00
(0.00 – 0.00)</v>
      </c>
      <c r="N26" s="59"/>
      <c r="O26" s="16"/>
    </row>
    <row r="27" spans="5:15" ht="15" customHeight="1" x14ac:dyDescent="0.25">
      <c r="E27" s="57"/>
      <c r="F27" s="57"/>
      <c r="G27" s="57"/>
      <c r="H27" s="57"/>
      <c r="I27" s="57"/>
      <c r="J27" s="57"/>
      <c r="K27" s="59" t="str">
        <f t="shared" si="0"/>
        <v>0.00 (0.00 – 0.00)</v>
      </c>
      <c r="L27" s="16" t="str">
        <f t="shared" si="1"/>
        <v>0.00
(0.00 – 0.00)</v>
      </c>
      <c r="N27" s="59"/>
      <c r="O27" s="16"/>
    </row>
    <row r="28" spans="5:15" ht="15" customHeight="1" x14ac:dyDescent="0.25">
      <c r="K28" s="59" t="str">
        <f t="shared" si="0"/>
        <v>0.00 (0.00 – 0.00)</v>
      </c>
      <c r="L28" s="16" t="str">
        <f t="shared" si="1"/>
        <v>0.00
(0.00 – 0.00)</v>
      </c>
      <c r="N28" s="59"/>
      <c r="O28" s="16"/>
    </row>
    <row r="29" spans="5:15" ht="15" customHeight="1" x14ac:dyDescent="0.25">
      <c r="K29" s="59" t="str">
        <f t="shared" si="0"/>
        <v>0.00 (0.00 – 0.00)</v>
      </c>
      <c r="L29" s="16" t="str">
        <f t="shared" si="1"/>
        <v>0.00
(0.00 – 0.00)</v>
      </c>
      <c r="N29" s="59"/>
      <c r="O29" s="16"/>
    </row>
    <row r="30" spans="5:15" ht="15" customHeight="1" x14ac:dyDescent="0.25">
      <c r="K30" s="59" t="str">
        <f t="shared" si="0"/>
        <v>0.00 (0.00 – 0.00)</v>
      </c>
      <c r="L30" s="16" t="str">
        <f t="shared" si="1"/>
        <v>0.00
(0.00 – 0.00)</v>
      </c>
      <c r="N30" s="59"/>
      <c r="O30" s="16"/>
    </row>
    <row r="31" spans="5:15" ht="15" customHeight="1" x14ac:dyDescent="0.25">
      <c r="E31" s="57"/>
      <c r="F31" s="57"/>
      <c r="G31" s="57"/>
      <c r="H31" s="57"/>
      <c r="I31" s="57"/>
      <c r="J31" s="57"/>
      <c r="K31" s="59" t="str">
        <f t="shared" si="0"/>
        <v>0.00 (0.00 – 0.00)</v>
      </c>
      <c r="L31" s="16" t="str">
        <f t="shared" si="1"/>
        <v>0.00
(0.00 – 0.00)</v>
      </c>
      <c r="N31" s="59"/>
      <c r="O31" s="16"/>
    </row>
    <row r="32" spans="5:15" ht="15" customHeight="1" x14ac:dyDescent="0.25">
      <c r="K32" s="59" t="str">
        <f t="shared" si="0"/>
        <v>0.00 (0.00 – 0.00)</v>
      </c>
      <c r="L32" s="16" t="str">
        <f t="shared" si="1"/>
        <v>0.00
(0.00 – 0.00)</v>
      </c>
      <c r="N32" s="59"/>
      <c r="O32" s="16"/>
    </row>
    <row r="33" spans="3:15" ht="15" customHeight="1" x14ac:dyDescent="0.25">
      <c r="K33" s="59" t="str">
        <f t="shared" si="0"/>
        <v>0.00 (0.00 – 0.00)</v>
      </c>
      <c r="L33" s="16" t="str">
        <f t="shared" si="1"/>
        <v>0.00
(0.00 – 0.00)</v>
      </c>
      <c r="N33" s="59"/>
      <c r="O33" s="16"/>
    </row>
    <row r="34" spans="3:15" ht="15" customHeight="1" x14ac:dyDescent="0.25">
      <c r="E34" s="57"/>
      <c r="F34" s="57"/>
      <c r="G34" s="57"/>
      <c r="H34" s="57"/>
      <c r="I34" s="57"/>
      <c r="J34" s="57"/>
      <c r="K34" s="59" t="str">
        <f t="shared" si="0"/>
        <v>0.00 (0.00 – 0.00)</v>
      </c>
      <c r="L34" s="16" t="str">
        <f t="shared" si="1"/>
        <v>0.00
(0.00 – 0.00)</v>
      </c>
      <c r="N34" s="59"/>
      <c r="O34" s="16"/>
    </row>
    <row r="35" spans="3:15" ht="15" customHeight="1" x14ac:dyDescent="0.25">
      <c r="E35" s="57"/>
      <c r="F35" s="57"/>
      <c r="G35" s="57"/>
      <c r="H35" s="57"/>
      <c r="I35" s="57"/>
      <c r="J35" s="57"/>
      <c r="K35" s="59" t="str">
        <f t="shared" si="0"/>
        <v>0.00 (0.00 – 0.00)</v>
      </c>
      <c r="L35" s="16" t="str">
        <f t="shared" si="1"/>
        <v>0.00
(0.00 – 0.00)</v>
      </c>
      <c r="N35" s="59"/>
      <c r="O35" s="16"/>
    </row>
    <row r="36" spans="3:15" ht="15" customHeight="1" x14ac:dyDescent="0.25">
      <c r="C36" s="56"/>
      <c r="D36" s="57"/>
      <c r="E36" s="57"/>
      <c r="F36" s="57"/>
      <c r="G36" s="57"/>
      <c r="H36" s="57"/>
      <c r="I36" s="57"/>
      <c r="J36" s="57"/>
      <c r="K36" s="59" t="str">
        <f t="shared" si="0"/>
        <v>0.00 (0.00 – 0.00)</v>
      </c>
      <c r="L36" s="16" t="str">
        <f t="shared" si="1"/>
        <v>0.00
(0.00 – 0.00)</v>
      </c>
      <c r="M36" s="57"/>
      <c r="N36" s="59"/>
      <c r="O36" s="16"/>
    </row>
    <row r="37" spans="3:15" ht="15" customHeight="1" x14ac:dyDescent="0.25">
      <c r="C37" s="56"/>
      <c r="D37" s="57"/>
      <c r="F37" s="59"/>
      <c r="G37" s="54"/>
      <c r="H37" s="16"/>
      <c r="I37" s="16"/>
      <c r="J37" s="16"/>
      <c r="K37" s="59" t="str">
        <f t="shared" si="0"/>
        <v>0.00 (0.00 – 0.00)</v>
      </c>
      <c r="L37" s="16" t="str">
        <f t="shared" si="1"/>
        <v>0.00
(0.00 – 0.00)</v>
      </c>
      <c r="M37" s="57"/>
      <c r="N37" s="59"/>
      <c r="O37" s="16"/>
    </row>
    <row r="38" spans="3:15" ht="15" customHeight="1" x14ac:dyDescent="0.25">
      <c r="C38" s="56"/>
      <c r="D38" s="57"/>
      <c r="F38" s="59"/>
      <c r="G38" s="54"/>
      <c r="H38" s="16"/>
      <c r="I38" s="16"/>
      <c r="J38" s="16"/>
      <c r="K38" s="59" t="str">
        <f t="shared" si="0"/>
        <v>0.00 (0.00 – 0.00)</v>
      </c>
      <c r="L38" s="16" t="str">
        <f t="shared" si="1"/>
        <v>0.00
(0.00 – 0.00)</v>
      </c>
      <c r="M38" s="57"/>
      <c r="N38" s="59"/>
      <c r="O38" s="16"/>
    </row>
    <row r="39" spans="3:15" ht="15" customHeight="1" x14ac:dyDescent="0.25">
      <c r="C39" s="56"/>
      <c r="D39" s="57"/>
      <c r="K39" s="59" t="str">
        <f t="shared" si="0"/>
        <v>0.00 (0.00 – 0.00)</v>
      </c>
      <c r="L39" s="16" t="str">
        <f t="shared" si="1"/>
        <v>0.00
(0.00 – 0.00)</v>
      </c>
      <c r="M39" s="57"/>
      <c r="N39" s="59"/>
      <c r="O39" s="16"/>
    </row>
    <row r="40" spans="3:15" ht="15" customHeight="1" x14ac:dyDescent="0.25">
      <c r="C40" s="56"/>
      <c r="D40" s="57"/>
      <c r="K40" s="59" t="str">
        <f t="shared" si="0"/>
        <v>0.00 (0.00 – 0.00)</v>
      </c>
      <c r="L40" s="16" t="str">
        <f t="shared" si="1"/>
        <v>0.00
(0.00 – 0.00)</v>
      </c>
      <c r="M40" s="57"/>
      <c r="N40" s="59"/>
      <c r="O40" s="16"/>
    </row>
    <row r="41" spans="3:15" ht="15" customHeight="1" x14ac:dyDescent="0.25">
      <c r="C41" s="56"/>
      <c r="D41" s="57"/>
      <c r="K41" s="59" t="str">
        <f t="shared" si="0"/>
        <v>0.00 (0.00 – 0.00)</v>
      </c>
      <c r="L41" s="16" t="str">
        <f t="shared" si="1"/>
        <v>0.00
(0.00 – 0.00)</v>
      </c>
      <c r="M41" s="57"/>
      <c r="N41" s="59"/>
      <c r="O41" s="16"/>
    </row>
    <row r="42" spans="3:15" ht="15" customHeight="1" x14ac:dyDescent="0.25">
      <c r="C42" s="56"/>
      <c r="D42" s="57"/>
      <c r="E42" s="57"/>
      <c r="F42" s="57"/>
      <c r="G42" s="57"/>
      <c r="H42" s="57"/>
      <c r="I42" s="57"/>
      <c r="J42" s="57"/>
      <c r="K42" s="59" t="str">
        <f t="shared" si="0"/>
        <v>0.00 (0.00 – 0.00)</v>
      </c>
      <c r="L42" s="16" t="str">
        <f t="shared" si="1"/>
        <v>0.00
(0.00 – 0.00)</v>
      </c>
      <c r="M42" s="57"/>
      <c r="N42" s="59"/>
      <c r="O42" s="16"/>
    </row>
    <row r="43" spans="3:15" ht="15" customHeight="1" x14ac:dyDescent="0.25">
      <c r="C43" s="56"/>
      <c r="D43" s="57"/>
      <c r="F43" s="59"/>
      <c r="G43" s="54"/>
      <c r="H43" s="16"/>
      <c r="I43" s="16"/>
      <c r="J43" s="16"/>
      <c r="K43" s="59" t="str">
        <f t="shared" si="0"/>
        <v>0.00 (0.00 – 0.00)</v>
      </c>
      <c r="L43" s="16" t="str">
        <f t="shared" si="1"/>
        <v>0.00
(0.00 – 0.00)</v>
      </c>
      <c r="M43" s="57"/>
      <c r="N43" s="59"/>
      <c r="O43" s="16"/>
    </row>
    <row r="44" spans="3:15" ht="15" customHeight="1" x14ac:dyDescent="0.25">
      <c r="C44" s="56"/>
      <c r="D44" s="57"/>
      <c r="K44" s="59" t="str">
        <f t="shared" si="0"/>
        <v>0.00 (0.00 – 0.00)</v>
      </c>
      <c r="L44" s="16" t="str">
        <f t="shared" si="1"/>
        <v>0.00
(0.00 – 0.00)</v>
      </c>
      <c r="M44" s="57"/>
      <c r="N44" s="59"/>
      <c r="O44" s="16"/>
    </row>
    <row r="45" spans="3:15" ht="15" customHeight="1" x14ac:dyDescent="0.25">
      <c r="C45" s="56"/>
      <c r="D45" s="57"/>
      <c r="E45" s="57"/>
      <c r="F45" s="57"/>
      <c r="G45" s="57"/>
      <c r="H45" s="57"/>
      <c r="I45" s="57"/>
      <c r="J45" s="57"/>
      <c r="K45" s="59" t="str">
        <f t="shared" si="0"/>
        <v>0.00 (0.00 – 0.00)</v>
      </c>
      <c r="L45" s="16" t="str">
        <f t="shared" si="1"/>
        <v>0.00
(0.00 – 0.00)</v>
      </c>
      <c r="M45" s="57"/>
      <c r="N45" s="59"/>
      <c r="O45" s="16"/>
    </row>
    <row r="46" spans="3:15" ht="15" customHeight="1" x14ac:dyDescent="0.25">
      <c r="C46" s="56"/>
      <c r="D46" s="57"/>
      <c r="K46" s="59" t="str">
        <f t="shared" si="0"/>
        <v>0.00 (0.00 – 0.00)</v>
      </c>
      <c r="L46" s="16" t="str">
        <f t="shared" si="1"/>
        <v>0.00
(0.00 – 0.00)</v>
      </c>
      <c r="M46" s="57"/>
      <c r="N46" s="59"/>
      <c r="O46" s="16"/>
    </row>
    <row r="47" spans="3:15" ht="15" customHeight="1" x14ac:dyDescent="0.25">
      <c r="C47" s="56"/>
      <c r="D47" s="57"/>
      <c r="K47" s="59" t="str">
        <f t="shared" si="0"/>
        <v>0.00 (0.00 – 0.00)</v>
      </c>
      <c r="L47" s="16" t="str">
        <f t="shared" si="1"/>
        <v>0.00
(0.00 – 0.00)</v>
      </c>
      <c r="M47" s="57"/>
      <c r="N47" s="59"/>
      <c r="O47" s="16"/>
    </row>
    <row r="48" spans="3:15" ht="15" customHeight="1" x14ac:dyDescent="0.25">
      <c r="C48" s="56"/>
      <c r="D48" s="57"/>
      <c r="K48" s="59" t="str">
        <f t="shared" si="0"/>
        <v>0.00 (0.00 – 0.00)</v>
      </c>
      <c r="L48" s="16" t="str">
        <f t="shared" si="1"/>
        <v>0.00
(0.00 – 0.00)</v>
      </c>
      <c r="M48" s="57"/>
      <c r="N48" s="59"/>
      <c r="O48" s="16"/>
    </row>
    <row r="49" spans="3:15" ht="15" customHeight="1" x14ac:dyDescent="0.25">
      <c r="C49" s="56"/>
      <c r="D49" s="57"/>
      <c r="F49" s="59"/>
      <c r="G49" s="54"/>
      <c r="H49" s="16"/>
      <c r="I49" s="16"/>
      <c r="J49" s="16"/>
      <c r="K49" s="59" t="str">
        <f t="shared" si="0"/>
        <v>0.00 (0.00 – 0.00)</v>
      </c>
      <c r="L49" s="16" t="str">
        <f t="shared" si="1"/>
        <v>0.00
(0.00 – 0.00)</v>
      </c>
      <c r="M49" s="57"/>
      <c r="N49" s="59"/>
      <c r="O49" s="16"/>
    </row>
    <row r="50" spans="3:15" ht="15" hidden="1" customHeight="1" x14ac:dyDescent="0.25">
      <c r="C50" s="56"/>
      <c r="D50" s="57"/>
      <c r="E50" s="57"/>
      <c r="F50" s="57"/>
      <c r="G50" s="57"/>
      <c r="H50" s="57"/>
      <c r="I50" s="57"/>
      <c r="J50" s="57"/>
      <c r="K50" s="59" t="str">
        <f t="shared" ref="K50:K68" si="2">CONCATENATE(TEXT(I50,"0.00")," (",TEXT(H50,"0.00")," – ",TEXT(J50,"0.00"),")")</f>
        <v>0.00 (0.00 – 0.00)</v>
      </c>
      <c r="L50" s="16" t="str">
        <f t="shared" ref="L50:L69" si="3">CONCATENATE(TEXT(I50,"0.00"),"
(",TEXT(H50,"0.00")," – ",TEXT(J50,"0.00"),")")</f>
        <v>0.00
(0.00 – 0.00)</v>
      </c>
      <c r="M50" s="57"/>
      <c r="N50" s="59"/>
      <c r="O50" s="16"/>
    </row>
    <row r="51" spans="3:15" ht="15" hidden="1" customHeight="1" x14ac:dyDescent="0.25">
      <c r="C51" s="56"/>
      <c r="D51" s="57"/>
      <c r="E51" s="57"/>
      <c r="F51" s="57"/>
      <c r="G51" s="57"/>
      <c r="H51" s="57"/>
      <c r="I51" s="57"/>
      <c r="J51" s="57"/>
      <c r="K51" s="59" t="str">
        <f t="shared" si="2"/>
        <v>0.00 (0.00 – 0.00)</v>
      </c>
      <c r="L51" s="16" t="str">
        <f t="shared" si="3"/>
        <v>0.00
(0.00 – 0.00)</v>
      </c>
      <c r="M51" s="57"/>
      <c r="N51" s="59"/>
      <c r="O51" s="16"/>
    </row>
    <row r="52" spans="3:15" ht="15" hidden="1" customHeight="1" x14ac:dyDescent="0.25">
      <c r="C52" s="56"/>
      <c r="D52" s="57"/>
      <c r="E52" s="57"/>
      <c r="F52" s="57"/>
      <c r="G52" s="57"/>
      <c r="H52" s="57"/>
      <c r="I52" s="57"/>
      <c r="J52" s="57"/>
      <c r="K52" s="59" t="str">
        <f t="shared" si="2"/>
        <v>0.00 (0.00 – 0.00)</v>
      </c>
      <c r="L52" s="16" t="str">
        <f t="shared" si="3"/>
        <v>0.00
(0.00 – 0.00)</v>
      </c>
      <c r="M52" s="57"/>
      <c r="N52" s="59"/>
      <c r="O52" s="16"/>
    </row>
    <row r="53" spans="3:15" ht="15" hidden="1" customHeight="1" x14ac:dyDescent="0.25">
      <c r="C53" s="56"/>
      <c r="D53" s="57"/>
      <c r="E53" s="57"/>
      <c r="F53" s="57"/>
      <c r="G53" s="57"/>
      <c r="H53" s="57"/>
      <c r="I53" s="57"/>
      <c r="J53" s="57"/>
      <c r="K53" s="59" t="str">
        <f t="shared" si="2"/>
        <v>0.00 (0.00 – 0.00)</v>
      </c>
      <c r="L53" s="16" t="str">
        <f t="shared" si="3"/>
        <v>0.00
(0.00 – 0.00)</v>
      </c>
      <c r="M53" s="57"/>
      <c r="N53" s="59"/>
      <c r="O53" s="16"/>
    </row>
    <row r="54" spans="3:15" ht="15" hidden="1" customHeight="1" x14ac:dyDescent="0.25">
      <c r="C54" s="56"/>
      <c r="D54" s="57"/>
      <c r="E54" s="57"/>
      <c r="F54" s="57"/>
      <c r="G54" s="57"/>
      <c r="H54" s="57"/>
      <c r="I54" s="57"/>
      <c r="J54" s="57"/>
      <c r="K54" s="59" t="str">
        <f t="shared" si="2"/>
        <v>0.00 (0.00 – 0.00)</v>
      </c>
      <c r="L54" s="16" t="str">
        <f t="shared" si="3"/>
        <v>0.00
(0.00 – 0.00)</v>
      </c>
      <c r="M54" s="57"/>
      <c r="N54" s="59"/>
      <c r="O54" s="16"/>
    </row>
    <row r="55" spans="3:15" ht="15" hidden="1" customHeight="1" x14ac:dyDescent="0.25">
      <c r="C55" s="56"/>
      <c r="D55" s="57"/>
      <c r="E55" s="57"/>
      <c r="F55" s="57"/>
      <c r="G55" s="57"/>
      <c r="H55" s="57"/>
      <c r="I55" s="57"/>
      <c r="J55" s="57"/>
      <c r="K55" s="59" t="str">
        <f t="shared" si="2"/>
        <v>0.00 (0.00 – 0.00)</v>
      </c>
      <c r="L55" s="16" t="str">
        <f t="shared" si="3"/>
        <v>0.00
(0.00 – 0.00)</v>
      </c>
      <c r="M55" s="57"/>
      <c r="N55" s="59"/>
      <c r="O55" s="16"/>
    </row>
    <row r="56" spans="3:15" ht="15" hidden="1" customHeight="1" x14ac:dyDescent="0.25">
      <c r="C56" s="56"/>
      <c r="D56" s="57"/>
      <c r="E56" s="57"/>
      <c r="F56" s="57"/>
      <c r="G56" s="57"/>
      <c r="H56" s="57"/>
      <c r="I56" s="57"/>
      <c r="J56" s="57"/>
      <c r="K56" s="59" t="str">
        <f t="shared" si="2"/>
        <v>0.00 (0.00 – 0.00)</v>
      </c>
      <c r="L56" s="16" t="str">
        <f t="shared" si="3"/>
        <v>0.00
(0.00 – 0.00)</v>
      </c>
      <c r="M56" s="57"/>
      <c r="N56" s="59"/>
      <c r="O56" s="16"/>
    </row>
    <row r="57" spans="3:15" ht="15" hidden="1" customHeight="1" x14ac:dyDescent="0.25">
      <c r="C57" s="56"/>
      <c r="D57" s="57"/>
      <c r="E57" s="57"/>
      <c r="F57" s="57"/>
      <c r="G57" s="57"/>
      <c r="H57" s="57"/>
      <c r="I57" s="57"/>
      <c r="J57" s="57"/>
      <c r="K57" s="59" t="str">
        <f t="shared" si="2"/>
        <v>0.00 (0.00 – 0.00)</v>
      </c>
      <c r="L57" s="16" t="str">
        <f t="shared" si="3"/>
        <v>0.00
(0.00 – 0.00)</v>
      </c>
      <c r="M57" s="57"/>
      <c r="N57" s="59"/>
      <c r="O57" s="16"/>
    </row>
    <row r="58" spans="3:15" ht="15" hidden="1" customHeight="1" x14ac:dyDescent="0.25">
      <c r="C58" s="56"/>
      <c r="D58" s="57"/>
      <c r="E58" s="57"/>
      <c r="F58" s="57"/>
      <c r="G58" s="57"/>
      <c r="H58" s="57"/>
      <c r="I58" s="57"/>
      <c r="J58" s="57"/>
      <c r="K58" s="59" t="str">
        <f t="shared" si="2"/>
        <v>0.00 (0.00 – 0.00)</v>
      </c>
      <c r="L58" s="16" t="str">
        <f t="shared" si="3"/>
        <v>0.00
(0.00 – 0.00)</v>
      </c>
      <c r="M58" s="57"/>
      <c r="N58" s="59"/>
      <c r="O58" s="16"/>
    </row>
    <row r="59" spans="3:15" ht="15" hidden="1" customHeight="1" x14ac:dyDescent="0.25">
      <c r="C59" s="56"/>
      <c r="D59" s="57"/>
      <c r="E59" s="57"/>
      <c r="F59" s="57"/>
      <c r="G59" s="57"/>
      <c r="H59" s="57"/>
      <c r="I59" s="57"/>
      <c r="J59" s="57"/>
      <c r="K59" s="59" t="str">
        <f t="shared" si="2"/>
        <v>0.00 (0.00 – 0.00)</v>
      </c>
      <c r="L59" s="16" t="str">
        <f t="shared" si="3"/>
        <v>0.00
(0.00 – 0.00)</v>
      </c>
      <c r="M59" s="57"/>
      <c r="N59" s="59"/>
      <c r="O59" s="16"/>
    </row>
    <row r="60" spans="3:15" ht="15" hidden="1" customHeight="1" x14ac:dyDescent="0.25">
      <c r="C60" s="56"/>
      <c r="D60" s="57"/>
      <c r="E60" s="57"/>
      <c r="F60" s="57"/>
      <c r="G60" s="57"/>
      <c r="H60" s="57"/>
      <c r="I60" s="57"/>
      <c r="J60" s="57"/>
      <c r="K60" s="59" t="str">
        <f t="shared" si="2"/>
        <v>0.00 (0.00 – 0.00)</v>
      </c>
      <c r="L60" s="16" t="str">
        <f t="shared" si="3"/>
        <v>0.00
(0.00 – 0.00)</v>
      </c>
      <c r="M60" s="57"/>
      <c r="N60" s="59"/>
      <c r="O60" s="16"/>
    </row>
    <row r="61" spans="3:15" ht="15" hidden="1" customHeight="1" x14ac:dyDescent="0.25">
      <c r="C61" s="56"/>
      <c r="D61" s="57"/>
      <c r="E61" s="57"/>
      <c r="F61" s="57"/>
      <c r="G61" s="57"/>
      <c r="H61" s="57"/>
      <c r="I61" s="57"/>
      <c r="J61" s="57"/>
      <c r="K61" s="59" t="str">
        <f t="shared" si="2"/>
        <v>0.00 (0.00 – 0.00)</v>
      </c>
      <c r="L61" s="16" t="str">
        <f t="shared" si="3"/>
        <v>0.00
(0.00 – 0.00)</v>
      </c>
      <c r="M61" s="57"/>
      <c r="N61" s="59"/>
      <c r="O61" s="16"/>
    </row>
    <row r="62" spans="3:15" ht="15" hidden="1" customHeight="1" x14ac:dyDescent="0.25">
      <c r="C62" s="56"/>
      <c r="D62" s="57"/>
      <c r="E62" s="57"/>
      <c r="F62" s="57"/>
      <c r="G62" s="57"/>
      <c r="H62" s="57"/>
      <c r="I62" s="57"/>
      <c r="J62" s="57"/>
      <c r="K62" s="59" t="str">
        <f t="shared" si="2"/>
        <v>0.00 (0.00 – 0.00)</v>
      </c>
      <c r="L62" s="16" t="str">
        <f t="shared" si="3"/>
        <v>0.00
(0.00 – 0.00)</v>
      </c>
      <c r="M62" s="57"/>
      <c r="N62" s="59"/>
      <c r="O62" s="16"/>
    </row>
    <row r="63" spans="3:15" ht="15" hidden="1" customHeight="1" x14ac:dyDescent="0.25">
      <c r="C63" s="56"/>
      <c r="D63" s="57"/>
      <c r="E63" s="57"/>
      <c r="F63" s="57"/>
      <c r="G63" s="57"/>
      <c r="H63" s="57"/>
      <c r="I63" s="57"/>
      <c r="J63" s="57"/>
      <c r="K63" s="59" t="str">
        <f t="shared" si="2"/>
        <v>0.00 (0.00 – 0.00)</v>
      </c>
      <c r="L63" s="16" t="str">
        <f t="shared" si="3"/>
        <v>0.00
(0.00 – 0.00)</v>
      </c>
      <c r="M63" s="57"/>
      <c r="N63" s="59"/>
      <c r="O63" s="16"/>
    </row>
    <row r="64" spans="3:15" ht="15" hidden="1" customHeight="1" x14ac:dyDescent="0.25">
      <c r="C64" s="56"/>
      <c r="D64" s="57"/>
      <c r="E64" s="57"/>
      <c r="F64" s="57"/>
      <c r="G64" s="57"/>
      <c r="H64" s="57"/>
      <c r="I64" s="57"/>
      <c r="J64" s="57"/>
      <c r="K64" s="59" t="str">
        <f t="shared" si="2"/>
        <v>0.00 (0.00 – 0.00)</v>
      </c>
      <c r="L64" s="16" t="str">
        <f t="shared" si="3"/>
        <v>0.00
(0.00 – 0.00)</v>
      </c>
      <c r="M64" s="57"/>
      <c r="N64" s="59"/>
      <c r="O64" s="16"/>
    </row>
    <row r="65" spans="3:15" ht="15" hidden="1" customHeight="1" x14ac:dyDescent="0.25">
      <c r="C65" s="56"/>
      <c r="D65" s="57"/>
      <c r="E65" s="57"/>
      <c r="F65" s="57"/>
      <c r="G65" s="57"/>
      <c r="H65" s="57"/>
      <c r="I65" s="57"/>
      <c r="J65" s="57"/>
      <c r="K65" s="59" t="str">
        <f t="shared" si="2"/>
        <v>0.00 (0.00 – 0.00)</v>
      </c>
      <c r="L65" s="16" t="str">
        <f t="shared" si="3"/>
        <v>0.00
(0.00 – 0.00)</v>
      </c>
      <c r="M65" s="57"/>
      <c r="N65" s="59"/>
      <c r="O65" s="16"/>
    </row>
    <row r="66" spans="3:15" ht="15" hidden="1" customHeight="1" x14ac:dyDescent="0.25">
      <c r="C66" s="56"/>
      <c r="D66" s="57"/>
      <c r="E66" s="57"/>
      <c r="F66" s="57"/>
      <c r="G66" s="57"/>
      <c r="H66" s="57"/>
      <c r="I66" s="57"/>
      <c r="J66" s="57"/>
      <c r="K66" s="59" t="str">
        <f t="shared" si="2"/>
        <v>0.00 (0.00 – 0.00)</v>
      </c>
      <c r="L66" s="16" t="str">
        <f t="shared" si="3"/>
        <v>0.00
(0.00 – 0.00)</v>
      </c>
      <c r="M66" s="57"/>
      <c r="N66" s="59"/>
      <c r="O66" s="16"/>
    </row>
    <row r="67" spans="3:15" ht="15" hidden="1" customHeight="1" x14ac:dyDescent="0.25">
      <c r="C67" s="56"/>
      <c r="D67" s="57"/>
      <c r="E67" s="57"/>
      <c r="F67" s="57"/>
      <c r="G67" s="57"/>
      <c r="H67" s="57"/>
      <c r="I67" s="57"/>
      <c r="J67" s="57"/>
      <c r="K67" s="59" t="str">
        <f t="shared" si="2"/>
        <v>0.00 (0.00 – 0.00)</v>
      </c>
      <c r="L67" s="16" t="str">
        <f t="shared" si="3"/>
        <v>0.00
(0.00 – 0.00)</v>
      </c>
      <c r="M67" s="57"/>
      <c r="N67" s="59"/>
      <c r="O67" s="16"/>
    </row>
    <row r="68" spans="3:15" ht="15" hidden="1" customHeight="1" x14ac:dyDescent="0.25">
      <c r="C68" s="56"/>
      <c r="D68" s="57"/>
      <c r="E68" s="57"/>
      <c r="F68" s="57"/>
      <c r="G68" s="57"/>
      <c r="H68" s="57"/>
      <c r="I68" s="57"/>
      <c r="J68" s="57"/>
      <c r="K68" s="59" t="str">
        <f t="shared" si="2"/>
        <v>0.00 (0.00 – 0.00)</v>
      </c>
      <c r="L68" s="16" t="str">
        <f t="shared" si="3"/>
        <v>0.00
(0.00 – 0.00)</v>
      </c>
      <c r="M68" s="57"/>
      <c r="N68" s="59"/>
      <c r="O68" s="16"/>
    </row>
    <row r="69" spans="3:15" ht="15" hidden="1" customHeight="1" x14ac:dyDescent="0.25">
      <c r="C69" s="56"/>
      <c r="D69" s="57"/>
      <c r="E69" s="57"/>
      <c r="F69" s="57"/>
      <c r="G69" s="57"/>
      <c r="H69" s="57"/>
      <c r="I69" s="57"/>
      <c r="J69" s="57"/>
      <c r="K69" s="59" t="str">
        <f t="shared" ref="K69:K132" si="4">CONCATENATE(TEXT(I69,"0.00")," (",TEXT(H69,"0.00")," – ",TEXT(J69,"0.00"),")")</f>
        <v>0.00 (0.00 – 0.00)</v>
      </c>
      <c r="L69" s="16" t="str">
        <f t="shared" si="3"/>
        <v>0.00
(0.00 – 0.00)</v>
      </c>
      <c r="M69" s="57"/>
      <c r="N69" s="59"/>
      <c r="O69" s="16"/>
    </row>
    <row r="70" spans="3:15" ht="15" hidden="1" customHeight="1" x14ac:dyDescent="0.25">
      <c r="C70" s="56"/>
      <c r="D70" s="57"/>
      <c r="E70" s="57"/>
      <c r="F70" s="57"/>
      <c r="G70" s="57"/>
      <c r="H70" s="57"/>
      <c r="I70" s="57"/>
      <c r="J70" s="57"/>
      <c r="K70" s="59" t="str">
        <f t="shared" si="4"/>
        <v>0.00 (0.00 – 0.00)</v>
      </c>
      <c r="L70" s="16" t="str">
        <f t="shared" ref="L70:L133" si="5">CONCATENATE(TEXT(I70,"0.00"),"
(",TEXT(H70,"0.00")," – ",TEXT(J70,"0.00"),")")</f>
        <v>0.00
(0.00 – 0.00)</v>
      </c>
      <c r="M70" s="57"/>
      <c r="N70" s="59"/>
      <c r="O70" s="16"/>
    </row>
    <row r="71" spans="3:15" ht="15" hidden="1" customHeight="1" x14ac:dyDescent="0.25">
      <c r="C71" s="56"/>
      <c r="D71" s="57"/>
      <c r="E71" s="57"/>
      <c r="F71" s="57"/>
      <c r="G71" s="57"/>
      <c r="H71" s="57"/>
      <c r="I71" s="57"/>
      <c r="J71" s="57"/>
      <c r="K71" s="59" t="str">
        <f t="shared" si="4"/>
        <v>0.00 (0.00 – 0.00)</v>
      </c>
      <c r="L71" s="16" t="str">
        <f t="shared" si="5"/>
        <v>0.00
(0.00 – 0.00)</v>
      </c>
      <c r="M71" s="57"/>
      <c r="N71" s="59"/>
      <c r="O71" s="16"/>
    </row>
    <row r="72" spans="3:15" ht="15" hidden="1" customHeight="1" x14ac:dyDescent="0.25">
      <c r="C72" s="56"/>
      <c r="D72" s="57"/>
      <c r="E72" s="57"/>
      <c r="F72" s="57"/>
      <c r="G72" s="57"/>
      <c r="H72" s="57"/>
      <c r="I72" s="57"/>
      <c r="J72" s="57"/>
      <c r="K72" s="59" t="str">
        <f t="shared" si="4"/>
        <v>0.00 (0.00 – 0.00)</v>
      </c>
      <c r="L72" s="16" t="str">
        <f t="shared" si="5"/>
        <v>0.00
(0.00 – 0.00)</v>
      </c>
      <c r="M72" s="57"/>
      <c r="N72" s="59"/>
      <c r="O72" s="16"/>
    </row>
    <row r="73" spans="3:15" ht="15" hidden="1" customHeight="1" x14ac:dyDescent="0.25">
      <c r="C73" s="56"/>
      <c r="D73" s="57"/>
      <c r="E73" s="57"/>
      <c r="F73" s="57"/>
      <c r="G73" s="57"/>
      <c r="H73" s="57"/>
      <c r="I73" s="57"/>
      <c r="J73" s="57"/>
      <c r="K73" s="59" t="str">
        <f t="shared" si="4"/>
        <v>0.00 (0.00 – 0.00)</v>
      </c>
      <c r="L73" s="16" t="str">
        <f t="shared" si="5"/>
        <v>0.00
(0.00 – 0.00)</v>
      </c>
      <c r="M73" s="57"/>
      <c r="N73" s="59"/>
      <c r="O73" s="16"/>
    </row>
    <row r="74" spans="3:15" ht="15" hidden="1" customHeight="1" x14ac:dyDescent="0.25">
      <c r="C74" s="56"/>
      <c r="D74" s="57"/>
      <c r="E74" s="57"/>
      <c r="F74" s="57"/>
      <c r="G74" s="57"/>
      <c r="H74" s="57"/>
      <c r="I74" s="57"/>
      <c r="J74" s="57"/>
      <c r="K74" s="59" t="str">
        <f t="shared" si="4"/>
        <v>0.00 (0.00 – 0.00)</v>
      </c>
      <c r="L74" s="16" t="str">
        <f t="shared" si="5"/>
        <v>0.00
(0.00 – 0.00)</v>
      </c>
      <c r="M74" s="57"/>
      <c r="N74" s="59"/>
      <c r="O74" s="16"/>
    </row>
    <row r="75" spans="3:15" ht="15" hidden="1" customHeight="1" x14ac:dyDescent="0.25">
      <c r="C75" s="56"/>
      <c r="D75" s="57"/>
      <c r="E75" s="57"/>
      <c r="F75" s="57"/>
      <c r="G75" s="57"/>
      <c r="H75" s="57"/>
      <c r="I75" s="57"/>
      <c r="J75" s="57"/>
      <c r="K75" s="59" t="str">
        <f t="shared" si="4"/>
        <v>0.00 (0.00 – 0.00)</v>
      </c>
      <c r="L75" s="16" t="str">
        <f t="shared" si="5"/>
        <v>0.00
(0.00 – 0.00)</v>
      </c>
      <c r="M75" s="57"/>
      <c r="N75" s="59"/>
      <c r="O75" s="16"/>
    </row>
    <row r="76" spans="3:15" ht="15" hidden="1" customHeight="1" x14ac:dyDescent="0.25">
      <c r="C76" s="56"/>
      <c r="D76" s="57"/>
      <c r="E76" s="57"/>
      <c r="F76" s="57"/>
      <c r="G76" s="57"/>
      <c r="H76" s="57"/>
      <c r="I76" s="57"/>
      <c r="J76" s="57"/>
      <c r="K76" s="59" t="str">
        <f t="shared" si="4"/>
        <v>0.00 (0.00 – 0.00)</v>
      </c>
      <c r="L76" s="16" t="str">
        <f t="shared" si="5"/>
        <v>0.00
(0.00 – 0.00)</v>
      </c>
      <c r="M76" s="57"/>
      <c r="N76" s="59"/>
      <c r="O76" s="16"/>
    </row>
    <row r="77" spans="3:15" ht="15" hidden="1" customHeight="1" x14ac:dyDescent="0.25">
      <c r="C77" s="56"/>
      <c r="D77" s="57"/>
      <c r="E77" s="57"/>
      <c r="F77" s="57"/>
      <c r="G77" s="57"/>
      <c r="H77" s="57"/>
      <c r="I77" s="57"/>
      <c r="J77" s="57"/>
      <c r="K77" s="59" t="str">
        <f t="shared" si="4"/>
        <v>0.00 (0.00 – 0.00)</v>
      </c>
      <c r="L77" s="16" t="str">
        <f t="shared" si="5"/>
        <v>0.00
(0.00 – 0.00)</v>
      </c>
      <c r="M77" s="57"/>
      <c r="N77" s="59"/>
      <c r="O77" s="16"/>
    </row>
    <row r="78" spans="3:15" ht="15" hidden="1" customHeight="1" x14ac:dyDescent="0.25">
      <c r="C78" s="56"/>
      <c r="D78" s="57"/>
      <c r="E78" s="57"/>
      <c r="F78" s="57"/>
      <c r="G78" s="57"/>
      <c r="H78" s="57"/>
      <c r="I78" s="57"/>
      <c r="J78" s="57"/>
      <c r="K78" s="59" t="str">
        <f t="shared" si="4"/>
        <v>0.00 (0.00 – 0.00)</v>
      </c>
      <c r="L78" s="16" t="str">
        <f t="shared" si="5"/>
        <v>0.00
(0.00 – 0.00)</v>
      </c>
      <c r="M78" s="57"/>
      <c r="N78" s="59"/>
      <c r="O78" s="16"/>
    </row>
    <row r="79" spans="3:15" ht="15" hidden="1" customHeight="1" x14ac:dyDescent="0.25">
      <c r="C79" s="56"/>
      <c r="D79" s="57"/>
      <c r="E79" s="57"/>
      <c r="F79" s="57"/>
      <c r="G79" s="57"/>
      <c r="H79" s="57"/>
      <c r="I79" s="57"/>
      <c r="J79" s="57"/>
      <c r="K79" s="59" t="str">
        <f t="shared" si="4"/>
        <v>0.00 (0.00 – 0.00)</v>
      </c>
      <c r="L79" s="16" t="str">
        <f t="shared" si="5"/>
        <v>0.00
(0.00 – 0.00)</v>
      </c>
      <c r="M79" s="57"/>
      <c r="N79" s="59"/>
      <c r="O79" s="16"/>
    </row>
    <row r="80" spans="3:15" ht="15" hidden="1" customHeight="1" x14ac:dyDescent="0.25">
      <c r="C80" s="56"/>
      <c r="D80" s="57"/>
      <c r="E80" s="57"/>
      <c r="F80" s="57"/>
      <c r="G80" s="57"/>
      <c r="H80" s="57"/>
      <c r="I80" s="57"/>
      <c r="J80" s="57"/>
      <c r="K80" s="59" t="str">
        <f t="shared" si="4"/>
        <v>0.00 (0.00 – 0.00)</v>
      </c>
      <c r="L80" s="16" t="str">
        <f t="shared" si="5"/>
        <v>0.00
(0.00 – 0.00)</v>
      </c>
      <c r="M80" s="57"/>
      <c r="N80" s="59"/>
      <c r="O80" s="16"/>
    </row>
    <row r="81" spans="3:15" ht="15" hidden="1" customHeight="1" x14ac:dyDescent="0.25">
      <c r="C81" s="56"/>
      <c r="D81" s="57"/>
      <c r="E81" s="57"/>
      <c r="F81" s="57"/>
      <c r="G81" s="57"/>
      <c r="H81" s="57"/>
      <c r="I81" s="57"/>
      <c r="J81" s="57"/>
      <c r="K81" s="59" t="str">
        <f t="shared" si="4"/>
        <v>0.00 (0.00 – 0.00)</v>
      </c>
      <c r="L81" s="16" t="str">
        <f t="shared" si="5"/>
        <v>0.00
(0.00 – 0.00)</v>
      </c>
      <c r="M81" s="57"/>
      <c r="N81" s="59"/>
      <c r="O81" s="16"/>
    </row>
    <row r="82" spans="3:15" ht="15" hidden="1" customHeight="1" x14ac:dyDescent="0.25">
      <c r="C82" s="56"/>
      <c r="D82" s="57"/>
      <c r="E82" s="57"/>
      <c r="F82" s="57"/>
      <c r="G82" s="57"/>
      <c r="H82" s="57"/>
      <c r="I82" s="57"/>
      <c r="J82" s="57"/>
      <c r="K82" s="59" t="str">
        <f t="shared" si="4"/>
        <v>0.00 (0.00 – 0.00)</v>
      </c>
      <c r="L82" s="16" t="str">
        <f t="shared" si="5"/>
        <v>0.00
(0.00 – 0.00)</v>
      </c>
      <c r="M82" s="57"/>
      <c r="N82" s="59"/>
      <c r="O82" s="16"/>
    </row>
    <row r="83" spans="3:15" ht="15" hidden="1" customHeight="1" x14ac:dyDescent="0.25">
      <c r="C83" s="56"/>
      <c r="D83" s="57"/>
      <c r="E83" s="57"/>
      <c r="F83" s="57"/>
      <c r="G83" s="57"/>
      <c r="H83" s="57"/>
      <c r="I83" s="57"/>
      <c r="J83" s="57"/>
      <c r="K83" s="59" t="str">
        <f t="shared" si="4"/>
        <v>0.00 (0.00 – 0.00)</v>
      </c>
      <c r="L83" s="16" t="str">
        <f t="shared" si="5"/>
        <v>0.00
(0.00 – 0.00)</v>
      </c>
      <c r="M83" s="57"/>
      <c r="N83" s="59"/>
      <c r="O83" s="16"/>
    </row>
    <row r="84" spans="3:15" ht="15" hidden="1" customHeight="1" x14ac:dyDescent="0.25">
      <c r="C84" s="56"/>
      <c r="D84" s="57"/>
      <c r="E84" s="57"/>
      <c r="F84" s="57"/>
      <c r="G84" s="57"/>
      <c r="H84" s="57"/>
      <c r="I84" s="57"/>
      <c r="J84" s="57"/>
      <c r="K84" s="59" t="str">
        <f t="shared" si="4"/>
        <v>0.00 (0.00 – 0.00)</v>
      </c>
      <c r="L84" s="16" t="str">
        <f t="shared" si="5"/>
        <v>0.00
(0.00 – 0.00)</v>
      </c>
      <c r="M84" s="57"/>
      <c r="N84" s="59"/>
      <c r="O84" s="16"/>
    </row>
    <row r="85" spans="3:15" ht="15" hidden="1" customHeight="1" x14ac:dyDescent="0.25">
      <c r="C85" s="56"/>
      <c r="D85" s="57"/>
      <c r="E85" s="57"/>
      <c r="F85" s="57"/>
      <c r="G85" s="57"/>
      <c r="H85" s="57"/>
      <c r="I85" s="57"/>
      <c r="J85" s="57"/>
      <c r="K85" s="59" t="str">
        <f t="shared" si="4"/>
        <v>0.00 (0.00 – 0.00)</v>
      </c>
      <c r="L85" s="16" t="str">
        <f t="shared" si="5"/>
        <v>0.00
(0.00 – 0.00)</v>
      </c>
      <c r="M85" s="57"/>
      <c r="N85" s="59"/>
      <c r="O85" s="16"/>
    </row>
    <row r="86" spans="3:15" ht="15" hidden="1" customHeight="1" x14ac:dyDescent="0.25">
      <c r="C86" s="56"/>
      <c r="D86" s="57"/>
      <c r="E86" s="57"/>
      <c r="F86" s="57"/>
      <c r="G86" s="57"/>
      <c r="H86" s="57"/>
      <c r="I86" s="57"/>
      <c r="J86" s="57"/>
      <c r="K86" s="59" t="str">
        <f t="shared" si="4"/>
        <v>0.00 (0.00 – 0.00)</v>
      </c>
      <c r="L86" s="16" t="str">
        <f t="shared" si="5"/>
        <v>0.00
(0.00 – 0.00)</v>
      </c>
      <c r="M86" s="57"/>
      <c r="N86" s="59"/>
      <c r="O86" s="16"/>
    </row>
    <row r="87" spans="3:15" ht="15" hidden="1" customHeight="1" x14ac:dyDescent="0.25">
      <c r="C87" s="56"/>
      <c r="D87" s="57"/>
      <c r="E87" s="57"/>
      <c r="F87" s="57"/>
      <c r="G87" s="57"/>
      <c r="H87" s="57"/>
      <c r="I87" s="57"/>
      <c r="J87" s="57"/>
      <c r="K87" s="59" t="str">
        <f t="shared" si="4"/>
        <v>0.00 (0.00 – 0.00)</v>
      </c>
      <c r="L87" s="16" t="str">
        <f t="shared" si="5"/>
        <v>0.00
(0.00 – 0.00)</v>
      </c>
      <c r="M87" s="57"/>
      <c r="N87" s="59"/>
      <c r="O87" s="16"/>
    </row>
    <row r="88" spans="3:15" ht="15" hidden="1" customHeight="1" x14ac:dyDescent="0.25">
      <c r="C88" s="56"/>
      <c r="D88" s="57"/>
      <c r="E88" s="57"/>
      <c r="F88" s="57"/>
      <c r="G88" s="57"/>
      <c r="H88" s="57"/>
      <c r="I88" s="57"/>
      <c r="J88" s="57"/>
      <c r="K88" s="59" t="str">
        <f t="shared" si="4"/>
        <v>0.00 (0.00 – 0.00)</v>
      </c>
      <c r="L88" s="16" t="str">
        <f t="shared" si="5"/>
        <v>0.00
(0.00 – 0.00)</v>
      </c>
      <c r="M88" s="57"/>
      <c r="N88" s="59"/>
      <c r="O88" s="16"/>
    </row>
    <row r="89" spans="3:15" ht="15" hidden="1" customHeight="1" x14ac:dyDescent="0.25">
      <c r="C89" s="56"/>
      <c r="D89" s="57"/>
      <c r="E89" s="57"/>
      <c r="F89" s="57"/>
      <c r="G89" s="57"/>
      <c r="H89" s="57"/>
      <c r="I89" s="57"/>
      <c r="J89" s="57"/>
      <c r="K89" s="59" t="str">
        <f t="shared" si="4"/>
        <v>0.00 (0.00 – 0.00)</v>
      </c>
      <c r="L89" s="16" t="str">
        <f t="shared" si="5"/>
        <v>0.00
(0.00 – 0.00)</v>
      </c>
      <c r="M89" s="57"/>
      <c r="N89" s="59"/>
      <c r="O89" s="16"/>
    </row>
    <row r="90" spans="3:15" ht="15" hidden="1" customHeight="1" x14ac:dyDescent="0.25">
      <c r="C90" s="56"/>
      <c r="D90" s="57"/>
      <c r="E90" s="57"/>
      <c r="F90" s="57"/>
      <c r="G90" s="57"/>
      <c r="H90" s="57"/>
      <c r="I90" s="57"/>
      <c r="J90" s="57"/>
      <c r="K90" s="59" t="str">
        <f t="shared" si="4"/>
        <v>0.00 (0.00 – 0.00)</v>
      </c>
      <c r="L90" s="16" t="str">
        <f t="shared" si="5"/>
        <v>0.00
(0.00 – 0.00)</v>
      </c>
      <c r="M90" s="57"/>
      <c r="N90" s="59"/>
      <c r="O90" s="16"/>
    </row>
    <row r="91" spans="3:15" ht="15" hidden="1" customHeight="1" x14ac:dyDescent="0.25">
      <c r="C91" s="56"/>
      <c r="D91" s="57"/>
      <c r="E91" s="57"/>
      <c r="F91" s="57"/>
      <c r="G91" s="57"/>
      <c r="H91" s="57"/>
      <c r="I91" s="57"/>
      <c r="J91" s="57"/>
      <c r="K91" s="59" t="str">
        <f t="shared" si="4"/>
        <v>0.00 (0.00 – 0.00)</v>
      </c>
      <c r="L91" s="16" t="str">
        <f t="shared" si="5"/>
        <v>0.00
(0.00 – 0.00)</v>
      </c>
      <c r="M91" s="57"/>
      <c r="N91" s="59"/>
      <c r="O91" s="16"/>
    </row>
    <row r="92" spans="3:15" ht="15" hidden="1" customHeight="1" x14ac:dyDescent="0.25">
      <c r="C92" s="56"/>
      <c r="D92" s="57"/>
      <c r="E92" s="57"/>
      <c r="F92" s="57"/>
      <c r="G92" s="57"/>
      <c r="H92" s="57"/>
      <c r="I92" s="57"/>
      <c r="J92" s="57"/>
      <c r="K92" s="59" t="str">
        <f t="shared" si="4"/>
        <v>0.00 (0.00 – 0.00)</v>
      </c>
      <c r="L92" s="16" t="str">
        <f t="shared" si="5"/>
        <v>0.00
(0.00 – 0.00)</v>
      </c>
      <c r="M92" s="57"/>
      <c r="N92" s="59"/>
      <c r="O92" s="16"/>
    </row>
    <row r="93" spans="3:15" ht="15" hidden="1" customHeight="1" x14ac:dyDescent="0.25">
      <c r="C93" s="56"/>
      <c r="D93" s="57"/>
      <c r="E93" s="57"/>
      <c r="F93" s="57"/>
      <c r="G93" s="57"/>
      <c r="H93" s="57"/>
      <c r="I93" s="57"/>
      <c r="J93" s="57"/>
      <c r="K93" s="59" t="str">
        <f t="shared" si="4"/>
        <v>0.00 (0.00 – 0.00)</v>
      </c>
      <c r="L93" s="16" t="str">
        <f t="shared" si="5"/>
        <v>0.00
(0.00 – 0.00)</v>
      </c>
      <c r="M93" s="57"/>
      <c r="N93" s="59"/>
      <c r="O93" s="16"/>
    </row>
    <row r="94" spans="3:15" ht="15" hidden="1" customHeight="1" x14ac:dyDescent="0.25">
      <c r="C94" s="56"/>
      <c r="D94" s="57"/>
      <c r="E94" s="57"/>
      <c r="F94" s="57"/>
      <c r="G94" s="57"/>
      <c r="H94" s="57"/>
      <c r="I94" s="57"/>
      <c r="J94" s="57"/>
      <c r="K94" s="59" t="str">
        <f t="shared" si="4"/>
        <v>0.00 (0.00 – 0.00)</v>
      </c>
      <c r="L94" s="16" t="str">
        <f t="shared" si="5"/>
        <v>0.00
(0.00 – 0.00)</v>
      </c>
      <c r="M94" s="57"/>
      <c r="N94" s="59"/>
      <c r="O94" s="16"/>
    </row>
    <row r="95" spans="3:15" ht="15" hidden="1" customHeight="1" x14ac:dyDescent="0.25">
      <c r="C95" s="56"/>
      <c r="D95" s="57"/>
      <c r="E95" s="57"/>
      <c r="F95" s="57"/>
      <c r="G95" s="57"/>
      <c r="H95" s="57"/>
      <c r="I95" s="57"/>
      <c r="J95" s="57"/>
      <c r="K95" s="59" t="str">
        <f t="shared" si="4"/>
        <v>0.00 (0.00 – 0.00)</v>
      </c>
      <c r="L95" s="16" t="str">
        <f t="shared" si="5"/>
        <v>0.00
(0.00 – 0.00)</v>
      </c>
      <c r="M95" s="57"/>
      <c r="N95" s="59"/>
      <c r="O95" s="16"/>
    </row>
    <row r="96" spans="3:15" ht="15" hidden="1" customHeight="1" x14ac:dyDescent="0.25">
      <c r="C96" s="56"/>
      <c r="D96" s="57"/>
      <c r="E96" s="57"/>
      <c r="F96" s="57"/>
      <c r="G96" s="57"/>
      <c r="H96" s="57"/>
      <c r="I96" s="57"/>
      <c r="J96" s="57"/>
      <c r="K96" s="59" t="str">
        <f t="shared" si="4"/>
        <v>0.00 (0.00 – 0.00)</v>
      </c>
      <c r="L96" s="16" t="str">
        <f t="shared" si="5"/>
        <v>0.00
(0.00 – 0.00)</v>
      </c>
      <c r="M96" s="57"/>
      <c r="N96" s="59"/>
      <c r="O96" s="16"/>
    </row>
    <row r="97" spans="3:15" ht="15" hidden="1" customHeight="1" x14ac:dyDescent="0.25">
      <c r="C97" s="56"/>
      <c r="D97" s="57"/>
      <c r="E97" s="57"/>
      <c r="F97" s="57"/>
      <c r="G97" s="57"/>
      <c r="H97" s="57"/>
      <c r="I97" s="57"/>
      <c r="J97" s="57"/>
      <c r="K97" s="59" t="str">
        <f t="shared" si="4"/>
        <v>0.00 (0.00 – 0.00)</v>
      </c>
      <c r="L97" s="16" t="str">
        <f t="shared" si="5"/>
        <v>0.00
(0.00 – 0.00)</v>
      </c>
      <c r="M97" s="57"/>
      <c r="N97" s="59"/>
      <c r="O97" s="16"/>
    </row>
    <row r="98" spans="3:15" ht="15" hidden="1" customHeight="1" x14ac:dyDescent="0.25">
      <c r="C98" s="56"/>
      <c r="D98" s="57"/>
      <c r="E98" s="57"/>
      <c r="F98" s="57"/>
      <c r="G98" s="57"/>
      <c r="H98" s="57"/>
      <c r="I98" s="57"/>
      <c r="J98" s="57"/>
      <c r="K98" s="59" t="str">
        <f t="shared" si="4"/>
        <v>0.00 (0.00 – 0.00)</v>
      </c>
      <c r="L98" s="16" t="str">
        <f t="shared" si="5"/>
        <v>0.00
(0.00 – 0.00)</v>
      </c>
      <c r="M98" s="57"/>
      <c r="N98" s="59"/>
      <c r="O98" s="16"/>
    </row>
    <row r="99" spans="3:15" ht="15" hidden="1" customHeight="1" x14ac:dyDescent="0.25">
      <c r="C99" s="56"/>
      <c r="D99" s="57"/>
      <c r="E99" s="57"/>
      <c r="F99" s="57"/>
      <c r="G99" s="57"/>
      <c r="H99" s="57"/>
      <c r="I99" s="57"/>
      <c r="J99" s="57"/>
      <c r="K99" s="59" t="str">
        <f t="shared" si="4"/>
        <v>0.00 (0.00 – 0.00)</v>
      </c>
      <c r="L99" s="16" t="str">
        <f t="shared" si="5"/>
        <v>0.00
(0.00 – 0.00)</v>
      </c>
      <c r="M99" s="57"/>
      <c r="N99" s="59"/>
      <c r="O99" s="16"/>
    </row>
    <row r="100" spans="3:15" ht="15" hidden="1" customHeight="1" x14ac:dyDescent="0.25">
      <c r="C100" s="56"/>
      <c r="D100" s="57"/>
      <c r="E100" s="57"/>
      <c r="F100" s="57"/>
      <c r="G100" s="57"/>
      <c r="H100" s="57"/>
      <c r="I100" s="57"/>
      <c r="J100" s="57"/>
      <c r="K100" s="59" t="str">
        <f t="shared" si="4"/>
        <v>0.00 (0.00 – 0.00)</v>
      </c>
      <c r="L100" s="16" t="str">
        <f t="shared" si="5"/>
        <v>0.00
(0.00 – 0.00)</v>
      </c>
      <c r="M100" s="57"/>
      <c r="N100" s="59"/>
      <c r="O100" s="16"/>
    </row>
    <row r="101" spans="3:15" ht="15" hidden="1" customHeight="1" x14ac:dyDescent="0.25">
      <c r="C101" s="56"/>
      <c r="D101" s="57"/>
      <c r="E101" s="57"/>
      <c r="F101" s="57"/>
      <c r="G101" s="57"/>
      <c r="H101" s="57"/>
      <c r="I101" s="57"/>
      <c r="J101" s="57"/>
      <c r="K101" s="59" t="str">
        <f t="shared" si="4"/>
        <v>0.00 (0.00 – 0.00)</v>
      </c>
      <c r="L101" s="16" t="str">
        <f t="shared" si="5"/>
        <v>0.00
(0.00 – 0.00)</v>
      </c>
      <c r="M101" s="57"/>
      <c r="N101" s="59"/>
      <c r="O101" s="16"/>
    </row>
    <row r="102" spans="3:15" ht="15" hidden="1" customHeight="1" x14ac:dyDescent="0.25">
      <c r="C102" s="56"/>
      <c r="D102" s="57"/>
      <c r="E102" s="57"/>
      <c r="F102" s="57"/>
      <c r="G102" s="57"/>
      <c r="H102" s="57"/>
      <c r="I102" s="57"/>
      <c r="J102" s="57"/>
      <c r="K102" s="59" t="str">
        <f t="shared" si="4"/>
        <v>0.00 (0.00 – 0.00)</v>
      </c>
      <c r="L102" s="16" t="str">
        <f t="shared" si="5"/>
        <v>0.00
(0.00 – 0.00)</v>
      </c>
      <c r="M102" s="57"/>
      <c r="N102" s="59"/>
      <c r="O102" s="16"/>
    </row>
    <row r="103" spans="3:15" ht="15" hidden="1" customHeight="1" x14ac:dyDescent="0.25">
      <c r="C103" s="56"/>
      <c r="D103" s="57"/>
      <c r="E103" s="57"/>
      <c r="F103" s="57"/>
      <c r="G103" s="57"/>
      <c r="H103" s="57"/>
      <c r="I103" s="57"/>
      <c r="J103" s="57"/>
      <c r="K103" s="59" t="str">
        <f t="shared" si="4"/>
        <v>0.00 (0.00 – 0.00)</v>
      </c>
      <c r="L103" s="16" t="str">
        <f t="shared" si="5"/>
        <v>0.00
(0.00 – 0.00)</v>
      </c>
      <c r="M103" s="57"/>
      <c r="N103" s="59"/>
      <c r="O103" s="16"/>
    </row>
    <row r="104" spans="3:15" ht="15" hidden="1" customHeight="1" x14ac:dyDescent="0.25">
      <c r="C104" s="56"/>
      <c r="D104" s="57"/>
      <c r="E104" s="57"/>
      <c r="F104" s="57"/>
      <c r="G104" s="57"/>
      <c r="H104" s="57"/>
      <c r="I104" s="57"/>
      <c r="J104" s="57"/>
      <c r="K104" s="59" t="str">
        <f t="shared" si="4"/>
        <v>0.00 (0.00 – 0.00)</v>
      </c>
      <c r="L104" s="16" t="str">
        <f t="shared" si="5"/>
        <v>0.00
(0.00 – 0.00)</v>
      </c>
      <c r="M104" s="57"/>
      <c r="N104" s="59"/>
      <c r="O104" s="16"/>
    </row>
    <row r="105" spans="3:15" ht="15" hidden="1" customHeight="1" x14ac:dyDescent="0.25">
      <c r="C105" s="56"/>
      <c r="D105" s="57"/>
      <c r="E105" s="57"/>
      <c r="F105" s="57"/>
      <c r="G105" s="57"/>
      <c r="H105" s="57"/>
      <c r="I105" s="57"/>
      <c r="J105" s="57"/>
      <c r="K105" s="59" t="str">
        <f t="shared" si="4"/>
        <v>0.00 (0.00 – 0.00)</v>
      </c>
      <c r="L105" s="16" t="str">
        <f t="shared" si="5"/>
        <v>0.00
(0.00 – 0.00)</v>
      </c>
      <c r="M105" s="57"/>
      <c r="N105" s="59"/>
      <c r="O105" s="16"/>
    </row>
    <row r="106" spans="3:15" ht="15" hidden="1" customHeight="1" x14ac:dyDescent="0.25">
      <c r="C106" s="56"/>
      <c r="D106" s="57"/>
      <c r="E106" s="57"/>
      <c r="F106" s="57"/>
      <c r="G106" s="57"/>
      <c r="H106" s="57"/>
      <c r="I106" s="57"/>
      <c r="J106" s="57"/>
      <c r="K106" s="59" t="str">
        <f t="shared" si="4"/>
        <v>0.00 (0.00 – 0.00)</v>
      </c>
      <c r="L106" s="16" t="str">
        <f t="shared" si="5"/>
        <v>0.00
(0.00 – 0.00)</v>
      </c>
      <c r="M106" s="57"/>
      <c r="N106" s="59"/>
      <c r="O106" s="16"/>
    </row>
    <row r="107" spans="3:15" ht="15" hidden="1" customHeight="1" x14ac:dyDescent="0.25">
      <c r="C107" s="56"/>
      <c r="D107" s="57"/>
      <c r="E107" s="57"/>
      <c r="F107" s="57"/>
      <c r="G107" s="57"/>
      <c r="H107" s="57"/>
      <c r="I107" s="57"/>
      <c r="J107" s="57"/>
      <c r="K107" s="59" t="str">
        <f t="shared" si="4"/>
        <v>0.00 (0.00 – 0.00)</v>
      </c>
      <c r="L107" s="16" t="str">
        <f t="shared" si="5"/>
        <v>0.00
(0.00 – 0.00)</v>
      </c>
      <c r="M107" s="57"/>
      <c r="N107" s="59"/>
      <c r="O107" s="16"/>
    </row>
    <row r="108" spans="3:15" ht="15" hidden="1" customHeight="1" x14ac:dyDescent="0.25">
      <c r="C108" s="56"/>
      <c r="D108" s="57"/>
      <c r="E108" s="57"/>
      <c r="F108" s="57"/>
      <c r="G108" s="57"/>
      <c r="H108" s="57"/>
      <c r="I108" s="57"/>
      <c r="J108" s="57"/>
      <c r="K108" s="59" t="str">
        <f t="shared" si="4"/>
        <v>0.00 (0.00 – 0.00)</v>
      </c>
      <c r="L108" s="16" t="str">
        <f t="shared" si="5"/>
        <v>0.00
(0.00 – 0.00)</v>
      </c>
      <c r="M108" s="57"/>
      <c r="N108" s="59"/>
      <c r="O108" s="16"/>
    </row>
    <row r="109" spans="3:15" ht="15" hidden="1" customHeight="1" x14ac:dyDescent="0.25">
      <c r="C109" s="56"/>
      <c r="D109" s="57"/>
      <c r="E109" s="57"/>
      <c r="F109" s="57"/>
      <c r="G109" s="57"/>
      <c r="H109" s="57"/>
      <c r="I109" s="57"/>
      <c r="J109" s="57"/>
      <c r="K109" s="59" t="str">
        <f t="shared" si="4"/>
        <v>0.00 (0.00 – 0.00)</v>
      </c>
      <c r="L109" s="16" t="str">
        <f t="shared" si="5"/>
        <v>0.00
(0.00 – 0.00)</v>
      </c>
      <c r="M109" s="57"/>
      <c r="N109" s="59"/>
      <c r="O109" s="16"/>
    </row>
    <row r="110" spans="3:15" ht="15" hidden="1" customHeight="1" x14ac:dyDescent="0.25">
      <c r="C110" s="56"/>
      <c r="D110" s="57"/>
      <c r="E110" s="57"/>
      <c r="F110" s="57"/>
      <c r="G110" s="57"/>
      <c r="H110" s="57"/>
      <c r="I110" s="57"/>
      <c r="J110" s="57"/>
      <c r="K110" s="59" t="str">
        <f t="shared" si="4"/>
        <v>0.00 (0.00 – 0.00)</v>
      </c>
      <c r="L110" s="16" t="str">
        <f t="shared" si="5"/>
        <v>0.00
(0.00 – 0.00)</v>
      </c>
      <c r="M110" s="57"/>
      <c r="N110" s="59"/>
      <c r="O110" s="16"/>
    </row>
    <row r="111" spans="3:15" ht="15" hidden="1" customHeight="1" x14ac:dyDescent="0.25">
      <c r="C111" s="56"/>
      <c r="D111" s="57"/>
      <c r="E111" s="57"/>
      <c r="F111" s="57"/>
      <c r="G111" s="57"/>
      <c r="H111" s="57"/>
      <c r="I111" s="57"/>
      <c r="J111" s="57"/>
      <c r="K111" s="59" t="str">
        <f t="shared" si="4"/>
        <v>0.00 (0.00 – 0.00)</v>
      </c>
      <c r="L111" s="16" t="str">
        <f t="shared" si="5"/>
        <v>0.00
(0.00 – 0.00)</v>
      </c>
      <c r="M111" s="57"/>
      <c r="N111" s="59"/>
      <c r="O111" s="16"/>
    </row>
    <row r="112" spans="3:15" ht="15" hidden="1" customHeight="1" x14ac:dyDescent="0.25">
      <c r="C112" s="56"/>
      <c r="D112" s="57"/>
      <c r="E112" s="57"/>
      <c r="F112" s="57"/>
      <c r="G112" s="57"/>
      <c r="H112" s="57"/>
      <c r="I112" s="57"/>
      <c r="J112" s="57"/>
      <c r="K112" s="59" t="str">
        <f t="shared" si="4"/>
        <v>0.00 (0.00 – 0.00)</v>
      </c>
      <c r="L112" s="16" t="str">
        <f t="shared" si="5"/>
        <v>0.00
(0.00 – 0.00)</v>
      </c>
      <c r="M112" s="57"/>
      <c r="N112" s="59"/>
      <c r="O112" s="16"/>
    </row>
    <row r="113" spans="3:15" ht="15" hidden="1" customHeight="1" x14ac:dyDescent="0.25">
      <c r="C113" s="56"/>
      <c r="D113" s="57"/>
      <c r="E113" s="57"/>
      <c r="F113" s="57"/>
      <c r="G113" s="57"/>
      <c r="H113" s="57"/>
      <c r="I113" s="57"/>
      <c r="J113" s="57"/>
      <c r="K113" s="59" t="str">
        <f t="shared" si="4"/>
        <v>0.00 (0.00 – 0.00)</v>
      </c>
      <c r="L113" s="16" t="str">
        <f t="shared" si="5"/>
        <v>0.00
(0.00 – 0.00)</v>
      </c>
      <c r="M113" s="57"/>
      <c r="N113" s="59"/>
      <c r="O113" s="16"/>
    </row>
    <row r="114" spans="3:15" ht="15" hidden="1" customHeight="1" x14ac:dyDescent="0.25">
      <c r="C114" s="56"/>
      <c r="D114" s="57"/>
      <c r="E114" s="57"/>
      <c r="F114" s="57"/>
      <c r="G114" s="57"/>
      <c r="H114" s="57"/>
      <c r="I114" s="57"/>
      <c r="J114" s="57"/>
      <c r="K114" s="59" t="str">
        <f t="shared" si="4"/>
        <v>0.00 (0.00 – 0.00)</v>
      </c>
      <c r="L114" s="16" t="str">
        <f t="shared" si="5"/>
        <v>0.00
(0.00 – 0.00)</v>
      </c>
      <c r="M114" s="57"/>
      <c r="N114" s="59"/>
      <c r="O114" s="16"/>
    </row>
    <row r="115" spans="3:15" ht="15" hidden="1" customHeight="1" x14ac:dyDescent="0.25">
      <c r="C115" s="56"/>
      <c r="D115" s="57"/>
      <c r="E115" s="57"/>
      <c r="F115" s="57"/>
      <c r="G115" s="57"/>
      <c r="H115" s="57"/>
      <c r="I115" s="57"/>
      <c r="J115" s="57"/>
      <c r="K115" s="59" t="str">
        <f t="shared" si="4"/>
        <v>0.00 (0.00 – 0.00)</v>
      </c>
      <c r="L115" s="16" t="str">
        <f t="shared" si="5"/>
        <v>0.00
(0.00 – 0.00)</v>
      </c>
      <c r="M115" s="57"/>
      <c r="N115" s="59"/>
      <c r="O115" s="16"/>
    </row>
    <row r="116" spans="3:15" ht="15" hidden="1" customHeight="1" x14ac:dyDescent="0.25">
      <c r="C116" s="56"/>
      <c r="D116" s="57"/>
      <c r="E116" s="57"/>
      <c r="F116" s="57"/>
      <c r="G116" s="57"/>
      <c r="H116" s="57"/>
      <c r="I116" s="57"/>
      <c r="J116" s="57"/>
      <c r="K116" s="59" t="str">
        <f t="shared" si="4"/>
        <v>0.00 (0.00 – 0.00)</v>
      </c>
      <c r="L116" s="16" t="str">
        <f t="shared" si="5"/>
        <v>0.00
(0.00 – 0.00)</v>
      </c>
      <c r="M116" s="57"/>
      <c r="N116" s="59"/>
      <c r="O116" s="16"/>
    </row>
    <row r="117" spans="3:15" ht="15" hidden="1" customHeight="1" x14ac:dyDescent="0.25">
      <c r="C117" s="56"/>
      <c r="D117" s="57"/>
      <c r="E117" s="57"/>
      <c r="F117" s="57"/>
      <c r="G117" s="57"/>
      <c r="H117" s="57"/>
      <c r="I117" s="57"/>
      <c r="J117" s="57"/>
      <c r="K117" s="59" t="str">
        <f t="shared" si="4"/>
        <v>0.00 (0.00 – 0.00)</v>
      </c>
      <c r="L117" s="16" t="str">
        <f t="shared" si="5"/>
        <v>0.00
(0.00 – 0.00)</v>
      </c>
      <c r="M117" s="57"/>
      <c r="N117" s="59"/>
      <c r="O117" s="16"/>
    </row>
    <row r="118" spans="3:15" ht="15" hidden="1" customHeight="1" x14ac:dyDescent="0.25">
      <c r="C118" s="56"/>
      <c r="D118" s="57"/>
      <c r="E118" s="57"/>
      <c r="F118" s="57"/>
      <c r="G118" s="57"/>
      <c r="H118" s="57"/>
      <c r="I118" s="57"/>
      <c r="J118" s="57"/>
      <c r="K118" s="59" t="str">
        <f t="shared" si="4"/>
        <v>0.00 (0.00 – 0.00)</v>
      </c>
      <c r="L118" s="16" t="str">
        <f t="shared" si="5"/>
        <v>0.00
(0.00 – 0.00)</v>
      </c>
      <c r="M118" s="57"/>
      <c r="N118" s="59"/>
      <c r="O118" s="16"/>
    </row>
    <row r="119" spans="3:15" ht="15" hidden="1" customHeight="1" x14ac:dyDescent="0.25">
      <c r="C119" s="56"/>
      <c r="D119" s="57"/>
      <c r="E119" s="57"/>
      <c r="F119" s="57"/>
      <c r="G119" s="57"/>
      <c r="H119" s="57"/>
      <c r="I119" s="57"/>
      <c r="J119" s="57"/>
      <c r="K119" s="59" t="str">
        <f t="shared" si="4"/>
        <v>0.00 (0.00 – 0.00)</v>
      </c>
      <c r="L119" s="16" t="str">
        <f t="shared" si="5"/>
        <v>0.00
(0.00 – 0.00)</v>
      </c>
      <c r="M119" s="57"/>
      <c r="N119" s="59"/>
      <c r="O119" s="16"/>
    </row>
    <row r="120" spans="3:15" ht="15" hidden="1" customHeight="1" x14ac:dyDescent="0.25">
      <c r="C120" s="56"/>
      <c r="D120" s="57"/>
      <c r="E120" s="57"/>
      <c r="F120" s="57"/>
      <c r="G120" s="57"/>
      <c r="H120" s="57"/>
      <c r="I120" s="57"/>
      <c r="J120" s="57"/>
      <c r="K120" s="59" t="str">
        <f t="shared" si="4"/>
        <v>0.00 (0.00 – 0.00)</v>
      </c>
      <c r="L120" s="16" t="str">
        <f t="shared" si="5"/>
        <v>0.00
(0.00 – 0.00)</v>
      </c>
      <c r="M120" s="57"/>
      <c r="N120" s="59"/>
      <c r="O120" s="16"/>
    </row>
    <row r="121" spans="3:15" ht="15" hidden="1" customHeight="1" x14ac:dyDescent="0.25">
      <c r="C121" s="56"/>
      <c r="D121" s="57"/>
      <c r="E121" s="57"/>
      <c r="F121" s="57"/>
      <c r="G121" s="57"/>
      <c r="H121" s="57"/>
      <c r="I121" s="57"/>
      <c r="J121" s="57"/>
      <c r="K121" s="59" t="str">
        <f t="shared" si="4"/>
        <v>0.00 (0.00 – 0.00)</v>
      </c>
      <c r="L121" s="16" t="str">
        <f t="shared" si="5"/>
        <v>0.00
(0.00 – 0.00)</v>
      </c>
      <c r="M121" s="57"/>
      <c r="N121" s="59"/>
      <c r="O121" s="16"/>
    </row>
    <row r="122" spans="3:15" ht="15" hidden="1" customHeight="1" x14ac:dyDescent="0.25">
      <c r="C122" s="56"/>
      <c r="D122" s="57"/>
      <c r="E122" s="57"/>
      <c r="F122" s="57"/>
      <c r="G122" s="57"/>
      <c r="H122" s="57"/>
      <c r="I122" s="57"/>
      <c r="J122" s="57"/>
      <c r="K122" s="59" t="str">
        <f t="shared" si="4"/>
        <v>0.00 (0.00 – 0.00)</v>
      </c>
      <c r="L122" s="16" t="str">
        <f t="shared" si="5"/>
        <v>0.00
(0.00 – 0.00)</v>
      </c>
      <c r="M122" s="57"/>
      <c r="N122" s="59"/>
      <c r="O122" s="16"/>
    </row>
    <row r="123" spans="3:15" ht="15" hidden="1" customHeight="1" x14ac:dyDescent="0.25">
      <c r="C123" s="56"/>
      <c r="D123" s="57"/>
      <c r="E123" s="57"/>
      <c r="F123" s="57"/>
      <c r="G123" s="57"/>
      <c r="H123" s="57"/>
      <c r="I123" s="57"/>
      <c r="J123" s="57"/>
      <c r="K123" s="59" t="str">
        <f t="shared" si="4"/>
        <v>0.00 (0.00 – 0.00)</v>
      </c>
      <c r="L123" s="16" t="str">
        <f t="shared" si="5"/>
        <v>0.00
(0.00 – 0.00)</v>
      </c>
      <c r="M123" s="57"/>
      <c r="N123" s="59"/>
      <c r="O123" s="16"/>
    </row>
    <row r="124" spans="3:15" ht="15" hidden="1" customHeight="1" x14ac:dyDescent="0.25">
      <c r="C124" s="56"/>
      <c r="D124" s="57"/>
      <c r="E124" s="57"/>
      <c r="F124" s="57"/>
      <c r="G124" s="57"/>
      <c r="H124" s="57"/>
      <c r="I124" s="57"/>
      <c r="J124" s="57"/>
      <c r="K124" s="59" t="str">
        <f t="shared" si="4"/>
        <v>0.00 (0.00 – 0.00)</v>
      </c>
      <c r="L124" s="16" t="str">
        <f t="shared" si="5"/>
        <v>0.00
(0.00 – 0.00)</v>
      </c>
      <c r="M124" s="57"/>
      <c r="N124" s="59"/>
      <c r="O124" s="16"/>
    </row>
    <row r="125" spans="3:15" ht="15" hidden="1" customHeight="1" x14ac:dyDescent="0.25">
      <c r="C125" s="56"/>
      <c r="D125" s="57"/>
      <c r="E125" s="57"/>
      <c r="F125" s="57"/>
      <c r="G125" s="57"/>
      <c r="H125" s="57"/>
      <c r="I125" s="57"/>
      <c r="J125" s="57"/>
      <c r="K125" s="59" t="str">
        <f t="shared" si="4"/>
        <v>0.00 (0.00 – 0.00)</v>
      </c>
      <c r="L125" s="16" t="str">
        <f t="shared" si="5"/>
        <v>0.00
(0.00 – 0.00)</v>
      </c>
      <c r="M125" s="57"/>
      <c r="N125" s="59"/>
      <c r="O125" s="16"/>
    </row>
    <row r="126" spans="3:15" ht="15" hidden="1" customHeight="1" x14ac:dyDescent="0.25">
      <c r="C126" s="56"/>
      <c r="D126" s="57"/>
      <c r="E126" s="57"/>
      <c r="F126" s="57"/>
      <c r="G126" s="57"/>
      <c r="H126" s="57"/>
      <c r="I126" s="57"/>
      <c r="J126" s="57"/>
      <c r="K126" s="59" t="str">
        <f t="shared" si="4"/>
        <v>0.00 (0.00 – 0.00)</v>
      </c>
      <c r="L126" s="16" t="str">
        <f t="shared" si="5"/>
        <v>0.00
(0.00 – 0.00)</v>
      </c>
      <c r="M126" s="57"/>
      <c r="N126" s="59"/>
      <c r="O126" s="16"/>
    </row>
    <row r="127" spans="3:15" ht="15" hidden="1" customHeight="1" x14ac:dyDescent="0.25">
      <c r="C127" s="56"/>
      <c r="D127" s="57"/>
      <c r="E127" s="57"/>
      <c r="F127" s="57"/>
      <c r="G127" s="57"/>
      <c r="H127" s="57"/>
      <c r="I127" s="57"/>
      <c r="J127" s="57"/>
      <c r="K127" s="59" t="str">
        <f t="shared" si="4"/>
        <v>0.00 (0.00 – 0.00)</v>
      </c>
      <c r="L127" s="16" t="str">
        <f t="shared" si="5"/>
        <v>0.00
(0.00 – 0.00)</v>
      </c>
      <c r="M127" s="57"/>
      <c r="N127" s="59"/>
      <c r="O127" s="16"/>
    </row>
    <row r="128" spans="3:15" ht="15" hidden="1" customHeight="1" x14ac:dyDescent="0.25">
      <c r="C128" s="56"/>
      <c r="D128" s="57"/>
      <c r="E128" s="57"/>
      <c r="F128" s="57"/>
      <c r="G128" s="57"/>
      <c r="H128" s="57"/>
      <c r="I128" s="57"/>
      <c r="J128" s="57"/>
      <c r="K128" s="59" t="str">
        <f t="shared" si="4"/>
        <v>0.00 (0.00 – 0.00)</v>
      </c>
      <c r="L128" s="16" t="str">
        <f t="shared" si="5"/>
        <v>0.00
(0.00 – 0.00)</v>
      </c>
      <c r="M128" s="57"/>
      <c r="N128" s="59"/>
      <c r="O128" s="16"/>
    </row>
    <row r="129" spans="3:15" ht="15" hidden="1" customHeight="1" x14ac:dyDescent="0.25">
      <c r="C129" s="56"/>
      <c r="D129" s="57"/>
      <c r="E129" s="57"/>
      <c r="F129" s="57"/>
      <c r="G129" s="57"/>
      <c r="H129" s="57"/>
      <c r="I129" s="57"/>
      <c r="J129" s="57"/>
      <c r="K129" s="59" t="str">
        <f t="shared" si="4"/>
        <v>0.00 (0.00 – 0.00)</v>
      </c>
      <c r="L129" s="16" t="str">
        <f t="shared" si="5"/>
        <v>0.00
(0.00 – 0.00)</v>
      </c>
      <c r="M129" s="57"/>
      <c r="N129" s="59"/>
      <c r="O129" s="16"/>
    </row>
    <row r="130" spans="3:15" ht="15" hidden="1" customHeight="1" x14ac:dyDescent="0.25">
      <c r="C130" s="56"/>
      <c r="D130" s="57"/>
      <c r="E130" s="57"/>
      <c r="F130" s="57"/>
      <c r="G130" s="57"/>
      <c r="H130" s="57"/>
      <c r="I130" s="57"/>
      <c r="J130" s="57"/>
      <c r="K130" s="59" t="str">
        <f t="shared" si="4"/>
        <v>0.00 (0.00 – 0.00)</v>
      </c>
      <c r="L130" s="16" t="str">
        <f t="shared" si="5"/>
        <v>0.00
(0.00 – 0.00)</v>
      </c>
      <c r="M130" s="57"/>
      <c r="N130" s="59"/>
      <c r="O130" s="16"/>
    </row>
    <row r="131" spans="3:15" ht="15" hidden="1" customHeight="1" x14ac:dyDescent="0.25">
      <c r="C131" s="56"/>
      <c r="D131" s="57"/>
      <c r="E131" s="57"/>
      <c r="F131" s="57"/>
      <c r="G131" s="57"/>
      <c r="H131" s="57"/>
      <c r="I131" s="57"/>
      <c r="J131" s="57"/>
      <c r="K131" s="59" t="str">
        <f t="shared" si="4"/>
        <v>0.00 (0.00 – 0.00)</v>
      </c>
      <c r="L131" s="16" t="str">
        <f t="shared" si="5"/>
        <v>0.00
(0.00 – 0.00)</v>
      </c>
      <c r="M131" s="57"/>
      <c r="N131" s="59"/>
      <c r="O131" s="16"/>
    </row>
    <row r="132" spans="3:15" ht="15" hidden="1" customHeight="1" x14ac:dyDescent="0.25">
      <c r="C132" s="56"/>
      <c r="D132" s="57"/>
      <c r="E132" s="57"/>
      <c r="F132" s="57"/>
      <c r="G132" s="57"/>
      <c r="H132" s="57"/>
      <c r="I132" s="57"/>
      <c r="J132" s="57"/>
      <c r="K132" s="59" t="str">
        <f t="shared" si="4"/>
        <v>0.00 (0.00 – 0.00)</v>
      </c>
      <c r="L132" s="16" t="str">
        <f t="shared" si="5"/>
        <v>0.00
(0.00 – 0.00)</v>
      </c>
      <c r="M132" s="57"/>
      <c r="N132" s="59"/>
      <c r="O132" s="16"/>
    </row>
    <row r="133" spans="3:15" ht="15" hidden="1" customHeight="1" x14ac:dyDescent="0.25">
      <c r="C133" s="56"/>
      <c r="D133" s="57"/>
      <c r="E133" s="57"/>
      <c r="F133" s="57"/>
      <c r="G133" s="57"/>
      <c r="H133" s="57"/>
      <c r="I133" s="57"/>
      <c r="J133" s="57"/>
      <c r="K133" s="59" t="str">
        <f t="shared" ref="K133:K196" si="6">CONCATENATE(TEXT(I133,"0.00")," (",TEXT(H133,"0.00")," – ",TEXT(J133,"0.00"),")")</f>
        <v>0.00 (0.00 – 0.00)</v>
      </c>
      <c r="L133" s="16" t="str">
        <f t="shared" si="5"/>
        <v>0.00
(0.00 – 0.00)</v>
      </c>
      <c r="M133" s="57"/>
      <c r="N133" s="59"/>
      <c r="O133" s="16"/>
    </row>
    <row r="134" spans="3:15" ht="15" hidden="1" customHeight="1" x14ac:dyDescent="0.25">
      <c r="C134" s="56"/>
      <c r="D134" s="57"/>
      <c r="E134" s="57"/>
      <c r="F134" s="57"/>
      <c r="G134" s="57"/>
      <c r="H134" s="57"/>
      <c r="I134" s="57"/>
      <c r="J134" s="57"/>
      <c r="K134" s="59" t="str">
        <f t="shared" si="6"/>
        <v>0.00 (0.00 – 0.00)</v>
      </c>
      <c r="L134" s="16" t="str">
        <f t="shared" ref="L134:L197" si="7">CONCATENATE(TEXT(I134,"0.00"),"
(",TEXT(H134,"0.00")," – ",TEXT(J134,"0.00"),")")</f>
        <v>0.00
(0.00 – 0.00)</v>
      </c>
      <c r="M134" s="57"/>
      <c r="N134" s="59"/>
      <c r="O134" s="16"/>
    </row>
    <row r="135" spans="3:15" ht="15" hidden="1" customHeight="1" x14ac:dyDescent="0.25">
      <c r="C135" s="56"/>
      <c r="D135" s="57"/>
      <c r="E135" s="57"/>
      <c r="F135" s="57"/>
      <c r="G135" s="57"/>
      <c r="H135" s="57"/>
      <c r="I135" s="57"/>
      <c r="J135" s="57"/>
      <c r="K135" s="59" t="str">
        <f t="shared" si="6"/>
        <v>0.00 (0.00 – 0.00)</v>
      </c>
      <c r="L135" s="16" t="str">
        <f t="shared" si="7"/>
        <v>0.00
(0.00 – 0.00)</v>
      </c>
      <c r="M135" s="57"/>
      <c r="N135" s="59"/>
      <c r="O135" s="16"/>
    </row>
    <row r="136" spans="3:15" ht="15" hidden="1" customHeight="1" x14ac:dyDescent="0.25">
      <c r="C136" s="56"/>
      <c r="D136" s="57"/>
      <c r="E136" s="57"/>
      <c r="F136" s="57"/>
      <c r="G136" s="57"/>
      <c r="H136" s="57"/>
      <c r="I136" s="57"/>
      <c r="J136" s="57"/>
      <c r="K136" s="59" t="str">
        <f t="shared" si="6"/>
        <v>0.00 (0.00 – 0.00)</v>
      </c>
      <c r="L136" s="16" t="str">
        <f t="shared" si="7"/>
        <v>0.00
(0.00 – 0.00)</v>
      </c>
      <c r="M136" s="57"/>
      <c r="N136" s="59"/>
      <c r="O136" s="16"/>
    </row>
    <row r="137" spans="3:15" ht="15" hidden="1" customHeight="1" x14ac:dyDescent="0.25">
      <c r="C137" s="56"/>
      <c r="D137" s="57"/>
      <c r="E137" s="57"/>
      <c r="F137" s="57"/>
      <c r="G137" s="57"/>
      <c r="H137" s="57"/>
      <c r="I137" s="57"/>
      <c r="J137" s="57"/>
      <c r="K137" s="59" t="str">
        <f t="shared" si="6"/>
        <v>0.00 (0.00 – 0.00)</v>
      </c>
      <c r="L137" s="16" t="str">
        <f t="shared" si="7"/>
        <v>0.00
(0.00 – 0.00)</v>
      </c>
      <c r="M137" s="57"/>
      <c r="N137" s="59"/>
      <c r="O137" s="16"/>
    </row>
    <row r="138" spans="3:15" ht="15" hidden="1" customHeight="1" x14ac:dyDescent="0.25">
      <c r="C138" s="56"/>
      <c r="D138" s="57"/>
      <c r="E138" s="57"/>
      <c r="F138" s="57"/>
      <c r="G138" s="57"/>
      <c r="H138" s="57"/>
      <c r="I138" s="57"/>
      <c r="J138" s="57"/>
      <c r="K138" s="59" t="str">
        <f t="shared" si="6"/>
        <v>0.00 (0.00 – 0.00)</v>
      </c>
      <c r="L138" s="16" t="str">
        <f t="shared" si="7"/>
        <v>0.00
(0.00 – 0.00)</v>
      </c>
      <c r="M138" s="57"/>
      <c r="N138" s="59"/>
      <c r="O138" s="16"/>
    </row>
    <row r="139" spans="3:15" ht="15" hidden="1" customHeight="1" x14ac:dyDescent="0.25">
      <c r="C139" s="56"/>
      <c r="D139" s="57"/>
      <c r="E139" s="57"/>
      <c r="F139" s="57"/>
      <c r="G139" s="57"/>
      <c r="H139" s="57"/>
      <c r="I139" s="57"/>
      <c r="J139" s="57"/>
      <c r="K139" s="59" t="str">
        <f t="shared" si="6"/>
        <v>0.00 (0.00 – 0.00)</v>
      </c>
      <c r="L139" s="16" t="str">
        <f t="shared" si="7"/>
        <v>0.00
(0.00 – 0.00)</v>
      </c>
      <c r="M139" s="57"/>
      <c r="N139" s="59"/>
      <c r="O139" s="16"/>
    </row>
    <row r="140" spans="3:15" ht="15" hidden="1" customHeight="1" x14ac:dyDescent="0.25">
      <c r="C140" s="56"/>
      <c r="D140" s="57"/>
      <c r="E140" s="57"/>
      <c r="F140" s="57"/>
      <c r="G140" s="57"/>
      <c r="H140" s="57"/>
      <c r="I140" s="57"/>
      <c r="J140" s="57"/>
      <c r="K140" s="59" t="str">
        <f t="shared" si="6"/>
        <v>0.00 (0.00 – 0.00)</v>
      </c>
      <c r="L140" s="16" t="str">
        <f t="shared" si="7"/>
        <v>0.00
(0.00 – 0.00)</v>
      </c>
      <c r="M140" s="57"/>
      <c r="N140" s="59"/>
      <c r="O140" s="16"/>
    </row>
    <row r="141" spans="3:15" ht="15" hidden="1" customHeight="1" x14ac:dyDescent="0.25">
      <c r="C141" s="56"/>
      <c r="D141" s="57"/>
      <c r="E141" s="57"/>
      <c r="F141" s="57"/>
      <c r="G141" s="57"/>
      <c r="H141" s="57"/>
      <c r="I141" s="57"/>
      <c r="J141" s="57"/>
      <c r="K141" s="59" t="str">
        <f t="shared" si="6"/>
        <v>0.00 (0.00 – 0.00)</v>
      </c>
      <c r="L141" s="16" t="str">
        <f t="shared" si="7"/>
        <v>0.00
(0.00 – 0.00)</v>
      </c>
      <c r="M141" s="57"/>
      <c r="N141" s="59"/>
      <c r="O141" s="16"/>
    </row>
    <row r="142" spans="3:15" ht="15" hidden="1" customHeight="1" x14ac:dyDescent="0.25">
      <c r="C142" s="56"/>
      <c r="D142" s="57"/>
      <c r="E142" s="57"/>
      <c r="F142" s="57"/>
      <c r="G142" s="57"/>
      <c r="H142" s="57"/>
      <c r="I142" s="57"/>
      <c r="J142" s="57"/>
      <c r="K142" s="59" t="str">
        <f t="shared" si="6"/>
        <v>0.00 (0.00 – 0.00)</v>
      </c>
      <c r="L142" s="16" t="str">
        <f t="shared" si="7"/>
        <v>0.00
(0.00 – 0.00)</v>
      </c>
      <c r="M142" s="57"/>
      <c r="N142" s="59"/>
      <c r="O142" s="16"/>
    </row>
    <row r="143" spans="3:15" ht="15" hidden="1" customHeight="1" x14ac:dyDescent="0.25">
      <c r="C143" s="56"/>
      <c r="D143" s="57"/>
      <c r="E143" s="57"/>
      <c r="F143" s="57"/>
      <c r="G143" s="57"/>
      <c r="H143" s="57"/>
      <c r="I143" s="57"/>
      <c r="J143" s="57"/>
      <c r="K143" s="59" t="str">
        <f t="shared" si="6"/>
        <v>0.00 (0.00 – 0.00)</v>
      </c>
      <c r="L143" s="16" t="str">
        <f t="shared" si="7"/>
        <v>0.00
(0.00 – 0.00)</v>
      </c>
      <c r="M143" s="57"/>
      <c r="N143" s="59"/>
      <c r="O143" s="16"/>
    </row>
    <row r="144" spans="3:15" ht="15" hidden="1" customHeight="1" x14ac:dyDescent="0.25">
      <c r="C144" s="56"/>
      <c r="D144" s="57"/>
      <c r="E144" s="57"/>
      <c r="F144" s="57"/>
      <c r="G144" s="57"/>
      <c r="H144" s="57"/>
      <c r="I144" s="57"/>
      <c r="J144" s="57"/>
      <c r="K144" s="59" t="str">
        <f t="shared" si="6"/>
        <v>0.00 (0.00 – 0.00)</v>
      </c>
      <c r="L144" s="16" t="str">
        <f t="shared" si="7"/>
        <v>0.00
(0.00 – 0.00)</v>
      </c>
      <c r="M144" s="57"/>
      <c r="N144" s="59"/>
      <c r="O144" s="16"/>
    </row>
    <row r="145" spans="3:15" ht="15" hidden="1" customHeight="1" x14ac:dyDescent="0.25">
      <c r="C145" s="56"/>
      <c r="D145" s="57"/>
      <c r="E145" s="57"/>
      <c r="F145" s="57"/>
      <c r="G145" s="57"/>
      <c r="H145" s="57"/>
      <c r="I145" s="57"/>
      <c r="J145" s="57"/>
      <c r="K145" s="59" t="str">
        <f t="shared" si="6"/>
        <v>0.00 (0.00 – 0.00)</v>
      </c>
      <c r="L145" s="16" t="str">
        <f t="shared" si="7"/>
        <v>0.00
(0.00 – 0.00)</v>
      </c>
      <c r="M145" s="57"/>
      <c r="N145" s="59"/>
      <c r="O145" s="16"/>
    </row>
    <row r="146" spans="3:15" ht="15" hidden="1" customHeight="1" x14ac:dyDescent="0.25">
      <c r="C146" s="56"/>
      <c r="D146" s="57"/>
      <c r="E146" s="57"/>
      <c r="F146" s="57"/>
      <c r="G146" s="57"/>
      <c r="H146" s="57"/>
      <c r="I146" s="57"/>
      <c r="J146" s="57"/>
      <c r="K146" s="59" t="str">
        <f t="shared" si="6"/>
        <v>0.00 (0.00 – 0.00)</v>
      </c>
      <c r="L146" s="16" t="str">
        <f t="shared" si="7"/>
        <v>0.00
(0.00 – 0.00)</v>
      </c>
      <c r="M146" s="57"/>
      <c r="N146" s="59"/>
      <c r="O146" s="16"/>
    </row>
    <row r="147" spans="3:15" ht="15" hidden="1" customHeight="1" x14ac:dyDescent="0.25">
      <c r="C147" s="56"/>
      <c r="D147" s="57"/>
      <c r="E147" s="57"/>
      <c r="F147" s="57"/>
      <c r="G147" s="57"/>
      <c r="H147" s="57"/>
      <c r="I147" s="57"/>
      <c r="J147" s="57"/>
      <c r="K147" s="59" t="str">
        <f t="shared" si="6"/>
        <v>0.00 (0.00 – 0.00)</v>
      </c>
      <c r="L147" s="16" t="str">
        <f t="shared" si="7"/>
        <v>0.00
(0.00 – 0.00)</v>
      </c>
      <c r="M147" s="57"/>
      <c r="N147" s="59"/>
      <c r="O147" s="16"/>
    </row>
    <row r="148" spans="3:15" ht="15" hidden="1" customHeight="1" x14ac:dyDescent="0.25">
      <c r="C148" s="56"/>
      <c r="D148" s="57"/>
      <c r="E148" s="57"/>
      <c r="F148" s="57"/>
      <c r="G148" s="57"/>
      <c r="H148" s="57"/>
      <c r="I148" s="57"/>
      <c r="J148" s="57"/>
      <c r="K148" s="59" t="str">
        <f t="shared" si="6"/>
        <v>0.00 (0.00 – 0.00)</v>
      </c>
      <c r="L148" s="16" t="str">
        <f t="shared" si="7"/>
        <v>0.00
(0.00 – 0.00)</v>
      </c>
      <c r="M148" s="57"/>
      <c r="N148" s="59"/>
      <c r="O148" s="16"/>
    </row>
    <row r="149" spans="3:15" ht="15" hidden="1" customHeight="1" x14ac:dyDescent="0.25">
      <c r="C149" s="56"/>
      <c r="D149" s="57"/>
      <c r="E149" s="57"/>
      <c r="F149" s="57"/>
      <c r="G149" s="57"/>
      <c r="H149" s="57"/>
      <c r="I149" s="57"/>
      <c r="J149" s="57"/>
      <c r="K149" s="59" t="str">
        <f t="shared" si="6"/>
        <v>0.00 (0.00 – 0.00)</v>
      </c>
      <c r="L149" s="16" t="str">
        <f t="shared" si="7"/>
        <v>0.00
(0.00 – 0.00)</v>
      </c>
      <c r="M149" s="57"/>
      <c r="N149" s="59"/>
      <c r="O149" s="16"/>
    </row>
    <row r="150" spans="3:15" ht="15" hidden="1" customHeight="1" x14ac:dyDescent="0.25">
      <c r="C150" s="56"/>
      <c r="D150" s="57"/>
      <c r="E150" s="57"/>
      <c r="F150" s="57"/>
      <c r="G150" s="57"/>
      <c r="H150" s="57"/>
      <c r="I150" s="57"/>
      <c r="J150" s="57"/>
      <c r="K150" s="59" t="str">
        <f t="shared" si="6"/>
        <v>0.00 (0.00 – 0.00)</v>
      </c>
      <c r="L150" s="16" t="str">
        <f t="shared" si="7"/>
        <v>0.00
(0.00 – 0.00)</v>
      </c>
      <c r="M150" s="57"/>
      <c r="N150" s="59"/>
      <c r="O150" s="16"/>
    </row>
    <row r="151" spans="3:15" ht="15" hidden="1" customHeight="1" x14ac:dyDescent="0.25">
      <c r="C151" s="56"/>
      <c r="D151" s="57"/>
      <c r="E151" s="57"/>
      <c r="F151" s="57"/>
      <c r="G151" s="57"/>
      <c r="H151" s="57"/>
      <c r="I151" s="57"/>
      <c r="J151" s="57"/>
      <c r="K151" s="59" t="str">
        <f t="shared" si="6"/>
        <v>0.00 (0.00 – 0.00)</v>
      </c>
      <c r="L151" s="16" t="str">
        <f t="shared" si="7"/>
        <v>0.00
(0.00 – 0.00)</v>
      </c>
      <c r="M151" s="57"/>
      <c r="N151" s="59"/>
      <c r="O151" s="16"/>
    </row>
    <row r="152" spans="3:15" ht="15" hidden="1" customHeight="1" x14ac:dyDescent="0.25">
      <c r="C152" s="56"/>
      <c r="D152" s="57"/>
      <c r="E152" s="57"/>
      <c r="F152" s="57"/>
      <c r="G152" s="57"/>
      <c r="H152" s="57"/>
      <c r="I152" s="57"/>
      <c r="J152" s="57"/>
      <c r="K152" s="59" t="str">
        <f t="shared" si="6"/>
        <v>0.00 (0.00 – 0.00)</v>
      </c>
      <c r="L152" s="16" t="str">
        <f t="shared" si="7"/>
        <v>0.00
(0.00 – 0.00)</v>
      </c>
      <c r="M152" s="57"/>
      <c r="N152" s="59"/>
      <c r="O152" s="16"/>
    </row>
    <row r="153" spans="3:15" ht="15" hidden="1" customHeight="1" x14ac:dyDescent="0.25">
      <c r="C153" s="56"/>
      <c r="D153" s="57"/>
      <c r="E153" s="57"/>
      <c r="F153" s="57"/>
      <c r="G153" s="57"/>
      <c r="H153" s="57"/>
      <c r="I153" s="57"/>
      <c r="J153" s="57"/>
      <c r="K153" s="59" t="str">
        <f t="shared" si="6"/>
        <v>0.00 (0.00 – 0.00)</v>
      </c>
      <c r="L153" s="16" t="str">
        <f t="shared" si="7"/>
        <v>0.00
(0.00 – 0.00)</v>
      </c>
      <c r="M153" s="57"/>
      <c r="N153" s="59"/>
      <c r="O153" s="16"/>
    </row>
    <row r="154" spans="3:15" ht="15" hidden="1" customHeight="1" x14ac:dyDescent="0.25">
      <c r="C154" s="56"/>
      <c r="D154" s="57"/>
      <c r="E154" s="57"/>
      <c r="F154" s="57"/>
      <c r="G154" s="57"/>
      <c r="H154" s="57"/>
      <c r="I154" s="57"/>
      <c r="J154" s="57"/>
      <c r="K154" s="59" t="str">
        <f t="shared" si="6"/>
        <v>0.00 (0.00 – 0.00)</v>
      </c>
      <c r="L154" s="16" t="str">
        <f t="shared" si="7"/>
        <v>0.00
(0.00 – 0.00)</v>
      </c>
      <c r="M154" s="57"/>
      <c r="N154" s="59"/>
      <c r="O154" s="16"/>
    </row>
    <row r="155" spans="3:15" ht="15" hidden="1" customHeight="1" x14ac:dyDescent="0.25">
      <c r="C155" s="56"/>
      <c r="D155" s="57"/>
      <c r="E155" s="57"/>
      <c r="F155" s="57"/>
      <c r="G155" s="57"/>
      <c r="H155" s="57"/>
      <c r="I155" s="57"/>
      <c r="J155" s="57"/>
      <c r="K155" s="59" t="str">
        <f t="shared" si="6"/>
        <v>0.00 (0.00 – 0.00)</v>
      </c>
      <c r="L155" s="16" t="str">
        <f t="shared" si="7"/>
        <v>0.00
(0.00 – 0.00)</v>
      </c>
      <c r="M155" s="57"/>
      <c r="N155" s="59"/>
      <c r="O155" s="16"/>
    </row>
    <row r="156" spans="3:15" ht="15" hidden="1" customHeight="1" x14ac:dyDescent="0.25">
      <c r="C156" s="56"/>
      <c r="D156" s="57"/>
      <c r="E156" s="57"/>
      <c r="F156" s="57"/>
      <c r="G156" s="57"/>
      <c r="H156" s="57"/>
      <c r="I156" s="57"/>
      <c r="J156" s="57"/>
      <c r="K156" s="59" t="str">
        <f t="shared" si="6"/>
        <v>0.00 (0.00 – 0.00)</v>
      </c>
      <c r="L156" s="16" t="str">
        <f t="shared" si="7"/>
        <v>0.00
(0.00 – 0.00)</v>
      </c>
      <c r="M156" s="57"/>
      <c r="N156" s="59"/>
      <c r="O156" s="16"/>
    </row>
    <row r="157" spans="3:15" ht="15" hidden="1" customHeight="1" x14ac:dyDescent="0.25">
      <c r="C157" s="56"/>
      <c r="D157" s="57"/>
      <c r="E157" s="57"/>
      <c r="F157" s="57"/>
      <c r="G157" s="57"/>
      <c r="H157" s="57"/>
      <c r="I157" s="57"/>
      <c r="J157" s="57"/>
      <c r="K157" s="59" t="str">
        <f t="shared" si="6"/>
        <v>0.00 (0.00 – 0.00)</v>
      </c>
      <c r="L157" s="16" t="str">
        <f t="shared" si="7"/>
        <v>0.00
(0.00 – 0.00)</v>
      </c>
      <c r="M157" s="57"/>
      <c r="N157" s="59"/>
      <c r="O157" s="16"/>
    </row>
    <row r="158" spans="3:15" ht="15" hidden="1" customHeight="1" x14ac:dyDescent="0.25">
      <c r="C158" s="56"/>
      <c r="D158" s="57"/>
      <c r="E158" s="57"/>
      <c r="F158" s="57"/>
      <c r="G158" s="57"/>
      <c r="H158" s="57"/>
      <c r="I158" s="57"/>
      <c r="J158" s="57"/>
      <c r="K158" s="59" t="str">
        <f t="shared" si="6"/>
        <v>0.00 (0.00 – 0.00)</v>
      </c>
      <c r="L158" s="16" t="str">
        <f t="shared" si="7"/>
        <v>0.00
(0.00 – 0.00)</v>
      </c>
      <c r="M158" s="57"/>
      <c r="N158" s="59"/>
      <c r="O158" s="16"/>
    </row>
    <row r="159" spans="3:15" ht="15" hidden="1" customHeight="1" x14ac:dyDescent="0.25">
      <c r="C159" s="56"/>
      <c r="D159" s="57"/>
      <c r="E159" s="57"/>
      <c r="F159" s="57"/>
      <c r="G159" s="57"/>
      <c r="H159" s="57"/>
      <c r="I159" s="57"/>
      <c r="J159" s="57"/>
      <c r="K159" s="59" t="str">
        <f t="shared" si="6"/>
        <v>0.00 (0.00 – 0.00)</v>
      </c>
      <c r="L159" s="16" t="str">
        <f t="shared" si="7"/>
        <v>0.00
(0.00 – 0.00)</v>
      </c>
      <c r="M159" s="57"/>
      <c r="N159" s="59"/>
      <c r="O159" s="16"/>
    </row>
    <row r="160" spans="3:15" ht="15" hidden="1" customHeight="1" x14ac:dyDescent="0.25">
      <c r="C160" s="56"/>
      <c r="D160" s="57"/>
      <c r="E160" s="57"/>
      <c r="F160" s="57"/>
      <c r="G160" s="57"/>
      <c r="H160" s="57"/>
      <c r="I160" s="57"/>
      <c r="J160" s="57"/>
      <c r="K160" s="59" t="str">
        <f t="shared" si="6"/>
        <v>0.00 (0.00 – 0.00)</v>
      </c>
      <c r="L160" s="16" t="str">
        <f t="shared" si="7"/>
        <v>0.00
(0.00 – 0.00)</v>
      </c>
      <c r="M160" s="57"/>
      <c r="N160" s="59"/>
      <c r="O160" s="16"/>
    </row>
    <row r="161" spans="3:15" ht="15" hidden="1" customHeight="1" x14ac:dyDescent="0.25">
      <c r="C161" s="56"/>
      <c r="D161" s="57"/>
      <c r="E161" s="57"/>
      <c r="F161" s="57"/>
      <c r="G161" s="57"/>
      <c r="H161" s="57"/>
      <c r="I161" s="57"/>
      <c r="J161" s="57"/>
      <c r="K161" s="59" t="str">
        <f t="shared" si="6"/>
        <v>0.00 (0.00 – 0.00)</v>
      </c>
      <c r="L161" s="16" t="str">
        <f t="shared" si="7"/>
        <v>0.00
(0.00 – 0.00)</v>
      </c>
      <c r="M161" s="57"/>
      <c r="N161" s="59"/>
      <c r="O161" s="16"/>
    </row>
    <row r="162" spans="3:15" ht="15" hidden="1" customHeight="1" x14ac:dyDescent="0.25">
      <c r="C162" s="56"/>
      <c r="D162" s="57"/>
      <c r="E162" s="57"/>
      <c r="F162" s="57"/>
      <c r="G162" s="57"/>
      <c r="H162" s="57"/>
      <c r="I162" s="57"/>
      <c r="J162" s="57"/>
      <c r="K162" s="59" t="str">
        <f t="shared" si="6"/>
        <v>0.00 (0.00 – 0.00)</v>
      </c>
      <c r="L162" s="16" t="str">
        <f t="shared" si="7"/>
        <v>0.00
(0.00 – 0.00)</v>
      </c>
      <c r="M162" s="57"/>
      <c r="N162" s="59"/>
      <c r="O162" s="16"/>
    </row>
    <row r="163" spans="3:15" ht="15" hidden="1" customHeight="1" x14ac:dyDescent="0.25">
      <c r="C163" s="56"/>
      <c r="D163" s="57"/>
      <c r="E163" s="57"/>
      <c r="F163" s="57"/>
      <c r="G163" s="57"/>
      <c r="H163" s="57"/>
      <c r="I163" s="57"/>
      <c r="J163" s="57"/>
      <c r="K163" s="59" t="str">
        <f t="shared" si="6"/>
        <v>0.00 (0.00 – 0.00)</v>
      </c>
      <c r="L163" s="16" t="str">
        <f t="shared" si="7"/>
        <v>0.00
(0.00 – 0.00)</v>
      </c>
      <c r="M163" s="57"/>
      <c r="N163" s="59"/>
      <c r="O163" s="16"/>
    </row>
    <row r="164" spans="3:15" ht="15" hidden="1" customHeight="1" x14ac:dyDescent="0.25">
      <c r="C164" s="56"/>
      <c r="D164" s="57"/>
      <c r="E164" s="57"/>
      <c r="F164" s="57"/>
      <c r="G164" s="57"/>
      <c r="H164" s="57"/>
      <c r="I164" s="57"/>
      <c r="J164" s="57"/>
      <c r="K164" s="59" t="str">
        <f t="shared" si="6"/>
        <v>0.00 (0.00 – 0.00)</v>
      </c>
      <c r="L164" s="16" t="str">
        <f t="shared" si="7"/>
        <v>0.00
(0.00 – 0.00)</v>
      </c>
      <c r="M164" s="57"/>
      <c r="N164" s="59"/>
      <c r="O164" s="16"/>
    </row>
    <row r="165" spans="3:15" ht="15" hidden="1" customHeight="1" x14ac:dyDescent="0.25">
      <c r="C165" s="56"/>
      <c r="D165" s="57"/>
      <c r="E165" s="57"/>
      <c r="F165" s="57"/>
      <c r="G165" s="57"/>
      <c r="H165" s="57"/>
      <c r="I165" s="57"/>
      <c r="J165" s="57"/>
      <c r="K165" s="59" t="str">
        <f t="shared" si="6"/>
        <v>0.00 (0.00 – 0.00)</v>
      </c>
      <c r="L165" s="16" t="str">
        <f t="shared" si="7"/>
        <v>0.00
(0.00 – 0.00)</v>
      </c>
      <c r="M165" s="57"/>
      <c r="N165" s="59"/>
      <c r="O165" s="16"/>
    </row>
    <row r="166" spans="3:15" ht="15" hidden="1" customHeight="1" x14ac:dyDescent="0.25">
      <c r="C166" s="56"/>
      <c r="D166" s="57"/>
      <c r="E166" s="57"/>
      <c r="F166" s="57"/>
      <c r="G166" s="57"/>
      <c r="H166" s="57"/>
      <c r="I166" s="57"/>
      <c r="J166" s="57"/>
      <c r="K166" s="59" t="str">
        <f t="shared" si="6"/>
        <v>0.00 (0.00 – 0.00)</v>
      </c>
      <c r="L166" s="16" t="str">
        <f t="shared" si="7"/>
        <v>0.00
(0.00 – 0.00)</v>
      </c>
      <c r="M166" s="57"/>
      <c r="N166" s="59"/>
      <c r="O166" s="16"/>
    </row>
    <row r="167" spans="3:15" ht="15" hidden="1" customHeight="1" x14ac:dyDescent="0.25">
      <c r="C167" s="56"/>
      <c r="D167" s="57"/>
      <c r="E167" s="57"/>
      <c r="F167" s="57"/>
      <c r="G167" s="57"/>
      <c r="H167" s="57"/>
      <c r="I167" s="57"/>
      <c r="J167" s="57"/>
      <c r="K167" s="59" t="str">
        <f t="shared" si="6"/>
        <v>0.00 (0.00 – 0.00)</v>
      </c>
      <c r="L167" s="16" t="str">
        <f t="shared" si="7"/>
        <v>0.00
(0.00 – 0.00)</v>
      </c>
      <c r="M167" s="57"/>
      <c r="N167" s="59"/>
      <c r="O167" s="16"/>
    </row>
    <row r="168" spans="3:15" ht="15" hidden="1" customHeight="1" x14ac:dyDescent="0.25">
      <c r="C168" s="56"/>
      <c r="D168" s="57"/>
      <c r="E168" s="57"/>
      <c r="F168" s="57"/>
      <c r="G168" s="57"/>
      <c r="H168" s="57"/>
      <c r="I168" s="57"/>
      <c r="J168" s="57"/>
      <c r="K168" s="59" t="str">
        <f t="shared" si="6"/>
        <v>0.00 (0.00 – 0.00)</v>
      </c>
      <c r="L168" s="16" t="str">
        <f t="shared" si="7"/>
        <v>0.00
(0.00 – 0.00)</v>
      </c>
      <c r="M168" s="57"/>
      <c r="N168" s="59"/>
      <c r="O168" s="16"/>
    </row>
    <row r="169" spans="3:15" ht="15" hidden="1" customHeight="1" x14ac:dyDescent="0.25">
      <c r="C169" s="56"/>
      <c r="D169" s="57"/>
      <c r="E169" s="57"/>
      <c r="F169" s="57"/>
      <c r="G169" s="57"/>
      <c r="H169" s="57"/>
      <c r="I169" s="57"/>
      <c r="J169" s="57"/>
      <c r="K169" s="59" t="str">
        <f t="shared" si="6"/>
        <v>0.00 (0.00 – 0.00)</v>
      </c>
      <c r="L169" s="16" t="str">
        <f t="shared" si="7"/>
        <v>0.00
(0.00 – 0.00)</v>
      </c>
      <c r="M169" s="57"/>
      <c r="N169" s="59"/>
      <c r="O169" s="16"/>
    </row>
    <row r="170" spans="3:15" ht="15" hidden="1" customHeight="1" x14ac:dyDescent="0.25">
      <c r="C170" s="56"/>
      <c r="D170" s="57"/>
      <c r="E170" s="57"/>
      <c r="F170" s="57"/>
      <c r="G170" s="57"/>
      <c r="H170" s="57"/>
      <c r="I170" s="57"/>
      <c r="J170" s="57"/>
      <c r="K170" s="59" t="str">
        <f t="shared" si="6"/>
        <v>0.00 (0.00 – 0.00)</v>
      </c>
      <c r="L170" s="16" t="str">
        <f t="shared" si="7"/>
        <v>0.00
(0.00 – 0.00)</v>
      </c>
      <c r="M170" s="57"/>
      <c r="N170" s="59"/>
      <c r="O170" s="16"/>
    </row>
    <row r="171" spans="3:15" ht="15" hidden="1" customHeight="1" x14ac:dyDescent="0.25">
      <c r="C171" s="56"/>
      <c r="D171" s="57"/>
      <c r="E171" s="57"/>
      <c r="F171" s="57"/>
      <c r="G171" s="57"/>
      <c r="H171" s="57"/>
      <c r="I171" s="57"/>
      <c r="J171" s="57"/>
      <c r="K171" s="59" t="str">
        <f t="shared" si="6"/>
        <v>0.00 (0.00 – 0.00)</v>
      </c>
      <c r="L171" s="16" t="str">
        <f t="shared" si="7"/>
        <v>0.00
(0.00 – 0.00)</v>
      </c>
      <c r="M171" s="57"/>
      <c r="N171" s="59"/>
      <c r="O171" s="16"/>
    </row>
    <row r="172" spans="3:15" ht="15" hidden="1" customHeight="1" x14ac:dyDescent="0.25">
      <c r="C172" s="56"/>
      <c r="D172" s="57"/>
      <c r="E172" s="57"/>
      <c r="F172" s="57"/>
      <c r="G172" s="57"/>
      <c r="H172" s="57"/>
      <c r="I172" s="57"/>
      <c r="J172" s="57"/>
      <c r="K172" s="59" t="str">
        <f t="shared" si="6"/>
        <v>0.00 (0.00 – 0.00)</v>
      </c>
      <c r="L172" s="16" t="str">
        <f t="shared" si="7"/>
        <v>0.00
(0.00 – 0.00)</v>
      </c>
      <c r="M172" s="57"/>
      <c r="N172" s="59"/>
      <c r="O172" s="16"/>
    </row>
    <row r="173" spans="3:15" ht="15" hidden="1" customHeight="1" x14ac:dyDescent="0.25">
      <c r="C173" s="56"/>
      <c r="D173" s="57"/>
      <c r="E173" s="57"/>
      <c r="F173" s="57"/>
      <c r="G173" s="57"/>
      <c r="H173" s="57"/>
      <c r="I173" s="57"/>
      <c r="J173" s="57"/>
      <c r="K173" s="59" t="str">
        <f t="shared" si="6"/>
        <v>0.00 (0.00 – 0.00)</v>
      </c>
      <c r="L173" s="16" t="str">
        <f t="shared" si="7"/>
        <v>0.00
(0.00 – 0.00)</v>
      </c>
      <c r="M173" s="57"/>
      <c r="N173" s="59"/>
      <c r="O173" s="16"/>
    </row>
    <row r="174" spans="3:15" ht="15" hidden="1" customHeight="1" x14ac:dyDescent="0.25">
      <c r="C174" s="56"/>
      <c r="D174" s="57"/>
      <c r="E174" s="57"/>
      <c r="F174" s="57"/>
      <c r="G174" s="57"/>
      <c r="H174" s="57"/>
      <c r="I174" s="57"/>
      <c r="J174" s="57"/>
      <c r="K174" s="59" t="str">
        <f t="shared" si="6"/>
        <v>0.00 (0.00 – 0.00)</v>
      </c>
      <c r="L174" s="16" t="str">
        <f t="shared" si="7"/>
        <v>0.00
(0.00 – 0.00)</v>
      </c>
      <c r="M174" s="57"/>
      <c r="N174" s="59"/>
      <c r="O174" s="16"/>
    </row>
    <row r="175" spans="3:15" ht="15" hidden="1" customHeight="1" x14ac:dyDescent="0.25">
      <c r="C175" s="56"/>
      <c r="D175" s="57"/>
      <c r="E175" s="57"/>
      <c r="F175" s="57"/>
      <c r="G175" s="57"/>
      <c r="H175" s="57"/>
      <c r="I175" s="57"/>
      <c r="J175" s="57"/>
      <c r="K175" s="59" t="str">
        <f t="shared" si="6"/>
        <v>0.00 (0.00 – 0.00)</v>
      </c>
      <c r="L175" s="16" t="str">
        <f t="shared" si="7"/>
        <v>0.00
(0.00 – 0.00)</v>
      </c>
      <c r="M175" s="57"/>
      <c r="N175" s="59"/>
      <c r="O175" s="16"/>
    </row>
    <row r="176" spans="3:15" ht="15" hidden="1" customHeight="1" x14ac:dyDescent="0.25">
      <c r="C176" s="56"/>
      <c r="D176" s="57"/>
      <c r="E176" s="57"/>
      <c r="F176" s="57"/>
      <c r="G176" s="57"/>
      <c r="H176" s="57"/>
      <c r="I176" s="57"/>
      <c r="J176" s="57"/>
      <c r="K176" s="59" t="str">
        <f t="shared" si="6"/>
        <v>0.00 (0.00 – 0.00)</v>
      </c>
      <c r="L176" s="16" t="str">
        <f t="shared" si="7"/>
        <v>0.00
(0.00 – 0.00)</v>
      </c>
      <c r="M176" s="57"/>
      <c r="N176" s="59"/>
      <c r="O176" s="16"/>
    </row>
    <row r="177" spans="3:15" ht="15" hidden="1" customHeight="1" x14ac:dyDescent="0.25">
      <c r="C177" s="56"/>
      <c r="D177" s="57"/>
      <c r="E177" s="57"/>
      <c r="F177" s="57"/>
      <c r="G177" s="57"/>
      <c r="H177" s="57"/>
      <c r="I177" s="57"/>
      <c r="J177" s="57"/>
      <c r="K177" s="59" t="str">
        <f t="shared" si="6"/>
        <v>0.00 (0.00 – 0.00)</v>
      </c>
      <c r="L177" s="16" t="str">
        <f t="shared" si="7"/>
        <v>0.00
(0.00 – 0.00)</v>
      </c>
      <c r="M177" s="57"/>
      <c r="N177" s="59"/>
      <c r="O177" s="16"/>
    </row>
    <row r="178" spans="3:15" ht="15" hidden="1" customHeight="1" x14ac:dyDescent="0.25">
      <c r="C178" s="56"/>
      <c r="D178" s="57"/>
      <c r="E178" s="57"/>
      <c r="F178" s="57"/>
      <c r="G178" s="57"/>
      <c r="H178" s="57"/>
      <c r="I178" s="57"/>
      <c r="J178" s="57"/>
      <c r="K178" s="59" t="str">
        <f t="shared" si="6"/>
        <v>0.00 (0.00 – 0.00)</v>
      </c>
      <c r="L178" s="16" t="str">
        <f t="shared" si="7"/>
        <v>0.00
(0.00 – 0.00)</v>
      </c>
      <c r="M178" s="57"/>
      <c r="N178" s="59"/>
      <c r="O178" s="16"/>
    </row>
    <row r="179" spans="3:15" ht="15" hidden="1" customHeight="1" x14ac:dyDescent="0.25">
      <c r="C179" s="56"/>
      <c r="D179" s="57"/>
      <c r="E179" s="57"/>
      <c r="F179" s="57"/>
      <c r="G179" s="57"/>
      <c r="H179" s="57"/>
      <c r="I179" s="57"/>
      <c r="J179" s="57"/>
      <c r="K179" s="59" t="str">
        <f t="shared" si="6"/>
        <v>0.00 (0.00 – 0.00)</v>
      </c>
      <c r="L179" s="16" t="str">
        <f t="shared" si="7"/>
        <v>0.00
(0.00 – 0.00)</v>
      </c>
      <c r="M179" s="57"/>
      <c r="N179" s="59"/>
      <c r="O179" s="16"/>
    </row>
    <row r="180" spans="3:15" ht="15" hidden="1" customHeight="1" x14ac:dyDescent="0.25">
      <c r="C180" s="56"/>
      <c r="D180" s="57"/>
      <c r="E180" s="57"/>
      <c r="F180" s="57"/>
      <c r="G180" s="57"/>
      <c r="H180" s="57"/>
      <c r="I180" s="57"/>
      <c r="J180" s="57"/>
      <c r="K180" s="59" t="str">
        <f t="shared" si="6"/>
        <v>0.00 (0.00 – 0.00)</v>
      </c>
      <c r="L180" s="16" t="str">
        <f t="shared" si="7"/>
        <v>0.00
(0.00 – 0.00)</v>
      </c>
      <c r="M180" s="57"/>
      <c r="N180" s="59"/>
      <c r="O180" s="16"/>
    </row>
    <row r="181" spans="3:15" ht="15" hidden="1" customHeight="1" x14ac:dyDescent="0.25">
      <c r="C181" s="56"/>
      <c r="D181" s="57"/>
      <c r="E181" s="57"/>
      <c r="F181" s="57"/>
      <c r="G181" s="57"/>
      <c r="H181" s="57"/>
      <c r="I181" s="57"/>
      <c r="J181" s="57"/>
      <c r="K181" s="59" t="str">
        <f t="shared" si="6"/>
        <v>0.00 (0.00 – 0.00)</v>
      </c>
      <c r="L181" s="16" t="str">
        <f t="shared" si="7"/>
        <v>0.00
(0.00 – 0.00)</v>
      </c>
      <c r="M181" s="57"/>
      <c r="N181" s="59"/>
      <c r="O181" s="16"/>
    </row>
    <row r="182" spans="3:15" ht="15" hidden="1" customHeight="1" x14ac:dyDescent="0.25">
      <c r="C182" s="56"/>
      <c r="D182" s="57"/>
      <c r="E182" s="57"/>
      <c r="F182" s="57"/>
      <c r="G182" s="57"/>
      <c r="H182" s="57"/>
      <c r="I182" s="57"/>
      <c r="J182" s="57"/>
      <c r="K182" s="59" t="str">
        <f t="shared" si="6"/>
        <v>0.00 (0.00 – 0.00)</v>
      </c>
      <c r="L182" s="16" t="str">
        <f t="shared" si="7"/>
        <v>0.00
(0.00 – 0.00)</v>
      </c>
      <c r="M182" s="57"/>
      <c r="N182" s="59"/>
      <c r="O182" s="16"/>
    </row>
    <row r="183" spans="3:15" ht="15" hidden="1" customHeight="1" x14ac:dyDescent="0.25">
      <c r="C183" s="56"/>
      <c r="D183" s="57"/>
      <c r="E183" s="57"/>
      <c r="F183" s="57"/>
      <c r="G183" s="57"/>
      <c r="H183" s="57"/>
      <c r="I183" s="57"/>
      <c r="J183" s="57"/>
      <c r="K183" s="59" t="str">
        <f t="shared" si="6"/>
        <v>0.00 (0.00 – 0.00)</v>
      </c>
      <c r="L183" s="16" t="str">
        <f t="shared" si="7"/>
        <v>0.00
(0.00 – 0.00)</v>
      </c>
      <c r="M183" s="57"/>
      <c r="N183" s="59"/>
      <c r="O183" s="16"/>
    </row>
    <row r="184" spans="3:15" ht="15" hidden="1" customHeight="1" x14ac:dyDescent="0.25">
      <c r="C184" s="56"/>
      <c r="D184" s="57"/>
      <c r="E184" s="57"/>
      <c r="F184" s="57"/>
      <c r="G184" s="57"/>
      <c r="H184" s="57"/>
      <c r="I184" s="57"/>
      <c r="J184" s="57"/>
      <c r="K184" s="59" t="str">
        <f t="shared" si="6"/>
        <v>0.00 (0.00 – 0.00)</v>
      </c>
      <c r="L184" s="16" t="str">
        <f t="shared" si="7"/>
        <v>0.00
(0.00 – 0.00)</v>
      </c>
      <c r="M184" s="57"/>
      <c r="N184" s="59"/>
      <c r="O184" s="16"/>
    </row>
    <row r="185" spans="3:15" ht="15" hidden="1" customHeight="1" x14ac:dyDescent="0.25">
      <c r="C185" s="56"/>
      <c r="D185" s="57"/>
      <c r="E185" s="57"/>
      <c r="F185" s="57"/>
      <c r="G185" s="57"/>
      <c r="H185" s="57"/>
      <c r="I185" s="57"/>
      <c r="J185" s="57"/>
      <c r="K185" s="59" t="str">
        <f t="shared" si="6"/>
        <v>0.00 (0.00 – 0.00)</v>
      </c>
      <c r="L185" s="16" t="str">
        <f t="shared" si="7"/>
        <v>0.00
(0.00 – 0.00)</v>
      </c>
      <c r="M185" s="57"/>
      <c r="N185" s="59"/>
      <c r="O185" s="16"/>
    </row>
    <row r="186" spans="3:15" ht="15" hidden="1" customHeight="1" x14ac:dyDescent="0.25">
      <c r="C186" s="56"/>
      <c r="D186" s="57"/>
      <c r="E186" s="57"/>
      <c r="F186" s="57"/>
      <c r="G186" s="57"/>
      <c r="H186" s="57"/>
      <c r="I186" s="57"/>
      <c r="J186" s="57"/>
      <c r="K186" s="59" t="str">
        <f t="shared" si="6"/>
        <v>0.00 (0.00 – 0.00)</v>
      </c>
      <c r="L186" s="16" t="str">
        <f t="shared" si="7"/>
        <v>0.00
(0.00 – 0.00)</v>
      </c>
      <c r="M186" s="57"/>
      <c r="N186" s="59"/>
      <c r="O186" s="16"/>
    </row>
    <row r="187" spans="3:15" ht="15" hidden="1" customHeight="1" x14ac:dyDescent="0.25">
      <c r="C187" s="56"/>
      <c r="D187" s="57"/>
      <c r="E187" s="57"/>
      <c r="F187" s="57"/>
      <c r="G187" s="57"/>
      <c r="H187" s="57"/>
      <c r="I187" s="57"/>
      <c r="J187" s="57"/>
      <c r="K187" s="59" t="str">
        <f t="shared" si="6"/>
        <v>0.00 (0.00 – 0.00)</v>
      </c>
      <c r="L187" s="16" t="str">
        <f t="shared" si="7"/>
        <v>0.00
(0.00 – 0.00)</v>
      </c>
      <c r="M187" s="57"/>
      <c r="N187" s="59"/>
      <c r="O187" s="16"/>
    </row>
    <row r="188" spans="3:15" ht="15" hidden="1" customHeight="1" x14ac:dyDescent="0.25">
      <c r="C188" s="56"/>
      <c r="D188" s="57"/>
      <c r="E188" s="57"/>
      <c r="F188" s="57"/>
      <c r="G188" s="57"/>
      <c r="H188" s="57"/>
      <c r="I188" s="57"/>
      <c r="J188" s="57"/>
      <c r="K188" s="59" t="str">
        <f t="shared" si="6"/>
        <v>0.00 (0.00 – 0.00)</v>
      </c>
      <c r="L188" s="16" t="str">
        <f t="shared" si="7"/>
        <v>0.00
(0.00 – 0.00)</v>
      </c>
      <c r="M188" s="57"/>
      <c r="N188" s="59"/>
      <c r="O188" s="16"/>
    </row>
    <row r="189" spans="3:15" ht="15" hidden="1" customHeight="1" x14ac:dyDescent="0.25">
      <c r="C189" s="56"/>
      <c r="D189" s="57"/>
      <c r="E189" s="57"/>
      <c r="F189" s="57"/>
      <c r="G189" s="57"/>
      <c r="H189" s="57"/>
      <c r="I189" s="57"/>
      <c r="J189" s="57"/>
      <c r="K189" s="59" t="str">
        <f t="shared" si="6"/>
        <v>0.00 (0.00 – 0.00)</v>
      </c>
      <c r="L189" s="16" t="str">
        <f t="shared" si="7"/>
        <v>0.00
(0.00 – 0.00)</v>
      </c>
      <c r="M189" s="57"/>
      <c r="N189" s="59"/>
      <c r="O189" s="16"/>
    </row>
    <row r="190" spans="3:15" ht="15" hidden="1" customHeight="1" x14ac:dyDescent="0.25">
      <c r="C190" s="56"/>
      <c r="D190" s="57"/>
      <c r="E190" s="57"/>
      <c r="F190" s="57"/>
      <c r="G190" s="57"/>
      <c r="H190" s="57"/>
      <c r="I190" s="57"/>
      <c r="J190" s="57"/>
      <c r="K190" s="59" t="str">
        <f t="shared" si="6"/>
        <v>0.00 (0.00 – 0.00)</v>
      </c>
      <c r="L190" s="16" t="str">
        <f t="shared" si="7"/>
        <v>0.00
(0.00 – 0.00)</v>
      </c>
      <c r="M190" s="57"/>
      <c r="N190" s="59"/>
      <c r="O190" s="16"/>
    </row>
    <row r="191" spans="3:15" ht="15" hidden="1" customHeight="1" x14ac:dyDescent="0.25">
      <c r="C191" s="56"/>
      <c r="D191" s="57"/>
      <c r="E191" s="57"/>
      <c r="F191" s="57"/>
      <c r="G191" s="57"/>
      <c r="H191" s="57"/>
      <c r="I191" s="57"/>
      <c r="J191" s="57"/>
      <c r="K191" s="59" t="str">
        <f t="shared" si="6"/>
        <v>0.00 (0.00 – 0.00)</v>
      </c>
      <c r="L191" s="16" t="str">
        <f t="shared" si="7"/>
        <v>0.00
(0.00 – 0.00)</v>
      </c>
      <c r="M191" s="57"/>
      <c r="N191" s="59"/>
      <c r="O191" s="16"/>
    </row>
    <row r="192" spans="3:15" ht="15" hidden="1" customHeight="1" x14ac:dyDescent="0.25">
      <c r="C192" s="56"/>
      <c r="D192" s="57"/>
      <c r="E192" s="57"/>
      <c r="F192" s="57"/>
      <c r="G192" s="57"/>
      <c r="H192" s="57"/>
      <c r="I192" s="57"/>
      <c r="J192" s="57"/>
      <c r="K192" s="59" t="str">
        <f t="shared" si="6"/>
        <v>0.00 (0.00 – 0.00)</v>
      </c>
      <c r="L192" s="16" t="str">
        <f t="shared" si="7"/>
        <v>0.00
(0.00 – 0.00)</v>
      </c>
      <c r="M192" s="57"/>
      <c r="N192" s="59"/>
      <c r="O192" s="16"/>
    </row>
    <row r="193" spans="3:15" ht="15" hidden="1" customHeight="1" x14ac:dyDescent="0.25">
      <c r="C193" s="56"/>
      <c r="D193" s="57"/>
      <c r="E193" s="57"/>
      <c r="F193" s="57"/>
      <c r="G193" s="57"/>
      <c r="H193" s="57"/>
      <c r="I193" s="57"/>
      <c r="J193" s="57"/>
      <c r="K193" s="59" t="str">
        <f t="shared" si="6"/>
        <v>0.00 (0.00 – 0.00)</v>
      </c>
      <c r="L193" s="16" t="str">
        <f t="shared" si="7"/>
        <v>0.00
(0.00 – 0.00)</v>
      </c>
      <c r="M193" s="57"/>
      <c r="N193" s="59"/>
      <c r="O193" s="16"/>
    </row>
    <row r="194" spans="3:15" ht="15" hidden="1" customHeight="1" x14ac:dyDescent="0.25">
      <c r="C194" s="56"/>
      <c r="D194" s="57"/>
      <c r="E194" s="57"/>
      <c r="F194" s="57"/>
      <c r="G194" s="57"/>
      <c r="H194" s="57"/>
      <c r="I194" s="57"/>
      <c r="J194" s="57"/>
      <c r="K194" s="59" t="str">
        <f t="shared" si="6"/>
        <v>0.00 (0.00 – 0.00)</v>
      </c>
      <c r="L194" s="16" t="str">
        <f t="shared" si="7"/>
        <v>0.00
(0.00 – 0.00)</v>
      </c>
      <c r="M194" s="57"/>
      <c r="N194" s="59"/>
      <c r="O194" s="16"/>
    </row>
    <row r="195" spans="3:15" ht="15" hidden="1" customHeight="1" x14ac:dyDescent="0.25">
      <c r="C195" s="56"/>
      <c r="D195" s="57"/>
      <c r="E195" s="57"/>
      <c r="F195" s="57"/>
      <c r="G195" s="57"/>
      <c r="H195" s="57"/>
      <c r="I195" s="57"/>
      <c r="J195" s="57"/>
      <c r="K195" s="59" t="str">
        <f t="shared" si="6"/>
        <v>0.00 (0.00 – 0.00)</v>
      </c>
      <c r="L195" s="16" t="str">
        <f t="shared" si="7"/>
        <v>0.00
(0.00 – 0.00)</v>
      </c>
      <c r="M195" s="57"/>
      <c r="N195" s="59"/>
      <c r="O195" s="16"/>
    </row>
    <row r="196" spans="3:15" ht="15" hidden="1" customHeight="1" x14ac:dyDescent="0.25">
      <c r="C196" s="56"/>
      <c r="D196" s="57"/>
      <c r="E196" s="57"/>
      <c r="F196" s="57"/>
      <c r="G196" s="57"/>
      <c r="H196" s="57"/>
      <c r="I196" s="57"/>
      <c r="J196" s="57"/>
      <c r="K196" s="59" t="str">
        <f t="shared" si="6"/>
        <v>0.00 (0.00 – 0.00)</v>
      </c>
      <c r="L196" s="16" t="str">
        <f t="shared" si="7"/>
        <v>0.00
(0.00 – 0.00)</v>
      </c>
      <c r="M196" s="57"/>
      <c r="N196" s="59"/>
      <c r="O196" s="16"/>
    </row>
    <row r="197" spans="3:15" ht="15" hidden="1" customHeight="1" x14ac:dyDescent="0.25">
      <c r="C197" s="56"/>
      <c r="D197" s="57"/>
      <c r="E197" s="57"/>
      <c r="F197" s="57"/>
      <c r="G197" s="57"/>
      <c r="H197" s="57"/>
      <c r="I197" s="57"/>
      <c r="J197" s="57"/>
      <c r="K197" s="59" t="str">
        <f>CONCATENATE(TEXT(I197,"0.00")," (",TEXT(H197,"0.00")," – ",TEXT(J197,"0.00"),")")</f>
        <v>0.00 (0.00 – 0.00)</v>
      </c>
      <c r="L197" s="16" t="str">
        <f t="shared" si="7"/>
        <v>0.00
(0.00 – 0.00)</v>
      </c>
      <c r="M197" s="57"/>
      <c r="N197" s="59"/>
      <c r="O197" s="16"/>
    </row>
    <row r="198" spans="3:15" ht="15" hidden="1" customHeight="1" x14ac:dyDescent="0.25">
      <c r="C198" s="56"/>
      <c r="D198" s="57"/>
      <c r="E198" s="57"/>
      <c r="F198" s="57"/>
      <c r="G198" s="57"/>
      <c r="H198" s="57"/>
      <c r="I198" s="57"/>
      <c r="J198" s="57"/>
      <c r="K198" s="59" t="str">
        <f>CONCATENATE(TEXT(I198,"0.00")," (",TEXT(H198,"0.00")," – ",TEXT(J198,"0.00"),")")</f>
        <v>0.00 (0.00 – 0.00)</v>
      </c>
      <c r="L198" s="16" t="str">
        <f>CONCATENATE(TEXT(I198,"0.00"),"
(",TEXT(H198,"0.00")," – ",TEXT(J198,"0.00"),")")</f>
        <v>0.00
(0.00 – 0.00)</v>
      </c>
      <c r="M198" s="57"/>
      <c r="N198" s="59"/>
      <c r="O198" s="16"/>
    </row>
    <row r="199" spans="3:15" ht="15" hidden="1" customHeight="1" x14ac:dyDescent="0.25">
      <c r="C199" s="56"/>
      <c r="D199" s="57"/>
      <c r="E199" s="57"/>
      <c r="F199" s="57"/>
      <c r="G199" s="57"/>
      <c r="H199" s="57"/>
      <c r="I199" s="57"/>
      <c r="J199" s="57"/>
      <c r="K199" s="59" t="str">
        <f>CONCATENATE(TEXT(I199,"0.00")," (",TEXT(H199,"0.00")," – ",TEXT(J199,"0.00"),")")</f>
        <v>0.00 (0.00 – 0.00)</v>
      </c>
      <c r="L199" s="16" t="str">
        <f>CONCATENATE(TEXT(I199,"0.00"),"
(",TEXT(H199,"0.00")," – ",TEXT(J199,"0.00"),")")</f>
        <v>0.00
(0.00 – 0.00)</v>
      </c>
      <c r="M199" s="57"/>
      <c r="N199" s="59"/>
      <c r="O199" s="16"/>
    </row>
    <row r="200" spans="3:15" ht="15" hidden="1" customHeight="1" x14ac:dyDescent="0.25">
      <c r="C200" s="56"/>
      <c r="D200" s="57"/>
      <c r="E200" s="57"/>
      <c r="F200" s="57"/>
      <c r="G200" s="57"/>
      <c r="H200" s="57"/>
      <c r="I200" s="57"/>
      <c r="J200" s="57"/>
      <c r="K200" s="59" t="str">
        <f>CONCATENATE(TEXT(I200,"0.00")," (",TEXT(H200,"0.00")," – ",TEXT(J200,"0.00"),")")</f>
        <v>0.00 (0.00 – 0.00)</v>
      </c>
      <c r="L200" s="16" t="str">
        <f>CONCATENATE(TEXT(I200,"0.00"),"
(",TEXT(H200,"0.00")," – ",TEXT(J200,"0.00"),")")</f>
        <v>0.00
(0.00 – 0.00)</v>
      </c>
      <c r="M200" s="57"/>
      <c r="N200" s="59"/>
      <c r="O200" s="16"/>
    </row>
    <row r="201" spans="3:15" x14ac:dyDescent="0.25">
      <c r="C201" s="56"/>
      <c r="D201" s="57"/>
      <c r="E201" s="57"/>
      <c r="F201" s="57"/>
      <c r="G201" s="57"/>
      <c r="H201" s="57"/>
      <c r="I201" s="57"/>
      <c r="J201" s="57"/>
      <c r="K201" s="59"/>
      <c r="L201" s="16"/>
      <c r="M201" s="57"/>
      <c r="N201" s="59"/>
      <c r="O201" s="16"/>
    </row>
    <row r="202" spans="3:15" x14ac:dyDescent="0.25">
      <c r="C202" s="56"/>
      <c r="D202" s="57"/>
      <c r="E202" s="57"/>
      <c r="F202" s="57"/>
      <c r="G202" s="57"/>
      <c r="H202" s="57"/>
      <c r="I202" s="57"/>
      <c r="J202" s="57"/>
      <c r="K202" s="59"/>
      <c r="L202" s="16"/>
      <c r="M202" s="57"/>
    </row>
  </sheetData>
  <sortState ref="E5:L49">
    <sortCondition descending="1" ref="I4"/>
  </sortState>
  <dataConsolidate/>
  <mergeCells count="2">
    <mergeCell ref="F3:L3"/>
    <mergeCell ref="N3:T3"/>
  </mergeCells>
  <pageMargins left="0.7" right="0.7" top="0.75" bottom="0.75" header="0.3" footer="0.3"/>
  <customProperties>
    <customPr name="SSCSheetTrackingNo" r:id="rId1"/>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3"/>
  </sheetPr>
  <dimension ref="A1:I74"/>
  <sheetViews>
    <sheetView showGridLines="0" zoomScale="90" zoomScaleNormal="90" workbookViewId="0">
      <selection activeCell="H46" sqref="H46"/>
    </sheetView>
  </sheetViews>
  <sheetFormatPr defaultRowHeight="15" x14ac:dyDescent="0.25"/>
  <sheetData>
    <row r="1" spans="1:7" x14ac:dyDescent="0.25">
      <c r="A1" t="s">
        <v>96</v>
      </c>
      <c r="D1" t="s">
        <v>122</v>
      </c>
    </row>
    <row r="2" spans="1:7" x14ac:dyDescent="0.25">
      <c r="A2" t="s">
        <v>81</v>
      </c>
    </row>
    <row r="3" spans="1:7" x14ac:dyDescent="0.25">
      <c r="B3" t="s">
        <v>77</v>
      </c>
    </row>
    <row r="4" spans="1:7" x14ac:dyDescent="0.25">
      <c r="B4" t="s">
        <v>87</v>
      </c>
    </row>
    <row r="5" spans="1:7" x14ac:dyDescent="0.25">
      <c r="A5" t="s">
        <v>97</v>
      </c>
      <c r="B5" t="s">
        <v>98</v>
      </c>
      <c r="D5" t="s">
        <v>330</v>
      </c>
    </row>
    <row r="6" spans="1:7" x14ac:dyDescent="0.25">
      <c r="B6" t="s">
        <v>99</v>
      </c>
      <c r="D6" t="s">
        <v>331</v>
      </c>
    </row>
    <row r="7" spans="1:7" x14ac:dyDescent="0.25">
      <c r="B7" t="s">
        <v>332</v>
      </c>
      <c r="G7" t="s">
        <v>325</v>
      </c>
    </row>
    <row r="8" spans="1:7" x14ac:dyDescent="0.25">
      <c r="B8" t="s">
        <v>100</v>
      </c>
      <c r="G8" t="s">
        <v>326</v>
      </c>
    </row>
    <row r="9" spans="1:7" x14ac:dyDescent="0.25">
      <c r="C9" t="s">
        <v>78</v>
      </c>
    </row>
    <row r="10" spans="1:7" x14ac:dyDescent="0.25">
      <c r="B10" t="s">
        <v>101</v>
      </c>
      <c r="C10" t="s">
        <v>334</v>
      </c>
      <c r="G10" t="s">
        <v>335</v>
      </c>
    </row>
    <row r="11" spans="1:7" x14ac:dyDescent="0.25">
      <c r="A11" t="s">
        <v>102</v>
      </c>
      <c r="C11" t="s">
        <v>333</v>
      </c>
      <c r="G11" t="s">
        <v>324</v>
      </c>
    </row>
    <row r="12" spans="1:7" x14ac:dyDescent="0.25">
      <c r="A12" t="s">
        <v>80</v>
      </c>
      <c r="C12" t="s">
        <v>336</v>
      </c>
      <c r="G12" t="s">
        <v>323</v>
      </c>
    </row>
    <row r="13" spans="1:7" x14ac:dyDescent="0.25">
      <c r="B13" t="s">
        <v>103</v>
      </c>
      <c r="C13" t="s">
        <v>328</v>
      </c>
    </row>
    <row r="14" spans="1:7" x14ac:dyDescent="0.25">
      <c r="C14" t="s">
        <v>337</v>
      </c>
    </row>
    <row r="15" spans="1:7" x14ac:dyDescent="0.25">
      <c r="C15" t="s">
        <v>29</v>
      </c>
    </row>
    <row r="16" spans="1:7" x14ac:dyDescent="0.25">
      <c r="C16" t="s">
        <v>321</v>
      </c>
      <c r="G16" t="s">
        <v>338</v>
      </c>
    </row>
    <row r="17" spans="1:7" x14ac:dyDescent="0.25">
      <c r="C17" t="s">
        <v>104</v>
      </c>
      <c r="G17" t="s">
        <v>349</v>
      </c>
    </row>
    <row r="18" spans="1:7" x14ac:dyDescent="0.25">
      <c r="C18" t="s">
        <v>81</v>
      </c>
    </row>
    <row r="19" spans="1:7" x14ac:dyDescent="0.25">
      <c r="A19" t="s">
        <v>103</v>
      </c>
      <c r="C19" t="s">
        <v>339</v>
      </c>
      <c r="G19" t="s">
        <v>348</v>
      </c>
    </row>
    <row r="20" spans="1:7" x14ac:dyDescent="0.25">
      <c r="A20" t="s">
        <v>103</v>
      </c>
      <c r="C20" t="s">
        <v>340</v>
      </c>
      <c r="G20" t="s">
        <v>347</v>
      </c>
    </row>
    <row r="21" spans="1:7" x14ac:dyDescent="0.25">
      <c r="A21" t="s">
        <v>80</v>
      </c>
      <c r="C21" t="s">
        <v>341</v>
      </c>
      <c r="G21" t="s">
        <v>346</v>
      </c>
    </row>
    <row r="22" spans="1:7" x14ac:dyDescent="0.25">
      <c r="A22" t="s">
        <v>102</v>
      </c>
      <c r="C22" t="s">
        <v>342</v>
      </c>
      <c r="G22" t="s">
        <v>345</v>
      </c>
    </row>
    <row r="23" spans="1:7" x14ac:dyDescent="0.25">
      <c r="A23" t="s">
        <v>105</v>
      </c>
      <c r="C23" t="s">
        <v>343</v>
      </c>
      <c r="G23" t="s">
        <v>344</v>
      </c>
    </row>
    <row r="24" spans="1:7" x14ac:dyDescent="0.25">
      <c r="C24" t="s">
        <v>30</v>
      </c>
    </row>
    <row r="25" spans="1:7" x14ac:dyDescent="0.25">
      <c r="A25" t="s">
        <v>82</v>
      </c>
      <c r="B25" t="s">
        <v>106</v>
      </c>
    </row>
    <row r="26" spans="1:7" x14ac:dyDescent="0.25">
      <c r="B26" s="149" t="s">
        <v>318</v>
      </c>
      <c r="E26" t="s">
        <v>319</v>
      </c>
    </row>
    <row r="28" spans="1:7" x14ac:dyDescent="0.25">
      <c r="B28" t="s">
        <v>31</v>
      </c>
    </row>
    <row r="29" spans="1:7" x14ac:dyDescent="0.25">
      <c r="B29" t="s">
        <v>84</v>
      </c>
    </row>
    <row r="30" spans="1:7" x14ac:dyDescent="0.25">
      <c r="B30" t="s">
        <v>81</v>
      </c>
    </row>
    <row r="31" spans="1:7" x14ac:dyDescent="0.25">
      <c r="C31" t="s">
        <v>85</v>
      </c>
    </row>
    <row r="32" spans="1:7" x14ac:dyDescent="0.25">
      <c r="B32" t="s">
        <v>86</v>
      </c>
    </row>
    <row r="33" spans="2:9" x14ac:dyDescent="0.25">
      <c r="B33" t="str">
        <f>IF(vague_prior,"sd~dunif(0,2)   ","")</f>
        <v xml:space="preserve">sd~dunif(0,2)   </v>
      </c>
      <c r="I33" t="s">
        <v>160</v>
      </c>
    </row>
    <row r="34" spans="2:9" x14ac:dyDescent="0.25">
      <c r="B34" t="str">
        <f>IF(vague_prior,"tau&lt;-1/pow(sd,2)","")</f>
        <v>tau&lt;-1/pow(sd,2)</v>
      </c>
      <c r="I34" t="s">
        <v>160</v>
      </c>
    </row>
    <row r="35" spans="2:9" x14ac:dyDescent="0.25">
      <c r="B35" t="str">
        <f>IF(NOT(vague_prior),"var ~ dlnorm("&amp;INDEX(prior_mean, MATCH(outcome_selection,outcome_type,0),MATCH(intervention_selection,intervention_type,0))&amp;","&amp;ROUND(1/INDEX(prior_sigma, MATCH(outcome_selection,outcome_type,0),MATCH(intervention_selection,intervention_type,0)),4)&amp;") ","")</f>
        <v/>
      </c>
      <c r="I35" t="s">
        <v>159</v>
      </c>
    </row>
    <row r="36" spans="2:9" x14ac:dyDescent="0.25">
      <c r="B36" t="str">
        <f>IF(NOT(vague_prior),"tau&lt;-1/var # between-trial precision (1/between-trial variance)","")</f>
        <v/>
      </c>
      <c r="I36" t="s">
        <v>159</v>
      </c>
    </row>
    <row r="37" spans="2:9" x14ac:dyDescent="0.25">
      <c r="B37" t="str">
        <f>IF(NOT(vague_prior),"sd &lt;- pow(tau,-0.5)","")</f>
        <v/>
      </c>
      <c r="I37" t="s">
        <v>159</v>
      </c>
    </row>
    <row r="40" spans="2:9" x14ac:dyDescent="0.25">
      <c r="B40" t="s">
        <v>32</v>
      </c>
    </row>
    <row r="42" spans="2:9" x14ac:dyDescent="0.25">
      <c r="B42" t="s">
        <v>33</v>
      </c>
    </row>
    <row r="43" spans="2:9" x14ac:dyDescent="0.25">
      <c r="B43" t="s">
        <v>88</v>
      </c>
    </row>
    <row r="44" spans="2:9" x14ac:dyDescent="0.25">
      <c r="B44" t="s">
        <v>87</v>
      </c>
    </row>
    <row r="45" spans="2:9" x14ac:dyDescent="0.25">
      <c r="C45" t="str">
        <f>IF(events_bad,"","rk[k]&lt;-NT+1-rank(d[],k)")</f>
        <v/>
      </c>
      <c r="F45" t="s">
        <v>157</v>
      </c>
    </row>
    <row r="46" spans="2:9" x14ac:dyDescent="0.25">
      <c r="C46" t="str">
        <f>IF(events_bad,"rk[k]&lt;- rank(d[],k)","")</f>
        <v>rk[k]&lt;- rank(d[],k)</v>
      </c>
      <c r="F46" t="s">
        <v>158</v>
      </c>
    </row>
    <row r="47" spans="2:9" x14ac:dyDescent="0.25">
      <c r="C47" t="s">
        <v>132</v>
      </c>
    </row>
    <row r="48" spans="2:9" x14ac:dyDescent="0.25">
      <c r="C48" t="s">
        <v>90</v>
      </c>
    </row>
    <row r="49" spans="2:4" x14ac:dyDescent="0.25">
      <c r="C49" t="s">
        <v>81</v>
      </c>
    </row>
    <row r="50" spans="2:4" x14ac:dyDescent="0.25">
      <c r="D50" t="s">
        <v>255</v>
      </c>
    </row>
    <row r="51" spans="2:4" x14ac:dyDescent="0.25">
      <c r="C51" t="s">
        <v>30</v>
      </c>
    </row>
    <row r="52" spans="2:4" x14ac:dyDescent="0.25">
      <c r="B52" t="s">
        <v>30</v>
      </c>
    </row>
    <row r="53" spans="2:4" x14ac:dyDescent="0.25">
      <c r="B53" t="s">
        <v>88</v>
      </c>
    </row>
    <row r="54" spans="2:4" x14ac:dyDescent="0.25">
      <c r="B54" t="s">
        <v>87</v>
      </c>
    </row>
    <row r="55" spans="2:4" x14ac:dyDescent="0.25">
      <c r="C55" t="s">
        <v>90</v>
      </c>
    </row>
    <row r="56" spans="2:4" x14ac:dyDescent="0.25">
      <c r="C56" t="s">
        <v>81</v>
      </c>
    </row>
    <row r="57" spans="2:4" x14ac:dyDescent="0.25">
      <c r="D57" t="s">
        <v>254</v>
      </c>
    </row>
    <row r="58" spans="2:4" x14ac:dyDescent="0.25">
      <c r="C58" t="s">
        <v>30</v>
      </c>
    </row>
    <row r="59" spans="2:4" x14ac:dyDescent="0.25">
      <c r="B59" t="s">
        <v>30</v>
      </c>
    </row>
    <row r="60" spans="2:4" x14ac:dyDescent="0.25">
      <c r="B60" t="s">
        <v>143</v>
      </c>
    </row>
    <row r="61" spans="2:4" x14ac:dyDescent="0.25">
      <c r="B61" t="s">
        <v>81</v>
      </c>
    </row>
    <row r="62" spans="2:4" x14ac:dyDescent="0.25">
      <c r="B62" t="s">
        <v>142</v>
      </c>
    </row>
    <row r="63" spans="2:4" x14ac:dyDescent="0.25">
      <c r="B63" t="s">
        <v>30</v>
      </c>
    </row>
    <row r="64" spans="2:4" x14ac:dyDescent="0.25">
      <c r="B64" t="s">
        <v>351</v>
      </c>
    </row>
    <row r="65" spans="1:4" x14ac:dyDescent="0.25">
      <c r="B65" t="s">
        <v>91</v>
      </c>
    </row>
    <row r="66" spans="1:4" x14ac:dyDescent="0.25">
      <c r="B66" t="s">
        <v>92</v>
      </c>
    </row>
    <row r="67" spans="1:4" x14ac:dyDescent="0.25">
      <c r="C67" t="s">
        <v>93</v>
      </c>
    </row>
    <row r="68" spans="1:4" x14ac:dyDescent="0.25">
      <c r="C68" t="s">
        <v>81</v>
      </c>
    </row>
    <row r="69" spans="1:4" x14ac:dyDescent="0.25">
      <c r="D69" t="s">
        <v>108</v>
      </c>
    </row>
    <row r="70" spans="1:4" x14ac:dyDescent="0.25">
      <c r="D70" t="s">
        <v>113</v>
      </c>
    </row>
    <row r="71" spans="1:4" x14ac:dyDescent="0.25">
      <c r="C71" t="s">
        <v>94</v>
      </c>
    </row>
    <row r="72" spans="1:4" x14ac:dyDescent="0.25">
      <c r="B72" t="s">
        <v>30</v>
      </c>
    </row>
    <row r="74" spans="1:4" x14ac:dyDescent="0.25">
      <c r="A74" t="s">
        <v>30</v>
      </c>
      <c r="B74" t="s">
        <v>95</v>
      </c>
    </row>
  </sheetData>
  <pageMargins left="0.7" right="0.7" top="0.75" bottom="0.75" header="0.3" footer="0.3"/>
  <customProperties>
    <customPr name="SSCSheetTrackingNo" r:id="rId1"/>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0" tint="-0.499984740745262"/>
  </sheetPr>
  <dimension ref="A1:T203"/>
  <sheetViews>
    <sheetView showGridLines="0" topLeftCell="D1" zoomScale="80" zoomScaleNormal="80" workbookViewId="0">
      <selection activeCell="A5" sqref="A5:C20"/>
    </sheetView>
  </sheetViews>
  <sheetFormatPr defaultRowHeight="15" x14ac:dyDescent="0.25"/>
  <cols>
    <col min="1" max="1" width="29" customWidth="1"/>
    <col min="2" max="2" width="12.5703125" style="54" customWidth="1"/>
    <col min="3" max="3" width="12.85546875" style="54" customWidth="1"/>
    <col min="4" max="4" width="19.140625" style="19" customWidth="1"/>
    <col min="5" max="5" width="11.42578125" style="19" customWidth="1"/>
    <col min="6" max="6" width="17.42578125" style="19" customWidth="1"/>
    <col min="7" max="7" width="49.140625" style="19" customWidth="1"/>
    <col min="8" max="8" width="22.85546875" style="19" customWidth="1"/>
    <col min="9" max="13" width="17.42578125" style="19" customWidth="1"/>
    <col min="14" max="14" width="28.140625" style="19" customWidth="1"/>
    <col min="15" max="15" width="43.140625" style="19" customWidth="1"/>
    <col min="19" max="19" width="12.85546875" customWidth="1"/>
    <col min="20" max="20" width="12.28515625" customWidth="1"/>
    <col min="243" max="243" width="9.140625" customWidth="1"/>
  </cols>
  <sheetData>
    <row r="1" spans="1:20" x14ac:dyDescent="0.25">
      <c r="A1" s="50" t="str">
        <f ca="1">RIGHT(CELL("filename",A1),LEN(CELL("filename",A1))-FIND("]",CELL("filename",A1)))</f>
        <v>League Table Data</v>
      </c>
      <c r="F1" s="57"/>
      <c r="G1" s="57"/>
      <c r="H1" s="57"/>
      <c r="I1" s="57"/>
      <c r="J1" s="57"/>
      <c r="K1" s="57"/>
      <c r="L1" s="57"/>
      <c r="M1" s="57"/>
    </row>
    <row r="2" spans="1:20" x14ac:dyDescent="0.25">
      <c r="F2" s="57"/>
      <c r="G2" s="57"/>
      <c r="H2" s="57"/>
      <c r="I2" s="57"/>
      <c r="J2" s="57"/>
      <c r="K2" s="57"/>
      <c r="L2" s="57"/>
      <c r="M2" s="57"/>
    </row>
    <row r="3" spans="1:20" x14ac:dyDescent="0.25">
      <c r="F3" s="278"/>
      <c r="G3" s="278"/>
      <c r="H3" s="278"/>
      <c r="I3" s="278"/>
      <c r="J3" s="278"/>
      <c r="K3" s="278"/>
      <c r="L3" s="278"/>
      <c r="N3" s="278"/>
      <c r="O3" s="278"/>
      <c r="P3" s="278"/>
      <c r="Q3" s="278"/>
      <c r="R3" s="278"/>
      <c r="S3" s="278"/>
      <c r="T3" s="278"/>
    </row>
    <row r="4" spans="1:20" ht="15.75" thickBot="1" x14ac:dyDescent="0.3">
      <c r="A4" s="103" t="s">
        <v>241</v>
      </c>
      <c r="B4" s="103" t="s">
        <v>242</v>
      </c>
      <c r="C4" s="103" t="s">
        <v>235</v>
      </c>
      <c r="E4" s="14" t="s">
        <v>236</v>
      </c>
      <c r="F4" s="14" t="s">
        <v>237</v>
      </c>
      <c r="G4" s="55" t="s">
        <v>109</v>
      </c>
      <c r="H4" s="58" t="s">
        <v>238</v>
      </c>
      <c r="I4" s="58" t="s">
        <v>111</v>
      </c>
      <c r="J4" s="58" t="s">
        <v>239</v>
      </c>
      <c r="K4" s="58" t="str">
        <f>$N$4 &amp;" (95% Cr.I.)"</f>
        <v>O.R. (95% Cr.I.)</v>
      </c>
      <c r="L4" s="58" t="str">
        <f>$N$4 &amp;" (95% Cr.I.)"</f>
        <v>O.R. (95% Cr.I.)</v>
      </c>
      <c r="N4" s="105" t="str">
        <f>IF(Forest="RR", "R.R","O.R.")</f>
        <v>O.R.</v>
      </c>
      <c r="O4" s="55" t="s">
        <v>109</v>
      </c>
      <c r="P4" s="58" t="s">
        <v>110</v>
      </c>
      <c r="Q4" s="58" t="s">
        <v>111</v>
      </c>
      <c r="R4" s="58" t="s">
        <v>112</v>
      </c>
      <c r="S4" s="58" t="s">
        <v>240</v>
      </c>
      <c r="T4" s="58" t="s">
        <v>237</v>
      </c>
    </row>
    <row r="5" spans="1:20" x14ac:dyDescent="0.25">
      <c r="A5" t="s">
        <v>354</v>
      </c>
      <c r="B5" s="54">
        <v>3</v>
      </c>
      <c r="C5" s="54">
        <v>1.887</v>
      </c>
      <c r="E5" s="19">
        <v>3</v>
      </c>
      <c r="F5" s="59">
        <v>4</v>
      </c>
      <c r="G5" s="54" t="s">
        <v>733</v>
      </c>
      <c r="H5" s="16">
        <v>0.46533271288971612</v>
      </c>
      <c r="I5" s="16">
        <v>1.0876658690450294</v>
      </c>
      <c r="J5" s="16">
        <v>2.6497085320614731</v>
      </c>
      <c r="K5" s="59" t="str">
        <f>CONCATENATE(TEXT(I5,"0.00")," (",TEXT(H5,"0.00")," – ",TEXT(J5,"0.00"),")")</f>
        <v>1.09 (0.47 – 2.65)</v>
      </c>
      <c r="L5" s="16" t="str">
        <f>CONCATENATE(TEXT(I5,"0.00"),"
(",TEXT(H5,"0.00")," – ",TEXT(J5,"0.00"),")")</f>
        <v>1.09
(0.47 – 2.65)</v>
      </c>
      <c r="N5" s="59" t="s">
        <v>408</v>
      </c>
      <c r="O5" s="104" t="s">
        <v>633</v>
      </c>
      <c r="P5">
        <v>0.77939999999999998</v>
      </c>
      <c r="Q5">
        <v>1.0960000000000001</v>
      </c>
      <c r="R5">
        <v>1.5489999999999999</v>
      </c>
      <c r="S5">
        <v>2</v>
      </c>
      <c r="T5">
        <v>1</v>
      </c>
    </row>
    <row r="6" spans="1:20" x14ac:dyDescent="0.25">
      <c r="A6" t="s">
        <v>355</v>
      </c>
      <c r="B6" s="54">
        <v>4</v>
      </c>
      <c r="C6" s="54">
        <v>1.9890000000000001</v>
      </c>
      <c r="E6" s="19">
        <v>3</v>
      </c>
      <c r="F6" s="59">
        <v>1</v>
      </c>
      <c r="G6" s="54" t="s">
        <v>634</v>
      </c>
      <c r="H6" s="16">
        <v>0.40100000000000002</v>
      </c>
      <c r="I6" s="16">
        <v>0.68210000000000004</v>
      </c>
      <c r="J6" s="16">
        <v>1.135</v>
      </c>
      <c r="K6" s="59" t="str">
        <f t="shared" ref="K6:K69" si="0">CONCATENATE(TEXT(I6,"0.00")," (",TEXT(H6,"0.00")," – ",TEXT(J6,"0.00"),")")</f>
        <v>0.68 (0.40 – 1.14)</v>
      </c>
      <c r="L6" s="16" t="str">
        <f t="shared" ref="L6:L69" si="1">CONCATENATE(TEXT(I6,"0.00"),"
(",TEXT(H6,"0.00")," – ",TEXT(J6,"0.00"),")")</f>
        <v>0.68
(0.40 – 1.14)</v>
      </c>
      <c r="N6" s="59" t="s">
        <v>409</v>
      </c>
      <c r="O6" s="104" t="s">
        <v>634</v>
      </c>
      <c r="P6">
        <v>0.40100000000000002</v>
      </c>
      <c r="Q6">
        <v>0.68210000000000004</v>
      </c>
      <c r="R6">
        <v>1.135</v>
      </c>
      <c r="S6">
        <v>3</v>
      </c>
      <c r="T6">
        <v>1</v>
      </c>
    </row>
    <row r="7" spans="1:20" x14ac:dyDescent="0.25">
      <c r="A7" t="s">
        <v>352</v>
      </c>
      <c r="B7" s="19">
        <v>1</v>
      </c>
      <c r="C7" s="19">
        <v>3.7120000000000002</v>
      </c>
      <c r="E7" s="19">
        <v>3</v>
      </c>
      <c r="F7" s="59">
        <v>2</v>
      </c>
      <c r="G7" s="54" t="s">
        <v>640</v>
      </c>
      <c r="H7" s="16">
        <v>0.36149999999999999</v>
      </c>
      <c r="I7" s="16">
        <v>0.62009999999999998</v>
      </c>
      <c r="J7" s="16">
        <v>1.03</v>
      </c>
      <c r="K7" s="59" t="str">
        <f t="shared" si="0"/>
        <v>0.62 (0.36 – 1.03)</v>
      </c>
      <c r="L7" s="16" t="str">
        <f t="shared" si="1"/>
        <v>0.62
(0.36 – 1.03)</v>
      </c>
      <c r="N7" s="59" t="s">
        <v>410</v>
      </c>
      <c r="O7" s="104" t="s">
        <v>635</v>
      </c>
      <c r="P7">
        <v>0.25359999999999999</v>
      </c>
      <c r="Q7">
        <v>0.62890000000000001</v>
      </c>
      <c r="R7">
        <v>1.5269999999999999</v>
      </c>
      <c r="S7">
        <v>4</v>
      </c>
      <c r="T7">
        <v>1</v>
      </c>
    </row>
    <row r="8" spans="1:20" x14ac:dyDescent="0.25">
      <c r="A8" t="s">
        <v>353</v>
      </c>
      <c r="B8" s="19">
        <v>2</v>
      </c>
      <c r="C8" s="19">
        <v>4.492</v>
      </c>
      <c r="E8" s="19">
        <v>3</v>
      </c>
      <c r="F8" s="59">
        <v>6</v>
      </c>
      <c r="G8" s="54" t="s">
        <v>665</v>
      </c>
      <c r="H8" s="16">
        <v>0.16914749661705006</v>
      </c>
      <c r="I8" s="16">
        <v>0.54884742041712398</v>
      </c>
      <c r="J8" s="16">
        <v>1.8325087044163462</v>
      </c>
      <c r="K8" s="59" t="str">
        <f t="shared" si="0"/>
        <v>0.55 (0.17 – 1.83)</v>
      </c>
      <c r="L8" s="16" t="str">
        <f t="shared" si="1"/>
        <v>0.55
(0.17 – 1.83)</v>
      </c>
      <c r="N8" s="59" t="s">
        <v>411</v>
      </c>
      <c r="O8" s="104" t="s">
        <v>636</v>
      </c>
      <c r="P8">
        <v>0.72929999999999995</v>
      </c>
      <c r="Q8">
        <v>2.3679999999999999</v>
      </c>
      <c r="R8">
        <v>8.016</v>
      </c>
      <c r="S8">
        <v>5</v>
      </c>
      <c r="T8">
        <v>1</v>
      </c>
    </row>
    <row r="9" spans="1:20" x14ac:dyDescent="0.25">
      <c r="A9" t="s">
        <v>358</v>
      </c>
      <c r="B9" s="54">
        <v>6</v>
      </c>
      <c r="C9" s="54">
        <v>5.0170000000000003</v>
      </c>
      <c r="E9" s="19">
        <v>3</v>
      </c>
      <c r="F9" s="59">
        <v>7</v>
      </c>
      <c r="G9" s="54" t="s">
        <v>664</v>
      </c>
      <c r="H9" s="16">
        <v>0.24055809477988935</v>
      </c>
      <c r="I9" s="16">
        <v>0.50377833753148615</v>
      </c>
      <c r="J9" s="16">
        <v>1.0183299389002036</v>
      </c>
      <c r="K9" s="59" t="str">
        <f t="shared" si="0"/>
        <v>0.50 (0.24 – 1.02)</v>
      </c>
      <c r="L9" s="16" t="str">
        <f t="shared" si="1"/>
        <v>0.50
(0.24 – 1.02)</v>
      </c>
      <c r="N9" s="59" t="s">
        <v>412</v>
      </c>
      <c r="O9" s="104" t="s">
        <v>637</v>
      </c>
      <c r="P9">
        <v>0.40429999999999999</v>
      </c>
      <c r="Q9">
        <v>1.2470000000000001</v>
      </c>
      <c r="R9">
        <v>3.7639999999999998</v>
      </c>
      <c r="S9">
        <v>6</v>
      </c>
      <c r="T9">
        <v>1</v>
      </c>
    </row>
    <row r="10" spans="1:20" x14ac:dyDescent="0.25">
      <c r="A10" t="s">
        <v>359</v>
      </c>
      <c r="B10" s="19">
        <v>7</v>
      </c>
      <c r="C10" s="19">
        <v>5.7539999999999996</v>
      </c>
      <c r="E10" s="19">
        <v>3</v>
      </c>
      <c r="F10" s="59">
        <v>8</v>
      </c>
      <c r="G10" s="54" t="s">
        <v>666</v>
      </c>
      <c r="H10" s="16">
        <v>0.2808988764044944</v>
      </c>
      <c r="I10" s="16">
        <v>0.49726504226752855</v>
      </c>
      <c r="J10" s="16">
        <v>0.84245998315080028</v>
      </c>
      <c r="K10" s="59" t="str">
        <f t="shared" si="0"/>
        <v>0.50 (0.28 – 0.84)</v>
      </c>
      <c r="L10" s="16" t="str">
        <f t="shared" si="1"/>
        <v>0.50
(0.28 – 0.84)</v>
      </c>
      <c r="N10" s="59" t="s">
        <v>413</v>
      </c>
      <c r="O10" s="104" t="s">
        <v>638</v>
      </c>
      <c r="P10">
        <v>0.78469999999999995</v>
      </c>
      <c r="Q10">
        <v>1.3560000000000001</v>
      </c>
      <c r="R10">
        <v>2.323</v>
      </c>
      <c r="S10">
        <v>7</v>
      </c>
      <c r="T10">
        <v>1</v>
      </c>
    </row>
    <row r="11" spans="1:20" x14ac:dyDescent="0.25">
      <c r="A11" t="s">
        <v>360</v>
      </c>
      <c r="B11" s="19">
        <v>8</v>
      </c>
      <c r="C11" s="19">
        <v>5.9930000000000003</v>
      </c>
      <c r="E11" s="19">
        <v>3</v>
      </c>
      <c r="F11" s="59">
        <v>5</v>
      </c>
      <c r="G11" s="54" t="s">
        <v>734</v>
      </c>
      <c r="H11" s="16">
        <v>8.0450522928399035E-2</v>
      </c>
      <c r="I11" s="16">
        <v>0.28686173264486514</v>
      </c>
      <c r="J11" s="16">
        <v>1.0005002501250624</v>
      </c>
      <c r="K11" s="59" t="str">
        <f t="shared" si="0"/>
        <v>0.29 (0.08 – 1.00)</v>
      </c>
      <c r="L11" s="16" t="str">
        <f t="shared" si="1"/>
        <v>0.29
(0.08 – 1.00)</v>
      </c>
      <c r="N11" s="59" t="s">
        <v>414</v>
      </c>
      <c r="O11" s="104" t="s">
        <v>639</v>
      </c>
      <c r="P11">
        <v>0.89390000000000003</v>
      </c>
      <c r="Q11">
        <v>1.367</v>
      </c>
      <c r="R11">
        <v>2.2029999999999998</v>
      </c>
      <c r="S11">
        <v>8</v>
      </c>
      <c r="T11">
        <v>1</v>
      </c>
    </row>
    <row r="12" spans="1:20" x14ac:dyDescent="0.25">
      <c r="A12" t="s">
        <v>356</v>
      </c>
      <c r="B12" s="54">
        <v>5</v>
      </c>
      <c r="C12" s="54">
        <v>7.157</v>
      </c>
      <c r="E12" s="19">
        <v>4</v>
      </c>
      <c r="F12" s="59">
        <v>1</v>
      </c>
      <c r="G12" s="54" t="s">
        <v>635</v>
      </c>
      <c r="H12" s="16">
        <v>0.25359999999999999</v>
      </c>
      <c r="I12" s="16">
        <v>0.62890000000000001</v>
      </c>
      <c r="J12" s="16">
        <v>1.5269999999999999</v>
      </c>
      <c r="K12" s="59" t="str">
        <f t="shared" si="0"/>
        <v>0.63 (0.25 – 1.53)</v>
      </c>
      <c r="L12" s="16" t="str">
        <f t="shared" si="1"/>
        <v>0.63
(0.25 – 1.53)</v>
      </c>
      <c r="N12" s="59" t="s">
        <v>415</v>
      </c>
      <c r="O12" s="104" t="s">
        <v>640</v>
      </c>
      <c r="P12">
        <v>0.36149999999999999</v>
      </c>
      <c r="Q12">
        <v>0.62009999999999998</v>
      </c>
      <c r="R12">
        <v>1.03</v>
      </c>
      <c r="S12">
        <v>3</v>
      </c>
      <c r="T12">
        <v>2</v>
      </c>
    </row>
    <row r="13" spans="1:20" x14ac:dyDescent="0.25">
      <c r="B13" s="19"/>
      <c r="C13" s="19"/>
      <c r="E13" s="19">
        <v>4</v>
      </c>
      <c r="F13" s="59">
        <v>2</v>
      </c>
      <c r="G13" s="54" t="s">
        <v>641</v>
      </c>
      <c r="H13" s="16">
        <v>0.221</v>
      </c>
      <c r="I13" s="16">
        <v>0.57340000000000002</v>
      </c>
      <c r="J13" s="16">
        <v>1.3839999999999999</v>
      </c>
      <c r="K13" s="59" t="str">
        <f t="shared" si="0"/>
        <v>0.57 (0.22 – 1.38)</v>
      </c>
      <c r="L13" s="16" t="str">
        <f t="shared" si="1"/>
        <v>0.57
(0.22 – 1.38)</v>
      </c>
      <c r="N13" s="59" t="s">
        <v>416</v>
      </c>
      <c r="O13" s="104" t="s">
        <v>641</v>
      </c>
      <c r="P13">
        <v>0.221</v>
      </c>
      <c r="Q13">
        <v>0.57340000000000002</v>
      </c>
      <c r="R13">
        <v>1.3839999999999999</v>
      </c>
      <c r="S13">
        <v>4</v>
      </c>
      <c r="T13">
        <v>2</v>
      </c>
    </row>
    <row r="14" spans="1:20" x14ac:dyDescent="0.25">
      <c r="E14" s="19">
        <v>4</v>
      </c>
      <c r="F14" s="59">
        <v>6</v>
      </c>
      <c r="G14" s="54" t="s">
        <v>662</v>
      </c>
      <c r="H14" s="16">
        <v>0.13022528975126968</v>
      </c>
      <c r="I14" s="16">
        <v>0.49875311720698257</v>
      </c>
      <c r="J14" s="16">
        <v>2.1088148460565161</v>
      </c>
      <c r="K14" s="59" t="str">
        <f t="shared" si="0"/>
        <v>0.50 (0.13 – 2.11)</v>
      </c>
      <c r="L14" s="16" t="str">
        <f t="shared" si="1"/>
        <v>0.50
(0.13 – 2.11)</v>
      </c>
      <c r="N14" s="59" t="s">
        <v>417</v>
      </c>
      <c r="O14" s="104" t="s">
        <v>642</v>
      </c>
      <c r="P14">
        <v>0.71150000000000002</v>
      </c>
      <c r="Q14">
        <v>2.1419999999999999</v>
      </c>
      <c r="R14">
        <v>6.8550000000000004</v>
      </c>
      <c r="S14">
        <v>5</v>
      </c>
      <c r="T14">
        <v>2</v>
      </c>
    </row>
    <row r="15" spans="1:20" ht="15" customHeight="1" x14ac:dyDescent="0.25">
      <c r="E15" s="19">
        <v>4</v>
      </c>
      <c r="F15" s="19">
        <v>7</v>
      </c>
      <c r="G15" s="19" t="s">
        <v>661</v>
      </c>
      <c r="H15" s="19">
        <v>0.16630633627141195</v>
      </c>
      <c r="I15" s="19">
        <v>0.46274872744099954</v>
      </c>
      <c r="J15" s="19">
        <v>1.2653422750854106</v>
      </c>
      <c r="K15" s="59" t="str">
        <f t="shared" si="0"/>
        <v>0.46 (0.17 – 1.27)</v>
      </c>
      <c r="L15" s="16" t="str">
        <f t="shared" si="1"/>
        <v>0.46
(0.17 – 1.27)</v>
      </c>
      <c r="N15" s="59" t="s">
        <v>418</v>
      </c>
      <c r="O15" s="16" t="s">
        <v>643</v>
      </c>
      <c r="P15">
        <v>0.39290000000000003</v>
      </c>
      <c r="Q15">
        <v>1.1319999999999999</v>
      </c>
      <c r="R15">
        <v>3.262</v>
      </c>
      <c r="S15">
        <v>6</v>
      </c>
      <c r="T15">
        <v>2</v>
      </c>
    </row>
    <row r="16" spans="1:20" ht="15" customHeight="1" x14ac:dyDescent="0.25">
      <c r="E16" s="19">
        <v>4</v>
      </c>
      <c r="F16" s="19">
        <v>8</v>
      </c>
      <c r="G16" s="19" t="s">
        <v>663</v>
      </c>
      <c r="H16" s="19">
        <v>0.1736111111111111</v>
      </c>
      <c r="I16" s="19">
        <v>0.46146746654360871</v>
      </c>
      <c r="J16" s="19">
        <v>1.1181930001118192</v>
      </c>
      <c r="K16" s="59" t="str">
        <f t="shared" si="0"/>
        <v>0.46 (0.17 – 1.12)</v>
      </c>
      <c r="L16" s="16" t="str">
        <f t="shared" si="1"/>
        <v>0.46
(0.17 – 1.12)</v>
      </c>
      <c r="N16" s="59" t="s">
        <v>419</v>
      </c>
      <c r="O16" s="16" t="s">
        <v>644</v>
      </c>
      <c r="P16">
        <v>0.64729999999999999</v>
      </c>
      <c r="Q16">
        <v>1.2270000000000001</v>
      </c>
      <c r="R16">
        <v>2.351</v>
      </c>
      <c r="S16">
        <v>7</v>
      </c>
      <c r="T16">
        <v>2</v>
      </c>
    </row>
    <row r="17" spans="5:20" ht="15" customHeight="1" x14ac:dyDescent="0.25">
      <c r="E17" s="19">
        <v>4</v>
      </c>
      <c r="F17" s="19">
        <v>5</v>
      </c>
      <c r="G17" s="19" t="s">
        <v>735</v>
      </c>
      <c r="H17" s="19">
        <v>6.4061499039077513E-2</v>
      </c>
      <c r="I17" s="19">
        <v>0.2677376171352075</v>
      </c>
      <c r="J17" s="19">
        <v>1.1052166224580018</v>
      </c>
      <c r="K17" s="59" t="str">
        <f t="shared" si="0"/>
        <v>0.27 (0.06 – 1.11)</v>
      </c>
      <c r="L17" s="16" t="str">
        <f t="shared" si="1"/>
        <v>0.27
(0.06 – 1.11)</v>
      </c>
      <c r="N17" s="59" t="s">
        <v>420</v>
      </c>
      <c r="O17" s="16" t="s">
        <v>645</v>
      </c>
      <c r="P17">
        <v>0.75639999999999996</v>
      </c>
      <c r="Q17">
        <v>1.2509999999999999</v>
      </c>
      <c r="R17">
        <v>2.0920000000000001</v>
      </c>
      <c r="S17">
        <v>8</v>
      </c>
      <c r="T17">
        <v>2</v>
      </c>
    </row>
    <row r="18" spans="5:20" ht="15" customHeight="1" x14ac:dyDescent="0.25">
      <c r="E18" s="19">
        <v>1</v>
      </c>
      <c r="F18" s="19">
        <v>2</v>
      </c>
      <c r="G18" s="19" t="s">
        <v>668</v>
      </c>
      <c r="H18" s="19">
        <v>0.64557779212395094</v>
      </c>
      <c r="I18" s="19">
        <v>0.91240875912408748</v>
      </c>
      <c r="J18" s="19">
        <v>1.2830382345393894</v>
      </c>
      <c r="K18" s="59" t="str">
        <f t="shared" si="0"/>
        <v>0.91 (0.65 – 1.28)</v>
      </c>
      <c r="L18" s="16" t="str">
        <f t="shared" si="1"/>
        <v>0.91
(0.65 – 1.28)</v>
      </c>
      <c r="N18" s="59" t="s">
        <v>421</v>
      </c>
      <c r="O18" s="16" t="s">
        <v>646</v>
      </c>
      <c r="P18">
        <v>0.37740000000000001</v>
      </c>
      <c r="Q18">
        <v>0.9194</v>
      </c>
      <c r="R18">
        <v>2.149</v>
      </c>
      <c r="S18">
        <v>4</v>
      </c>
      <c r="T18">
        <v>3</v>
      </c>
    </row>
    <row r="19" spans="5:20" ht="15" customHeight="1" x14ac:dyDescent="0.25">
      <c r="E19" s="19">
        <v>1</v>
      </c>
      <c r="F19" s="19">
        <v>6</v>
      </c>
      <c r="G19" s="19" t="s">
        <v>669</v>
      </c>
      <c r="H19" s="19">
        <v>0.26567481402763021</v>
      </c>
      <c r="I19" s="19">
        <v>0.80192461908580581</v>
      </c>
      <c r="J19" s="19">
        <v>2.4734108335394511</v>
      </c>
      <c r="K19" s="59" t="str">
        <f t="shared" si="0"/>
        <v>0.80 (0.27 – 2.47)</v>
      </c>
      <c r="L19" s="16" t="str">
        <f t="shared" si="1"/>
        <v>0.80
(0.27 – 2.47)</v>
      </c>
      <c r="N19" s="59" t="s">
        <v>422</v>
      </c>
      <c r="O19" s="16" t="s">
        <v>647</v>
      </c>
      <c r="P19">
        <v>0.99950000000000006</v>
      </c>
      <c r="Q19">
        <v>3.4860000000000002</v>
      </c>
      <c r="R19">
        <v>12.43</v>
      </c>
      <c r="S19">
        <v>5</v>
      </c>
      <c r="T19">
        <v>3</v>
      </c>
    </row>
    <row r="20" spans="5:20" ht="15" customHeight="1" x14ac:dyDescent="0.25">
      <c r="E20" s="19">
        <v>1</v>
      </c>
      <c r="F20" s="19">
        <v>7</v>
      </c>
      <c r="G20" s="19" t="s">
        <v>667</v>
      </c>
      <c r="H20" s="19">
        <v>0.43047783039173482</v>
      </c>
      <c r="I20" s="19">
        <v>0.73746312684365778</v>
      </c>
      <c r="J20" s="19">
        <v>1.2743723716069837</v>
      </c>
      <c r="K20" s="59" t="str">
        <f t="shared" si="0"/>
        <v>0.74 (0.43 – 1.27)</v>
      </c>
      <c r="L20" s="16" t="str">
        <f t="shared" si="1"/>
        <v>0.74
(0.43 – 1.27)</v>
      </c>
      <c r="N20" s="59" t="s">
        <v>423</v>
      </c>
      <c r="O20" s="16" t="s">
        <v>648</v>
      </c>
      <c r="P20">
        <v>0.54569999999999996</v>
      </c>
      <c r="Q20">
        <v>1.8220000000000001</v>
      </c>
      <c r="R20">
        <v>5.9119999999999999</v>
      </c>
      <c r="S20">
        <v>6</v>
      </c>
      <c r="T20">
        <v>3</v>
      </c>
    </row>
    <row r="21" spans="5:20" ht="15" customHeight="1" x14ac:dyDescent="0.25">
      <c r="E21" s="19">
        <v>1</v>
      </c>
      <c r="F21" s="19">
        <v>8</v>
      </c>
      <c r="G21" s="19" t="s">
        <v>670</v>
      </c>
      <c r="H21" s="19">
        <v>0.45392646391284613</v>
      </c>
      <c r="I21" s="19">
        <v>0.73152889539136801</v>
      </c>
      <c r="J21" s="19">
        <v>1.1186933661483387</v>
      </c>
      <c r="K21" s="59" t="str">
        <f t="shared" si="0"/>
        <v>0.73 (0.45 – 1.12)</v>
      </c>
      <c r="L21" s="16" t="str">
        <f t="shared" si="1"/>
        <v>0.73
(0.45 – 1.12)</v>
      </c>
      <c r="N21" s="59" t="s">
        <v>424</v>
      </c>
      <c r="O21" s="16" t="s">
        <v>649</v>
      </c>
      <c r="P21">
        <v>0.98199999999999998</v>
      </c>
      <c r="Q21">
        <v>1.9850000000000001</v>
      </c>
      <c r="R21">
        <v>4.157</v>
      </c>
      <c r="S21">
        <v>7</v>
      </c>
      <c r="T21">
        <v>3</v>
      </c>
    </row>
    <row r="22" spans="5:20" ht="15" customHeight="1" x14ac:dyDescent="0.25">
      <c r="E22" s="19">
        <v>1</v>
      </c>
      <c r="F22" s="19">
        <v>5</v>
      </c>
      <c r="G22" s="19" t="s">
        <v>736</v>
      </c>
      <c r="H22" s="19">
        <v>0.124750499001996</v>
      </c>
      <c r="I22" s="19">
        <v>0.42229729729729731</v>
      </c>
      <c r="J22" s="19">
        <v>1.3711778417660772</v>
      </c>
      <c r="K22" s="59" t="str">
        <f t="shared" si="0"/>
        <v>0.42 (0.12 – 1.37)</v>
      </c>
      <c r="L22" s="16" t="str">
        <f t="shared" si="1"/>
        <v>0.42
(0.12 – 1.37)</v>
      </c>
      <c r="N22" s="59" t="s">
        <v>425</v>
      </c>
      <c r="O22" s="16" t="s">
        <v>650</v>
      </c>
      <c r="P22">
        <v>1.1870000000000001</v>
      </c>
      <c r="Q22">
        <v>2.0110000000000001</v>
      </c>
      <c r="R22">
        <v>3.56</v>
      </c>
      <c r="S22">
        <v>8</v>
      </c>
      <c r="T22">
        <v>3</v>
      </c>
    </row>
    <row r="23" spans="5:20" ht="15" customHeight="1" x14ac:dyDescent="0.25">
      <c r="E23" s="19">
        <v>2</v>
      </c>
      <c r="F23" s="19">
        <v>6</v>
      </c>
      <c r="G23" s="19" t="s">
        <v>672</v>
      </c>
      <c r="H23" s="19">
        <v>0.30656039239730226</v>
      </c>
      <c r="I23" s="19">
        <v>0.88339222614840995</v>
      </c>
      <c r="J23" s="19">
        <v>2.5451768897938405</v>
      </c>
      <c r="K23" s="59" t="str">
        <f t="shared" si="0"/>
        <v>0.88 (0.31 – 2.55)</v>
      </c>
      <c r="L23" s="16" t="str">
        <f t="shared" si="1"/>
        <v>0.88
(0.31 – 2.55)</v>
      </c>
      <c r="N23" s="59" t="s">
        <v>426</v>
      </c>
      <c r="O23" s="16" t="s">
        <v>651</v>
      </c>
      <c r="P23">
        <v>0.90480000000000005</v>
      </c>
      <c r="Q23">
        <v>3.7349999999999999</v>
      </c>
      <c r="R23">
        <v>15.61</v>
      </c>
      <c r="S23">
        <v>5</v>
      </c>
      <c r="T23">
        <v>4</v>
      </c>
    </row>
    <row r="24" spans="5:20" ht="15" customHeight="1" x14ac:dyDescent="0.25">
      <c r="E24" s="19">
        <v>2</v>
      </c>
      <c r="F24" s="19">
        <v>7</v>
      </c>
      <c r="G24" s="19" t="s">
        <v>737</v>
      </c>
      <c r="H24" s="19">
        <v>0.42535091450446622</v>
      </c>
      <c r="I24" s="19">
        <v>0.81499592502037488</v>
      </c>
      <c r="J24" s="19">
        <v>1.5448787270199289</v>
      </c>
      <c r="K24" s="59" t="str">
        <f t="shared" si="0"/>
        <v>0.81 (0.43 – 1.54)</v>
      </c>
      <c r="L24" s="16" t="str">
        <f t="shared" si="1"/>
        <v>0.81
(0.43 – 1.54)</v>
      </c>
      <c r="N24" s="59" t="s">
        <v>427</v>
      </c>
      <c r="O24" s="16" t="s">
        <v>652</v>
      </c>
      <c r="P24">
        <v>0.47420000000000001</v>
      </c>
      <c r="Q24">
        <v>2.0049999999999999</v>
      </c>
      <c r="R24">
        <v>7.6790000000000003</v>
      </c>
      <c r="S24">
        <v>6</v>
      </c>
      <c r="T24">
        <v>4</v>
      </c>
    </row>
    <row r="25" spans="5:20" ht="15" customHeight="1" x14ac:dyDescent="0.25">
      <c r="E25" s="19">
        <v>2</v>
      </c>
      <c r="F25" s="19">
        <v>8</v>
      </c>
      <c r="G25" s="19" t="s">
        <v>673</v>
      </c>
      <c r="H25" s="19">
        <v>0.47801147227533458</v>
      </c>
      <c r="I25" s="19">
        <v>0.79936051159072752</v>
      </c>
      <c r="J25" s="19">
        <v>1.3220518244315178</v>
      </c>
      <c r="K25" s="59" t="str">
        <f t="shared" si="0"/>
        <v>0.80 (0.48 – 1.32)</v>
      </c>
      <c r="L25" s="16" t="str">
        <f t="shared" si="1"/>
        <v>0.80
(0.48 – 1.32)</v>
      </c>
      <c r="N25" s="59" t="s">
        <v>428</v>
      </c>
      <c r="O25" s="16" t="s">
        <v>653</v>
      </c>
      <c r="P25">
        <v>0.7903</v>
      </c>
      <c r="Q25">
        <v>2.161</v>
      </c>
      <c r="R25">
        <v>6.0129999999999999</v>
      </c>
      <c r="S25">
        <v>7</v>
      </c>
      <c r="T25">
        <v>4</v>
      </c>
    </row>
    <row r="26" spans="5:20" ht="15" customHeight="1" x14ac:dyDescent="0.25">
      <c r="E26" s="19">
        <v>2</v>
      </c>
      <c r="F26" s="19">
        <v>5</v>
      </c>
      <c r="G26" s="19" t="s">
        <v>738</v>
      </c>
      <c r="H26" s="19">
        <v>0.14587892049598833</v>
      </c>
      <c r="I26" s="19">
        <v>0.46685340802987862</v>
      </c>
      <c r="J26" s="19">
        <v>1.4054813773717498</v>
      </c>
      <c r="K26" s="59" t="str">
        <f t="shared" si="0"/>
        <v>0.47 (0.15 – 1.41)</v>
      </c>
      <c r="L26" s="16" t="str">
        <f t="shared" si="1"/>
        <v>0.47
(0.15 – 1.41)</v>
      </c>
      <c r="N26" s="59" t="s">
        <v>429</v>
      </c>
      <c r="O26" s="16" t="s">
        <v>654</v>
      </c>
      <c r="P26">
        <v>0.89429999999999998</v>
      </c>
      <c r="Q26">
        <v>2.1669999999999998</v>
      </c>
      <c r="R26">
        <v>5.76</v>
      </c>
      <c r="S26">
        <v>8</v>
      </c>
      <c r="T26">
        <v>4</v>
      </c>
    </row>
    <row r="27" spans="5:20" ht="15" customHeight="1" x14ac:dyDescent="0.25">
      <c r="E27" s="19">
        <v>6</v>
      </c>
      <c r="F27" s="19">
        <v>7</v>
      </c>
      <c r="G27" s="19" t="s">
        <v>739</v>
      </c>
      <c r="H27" s="19">
        <v>0.25458248472505091</v>
      </c>
      <c r="I27" s="19">
        <v>0.91324200913242015</v>
      </c>
      <c r="J27" s="19">
        <v>3.2247662044501775</v>
      </c>
      <c r="K27" s="59" t="str">
        <f t="shared" si="0"/>
        <v>0.91 (0.25 – 3.22)</v>
      </c>
      <c r="L27" s="16" t="str">
        <f t="shared" si="1"/>
        <v>0.91
(0.25 – 3.22)</v>
      </c>
      <c r="N27" s="59" t="s">
        <v>430</v>
      </c>
      <c r="O27" s="16" t="s">
        <v>655</v>
      </c>
      <c r="P27">
        <v>0.109</v>
      </c>
      <c r="Q27">
        <v>0.53359999999999996</v>
      </c>
      <c r="R27">
        <v>2.4140000000000001</v>
      </c>
      <c r="S27">
        <v>6</v>
      </c>
      <c r="T27">
        <v>5</v>
      </c>
    </row>
    <row r="28" spans="5:20" ht="15" customHeight="1" x14ac:dyDescent="0.25">
      <c r="E28" s="19">
        <v>6</v>
      </c>
      <c r="F28" s="19">
        <v>8</v>
      </c>
      <c r="G28" s="19" t="s">
        <v>674</v>
      </c>
      <c r="H28" s="19">
        <v>0.27517886626307103</v>
      </c>
      <c r="I28" s="19">
        <v>0.90334236675700097</v>
      </c>
      <c r="J28" s="19">
        <v>2.8818443804034586</v>
      </c>
      <c r="K28" s="59" t="str">
        <f t="shared" si="0"/>
        <v>0.90 (0.28 – 2.88)</v>
      </c>
      <c r="L28" s="16" t="str">
        <f t="shared" si="1"/>
        <v>0.90
(0.28 – 2.88)</v>
      </c>
      <c r="N28" s="59" t="s">
        <v>431</v>
      </c>
      <c r="O28" s="16" t="s">
        <v>656</v>
      </c>
      <c r="P28">
        <v>0.15809999999999999</v>
      </c>
      <c r="Q28">
        <v>0.5706</v>
      </c>
      <c r="R28">
        <v>2.1070000000000002</v>
      </c>
      <c r="S28">
        <v>7</v>
      </c>
      <c r="T28">
        <v>5</v>
      </c>
    </row>
    <row r="29" spans="5:20" ht="15" customHeight="1" x14ac:dyDescent="0.25">
      <c r="E29" s="19">
        <v>6</v>
      </c>
      <c r="F29" s="19">
        <v>5</v>
      </c>
      <c r="G29" s="19" t="s">
        <v>655</v>
      </c>
      <c r="H29" s="19">
        <v>0.109</v>
      </c>
      <c r="I29" s="19">
        <v>0.53359999999999996</v>
      </c>
      <c r="J29" s="19">
        <v>2.4140000000000001</v>
      </c>
      <c r="K29" s="59" t="str">
        <f t="shared" si="0"/>
        <v>0.53 (0.11 – 2.41)</v>
      </c>
      <c r="L29" s="16" t="str">
        <f t="shared" si="1"/>
        <v>0.53
(0.11 – 2.41)</v>
      </c>
      <c r="N29" s="59" t="s">
        <v>432</v>
      </c>
      <c r="O29" s="16" t="s">
        <v>657</v>
      </c>
      <c r="P29">
        <v>0.1663</v>
      </c>
      <c r="Q29">
        <v>0.58250000000000002</v>
      </c>
      <c r="R29">
        <v>2.024</v>
      </c>
      <c r="S29">
        <v>8</v>
      </c>
      <c r="T29">
        <v>5</v>
      </c>
    </row>
    <row r="30" spans="5:20" ht="15" customHeight="1" x14ac:dyDescent="0.25">
      <c r="E30" s="19">
        <v>7</v>
      </c>
      <c r="F30" s="19">
        <v>8</v>
      </c>
      <c r="G30" s="19" t="s">
        <v>671</v>
      </c>
      <c r="H30" s="19">
        <v>0.50050050050050054</v>
      </c>
      <c r="I30" s="19">
        <v>0.98425196850393704</v>
      </c>
      <c r="J30" s="19">
        <v>1.9230769230769229</v>
      </c>
      <c r="K30" s="59" t="str">
        <f t="shared" si="0"/>
        <v>0.98 (0.50 – 1.92)</v>
      </c>
      <c r="L30" s="16" t="str">
        <f t="shared" si="1"/>
        <v>0.98
(0.50 – 1.92)</v>
      </c>
      <c r="N30" s="59" t="s">
        <v>433</v>
      </c>
      <c r="O30" s="16" t="s">
        <v>658</v>
      </c>
      <c r="P30">
        <v>0.31009999999999999</v>
      </c>
      <c r="Q30">
        <v>1.095</v>
      </c>
      <c r="R30">
        <v>3.9279999999999999</v>
      </c>
      <c r="S30">
        <v>7</v>
      </c>
      <c r="T30">
        <v>6</v>
      </c>
    </row>
    <row r="31" spans="5:20" ht="15" customHeight="1" x14ac:dyDescent="0.25">
      <c r="E31" s="19">
        <v>7</v>
      </c>
      <c r="F31" s="19">
        <v>5</v>
      </c>
      <c r="G31" s="19" t="s">
        <v>656</v>
      </c>
      <c r="H31" s="19">
        <v>0.15809999999999999</v>
      </c>
      <c r="I31" s="19">
        <v>0.5706</v>
      </c>
      <c r="J31" s="19">
        <v>2.1070000000000002</v>
      </c>
      <c r="K31" s="59" t="str">
        <f t="shared" si="0"/>
        <v>0.57 (0.16 – 2.11)</v>
      </c>
      <c r="L31" s="16" t="str">
        <f t="shared" si="1"/>
        <v>0.57
(0.16 – 2.11)</v>
      </c>
      <c r="N31" s="59" t="s">
        <v>434</v>
      </c>
      <c r="O31" s="16" t="s">
        <v>659</v>
      </c>
      <c r="P31">
        <v>0.34699999999999998</v>
      </c>
      <c r="Q31">
        <v>1.107</v>
      </c>
      <c r="R31">
        <v>3.6339999999999999</v>
      </c>
      <c r="S31">
        <v>8</v>
      </c>
      <c r="T31">
        <v>6</v>
      </c>
    </row>
    <row r="32" spans="5:20" ht="15" customHeight="1" x14ac:dyDescent="0.25">
      <c r="E32" s="19">
        <v>8</v>
      </c>
      <c r="F32" s="19">
        <v>5</v>
      </c>
      <c r="G32" s="19" t="s">
        <v>657</v>
      </c>
      <c r="H32" s="19">
        <v>0.1663</v>
      </c>
      <c r="I32" s="19">
        <v>0.58250000000000002</v>
      </c>
      <c r="J32" s="19">
        <v>2.024</v>
      </c>
      <c r="K32" s="59" t="str">
        <f t="shared" si="0"/>
        <v>0.58 (0.17 – 2.02)</v>
      </c>
      <c r="L32" s="16" t="str">
        <f t="shared" si="1"/>
        <v>0.58
(0.17 – 2.02)</v>
      </c>
      <c r="N32" s="59" t="s">
        <v>435</v>
      </c>
      <c r="O32" s="16" t="s">
        <v>660</v>
      </c>
      <c r="P32">
        <v>0.52</v>
      </c>
      <c r="Q32">
        <v>1.016</v>
      </c>
      <c r="R32">
        <v>1.998</v>
      </c>
      <c r="S32">
        <v>8</v>
      </c>
      <c r="T32">
        <v>7</v>
      </c>
    </row>
    <row r="33" spans="3:15" ht="15" hidden="1" customHeight="1" x14ac:dyDescent="0.25">
      <c r="K33" s="59" t="str">
        <f t="shared" si="0"/>
        <v>0.00 (0.00 – 0.00)</v>
      </c>
      <c r="L33" s="16" t="str">
        <f t="shared" si="1"/>
        <v>0.00
(0.00 – 0.00)</v>
      </c>
      <c r="N33" s="59"/>
      <c r="O33" s="16"/>
    </row>
    <row r="34" spans="3:15" ht="15" hidden="1" customHeight="1" x14ac:dyDescent="0.25">
      <c r="K34" s="59" t="str">
        <f t="shared" si="0"/>
        <v>0.00 (0.00 – 0.00)</v>
      </c>
      <c r="L34" s="16" t="str">
        <f t="shared" si="1"/>
        <v>0.00
(0.00 – 0.00)</v>
      </c>
      <c r="N34" s="59"/>
      <c r="O34" s="16"/>
    </row>
    <row r="35" spans="3:15" ht="15" hidden="1" customHeight="1" x14ac:dyDescent="0.25">
      <c r="K35" s="59" t="str">
        <f t="shared" si="0"/>
        <v>0.00 (0.00 – 0.00)</v>
      </c>
      <c r="L35" s="16" t="str">
        <f t="shared" si="1"/>
        <v>0.00
(0.00 – 0.00)</v>
      </c>
      <c r="N35" s="59"/>
      <c r="O35" s="16"/>
    </row>
    <row r="36" spans="3:15" ht="15" hidden="1" customHeight="1" x14ac:dyDescent="0.25">
      <c r="C36" s="56"/>
      <c r="D36" s="57"/>
      <c r="E36" s="57"/>
      <c r="F36" s="57"/>
      <c r="G36" s="57"/>
      <c r="H36" s="57"/>
      <c r="I36" s="57"/>
      <c r="J36" s="57"/>
      <c r="K36" s="59" t="str">
        <f t="shared" si="0"/>
        <v>0.00 (0.00 – 0.00)</v>
      </c>
      <c r="L36" s="16" t="str">
        <f t="shared" si="1"/>
        <v>0.00
(0.00 – 0.00)</v>
      </c>
      <c r="M36" s="57"/>
      <c r="N36" s="59"/>
      <c r="O36" s="16"/>
    </row>
    <row r="37" spans="3:15" ht="15" hidden="1" customHeight="1" x14ac:dyDescent="0.25">
      <c r="C37" s="56"/>
      <c r="D37" s="57"/>
      <c r="E37" s="57"/>
      <c r="F37" s="57"/>
      <c r="G37" s="57"/>
      <c r="H37" s="57"/>
      <c r="I37" s="57"/>
      <c r="J37" s="57"/>
      <c r="K37" s="59" t="str">
        <f t="shared" si="0"/>
        <v>0.00 (0.00 – 0.00)</v>
      </c>
      <c r="L37" s="16" t="str">
        <f t="shared" si="1"/>
        <v>0.00
(0.00 – 0.00)</v>
      </c>
      <c r="M37" s="57"/>
      <c r="N37" s="59"/>
      <c r="O37" s="16"/>
    </row>
    <row r="38" spans="3:15" ht="15" hidden="1" customHeight="1" x14ac:dyDescent="0.25">
      <c r="C38" s="56"/>
      <c r="D38" s="57"/>
      <c r="E38" s="57"/>
      <c r="F38" s="57"/>
      <c r="G38" s="57"/>
      <c r="H38" s="57"/>
      <c r="I38" s="57"/>
      <c r="J38" s="57"/>
      <c r="K38" s="59" t="str">
        <f t="shared" si="0"/>
        <v>0.00 (0.00 – 0.00)</v>
      </c>
      <c r="L38" s="16" t="str">
        <f t="shared" si="1"/>
        <v>0.00
(0.00 – 0.00)</v>
      </c>
      <c r="M38" s="57"/>
      <c r="N38" s="59"/>
      <c r="O38" s="16"/>
    </row>
    <row r="39" spans="3:15" ht="15" hidden="1" customHeight="1" x14ac:dyDescent="0.25">
      <c r="C39" s="56"/>
      <c r="D39" s="57"/>
      <c r="E39" s="57"/>
      <c r="F39" s="57"/>
      <c r="G39" s="57"/>
      <c r="H39" s="57"/>
      <c r="I39" s="57"/>
      <c r="J39" s="57"/>
      <c r="K39" s="59" t="str">
        <f t="shared" si="0"/>
        <v>0.00 (0.00 – 0.00)</v>
      </c>
      <c r="L39" s="16" t="str">
        <f t="shared" si="1"/>
        <v>0.00
(0.00 – 0.00)</v>
      </c>
      <c r="M39" s="57"/>
      <c r="N39" s="59"/>
      <c r="O39" s="16"/>
    </row>
    <row r="40" spans="3:15" ht="15" hidden="1" customHeight="1" x14ac:dyDescent="0.25">
      <c r="C40" s="56"/>
      <c r="D40" s="57"/>
      <c r="E40" s="57"/>
      <c r="F40" s="57"/>
      <c r="G40" s="57"/>
      <c r="H40" s="57"/>
      <c r="I40" s="57"/>
      <c r="J40" s="57"/>
      <c r="K40" s="59" t="str">
        <f t="shared" si="0"/>
        <v>0.00 (0.00 – 0.00)</v>
      </c>
      <c r="L40" s="16" t="str">
        <f t="shared" si="1"/>
        <v>0.00
(0.00 – 0.00)</v>
      </c>
      <c r="M40" s="57"/>
      <c r="N40" s="59"/>
      <c r="O40" s="16"/>
    </row>
    <row r="41" spans="3:15" ht="15" hidden="1" customHeight="1" x14ac:dyDescent="0.25">
      <c r="C41" s="56"/>
      <c r="D41" s="57"/>
      <c r="E41" s="57"/>
      <c r="F41" s="57"/>
      <c r="G41" s="57"/>
      <c r="H41" s="57"/>
      <c r="I41" s="57"/>
      <c r="J41" s="57"/>
      <c r="K41" s="59" t="str">
        <f t="shared" si="0"/>
        <v>0.00 (0.00 – 0.00)</v>
      </c>
      <c r="L41" s="16" t="str">
        <f t="shared" si="1"/>
        <v>0.00
(0.00 – 0.00)</v>
      </c>
      <c r="M41" s="57"/>
      <c r="N41" s="59"/>
      <c r="O41" s="16"/>
    </row>
    <row r="42" spans="3:15" ht="15" hidden="1" customHeight="1" x14ac:dyDescent="0.25">
      <c r="C42" s="56"/>
      <c r="D42" s="57"/>
      <c r="E42" s="57"/>
      <c r="F42" s="57"/>
      <c r="G42" s="57"/>
      <c r="H42" s="57"/>
      <c r="I42" s="57"/>
      <c r="J42" s="57"/>
      <c r="K42" s="59" t="str">
        <f t="shared" si="0"/>
        <v>0.00 (0.00 – 0.00)</v>
      </c>
      <c r="L42" s="16" t="str">
        <f t="shared" si="1"/>
        <v>0.00
(0.00 – 0.00)</v>
      </c>
      <c r="M42" s="57"/>
      <c r="N42" s="59"/>
      <c r="O42" s="16"/>
    </row>
    <row r="43" spans="3:15" ht="15" hidden="1" customHeight="1" x14ac:dyDescent="0.25">
      <c r="C43" s="56"/>
      <c r="D43" s="57"/>
      <c r="E43" s="57"/>
      <c r="F43" s="57"/>
      <c r="G43" s="57"/>
      <c r="H43" s="57"/>
      <c r="I43" s="57"/>
      <c r="J43" s="57"/>
      <c r="K43" s="59" t="str">
        <f t="shared" si="0"/>
        <v>0.00 (0.00 – 0.00)</v>
      </c>
      <c r="L43" s="16" t="str">
        <f t="shared" si="1"/>
        <v>0.00
(0.00 – 0.00)</v>
      </c>
      <c r="M43" s="57"/>
      <c r="N43" s="59"/>
      <c r="O43" s="16"/>
    </row>
    <row r="44" spans="3:15" ht="15" hidden="1" customHeight="1" x14ac:dyDescent="0.25">
      <c r="C44" s="56"/>
      <c r="D44" s="57"/>
      <c r="E44" s="57"/>
      <c r="F44" s="57"/>
      <c r="G44" s="57"/>
      <c r="H44" s="57"/>
      <c r="I44" s="57"/>
      <c r="J44" s="57"/>
      <c r="K44" s="59" t="str">
        <f t="shared" si="0"/>
        <v>0.00 (0.00 – 0.00)</v>
      </c>
      <c r="L44" s="16" t="str">
        <f t="shared" si="1"/>
        <v>0.00
(0.00 – 0.00)</v>
      </c>
      <c r="M44" s="57"/>
      <c r="N44" s="59"/>
      <c r="O44" s="16"/>
    </row>
    <row r="45" spans="3:15" ht="15" hidden="1" customHeight="1" x14ac:dyDescent="0.25">
      <c r="C45" s="56"/>
      <c r="D45" s="57"/>
      <c r="E45" s="57"/>
      <c r="F45" s="57"/>
      <c r="G45" s="57"/>
      <c r="H45" s="57"/>
      <c r="I45" s="57"/>
      <c r="J45" s="57"/>
      <c r="K45" s="59" t="str">
        <f t="shared" si="0"/>
        <v>0.00 (0.00 – 0.00)</v>
      </c>
      <c r="L45" s="16" t="str">
        <f t="shared" si="1"/>
        <v>0.00
(0.00 – 0.00)</v>
      </c>
      <c r="M45" s="57"/>
      <c r="N45" s="59"/>
      <c r="O45" s="16"/>
    </row>
    <row r="46" spans="3:15" ht="15" hidden="1" customHeight="1" x14ac:dyDescent="0.25">
      <c r="C46" s="56"/>
      <c r="D46" s="57"/>
      <c r="E46" s="57"/>
      <c r="F46" s="57"/>
      <c r="G46" s="57"/>
      <c r="H46" s="57"/>
      <c r="I46" s="57"/>
      <c r="J46" s="57"/>
      <c r="K46" s="59" t="str">
        <f t="shared" si="0"/>
        <v>0.00 (0.00 – 0.00)</v>
      </c>
      <c r="L46" s="16" t="str">
        <f t="shared" si="1"/>
        <v>0.00
(0.00 – 0.00)</v>
      </c>
      <c r="M46" s="57"/>
      <c r="N46" s="59"/>
      <c r="O46" s="16"/>
    </row>
    <row r="47" spans="3:15" ht="15" hidden="1" customHeight="1" x14ac:dyDescent="0.25">
      <c r="C47" s="56"/>
      <c r="D47" s="57"/>
      <c r="E47" s="57"/>
      <c r="F47" s="57"/>
      <c r="G47" s="57"/>
      <c r="H47" s="57"/>
      <c r="I47" s="57"/>
      <c r="J47" s="57"/>
      <c r="K47" s="59" t="str">
        <f t="shared" si="0"/>
        <v>0.00 (0.00 – 0.00)</v>
      </c>
      <c r="L47" s="16" t="str">
        <f t="shared" si="1"/>
        <v>0.00
(0.00 – 0.00)</v>
      </c>
      <c r="M47" s="57"/>
      <c r="N47" s="59"/>
      <c r="O47" s="16"/>
    </row>
    <row r="48" spans="3:15" ht="15" hidden="1" customHeight="1" x14ac:dyDescent="0.25">
      <c r="C48" s="56"/>
      <c r="D48" s="57"/>
      <c r="E48" s="57"/>
      <c r="F48" s="57"/>
      <c r="G48" s="57"/>
      <c r="H48" s="57"/>
      <c r="I48" s="57"/>
      <c r="J48" s="57"/>
      <c r="K48" s="59" t="str">
        <f t="shared" si="0"/>
        <v>0.00 (0.00 – 0.00)</v>
      </c>
      <c r="L48" s="16" t="str">
        <f t="shared" si="1"/>
        <v>0.00
(0.00 – 0.00)</v>
      </c>
      <c r="M48" s="57"/>
      <c r="N48" s="59"/>
      <c r="O48" s="16"/>
    </row>
    <row r="49" spans="3:15" ht="15" hidden="1" customHeight="1" x14ac:dyDescent="0.25">
      <c r="C49" s="56"/>
      <c r="D49" s="57"/>
      <c r="E49" s="57"/>
      <c r="F49" s="57"/>
      <c r="G49" s="57"/>
      <c r="H49" s="57"/>
      <c r="I49" s="57"/>
      <c r="J49" s="57"/>
      <c r="K49" s="59" t="str">
        <f t="shared" si="0"/>
        <v>0.00 (0.00 – 0.00)</v>
      </c>
      <c r="L49" s="16" t="str">
        <f t="shared" si="1"/>
        <v>0.00
(0.00 – 0.00)</v>
      </c>
      <c r="M49" s="57"/>
      <c r="N49" s="59"/>
      <c r="O49" s="16"/>
    </row>
    <row r="50" spans="3:15" ht="15" hidden="1" customHeight="1" x14ac:dyDescent="0.25">
      <c r="C50" s="56"/>
      <c r="D50" s="57"/>
      <c r="E50" s="57"/>
      <c r="F50" s="57"/>
      <c r="G50" s="57"/>
      <c r="H50" s="57"/>
      <c r="I50" s="57"/>
      <c r="J50" s="57"/>
      <c r="K50" s="59" t="str">
        <f t="shared" si="0"/>
        <v>0.00 (0.00 – 0.00)</v>
      </c>
      <c r="L50" s="16" t="str">
        <f t="shared" si="1"/>
        <v>0.00
(0.00 – 0.00)</v>
      </c>
      <c r="M50" s="57"/>
      <c r="N50" s="59"/>
      <c r="O50" s="16"/>
    </row>
    <row r="51" spans="3:15" ht="15" hidden="1" customHeight="1" x14ac:dyDescent="0.25">
      <c r="C51" s="56"/>
      <c r="D51" s="57"/>
      <c r="E51" s="57"/>
      <c r="F51" s="57"/>
      <c r="G51" s="57"/>
      <c r="H51" s="57"/>
      <c r="I51" s="57"/>
      <c r="J51" s="57"/>
      <c r="K51" s="59" t="str">
        <f t="shared" si="0"/>
        <v>0.00 (0.00 – 0.00)</v>
      </c>
      <c r="L51" s="16" t="str">
        <f t="shared" si="1"/>
        <v>0.00
(0.00 – 0.00)</v>
      </c>
      <c r="M51" s="57"/>
      <c r="N51" s="59"/>
      <c r="O51" s="16"/>
    </row>
    <row r="52" spans="3:15" ht="15" hidden="1" customHeight="1" x14ac:dyDescent="0.25">
      <c r="C52" s="56"/>
      <c r="D52" s="57"/>
      <c r="E52" s="57"/>
      <c r="F52" s="57"/>
      <c r="G52" s="57"/>
      <c r="H52" s="57"/>
      <c r="I52" s="57"/>
      <c r="J52" s="57"/>
      <c r="K52" s="59" t="str">
        <f t="shared" si="0"/>
        <v>0.00 (0.00 – 0.00)</v>
      </c>
      <c r="L52" s="16" t="str">
        <f t="shared" si="1"/>
        <v>0.00
(0.00 – 0.00)</v>
      </c>
      <c r="M52" s="57"/>
      <c r="N52" s="59"/>
      <c r="O52" s="16"/>
    </row>
    <row r="53" spans="3:15" ht="15" hidden="1" customHeight="1" x14ac:dyDescent="0.25">
      <c r="C53" s="56"/>
      <c r="D53" s="57"/>
      <c r="E53" s="57"/>
      <c r="F53" s="57"/>
      <c r="G53" s="57"/>
      <c r="H53" s="57"/>
      <c r="I53" s="57"/>
      <c r="J53" s="57"/>
      <c r="K53" s="59" t="str">
        <f t="shared" si="0"/>
        <v>0.00 (0.00 – 0.00)</v>
      </c>
      <c r="L53" s="16" t="str">
        <f t="shared" si="1"/>
        <v>0.00
(0.00 – 0.00)</v>
      </c>
      <c r="M53" s="57"/>
      <c r="N53" s="59"/>
      <c r="O53" s="16"/>
    </row>
    <row r="54" spans="3:15" ht="15" hidden="1" customHeight="1" x14ac:dyDescent="0.25">
      <c r="C54" s="56"/>
      <c r="D54" s="57"/>
      <c r="E54" s="57"/>
      <c r="F54" s="57"/>
      <c r="G54" s="57"/>
      <c r="H54" s="57"/>
      <c r="I54" s="57"/>
      <c r="J54" s="57"/>
      <c r="K54" s="59" t="str">
        <f t="shared" si="0"/>
        <v>0.00 (0.00 – 0.00)</v>
      </c>
      <c r="L54" s="16" t="str">
        <f t="shared" si="1"/>
        <v>0.00
(0.00 – 0.00)</v>
      </c>
      <c r="M54" s="57"/>
      <c r="N54" s="59"/>
      <c r="O54" s="16"/>
    </row>
    <row r="55" spans="3:15" ht="15" hidden="1" customHeight="1" x14ac:dyDescent="0.25">
      <c r="C55" s="56"/>
      <c r="D55" s="57"/>
      <c r="E55" s="57"/>
      <c r="F55" s="57"/>
      <c r="G55" s="57"/>
      <c r="H55" s="57"/>
      <c r="I55" s="57"/>
      <c r="J55" s="57"/>
      <c r="K55" s="59" t="str">
        <f t="shared" si="0"/>
        <v>0.00 (0.00 – 0.00)</v>
      </c>
      <c r="L55" s="16" t="str">
        <f t="shared" si="1"/>
        <v>0.00
(0.00 – 0.00)</v>
      </c>
      <c r="M55" s="57"/>
      <c r="N55" s="59"/>
      <c r="O55" s="16"/>
    </row>
    <row r="56" spans="3:15" ht="15" hidden="1" customHeight="1" x14ac:dyDescent="0.25">
      <c r="C56" s="56"/>
      <c r="D56" s="57"/>
      <c r="E56" s="57"/>
      <c r="F56" s="57"/>
      <c r="G56" s="57"/>
      <c r="H56" s="57"/>
      <c r="I56" s="57"/>
      <c r="J56" s="57"/>
      <c r="K56" s="59" t="str">
        <f t="shared" si="0"/>
        <v>0.00 (0.00 – 0.00)</v>
      </c>
      <c r="L56" s="16" t="str">
        <f t="shared" si="1"/>
        <v>0.00
(0.00 – 0.00)</v>
      </c>
      <c r="M56" s="57"/>
      <c r="N56" s="59"/>
      <c r="O56" s="16"/>
    </row>
    <row r="57" spans="3:15" ht="15" hidden="1" customHeight="1" x14ac:dyDescent="0.25">
      <c r="C57" s="56"/>
      <c r="D57" s="57"/>
      <c r="E57" s="57"/>
      <c r="F57" s="57"/>
      <c r="G57" s="57"/>
      <c r="H57" s="57"/>
      <c r="I57" s="57"/>
      <c r="J57" s="57"/>
      <c r="K57" s="59" t="str">
        <f t="shared" si="0"/>
        <v>0.00 (0.00 – 0.00)</v>
      </c>
      <c r="L57" s="16" t="str">
        <f t="shared" si="1"/>
        <v>0.00
(0.00 – 0.00)</v>
      </c>
      <c r="M57" s="57"/>
      <c r="N57" s="59"/>
      <c r="O57" s="16"/>
    </row>
    <row r="58" spans="3:15" ht="15" hidden="1" customHeight="1" x14ac:dyDescent="0.25">
      <c r="C58" s="56"/>
      <c r="D58" s="57"/>
      <c r="E58" s="57"/>
      <c r="F58" s="57"/>
      <c r="G58" s="57"/>
      <c r="H58" s="57"/>
      <c r="I58" s="57"/>
      <c r="J58" s="57"/>
      <c r="K58" s="59" t="str">
        <f t="shared" si="0"/>
        <v>0.00 (0.00 – 0.00)</v>
      </c>
      <c r="L58" s="16" t="str">
        <f t="shared" si="1"/>
        <v>0.00
(0.00 – 0.00)</v>
      </c>
      <c r="M58" s="57"/>
      <c r="N58" s="59"/>
      <c r="O58" s="16"/>
    </row>
    <row r="59" spans="3:15" ht="15" hidden="1" customHeight="1" x14ac:dyDescent="0.25">
      <c r="C59" s="56"/>
      <c r="D59" s="57"/>
      <c r="E59" s="57"/>
      <c r="F59" s="57"/>
      <c r="G59" s="57"/>
      <c r="H59" s="57"/>
      <c r="I59" s="57"/>
      <c r="J59" s="57"/>
      <c r="K59" s="59" t="str">
        <f t="shared" si="0"/>
        <v>0.00 (0.00 – 0.00)</v>
      </c>
      <c r="L59" s="16" t="str">
        <f t="shared" si="1"/>
        <v>0.00
(0.00 – 0.00)</v>
      </c>
      <c r="M59" s="57"/>
      <c r="N59" s="59"/>
      <c r="O59" s="16"/>
    </row>
    <row r="60" spans="3:15" ht="15" hidden="1" customHeight="1" x14ac:dyDescent="0.25">
      <c r="C60" s="56"/>
      <c r="D60" s="57"/>
      <c r="E60" s="57"/>
      <c r="F60" s="57"/>
      <c r="G60" s="57"/>
      <c r="H60" s="57"/>
      <c r="I60" s="57"/>
      <c r="J60" s="57"/>
      <c r="K60" s="59" t="str">
        <f t="shared" si="0"/>
        <v>0.00 (0.00 – 0.00)</v>
      </c>
      <c r="L60" s="16" t="str">
        <f t="shared" si="1"/>
        <v>0.00
(0.00 – 0.00)</v>
      </c>
      <c r="M60" s="57"/>
      <c r="N60" s="59"/>
      <c r="O60" s="16"/>
    </row>
    <row r="61" spans="3:15" ht="15" hidden="1" customHeight="1" x14ac:dyDescent="0.25">
      <c r="C61" s="56"/>
      <c r="D61" s="57"/>
      <c r="E61" s="57"/>
      <c r="F61" s="57"/>
      <c r="G61" s="57"/>
      <c r="H61" s="57"/>
      <c r="I61" s="57"/>
      <c r="J61" s="57"/>
      <c r="K61" s="59" t="str">
        <f t="shared" si="0"/>
        <v>0.00 (0.00 – 0.00)</v>
      </c>
      <c r="L61" s="16" t="str">
        <f t="shared" si="1"/>
        <v>0.00
(0.00 – 0.00)</v>
      </c>
      <c r="M61" s="57"/>
      <c r="N61" s="59"/>
      <c r="O61" s="16"/>
    </row>
    <row r="62" spans="3:15" ht="15" hidden="1" customHeight="1" x14ac:dyDescent="0.25">
      <c r="C62" s="56"/>
      <c r="D62" s="57"/>
      <c r="E62" s="57"/>
      <c r="F62" s="57"/>
      <c r="G62" s="57"/>
      <c r="H62" s="57"/>
      <c r="I62" s="57"/>
      <c r="J62" s="57"/>
      <c r="K62" s="59" t="str">
        <f t="shared" si="0"/>
        <v>0.00 (0.00 – 0.00)</v>
      </c>
      <c r="L62" s="16" t="str">
        <f t="shared" si="1"/>
        <v>0.00
(0.00 – 0.00)</v>
      </c>
      <c r="M62" s="57"/>
      <c r="N62" s="59"/>
      <c r="O62" s="16"/>
    </row>
    <row r="63" spans="3:15" ht="15" hidden="1" customHeight="1" x14ac:dyDescent="0.25">
      <c r="C63" s="56"/>
      <c r="D63" s="57"/>
      <c r="E63" s="57"/>
      <c r="F63" s="57"/>
      <c r="G63" s="57"/>
      <c r="H63" s="57"/>
      <c r="I63" s="57"/>
      <c r="J63" s="57"/>
      <c r="K63" s="59" t="str">
        <f t="shared" si="0"/>
        <v>0.00 (0.00 – 0.00)</v>
      </c>
      <c r="L63" s="16" t="str">
        <f t="shared" si="1"/>
        <v>0.00
(0.00 – 0.00)</v>
      </c>
      <c r="M63" s="57"/>
      <c r="N63" s="59"/>
      <c r="O63" s="16"/>
    </row>
    <row r="64" spans="3:15" ht="15" hidden="1" customHeight="1" x14ac:dyDescent="0.25">
      <c r="C64" s="56"/>
      <c r="D64" s="57"/>
      <c r="E64" s="57"/>
      <c r="F64" s="57"/>
      <c r="G64" s="57"/>
      <c r="H64" s="57"/>
      <c r="I64" s="57"/>
      <c r="J64" s="57"/>
      <c r="K64" s="59" t="str">
        <f t="shared" si="0"/>
        <v>0.00 (0.00 – 0.00)</v>
      </c>
      <c r="L64" s="16" t="str">
        <f t="shared" si="1"/>
        <v>0.00
(0.00 – 0.00)</v>
      </c>
      <c r="M64" s="57"/>
      <c r="N64" s="59"/>
      <c r="O64" s="16"/>
    </row>
    <row r="65" spans="3:15" ht="15" hidden="1" customHeight="1" x14ac:dyDescent="0.25">
      <c r="C65" s="56"/>
      <c r="D65" s="57"/>
      <c r="E65" s="57"/>
      <c r="F65" s="57"/>
      <c r="G65" s="57"/>
      <c r="H65" s="57"/>
      <c r="I65" s="57"/>
      <c r="J65" s="57"/>
      <c r="K65" s="59" t="str">
        <f t="shared" si="0"/>
        <v>0.00 (0.00 – 0.00)</v>
      </c>
      <c r="L65" s="16" t="str">
        <f t="shared" si="1"/>
        <v>0.00
(0.00 – 0.00)</v>
      </c>
      <c r="M65" s="57"/>
      <c r="N65" s="59"/>
      <c r="O65" s="16"/>
    </row>
    <row r="66" spans="3:15" ht="15" hidden="1" customHeight="1" x14ac:dyDescent="0.25">
      <c r="C66" s="56"/>
      <c r="D66" s="57"/>
      <c r="E66" s="57"/>
      <c r="F66" s="57"/>
      <c r="G66" s="57"/>
      <c r="H66" s="57"/>
      <c r="I66" s="57"/>
      <c r="J66" s="57"/>
      <c r="K66" s="59" t="str">
        <f t="shared" si="0"/>
        <v>0.00 (0.00 – 0.00)</v>
      </c>
      <c r="L66" s="16" t="str">
        <f t="shared" si="1"/>
        <v>0.00
(0.00 – 0.00)</v>
      </c>
      <c r="M66" s="57"/>
      <c r="N66" s="59"/>
      <c r="O66" s="16"/>
    </row>
    <row r="67" spans="3:15" ht="15" hidden="1" customHeight="1" x14ac:dyDescent="0.25">
      <c r="C67" s="56"/>
      <c r="D67" s="57"/>
      <c r="E67" s="57"/>
      <c r="F67" s="57"/>
      <c r="G67" s="57"/>
      <c r="H67" s="57"/>
      <c r="I67" s="57"/>
      <c r="J67" s="57"/>
      <c r="K67" s="59" t="str">
        <f t="shared" si="0"/>
        <v>0.00 (0.00 – 0.00)</v>
      </c>
      <c r="L67" s="16" t="str">
        <f t="shared" si="1"/>
        <v>0.00
(0.00 – 0.00)</v>
      </c>
      <c r="M67" s="57"/>
      <c r="N67" s="59"/>
      <c r="O67" s="16"/>
    </row>
    <row r="68" spans="3:15" ht="15" hidden="1" customHeight="1" x14ac:dyDescent="0.25">
      <c r="C68" s="56"/>
      <c r="D68" s="57"/>
      <c r="E68" s="57"/>
      <c r="F68" s="57"/>
      <c r="G68" s="57"/>
      <c r="H68" s="57"/>
      <c r="I68" s="57"/>
      <c r="J68" s="57"/>
      <c r="K68" s="59" t="str">
        <f t="shared" si="0"/>
        <v>0.00 (0.00 – 0.00)</v>
      </c>
      <c r="L68" s="16" t="str">
        <f t="shared" si="1"/>
        <v>0.00
(0.00 – 0.00)</v>
      </c>
      <c r="M68" s="57"/>
      <c r="N68" s="59"/>
      <c r="O68" s="16"/>
    </row>
    <row r="69" spans="3:15" ht="15" hidden="1" customHeight="1" x14ac:dyDescent="0.25">
      <c r="C69" s="56"/>
      <c r="D69" s="57"/>
      <c r="E69" s="57"/>
      <c r="F69" s="57"/>
      <c r="G69" s="57"/>
      <c r="H69" s="57"/>
      <c r="I69" s="57"/>
      <c r="J69" s="57"/>
      <c r="K69" s="59" t="str">
        <f t="shared" si="0"/>
        <v>0.00 (0.00 – 0.00)</v>
      </c>
      <c r="L69" s="16" t="str">
        <f t="shared" si="1"/>
        <v>0.00
(0.00 – 0.00)</v>
      </c>
      <c r="M69" s="57"/>
      <c r="N69" s="59"/>
      <c r="O69" s="16"/>
    </row>
    <row r="70" spans="3:15" ht="15" hidden="1" customHeight="1" x14ac:dyDescent="0.25">
      <c r="C70" s="56"/>
      <c r="D70" s="57"/>
      <c r="E70" s="57"/>
      <c r="F70" s="57"/>
      <c r="G70" s="57"/>
      <c r="H70" s="57"/>
      <c r="I70" s="57"/>
      <c r="J70" s="57"/>
      <c r="K70" s="59" t="str">
        <f t="shared" ref="K70:K133" si="2">CONCATENATE(TEXT(I70,"0.00")," (",TEXT(H70,"0.00")," – ",TEXT(J70,"0.00"),")")</f>
        <v>0.00 (0.00 – 0.00)</v>
      </c>
      <c r="L70" s="16" t="str">
        <f t="shared" ref="L70:L133" si="3">CONCATENATE(TEXT(I70,"0.00"),"
(",TEXT(H70,"0.00")," – ",TEXT(J70,"0.00"),")")</f>
        <v>0.00
(0.00 – 0.00)</v>
      </c>
      <c r="M70" s="57"/>
      <c r="N70" s="59"/>
      <c r="O70" s="16"/>
    </row>
    <row r="71" spans="3:15" ht="15" hidden="1" customHeight="1" x14ac:dyDescent="0.25">
      <c r="C71" s="56"/>
      <c r="D71" s="57"/>
      <c r="E71" s="57"/>
      <c r="F71" s="57"/>
      <c r="G71" s="57"/>
      <c r="H71" s="57"/>
      <c r="I71" s="57"/>
      <c r="J71" s="57"/>
      <c r="K71" s="59" t="str">
        <f t="shared" si="2"/>
        <v>0.00 (0.00 – 0.00)</v>
      </c>
      <c r="L71" s="16" t="str">
        <f t="shared" si="3"/>
        <v>0.00
(0.00 – 0.00)</v>
      </c>
      <c r="M71" s="57"/>
      <c r="N71" s="59"/>
      <c r="O71" s="16"/>
    </row>
    <row r="72" spans="3:15" ht="15" hidden="1" customHeight="1" x14ac:dyDescent="0.25">
      <c r="C72" s="56"/>
      <c r="D72" s="57"/>
      <c r="E72" s="57"/>
      <c r="F72" s="57"/>
      <c r="G72" s="57"/>
      <c r="H72" s="57"/>
      <c r="I72" s="57"/>
      <c r="J72" s="57"/>
      <c r="K72" s="59" t="str">
        <f t="shared" si="2"/>
        <v>0.00 (0.00 – 0.00)</v>
      </c>
      <c r="L72" s="16" t="str">
        <f t="shared" si="3"/>
        <v>0.00
(0.00 – 0.00)</v>
      </c>
      <c r="M72" s="57"/>
      <c r="N72" s="59"/>
      <c r="O72" s="16"/>
    </row>
    <row r="73" spans="3:15" ht="15" hidden="1" customHeight="1" x14ac:dyDescent="0.25">
      <c r="C73" s="56"/>
      <c r="D73" s="57"/>
      <c r="E73" s="57"/>
      <c r="F73" s="57"/>
      <c r="G73" s="57"/>
      <c r="H73" s="57"/>
      <c r="I73" s="57"/>
      <c r="J73" s="57"/>
      <c r="K73" s="59" t="str">
        <f t="shared" si="2"/>
        <v>0.00 (0.00 – 0.00)</v>
      </c>
      <c r="L73" s="16" t="str">
        <f t="shared" si="3"/>
        <v>0.00
(0.00 – 0.00)</v>
      </c>
      <c r="M73" s="57"/>
      <c r="N73" s="59"/>
      <c r="O73" s="16"/>
    </row>
    <row r="74" spans="3:15" ht="15" hidden="1" customHeight="1" x14ac:dyDescent="0.25">
      <c r="C74" s="56"/>
      <c r="D74" s="57"/>
      <c r="E74" s="57"/>
      <c r="F74" s="57"/>
      <c r="G74" s="57"/>
      <c r="H74" s="57"/>
      <c r="I74" s="57"/>
      <c r="J74" s="57"/>
      <c r="K74" s="59" t="str">
        <f t="shared" si="2"/>
        <v>0.00 (0.00 – 0.00)</v>
      </c>
      <c r="L74" s="16" t="str">
        <f t="shared" si="3"/>
        <v>0.00
(0.00 – 0.00)</v>
      </c>
      <c r="M74" s="57"/>
      <c r="N74" s="59"/>
      <c r="O74" s="16"/>
    </row>
    <row r="75" spans="3:15" ht="15" hidden="1" customHeight="1" x14ac:dyDescent="0.25">
      <c r="C75" s="56"/>
      <c r="D75" s="57"/>
      <c r="E75" s="57"/>
      <c r="F75" s="57"/>
      <c r="G75" s="57"/>
      <c r="H75" s="57"/>
      <c r="I75" s="57"/>
      <c r="J75" s="57"/>
      <c r="K75" s="59" t="str">
        <f t="shared" si="2"/>
        <v>0.00 (0.00 – 0.00)</v>
      </c>
      <c r="L75" s="16" t="str">
        <f t="shared" si="3"/>
        <v>0.00
(0.00 – 0.00)</v>
      </c>
      <c r="M75" s="57"/>
      <c r="N75" s="59"/>
      <c r="O75" s="16"/>
    </row>
    <row r="76" spans="3:15" ht="15" hidden="1" customHeight="1" x14ac:dyDescent="0.25">
      <c r="C76" s="56"/>
      <c r="D76" s="57"/>
      <c r="E76" s="57"/>
      <c r="F76" s="57"/>
      <c r="G76" s="57"/>
      <c r="H76" s="57"/>
      <c r="I76" s="57"/>
      <c r="J76" s="57"/>
      <c r="K76" s="59" t="str">
        <f t="shared" si="2"/>
        <v>0.00 (0.00 – 0.00)</v>
      </c>
      <c r="L76" s="16" t="str">
        <f t="shared" si="3"/>
        <v>0.00
(0.00 – 0.00)</v>
      </c>
      <c r="M76" s="57"/>
      <c r="N76" s="59"/>
      <c r="O76" s="16"/>
    </row>
    <row r="77" spans="3:15" ht="15" hidden="1" customHeight="1" x14ac:dyDescent="0.25">
      <c r="C77" s="56"/>
      <c r="D77" s="57"/>
      <c r="E77" s="57"/>
      <c r="F77" s="57"/>
      <c r="G77" s="57"/>
      <c r="H77" s="57"/>
      <c r="I77" s="57"/>
      <c r="J77" s="57"/>
      <c r="K77" s="59" t="str">
        <f t="shared" si="2"/>
        <v>0.00 (0.00 – 0.00)</v>
      </c>
      <c r="L77" s="16" t="str">
        <f t="shared" si="3"/>
        <v>0.00
(0.00 – 0.00)</v>
      </c>
      <c r="M77" s="57"/>
      <c r="N77" s="59"/>
      <c r="O77" s="16"/>
    </row>
    <row r="78" spans="3:15" ht="15" hidden="1" customHeight="1" x14ac:dyDescent="0.25">
      <c r="C78" s="56"/>
      <c r="D78" s="57"/>
      <c r="E78" s="57"/>
      <c r="F78" s="57"/>
      <c r="G78" s="57"/>
      <c r="H78" s="57"/>
      <c r="I78" s="57"/>
      <c r="J78" s="57"/>
      <c r="K78" s="59" t="str">
        <f t="shared" si="2"/>
        <v>0.00 (0.00 – 0.00)</v>
      </c>
      <c r="L78" s="16" t="str">
        <f t="shared" si="3"/>
        <v>0.00
(0.00 – 0.00)</v>
      </c>
      <c r="M78" s="57"/>
      <c r="N78" s="59"/>
      <c r="O78" s="16"/>
    </row>
    <row r="79" spans="3:15" ht="15" hidden="1" customHeight="1" x14ac:dyDescent="0.25">
      <c r="C79" s="56"/>
      <c r="D79" s="57"/>
      <c r="E79" s="57"/>
      <c r="F79" s="57"/>
      <c r="G79" s="57"/>
      <c r="H79" s="57"/>
      <c r="I79" s="57"/>
      <c r="J79" s="57"/>
      <c r="K79" s="59" t="str">
        <f t="shared" si="2"/>
        <v>0.00 (0.00 – 0.00)</v>
      </c>
      <c r="L79" s="16" t="str">
        <f t="shared" si="3"/>
        <v>0.00
(0.00 – 0.00)</v>
      </c>
      <c r="M79" s="57"/>
      <c r="N79" s="59"/>
      <c r="O79" s="16"/>
    </row>
    <row r="80" spans="3:15" ht="15" hidden="1" customHeight="1" x14ac:dyDescent="0.25">
      <c r="C80" s="56"/>
      <c r="D80" s="57"/>
      <c r="E80" s="57"/>
      <c r="F80" s="57"/>
      <c r="G80" s="57"/>
      <c r="H80" s="57"/>
      <c r="I80" s="57"/>
      <c r="J80" s="57"/>
      <c r="K80" s="59" t="str">
        <f t="shared" si="2"/>
        <v>0.00 (0.00 – 0.00)</v>
      </c>
      <c r="L80" s="16" t="str">
        <f t="shared" si="3"/>
        <v>0.00
(0.00 – 0.00)</v>
      </c>
      <c r="M80" s="57"/>
      <c r="N80" s="59"/>
      <c r="O80" s="16"/>
    </row>
    <row r="81" spans="3:15" ht="15" hidden="1" customHeight="1" x14ac:dyDescent="0.25">
      <c r="C81" s="56"/>
      <c r="D81" s="57"/>
      <c r="E81" s="57"/>
      <c r="F81" s="57"/>
      <c r="G81" s="57"/>
      <c r="H81" s="57"/>
      <c r="I81" s="57"/>
      <c r="J81" s="57"/>
      <c r="K81" s="59" t="str">
        <f t="shared" si="2"/>
        <v>0.00 (0.00 – 0.00)</v>
      </c>
      <c r="L81" s="16" t="str">
        <f t="shared" si="3"/>
        <v>0.00
(0.00 – 0.00)</v>
      </c>
      <c r="M81" s="57"/>
      <c r="N81" s="59"/>
      <c r="O81" s="16"/>
    </row>
    <row r="82" spans="3:15" ht="15" hidden="1" customHeight="1" x14ac:dyDescent="0.25">
      <c r="C82" s="56"/>
      <c r="D82" s="57"/>
      <c r="E82" s="57"/>
      <c r="F82" s="57"/>
      <c r="G82" s="57"/>
      <c r="H82" s="57"/>
      <c r="I82" s="57"/>
      <c r="J82" s="57"/>
      <c r="K82" s="59" t="str">
        <f t="shared" si="2"/>
        <v>0.00 (0.00 – 0.00)</v>
      </c>
      <c r="L82" s="16" t="str">
        <f t="shared" si="3"/>
        <v>0.00
(0.00 – 0.00)</v>
      </c>
      <c r="M82" s="57"/>
      <c r="N82" s="59"/>
      <c r="O82" s="16"/>
    </row>
    <row r="83" spans="3:15" ht="15" hidden="1" customHeight="1" x14ac:dyDescent="0.25">
      <c r="C83" s="56"/>
      <c r="D83" s="57"/>
      <c r="E83" s="57"/>
      <c r="F83" s="57"/>
      <c r="G83" s="57"/>
      <c r="H83" s="57"/>
      <c r="I83" s="57"/>
      <c r="J83" s="57"/>
      <c r="K83" s="59" t="str">
        <f t="shared" si="2"/>
        <v>0.00 (0.00 – 0.00)</v>
      </c>
      <c r="L83" s="16" t="str">
        <f t="shared" si="3"/>
        <v>0.00
(0.00 – 0.00)</v>
      </c>
      <c r="M83" s="57"/>
      <c r="N83" s="59"/>
      <c r="O83" s="16"/>
    </row>
    <row r="84" spans="3:15" ht="15" hidden="1" customHeight="1" x14ac:dyDescent="0.25">
      <c r="C84" s="56"/>
      <c r="D84" s="57"/>
      <c r="E84" s="57"/>
      <c r="F84" s="57"/>
      <c r="G84" s="57"/>
      <c r="H84" s="57"/>
      <c r="I84" s="57"/>
      <c r="J84" s="57"/>
      <c r="K84" s="59" t="str">
        <f t="shared" si="2"/>
        <v>0.00 (0.00 – 0.00)</v>
      </c>
      <c r="L84" s="16" t="str">
        <f t="shared" si="3"/>
        <v>0.00
(0.00 – 0.00)</v>
      </c>
      <c r="M84" s="57"/>
      <c r="N84" s="59"/>
      <c r="O84" s="16"/>
    </row>
    <row r="85" spans="3:15" ht="15" hidden="1" customHeight="1" x14ac:dyDescent="0.25">
      <c r="C85" s="56"/>
      <c r="D85" s="57"/>
      <c r="E85" s="57"/>
      <c r="F85" s="57"/>
      <c r="G85" s="57"/>
      <c r="H85" s="57"/>
      <c r="I85" s="57"/>
      <c r="J85" s="57"/>
      <c r="K85" s="59" t="str">
        <f t="shared" si="2"/>
        <v>0.00 (0.00 – 0.00)</v>
      </c>
      <c r="L85" s="16" t="str">
        <f t="shared" si="3"/>
        <v>0.00
(0.00 – 0.00)</v>
      </c>
      <c r="M85" s="57"/>
      <c r="N85" s="59"/>
      <c r="O85" s="16"/>
    </row>
    <row r="86" spans="3:15" ht="15" hidden="1" customHeight="1" x14ac:dyDescent="0.25">
      <c r="C86" s="56"/>
      <c r="D86" s="57"/>
      <c r="E86" s="57"/>
      <c r="F86" s="57"/>
      <c r="G86" s="57"/>
      <c r="H86" s="57"/>
      <c r="I86" s="57"/>
      <c r="J86" s="57"/>
      <c r="K86" s="59" t="str">
        <f t="shared" si="2"/>
        <v>0.00 (0.00 – 0.00)</v>
      </c>
      <c r="L86" s="16" t="str">
        <f t="shared" si="3"/>
        <v>0.00
(0.00 – 0.00)</v>
      </c>
      <c r="M86" s="57"/>
      <c r="N86" s="59"/>
      <c r="O86" s="16"/>
    </row>
    <row r="87" spans="3:15" ht="15" hidden="1" customHeight="1" x14ac:dyDescent="0.25">
      <c r="C87" s="56"/>
      <c r="D87" s="57"/>
      <c r="E87" s="57"/>
      <c r="F87" s="57"/>
      <c r="G87" s="57"/>
      <c r="H87" s="57"/>
      <c r="I87" s="57"/>
      <c r="J87" s="57"/>
      <c r="K87" s="59" t="str">
        <f t="shared" si="2"/>
        <v>0.00 (0.00 – 0.00)</v>
      </c>
      <c r="L87" s="16" t="str">
        <f t="shared" si="3"/>
        <v>0.00
(0.00 – 0.00)</v>
      </c>
      <c r="M87" s="57"/>
      <c r="N87" s="59"/>
      <c r="O87" s="16"/>
    </row>
    <row r="88" spans="3:15" ht="15" hidden="1" customHeight="1" x14ac:dyDescent="0.25">
      <c r="C88" s="56"/>
      <c r="D88" s="57"/>
      <c r="E88" s="57"/>
      <c r="F88" s="57"/>
      <c r="G88" s="57"/>
      <c r="H88" s="57"/>
      <c r="I88" s="57"/>
      <c r="J88" s="57"/>
      <c r="K88" s="59" t="str">
        <f t="shared" si="2"/>
        <v>0.00 (0.00 – 0.00)</v>
      </c>
      <c r="L88" s="16" t="str">
        <f t="shared" si="3"/>
        <v>0.00
(0.00 – 0.00)</v>
      </c>
      <c r="M88" s="57"/>
      <c r="N88" s="59"/>
      <c r="O88" s="16"/>
    </row>
    <row r="89" spans="3:15" ht="15" hidden="1" customHeight="1" x14ac:dyDescent="0.25">
      <c r="C89" s="56"/>
      <c r="D89" s="57"/>
      <c r="E89" s="57"/>
      <c r="F89" s="57"/>
      <c r="G89" s="57"/>
      <c r="H89" s="57"/>
      <c r="I89" s="57"/>
      <c r="J89" s="57"/>
      <c r="K89" s="59" t="str">
        <f t="shared" si="2"/>
        <v>0.00 (0.00 – 0.00)</v>
      </c>
      <c r="L89" s="16" t="str">
        <f t="shared" si="3"/>
        <v>0.00
(0.00 – 0.00)</v>
      </c>
      <c r="M89" s="57"/>
      <c r="N89" s="59"/>
      <c r="O89" s="16"/>
    </row>
    <row r="90" spans="3:15" ht="15" hidden="1" customHeight="1" x14ac:dyDescent="0.25">
      <c r="C90" s="56"/>
      <c r="D90" s="57"/>
      <c r="E90" s="57"/>
      <c r="F90" s="57"/>
      <c r="G90" s="57"/>
      <c r="H90" s="57"/>
      <c r="I90" s="57"/>
      <c r="J90" s="57"/>
      <c r="K90" s="59" t="str">
        <f t="shared" si="2"/>
        <v>0.00 (0.00 – 0.00)</v>
      </c>
      <c r="L90" s="16" t="str">
        <f t="shared" si="3"/>
        <v>0.00
(0.00 – 0.00)</v>
      </c>
      <c r="M90" s="57"/>
      <c r="N90" s="59"/>
      <c r="O90" s="16"/>
    </row>
    <row r="91" spans="3:15" ht="15" hidden="1" customHeight="1" x14ac:dyDescent="0.25">
      <c r="C91" s="56"/>
      <c r="D91" s="57"/>
      <c r="E91" s="57"/>
      <c r="F91" s="57"/>
      <c r="G91" s="57"/>
      <c r="H91" s="57"/>
      <c r="I91" s="57"/>
      <c r="J91" s="57"/>
      <c r="K91" s="59" t="str">
        <f t="shared" si="2"/>
        <v>0.00 (0.00 – 0.00)</v>
      </c>
      <c r="L91" s="16" t="str">
        <f t="shared" si="3"/>
        <v>0.00
(0.00 – 0.00)</v>
      </c>
      <c r="M91" s="57"/>
      <c r="N91" s="59"/>
      <c r="O91" s="16"/>
    </row>
    <row r="92" spans="3:15" ht="15" hidden="1" customHeight="1" x14ac:dyDescent="0.25">
      <c r="C92" s="56"/>
      <c r="D92" s="57"/>
      <c r="E92" s="57"/>
      <c r="F92" s="57"/>
      <c r="G92" s="57"/>
      <c r="H92" s="57"/>
      <c r="I92" s="57"/>
      <c r="J92" s="57"/>
      <c r="K92" s="59" t="str">
        <f t="shared" si="2"/>
        <v>0.00 (0.00 – 0.00)</v>
      </c>
      <c r="L92" s="16" t="str">
        <f t="shared" si="3"/>
        <v>0.00
(0.00 – 0.00)</v>
      </c>
      <c r="M92" s="57"/>
      <c r="N92" s="59"/>
      <c r="O92" s="16"/>
    </row>
    <row r="93" spans="3:15" ht="15" hidden="1" customHeight="1" x14ac:dyDescent="0.25">
      <c r="C93" s="56"/>
      <c r="D93" s="57"/>
      <c r="E93" s="57"/>
      <c r="F93" s="57"/>
      <c r="G93" s="57"/>
      <c r="H93" s="57"/>
      <c r="I93" s="57"/>
      <c r="J93" s="57"/>
      <c r="K93" s="59" t="str">
        <f t="shared" si="2"/>
        <v>0.00 (0.00 – 0.00)</v>
      </c>
      <c r="L93" s="16" t="str">
        <f t="shared" si="3"/>
        <v>0.00
(0.00 – 0.00)</v>
      </c>
      <c r="M93" s="57"/>
      <c r="N93" s="59"/>
      <c r="O93" s="16"/>
    </row>
    <row r="94" spans="3:15" ht="15" hidden="1" customHeight="1" x14ac:dyDescent="0.25">
      <c r="C94" s="56"/>
      <c r="D94" s="57"/>
      <c r="E94" s="57"/>
      <c r="F94" s="57"/>
      <c r="G94" s="57"/>
      <c r="H94" s="57"/>
      <c r="I94" s="57"/>
      <c r="J94" s="57"/>
      <c r="K94" s="59" t="str">
        <f t="shared" si="2"/>
        <v>0.00 (0.00 – 0.00)</v>
      </c>
      <c r="L94" s="16" t="str">
        <f t="shared" si="3"/>
        <v>0.00
(0.00 – 0.00)</v>
      </c>
      <c r="M94" s="57"/>
      <c r="N94" s="59"/>
      <c r="O94" s="16"/>
    </row>
    <row r="95" spans="3:15" ht="15" hidden="1" customHeight="1" x14ac:dyDescent="0.25">
      <c r="C95" s="56"/>
      <c r="D95" s="57"/>
      <c r="E95" s="57"/>
      <c r="F95" s="57"/>
      <c r="G95" s="57"/>
      <c r="H95" s="57"/>
      <c r="I95" s="57"/>
      <c r="J95" s="57"/>
      <c r="K95" s="59" t="str">
        <f t="shared" si="2"/>
        <v>0.00 (0.00 – 0.00)</v>
      </c>
      <c r="L95" s="16" t="str">
        <f t="shared" si="3"/>
        <v>0.00
(0.00 – 0.00)</v>
      </c>
      <c r="M95" s="57"/>
      <c r="N95" s="59"/>
      <c r="O95" s="16"/>
    </row>
    <row r="96" spans="3:15" ht="15" hidden="1" customHeight="1" x14ac:dyDescent="0.25">
      <c r="C96" s="56"/>
      <c r="D96" s="57"/>
      <c r="E96" s="57"/>
      <c r="F96" s="57"/>
      <c r="G96" s="57"/>
      <c r="H96" s="57"/>
      <c r="I96" s="57"/>
      <c r="J96" s="57"/>
      <c r="K96" s="59" t="str">
        <f t="shared" si="2"/>
        <v>0.00 (0.00 – 0.00)</v>
      </c>
      <c r="L96" s="16" t="str">
        <f t="shared" si="3"/>
        <v>0.00
(0.00 – 0.00)</v>
      </c>
      <c r="M96" s="57"/>
      <c r="N96" s="59"/>
      <c r="O96" s="16"/>
    </row>
    <row r="97" spans="3:15" ht="15" hidden="1" customHeight="1" x14ac:dyDescent="0.25">
      <c r="C97" s="56"/>
      <c r="D97" s="57"/>
      <c r="E97" s="57"/>
      <c r="F97" s="57"/>
      <c r="G97" s="57"/>
      <c r="H97" s="57"/>
      <c r="I97" s="57"/>
      <c r="J97" s="57"/>
      <c r="K97" s="59" t="str">
        <f t="shared" si="2"/>
        <v>0.00 (0.00 – 0.00)</v>
      </c>
      <c r="L97" s="16" t="str">
        <f t="shared" si="3"/>
        <v>0.00
(0.00 – 0.00)</v>
      </c>
      <c r="M97" s="57"/>
      <c r="N97" s="59"/>
      <c r="O97" s="16"/>
    </row>
    <row r="98" spans="3:15" ht="15" hidden="1" customHeight="1" x14ac:dyDescent="0.25">
      <c r="C98" s="56"/>
      <c r="D98" s="57"/>
      <c r="E98" s="57"/>
      <c r="F98" s="57"/>
      <c r="G98" s="57"/>
      <c r="H98" s="57"/>
      <c r="I98" s="57"/>
      <c r="J98" s="57"/>
      <c r="K98" s="59" t="str">
        <f t="shared" si="2"/>
        <v>0.00 (0.00 – 0.00)</v>
      </c>
      <c r="L98" s="16" t="str">
        <f t="shared" si="3"/>
        <v>0.00
(0.00 – 0.00)</v>
      </c>
      <c r="M98" s="57"/>
      <c r="N98" s="59"/>
      <c r="O98" s="16"/>
    </row>
    <row r="99" spans="3:15" ht="15" hidden="1" customHeight="1" x14ac:dyDescent="0.25">
      <c r="C99" s="56"/>
      <c r="D99" s="57"/>
      <c r="E99" s="57"/>
      <c r="F99" s="57"/>
      <c r="G99" s="57"/>
      <c r="H99" s="57"/>
      <c r="I99" s="57"/>
      <c r="J99" s="57"/>
      <c r="K99" s="59" t="str">
        <f t="shared" si="2"/>
        <v>0.00 (0.00 – 0.00)</v>
      </c>
      <c r="L99" s="16" t="str">
        <f t="shared" si="3"/>
        <v>0.00
(0.00 – 0.00)</v>
      </c>
      <c r="M99" s="57"/>
      <c r="N99" s="59"/>
      <c r="O99" s="16"/>
    </row>
    <row r="100" spans="3:15" ht="15" hidden="1" customHeight="1" x14ac:dyDescent="0.25">
      <c r="C100" s="56"/>
      <c r="D100" s="57"/>
      <c r="E100" s="57"/>
      <c r="F100" s="57"/>
      <c r="G100" s="57"/>
      <c r="H100" s="57"/>
      <c r="I100" s="57"/>
      <c r="J100" s="57"/>
      <c r="K100" s="59" t="str">
        <f t="shared" si="2"/>
        <v>0.00 (0.00 – 0.00)</v>
      </c>
      <c r="L100" s="16" t="str">
        <f t="shared" si="3"/>
        <v>0.00
(0.00 – 0.00)</v>
      </c>
      <c r="M100" s="57"/>
      <c r="N100" s="59"/>
      <c r="O100" s="16"/>
    </row>
    <row r="101" spans="3:15" ht="15" hidden="1" customHeight="1" x14ac:dyDescent="0.25">
      <c r="C101" s="56"/>
      <c r="D101" s="57"/>
      <c r="E101" s="57"/>
      <c r="F101" s="57"/>
      <c r="G101" s="57"/>
      <c r="H101" s="57"/>
      <c r="I101" s="57"/>
      <c r="J101" s="57"/>
      <c r="K101" s="59" t="str">
        <f t="shared" si="2"/>
        <v>0.00 (0.00 – 0.00)</v>
      </c>
      <c r="L101" s="16" t="str">
        <f t="shared" si="3"/>
        <v>0.00
(0.00 – 0.00)</v>
      </c>
      <c r="M101" s="57"/>
      <c r="N101" s="59"/>
      <c r="O101" s="16"/>
    </row>
    <row r="102" spans="3:15" ht="15" hidden="1" customHeight="1" x14ac:dyDescent="0.25">
      <c r="C102" s="56"/>
      <c r="D102" s="57"/>
      <c r="E102" s="57"/>
      <c r="F102" s="57"/>
      <c r="G102" s="57"/>
      <c r="H102" s="57"/>
      <c r="I102" s="57"/>
      <c r="J102" s="57"/>
      <c r="K102" s="59" t="str">
        <f t="shared" si="2"/>
        <v>0.00 (0.00 – 0.00)</v>
      </c>
      <c r="L102" s="16" t="str">
        <f t="shared" si="3"/>
        <v>0.00
(0.00 – 0.00)</v>
      </c>
      <c r="M102" s="57"/>
      <c r="N102" s="59"/>
      <c r="O102" s="16"/>
    </row>
    <row r="103" spans="3:15" ht="15" hidden="1" customHeight="1" x14ac:dyDescent="0.25">
      <c r="C103" s="56"/>
      <c r="D103" s="57"/>
      <c r="E103" s="57"/>
      <c r="F103" s="57"/>
      <c r="G103" s="57"/>
      <c r="H103" s="57"/>
      <c r="I103" s="57"/>
      <c r="J103" s="57"/>
      <c r="K103" s="59" t="str">
        <f t="shared" si="2"/>
        <v>0.00 (0.00 – 0.00)</v>
      </c>
      <c r="L103" s="16" t="str">
        <f t="shared" si="3"/>
        <v>0.00
(0.00 – 0.00)</v>
      </c>
      <c r="M103" s="57"/>
      <c r="N103" s="59"/>
      <c r="O103" s="16"/>
    </row>
    <row r="104" spans="3:15" ht="15" hidden="1" customHeight="1" x14ac:dyDescent="0.25">
      <c r="C104" s="56"/>
      <c r="D104" s="57"/>
      <c r="E104" s="57"/>
      <c r="F104" s="57"/>
      <c r="G104" s="57"/>
      <c r="H104" s="57"/>
      <c r="I104" s="57"/>
      <c r="J104" s="57"/>
      <c r="K104" s="59" t="str">
        <f t="shared" si="2"/>
        <v>0.00 (0.00 – 0.00)</v>
      </c>
      <c r="L104" s="16" t="str">
        <f t="shared" si="3"/>
        <v>0.00
(0.00 – 0.00)</v>
      </c>
      <c r="M104" s="57"/>
      <c r="N104" s="59"/>
      <c r="O104" s="16"/>
    </row>
    <row r="105" spans="3:15" ht="15" hidden="1" customHeight="1" x14ac:dyDescent="0.25">
      <c r="C105" s="56"/>
      <c r="D105" s="57"/>
      <c r="E105" s="57"/>
      <c r="F105" s="57"/>
      <c r="G105" s="57"/>
      <c r="H105" s="57"/>
      <c r="I105" s="57"/>
      <c r="J105" s="57"/>
      <c r="K105" s="59" t="str">
        <f t="shared" si="2"/>
        <v>0.00 (0.00 – 0.00)</v>
      </c>
      <c r="L105" s="16" t="str">
        <f t="shared" si="3"/>
        <v>0.00
(0.00 – 0.00)</v>
      </c>
      <c r="M105" s="57"/>
      <c r="N105" s="59"/>
      <c r="O105" s="16"/>
    </row>
    <row r="106" spans="3:15" ht="15" hidden="1" customHeight="1" x14ac:dyDescent="0.25">
      <c r="C106" s="56"/>
      <c r="D106" s="57"/>
      <c r="E106" s="57"/>
      <c r="F106" s="57"/>
      <c r="G106" s="57"/>
      <c r="H106" s="57"/>
      <c r="I106" s="57"/>
      <c r="J106" s="57"/>
      <c r="K106" s="59" t="str">
        <f t="shared" si="2"/>
        <v>0.00 (0.00 – 0.00)</v>
      </c>
      <c r="L106" s="16" t="str">
        <f t="shared" si="3"/>
        <v>0.00
(0.00 – 0.00)</v>
      </c>
      <c r="M106" s="57"/>
      <c r="N106" s="59"/>
      <c r="O106" s="16"/>
    </row>
    <row r="107" spans="3:15" ht="15" hidden="1" customHeight="1" x14ac:dyDescent="0.25">
      <c r="C107" s="56"/>
      <c r="D107" s="57"/>
      <c r="E107" s="57"/>
      <c r="F107" s="57"/>
      <c r="G107" s="57"/>
      <c r="H107" s="57"/>
      <c r="I107" s="57"/>
      <c r="J107" s="57"/>
      <c r="K107" s="59" t="str">
        <f t="shared" si="2"/>
        <v>0.00 (0.00 – 0.00)</v>
      </c>
      <c r="L107" s="16" t="str">
        <f t="shared" si="3"/>
        <v>0.00
(0.00 – 0.00)</v>
      </c>
      <c r="M107" s="57"/>
      <c r="N107" s="59"/>
      <c r="O107" s="16"/>
    </row>
    <row r="108" spans="3:15" ht="15" hidden="1" customHeight="1" x14ac:dyDescent="0.25">
      <c r="C108" s="56"/>
      <c r="D108" s="57"/>
      <c r="E108" s="57"/>
      <c r="F108" s="57"/>
      <c r="G108" s="57"/>
      <c r="H108" s="57"/>
      <c r="I108" s="57"/>
      <c r="J108" s="57"/>
      <c r="K108" s="59" t="str">
        <f t="shared" si="2"/>
        <v>0.00 (0.00 – 0.00)</v>
      </c>
      <c r="L108" s="16" t="str">
        <f t="shared" si="3"/>
        <v>0.00
(0.00 – 0.00)</v>
      </c>
      <c r="M108" s="57"/>
      <c r="N108" s="59"/>
      <c r="O108" s="16"/>
    </row>
    <row r="109" spans="3:15" ht="15" hidden="1" customHeight="1" x14ac:dyDescent="0.25">
      <c r="C109" s="56"/>
      <c r="D109" s="57"/>
      <c r="E109" s="57"/>
      <c r="F109" s="57"/>
      <c r="G109" s="57"/>
      <c r="H109" s="57"/>
      <c r="I109" s="57"/>
      <c r="J109" s="57"/>
      <c r="K109" s="59" t="str">
        <f t="shared" si="2"/>
        <v>0.00 (0.00 – 0.00)</v>
      </c>
      <c r="L109" s="16" t="str">
        <f t="shared" si="3"/>
        <v>0.00
(0.00 – 0.00)</v>
      </c>
      <c r="M109" s="57"/>
      <c r="N109" s="59"/>
      <c r="O109" s="16"/>
    </row>
    <row r="110" spans="3:15" ht="15" hidden="1" customHeight="1" x14ac:dyDescent="0.25">
      <c r="C110" s="56"/>
      <c r="D110" s="57"/>
      <c r="E110" s="57"/>
      <c r="F110" s="57"/>
      <c r="G110" s="57"/>
      <c r="H110" s="57"/>
      <c r="I110" s="57"/>
      <c r="J110" s="57"/>
      <c r="K110" s="59" t="str">
        <f t="shared" si="2"/>
        <v>0.00 (0.00 – 0.00)</v>
      </c>
      <c r="L110" s="16" t="str">
        <f t="shared" si="3"/>
        <v>0.00
(0.00 – 0.00)</v>
      </c>
      <c r="M110" s="57"/>
      <c r="N110" s="59"/>
      <c r="O110" s="16"/>
    </row>
    <row r="111" spans="3:15" ht="15" hidden="1" customHeight="1" x14ac:dyDescent="0.25">
      <c r="C111" s="56"/>
      <c r="D111" s="57"/>
      <c r="E111" s="57"/>
      <c r="F111" s="57"/>
      <c r="G111" s="57"/>
      <c r="H111" s="57"/>
      <c r="I111" s="57"/>
      <c r="J111" s="57"/>
      <c r="K111" s="59" t="str">
        <f t="shared" si="2"/>
        <v>0.00 (0.00 – 0.00)</v>
      </c>
      <c r="L111" s="16" t="str">
        <f t="shared" si="3"/>
        <v>0.00
(0.00 – 0.00)</v>
      </c>
      <c r="M111" s="57"/>
      <c r="N111" s="59"/>
      <c r="O111" s="16"/>
    </row>
    <row r="112" spans="3:15" ht="15" hidden="1" customHeight="1" x14ac:dyDescent="0.25">
      <c r="C112" s="56"/>
      <c r="D112" s="57"/>
      <c r="E112" s="57"/>
      <c r="F112" s="57"/>
      <c r="G112" s="57"/>
      <c r="H112" s="57"/>
      <c r="I112" s="57"/>
      <c r="J112" s="57"/>
      <c r="K112" s="59" t="str">
        <f t="shared" si="2"/>
        <v>0.00 (0.00 – 0.00)</v>
      </c>
      <c r="L112" s="16" t="str">
        <f t="shared" si="3"/>
        <v>0.00
(0.00 – 0.00)</v>
      </c>
      <c r="M112" s="57"/>
      <c r="N112" s="59"/>
      <c r="O112" s="16"/>
    </row>
    <row r="113" spans="3:15" ht="15" hidden="1" customHeight="1" x14ac:dyDescent="0.25">
      <c r="C113" s="56"/>
      <c r="D113" s="57"/>
      <c r="E113" s="57"/>
      <c r="F113" s="57"/>
      <c r="G113" s="57"/>
      <c r="H113" s="57"/>
      <c r="I113" s="57"/>
      <c r="J113" s="57"/>
      <c r="K113" s="59" t="str">
        <f t="shared" si="2"/>
        <v>0.00 (0.00 – 0.00)</v>
      </c>
      <c r="L113" s="16" t="str">
        <f t="shared" si="3"/>
        <v>0.00
(0.00 – 0.00)</v>
      </c>
      <c r="M113" s="57"/>
      <c r="N113" s="59"/>
      <c r="O113" s="16"/>
    </row>
    <row r="114" spans="3:15" ht="15" hidden="1" customHeight="1" x14ac:dyDescent="0.25">
      <c r="C114" s="56"/>
      <c r="D114" s="57"/>
      <c r="E114" s="57"/>
      <c r="F114" s="57"/>
      <c r="G114" s="57"/>
      <c r="H114" s="57"/>
      <c r="I114" s="57"/>
      <c r="J114" s="57"/>
      <c r="K114" s="59" t="str">
        <f t="shared" si="2"/>
        <v>0.00 (0.00 – 0.00)</v>
      </c>
      <c r="L114" s="16" t="str">
        <f t="shared" si="3"/>
        <v>0.00
(0.00 – 0.00)</v>
      </c>
      <c r="M114" s="57"/>
      <c r="N114" s="59"/>
      <c r="O114" s="16"/>
    </row>
    <row r="115" spans="3:15" ht="15" hidden="1" customHeight="1" x14ac:dyDescent="0.25">
      <c r="C115" s="56"/>
      <c r="D115" s="57"/>
      <c r="E115" s="57"/>
      <c r="F115" s="57"/>
      <c r="G115" s="57"/>
      <c r="H115" s="57"/>
      <c r="I115" s="57"/>
      <c r="J115" s="57"/>
      <c r="K115" s="59" t="str">
        <f t="shared" si="2"/>
        <v>0.00 (0.00 – 0.00)</v>
      </c>
      <c r="L115" s="16" t="str">
        <f t="shared" si="3"/>
        <v>0.00
(0.00 – 0.00)</v>
      </c>
      <c r="M115" s="57"/>
      <c r="N115" s="59"/>
      <c r="O115" s="16"/>
    </row>
    <row r="116" spans="3:15" ht="15" hidden="1" customHeight="1" x14ac:dyDescent="0.25">
      <c r="C116" s="56"/>
      <c r="D116" s="57"/>
      <c r="E116" s="57"/>
      <c r="F116" s="57"/>
      <c r="G116" s="57"/>
      <c r="H116" s="57"/>
      <c r="I116" s="57"/>
      <c r="J116" s="57"/>
      <c r="K116" s="59" t="str">
        <f t="shared" si="2"/>
        <v>0.00 (0.00 – 0.00)</v>
      </c>
      <c r="L116" s="16" t="str">
        <f t="shared" si="3"/>
        <v>0.00
(0.00 – 0.00)</v>
      </c>
      <c r="M116" s="57"/>
      <c r="N116" s="59"/>
      <c r="O116" s="16"/>
    </row>
    <row r="117" spans="3:15" ht="15" hidden="1" customHeight="1" x14ac:dyDescent="0.25">
      <c r="C117" s="56"/>
      <c r="D117" s="57"/>
      <c r="E117" s="57"/>
      <c r="F117" s="57"/>
      <c r="G117" s="57"/>
      <c r="H117" s="57"/>
      <c r="I117" s="57"/>
      <c r="J117" s="57"/>
      <c r="K117" s="59" t="str">
        <f t="shared" si="2"/>
        <v>0.00 (0.00 – 0.00)</v>
      </c>
      <c r="L117" s="16" t="str">
        <f t="shared" si="3"/>
        <v>0.00
(0.00 – 0.00)</v>
      </c>
      <c r="M117" s="57"/>
      <c r="N117" s="59"/>
      <c r="O117" s="16"/>
    </row>
    <row r="118" spans="3:15" ht="15" hidden="1" customHeight="1" x14ac:dyDescent="0.25">
      <c r="C118" s="56"/>
      <c r="D118" s="57"/>
      <c r="E118" s="57"/>
      <c r="F118" s="57"/>
      <c r="G118" s="57"/>
      <c r="H118" s="57"/>
      <c r="I118" s="57"/>
      <c r="J118" s="57"/>
      <c r="K118" s="59" t="str">
        <f t="shared" si="2"/>
        <v>0.00 (0.00 – 0.00)</v>
      </c>
      <c r="L118" s="16" t="str">
        <f t="shared" si="3"/>
        <v>0.00
(0.00 – 0.00)</v>
      </c>
      <c r="M118" s="57"/>
      <c r="N118" s="59"/>
      <c r="O118" s="16"/>
    </row>
    <row r="119" spans="3:15" ht="15" hidden="1" customHeight="1" x14ac:dyDescent="0.25">
      <c r="C119" s="56"/>
      <c r="D119" s="57"/>
      <c r="E119" s="57"/>
      <c r="F119" s="57"/>
      <c r="G119" s="57"/>
      <c r="H119" s="57"/>
      <c r="I119" s="57"/>
      <c r="J119" s="57"/>
      <c r="K119" s="59" t="str">
        <f t="shared" si="2"/>
        <v>0.00 (0.00 – 0.00)</v>
      </c>
      <c r="L119" s="16" t="str">
        <f t="shared" si="3"/>
        <v>0.00
(0.00 – 0.00)</v>
      </c>
      <c r="M119" s="57"/>
      <c r="N119" s="59"/>
      <c r="O119" s="16"/>
    </row>
    <row r="120" spans="3:15" ht="15" hidden="1" customHeight="1" x14ac:dyDescent="0.25">
      <c r="C120" s="56"/>
      <c r="D120" s="57"/>
      <c r="E120" s="57"/>
      <c r="F120" s="57"/>
      <c r="G120" s="57"/>
      <c r="H120" s="57"/>
      <c r="I120" s="57"/>
      <c r="J120" s="57"/>
      <c r="K120" s="59" t="str">
        <f t="shared" si="2"/>
        <v>0.00 (0.00 – 0.00)</v>
      </c>
      <c r="L120" s="16" t="str">
        <f t="shared" si="3"/>
        <v>0.00
(0.00 – 0.00)</v>
      </c>
      <c r="M120" s="57"/>
      <c r="N120" s="59"/>
      <c r="O120" s="16"/>
    </row>
    <row r="121" spans="3:15" ht="15" hidden="1" customHeight="1" x14ac:dyDescent="0.25">
      <c r="C121" s="56"/>
      <c r="D121" s="57"/>
      <c r="E121" s="57"/>
      <c r="F121" s="57"/>
      <c r="G121" s="57"/>
      <c r="H121" s="57"/>
      <c r="I121" s="57"/>
      <c r="J121" s="57"/>
      <c r="K121" s="59" t="str">
        <f t="shared" si="2"/>
        <v>0.00 (0.00 – 0.00)</v>
      </c>
      <c r="L121" s="16" t="str">
        <f t="shared" si="3"/>
        <v>0.00
(0.00 – 0.00)</v>
      </c>
      <c r="M121" s="57"/>
      <c r="N121" s="59"/>
      <c r="O121" s="16"/>
    </row>
    <row r="122" spans="3:15" ht="15" hidden="1" customHeight="1" x14ac:dyDescent="0.25">
      <c r="C122" s="56"/>
      <c r="D122" s="57"/>
      <c r="E122" s="57"/>
      <c r="F122" s="57"/>
      <c r="G122" s="57"/>
      <c r="H122" s="57"/>
      <c r="I122" s="57"/>
      <c r="J122" s="57"/>
      <c r="K122" s="59" t="str">
        <f t="shared" si="2"/>
        <v>0.00 (0.00 – 0.00)</v>
      </c>
      <c r="L122" s="16" t="str">
        <f t="shared" si="3"/>
        <v>0.00
(0.00 – 0.00)</v>
      </c>
      <c r="M122" s="57"/>
      <c r="N122" s="59"/>
      <c r="O122" s="16"/>
    </row>
    <row r="123" spans="3:15" ht="15" hidden="1" customHeight="1" x14ac:dyDescent="0.25">
      <c r="C123" s="56"/>
      <c r="D123" s="57"/>
      <c r="E123" s="57"/>
      <c r="F123" s="57"/>
      <c r="G123" s="57"/>
      <c r="H123" s="57"/>
      <c r="I123" s="57"/>
      <c r="J123" s="57"/>
      <c r="K123" s="59" t="str">
        <f t="shared" si="2"/>
        <v>0.00 (0.00 – 0.00)</v>
      </c>
      <c r="L123" s="16" t="str">
        <f t="shared" si="3"/>
        <v>0.00
(0.00 – 0.00)</v>
      </c>
      <c r="M123" s="57"/>
      <c r="N123" s="59"/>
      <c r="O123" s="16"/>
    </row>
    <row r="124" spans="3:15" ht="15" hidden="1" customHeight="1" x14ac:dyDescent="0.25">
      <c r="C124" s="56"/>
      <c r="D124" s="57"/>
      <c r="E124" s="57"/>
      <c r="F124" s="57"/>
      <c r="G124" s="57"/>
      <c r="H124" s="57"/>
      <c r="I124" s="57"/>
      <c r="J124" s="57"/>
      <c r="K124" s="59" t="str">
        <f t="shared" si="2"/>
        <v>0.00 (0.00 – 0.00)</v>
      </c>
      <c r="L124" s="16" t="str">
        <f t="shared" si="3"/>
        <v>0.00
(0.00 – 0.00)</v>
      </c>
      <c r="M124" s="57"/>
      <c r="N124" s="59"/>
      <c r="O124" s="16"/>
    </row>
    <row r="125" spans="3:15" ht="15" hidden="1" customHeight="1" x14ac:dyDescent="0.25">
      <c r="C125" s="56"/>
      <c r="D125" s="57"/>
      <c r="E125" s="57"/>
      <c r="F125" s="57"/>
      <c r="G125" s="57"/>
      <c r="H125" s="57"/>
      <c r="I125" s="57"/>
      <c r="J125" s="57"/>
      <c r="K125" s="59" t="str">
        <f t="shared" si="2"/>
        <v>0.00 (0.00 – 0.00)</v>
      </c>
      <c r="L125" s="16" t="str">
        <f t="shared" si="3"/>
        <v>0.00
(0.00 – 0.00)</v>
      </c>
      <c r="M125" s="57"/>
      <c r="N125" s="59"/>
      <c r="O125" s="16"/>
    </row>
    <row r="126" spans="3:15" ht="15" hidden="1" customHeight="1" x14ac:dyDescent="0.25">
      <c r="C126" s="56"/>
      <c r="D126" s="57"/>
      <c r="E126" s="57"/>
      <c r="F126" s="57"/>
      <c r="G126" s="57"/>
      <c r="H126" s="57"/>
      <c r="I126" s="57"/>
      <c r="J126" s="57"/>
      <c r="K126" s="59" t="str">
        <f t="shared" si="2"/>
        <v>0.00 (0.00 – 0.00)</v>
      </c>
      <c r="L126" s="16" t="str">
        <f t="shared" si="3"/>
        <v>0.00
(0.00 – 0.00)</v>
      </c>
      <c r="M126" s="57"/>
      <c r="N126" s="59"/>
      <c r="O126" s="16"/>
    </row>
    <row r="127" spans="3:15" ht="15" hidden="1" customHeight="1" x14ac:dyDescent="0.25">
      <c r="C127" s="56"/>
      <c r="D127" s="57"/>
      <c r="E127" s="57"/>
      <c r="F127" s="57"/>
      <c r="G127" s="57"/>
      <c r="H127" s="57"/>
      <c r="I127" s="57"/>
      <c r="J127" s="57"/>
      <c r="K127" s="59" t="str">
        <f t="shared" si="2"/>
        <v>0.00 (0.00 – 0.00)</v>
      </c>
      <c r="L127" s="16" t="str">
        <f t="shared" si="3"/>
        <v>0.00
(0.00 – 0.00)</v>
      </c>
      <c r="M127" s="57"/>
      <c r="N127" s="59"/>
      <c r="O127" s="16"/>
    </row>
    <row r="128" spans="3:15" ht="15" hidden="1" customHeight="1" x14ac:dyDescent="0.25">
      <c r="C128" s="56"/>
      <c r="D128" s="57"/>
      <c r="E128" s="57"/>
      <c r="F128" s="57"/>
      <c r="G128" s="57"/>
      <c r="H128" s="57"/>
      <c r="I128" s="57"/>
      <c r="J128" s="57"/>
      <c r="K128" s="59" t="str">
        <f t="shared" si="2"/>
        <v>0.00 (0.00 – 0.00)</v>
      </c>
      <c r="L128" s="16" t="str">
        <f t="shared" si="3"/>
        <v>0.00
(0.00 – 0.00)</v>
      </c>
      <c r="M128" s="57"/>
      <c r="N128" s="59"/>
      <c r="O128" s="16"/>
    </row>
    <row r="129" spans="3:15" ht="15" hidden="1" customHeight="1" x14ac:dyDescent="0.25">
      <c r="C129" s="56"/>
      <c r="D129" s="57"/>
      <c r="E129" s="57"/>
      <c r="F129" s="57"/>
      <c r="G129" s="57"/>
      <c r="H129" s="57"/>
      <c r="I129" s="57"/>
      <c r="J129" s="57"/>
      <c r="K129" s="59" t="str">
        <f t="shared" si="2"/>
        <v>0.00 (0.00 – 0.00)</v>
      </c>
      <c r="L129" s="16" t="str">
        <f t="shared" si="3"/>
        <v>0.00
(0.00 – 0.00)</v>
      </c>
      <c r="M129" s="57"/>
      <c r="N129" s="59"/>
      <c r="O129" s="16"/>
    </row>
    <row r="130" spans="3:15" ht="15" hidden="1" customHeight="1" x14ac:dyDescent="0.25">
      <c r="C130" s="56"/>
      <c r="D130" s="57"/>
      <c r="E130" s="57"/>
      <c r="F130" s="57"/>
      <c r="G130" s="57"/>
      <c r="H130" s="57"/>
      <c r="I130" s="57"/>
      <c r="J130" s="57"/>
      <c r="K130" s="59" t="str">
        <f t="shared" si="2"/>
        <v>0.00 (0.00 – 0.00)</v>
      </c>
      <c r="L130" s="16" t="str">
        <f t="shared" si="3"/>
        <v>0.00
(0.00 – 0.00)</v>
      </c>
      <c r="M130" s="57"/>
      <c r="N130" s="59"/>
      <c r="O130" s="16"/>
    </row>
    <row r="131" spans="3:15" ht="15" hidden="1" customHeight="1" x14ac:dyDescent="0.25">
      <c r="C131" s="56"/>
      <c r="D131" s="57"/>
      <c r="E131" s="57"/>
      <c r="F131" s="57"/>
      <c r="G131" s="57"/>
      <c r="H131" s="57"/>
      <c r="I131" s="57"/>
      <c r="J131" s="57"/>
      <c r="K131" s="59" t="str">
        <f t="shared" si="2"/>
        <v>0.00 (0.00 – 0.00)</v>
      </c>
      <c r="L131" s="16" t="str">
        <f t="shared" si="3"/>
        <v>0.00
(0.00 – 0.00)</v>
      </c>
      <c r="M131" s="57"/>
      <c r="N131" s="59"/>
      <c r="O131" s="16"/>
    </row>
    <row r="132" spans="3:15" ht="15" hidden="1" customHeight="1" x14ac:dyDescent="0.25">
      <c r="C132" s="56"/>
      <c r="D132" s="57"/>
      <c r="E132" s="57"/>
      <c r="F132" s="57"/>
      <c r="G132" s="57"/>
      <c r="H132" s="57"/>
      <c r="I132" s="57"/>
      <c r="J132" s="57"/>
      <c r="K132" s="59" t="str">
        <f t="shared" si="2"/>
        <v>0.00 (0.00 – 0.00)</v>
      </c>
      <c r="L132" s="16" t="str">
        <f t="shared" si="3"/>
        <v>0.00
(0.00 – 0.00)</v>
      </c>
      <c r="M132" s="57"/>
      <c r="N132" s="59"/>
      <c r="O132" s="16"/>
    </row>
    <row r="133" spans="3:15" ht="15" hidden="1" customHeight="1" x14ac:dyDescent="0.25">
      <c r="C133" s="56"/>
      <c r="D133" s="57"/>
      <c r="E133" s="57"/>
      <c r="F133" s="57"/>
      <c r="G133" s="57"/>
      <c r="H133" s="57"/>
      <c r="I133" s="57"/>
      <c r="J133" s="57"/>
      <c r="K133" s="59" t="str">
        <f t="shared" si="2"/>
        <v>0.00 (0.00 – 0.00)</v>
      </c>
      <c r="L133" s="16" t="str">
        <f t="shared" si="3"/>
        <v>0.00
(0.00 – 0.00)</v>
      </c>
      <c r="M133" s="57"/>
      <c r="N133" s="59"/>
      <c r="O133" s="16"/>
    </row>
    <row r="134" spans="3:15" ht="15" hidden="1" customHeight="1" x14ac:dyDescent="0.25">
      <c r="C134" s="56"/>
      <c r="D134" s="57"/>
      <c r="E134" s="57"/>
      <c r="F134" s="57"/>
      <c r="G134" s="57"/>
      <c r="H134" s="57"/>
      <c r="I134" s="57"/>
      <c r="J134" s="57"/>
      <c r="K134" s="59" t="str">
        <f t="shared" ref="K134:K197" si="4">CONCATENATE(TEXT(I134,"0.00")," (",TEXT(H134,"0.00")," – ",TEXT(J134,"0.00"),")")</f>
        <v>0.00 (0.00 – 0.00)</v>
      </c>
      <c r="L134" s="16" t="str">
        <f t="shared" ref="L134:L197" si="5">CONCATENATE(TEXT(I134,"0.00"),"
(",TEXT(H134,"0.00")," – ",TEXT(J134,"0.00"),")")</f>
        <v>0.00
(0.00 – 0.00)</v>
      </c>
      <c r="M134" s="57"/>
      <c r="N134" s="59"/>
      <c r="O134" s="16"/>
    </row>
    <row r="135" spans="3:15" ht="15" hidden="1" customHeight="1" x14ac:dyDescent="0.25">
      <c r="C135" s="56"/>
      <c r="D135" s="57"/>
      <c r="E135" s="57"/>
      <c r="F135" s="57"/>
      <c r="G135" s="57"/>
      <c r="H135" s="57"/>
      <c r="I135" s="57"/>
      <c r="J135" s="57"/>
      <c r="K135" s="59" t="str">
        <f t="shared" si="4"/>
        <v>0.00 (0.00 – 0.00)</v>
      </c>
      <c r="L135" s="16" t="str">
        <f t="shared" si="5"/>
        <v>0.00
(0.00 – 0.00)</v>
      </c>
      <c r="M135" s="57"/>
      <c r="N135" s="59"/>
      <c r="O135" s="16"/>
    </row>
    <row r="136" spans="3:15" ht="15" hidden="1" customHeight="1" x14ac:dyDescent="0.25">
      <c r="C136" s="56"/>
      <c r="D136" s="57"/>
      <c r="E136" s="57"/>
      <c r="F136" s="57"/>
      <c r="G136" s="57"/>
      <c r="H136" s="57"/>
      <c r="I136" s="57"/>
      <c r="J136" s="57"/>
      <c r="K136" s="59" t="str">
        <f t="shared" si="4"/>
        <v>0.00 (0.00 – 0.00)</v>
      </c>
      <c r="L136" s="16" t="str">
        <f t="shared" si="5"/>
        <v>0.00
(0.00 – 0.00)</v>
      </c>
      <c r="M136" s="57"/>
      <c r="N136" s="59"/>
      <c r="O136" s="16"/>
    </row>
    <row r="137" spans="3:15" ht="15" hidden="1" customHeight="1" x14ac:dyDescent="0.25">
      <c r="C137" s="56"/>
      <c r="D137" s="57"/>
      <c r="E137" s="57"/>
      <c r="F137" s="57"/>
      <c r="G137" s="57"/>
      <c r="H137" s="57"/>
      <c r="I137" s="57"/>
      <c r="J137" s="57"/>
      <c r="K137" s="59" t="str">
        <f t="shared" si="4"/>
        <v>0.00 (0.00 – 0.00)</v>
      </c>
      <c r="L137" s="16" t="str">
        <f t="shared" si="5"/>
        <v>0.00
(0.00 – 0.00)</v>
      </c>
      <c r="M137" s="57"/>
      <c r="N137" s="59"/>
      <c r="O137" s="16"/>
    </row>
    <row r="138" spans="3:15" ht="15" hidden="1" customHeight="1" x14ac:dyDescent="0.25">
      <c r="C138" s="56"/>
      <c r="D138" s="57"/>
      <c r="E138" s="57"/>
      <c r="F138" s="57"/>
      <c r="G138" s="57"/>
      <c r="H138" s="57"/>
      <c r="I138" s="57"/>
      <c r="J138" s="57"/>
      <c r="K138" s="59" t="str">
        <f t="shared" si="4"/>
        <v>0.00 (0.00 – 0.00)</v>
      </c>
      <c r="L138" s="16" t="str">
        <f t="shared" si="5"/>
        <v>0.00
(0.00 – 0.00)</v>
      </c>
      <c r="M138" s="57"/>
      <c r="N138" s="59"/>
      <c r="O138" s="16"/>
    </row>
    <row r="139" spans="3:15" ht="15" hidden="1" customHeight="1" x14ac:dyDescent="0.25">
      <c r="C139" s="56"/>
      <c r="D139" s="57"/>
      <c r="E139" s="57"/>
      <c r="F139" s="57"/>
      <c r="G139" s="57"/>
      <c r="H139" s="57"/>
      <c r="I139" s="57"/>
      <c r="J139" s="57"/>
      <c r="K139" s="59" t="str">
        <f t="shared" si="4"/>
        <v>0.00 (0.00 – 0.00)</v>
      </c>
      <c r="L139" s="16" t="str">
        <f t="shared" si="5"/>
        <v>0.00
(0.00 – 0.00)</v>
      </c>
      <c r="M139" s="57"/>
      <c r="N139" s="59"/>
      <c r="O139" s="16"/>
    </row>
    <row r="140" spans="3:15" ht="15" hidden="1" customHeight="1" x14ac:dyDescent="0.25">
      <c r="C140" s="56"/>
      <c r="D140" s="57"/>
      <c r="E140" s="57"/>
      <c r="F140" s="57"/>
      <c r="G140" s="57"/>
      <c r="H140" s="57"/>
      <c r="I140" s="57"/>
      <c r="J140" s="57"/>
      <c r="K140" s="59" t="str">
        <f t="shared" si="4"/>
        <v>0.00 (0.00 – 0.00)</v>
      </c>
      <c r="L140" s="16" t="str">
        <f t="shared" si="5"/>
        <v>0.00
(0.00 – 0.00)</v>
      </c>
      <c r="M140" s="57"/>
      <c r="N140" s="59"/>
      <c r="O140" s="16"/>
    </row>
    <row r="141" spans="3:15" ht="15" hidden="1" customHeight="1" x14ac:dyDescent="0.25">
      <c r="C141" s="56"/>
      <c r="D141" s="57"/>
      <c r="E141" s="57"/>
      <c r="F141" s="57"/>
      <c r="G141" s="57"/>
      <c r="H141" s="57"/>
      <c r="I141" s="57"/>
      <c r="J141" s="57"/>
      <c r="K141" s="59" t="str">
        <f t="shared" si="4"/>
        <v>0.00 (0.00 – 0.00)</v>
      </c>
      <c r="L141" s="16" t="str">
        <f t="shared" si="5"/>
        <v>0.00
(0.00 – 0.00)</v>
      </c>
      <c r="M141" s="57"/>
      <c r="N141" s="59"/>
      <c r="O141" s="16"/>
    </row>
    <row r="142" spans="3:15" ht="15" hidden="1" customHeight="1" x14ac:dyDescent="0.25">
      <c r="C142" s="56"/>
      <c r="D142" s="57"/>
      <c r="E142" s="57"/>
      <c r="F142" s="57"/>
      <c r="G142" s="57"/>
      <c r="H142" s="57"/>
      <c r="I142" s="57"/>
      <c r="J142" s="57"/>
      <c r="K142" s="59" t="str">
        <f t="shared" si="4"/>
        <v>0.00 (0.00 – 0.00)</v>
      </c>
      <c r="L142" s="16" t="str">
        <f t="shared" si="5"/>
        <v>0.00
(0.00 – 0.00)</v>
      </c>
      <c r="M142" s="57"/>
      <c r="N142" s="59"/>
      <c r="O142" s="16"/>
    </row>
    <row r="143" spans="3:15" ht="15" hidden="1" customHeight="1" x14ac:dyDescent="0.25">
      <c r="C143" s="56"/>
      <c r="D143" s="57"/>
      <c r="E143" s="57"/>
      <c r="F143" s="57"/>
      <c r="G143" s="57"/>
      <c r="H143" s="57"/>
      <c r="I143" s="57"/>
      <c r="J143" s="57"/>
      <c r="K143" s="59" t="str">
        <f t="shared" si="4"/>
        <v>0.00 (0.00 – 0.00)</v>
      </c>
      <c r="L143" s="16" t="str">
        <f t="shared" si="5"/>
        <v>0.00
(0.00 – 0.00)</v>
      </c>
      <c r="M143" s="57"/>
      <c r="N143" s="59"/>
      <c r="O143" s="16"/>
    </row>
    <row r="144" spans="3:15" ht="15" hidden="1" customHeight="1" x14ac:dyDescent="0.25">
      <c r="C144" s="56"/>
      <c r="D144" s="57"/>
      <c r="E144" s="57"/>
      <c r="F144" s="57"/>
      <c r="G144" s="57"/>
      <c r="H144" s="57"/>
      <c r="I144" s="57"/>
      <c r="J144" s="57"/>
      <c r="K144" s="59" t="str">
        <f t="shared" si="4"/>
        <v>0.00 (0.00 – 0.00)</v>
      </c>
      <c r="L144" s="16" t="str">
        <f t="shared" si="5"/>
        <v>0.00
(0.00 – 0.00)</v>
      </c>
      <c r="M144" s="57"/>
      <c r="N144" s="59"/>
      <c r="O144" s="16"/>
    </row>
    <row r="145" spans="3:15" ht="15" hidden="1" customHeight="1" x14ac:dyDescent="0.25">
      <c r="C145" s="56"/>
      <c r="D145" s="57"/>
      <c r="E145" s="57"/>
      <c r="F145" s="57"/>
      <c r="G145" s="57"/>
      <c r="H145" s="57"/>
      <c r="I145" s="57"/>
      <c r="J145" s="57"/>
      <c r="K145" s="59" t="str">
        <f t="shared" si="4"/>
        <v>0.00 (0.00 – 0.00)</v>
      </c>
      <c r="L145" s="16" t="str">
        <f t="shared" si="5"/>
        <v>0.00
(0.00 – 0.00)</v>
      </c>
      <c r="M145" s="57"/>
      <c r="N145" s="59"/>
      <c r="O145" s="16"/>
    </row>
    <row r="146" spans="3:15" ht="15" hidden="1" customHeight="1" x14ac:dyDescent="0.25">
      <c r="C146" s="56"/>
      <c r="D146" s="57"/>
      <c r="E146" s="57"/>
      <c r="F146" s="57"/>
      <c r="G146" s="57"/>
      <c r="H146" s="57"/>
      <c r="I146" s="57"/>
      <c r="J146" s="57"/>
      <c r="K146" s="59" t="str">
        <f t="shared" si="4"/>
        <v>0.00 (0.00 – 0.00)</v>
      </c>
      <c r="L146" s="16" t="str">
        <f t="shared" si="5"/>
        <v>0.00
(0.00 – 0.00)</v>
      </c>
      <c r="M146" s="57"/>
      <c r="N146" s="59"/>
      <c r="O146" s="16"/>
    </row>
    <row r="147" spans="3:15" ht="15" hidden="1" customHeight="1" x14ac:dyDescent="0.25">
      <c r="C147" s="56"/>
      <c r="D147" s="57"/>
      <c r="E147" s="57"/>
      <c r="F147" s="57"/>
      <c r="G147" s="57"/>
      <c r="H147" s="57"/>
      <c r="I147" s="57"/>
      <c r="J147" s="57"/>
      <c r="K147" s="59" t="str">
        <f t="shared" si="4"/>
        <v>0.00 (0.00 – 0.00)</v>
      </c>
      <c r="L147" s="16" t="str">
        <f t="shared" si="5"/>
        <v>0.00
(0.00 – 0.00)</v>
      </c>
      <c r="M147" s="57"/>
      <c r="N147" s="59"/>
      <c r="O147" s="16"/>
    </row>
    <row r="148" spans="3:15" ht="15" hidden="1" customHeight="1" x14ac:dyDescent="0.25">
      <c r="C148" s="56"/>
      <c r="D148" s="57"/>
      <c r="E148" s="57"/>
      <c r="F148" s="57"/>
      <c r="G148" s="57"/>
      <c r="H148" s="57"/>
      <c r="I148" s="57"/>
      <c r="J148" s="57"/>
      <c r="K148" s="59" t="str">
        <f t="shared" si="4"/>
        <v>0.00 (0.00 – 0.00)</v>
      </c>
      <c r="L148" s="16" t="str">
        <f t="shared" si="5"/>
        <v>0.00
(0.00 – 0.00)</v>
      </c>
      <c r="M148" s="57"/>
      <c r="N148" s="59"/>
      <c r="O148" s="16"/>
    </row>
    <row r="149" spans="3:15" ht="15" hidden="1" customHeight="1" x14ac:dyDescent="0.25">
      <c r="C149" s="56"/>
      <c r="D149" s="57"/>
      <c r="E149" s="57"/>
      <c r="F149" s="57"/>
      <c r="G149" s="57"/>
      <c r="H149" s="57"/>
      <c r="I149" s="57"/>
      <c r="J149" s="57"/>
      <c r="K149" s="59" t="str">
        <f t="shared" si="4"/>
        <v>0.00 (0.00 – 0.00)</v>
      </c>
      <c r="L149" s="16" t="str">
        <f t="shared" si="5"/>
        <v>0.00
(0.00 – 0.00)</v>
      </c>
      <c r="M149" s="57"/>
      <c r="N149" s="59"/>
      <c r="O149" s="16"/>
    </row>
    <row r="150" spans="3:15" ht="15" hidden="1" customHeight="1" x14ac:dyDescent="0.25">
      <c r="C150" s="56"/>
      <c r="D150" s="57"/>
      <c r="E150" s="57"/>
      <c r="F150" s="57"/>
      <c r="G150" s="57"/>
      <c r="H150" s="57"/>
      <c r="I150" s="57"/>
      <c r="J150" s="57"/>
      <c r="K150" s="59" t="str">
        <f t="shared" si="4"/>
        <v>0.00 (0.00 – 0.00)</v>
      </c>
      <c r="L150" s="16" t="str">
        <f t="shared" si="5"/>
        <v>0.00
(0.00 – 0.00)</v>
      </c>
      <c r="M150" s="57"/>
      <c r="N150" s="59"/>
      <c r="O150" s="16"/>
    </row>
    <row r="151" spans="3:15" ht="15" hidden="1" customHeight="1" x14ac:dyDescent="0.25">
      <c r="C151" s="56"/>
      <c r="D151" s="57"/>
      <c r="E151" s="57"/>
      <c r="F151" s="57"/>
      <c r="G151" s="57"/>
      <c r="H151" s="57"/>
      <c r="I151" s="57"/>
      <c r="J151" s="57"/>
      <c r="K151" s="59" t="str">
        <f t="shared" si="4"/>
        <v>0.00 (0.00 – 0.00)</v>
      </c>
      <c r="L151" s="16" t="str">
        <f t="shared" si="5"/>
        <v>0.00
(0.00 – 0.00)</v>
      </c>
      <c r="M151" s="57"/>
      <c r="N151" s="59"/>
      <c r="O151" s="16"/>
    </row>
    <row r="152" spans="3:15" ht="15" hidden="1" customHeight="1" x14ac:dyDescent="0.25">
      <c r="C152" s="56"/>
      <c r="D152" s="57"/>
      <c r="E152" s="57"/>
      <c r="F152" s="57"/>
      <c r="G152" s="57"/>
      <c r="H152" s="57"/>
      <c r="I152" s="57"/>
      <c r="J152" s="57"/>
      <c r="K152" s="59" t="str">
        <f t="shared" si="4"/>
        <v>0.00 (0.00 – 0.00)</v>
      </c>
      <c r="L152" s="16" t="str">
        <f t="shared" si="5"/>
        <v>0.00
(0.00 – 0.00)</v>
      </c>
      <c r="M152" s="57"/>
      <c r="N152" s="59"/>
      <c r="O152" s="16"/>
    </row>
    <row r="153" spans="3:15" ht="15" hidden="1" customHeight="1" x14ac:dyDescent="0.25">
      <c r="C153" s="56"/>
      <c r="D153" s="57"/>
      <c r="E153" s="57"/>
      <c r="F153" s="57"/>
      <c r="G153" s="57"/>
      <c r="H153" s="57"/>
      <c r="I153" s="57"/>
      <c r="J153" s="57"/>
      <c r="K153" s="59" t="str">
        <f t="shared" si="4"/>
        <v>0.00 (0.00 – 0.00)</v>
      </c>
      <c r="L153" s="16" t="str">
        <f t="shared" si="5"/>
        <v>0.00
(0.00 – 0.00)</v>
      </c>
      <c r="M153" s="57"/>
      <c r="N153" s="59"/>
      <c r="O153" s="16"/>
    </row>
    <row r="154" spans="3:15" ht="15" hidden="1" customHeight="1" x14ac:dyDescent="0.25">
      <c r="C154" s="56"/>
      <c r="D154" s="57"/>
      <c r="E154" s="57"/>
      <c r="F154" s="57"/>
      <c r="G154" s="57"/>
      <c r="H154" s="57"/>
      <c r="I154" s="57"/>
      <c r="J154" s="57"/>
      <c r="K154" s="59" t="str">
        <f t="shared" si="4"/>
        <v>0.00 (0.00 – 0.00)</v>
      </c>
      <c r="L154" s="16" t="str">
        <f t="shared" si="5"/>
        <v>0.00
(0.00 – 0.00)</v>
      </c>
      <c r="M154" s="57"/>
      <c r="N154" s="59"/>
      <c r="O154" s="16"/>
    </row>
    <row r="155" spans="3:15" ht="15" hidden="1" customHeight="1" x14ac:dyDescent="0.25">
      <c r="C155" s="56"/>
      <c r="D155" s="57"/>
      <c r="E155" s="57"/>
      <c r="F155" s="57"/>
      <c r="G155" s="57"/>
      <c r="H155" s="57"/>
      <c r="I155" s="57"/>
      <c r="J155" s="57"/>
      <c r="K155" s="59" t="str">
        <f t="shared" si="4"/>
        <v>0.00 (0.00 – 0.00)</v>
      </c>
      <c r="L155" s="16" t="str">
        <f t="shared" si="5"/>
        <v>0.00
(0.00 – 0.00)</v>
      </c>
      <c r="M155" s="57"/>
      <c r="N155" s="59"/>
      <c r="O155" s="16"/>
    </row>
    <row r="156" spans="3:15" ht="15" hidden="1" customHeight="1" x14ac:dyDescent="0.25">
      <c r="C156" s="56"/>
      <c r="D156" s="57"/>
      <c r="E156" s="57"/>
      <c r="F156" s="57"/>
      <c r="G156" s="57"/>
      <c r="H156" s="57"/>
      <c r="I156" s="57"/>
      <c r="J156" s="57"/>
      <c r="K156" s="59" t="str">
        <f t="shared" si="4"/>
        <v>0.00 (0.00 – 0.00)</v>
      </c>
      <c r="L156" s="16" t="str">
        <f t="shared" si="5"/>
        <v>0.00
(0.00 – 0.00)</v>
      </c>
      <c r="M156" s="57"/>
      <c r="N156" s="59"/>
      <c r="O156" s="16"/>
    </row>
    <row r="157" spans="3:15" ht="15" hidden="1" customHeight="1" x14ac:dyDescent="0.25">
      <c r="C157" s="56"/>
      <c r="D157" s="57"/>
      <c r="E157" s="57"/>
      <c r="F157" s="57"/>
      <c r="G157" s="57"/>
      <c r="H157" s="57"/>
      <c r="I157" s="57"/>
      <c r="J157" s="57"/>
      <c r="K157" s="59" t="str">
        <f t="shared" si="4"/>
        <v>0.00 (0.00 – 0.00)</v>
      </c>
      <c r="L157" s="16" t="str">
        <f t="shared" si="5"/>
        <v>0.00
(0.00 – 0.00)</v>
      </c>
      <c r="M157" s="57"/>
      <c r="N157" s="59"/>
      <c r="O157" s="16"/>
    </row>
    <row r="158" spans="3:15" ht="15" hidden="1" customHeight="1" x14ac:dyDescent="0.25">
      <c r="C158" s="56"/>
      <c r="D158" s="57"/>
      <c r="E158" s="57"/>
      <c r="F158" s="57"/>
      <c r="G158" s="57"/>
      <c r="H158" s="57"/>
      <c r="I158" s="57"/>
      <c r="J158" s="57"/>
      <c r="K158" s="59" t="str">
        <f t="shared" si="4"/>
        <v>0.00 (0.00 – 0.00)</v>
      </c>
      <c r="L158" s="16" t="str">
        <f t="shared" si="5"/>
        <v>0.00
(0.00 – 0.00)</v>
      </c>
      <c r="M158" s="57"/>
      <c r="N158" s="59"/>
      <c r="O158" s="16"/>
    </row>
    <row r="159" spans="3:15" ht="15" hidden="1" customHeight="1" x14ac:dyDescent="0.25">
      <c r="C159" s="56"/>
      <c r="D159" s="57"/>
      <c r="E159" s="57"/>
      <c r="F159" s="57"/>
      <c r="G159" s="57"/>
      <c r="H159" s="57"/>
      <c r="I159" s="57"/>
      <c r="J159" s="57"/>
      <c r="K159" s="59" t="str">
        <f t="shared" si="4"/>
        <v>0.00 (0.00 – 0.00)</v>
      </c>
      <c r="L159" s="16" t="str">
        <f t="shared" si="5"/>
        <v>0.00
(0.00 – 0.00)</v>
      </c>
      <c r="M159" s="57"/>
      <c r="N159" s="59"/>
      <c r="O159" s="16"/>
    </row>
    <row r="160" spans="3:15" ht="15" hidden="1" customHeight="1" x14ac:dyDescent="0.25">
      <c r="C160" s="56"/>
      <c r="D160" s="57"/>
      <c r="E160" s="57"/>
      <c r="F160" s="57"/>
      <c r="G160" s="57"/>
      <c r="H160" s="57"/>
      <c r="I160" s="57"/>
      <c r="J160" s="57"/>
      <c r="K160" s="59" t="str">
        <f t="shared" si="4"/>
        <v>0.00 (0.00 – 0.00)</v>
      </c>
      <c r="L160" s="16" t="str">
        <f t="shared" si="5"/>
        <v>0.00
(0.00 – 0.00)</v>
      </c>
      <c r="M160" s="57"/>
      <c r="N160" s="59"/>
      <c r="O160" s="16"/>
    </row>
    <row r="161" spans="3:15" ht="15" hidden="1" customHeight="1" x14ac:dyDescent="0.25">
      <c r="C161" s="56"/>
      <c r="D161" s="57"/>
      <c r="E161" s="57"/>
      <c r="F161" s="57"/>
      <c r="G161" s="57"/>
      <c r="H161" s="57"/>
      <c r="I161" s="57"/>
      <c r="J161" s="57"/>
      <c r="K161" s="59" t="str">
        <f t="shared" si="4"/>
        <v>0.00 (0.00 – 0.00)</v>
      </c>
      <c r="L161" s="16" t="str">
        <f t="shared" si="5"/>
        <v>0.00
(0.00 – 0.00)</v>
      </c>
      <c r="M161" s="57"/>
      <c r="N161" s="59"/>
      <c r="O161" s="16"/>
    </row>
    <row r="162" spans="3:15" ht="15" hidden="1" customHeight="1" x14ac:dyDescent="0.25">
      <c r="C162" s="56"/>
      <c r="D162" s="57"/>
      <c r="E162" s="57"/>
      <c r="F162" s="57"/>
      <c r="G162" s="57"/>
      <c r="H162" s="57"/>
      <c r="I162" s="57"/>
      <c r="J162" s="57"/>
      <c r="K162" s="59" t="str">
        <f t="shared" si="4"/>
        <v>0.00 (0.00 – 0.00)</v>
      </c>
      <c r="L162" s="16" t="str">
        <f t="shared" si="5"/>
        <v>0.00
(0.00 – 0.00)</v>
      </c>
      <c r="M162" s="57"/>
      <c r="N162" s="59"/>
      <c r="O162" s="16"/>
    </row>
    <row r="163" spans="3:15" ht="15" hidden="1" customHeight="1" x14ac:dyDescent="0.25">
      <c r="C163" s="56"/>
      <c r="D163" s="57"/>
      <c r="E163" s="57"/>
      <c r="F163" s="57"/>
      <c r="G163" s="57"/>
      <c r="H163" s="57"/>
      <c r="I163" s="57"/>
      <c r="J163" s="57"/>
      <c r="K163" s="59" t="str">
        <f t="shared" si="4"/>
        <v>0.00 (0.00 – 0.00)</v>
      </c>
      <c r="L163" s="16" t="str">
        <f t="shared" si="5"/>
        <v>0.00
(0.00 – 0.00)</v>
      </c>
      <c r="M163" s="57"/>
      <c r="N163" s="59"/>
      <c r="O163" s="16"/>
    </row>
    <row r="164" spans="3:15" ht="15" hidden="1" customHeight="1" x14ac:dyDescent="0.25">
      <c r="C164" s="56"/>
      <c r="D164" s="57"/>
      <c r="E164" s="57"/>
      <c r="F164" s="57"/>
      <c r="G164" s="57"/>
      <c r="H164" s="57"/>
      <c r="I164" s="57"/>
      <c r="J164" s="57"/>
      <c r="K164" s="59" t="str">
        <f t="shared" si="4"/>
        <v>0.00 (0.00 – 0.00)</v>
      </c>
      <c r="L164" s="16" t="str">
        <f t="shared" si="5"/>
        <v>0.00
(0.00 – 0.00)</v>
      </c>
      <c r="M164" s="57"/>
      <c r="N164" s="59"/>
      <c r="O164" s="16"/>
    </row>
    <row r="165" spans="3:15" ht="15" hidden="1" customHeight="1" x14ac:dyDescent="0.25">
      <c r="C165" s="56"/>
      <c r="D165" s="57"/>
      <c r="E165" s="57"/>
      <c r="F165" s="57"/>
      <c r="G165" s="57"/>
      <c r="H165" s="57"/>
      <c r="I165" s="57"/>
      <c r="J165" s="57"/>
      <c r="K165" s="59" t="str">
        <f t="shared" si="4"/>
        <v>0.00 (0.00 – 0.00)</v>
      </c>
      <c r="L165" s="16" t="str">
        <f t="shared" si="5"/>
        <v>0.00
(0.00 – 0.00)</v>
      </c>
      <c r="M165" s="57"/>
      <c r="N165" s="59"/>
      <c r="O165" s="16"/>
    </row>
    <row r="166" spans="3:15" ht="15" hidden="1" customHeight="1" x14ac:dyDescent="0.25">
      <c r="C166" s="56"/>
      <c r="D166" s="57"/>
      <c r="E166" s="57"/>
      <c r="F166" s="57"/>
      <c r="G166" s="57"/>
      <c r="H166" s="57"/>
      <c r="I166" s="57"/>
      <c r="J166" s="57"/>
      <c r="K166" s="59" t="str">
        <f t="shared" si="4"/>
        <v>0.00 (0.00 – 0.00)</v>
      </c>
      <c r="L166" s="16" t="str">
        <f t="shared" si="5"/>
        <v>0.00
(0.00 – 0.00)</v>
      </c>
      <c r="M166" s="57"/>
      <c r="N166" s="59"/>
      <c r="O166" s="16"/>
    </row>
    <row r="167" spans="3:15" ht="15" hidden="1" customHeight="1" x14ac:dyDescent="0.25">
      <c r="C167" s="56"/>
      <c r="D167" s="57"/>
      <c r="E167" s="57"/>
      <c r="F167" s="57"/>
      <c r="G167" s="57"/>
      <c r="H167" s="57"/>
      <c r="I167" s="57"/>
      <c r="J167" s="57"/>
      <c r="K167" s="59" t="str">
        <f t="shared" si="4"/>
        <v>0.00 (0.00 – 0.00)</v>
      </c>
      <c r="L167" s="16" t="str">
        <f t="shared" si="5"/>
        <v>0.00
(0.00 – 0.00)</v>
      </c>
      <c r="M167" s="57"/>
      <c r="N167" s="59"/>
      <c r="O167" s="16"/>
    </row>
    <row r="168" spans="3:15" ht="15" hidden="1" customHeight="1" x14ac:dyDescent="0.25">
      <c r="C168" s="56"/>
      <c r="D168" s="57"/>
      <c r="E168" s="57"/>
      <c r="F168" s="57"/>
      <c r="G168" s="57"/>
      <c r="H168" s="57"/>
      <c r="I168" s="57"/>
      <c r="J168" s="57"/>
      <c r="K168" s="59" t="str">
        <f t="shared" si="4"/>
        <v>0.00 (0.00 – 0.00)</v>
      </c>
      <c r="L168" s="16" t="str">
        <f t="shared" si="5"/>
        <v>0.00
(0.00 – 0.00)</v>
      </c>
      <c r="M168" s="57"/>
      <c r="N168" s="59"/>
      <c r="O168" s="16"/>
    </row>
    <row r="169" spans="3:15" ht="15" hidden="1" customHeight="1" x14ac:dyDescent="0.25">
      <c r="C169" s="56"/>
      <c r="D169" s="57"/>
      <c r="E169" s="57"/>
      <c r="F169" s="57"/>
      <c r="G169" s="57"/>
      <c r="H169" s="57"/>
      <c r="I169" s="57"/>
      <c r="J169" s="57"/>
      <c r="K169" s="59" t="str">
        <f t="shared" si="4"/>
        <v>0.00 (0.00 – 0.00)</v>
      </c>
      <c r="L169" s="16" t="str">
        <f t="shared" si="5"/>
        <v>0.00
(0.00 – 0.00)</v>
      </c>
      <c r="M169" s="57"/>
      <c r="N169" s="59"/>
      <c r="O169" s="16"/>
    </row>
    <row r="170" spans="3:15" ht="15" hidden="1" customHeight="1" x14ac:dyDescent="0.25">
      <c r="C170" s="56"/>
      <c r="D170" s="57"/>
      <c r="E170" s="57"/>
      <c r="F170" s="57"/>
      <c r="G170" s="57"/>
      <c r="H170" s="57"/>
      <c r="I170" s="57"/>
      <c r="J170" s="57"/>
      <c r="K170" s="59" t="str">
        <f t="shared" si="4"/>
        <v>0.00 (0.00 – 0.00)</v>
      </c>
      <c r="L170" s="16" t="str">
        <f t="shared" si="5"/>
        <v>0.00
(0.00 – 0.00)</v>
      </c>
      <c r="M170" s="57"/>
      <c r="N170" s="59"/>
      <c r="O170" s="16"/>
    </row>
    <row r="171" spans="3:15" ht="15" hidden="1" customHeight="1" x14ac:dyDescent="0.25">
      <c r="C171" s="56"/>
      <c r="D171" s="57"/>
      <c r="E171" s="57"/>
      <c r="F171" s="57"/>
      <c r="G171" s="57"/>
      <c r="H171" s="57"/>
      <c r="I171" s="57"/>
      <c r="J171" s="57"/>
      <c r="K171" s="59" t="str">
        <f t="shared" si="4"/>
        <v>0.00 (0.00 – 0.00)</v>
      </c>
      <c r="L171" s="16" t="str">
        <f t="shared" si="5"/>
        <v>0.00
(0.00 – 0.00)</v>
      </c>
      <c r="M171" s="57"/>
      <c r="N171" s="59"/>
      <c r="O171" s="16"/>
    </row>
    <row r="172" spans="3:15" ht="15" hidden="1" customHeight="1" x14ac:dyDescent="0.25">
      <c r="C172" s="56"/>
      <c r="D172" s="57"/>
      <c r="E172" s="57"/>
      <c r="F172" s="57"/>
      <c r="G172" s="57"/>
      <c r="H172" s="57"/>
      <c r="I172" s="57"/>
      <c r="J172" s="57"/>
      <c r="K172" s="59" t="str">
        <f t="shared" si="4"/>
        <v>0.00 (0.00 – 0.00)</v>
      </c>
      <c r="L172" s="16" t="str">
        <f t="shared" si="5"/>
        <v>0.00
(0.00 – 0.00)</v>
      </c>
      <c r="M172" s="57"/>
      <c r="N172" s="59"/>
      <c r="O172" s="16"/>
    </row>
    <row r="173" spans="3:15" ht="15" hidden="1" customHeight="1" x14ac:dyDescent="0.25">
      <c r="C173" s="56"/>
      <c r="D173" s="57"/>
      <c r="E173" s="57"/>
      <c r="F173" s="57"/>
      <c r="G173" s="57"/>
      <c r="H173" s="57"/>
      <c r="I173" s="57"/>
      <c r="J173" s="57"/>
      <c r="K173" s="59" t="str">
        <f t="shared" si="4"/>
        <v>0.00 (0.00 – 0.00)</v>
      </c>
      <c r="L173" s="16" t="str">
        <f t="shared" si="5"/>
        <v>0.00
(0.00 – 0.00)</v>
      </c>
      <c r="M173" s="57"/>
      <c r="N173" s="59"/>
      <c r="O173" s="16"/>
    </row>
    <row r="174" spans="3:15" ht="15" hidden="1" customHeight="1" x14ac:dyDescent="0.25">
      <c r="C174" s="56"/>
      <c r="D174" s="57"/>
      <c r="E174" s="57"/>
      <c r="F174" s="57"/>
      <c r="G174" s="57"/>
      <c r="H174" s="57"/>
      <c r="I174" s="57"/>
      <c r="J174" s="57"/>
      <c r="K174" s="59" t="str">
        <f t="shared" si="4"/>
        <v>0.00 (0.00 – 0.00)</v>
      </c>
      <c r="L174" s="16" t="str">
        <f t="shared" si="5"/>
        <v>0.00
(0.00 – 0.00)</v>
      </c>
      <c r="M174" s="57"/>
      <c r="N174" s="59"/>
      <c r="O174" s="16"/>
    </row>
    <row r="175" spans="3:15" ht="15" hidden="1" customHeight="1" x14ac:dyDescent="0.25">
      <c r="C175" s="56"/>
      <c r="D175" s="57"/>
      <c r="E175" s="57"/>
      <c r="F175" s="57"/>
      <c r="G175" s="57"/>
      <c r="H175" s="57"/>
      <c r="I175" s="57"/>
      <c r="J175" s="57"/>
      <c r="K175" s="59" t="str">
        <f t="shared" si="4"/>
        <v>0.00 (0.00 – 0.00)</v>
      </c>
      <c r="L175" s="16" t="str">
        <f t="shared" si="5"/>
        <v>0.00
(0.00 – 0.00)</v>
      </c>
      <c r="M175" s="57"/>
      <c r="N175" s="59"/>
      <c r="O175" s="16"/>
    </row>
    <row r="176" spans="3:15" ht="15" hidden="1" customHeight="1" x14ac:dyDescent="0.25">
      <c r="C176" s="56"/>
      <c r="D176" s="57"/>
      <c r="E176" s="57"/>
      <c r="F176" s="57"/>
      <c r="G176" s="57"/>
      <c r="H176" s="57"/>
      <c r="I176" s="57"/>
      <c r="J176" s="57"/>
      <c r="K176" s="59" t="str">
        <f t="shared" si="4"/>
        <v>0.00 (0.00 – 0.00)</v>
      </c>
      <c r="L176" s="16" t="str">
        <f t="shared" si="5"/>
        <v>0.00
(0.00 – 0.00)</v>
      </c>
      <c r="M176" s="57"/>
      <c r="N176" s="59"/>
      <c r="O176" s="16"/>
    </row>
    <row r="177" spans="3:15" ht="15" hidden="1" customHeight="1" x14ac:dyDescent="0.25">
      <c r="C177" s="56"/>
      <c r="D177" s="57"/>
      <c r="E177" s="57"/>
      <c r="F177" s="57"/>
      <c r="G177" s="57"/>
      <c r="H177" s="57"/>
      <c r="I177" s="57"/>
      <c r="J177" s="57"/>
      <c r="K177" s="59" t="str">
        <f t="shared" si="4"/>
        <v>0.00 (0.00 – 0.00)</v>
      </c>
      <c r="L177" s="16" t="str">
        <f t="shared" si="5"/>
        <v>0.00
(0.00 – 0.00)</v>
      </c>
      <c r="M177" s="57"/>
      <c r="N177" s="59"/>
      <c r="O177" s="16"/>
    </row>
    <row r="178" spans="3:15" ht="15" hidden="1" customHeight="1" x14ac:dyDescent="0.25">
      <c r="C178" s="56"/>
      <c r="D178" s="57"/>
      <c r="E178" s="57"/>
      <c r="F178" s="57"/>
      <c r="G178" s="57"/>
      <c r="H178" s="57"/>
      <c r="I178" s="57"/>
      <c r="J178" s="57"/>
      <c r="K178" s="59" t="str">
        <f t="shared" si="4"/>
        <v>0.00 (0.00 – 0.00)</v>
      </c>
      <c r="L178" s="16" t="str">
        <f t="shared" si="5"/>
        <v>0.00
(0.00 – 0.00)</v>
      </c>
      <c r="M178" s="57"/>
      <c r="N178" s="59"/>
      <c r="O178" s="16"/>
    </row>
    <row r="179" spans="3:15" ht="15" hidden="1" customHeight="1" x14ac:dyDescent="0.25">
      <c r="C179" s="56"/>
      <c r="D179" s="57"/>
      <c r="E179" s="57"/>
      <c r="F179" s="57"/>
      <c r="G179" s="57"/>
      <c r="H179" s="57"/>
      <c r="I179" s="57"/>
      <c r="J179" s="57"/>
      <c r="K179" s="59" t="str">
        <f t="shared" si="4"/>
        <v>0.00 (0.00 – 0.00)</v>
      </c>
      <c r="L179" s="16" t="str">
        <f t="shared" si="5"/>
        <v>0.00
(0.00 – 0.00)</v>
      </c>
      <c r="M179" s="57"/>
      <c r="N179" s="59"/>
      <c r="O179" s="16"/>
    </row>
    <row r="180" spans="3:15" ht="15" hidden="1" customHeight="1" x14ac:dyDescent="0.25">
      <c r="C180" s="56"/>
      <c r="D180" s="57"/>
      <c r="E180" s="57"/>
      <c r="F180" s="57"/>
      <c r="G180" s="57"/>
      <c r="H180" s="57"/>
      <c r="I180" s="57"/>
      <c r="J180" s="57"/>
      <c r="K180" s="59" t="str">
        <f t="shared" si="4"/>
        <v>0.00 (0.00 – 0.00)</v>
      </c>
      <c r="L180" s="16" t="str">
        <f t="shared" si="5"/>
        <v>0.00
(0.00 – 0.00)</v>
      </c>
      <c r="M180" s="57"/>
      <c r="N180" s="59"/>
      <c r="O180" s="16"/>
    </row>
    <row r="181" spans="3:15" ht="15" hidden="1" customHeight="1" x14ac:dyDescent="0.25">
      <c r="C181" s="56"/>
      <c r="D181" s="57"/>
      <c r="E181" s="57"/>
      <c r="F181" s="57"/>
      <c r="G181" s="57"/>
      <c r="H181" s="57"/>
      <c r="I181" s="57"/>
      <c r="J181" s="57"/>
      <c r="K181" s="59" t="str">
        <f t="shared" si="4"/>
        <v>0.00 (0.00 – 0.00)</v>
      </c>
      <c r="L181" s="16" t="str">
        <f t="shared" si="5"/>
        <v>0.00
(0.00 – 0.00)</v>
      </c>
      <c r="M181" s="57"/>
      <c r="N181" s="59"/>
      <c r="O181" s="16"/>
    </row>
    <row r="182" spans="3:15" ht="15" hidden="1" customHeight="1" x14ac:dyDescent="0.25">
      <c r="C182" s="56"/>
      <c r="D182" s="57"/>
      <c r="E182" s="57"/>
      <c r="F182" s="57"/>
      <c r="G182" s="57"/>
      <c r="H182" s="57"/>
      <c r="I182" s="57"/>
      <c r="J182" s="57"/>
      <c r="K182" s="59" t="str">
        <f t="shared" si="4"/>
        <v>0.00 (0.00 – 0.00)</v>
      </c>
      <c r="L182" s="16" t="str">
        <f t="shared" si="5"/>
        <v>0.00
(0.00 – 0.00)</v>
      </c>
      <c r="M182" s="57"/>
      <c r="N182" s="59"/>
      <c r="O182" s="16"/>
    </row>
    <row r="183" spans="3:15" ht="15" hidden="1" customHeight="1" x14ac:dyDescent="0.25">
      <c r="C183" s="56"/>
      <c r="D183" s="57"/>
      <c r="E183" s="57"/>
      <c r="F183" s="57"/>
      <c r="G183" s="57"/>
      <c r="H183" s="57"/>
      <c r="I183" s="57"/>
      <c r="J183" s="57"/>
      <c r="K183" s="59" t="str">
        <f t="shared" si="4"/>
        <v>0.00 (0.00 – 0.00)</v>
      </c>
      <c r="L183" s="16" t="str">
        <f t="shared" si="5"/>
        <v>0.00
(0.00 – 0.00)</v>
      </c>
      <c r="M183" s="57"/>
      <c r="N183" s="59"/>
      <c r="O183" s="16"/>
    </row>
    <row r="184" spans="3:15" ht="15" hidden="1" customHeight="1" x14ac:dyDescent="0.25">
      <c r="C184" s="56"/>
      <c r="D184" s="57"/>
      <c r="E184" s="57"/>
      <c r="F184" s="57"/>
      <c r="G184" s="57"/>
      <c r="H184" s="57"/>
      <c r="I184" s="57"/>
      <c r="J184" s="57"/>
      <c r="K184" s="59" t="str">
        <f t="shared" si="4"/>
        <v>0.00 (0.00 – 0.00)</v>
      </c>
      <c r="L184" s="16" t="str">
        <f t="shared" si="5"/>
        <v>0.00
(0.00 – 0.00)</v>
      </c>
      <c r="M184" s="57"/>
      <c r="N184" s="59"/>
      <c r="O184" s="16"/>
    </row>
    <row r="185" spans="3:15" ht="15" hidden="1" customHeight="1" x14ac:dyDescent="0.25">
      <c r="C185" s="56"/>
      <c r="D185" s="57"/>
      <c r="E185" s="57"/>
      <c r="F185" s="57"/>
      <c r="G185" s="57"/>
      <c r="H185" s="57"/>
      <c r="I185" s="57"/>
      <c r="J185" s="57"/>
      <c r="K185" s="59" t="str">
        <f t="shared" si="4"/>
        <v>0.00 (0.00 – 0.00)</v>
      </c>
      <c r="L185" s="16" t="str">
        <f t="shared" si="5"/>
        <v>0.00
(0.00 – 0.00)</v>
      </c>
      <c r="M185" s="57"/>
      <c r="N185" s="59"/>
      <c r="O185" s="16"/>
    </row>
    <row r="186" spans="3:15" ht="15" hidden="1" customHeight="1" x14ac:dyDescent="0.25">
      <c r="C186" s="56"/>
      <c r="D186" s="57"/>
      <c r="E186" s="57"/>
      <c r="F186" s="57"/>
      <c r="G186" s="57"/>
      <c r="H186" s="57"/>
      <c r="I186" s="57"/>
      <c r="J186" s="57"/>
      <c r="K186" s="59" t="str">
        <f t="shared" si="4"/>
        <v>0.00 (0.00 – 0.00)</v>
      </c>
      <c r="L186" s="16" t="str">
        <f t="shared" si="5"/>
        <v>0.00
(0.00 – 0.00)</v>
      </c>
      <c r="M186" s="57"/>
      <c r="N186" s="59"/>
      <c r="O186" s="16"/>
    </row>
    <row r="187" spans="3:15" ht="15" hidden="1" customHeight="1" x14ac:dyDescent="0.25">
      <c r="C187" s="56"/>
      <c r="D187" s="57"/>
      <c r="E187" s="57"/>
      <c r="F187" s="57"/>
      <c r="G187" s="57"/>
      <c r="H187" s="57"/>
      <c r="I187" s="57"/>
      <c r="J187" s="57"/>
      <c r="K187" s="59" t="str">
        <f t="shared" si="4"/>
        <v>0.00 (0.00 – 0.00)</v>
      </c>
      <c r="L187" s="16" t="str">
        <f t="shared" si="5"/>
        <v>0.00
(0.00 – 0.00)</v>
      </c>
      <c r="M187" s="57"/>
      <c r="N187" s="59"/>
      <c r="O187" s="16"/>
    </row>
    <row r="188" spans="3:15" ht="15" hidden="1" customHeight="1" x14ac:dyDescent="0.25">
      <c r="C188" s="56"/>
      <c r="D188" s="57"/>
      <c r="E188" s="57"/>
      <c r="F188" s="57"/>
      <c r="G188" s="57"/>
      <c r="H188" s="57"/>
      <c r="I188" s="57"/>
      <c r="J188" s="57"/>
      <c r="K188" s="59" t="str">
        <f t="shared" si="4"/>
        <v>0.00 (0.00 – 0.00)</v>
      </c>
      <c r="L188" s="16" t="str">
        <f t="shared" si="5"/>
        <v>0.00
(0.00 – 0.00)</v>
      </c>
      <c r="M188" s="57"/>
      <c r="N188" s="59"/>
      <c r="O188" s="16"/>
    </row>
    <row r="189" spans="3:15" ht="15" hidden="1" customHeight="1" x14ac:dyDescent="0.25">
      <c r="C189" s="56"/>
      <c r="D189" s="57"/>
      <c r="E189" s="57"/>
      <c r="F189" s="57"/>
      <c r="G189" s="57"/>
      <c r="H189" s="57"/>
      <c r="I189" s="57"/>
      <c r="J189" s="57"/>
      <c r="K189" s="59" t="str">
        <f t="shared" si="4"/>
        <v>0.00 (0.00 – 0.00)</v>
      </c>
      <c r="L189" s="16" t="str">
        <f t="shared" si="5"/>
        <v>0.00
(0.00 – 0.00)</v>
      </c>
      <c r="M189" s="57"/>
      <c r="N189" s="59"/>
      <c r="O189" s="16"/>
    </row>
    <row r="190" spans="3:15" ht="15" hidden="1" customHeight="1" x14ac:dyDescent="0.25">
      <c r="C190" s="56"/>
      <c r="D190" s="57"/>
      <c r="E190" s="57"/>
      <c r="F190" s="57"/>
      <c r="G190" s="57"/>
      <c r="H190" s="57"/>
      <c r="I190" s="57"/>
      <c r="J190" s="57"/>
      <c r="K190" s="59" t="str">
        <f t="shared" si="4"/>
        <v>0.00 (0.00 – 0.00)</v>
      </c>
      <c r="L190" s="16" t="str">
        <f t="shared" si="5"/>
        <v>0.00
(0.00 – 0.00)</v>
      </c>
      <c r="M190" s="57"/>
      <c r="N190" s="59"/>
      <c r="O190" s="16"/>
    </row>
    <row r="191" spans="3:15" ht="15" hidden="1" customHeight="1" x14ac:dyDescent="0.25">
      <c r="C191" s="56"/>
      <c r="D191" s="57"/>
      <c r="E191" s="57"/>
      <c r="F191" s="57"/>
      <c r="G191" s="57"/>
      <c r="H191" s="57"/>
      <c r="I191" s="57"/>
      <c r="J191" s="57"/>
      <c r="K191" s="59" t="str">
        <f t="shared" si="4"/>
        <v>0.00 (0.00 – 0.00)</v>
      </c>
      <c r="L191" s="16" t="str">
        <f t="shared" si="5"/>
        <v>0.00
(0.00 – 0.00)</v>
      </c>
      <c r="M191" s="57"/>
      <c r="N191" s="59"/>
      <c r="O191" s="16"/>
    </row>
    <row r="192" spans="3:15" ht="15" hidden="1" customHeight="1" x14ac:dyDescent="0.25">
      <c r="C192" s="56"/>
      <c r="D192" s="57"/>
      <c r="E192" s="57"/>
      <c r="F192" s="57"/>
      <c r="G192" s="57"/>
      <c r="H192" s="57"/>
      <c r="I192" s="57"/>
      <c r="J192" s="57"/>
      <c r="K192" s="59" t="str">
        <f t="shared" si="4"/>
        <v>0.00 (0.00 – 0.00)</v>
      </c>
      <c r="L192" s="16" t="str">
        <f t="shared" si="5"/>
        <v>0.00
(0.00 – 0.00)</v>
      </c>
      <c r="M192" s="57"/>
      <c r="N192" s="59"/>
      <c r="O192" s="16"/>
    </row>
    <row r="193" spans="3:15" ht="15" hidden="1" customHeight="1" x14ac:dyDescent="0.25">
      <c r="C193" s="56"/>
      <c r="D193" s="57"/>
      <c r="E193" s="57"/>
      <c r="F193" s="57"/>
      <c r="G193" s="57"/>
      <c r="H193" s="57"/>
      <c r="I193" s="57"/>
      <c r="J193" s="57"/>
      <c r="K193" s="59" t="str">
        <f t="shared" si="4"/>
        <v>0.00 (0.00 – 0.00)</v>
      </c>
      <c r="L193" s="16" t="str">
        <f t="shared" si="5"/>
        <v>0.00
(0.00 – 0.00)</v>
      </c>
      <c r="M193" s="57"/>
      <c r="N193" s="59"/>
      <c r="O193" s="16"/>
    </row>
    <row r="194" spans="3:15" ht="15" hidden="1" customHeight="1" x14ac:dyDescent="0.25">
      <c r="C194" s="56"/>
      <c r="D194" s="57"/>
      <c r="E194" s="57"/>
      <c r="F194" s="57"/>
      <c r="G194" s="57"/>
      <c r="H194" s="57"/>
      <c r="I194" s="57"/>
      <c r="J194" s="57"/>
      <c r="K194" s="59" t="str">
        <f t="shared" si="4"/>
        <v>0.00 (0.00 – 0.00)</v>
      </c>
      <c r="L194" s="16" t="str">
        <f t="shared" si="5"/>
        <v>0.00
(0.00 – 0.00)</v>
      </c>
      <c r="M194" s="57"/>
      <c r="N194" s="59"/>
      <c r="O194" s="16"/>
    </row>
    <row r="195" spans="3:15" ht="15" hidden="1" customHeight="1" x14ac:dyDescent="0.25">
      <c r="C195" s="56"/>
      <c r="D195" s="57"/>
      <c r="E195" s="57"/>
      <c r="F195" s="57"/>
      <c r="G195" s="57"/>
      <c r="H195" s="57"/>
      <c r="I195" s="57"/>
      <c r="J195" s="57"/>
      <c r="K195" s="59" t="str">
        <f t="shared" si="4"/>
        <v>0.00 (0.00 – 0.00)</v>
      </c>
      <c r="L195" s="16" t="str">
        <f t="shared" si="5"/>
        <v>0.00
(0.00 – 0.00)</v>
      </c>
      <c r="M195" s="57"/>
      <c r="N195" s="59"/>
      <c r="O195" s="16"/>
    </row>
    <row r="196" spans="3:15" ht="15" hidden="1" customHeight="1" x14ac:dyDescent="0.25">
      <c r="C196" s="56"/>
      <c r="D196" s="57"/>
      <c r="E196" s="57"/>
      <c r="F196" s="57"/>
      <c r="G196" s="57"/>
      <c r="H196" s="57"/>
      <c r="I196" s="57"/>
      <c r="J196" s="57"/>
      <c r="K196" s="59" t="str">
        <f t="shared" si="4"/>
        <v>0.00 (0.00 – 0.00)</v>
      </c>
      <c r="L196" s="16" t="str">
        <f t="shared" si="5"/>
        <v>0.00
(0.00 – 0.00)</v>
      </c>
      <c r="M196" s="57"/>
      <c r="N196" s="59"/>
      <c r="O196" s="16"/>
    </row>
    <row r="197" spans="3:15" ht="15" hidden="1" customHeight="1" x14ac:dyDescent="0.25">
      <c r="C197" s="56"/>
      <c r="D197" s="57"/>
      <c r="E197" s="57"/>
      <c r="F197" s="57"/>
      <c r="G197" s="57"/>
      <c r="H197" s="57"/>
      <c r="I197" s="57"/>
      <c r="J197" s="57"/>
      <c r="K197" s="59" t="str">
        <f t="shared" si="4"/>
        <v>0.00 (0.00 – 0.00)</v>
      </c>
      <c r="L197" s="16" t="str">
        <f t="shared" si="5"/>
        <v>0.00
(0.00 – 0.00)</v>
      </c>
      <c r="M197" s="57"/>
      <c r="N197" s="59"/>
      <c r="O197" s="16"/>
    </row>
    <row r="198" spans="3:15" ht="15" hidden="1" customHeight="1" x14ac:dyDescent="0.25">
      <c r="C198" s="56"/>
      <c r="D198" s="57"/>
      <c r="E198" s="57"/>
      <c r="F198" s="57"/>
      <c r="G198" s="57"/>
      <c r="H198" s="57"/>
      <c r="I198" s="57"/>
      <c r="J198" s="57"/>
      <c r="K198" s="59" t="str">
        <f>CONCATENATE(TEXT(I198,"0.00")," (",TEXT(H198,"0.00")," – ",TEXT(J198,"0.00"),")")</f>
        <v>0.00 (0.00 – 0.00)</v>
      </c>
      <c r="L198" s="16" t="str">
        <f>CONCATENATE(TEXT(I198,"0.00"),"
(",TEXT(H198,"0.00")," – ",TEXT(J198,"0.00"),")")</f>
        <v>0.00
(0.00 – 0.00)</v>
      </c>
      <c r="M198" s="57"/>
      <c r="N198" s="59"/>
      <c r="O198" s="16"/>
    </row>
    <row r="199" spans="3:15" ht="15" hidden="1" customHeight="1" x14ac:dyDescent="0.25">
      <c r="C199" s="56"/>
      <c r="D199" s="57"/>
      <c r="E199" s="57"/>
      <c r="F199" s="57"/>
      <c r="G199" s="57"/>
      <c r="H199" s="57"/>
      <c r="I199" s="57"/>
      <c r="J199" s="57"/>
      <c r="K199" s="59" t="str">
        <f>CONCATENATE(TEXT(I199,"0.00")," (",TEXT(H199,"0.00")," – ",TEXT(J199,"0.00"),")")</f>
        <v>0.00 (0.00 – 0.00)</v>
      </c>
      <c r="L199" s="16" t="str">
        <f>CONCATENATE(TEXT(I199,"0.00"),"
(",TEXT(H199,"0.00")," – ",TEXT(J199,"0.00"),")")</f>
        <v>0.00
(0.00 – 0.00)</v>
      </c>
      <c r="M199" s="57"/>
      <c r="N199" s="59"/>
      <c r="O199" s="16"/>
    </row>
    <row r="200" spans="3:15" ht="15" hidden="1" customHeight="1" x14ac:dyDescent="0.25">
      <c r="C200" s="56"/>
      <c r="D200" s="57"/>
      <c r="E200" s="57"/>
      <c r="F200" s="57"/>
      <c r="G200" s="57"/>
      <c r="H200" s="57"/>
      <c r="I200" s="57"/>
      <c r="J200" s="57"/>
      <c r="K200" s="59" t="str">
        <f>CONCATENATE(TEXT(I200,"0.00")," (",TEXT(H200,"0.00")," – ",TEXT(J200,"0.00"),")")</f>
        <v>0.00 (0.00 – 0.00)</v>
      </c>
      <c r="L200" s="16" t="str">
        <f>CONCATENATE(TEXT(I200,"0.00"),"
(",TEXT(H200,"0.00")," – ",TEXT(J200,"0.00"),")")</f>
        <v>0.00
(0.00 – 0.00)</v>
      </c>
      <c r="M200" s="57"/>
      <c r="N200" s="59"/>
      <c r="O200" s="16"/>
    </row>
    <row r="201" spans="3:15" x14ac:dyDescent="0.25">
      <c r="C201" s="56"/>
      <c r="D201" s="57"/>
      <c r="E201" s="57"/>
      <c r="F201" s="57"/>
      <c r="G201" s="57"/>
      <c r="H201" s="57"/>
      <c r="I201" s="57"/>
      <c r="J201" s="57"/>
      <c r="K201" s="59"/>
      <c r="L201" s="16"/>
      <c r="M201" s="57"/>
      <c r="N201" s="59"/>
      <c r="O201" s="16"/>
    </row>
    <row r="202" spans="3:15" x14ac:dyDescent="0.25">
      <c r="C202" s="56"/>
      <c r="D202" s="57"/>
      <c r="E202" s="57"/>
      <c r="F202" s="57"/>
      <c r="G202" s="57"/>
      <c r="H202" s="57"/>
      <c r="I202" s="57"/>
      <c r="J202" s="57"/>
      <c r="K202" s="59"/>
      <c r="L202" s="16"/>
      <c r="M202" s="57"/>
    </row>
    <row r="203" spans="3:15" x14ac:dyDescent="0.25">
      <c r="C203" s="56"/>
      <c r="D203" s="57"/>
      <c r="E203" s="57"/>
      <c r="F203" s="57"/>
      <c r="G203" s="57"/>
      <c r="H203" s="57"/>
      <c r="I203" s="57"/>
      <c r="J203" s="57"/>
      <c r="K203" s="57"/>
      <c r="L203" s="57"/>
      <c r="M203" s="57"/>
    </row>
  </sheetData>
  <sortState ref="A5:C20">
    <sortCondition ref="C4"/>
  </sortState>
  <dataConsolidate/>
  <mergeCells count="2">
    <mergeCell ref="N3:T3"/>
    <mergeCell ref="F3:L3"/>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0" tint="-0.499984740745262"/>
  </sheetPr>
  <dimension ref="A1:T202"/>
  <sheetViews>
    <sheetView showGridLines="0" zoomScaleNormal="100" workbookViewId="0">
      <selection activeCell="E5" sqref="E5:L32"/>
    </sheetView>
  </sheetViews>
  <sheetFormatPr defaultRowHeight="15" x14ac:dyDescent="0.25"/>
  <cols>
    <col min="1" max="1" width="29" customWidth="1"/>
    <col min="2" max="2" width="12.5703125" style="54" customWidth="1"/>
    <col min="3" max="3" width="12.85546875" style="54" customWidth="1"/>
    <col min="4" max="4" width="19.140625" style="19" customWidth="1"/>
    <col min="5" max="5" width="11.42578125" style="19" customWidth="1"/>
    <col min="6" max="6" width="17.42578125" style="19" customWidth="1"/>
    <col min="7" max="7" width="49.140625" style="19" customWidth="1"/>
    <col min="8" max="8" width="22.85546875" style="19" customWidth="1"/>
    <col min="9" max="13" width="17.42578125" style="19" customWidth="1"/>
    <col min="14" max="14" width="28.140625" style="19" customWidth="1"/>
    <col min="15" max="15" width="43.140625" style="19" customWidth="1"/>
    <col min="19" max="19" width="12.85546875" customWidth="1"/>
    <col min="20" max="20" width="12.28515625" customWidth="1"/>
    <col min="243" max="243" width="9.140625" customWidth="1"/>
  </cols>
  <sheetData>
    <row r="1" spans="1:20" x14ac:dyDescent="0.25">
      <c r="A1" s="50" t="str">
        <f ca="1">RIGHT(CELL("filename",A1),LEN(CELL("filename",A1))-FIND("]",CELL("filename",A1)))</f>
        <v>Random Effects  (Informative)</v>
      </c>
      <c r="F1" s="57"/>
      <c r="G1" s="57"/>
      <c r="H1" s="57"/>
      <c r="I1" s="57"/>
      <c r="J1" s="57"/>
      <c r="K1" s="57"/>
      <c r="L1" s="57"/>
      <c r="M1" s="57"/>
    </row>
    <row r="2" spans="1:20" x14ac:dyDescent="0.25">
      <c r="A2" t="str">
        <f>CONCATENATE("Heterogeneity (Inform.) = ",INDEX('RE Results (Informative Prior)'!B:H,MATCH("sd",'RE Results (Informative Prior)'!B:B,0),6), " 
95% CrI (",INDEX('RE Results (Informative Prior)'!B:H,MATCH("sd",'RE Results (Informative Prior)'!B:B,0),5)," – ",INDEX('RE Results (Informative Prior)'!B:H,MATCH("sd",'RE Results (Informative Prior)'!B:B,0),7),")")</f>
        <v>Heterogeneity (Inform.) = 0.1256 
95% CrI (0.04004 – 0.322)</v>
      </c>
      <c r="F2" s="57"/>
      <c r="G2" s="57"/>
      <c r="H2" s="57"/>
      <c r="I2" s="57"/>
      <c r="J2" s="57"/>
      <c r="K2" s="57"/>
      <c r="L2" s="57"/>
      <c r="M2" s="57"/>
    </row>
    <row r="3" spans="1:20" x14ac:dyDescent="0.25">
      <c r="F3" s="278" t="str">
        <f>"Random Effects  (Informative Prior)"</f>
        <v>Random Effects  (Informative Prior)</v>
      </c>
      <c r="G3" s="278"/>
      <c r="H3" s="278"/>
      <c r="I3" s="278"/>
      <c r="J3" s="278"/>
      <c r="K3" s="278"/>
      <c r="L3" s="278"/>
      <c r="N3" s="278" t="str">
        <f>F3</f>
        <v>Random Effects  (Informative Prior)</v>
      </c>
      <c r="O3" s="278"/>
      <c r="P3" s="278"/>
      <c r="Q3" s="278"/>
      <c r="R3" s="278"/>
      <c r="S3" s="278"/>
      <c r="T3" s="278"/>
    </row>
    <row r="4" spans="1:20" ht="15.75" thickBot="1" x14ac:dyDescent="0.3">
      <c r="A4" s="103" t="s">
        <v>241</v>
      </c>
      <c r="B4" s="103" t="s">
        <v>242</v>
      </c>
      <c r="C4" s="103" t="s">
        <v>235</v>
      </c>
      <c r="E4" s="14" t="s">
        <v>236</v>
      </c>
      <c r="F4" s="14" t="s">
        <v>237</v>
      </c>
      <c r="G4" s="55" t="s">
        <v>109</v>
      </c>
      <c r="H4" s="58" t="s">
        <v>238</v>
      </c>
      <c r="I4" s="58" t="s">
        <v>111</v>
      </c>
      <c r="J4" s="58" t="s">
        <v>239</v>
      </c>
      <c r="K4" s="58" t="str">
        <f>$N$4 &amp;" (95% Cr.I.)"</f>
        <v>O.R. (95% Cr.I.)</v>
      </c>
      <c r="L4" s="58" t="str">
        <f>$N$4 &amp;" (95% Cr.I.)"</f>
        <v>O.R. (95% Cr.I.)</v>
      </c>
      <c r="N4" s="105" t="str">
        <f>IF(Forest="RR", "R.R","O.R.")</f>
        <v>O.R.</v>
      </c>
      <c r="O4" s="55" t="s">
        <v>109</v>
      </c>
      <c r="P4" s="58" t="s">
        <v>110</v>
      </c>
      <c r="Q4" s="58" t="s">
        <v>111</v>
      </c>
      <c r="R4" s="58" t="s">
        <v>112</v>
      </c>
      <c r="S4" s="58" t="s">
        <v>240</v>
      </c>
      <c r="T4" s="58" t="s">
        <v>237</v>
      </c>
    </row>
    <row r="5" spans="1:20" x14ac:dyDescent="0.25">
      <c r="A5" t="s">
        <v>354</v>
      </c>
      <c r="B5" s="19">
        <v>3</v>
      </c>
      <c r="C5" s="19">
        <v>1.82</v>
      </c>
      <c r="E5" s="57">
        <v>3</v>
      </c>
      <c r="F5" s="57">
        <v>4</v>
      </c>
      <c r="G5" s="57" t="s">
        <v>733</v>
      </c>
      <c r="H5" s="57">
        <v>0.5089058524173028</v>
      </c>
      <c r="I5" s="57">
        <v>1.0887316276537833</v>
      </c>
      <c r="J5" s="57">
        <v>2.4108003857280615</v>
      </c>
      <c r="K5" s="59" t="str">
        <f t="shared" ref="K5:K32" si="0">CONCATENATE(TEXT(I5,"0.00")," (",TEXT(H5,"0.00")," – ",TEXT(J5,"0.00"),")")</f>
        <v>1.09 (0.51 – 2.41)</v>
      </c>
      <c r="L5" s="16" t="str">
        <f t="shared" ref="L5:L32" si="1">CONCATENATE(TEXT(I5,"0.00"),"
(",TEXT(H5,"0.00")," – ",TEXT(J5,"0.00"),")")</f>
        <v>1.09
(0.51 – 2.41)</v>
      </c>
      <c r="N5" s="59" t="s">
        <v>408</v>
      </c>
      <c r="O5" s="16" t="s">
        <v>633</v>
      </c>
      <c r="P5">
        <v>0.82569999999999999</v>
      </c>
      <c r="Q5">
        <v>1.101</v>
      </c>
      <c r="R5">
        <v>1.488</v>
      </c>
      <c r="S5">
        <v>2</v>
      </c>
      <c r="T5">
        <v>1</v>
      </c>
    </row>
    <row r="6" spans="1:20" x14ac:dyDescent="0.25">
      <c r="A6" t="s">
        <v>355</v>
      </c>
      <c r="B6" s="19">
        <v>4</v>
      </c>
      <c r="C6" s="19">
        <v>1.863</v>
      </c>
      <c r="E6" s="19">
        <v>7</v>
      </c>
      <c r="F6" s="19">
        <v>8</v>
      </c>
      <c r="G6" s="19" t="s">
        <v>671</v>
      </c>
      <c r="H6" s="19">
        <v>0.53504547886570364</v>
      </c>
      <c r="I6" s="19">
        <v>0.98716683119447202</v>
      </c>
      <c r="J6" s="19">
        <v>1.8050541516245486</v>
      </c>
      <c r="K6" s="59" t="str">
        <f t="shared" si="0"/>
        <v>0.99 (0.54 – 1.81)</v>
      </c>
      <c r="L6" s="16" t="str">
        <f t="shared" si="1"/>
        <v>0.99
(0.54 – 1.81)</v>
      </c>
      <c r="N6" s="59" t="s">
        <v>409</v>
      </c>
      <c r="O6" s="16" t="s">
        <v>634</v>
      </c>
      <c r="P6">
        <v>0.40200000000000002</v>
      </c>
      <c r="Q6">
        <v>0.6704</v>
      </c>
      <c r="R6">
        <v>1.069</v>
      </c>
      <c r="S6">
        <v>3</v>
      </c>
      <c r="T6">
        <v>1</v>
      </c>
    </row>
    <row r="7" spans="1:20" x14ac:dyDescent="0.25">
      <c r="A7" t="s">
        <v>352</v>
      </c>
      <c r="B7" s="54">
        <v>1</v>
      </c>
      <c r="C7" s="54">
        <v>3.6819999999999999</v>
      </c>
      <c r="E7" s="19">
        <v>2</v>
      </c>
      <c r="F7" s="19">
        <v>6</v>
      </c>
      <c r="G7" s="19" t="s">
        <v>672</v>
      </c>
      <c r="H7" s="19">
        <v>0.34411562284927733</v>
      </c>
      <c r="I7" s="19">
        <v>0.90909090909090906</v>
      </c>
      <c r="J7" s="19">
        <v>2.3310023310023311</v>
      </c>
      <c r="K7" s="59" t="str">
        <f t="shared" si="0"/>
        <v>0.91 (0.34 – 2.33)</v>
      </c>
      <c r="L7" s="16" t="str">
        <f t="shared" si="1"/>
        <v>0.91
(0.34 – 2.33)</v>
      </c>
      <c r="N7" s="59" t="s">
        <v>410</v>
      </c>
      <c r="O7" s="16" t="s">
        <v>635</v>
      </c>
      <c r="P7">
        <v>0.26600000000000001</v>
      </c>
      <c r="Q7">
        <v>0.61180000000000001</v>
      </c>
      <c r="R7">
        <v>1.3660000000000001</v>
      </c>
      <c r="S7">
        <v>4</v>
      </c>
      <c r="T7">
        <v>1</v>
      </c>
    </row>
    <row r="8" spans="1:20" x14ac:dyDescent="0.25">
      <c r="A8" t="s">
        <v>353</v>
      </c>
      <c r="B8" s="54">
        <v>2</v>
      </c>
      <c r="C8" s="54">
        <v>4.5519999999999996</v>
      </c>
      <c r="E8" s="19">
        <v>1</v>
      </c>
      <c r="F8" s="19">
        <v>2</v>
      </c>
      <c r="G8" s="19" t="s">
        <v>668</v>
      </c>
      <c r="H8" s="19">
        <v>0.67204301075268813</v>
      </c>
      <c r="I8" s="19">
        <v>0.90826521344232514</v>
      </c>
      <c r="J8" s="19">
        <v>1.2110936175366356</v>
      </c>
      <c r="K8" s="59" t="str">
        <f t="shared" si="0"/>
        <v>0.91 (0.67 – 1.21)</v>
      </c>
      <c r="L8" s="16" t="str">
        <f t="shared" si="1"/>
        <v>0.91
(0.67 – 1.21)</v>
      </c>
      <c r="N8" s="59" t="s">
        <v>411</v>
      </c>
      <c r="O8" s="16" t="s">
        <v>636</v>
      </c>
      <c r="P8">
        <v>0.78800000000000003</v>
      </c>
      <c r="Q8">
        <v>2.3809999999999998</v>
      </c>
      <c r="R8">
        <v>7.3129999999999997</v>
      </c>
      <c r="S8">
        <v>5</v>
      </c>
      <c r="T8">
        <v>1</v>
      </c>
    </row>
    <row r="9" spans="1:20" x14ac:dyDescent="0.25">
      <c r="A9" t="s">
        <v>358</v>
      </c>
      <c r="B9" s="19">
        <v>6</v>
      </c>
      <c r="C9" s="19">
        <v>4.9729999999999999</v>
      </c>
      <c r="E9" s="19">
        <v>6</v>
      </c>
      <c r="F9" s="19">
        <v>7</v>
      </c>
      <c r="G9" s="19" t="s">
        <v>739</v>
      </c>
      <c r="H9" s="19">
        <v>0.29265437518290899</v>
      </c>
      <c r="I9" s="19">
        <v>0.90252707581227432</v>
      </c>
      <c r="J9" s="19">
        <v>2.7631942525559547</v>
      </c>
      <c r="K9" s="59" t="str">
        <f t="shared" si="0"/>
        <v>0.90 (0.29 – 2.76)</v>
      </c>
      <c r="L9" s="16" t="str">
        <f t="shared" si="1"/>
        <v>0.90
(0.29 – 2.76)</v>
      </c>
      <c r="N9" s="59" t="s">
        <v>412</v>
      </c>
      <c r="O9" s="16" t="s">
        <v>637</v>
      </c>
      <c r="P9">
        <v>0.44890000000000002</v>
      </c>
      <c r="Q9">
        <v>1.2110000000000001</v>
      </c>
      <c r="R9">
        <v>3.355</v>
      </c>
      <c r="S9">
        <v>6</v>
      </c>
      <c r="T9">
        <v>1</v>
      </c>
    </row>
    <row r="10" spans="1:20" x14ac:dyDescent="0.25">
      <c r="A10" t="s">
        <v>359</v>
      </c>
      <c r="B10" s="19">
        <v>7</v>
      </c>
      <c r="C10" s="19">
        <v>5.8029999999999999</v>
      </c>
      <c r="E10" s="57">
        <v>6</v>
      </c>
      <c r="F10" s="57">
        <v>8</v>
      </c>
      <c r="G10" s="57" t="s">
        <v>674</v>
      </c>
      <c r="H10" s="57">
        <v>0.30358227079538552</v>
      </c>
      <c r="I10" s="57">
        <v>0.88731144631765746</v>
      </c>
      <c r="J10" s="57">
        <v>2.6034886748242645</v>
      </c>
      <c r="K10" s="59" t="str">
        <f t="shared" si="0"/>
        <v>0.89 (0.30 – 2.60)</v>
      </c>
      <c r="L10" s="16" t="str">
        <f t="shared" si="1"/>
        <v>0.89
(0.30 – 2.60)</v>
      </c>
      <c r="N10" s="59" t="s">
        <v>413</v>
      </c>
      <c r="O10" s="16" t="s">
        <v>638</v>
      </c>
      <c r="P10">
        <v>0.84740000000000004</v>
      </c>
      <c r="Q10">
        <v>1.349</v>
      </c>
      <c r="R10">
        <v>2.2010000000000001</v>
      </c>
      <c r="S10">
        <v>7</v>
      </c>
      <c r="T10">
        <v>1</v>
      </c>
    </row>
    <row r="11" spans="1:20" x14ac:dyDescent="0.25">
      <c r="A11" t="s">
        <v>360</v>
      </c>
      <c r="B11" s="54">
        <v>8</v>
      </c>
      <c r="C11" s="54">
        <v>6</v>
      </c>
      <c r="E11" s="19">
        <v>1</v>
      </c>
      <c r="F11" s="19">
        <v>6</v>
      </c>
      <c r="G11" s="19" t="s">
        <v>669</v>
      </c>
      <c r="H11" s="19">
        <v>0.29806259314456035</v>
      </c>
      <c r="I11" s="19">
        <v>0.82576383154417832</v>
      </c>
      <c r="J11" s="19">
        <v>2.227667631989307</v>
      </c>
      <c r="K11" s="59" t="str">
        <f t="shared" si="0"/>
        <v>0.83 (0.30 – 2.23)</v>
      </c>
      <c r="L11" s="16" t="str">
        <f t="shared" si="1"/>
        <v>0.83
(0.30 – 2.23)</v>
      </c>
      <c r="N11" s="59" t="s">
        <v>414</v>
      </c>
      <c r="O11" s="16" t="s">
        <v>639</v>
      </c>
      <c r="P11">
        <v>0.91080000000000005</v>
      </c>
      <c r="Q11">
        <v>1.373</v>
      </c>
      <c r="R11">
        <v>2.0920000000000001</v>
      </c>
      <c r="S11">
        <v>8</v>
      </c>
      <c r="T11">
        <v>1</v>
      </c>
    </row>
    <row r="12" spans="1:20" x14ac:dyDescent="0.25">
      <c r="A12" t="s">
        <v>356</v>
      </c>
      <c r="B12" s="19">
        <v>5</v>
      </c>
      <c r="C12" s="19">
        <v>7.3079999999999998</v>
      </c>
      <c r="E12" s="19">
        <v>2</v>
      </c>
      <c r="F12" s="19">
        <v>7</v>
      </c>
      <c r="G12" s="19" t="s">
        <v>737</v>
      </c>
      <c r="H12" s="19">
        <v>0.46511627906976744</v>
      </c>
      <c r="I12" s="19">
        <v>0.82101806239737274</v>
      </c>
      <c r="J12" s="19">
        <v>1.4009526478005043</v>
      </c>
      <c r="K12" s="59" t="str">
        <f t="shared" si="0"/>
        <v>0.82 (0.47 – 1.40)</v>
      </c>
      <c r="L12" s="16" t="str">
        <f t="shared" si="1"/>
        <v>0.82
(0.47 – 1.40)</v>
      </c>
      <c r="N12" s="59" t="s">
        <v>415</v>
      </c>
      <c r="O12" s="16" t="s">
        <v>640</v>
      </c>
      <c r="P12">
        <v>0.36349999999999999</v>
      </c>
      <c r="Q12">
        <v>0.61009999999999998</v>
      </c>
      <c r="R12">
        <v>0.98019999999999996</v>
      </c>
      <c r="S12">
        <v>3</v>
      </c>
      <c r="T12">
        <v>2</v>
      </c>
    </row>
    <row r="13" spans="1:20" x14ac:dyDescent="0.25">
      <c r="E13" s="19">
        <v>2</v>
      </c>
      <c r="F13" s="19">
        <v>8</v>
      </c>
      <c r="G13" s="19" t="s">
        <v>673</v>
      </c>
      <c r="H13" s="19">
        <v>0.50864699898270604</v>
      </c>
      <c r="I13" s="19">
        <v>0.80580177276389997</v>
      </c>
      <c r="J13" s="19">
        <v>1.2485953302534649</v>
      </c>
      <c r="K13" s="59" t="str">
        <f t="shared" si="0"/>
        <v>0.81 (0.51 – 1.25)</v>
      </c>
      <c r="L13" s="16" t="str">
        <f t="shared" si="1"/>
        <v>0.81
(0.51 – 1.25)</v>
      </c>
      <c r="N13" s="59" t="s">
        <v>416</v>
      </c>
      <c r="O13" s="16" t="s">
        <v>641</v>
      </c>
      <c r="P13">
        <v>0.23250000000000001</v>
      </c>
      <c r="Q13">
        <v>0.55430000000000001</v>
      </c>
      <c r="R13">
        <v>1.274</v>
      </c>
      <c r="S13">
        <v>4</v>
      </c>
      <c r="T13">
        <v>2</v>
      </c>
    </row>
    <row r="14" spans="1:20" x14ac:dyDescent="0.25">
      <c r="E14" s="19">
        <v>1</v>
      </c>
      <c r="F14" s="59">
        <v>7</v>
      </c>
      <c r="G14" s="54" t="s">
        <v>667</v>
      </c>
      <c r="H14" s="16">
        <v>0.45433893684688775</v>
      </c>
      <c r="I14" s="16">
        <v>0.7412898443291327</v>
      </c>
      <c r="J14" s="16">
        <v>1.180080245456691</v>
      </c>
      <c r="K14" s="59" t="str">
        <f t="shared" si="0"/>
        <v>0.74 (0.45 – 1.18)</v>
      </c>
      <c r="L14" s="16" t="str">
        <f t="shared" si="1"/>
        <v>0.74
(0.45 – 1.18)</v>
      </c>
      <c r="N14" s="59" t="s">
        <v>417</v>
      </c>
      <c r="O14" s="16" t="s">
        <v>642</v>
      </c>
      <c r="P14">
        <v>0.76419999999999999</v>
      </c>
      <c r="Q14">
        <v>2.1440000000000001</v>
      </c>
      <c r="R14">
        <v>6.32</v>
      </c>
      <c r="S14">
        <v>5</v>
      </c>
      <c r="T14">
        <v>2</v>
      </c>
    </row>
    <row r="15" spans="1:20" ht="15" customHeight="1" x14ac:dyDescent="0.25">
      <c r="E15" s="19">
        <v>1</v>
      </c>
      <c r="F15" s="19">
        <v>8</v>
      </c>
      <c r="G15" s="19" t="s">
        <v>670</v>
      </c>
      <c r="H15" s="19">
        <v>0.47801147227533458</v>
      </c>
      <c r="I15" s="19">
        <v>0.72833211944646759</v>
      </c>
      <c r="J15" s="19">
        <v>1.097935880544576</v>
      </c>
      <c r="K15" s="59" t="str">
        <f t="shared" si="0"/>
        <v>0.73 (0.48 – 1.10)</v>
      </c>
      <c r="L15" s="16" t="str">
        <f t="shared" si="1"/>
        <v>0.73
(0.48 – 1.10)</v>
      </c>
      <c r="N15" s="59" t="s">
        <v>418</v>
      </c>
      <c r="O15" s="16" t="s">
        <v>643</v>
      </c>
      <c r="P15">
        <v>0.42899999999999999</v>
      </c>
      <c r="Q15">
        <v>1.1000000000000001</v>
      </c>
      <c r="R15">
        <v>2.9060000000000001</v>
      </c>
      <c r="S15">
        <v>6</v>
      </c>
      <c r="T15">
        <v>2</v>
      </c>
    </row>
    <row r="16" spans="1:20" ht="15" customHeight="1" x14ac:dyDescent="0.25">
      <c r="E16" s="57">
        <v>3</v>
      </c>
      <c r="F16" s="57">
        <v>1</v>
      </c>
      <c r="G16" s="57" t="s">
        <v>634</v>
      </c>
      <c r="H16" s="57">
        <v>0.40200000000000002</v>
      </c>
      <c r="I16" s="57">
        <v>0.6704</v>
      </c>
      <c r="J16" s="57">
        <v>1.069</v>
      </c>
      <c r="K16" s="59" t="str">
        <f t="shared" si="0"/>
        <v>0.67 (0.40 – 1.07)</v>
      </c>
      <c r="L16" s="16" t="str">
        <f t="shared" si="1"/>
        <v>0.67
(0.40 – 1.07)</v>
      </c>
      <c r="N16" s="59" t="s">
        <v>419</v>
      </c>
      <c r="O16" s="16" t="s">
        <v>644</v>
      </c>
      <c r="P16">
        <v>0.71379999999999999</v>
      </c>
      <c r="Q16">
        <v>1.218</v>
      </c>
      <c r="R16">
        <v>2.15</v>
      </c>
      <c r="S16">
        <v>7</v>
      </c>
      <c r="T16">
        <v>2</v>
      </c>
    </row>
    <row r="17" spans="5:20" ht="15" customHeight="1" x14ac:dyDescent="0.25">
      <c r="E17" s="57">
        <v>4</v>
      </c>
      <c r="F17" s="57">
        <v>1</v>
      </c>
      <c r="G17" s="57" t="s">
        <v>635</v>
      </c>
      <c r="H17" s="57">
        <v>0.26600000000000001</v>
      </c>
      <c r="I17" s="57">
        <v>0.61180000000000001</v>
      </c>
      <c r="J17" s="57">
        <v>1.3660000000000001</v>
      </c>
      <c r="K17" s="59" t="str">
        <f t="shared" si="0"/>
        <v>0.61 (0.27 – 1.37)</v>
      </c>
      <c r="L17" s="16" t="str">
        <f t="shared" si="1"/>
        <v>0.61
(0.27 – 1.37)</v>
      </c>
      <c r="N17" s="59" t="s">
        <v>420</v>
      </c>
      <c r="O17" s="16" t="s">
        <v>645</v>
      </c>
      <c r="P17">
        <v>0.80089999999999995</v>
      </c>
      <c r="Q17">
        <v>1.2410000000000001</v>
      </c>
      <c r="R17">
        <v>1.966</v>
      </c>
      <c r="S17">
        <v>8</v>
      </c>
      <c r="T17">
        <v>2</v>
      </c>
    </row>
    <row r="18" spans="5:20" ht="15" customHeight="1" x14ac:dyDescent="0.25">
      <c r="E18" s="19">
        <v>3</v>
      </c>
      <c r="F18" s="59">
        <v>2</v>
      </c>
      <c r="G18" s="54" t="s">
        <v>640</v>
      </c>
      <c r="H18" s="16">
        <v>0.36349999999999999</v>
      </c>
      <c r="I18" s="16">
        <v>0.61009999999999998</v>
      </c>
      <c r="J18" s="16">
        <v>0.98019999999999996</v>
      </c>
      <c r="K18" s="59" t="str">
        <f t="shared" si="0"/>
        <v>0.61 (0.36 – 0.98)</v>
      </c>
      <c r="L18" s="16" t="str">
        <f t="shared" si="1"/>
        <v>0.61
(0.36 – 0.98)</v>
      </c>
      <c r="N18" s="59" t="s">
        <v>421</v>
      </c>
      <c r="O18" s="16" t="s">
        <v>646</v>
      </c>
      <c r="P18">
        <v>0.4148</v>
      </c>
      <c r="Q18">
        <v>0.91849999999999998</v>
      </c>
      <c r="R18">
        <v>1.9650000000000001</v>
      </c>
      <c r="S18">
        <v>4</v>
      </c>
      <c r="T18">
        <v>3</v>
      </c>
    </row>
    <row r="19" spans="5:20" ht="15" customHeight="1" x14ac:dyDescent="0.25">
      <c r="E19" s="19">
        <v>7</v>
      </c>
      <c r="F19" s="19">
        <v>5</v>
      </c>
      <c r="G19" s="19" t="s">
        <v>656</v>
      </c>
      <c r="H19" s="19">
        <v>0.16589999999999999</v>
      </c>
      <c r="I19" s="19">
        <v>0.57179999999999997</v>
      </c>
      <c r="J19" s="19">
        <v>1.8680000000000001</v>
      </c>
      <c r="K19" s="59" t="str">
        <f t="shared" si="0"/>
        <v>0.57 (0.17 – 1.87)</v>
      </c>
      <c r="L19" s="16" t="str">
        <f t="shared" si="1"/>
        <v>0.57
(0.17 – 1.87)</v>
      </c>
      <c r="N19" s="59" t="s">
        <v>422</v>
      </c>
      <c r="O19" s="16" t="s">
        <v>647</v>
      </c>
      <c r="P19">
        <v>1.1459999999999999</v>
      </c>
      <c r="Q19">
        <v>3.6160000000000001</v>
      </c>
      <c r="R19">
        <v>11.28</v>
      </c>
      <c r="S19">
        <v>5</v>
      </c>
      <c r="T19">
        <v>3</v>
      </c>
    </row>
    <row r="20" spans="5:20" ht="15" customHeight="1" x14ac:dyDescent="0.25">
      <c r="E20" s="19">
        <v>8</v>
      </c>
      <c r="F20" s="19">
        <v>5</v>
      </c>
      <c r="G20" s="19" t="s">
        <v>657</v>
      </c>
      <c r="H20" s="19">
        <v>0.19109999999999999</v>
      </c>
      <c r="I20" s="19">
        <v>0.56779999999999997</v>
      </c>
      <c r="J20" s="19">
        <v>1.9059999999999999</v>
      </c>
      <c r="K20" s="59" t="str">
        <f t="shared" si="0"/>
        <v>0.57 (0.19 – 1.91)</v>
      </c>
      <c r="L20" s="16" t="str">
        <f t="shared" si="1"/>
        <v>0.57
(0.19 – 1.91)</v>
      </c>
      <c r="N20" s="59" t="s">
        <v>423</v>
      </c>
      <c r="O20" s="16" t="s">
        <v>648</v>
      </c>
      <c r="P20">
        <v>0.63129999999999997</v>
      </c>
      <c r="Q20">
        <v>1.8149999999999999</v>
      </c>
      <c r="R20">
        <v>5.5209999999999999</v>
      </c>
      <c r="S20">
        <v>6</v>
      </c>
      <c r="T20">
        <v>3</v>
      </c>
    </row>
    <row r="21" spans="5:20" ht="15" customHeight="1" x14ac:dyDescent="0.25">
      <c r="E21" s="19">
        <v>4</v>
      </c>
      <c r="F21" s="59">
        <v>2</v>
      </c>
      <c r="G21" s="54" t="s">
        <v>641</v>
      </c>
      <c r="H21" s="16">
        <v>0.23250000000000001</v>
      </c>
      <c r="I21" s="16">
        <v>0.55430000000000001</v>
      </c>
      <c r="J21" s="16">
        <v>1.274</v>
      </c>
      <c r="K21" s="59" t="str">
        <f t="shared" si="0"/>
        <v>0.55 (0.23 – 1.27)</v>
      </c>
      <c r="L21" s="16" t="str">
        <f t="shared" si="1"/>
        <v>0.55
(0.23 – 1.27)</v>
      </c>
      <c r="N21" s="59" t="s">
        <v>424</v>
      </c>
      <c r="O21" s="16" t="s">
        <v>649</v>
      </c>
      <c r="P21">
        <v>1.03</v>
      </c>
      <c r="Q21">
        <v>2.0190000000000001</v>
      </c>
      <c r="R21">
        <v>4.117</v>
      </c>
      <c r="S21">
        <v>7</v>
      </c>
      <c r="T21">
        <v>3</v>
      </c>
    </row>
    <row r="22" spans="5:20" ht="15" customHeight="1" x14ac:dyDescent="0.25">
      <c r="E22" s="57">
        <v>3</v>
      </c>
      <c r="F22" s="57">
        <v>6</v>
      </c>
      <c r="G22" s="57" t="s">
        <v>665</v>
      </c>
      <c r="H22" s="57">
        <v>0.18112660749864154</v>
      </c>
      <c r="I22" s="57">
        <v>0.55096418732782371</v>
      </c>
      <c r="J22" s="57">
        <v>1.5840329478853161</v>
      </c>
      <c r="K22" s="59" t="str">
        <f t="shared" si="0"/>
        <v>0.55 (0.18 – 1.58)</v>
      </c>
      <c r="L22" s="16" t="str">
        <f t="shared" si="1"/>
        <v>0.55
(0.18 – 1.58)</v>
      </c>
      <c r="N22" s="59" t="s">
        <v>425</v>
      </c>
      <c r="O22" s="16" t="s">
        <v>650</v>
      </c>
      <c r="P22">
        <v>1.244</v>
      </c>
      <c r="Q22">
        <v>2.056</v>
      </c>
      <c r="R22">
        <v>3.5630000000000002</v>
      </c>
      <c r="S22">
        <v>8</v>
      </c>
      <c r="T22">
        <v>3</v>
      </c>
    </row>
    <row r="23" spans="5:20" ht="15" customHeight="1" x14ac:dyDescent="0.25">
      <c r="E23" s="19">
        <v>6</v>
      </c>
      <c r="F23" s="19">
        <v>5</v>
      </c>
      <c r="G23" s="19" t="s">
        <v>655</v>
      </c>
      <c r="H23" s="19">
        <v>0.1168</v>
      </c>
      <c r="I23" s="19">
        <v>0.51719999999999999</v>
      </c>
      <c r="J23" s="19">
        <v>2.1339999999999999</v>
      </c>
      <c r="K23" s="59" t="str">
        <f t="shared" si="0"/>
        <v>0.52 (0.12 – 2.13)</v>
      </c>
      <c r="L23" s="16" t="str">
        <f t="shared" si="1"/>
        <v>0.52
(0.12 – 2.13)</v>
      </c>
      <c r="N23" s="59" t="s">
        <v>426</v>
      </c>
      <c r="O23" s="16" t="s">
        <v>651</v>
      </c>
      <c r="P23">
        <v>0.98970000000000002</v>
      </c>
      <c r="Q23">
        <v>3.899</v>
      </c>
      <c r="R23">
        <v>15.69</v>
      </c>
      <c r="S23">
        <v>5</v>
      </c>
      <c r="T23">
        <v>4</v>
      </c>
    </row>
    <row r="24" spans="5:20" ht="15" customHeight="1" x14ac:dyDescent="0.25">
      <c r="E24" s="19">
        <v>4</v>
      </c>
      <c r="F24" s="19">
        <v>6</v>
      </c>
      <c r="G24" s="19" t="s">
        <v>662</v>
      </c>
      <c r="H24" s="19">
        <v>0.13666803334700015</v>
      </c>
      <c r="I24" s="19">
        <v>0.50050050050050054</v>
      </c>
      <c r="J24" s="19">
        <v>1.7519271198318151</v>
      </c>
      <c r="K24" s="59" t="str">
        <f t="shared" si="0"/>
        <v>0.50 (0.14 – 1.75)</v>
      </c>
      <c r="L24" s="16" t="str">
        <f t="shared" si="1"/>
        <v>0.50
(0.14 – 1.75)</v>
      </c>
      <c r="N24" s="59" t="s">
        <v>427</v>
      </c>
      <c r="O24" s="16" t="s">
        <v>652</v>
      </c>
      <c r="P24">
        <v>0.57079999999999997</v>
      </c>
      <c r="Q24">
        <v>1.998</v>
      </c>
      <c r="R24">
        <v>7.3170000000000002</v>
      </c>
      <c r="S24">
        <v>6</v>
      </c>
      <c r="T24">
        <v>4</v>
      </c>
    </row>
    <row r="25" spans="5:20" ht="15" customHeight="1" x14ac:dyDescent="0.25">
      <c r="E25" s="19">
        <v>3</v>
      </c>
      <c r="F25" s="19">
        <v>7</v>
      </c>
      <c r="G25" s="19" t="s">
        <v>664</v>
      </c>
      <c r="H25" s="19">
        <v>0.24289531212047608</v>
      </c>
      <c r="I25" s="19">
        <v>0.49529470034670625</v>
      </c>
      <c r="J25" s="19">
        <v>0.970873786407767</v>
      </c>
      <c r="K25" s="59" t="str">
        <f t="shared" si="0"/>
        <v>0.50 (0.24 – 0.97)</v>
      </c>
      <c r="L25" s="16" t="str">
        <f t="shared" si="1"/>
        <v>0.50
(0.24 – 0.97)</v>
      </c>
      <c r="N25" s="59" t="s">
        <v>428</v>
      </c>
      <c r="O25" s="16" t="s">
        <v>653</v>
      </c>
      <c r="P25">
        <v>0.85070000000000001</v>
      </c>
      <c r="Q25">
        <v>2.2210000000000001</v>
      </c>
      <c r="R25">
        <v>5.7869999999999999</v>
      </c>
      <c r="S25">
        <v>7</v>
      </c>
      <c r="T25">
        <v>4</v>
      </c>
    </row>
    <row r="26" spans="5:20" ht="15" customHeight="1" x14ac:dyDescent="0.25">
      <c r="E26" s="57">
        <v>3</v>
      </c>
      <c r="F26" s="57">
        <v>8</v>
      </c>
      <c r="G26" s="57" t="s">
        <v>666</v>
      </c>
      <c r="H26" s="57">
        <v>0.28066236317709792</v>
      </c>
      <c r="I26" s="57">
        <v>0.48638132295719844</v>
      </c>
      <c r="J26" s="57">
        <v>0.8038585209003215</v>
      </c>
      <c r="K26" s="59" t="str">
        <f t="shared" si="0"/>
        <v>0.49 (0.28 – 0.80)</v>
      </c>
      <c r="L26" s="16" t="str">
        <f t="shared" si="1"/>
        <v>0.49
(0.28 – 0.80)</v>
      </c>
      <c r="N26" s="59" t="s">
        <v>429</v>
      </c>
      <c r="O26" s="16" t="s">
        <v>654</v>
      </c>
      <c r="P26">
        <v>0.96430000000000005</v>
      </c>
      <c r="Q26">
        <v>2.2549999999999999</v>
      </c>
      <c r="R26">
        <v>5.4260000000000002</v>
      </c>
      <c r="S26">
        <v>8</v>
      </c>
      <c r="T26">
        <v>4</v>
      </c>
    </row>
    <row r="27" spans="5:20" ht="15" customHeight="1" x14ac:dyDescent="0.25">
      <c r="E27" s="19">
        <v>2</v>
      </c>
      <c r="F27" s="59">
        <v>5</v>
      </c>
      <c r="G27" s="54" t="s">
        <v>738</v>
      </c>
      <c r="H27" s="16">
        <v>0.15822784810126581</v>
      </c>
      <c r="I27" s="16">
        <v>0.46641791044776115</v>
      </c>
      <c r="J27" s="16">
        <v>1.308557969118032</v>
      </c>
      <c r="K27" s="59" t="str">
        <f t="shared" si="0"/>
        <v>0.47 (0.16 – 1.31)</v>
      </c>
      <c r="L27" s="16" t="str">
        <f t="shared" si="1"/>
        <v>0.47
(0.16 – 1.31)</v>
      </c>
      <c r="N27" s="59" t="s">
        <v>430</v>
      </c>
      <c r="O27" s="16" t="s">
        <v>655</v>
      </c>
      <c r="P27">
        <v>0.1168</v>
      </c>
      <c r="Q27">
        <v>0.51719999999999999</v>
      </c>
      <c r="R27">
        <v>2.1339999999999999</v>
      </c>
      <c r="S27">
        <v>6</v>
      </c>
      <c r="T27">
        <v>5</v>
      </c>
    </row>
    <row r="28" spans="5:20" ht="15" customHeight="1" x14ac:dyDescent="0.25">
      <c r="E28" s="57">
        <v>4</v>
      </c>
      <c r="F28" s="57">
        <v>7</v>
      </c>
      <c r="G28" s="57" t="s">
        <v>661</v>
      </c>
      <c r="H28" s="57">
        <v>0.17280110592707792</v>
      </c>
      <c r="I28" s="57">
        <v>0.45024763619990993</v>
      </c>
      <c r="J28" s="57">
        <v>1.1755025273304338</v>
      </c>
      <c r="K28" s="59" t="str">
        <f t="shared" si="0"/>
        <v>0.45 (0.17 – 1.18)</v>
      </c>
      <c r="L28" s="16" t="str">
        <f t="shared" si="1"/>
        <v>0.45
(0.17 – 1.18)</v>
      </c>
      <c r="N28" s="59" t="s">
        <v>431</v>
      </c>
      <c r="O28" s="16" t="s">
        <v>656</v>
      </c>
      <c r="P28">
        <v>0.16589999999999999</v>
      </c>
      <c r="Q28">
        <v>0.57179999999999997</v>
      </c>
      <c r="R28">
        <v>1.8680000000000001</v>
      </c>
      <c r="S28">
        <v>7</v>
      </c>
      <c r="T28">
        <v>5</v>
      </c>
    </row>
    <row r="29" spans="5:20" ht="15" customHeight="1" x14ac:dyDescent="0.25">
      <c r="E29" s="57">
        <v>4</v>
      </c>
      <c r="F29" s="57">
        <v>8</v>
      </c>
      <c r="G29" s="57" t="s">
        <v>663</v>
      </c>
      <c r="H29" s="57">
        <v>0.18429782528566163</v>
      </c>
      <c r="I29" s="57">
        <v>0.44345898004434592</v>
      </c>
      <c r="J29" s="57">
        <v>1.0370216737529814</v>
      </c>
      <c r="K29" s="59" t="str">
        <f t="shared" si="0"/>
        <v>0.44 (0.18 – 1.04)</v>
      </c>
      <c r="L29" s="16" t="str">
        <f t="shared" si="1"/>
        <v>0.44
(0.18 – 1.04)</v>
      </c>
      <c r="N29" s="59" t="s">
        <v>432</v>
      </c>
      <c r="O29" s="16" t="s">
        <v>657</v>
      </c>
      <c r="P29">
        <v>0.19109999999999999</v>
      </c>
      <c r="Q29">
        <v>0.56779999999999997</v>
      </c>
      <c r="R29">
        <v>1.9059999999999999</v>
      </c>
      <c r="S29">
        <v>8</v>
      </c>
      <c r="T29">
        <v>5</v>
      </c>
    </row>
    <row r="30" spans="5:20" ht="15" customHeight="1" x14ac:dyDescent="0.25">
      <c r="E30" s="19">
        <v>1</v>
      </c>
      <c r="F30" s="19">
        <v>5</v>
      </c>
      <c r="G30" s="19" t="s">
        <v>736</v>
      </c>
      <c r="H30" s="19">
        <v>0.13674278681799534</v>
      </c>
      <c r="I30" s="19">
        <v>0.41999160016799669</v>
      </c>
      <c r="J30" s="19">
        <v>1.2690355329949239</v>
      </c>
      <c r="K30" s="59" t="str">
        <f t="shared" si="0"/>
        <v>0.42 (0.14 – 1.27)</v>
      </c>
      <c r="L30" s="16" t="str">
        <f t="shared" si="1"/>
        <v>0.42
(0.14 – 1.27)</v>
      </c>
      <c r="N30" s="59" t="s">
        <v>433</v>
      </c>
      <c r="O30" s="16" t="s">
        <v>658</v>
      </c>
      <c r="P30">
        <v>0.3619</v>
      </c>
      <c r="Q30">
        <v>1.1080000000000001</v>
      </c>
      <c r="R30">
        <v>3.4169999999999998</v>
      </c>
      <c r="S30">
        <v>7</v>
      </c>
      <c r="T30">
        <v>6</v>
      </c>
    </row>
    <row r="31" spans="5:20" ht="15" customHeight="1" x14ac:dyDescent="0.25">
      <c r="E31" s="19">
        <v>3</v>
      </c>
      <c r="F31" s="59">
        <v>5</v>
      </c>
      <c r="G31" s="54" t="s">
        <v>734</v>
      </c>
      <c r="H31" s="16">
        <v>8.8652482269503549E-2</v>
      </c>
      <c r="I31" s="16">
        <v>0.27654867256637167</v>
      </c>
      <c r="J31" s="16">
        <v>0.87260034904013972</v>
      </c>
      <c r="K31" s="59" t="str">
        <f t="shared" si="0"/>
        <v>0.28 (0.09 – 0.87)</v>
      </c>
      <c r="L31" s="16" t="str">
        <f t="shared" si="1"/>
        <v>0.28
(0.09 – 0.87)</v>
      </c>
      <c r="N31" s="59" t="s">
        <v>434</v>
      </c>
      <c r="O31" s="16" t="s">
        <v>659</v>
      </c>
      <c r="P31">
        <v>0.3841</v>
      </c>
      <c r="Q31">
        <v>1.127</v>
      </c>
      <c r="R31">
        <v>3.294</v>
      </c>
      <c r="S31">
        <v>8</v>
      </c>
      <c r="T31">
        <v>6</v>
      </c>
    </row>
    <row r="32" spans="5:20" ht="15" customHeight="1" x14ac:dyDescent="0.25">
      <c r="E32" s="19">
        <v>4</v>
      </c>
      <c r="F32" s="19">
        <v>5</v>
      </c>
      <c r="G32" s="19" t="s">
        <v>735</v>
      </c>
      <c r="H32" s="19">
        <v>6.3734862970044617E-2</v>
      </c>
      <c r="I32" s="19">
        <v>0.25647601949217746</v>
      </c>
      <c r="J32" s="19">
        <v>1.0104071940992219</v>
      </c>
      <c r="K32" s="59" t="str">
        <f t="shared" si="0"/>
        <v>0.26 (0.06 – 1.01)</v>
      </c>
      <c r="L32" s="16" t="str">
        <f t="shared" si="1"/>
        <v>0.26
(0.06 – 1.01)</v>
      </c>
      <c r="N32" s="59" t="s">
        <v>435</v>
      </c>
      <c r="O32" s="16" t="s">
        <v>660</v>
      </c>
      <c r="P32">
        <v>0.55400000000000005</v>
      </c>
      <c r="Q32">
        <v>1.0129999999999999</v>
      </c>
      <c r="R32">
        <v>1.869</v>
      </c>
      <c r="S32">
        <v>8</v>
      </c>
      <c r="T32">
        <v>7</v>
      </c>
    </row>
    <row r="33" spans="3:15" ht="15" hidden="1" customHeight="1" x14ac:dyDescent="0.25">
      <c r="F33" s="59"/>
      <c r="G33" s="54"/>
      <c r="H33" s="16"/>
      <c r="I33" s="16"/>
      <c r="J33" s="16"/>
      <c r="K33" s="59" t="str">
        <f t="shared" ref="K33:K49" si="2">CONCATENATE(TEXT(I33,"0.00")," (",TEXT(H33,"0.00")," – ",TEXT(J33,"0.00"),")")</f>
        <v>0.00 (0.00 – 0.00)</v>
      </c>
      <c r="L33" s="16" t="str">
        <f t="shared" ref="L33:L49" si="3">CONCATENATE(TEXT(I33,"0.00"),"
(",TEXT(H33,"0.00")," – ",TEXT(J33,"0.00"),")")</f>
        <v>0.00
(0.00 – 0.00)</v>
      </c>
      <c r="N33" s="59"/>
      <c r="O33" s="16"/>
    </row>
    <row r="34" spans="3:15" ht="15" hidden="1" customHeight="1" x14ac:dyDescent="0.25">
      <c r="E34" s="57"/>
      <c r="F34" s="57"/>
      <c r="G34" s="57"/>
      <c r="H34" s="57"/>
      <c r="I34" s="57"/>
      <c r="J34" s="57"/>
      <c r="K34" s="59" t="str">
        <f t="shared" si="2"/>
        <v>0.00 (0.00 – 0.00)</v>
      </c>
      <c r="L34" s="16" t="str">
        <f t="shared" si="3"/>
        <v>0.00
(0.00 – 0.00)</v>
      </c>
      <c r="N34" s="59"/>
      <c r="O34" s="16"/>
    </row>
    <row r="35" spans="3:15" ht="15" hidden="1" customHeight="1" x14ac:dyDescent="0.25">
      <c r="F35" s="59"/>
      <c r="G35" s="54"/>
      <c r="H35" s="16"/>
      <c r="I35" s="16"/>
      <c r="J35" s="16"/>
      <c r="K35" s="59" t="str">
        <f t="shared" si="2"/>
        <v>0.00 (0.00 – 0.00)</v>
      </c>
      <c r="L35" s="16" t="str">
        <f t="shared" si="3"/>
        <v>0.00
(0.00 – 0.00)</v>
      </c>
      <c r="N35" s="59"/>
      <c r="O35" s="16"/>
    </row>
    <row r="36" spans="3:15" ht="15" hidden="1" customHeight="1" x14ac:dyDescent="0.25">
      <c r="C36" s="56"/>
      <c r="D36" s="57"/>
      <c r="F36" s="59"/>
      <c r="G36" s="54"/>
      <c r="H36" s="16"/>
      <c r="I36" s="16"/>
      <c r="J36" s="16"/>
      <c r="K36" s="59" t="str">
        <f t="shared" si="2"/>
        <v>0.00 (0.00 – 0.00)</v>
      </c>
      <c r="L36" s="16" t="str">
        <f t="shared" si="3"/>
        <v>0.00
(0.00 – 0.00)</v>
      </c>
      <c r="M36" s="57"/>
      <c r="N36" s="59"/>
      <c r="O36" s="16"/>
    </row>
    <row r="37" spans="3:15" ht="15" hidden="1" customHeight="1" x14ac:dyDescent="0.25">
      <c r="C37" s="56"/>
      <c r="D37" s="57"/>
      <c r="E37" s="57"/>
      <c r="F37" s="57"/>
      <c r="G37" s="57"/>
      <c r="H37" s="57"/>
      <c r="I37" s="57"/>
      <c r="J37" s="57"/>
      <c r="K37" s="59" t="str">
        <f t="shared" si="2"/>
        <v>0.00 (0.00 – 0.00)</v>
      </c>
      <c r="L37" s="16" t="str">
        <f t="shared" si="3"/>
        <v>0.00
(0.00 – 0.00)</v>
      </c>
      <c r="M37" s="57"/>
      <c r="N37" s="59"/>
      <c r="O37" s="16"/>
    </row>
    <row r="38" spans="3:15" ht="15" hidden="1" customHeight="1" x14ac:dyDescent="0.25">
      <c r="C38" s="56"/>
      <c r="D38" s="57"/>
      <c r="F38" s="59"/>
      <c r="G38" s="54"/>
      <c r="H38" s="16"/>
      <c r="I38" s="16"/>
      <c r="J38" s="16"/>
      <c r="K38" s="59" t="str">
        <f t="shared" si="2"/>
        <v>0.00 (0.00 – 0.00)</v>
      </c>
      <c r="L38" s="16" t="str">
        <f t="shared" si="3"/>
        <v>0.00
(0.00 – 0.00)</v>
      </c>
      <c r="M38" s="57"/>
      <c r="N38" s="59"/>
      <c r="O38" s="16"/>
    </row>
    <row r="39" spans="3:15" ht="15" hidden="1" customHeight="1" x14ac:dyDescent="0.25">
      <c r="C39" s="56"/>
      <c r="D39" s="57"/>
      <c r="K39" s="59" t="str">
        <f t="shared" si="2"/>
        <v>0.00 (0.00 – 0.00)</v>
      </c>
      <c r="L39" s="16" t="str">
        <f t="shared" si="3"/>
        <v>0.00
(0.00 – 0.00)</v>
      </c>
      <c r="M39" s="57"/>
      <c r="N39" s="59"/>
      <c r="O39" s="16"/>
    </row>
    <row r="40" spans="3:15" ht="15" hidden="1" customHeight="1" x14ac:dyDescent="0.25">
      <c r="C40" s="56"/>
      <c r="D40" s="57"/>
      <c r="K40" s="59" t="str">
        <f t="shared" si="2"/>
        <v>0.00 (0.00 – 0.00)</v>
      </c>
      <c r="L40" s="16" t="str">
        <f t="shared" si="3"/>
        <v>0.00
(0.00 – 0.00)</v>
      </c>
      <c r="M40" s="57"/>
      <c r="N40" s="59"/>
      <c r="O40" s="16"/>
    </row>
    <row r="41" spans="3:15" ht="15" hidden="1" customHeight="1" x14ac:dyDescent="0.25">
      <c r="C41" s="56"/>
      <c r="D41" s="57"/>
      <c r="E41" s="57"/>
      <c r="F41" s="57"/>
      <c r="G41" s="57"/>
      <c r="H41" s="57"/>
      <c r="I41" s="57"/>
      <c r="J41" s="57"/>
      <c r="K41" s="59" t="str">
        <f t="shared" si="2"/>
        <v>0.00 (0.00 – 0.00)</v>
      </c>
      <c r="L41" s="16" t="str">
        <f t="shared" si="3"/>
        <v>0.00
(0.00 – 0.00)</v>
      </c>
      <c r="M41" s="57"/>
      <c r="N41" s="59"/>
      <c r="O41" s="16"/>
    </row>
    <row r="42" spans="3:15" ht="15" hidden="1" customHeight="1" x14ac:dyDescent="0.25">
      <c r="C42" s="56"/>
      <c r="D42" s="57"/>
      <c r="K42" s="59" t="str">
        <f t="shared" si="2"/>
        <v>0.00 (0.00 – 0.00)</v>
      </c>
      <c r="L42" s="16" t="str">
        <f t="shared" si="3"/>
        <v>0.00
(0.00 – 0.00)</v>
      </c>
      <c r="M42" s="57"/>
      <c r="N42" s="59"/>
      <c r="O42" s="16"/>
    </row>
    <row r="43" spans="3:15" ht="15" hidden="1" customHeight="1" x14ac:dyDescent="0.25">
      <c r="C43" s="56"/>
      <c r="D43" s="57"/>
      <c r="K43" s="59" t="str">
        <f t="shared" si="2"/>
        <v>0.00 (0.00 – 0.00)</v>
      </c>
      <c r="L43" s="16" t="str">
        <f t="shared" si="3"/>
        <v>0.00
(0.00 – 0.00)</v>
      </c>
      <c r="M43" s="57"/>
      <c r="N43" s="59"/>
      <c r="O43" s="16"/>
    </row>
    <row r="44" spans="3:15" ht="15" hidden="1" customHeight="1" x14ac:dyDescent="0.25">
      <c r="C44" s="56"/>
      <c r="D44" s="57"/>
      <c r="E44" s="57"/>
      <c r="F44" s="57"/>
      <c r="G44" s="57"/>
      <c r="H44" s="57"/>
      <c r="I44" s="57"/>
      <c r="J44" s="57"/>
      <c r="K44" s="59" t="str">
        <f t="shared" si="2"/>
        <v>0.00 (0.00 – 0.00)</v>
      </c>
      <c r="L44" s="16" t="str">
        <f t="shared" si="3"/>
        <v>0.00
(0.00 – 0.00)</v>
      </c>
      <c r="M44" s="57"/>
      <c r="N44" s="59"/>
      <c r="O44" s="16"/>
    </row>
    <row r="45" spans="3:15" ht="15" hidden="1" customHeight="1" x14ac:dyDescent="0.25">
      <c r="C45" s="56"/>
      <c r="D45" s="57"/>
      <c r="E45" s="57"/>
      <c r="F45" s="57"/>
      <c r="G45" s="57"/>
      <c r="H45" s="57"/>
      <c r="I45" s="57"/>
      <c r="J45" s="57"/>
      <c r="K45" s="59" t="str">
        <f t="shared" si="2"/>
        <v>0.00 (0.00 – 0.00)</v>
      </c>
      <c r="L45" s="16" t="str">
        <f t="shared" si="3"/>
        <v>0.00
(0.00 – 0.00)</v>
      </c>
      <c r="M45" s="57"/>
      <c r="N45" s="59"/>
      <c r="O45" s="16"/>
    </row>
    <row r="46" spans="3:15" ht="15" hidden="1" customHeight="1" x14ac:dyDescent="0.25">
      <c r="C46" s="56"/>
      <c r="D46" s="57"/>
      <c r="K46" s="59" t="str">
        <f t="shared" si="2"/>
        <v>0.00 (0.00 – 0.00)</v>
      </c>
      <c r="L46" s="16" t="str">
        <f t="shared" si="3"/>
        <v>0.00
(0.00 – 0.00)</v>
      </c>
      <c r="M46" s="57"/>
      <c r="N46" s="59"/>
      <c r="O46" s="16"/>
    </row>
    <row r="47" spans="3:15" ht="15" hidden="1" customHeight="1" x14ac:dyDescent="0.25">
      <c r="C47" s="56"/>
      <c r="D47" s="57"/>
      <c r="K47" s="59" t="str">
        <f t="shared" si="2"/>
        <v>0.00 (0.00 – 0.00)</v>
      </c>
      <c r="L47" s="16" t="str">
        <f t="shared" si="3"/>
        <v>0.00
(0.00 – 0.00)</v>
      </c>
      <c r="M47" s="57"/>
      <c r="N47" s="59"/>
      <c r="O47" s="16"/>
    </row>
    <row r="48" spans="3:15" ht="15" hidden="1" customHeight="1" x14ac:dyDescent="0.25">
      <c r="C48" s="56"/>
      <c r="D48" s="57"/>
      <c r="E48" s="57"/>
      <c r="F48" s="57"/>
      <c r="G48" s="57"/>
      <c r="H48" s="57"/>
      <c r="I48" s="57"/>
      <c r="J48" s="57"/>
      <c r="K48" s="59" t="str">
        <f t="shared" si="2"/>
        <v>0.00 (0.00 – 0.00)</v>
      </c>
      <c r="L48" s="16" t="str">
        <f t="shared" si="3"/>
        <v>0.00
(0.00 – 0.00)</v>
      </c>
      <c r="M48" s="57"/>
      <c r="N48" s="59"/>
      <c r="O48" s="16"/>
    </row>
    <row r="49" spans="3:15" ht="15" hidden="1" customHeight="1" x14ac:dyDescent="0.25">
      <c r="C49" s="56"/>
      <c r="D49" s="57"/>
      <c r="F49" s="59"/>
      <c r="G49" s="54"/>
      <c r="H49" s="16"/>
      <c r="I49" s="16"/>
      <c r="J49" s="16"/>
      <c r="K49" s="59" t="str">
        <f t="shared" si="2"/>
        <v>0.00 (0.00 – 0.00)</v>
      </c>
      <c r="L49" s="16" t="str">
        <f t="shared" si="3"/>
        <v>0.00
(0.00 – 0.00)</v>
      </c>
      <c r="M49" s="57"/>
      <c r="N49" s="59"/>
      <c r="O49" s="16"/>
    </row>
    <row r="50" spans="3:15" ht="15" hidden="1" customHeight="1" x14ac:dyDescent="0.25">
      <c r="C50" s="56"/>
      <c r="D50" s="57"/>
      <c r="E50" s="57"/>
      <c r="F50" s="57"/>
      <c r="G50" s="57"/>
      <c r="H50" s="57"/>
      <c r="I50" s="57"/>
      <c r="J50" s="57"/>
      <c r="K50" s="59" t="str">
        <f t="shared" ref="K50:K68" si="4">CONCATENATE(TEXT(I50,"0.00")," (",TEXT(H50,"0.00")," – ",TEXT(J50,"0.00"),")")</f>
        <v>0.00 (0.00 – 0.00)</v>
      </c>
      <c r="L50" s="16" t="str">
        <f t="shared" ref="L50:L69" si="5">CONCATENATE(TEXT(I50,"0.00"),"
(",TEXT(H50,"0.00")," – ",TEXT(J50,"0.00"),")")</f>
        <v>0.00
(0.00 – 0.00)</v>
      </c>
      <c r="M50" s="57"/>
      <c r="N50" s="59"/>
      <c r="O50" s="16"/>
    </row>
    <row r="51" spans="3:15" ht="15" hidden="1" customHeight="1" x14ac:dyDescent="0.25">
      <c r="C51" s="56"/>
      <c r="D51" s="57"/>
      <c r="E51" s="57"/>
      <c r="F51" s="57"/>
      <c r="G51" s="57"/>
      <c r="H51" s="57"/>
      <c r="I51" s="57"/>
      <c r="J51" s="57"/>
      <c r="K51" s="59" t="str">
        <f t="shared" si="4"/>
        <v>0.00 (0.00 – 0.00)</v>
      </c>
      <c r="L51" s="16" t="str">
        <f t="shared" si="5"/>
        <v>0.00
(0.00 – 0.00)</v>
      </c>
      <c r="M51" s="57"/>
      <c r="N51" s="59"/>
      <c r="O51" s="16"/>
    </row>
    <row r="52" spans="3:15" ht="15" hidden="1" customHeight="1" x14ac:dyDescent="0.25">
      <c r="C52" s="56"/>
      <c r="D52" s="57"/>
      <c r="E52" s="57"/>
      <c r="F52" s="57"/>
      <c r="G52" s="57"/>
      <c r="H52" s="57"/>
      <c r="I52" s="57"/>
      <c r="J52" s="57"/>
      <c r="K52" s="59" t="str">
        <f t="shared" si="4"/>
        <v>0.00 (0.00 – 0.00)</v>
      </c>
      <c r="L52" s="16" t="str">
        <f t="shared" si="5"/>
        <v>0.00
(0.00 – 0.00)</v>
      </c>
      <c r="M52" s="57"/>
      <c r="N52" s="59"/>
      <c r="O52" s="16"/>
    </row>
    <row r="53" spans="3:15" ht="15" hidden="1" customHeight="1" x14ac:dyDescent="0.25">
      <c r="C53" s="56"/>
      <c r="D53" s="57"/>
      <c r="E53" s="57"/>
      <c r="F53" s="57"/>
      <c r="G53" s="57"/>
      <c r="H53" s="57"/>
      <c r="I53" s="57"/>
      <c r="J53" s="57"/>
      <c r="K53" s="59" t="str">
        <f t="shared" si="4"/>
        <v>0.00 (0.00 – 0.00)</v>
      </c>
      <c r="L53" s="16" t="str">
        <f t="shared" si="5"/>
        <v>0.00
(0.00 – 0.00)</v>
      </c>
      <c r="M53" s="57"/>
      <c r="N53" s="59"/>
      <c r="O53" s="16"/>
    </row>
    <row r="54" spans="3:15" ht="15" hidden="1" customHeight="1" x14ac:dyDescent="0.25">
      <c r="C54" s="56"/>
      <c r="D54" s="57"/>
      <c r="E54" s="57"/>
      <c r="F54" s="57"/>
      <c r="G54" s="57"/>
      <c r="H54" s="57"/>
      <c r="I54" s="57"/>
      <c r="J54" s="57"/>
      <c r="K54" s="59" t="str">
        <f t="shared" si="4"/>
        <v>0.00 (0.00 – 0.00)</v>
      </c>
      <c r="L54" s="16" t="str">
        <f t="shared" si="5"/>
        <v>0.00
(0.00 – 0.00)</v>
      </c>
      <c r="M54" s="57"/>
      <c r="N54" s="59"/>
      <c r="O54" s="16"/>
    </row>
    <row r="55" spans="3:15" ht="15" hidden="1" customHeight="1" x14ac:dyDescent="0.25">
      <c r="C55" s="56"/>
      <c r="D55" s="57"/>
      <c r="E55" s="57"/>
      <c r="F55" s="57"/>
      <c r="G55" s="57"/>
      <c r="H55" s="57"/>
      <c r="I55" s="57"/>
      <c r="J55" s="57"/>
      <c r="K55" s="59" t="str">
        <f t="shared" si="4"/>
        <v>0.00 (0.00 – 0.00)</v>
      </c>
      <c r="L55" s="16" t="str">
        <f t="shared" si="5"/>
        <v>0.00
(0.00 – 0.00)</v>
      </c>
      <c r="M55" s="57"/>
      <c r="N55" s="59"/>
      <c r="O55" s="16"/>
    </row>
    <row r="56" spans="3:15" ht="15" hidden="1" customHeight="1" x14ac:dyDescent="0.25">
      <c r="C56" s="56"/>
      <c r="D56" s="57"/>
      <c r="E56" s="57"/>
      <c r="F56" s="57"/>
      <c r="G56" s="57"/>
      <c r="H56" s="57"/>
      <c r="I56" s="57"/>
      <c r="J56" s="57"/>
      <c r="K56" s="59" t="str">
        <f t="shared" si="4"/>
        <v>0.00 (0.00 – 0.00)</v>
      </c>
      <c r="L56" s="16" t="str">
        <f t="shared" si="5"/>
        <v>0.00
(0.00 – 0.00)</v>
      </c>
      <c r="M56" s="57"/>
      <c r="N56" s="59"/>
      <c r="O56" s="16"/>
    </row>
    <row r="57" spans="3:15" ht="15" hidden="1" customHeight="1" x14ac:dyDescent="0.25">
      <c r="C57" s="56"/>
      <c r="D57" s="57"/>
      <c r="E57" s="57"/>
      <c r="F57" s="57"/>
      <c r="G57" s="57"/>
      <c r="H57" s="57"/>
      <c r="I57" s="57"/>
      <c r="J57" s="57"/>
      <c r="K57" s="59" t="str">
        <f t="shared" si="4"/>
        <v>0.00 (0.00 – 0.00)</v>
      </c>
      <c r="L57" s="16" t="str">
        <f t="shared" si="5"/>
        <v>0.00
(0.00 – 0.00)</v>
      </c>
      <c r="M57" s="57"/>
      <c r="N57" s="59"/>
      <c r="O57" s="16"/>
    </row>
    <row r="58" spans="3:15" ht="15" hidden="1" customHeight="1" x14ac:dyDescent="0.25">
      <c r="C58" s="56"/>
      <c r="D58" s="57"/>
      <c r="E58" s="57"/>
      <c r="F58" s="57"/>
      <c r="G58" s="57"/>
      <c r="H58" s="57"/>
      <c r="I58" s="57"/>
      <c r="J58" s="57"/>
      <c r="K58" s="59" t="str">
        <f t="shared" si="4"/>
        <v>0.00 (0.00 – 0.00)</v>
      </c>
      <c r="L58" s="16" t="str">
        <f t="shared" si="5"/>
        <v>0.00
(0.00 – 0.00)</v>
      </c>
      <c r="M58" s="57"/>
      <c r="N58" s="59"/>
      <c r="O58" s="16"/>
    </row>
    <row r="59" spans="3:15" ht="15" hidden="1" customHeight="1" x14ac:dyDescent="0.25">
      <c r="C59" s="56"/>
      <c r="D59" s="57"/>
      <c r="E59" s="57"/>
      <c r="F59" s="57"/>
      <c r="G59" s="57"/>
      <c r="H59" s="57"/>
      <c r="I59" s="57"/>
      <c r="J59" s="57"/>
      <c r="K59" s="59" t="str">
        <f t="shared" si="4"/>
        <v>0.00 (0.00 – 0.00)</v>
      </c>
      <c r="L59" s="16" t="str">
        <f t="shared" si="5"/>
        <v>0.00
(0.00 – 0.00)</v>
      </c>
      <c r="M59" s="57"/>
      <c r="N59" s="59"/>
      <c r="O59" s="16"/>
    </row>
    <row r="60" spans="3:15" ht="15" hidden="1" customHeight="1" x14ac:dyDescent="0.25">
      <c r="C60" s="56"/>
      <c r="D60" s="57"/>
      <c r="E60" s="57"/>
      <c r="F60" s="57"/>
      <c r="G60" s="57"/>
      <c r="H60" s="57"/>
      <c r="I60" s="57"/>
      <c r="J60" s="57"/>
      <c r="K60" s="59" t="str">
        <f t="shared" si="4"/>
        <v>0.00 (0.00 – 0.00)</v>
      </c>
      <c r="L60" s="16" t="str">
        <f t="shared" si="5"/>
        <v>0.00
(0.00 – 0.00)</v>
      </c>
      <c r="M60" s="57"/>
      <c r="N60" s="59"/>
      <c r="O60" s="16"/>
    </row>
    <row r="61" spans="3:15" ht="15" hidden="1" customHeight="1" x14ac:dyDescent="0.25">
      <c r="C61" s="56"/>
      <c r="D61" s="57"/>
      <c r="E61" s="57"/>
      <c r="F61" s="57"/>
      <c r="G61" s="57"/>
      <c r="H61" s="57"/>
      <c r="I61" s="57"/>
      <c r="J61" s="57"/>
      <c r="K61" s="59" t="str">
        <f t="shared" si="4"/>
        <v>0.00 (0.00 – 0.00)</v>
      </c>
      <c r="L61" s="16" t="str">
        <f t="shared" si="5"/>
        <v>0.00
(0.00 – 0.00)</v>
      </c>
      <c r="M61" s="57"/>
      <c r="N61" s="59"/>
      <c r="O61" s="16"/>
    </row>
    <row r="62" spans="3:15" ht="15" hidden="1" customHeight="1" x14ac:dyDescent="0.25">
      <c r="C62" s="56"/>
      <c r="D62" s="57"/>
      <c r="E62" s="57"/>
      <c r="F62" s="57"/>
      <c r="G62" s="57"/>
      <c r="H62" s="57"/>
      <c r="I62" s="57"/>
      <c r="J62" s="57"/>
      <c r="K62" s="59" t="str">
        <f t="shared" si="4"/>
        <v>0.00 (0.00 – 0.00)</v>
      </c>
      <c r="L62" s="16" t="str">
        <f t="shared" si="5"/>
        <v>0.00
(0.00 – 0.00)</v>
      </c>
      <c r="M62" s="57"/>
      <c r="N62" s="59"/>
      <c r="O62" s="16"/>
    </row>
    <row r="63" spans="3:15" ht="15" hidden="1" customHeight="1" x14ac:dyDescent="0.25">
      <c r="C63" s="56"/>
      <c r="D63" s="57"/>
      <c r="E63" s="57"/>
      <c r="F63" s="57"/>
      <c r="G63" s="57"/>
      <c r="H63" s="57"/>
      <c r="I63" s="57"/>
      <c r="J63" s="57"/>
      <c r="K63" s="59" t="str">
        <f t="shared" si="4"/>
        <v>0.00 (0.00 – 0.00)</v>
      </c>
      <c r="L63" s="16" t="str">
        <f t="shared" si="5"/>
        <v>0.00
(0.00 – 0.00)</v>
      </c>
      <c r="M63" s="57"/>
      <c r="N63" s="59"/>
      <c r="O63" s="16"/>
    </row>
    <row r="64" spans="3:15" ht="15" hidden="1" customHeight="1" x14ac:dyDescent="0.25">
      <c r="C64" s="56"/>
      <c r="D64" s="57"/>
      <c r="E64" s="57"/>
      <c r="F64" s="57"/>
      <c r="G64" s="57"/>
      <c r="H64" s="57"/>
      <c r="I64" s="57"/>
      <c r="J64" s="57"/>
      <c r="K64" s="59" t="str">
        <f t="shared" si="4"/>
        <v>0.00 (0.00 – 0.00)</v>
      </c>
      <c r="L64" s="16" t="str">
        <f t="shared" si="5"/>
        <v>0.00
(0.00 – 0.00)</v>
      </c>
      <c r="M64" s="57"/>
      <c r="N64" s="59"/>
      <c r="O64" s="16"/>
    </row>
    <row r="65" spans="3:15" ht="15" hidden="1" customHeight="1" x14ac:dyDescent="0.25">
      <c r="C65" s="56"/>
      <c r="D65" s="57"/>
      <c r="E65" s="57"/>
      <c r="F65" s="57"/>
      <c r="G65" s="57"/>
      <c r="H65" s="57"/>
      <c r="I65" s="57"/>
      <c r="J65" s="57"/>
      <c r="K65" s="59" t="str">
        <f t="shared" si="4"/>
        <v>0.00 (0.00 – 0.00)</v>
      </c>
      <c r="L65" s="16" t="str">
        <f t="shared" si="5"/>
        <v>0.00
(0.00 – 0.00)</v>
      </c>
      <c r="M65" s="57"/>
      <c r="N65" s="59"/>
      <c r="O65" s="16"/>
    </row>
    <row r="66" spans="3:15" ht="15" hidden="1" customHeight="1" x14ac:dyDescent="0.25">
      <c r="C66" s="56"/>
      <c r="D66" s="57"/>
      <c r="E66" s="57"/>
      <c r="F66" s="57"/>
      <c r="G66" s="57"/>
      <c r="H66" s="57"/>
      <c r="I66" s="57"/>
      <c r="J66" s="57"/>
      <c r="K66" s="59" t="str">
        <f t="shared" si="4"/>
        <v>0.00 (0.00 – 0.00)</v>
      </c>
      <c r="L66" s="16" t="str">
        <f t="shared" si="5"/>
        <v>0.00
(0.00 – 0.00)</v>
      </c>
      <c r="M66" s="57"/>
      <c r="N66" s="59"/>
      <c r="O66" s="16"/>
    </row>
    <row r="67" spans="3:15" ht="15" hidden="1" customHeight="1" x14ac:dyDescent="0.25">
      <c r="C67" s="56"/>
      <c r="D67" s="57"/>
      <c r="E67" s="57"/>
      <c r="F67" s="57"/>
      <c r="G67" s="57"/>
      <c r="H67" s="57"/>
      <c r="I67" s="57"/>
      <c r="J67" s="57"/>
      <c r="K67" s="59" t="str">
        <f t="shared" si="4"/>
        <v>0.00 (0.00 – 0.00)</v>
      </c>
      <c r="L67" s="16" t="str">
        <f t="shared" si="5"/>
        <v>0.00
(0.00 – 0.00)</v>
      </c>
      <c r="M67" s="57"/>
      <c r="N67" s="59"/>
      <c r="O67" s="16"/>
    </row>
    <row r="68" spans="3:15" ht="15" hidden="1" customHeight="1" x14ac:dyDescent="0.25">
      <c r="C68" s="56"/>
      <c r="D68" s="57"/>
      <c r="E68" s="57"/>
      <c r="F68" s="57"/>
      <c r="G68" s="57"/>
      <c r="H68" s="57"/>
      <c r="I68" s="57"/>
      <c r="J68" s="57"/>
      <c r="K68" s="59" t="str">
        <f t="shared" si="4"/>
        <v>0.00 (0.00 – 0.00)</v>
      </c>
      <c r="L68" s="16" t="str">
        <f t="shared" si="5"/>
        <v>0.00
(0.00 – 0.00)</v>
      </c>
      <c r="M68" s="57"/>
      <c r="N68" s="59"/>
      <c r="O68" s="16"/>
    </row>
    <row r="69" spans="3:15" ht="15" hidden="1" customHeight="1" x14ac:dyDescent="0.25">
      <c r="C69" s="56"/>
      <c r="D69" s="57"/>
      <c r="E69" s="57"/>
      <c r="F69" s="57"/>
      <c r="G69" s="57"/>
      <c r="H69" s="57"/>
      <c r="I69" s="57"/>
      <c r="J69" s="57"/>
      <c r="K69" s="59" t="str">
        <f t="shared" ref="K69:K132" si="6">CONCATENATE(TEXT(I69,"0.00")," (",TEXT(H69,"0.00")," – ",TEXT(J69,"0.00"),")")</f>
        <v>0.00 (0.00 – 0.00)</v>
      </c>
      <c r="L69" s="16" t="str">
        <f t="shared" si="5"/>
        <v>0.00
(0.00 – 0.00)</v>
      </c>
      <c r="M69" s="57"/>
      <c r="N69" s="59"/>
      <c r="O69" s="16"/>
    </row>
    <row r="70" spans="3:15" ht="15" hidden="1" customHeight="1" x14ac:dyDescent="0.25">
      <c r="C70" s="56"/>
      <c r="D70" s="57"/>
      <c r="E70" s="57"/>
      <c r="F70" s="57"/>
      <c r="G70" s="57"/>
      <c r="H70" s="57"/>
      <c r="I70" s="57"/>
      <c r="J70" s="57"/>
      <c r="K70" s="59" t="str">
        <f t="shared" si="6"/>
        <v>0.00 (0.00 – 0.00)</v>
      </c>
      <c r="L70" s="16" t="str">
        <f t="shared" ref="L70:L133" si="7">CONCATENATE(TEXT(I70,"0.00"),"
(",TEXT(H70,"0.00")," – ",TEXT(J70,"0.00"),")")</f>
        <v>0.00
(0.00 – 0.00)</v>
      </c>
      <c r="M70" s="57"/>
      <c r="N70" s="59"/>
      <c r="O70" s="16"/>
    </row>
    <row r="71" spans="3:15" ht="15" hidden="1" customHeight="1" x14ac:dyDescent="0.25">
      <c r="C71" s="56"/>
      <c r="D71" s="57"/>
      <c r="E71" s="57"/>
      <c r="F71" s="57"/>
      <c r="G71" s="57"/>
      <c r="H71" s="57"/>
      <c r="I71" s="57"/>
      <c r="J71" s="57"/>
      <c r="K71" s="59" t="str">
        <f t="shared" si="6"/>
        <v>0.00 (0.00 – 0.00)</v>
      </c>
      <c r="L71" s="16" t="str">
        <f t="shared" si="7"/>
        <v>0.00
(0.00 – 0.00)</v>
      </c>
      <c r="M71" s="57"/>
      <c r="N71" s="59"/>
      <c r="O71" s="16"/>
    </row>
    <row r="72" spans="3:15" ht="15" hidden="1" customHeight="1" x14ac:dyDescent="0.25">
      <c r="C72" s="56"/>
      <c r="D72" s="57"/>
      <c r="E72" s="57"/>
      <c r="F72" s="57"/>
      <c r="G72" s="57"/>
      <c r="H72" s="57"/>
      <c r="I72" s="57"/>
      <c r="J72" s="57"/>
      <c r="K72" s="59" t="str">
        <f t="shared" si="6"/>
        <v>0.00 (0.00 – 0.00)</v>
      </c>
      <c r="L72" s="16" t="str">
        <f t="shared" si="7"/>
        <v>0.00
(0.00 – 0.00)</v>
      </c>
      <c r="M72" s="57"/>
      <c r="N72" s="59"/>
      <c r="O72" s="16"/>
    </row>
    <row r="73" spans="3:15" ht="15" hidden="1" customHeight="1" x14ac:dyDescent="0.25">
      <c r="C73" s="56"/>
      <c r="D73" s="57"/>
      <c r="E73" s="57"/>
      <c r="F73" s="57"/>
      <c r="G73" s="57"/>
      <c r="H73" s="57"/>
      <c r="I73" s="57"/>
      <c r="J73" s="57"/>
      <c r="K73" s="59" t="str">
        <f t="shared" si="6"/>
        <v>0.00 (0.00 – 0.00)</v>
      </c>
      <c r="L73" s="16" t="str">
        <f t="shared" si="7"/>
        <v>0.00
(0.00 – 0.00)</v>
      </c>
      <c r="M73" s="57"/>
      <c r="N73" s="59"/>
      <c r="O73" s="16"/>
    </row>
    <row r="74" spans="3:15" ht="15" hidden="1" customHeight="1" x14ac:dyDescent="0.25">
      <c r="C74" s="56"/>
      <c r="D74" s="57"/>
      <c r="E74" s="57"/>
      <c r="F74" s="57"/>
      <c r="G74" s="57"/>
      <c r="H74" s="57"/>
      <c r="I74" s="57"/>
      <c r="J74" s="57"/>
      <c r="K74" s="59" t="str">
        <f t="shared" si="6"/>
        <v>0.00 (0.00 – 0.00)</v>
      </c>
      <c r="L74" s="16" t="str">
        <f t="shared" si="7"/>
        <v>0.00
(0.00 – 0.00)</v>
      </c>
      <c r="M74" s="57"/>
      <c r="N74" s="59"/>
      <c r="O74" s="16"/>
    </row>
    <row r="75" spans="3:15" ht="15" hidden="1" customHeight="1" x14ac:dyDescent="0.25">
      <c r="C75" s="56"/>
      <c r="D75" s="57"/>
      <c r="E75" s="57"/>
      <c r="F75" s="57"/>
      <c r="G75" s="57"/>
      <c r="H75" s="57"/>
      <c r="I75" s="57"/>
      <c r="J75" s="57"/>
      <c r="K75" s="59" t="str">
        <f t="shared" si="6"/>
        <v>0.00 (0.00 – 0.00)</v>
      </c>
      <c r="L75" s="16" t="str">
        <f t="shared" si="7"/>
        <v>0.00
(0.00 – 0.00)</v>
      </c>
      <c r="M75" s="57"/>
      <c r="N75" s="59"/>
      <c r="O75" s="16"/>
    </row>
    <row r="76" spans="3:15" ht="15" hidden="1" customHeight="1" x14ac:dyDescent="0.25">
      <c r="C76" s="56"/>
      <c r="D76" s="57"/>
      <c r="E76" s="57"/>
      <c r="F76" s="57"/>
      <c r="G76" s="57"/>
      <c r="H76" s="57"/>
      <c r="I76" s="57"/>
      <c r="J76" s="57"/>
      <c r="K76" s="59" t="str">
        <f t="shared" si="6"/>
        <v>0.00 (0.00 – 0.00)</v>
      </c>
      <c r="L76" s="16" t="str">
        <f t="shared" si="7"/>
        <v>0.00
(0.00 – 0.00)</v>
      </c>
      <c r="M76" s="57"/>
      <c r="N76" s="59"/>
      <c r="O76" s="16"/>
    </row>
    <row r="77" spans="3:15" ht="15" hidden="1" customHeight="1" x14ac:dyDescent="0.25">
      <c r="C77" s="56"/>
      <c r="D77" s="57"/>
      <c r="E77" s="57"/>
      <c r="F77" s="57"/>
      <c r="G77" s="57"/>
      <c r="H77" s="57"/>
      <c r="I77" s="57"/>
      <c r="J77" s="57"/>
      <c r="K77" s="59" t="str">
        <f t="shared" si="6"/>
        <v>0.00 (0.00 – 0.00)</v>
      </c>
      <c r="L77" s="16" t="str">
        <f t="shared" si="7"/>
        <v>0.00
(0.00 – 0.00)</v>
      </c>
      <c r="M77" s="57"/>
      <c r="N77" s="59"/>
      <c r="O77" s="16"/>
    </row>
    <row r="78" spans="3:15" ht="15" hidden="1" customHeight="1" x14ac:dyDescent="0.25">
      <c r="C78" s="56"/>
      <c r="D78" s="57"/>
      <c r="E78" s="57"/>
      <c r="F78" s="57"/>
      <c r="G78" s="57"/>
      <c r="H78" s="57"/>
      <c r="I78" s="57"/>
      <c r="J78" s="57"/>
      <c r="K78" s="59" t="str">
        <f t="shared" si="6"/>
        <v>0.00 (0.00 – 0.00)</v>
      </c>
      <c r="L78" s="16" t="str">
        <f t="shared" si="7"/>
        <v>0.00
(0.00 – 0.00)</v>
      </c>
      <c r="M78" s="57"/>
      <c r="N78" s="59"/>
      <c r="O78" s="16"/>
    </row>
    <row r="79" spans="3:15" ht="15" hidden="1" customHeight="1" x14ac:dyDescent="0.25">
      <c r="C79" s="56"/>
      <c r="D79" s="57"/>
      <c r="E79" s="57"/>
      <c r="F79" s="57"/>
      <c r="G79" s="57"/>
      <c r="H79" s="57"/>
      <c r="I79" s="57"/>
      <c r="J79" s="57"/>
      <c r="K79" s="59" t="str">
        <f t="shared" si="6"/>
        <v>0.00 (0.00 – 0.00)</v>
      </c>
      <c r="L79" s="16" t="str">
        <f t="shared" si="7"/>
        <v>0.00
(0.00 – 0.00)</v>
      </c>
      <c r="M79" s="57"/>
      <c r="N79" s="59"/>
      <c r="O79" s="16"/>
    </row>
    <row r="80" spans="3:15" ht="15" hidden="1" customHeight="1" x14ac:dyDescent="0.25">
      <c r="C80" s="56"/>
      <c r="D80" s="57"/>
      <c r="E80" s="57"/>
      <c r="F80" s="57"/>
      <c r="G80" s="57"/>
      <c r="H80" s="57"/>
      <c r="I80" s="57"/>
      <c r="J80" s="57"/>
      <c r="K80" s="59" t="str">
        <f t="shared" si="6"/>
        <v>0.00 (0.00 – 0.00)</v>
      </c>
      <c r="L80" s="16" t="str">
        <f t="shared" si="7"/>
        <v>0.00
(0.00 – 0.00)</v>
      </c>
      <c r="M80" s="57"/>
      <c r="N80" s="59"/>
      <c r="O80" s="16"/>
    </row>
    <row r="81" spans="3:15" ht="15" hidden="1" customHeight="1" x14ac:dyDescent="0.25">
      <c r="C81" s="56"/>
      <c r="D81" s="57"/>
      <c r="E81" s="57"/>
      <c r="F81" s="57"/>
      <c r="G81" s="57"/>
      <c r="H81" s="57"/>
      <c r="I81" s="57"/>
      <c r="J81" s="57"/>
      <c r="K81" s="59" t="str">
        <f t="shared" si="6"/>
        <v>0.00 (0.00 – 0.00)</v>
      </c>
      <c r="L81" s="16" t="str">
        <f t="shared" si="7"/>
        <v>0.00
(0.00 – 0.00)</v>
      </c>
      <c r="M81" s="57"/>
      <c r="N81" s="59"/>
      <c r="O81" s="16"/>
    </row>
    <row r="82" spans="3:15" ht="15" hidden="1" customHeight="1" x14ac:dyDescent="0.25">
      <c r="C82" s="56"/>
      <c r="D82" s="57"/>
      <c r="E82" s="57"/>
      <c r="F82" s="57"/>
      <c r="G82" s="57"/>
      <c r="H82" s="57"/>
      <c r="I82" s="57"/>
      <c r="J82" s="57"/>
      <c r="K82" s="59" t="str">
        <f t="shared" si="6"/>
        <v>0.00 (0.00 – 0.00)</v>
      </c>
      <c r="L82" s="16" t="str">
        <f t="shared" si="7"/>
        <v>0.00
(0.00 – 0.00)</v>
      </c>
      <c r="M82" s="57"/>
      <c r="N82" s="59"/>
      <c r="O82" s="16"/>
    </row>
    <row r="83" spans="3:15" ht="15" hidden="1" customHeight="1" x14ac:dyDescent="0.25">
      <c r="C83" s="56"/>
      <c r="D83" s="57"/>
      <c r="E83" s="57"/>
      <c r="F83" s="57"/>
      <c r="G83" s="57"/>
      <c r="H83" s="57"/>
      <c r="I83" s="57"/>
      <c r="J83" s="57"/>
      <c r="K83" s="59" t="str">
        <f t="shared" si="6"/>
        <v>0.00 (0.00 – 0.00)</v>
      </c>
      <c r="L83" s="16" t="str">
        <f t="shared" si="7"/>
        <v>0.00
(0.00 – 0.00)</v>
      </c>
      <c r="M83" s="57"/>
      <c r="N83" s="59"/>
      <c r="O83" s="16"/>
    </row>
    <row r="84" spans="3:15" ht="15" hidden="1" customHeight="1" x14ac:dyDescent="0.25">
      <c r="C84" s="56"/>
      <c r="D84" s="57"/>
      <c r="E84" s="57"/>
      <c r="F84" s="57"/>
      <c r="G84" s="57"/>
      <c r="H84" s="57"/>
      <c r="I84" s="57"/>
      <c r="J84" s="57"/>
      <c r="K84" s="59" t="str">
        <f t="shared" si="6"/>
        <v>0.00 (0.00 – 0.00)</v>
      </c>
      <c r="L84" s="16" t="str">
        <f t="shared" si="7"/>
        <v>0.00
(0.00 – 0.00)</v>
      </c>
      <c r="M84" s="57"/>
      <c r="N84" s="59"/>
      <c r="O84" s="16"/>
    </row>
    <row r="85" spans="3:15" ht="15" hidden="1" customHeight="1" x14ac:dyDescent="0.25">
      <c r="C85" s="56"/>
      <c r="D85" s="57"/>
      <c r="E85" s="57"/>
      <c r="F85" s="57"/>
      <c r="G85" s="57"/>
      <c r="H85" s="57"/>
      <c r="I85" s="57"/>
      <c r="J85" s="57"/>
      <c r="K85" s="59" t="str">
        <f t="shared" si="6"/>
        <v>0.00 (0.00 – 0.00)</v>
      </c>
      <c r="L85" s="16" t="str">
        <f t="shared" si="7"/>
        <v>0.00
(0.00 – 0.00)</v>
      </c>
      <c r="M85" s="57"/>
      <c r="N85" s="59"/>
      <c r="O85" s="16"/>
    </row>
    <row r="86" spans="3:15" ht="15" hidden="1" customHeight="1" x14ac:dyDescent="0.25">
      <c r="C86" s="56"/>
      <c r="D86" s="57"/>
      <c r="E86" s="57"/>
      <c r="F86" s="57"/>
      <c r="G86" s="57"/>
      <c r="H86" s="57"/>
      <c r="I86" s="57"/>
      <c r="J86" s="57"/>
      <c r="K86" s="59" t="str">
        <f t="shared" si="6"/>
        <v>0.00 (0.00 – 0.00)</v>
      </c>
      <c r="L86" s="16" t="str">
        <f t="shared" si="7"/>
        <v>0.00
(0.00 – 0.00)</v>
      </c>
      <c r="M86" s="57"/>
      <c r="N86" s="59"/>
      <c r="O86" s="16"/>
    </row>
    <row r="87" spans="3:15" ht="15" hidden="1" customHeight="1" x14ac:dyDescent="0.25">
      <c r="C87" s="56"/>
      <c r="D87" s="57"/>
      <c r="E87" s="57"/>
      <c r="F87" s="57"/>
      <c r="G87" s="57"/>
      <c r="H87" s="57"/>
      <c r="I87" s="57"/>
      <c r="J87" s="57"/>
      <c r="K87" s="59" t="str">
        <f t="shared" si="6"/>
        <v>0.00 (0.00 – 0.00)</v>
      </c>
      <c r="L87" s="16" t="str">
        <f t="shared" si="7"/>
        <v>0.00
(0.00 – 0.00)</v>
      </c>
      <c r="M87" s="57"/>
      <c r="N87" s="59"/>
      <c r="O87" s="16"/>
    </row>
    <row r="88" spans="3:15" ht="15" hidden="1" customHeight="1" x14ac:dyDescent="0.25">
      <c r="C88" s="56"/>
      <c r="D88" s="57"/>
      <c r="E88" s="57"/>
      <c r="F88" s="57"/>
      <c r="G88" s="57"/>
      <c r="H88" s="57"/>
      <c r="I88" s="57"/>
      <c r="J88" s="57"/>
      <c r="K88" s="59" t="str">
        <f t="shared" si="6"/>
        <v>0.00 (0.00 – 0.00)</v>
      </c>
      <c r="L88" s="16" t="str">
        <f t="shared" si="7"/>
        <v>0.00
(0.00 – 0.00)</v>
      </c>
      <c r="M88" s="57"/>
      <c r="N88" s="59"/>
      <c r="O88" s="16"/>
    </row>
    <row r="89" spans="3:15" ht="15" hidden="1" customHeight="1" x14ac:dyDescent="0.25">
      <c r="C89" s="56"/>
      <c r="D89" s="57"/>
      <c r="E89" s="57"/>
      <c r="F89" s="57"/>
      <c r="G89" s="57"/>
      <c r="H89" s="57"/>
      <c r="I89" s="57"/>
      <c r="J89" s="57"/>
      <c r="K89" s="59" t="str">
        <f t="shared" si="6"/>
        <v>0.00 (0.00 – 0.00)</v>
      </c>
      <c r="L89" s="16" t="str">
        <f t="shared" si="7"/>
        <v>0.00
(0.00 – 0.00)</v>
      </c>
      <c r="M89" s="57"/>
      <c r="N89" s="59"/>
      <c r="O89" s="16"/>
    </row>
    <row r="90" spans="3:15" ht="15" hidden="1" customHeight="1" x14ac:dyDescent="0.25">
      <c r="C90" s="56"/>
      <c r="D90" s="57"/>
      <c r="E90" s="57"/>
      <c r="F90" s="57"/>
      <c r="G90" s="57"/>
      <c r="H90" s="57"/>
      <c r="I90" s="57"/>
      <c r="J90" s="57"/>
      <c r="K90" s="59" t="str">
        <f t="shared" si="6"/>
        <v>0.00 (0.00 – 0.00)</v>
      </c>
      <c r="L90" s="16" t="str">
        <f t="shared" si="7"/>
        <v>0.00
(0.00 – 0.00)</v>
      </c>
      <c r="M90" s="57"/>
      <c r="N90" s="59"/>
      <c r="O90" s="16"/>
    </row>
    <row r="91" spans="3:15" ht="15" hidden="1" customHeight="1" x14ac:dyDescent="0.25">
      <c r="C91" s="56"/>
      <c r="D91" s="57"/>
      <c r="E91" s="57"/>
      <c r="F91" s="57"/>
      <c r="G91" s="57"/>
      <c r="H91" s="57"/>
      <c r="I91" s="57"/>
      <c r="J91" s="57"/>
      <c r="K91" s="59" t="str">
        <f t="shared" si="6"/>
        <v>0.00 (0.00 – 0.00)</v>
      </c>
      <c r="L91" s="16" t="str">
        <f t="shared" si="7"/>
        <v>0.00
(0.00 – 0.00)</v>
      </c>
      <c r="M91" s="57"/>
      <c r="N91" s="59"/>
      <c r="O91" s="16"/>
    </row>
    <row r="92" spans="3:15" ht="15" hidden="1" customHeight="1" x14ac:dyDescent="0.25">
      <c r="C92" s="56"/>
      <c r="D92" s="57"/>
      <c r="E92" s="57"/>
      <c r="F92" s="57"/>
      <c r="G92" s="57"/>
      <c r="H92" s="57"/>
      <c r="I92" s="57"/>
      <c r="J92" s="57"/>
      <c r="K92" s="59" t="str">
        <f t="shared" si="6"/>
        <v>0.00 (0.00 – 0.00)</v>
      </c>
      <c r="L92" s="16" t="str">
        <f t="shared" si="7"/>
        <v>0.00
(0.00 – 0.00)</v>
      </c>
      <c r="M92" s="57"/>
      <c r="N92" s="59"/>
      <c r="O92" s="16"/>
    </row>
    <row r="93" spans="3:15" ht="15" hidden="1" customHeight="1" x14ac:dyDescent="0.25">
      <c r="C93" s="56"/>
      <c r="D93" s="57"/>
      <c r="E93" s="57"/>
      <c r="F93" s="57"/>
      <c r="G93" s="57"/>
      <c r="H93" s="57"/>
      <c r="I93" s="57"/>
      <c r="J93" s="57"/>
      <c r="K93" s="59" t="str">
        <f t="shared" si="6"/>
        <v>0.00 (0.00 – 0.00)</v>
      </c>
      <c r="L93" s="16" t="str">
        <f t="shared" si="7"/>
        <v>0.00
(0.00 – 0.00)</v>
      </c>
      <c r="M93" s="57"/>
      <c r="N93" s="59"/>
      <c r="O93" s="16"/>
    </row>
    <row r="94" spans="3:15" ht="15" hidden="1" customHeight="1" x14ac:dyDescent="0.25">
      <c r="C94" s="56"/>
      <c r="D94" s="57"/>
      <c r="E94" s="57"/>
      <c r="F94" s="57"/>
      <c r="G94" s="57"/>
      <c r="H94" s="57"/>
      <c r="I94" s="57"/>
      <c r="J94" s="57"/>
      <c r="K94" s="59" t="str">
        <f t="shared" si="6"/>
        <v>0.00 (0.00 – 0.00)</v>
      </c>
      <c r="L94" s="16" t="str">
        <f t="shared" si="7"/>
        <v>0.00
(0.00 – 0.00)</v>
      </c>
      <c r="M94" s="57"/>
      <c r="N94" s="59"/>
      <c r="O94" s="16"/>
    </row>
    <row r="95" spans="3:15" ht="15" hidden="1" customHeight="1" x14ac:dyDescent="0.25">
      <c r="C95" s="56"/>
      <c r="D95" s="57"/>
      <c r="E95" s="57"/>
      <c r="F95" s="57"/>
      <c r="G95" s="57"/>
      <c r="H95" s="57"/>
      <c r="I95" s="57"/>
      <c r="J95" s="57"/>
      <c r="K95" s="59" t="str">
        <f t="shared" si="6"/>
        <v>0.00 (0.00 – 0.00)</v>
      </c>
      <c r="L95" s="16" t="str">
        <f t="shared" si="7"/>
        <v>0.00
(0.00 – 0.00)</v>
      </c>
      <c r="M95" s="57"/>
      <c r="N95" s="59"/>
      <c r="O95" s="16"/>
    </row>
    <row r="96" spans="3:15" ht="15" hidden="1" customHeight="1" x14ac:dyDescent="0.25">
      <c r="C96" s="56"/>
      <c r="D96" s="57"/>
      <c r="E96" s="57"/>
      <c r="F96" s="57"/>
      <c r="G96" s="57"/>
      <c r="H96" s="57"/>
      <c r="I96" s="57"/>
      <c r="J96" s="57"/>
      <c r="K96" s="59" t="str">
        <f t="shared" si="6"/>
        <v>0.00 (0.00 – 0.00)</v>
      </c>
      <c r="L96" s="16" t="str">
        <f t="shared" si="7"/>
        <v>0.00
(0.00 – 0.00)</v>
      </c>
      <c r="M96" s="57"/>
      <c r="N96" s="59"/>
      <c r="O96" s="16"/>
    </row>
    <row r="97" spans="3:15" ht="15" hidden="1" customHeight="1" x14ac:dyDescent="0.25">
      <c r="C97" s="56"/>
      <c r="D97" s="57"/>
      <c r="E97" s="57"/>
      <c r="F97" s="57"/>
      <c r="G97" s="57"/>
      <c r="H97" s="57"/>
      <c r="I97" s="57"/>
      <c r="J97" s="57"/>
      <c r="K97" s="59" t="str">
        <f t="shared" si="6"/>
        <v>0.00 (0.00 – 0.00)</v>
      </c>
      <c r="L97" s="16" t="str">
        <f t="shared" si="7"/>
        <v>0.00
(0.00 – 0.00)</v>
      </c>
      <c r="M97" s="57"/>
      <c r="N97" s="59"/>
      <c r="O97" s="16"/>
    </row>
    <row r="98" spans="3:15" ht="15" hidden="1" customHeight="1" x14ac:dyDescent="0.25">
      <c r="C98" s="56"/>
      <c r="D98" s="57"/>
      <c r="E98" s="57"/>
      <c r="F98" s="57"/>
      <c r="G98" s="57"/>
      <c r="H98" s="57"/>
      <c r="I98" s="57"/>
      <c r="J98" s="57"/>
      <c r="K98" s="59" t="str">
        <f t="shared" si="6"/>
        <v>0.00 (0.00 – 0.00)</v>
      </c>
      <c r="L98" s="16" t="str">
        <f t="shared" si="7"/>
        <v>0.00
(0.00 – 0.00)</v>
      </c>
      <c r="M98" s="57"/>
      <c r="N98" s="59"/>
      <c r="O98" s="16"/>
    </row>
    <row r="99" spans="3:15" ht="15" hidden="1" customHeight="1" x14ac:dyDescent="0.25">
      <c r="C99" s="56"/>
      <c r="D99" s="57"/>
      <c r="E99" s="57"/>
      <c r="F99" s="57"/>
      <c r="G99" s="57"/>
      <c r="H99" s="57"/>
      <c r="I99" s="57"/>
      <c r="J99" s="57"/>
      <c r="K99" s="59" t="str">
        <f t="shared" si="6"/>
        <v>0.00 (0.00 – 0.00)</v>
      </c>
      <c r="L99" s="16" t="str">
        <f t="shared" si="7"/>
        <v>0.00
(0.00 – 0.00)</v>
      </c>
      <c r="M99" s="57"/>
      <c r="N99" s="59"/>
      <c r="O99" s="16"/>
    </row>
    <row r="100" spans="3:15" ht="15" hidden="1" customHeight="1" x14ac:dyDescent="0.25">
      <c r="C100" s="56"/>
      <c r="D100" s="57"/>
      <c r="E100" s="57"/>
      <c r="F100" s="57"/>
      <c r="G100" s="57"/>
      <c r="H100" s="57"/>
      <c r="I100" s="57"/>
      <c r="J100" s="57"/>
      <c r="K100" s="59" t="str">
        <f t="shared" si="6"/>
        <v>0.00 (0.00 – 0.00)</v>
      </c>
      <c r="L100" s="16" t="str">
        <f t="shared" si="7"/>
        <v>0.00
(0.00 – 0.00)</v>
      </c>
      <c r="M100" s="57"/>
      <c r="N100" s="59"/>
      <c r="O100" s="16"/>
    </row>
    <row r="101" spans="3:15" ht="15" hidden="1" customHeight="1" x14ac:dyDescent="0.25">
      <c r="C101" s="56"/>
      <c r="D101" s="57"/>
      <c r="E101" s="57"/>
      <c r="F101" s="57"/>
      <c r="G101" s="57"/>
      <c r="H101" s="57"/>
      <c r="I101" s="57"/>
      <c r="J101" s="57"/>
      <c r="K101" s="59" t="str">
        <f t="shared" si="6"/>
        <v>0.00 (0.00 – 0.00)</v>
      </c>
      <c r="L101" s="16" t="str">
        <f t="shared" si="7"/>
        <v>0.00
(0.00 – 0.00)</v>
      </c>
      <c r="M101" s="57"/>
      <c r="N101" s="59"/>
      <c r="O101" s="16"/>
    </row>
    <row r="102" spans="3:15" ht="15" hidden="1" customHeight="1" x14ac:dyDescent="0.25">
      <c r="C102" s="56"/>
      <c r="D102" s="57"/>
      <c r="E102" s="57"/>
      <c r="F102" s="57"/>
      <c r="G102" s="57"/>
      <c r="H102" s="57"/>
      <c r="I102" s="57"/>
      <c r="J102" s="57"/>
      <c r="K102" s="59" t="str">
        <f t="shared" si="6"/>
        <v>0.00 (0.00 – 0.00)</v>
      </c>
      <c r="L102" s="16" t="str">
        <f t="shared" si="7"/>
        <v>0.00
(0.00 – 0.00)</v>
      </c>
      <c r="M102" s="57"/>
      <c r="N102" s="59"/>
      <c r="O102" s="16"/>
    </row>
    <row r="103" spans="3:15" ht="15" hidden="1" customHeight="1" x14ac:dyDescent="0.25">
      <c r="C103" s="56"/>
      <c r="D103" s="57"/>
      <c r="E103" s="57"/>
      <c r="F103" s="57"/>
      <c r="G103" s="57"/>
      <c r="H103" s="57"/>
      <c r="I103" s="57"/>
      <c r="J103" s="57"/>
      <c r="K103" s="59" t="str">
        <f t="shared" si="6"/>
        <v>0.00 (0.00 – 0.00)</v>
      </c>
      <c r="L103" s="16" t="str">
        <f t="shared" si="7"/>
        <v>0.00
(0.00 – 0.00)</v>
      </c>
      <c r="M103" s="57"/>
      <c r="N103" s="59"/>
      <c r="O103" s="16"/>
    </row>
    <row r="104" spans="3:15" ht="15" hidden="1" customHeight="1" x14ac:dyDescent="0.25">
      <c r="C104" s="56"/>
      <c r="D104" s="57"/>
      <c r="E104" s="57"/>
      <c r="F104" s="57"/>
      <c r="G104" s="57"/>
      <c r="H104" s="57"/>
      <c r="I104" s="57"/>
      <c r="J104" s="57"/>
      <c r="K104" s="59" t="str">
        <f t="shared" si="6"/>
        <v>0.00 (0.00 – 0.00)</v>
      </c>
      <c r="L104" s="16" t="str">
        <f t="shared" si="7"/>
        <v>0.00
(0.00 – 0.00)</v>
      </c>
      <c r="M104" s="57"/>
      <c r="N104" s="59"/>
      <c r="O104" s="16"/>
    </row>
    <row r="105" spans="3:15" ht="15" hidden="1" customHeight="1" x14ac:dyDescent="0.25">
      <c r="C105" s="56"/>
      <c r="D105" s="57"/>
      <c r="E105" s="57"/>
      <c r="F105" s="57"/>
      <c r="G105" s="57"/>
      <c r="H105" s="57"/>
      <c r="I105" s="57"/>
      <c r="J105" s="57"/>
      <c r="K105" s="59" t="str">
        <f t="shared" si="6"/>
        <v>0.00 (0.00 – 0.00)</v>
      </c>
      <c r="L105" s="16" t="str">
        <f t="shared" si="7"/>
        <v>0.00
(0.00 – 0.00)</v>
      </c>
      <c r="M105" s="57"/>
      <c r="N105" s="59"/>
      <c r="O105" s="16"/>
    </row>
    <row r="106" spans="3:15" ht="15" hidden="1" customHeight="1" x14ac:dyDescent="0.25">
      <c r="C106" s="56"/>
      <c r="D106" s="57"/>
      <c r="E106" s="57"/>
      <c r="F106" s="57"/>
      <c r="G106" s="57"/>
      <c r="H106" s="57"/>
      <c r="I106" s="57"/>
      <c r="J106" s="57"/>
      <c r="K106" s="59" t="str">
        <f t="shared" si="6"/>
        <v>0.00 (0.00 – 0.00)</v>
      </c>
      <c r="L106" s="16" t="str">
        <f t="shared" si="7"/>
        <v>0.00
(0.00 – 0.00)</v>
      </c>
      <c r="M106" s="57"/>
      <c r="N106" s="59"/>
      <c r="O106" s="16"/>
    </row>
    <row r="107" spans="3:15" ht="15" hidden="1" customHeight="1" x14ac:dyDescent="0.25">
      <c r="C107" s="56"/>
      <c r="D107" s="57"/>
      <c r="E107" s="57"/>
      <c r="F107" s="57"/>
      <c r="G107" s="57"/>
      <c r="H107" s="57"/>
      <c r="I107" s="57"/>
      <c r="J107" s="57"/>
      <c r="K107" s="59" t="str">
        <f t="shared" si="6"/>
        <v>0.00 (0.00 – 0.00)</v>
      </c>
      <c r="L107" s="16" t="str">
        <f t="shared" si="7"/>
        <v>0.00
(0.00 – 0.00)</v>
      </c>
      <c r="M107" s="57"/>
      <c r="N107" s="59"/>
      <c r="O107" s="16"/>
    </row>
    <row r="108" spans="3:15" ht="15" hidden="1" customHeight="1" x14ac:dyDescent="0.25">
      <c r="C108" s="56"/>
      <c r="D108" s="57"/>
      <c r="E108" s="57"/>
      <c r="F108" s="57"/>
      <c r="G108" s="57"/>
      <c r="H108" s="57"/>
      <c r="I108" s="57"/>
      <c r="J108" s="57"/>
      <c r="K108" s="59" t="str">
        <f t="shared" si="6"/>
        <v>0.00 (0.00 – 0.00)</v>
      </c>
      <c r="L108" s="16" t="str">
        <f t="shared" si="7"/>
        <v>0.00
(0.00 – 0.00)</v>
      </c>
      <c r="M108" s="57"/>
      <c r="N108" s="59"/>
      <c r="O108" s="16"/>
    </row>
    <row r="109" spans="3:15" ht="15" hidden="1" customHeight="1" x14ac:dyDescent="0.25">
      <c r="C109" s="56"/>
      <c r="D109" s="57"/>
      <c r="E109" s="57"/>
      <c r="F109" s="57"/>
      <c r="G109" s="57"/>
      <c r="H109" s="57"/>
      <c r="I109" s="57"/>
      <c r="J109" s="57"/>
      <c r="K109" s="59" t="str">
        <f t="shared" si="6"/>
        <v>0.00 (0.00 – 0.00)</v>
      </c>
      <c r="L109" s="16" t="str">
        <f t="shared" si="7"/>
        <v>0.00
(0.00 – 0.00)</v>
      </c>
      <c r="M109" s="57"/>
      <c r="N109" s="59"/>
      <c r="O109" s="16"/>
    </row>
    <row r="110" spans="3:15" ht="15" hidden="1" customHeight="1" x14ac:dyDescent="0.25">
      <c r="C110" s="56"/>
      <c r="D110" s="57"/>
      <c r="E110" s="57"/>
      <c r="F110" s="57"/>
      <c r="G110" s="57"/>
      <c r="H110" s="57"/>
      <c r="I110" s="57"/>
      <c r="J110" s="57"/>
      <c r="K110" s="59" t="str">
        <f t="shared" si="6"/>
        <v>0.00 (0.00 – 0.00)</v>
      </c>
      <c r="L110" s="16" t="str">
        <f t="shared" si="7"/>
        <v>0.00
(0.00 – 0.00)</v>
      </c>
      <c r="M110" s="57"/>
      <c r="N110" s="59"/>
      <c r="O110" s="16"/>
    </row>
    <row r="111" spans="3:15" ht="15" hidden="1" customHeight="1" x14ac:dyDescent="0.25">
      <c r="C111" s="56"/>
      <c r="D111" s="57"/>
      <c r="E111" s="57"/>
      <c r="F111" s="57"/>
      <c r="G111" s="57"/>
      <c r="H111" s="57"/>
      <c r="I111" s="57"/>
      <c r="J111" s="57"/>
      <c r="K111" s="59" t="str">
        <f t="shared" si="6"/>
        <v>0.00 (0.00 – 0.00)</v>
      </c>
      <c r="L111" s="16" t="str">
        <f t="shared" si="7"/>
        <v>0.00
(0.00 – 0.00)</v>
      </c>
      <c r="M111" s="57"/>
      <c r="N111" s="59"/>
      <c r="O111" s="16"/>
    </row>
    <row r="112" spans="3:15" ht="15" hidden="1" customHeight="1" x14ac:dyDescent="0.25">
      <c r="C112" s="56"/>
      <c r="D112" s="57"/>
      <c r="E112" s="57"/>
      <c r="F112" s="57"/>
      <c r="G112" s="57"/>
      <c r="H112" s="57"/>
      <c r="I112" s="57"/>
      <c r="J112" s="57"/>
      <c r="K112" s="59" t="str">
        <f t="shared" si="6"/>
        <v>0.00 (0.00 – 0.00)</v>
      </c>
      <c r="L112" s="16" t="str">
        <f t="shared" si="7"/>
        <v>0.00
(0.00 – 0.00)</v>
      </c>
      <c r="M112" s="57"/>
      <c r="N112" s="59"/>
      <c r="O112" s="16"/>
    </row>
    <row r="113" spans="3:15" ht="15" hidden="1" customHeight="1" x14ac:dyDescent="0.25">
      <c r="C113" s="56"/>
      <c r="D113" s="57"/>
      <c r="E113" s="57"/>
      <c r="F113" s="57"/>
      <c r="G113" s="57"/>
      <c r="H113" s="57"/>
      <c r="I113" s="57"/>
      <c r="J113" s="57"/>
      <c r="K113" s="59" t="str">
        <f t="shared" si="6"/>
        <v>0.00 (0.00 – 0.00)</v>
      </c>
      <c r="L113" s="16" t="str">
        <f t="shared" si="7"/>
        <v>0.00
(0.00 – 0.00)</v>
      </c>
      <c r="M113" s="57"/>
      <c r="N113" s="59"/>
      <c r="O113" s="16"/>
    </row>
    <row r="114" spans="3:15" ht="15" hidden="1" customHeight="1" x14ac:dyDescent="0.25">
      <c r="C114" s="56"/>
      <c r="D114" s="57"/>
      <c r="E114" s="57"/>
      <c r="F114" s="57"/>
      <c r="G114" s="57"/>
      <c r="H114" s="57"/>
      <c r="I114" s="57"/>
      <c r="J114" s="57"/>
      <c r="K114" s="59" t="str">
        <f t="shared" si="6"/>
        <v>0.00 (0.00 – 0.00)</v>
      </c>
      <c r="L114" s="16" t="str">
        <f t="shared" si="7"/>
        <v>0.00
(0.00 – 0.00)</v>
      </c>
      <c r="M114" s="57"/>
      <c r="N114" s="59"/>
      <c r="O114" s="16"/>
    </row>
    <row r="115" spans="3:15" ht="15" hidden="1" customHeight="1" x14ac:dyDescent="0.25">
      <c r="C115" s="56"/>
      <c r="D115" s="57"/>
      <c r="E115" s="57"/>
      <c r="F115" s="57"/>
      <c r="G115" s="57"/>
      <c r="H115" s="57"/>
      <c r="I115" s="57"/>
      <c r="J115" s="57"/>
      <c r="K115" s="59" t="str">
        <f t="shared" si="6"/>
        <v>0.00 (0.00 – 0.00)</v>
      </c>
      <c r="L115" s="16" t="str">
        <f t="shared" si="7"/>
        <v>0.00
(0.00 – 0.00)</v>
      </c>
      <c r="M115" s="57"/>
      <c r="N115" s="59"/>
      <c r="O115" s="16"/>
    </row>
    <row r="116" spans="3:15" ht="15" hidden="1" customHeight="1" x14ac:dyDescent="0.25">
      <c r="C116" s="56"/>
      <c r="D116" s="57"/>
      <c r="E116" s="57"/>
      <c r="F116" s="57"/>
      <c r="G116" s="57"/>
      <c r="H116" s="57"/>
      <c r="I116" s="57"/>
      <c r="J116" s="57"/>
      <c r="K116" s="59" t="str">
        <f t="shared" si="6"/>
        <v>0.00 (0.00 – 0.00)</v>
      </c>
      <c r="L116" s="16" t="str">
        <f t="shared" si="7"/>
        <v>0.00
(0.00 – 0.00)</v>
      </c>
      <c r="M116" s="57"/>
      <c r="N116" s="59"/>
      <c r="O116" s="16"/>
    </row>
    <row r="117" spans="3:15" ht="15" hidden="1" customHeight="1" x14ac:dyDescent="0.25">
      <c r="C117" s="56"/>
      <c r="D117" s="57"/>
      <c r="E117" s="57"/>
      <c r="F117" s="57"/>
      <c r="G117" s="57"/>
      <c r="H117" s="57"/>
      <c r="I117" s="57"/>
      <c r="J117" s="57"/>
      <c r="K117" s="59" t="str">
        <f t="shared" si="6"/>
        <v>0.00 (0.00 – 0.00)</v>
      </c>
      <c r="L117" s="16" t="str">
        <f t="shared" si="7"/>
        <v>0.00
(0.00 – 0.00)</v>
      </c>
      <c r="M117" s="57"/>
      <c r="N117" s="59"/>
      <c r="O117" s="16"/>
    </row>
    <row r="118" spans="3:15" ht="15" hidden="1" customHeight="1" x14ac:dyDescent="0.25">
      <c r="C118" s="56"/>
      <c r="D118" s="57"/>
      <c r="E118" s="57"/>
      <c r="F118" s="57"/>
      <c r="G118" s="57"/>
      <c r="H118" s="57"/>
      <c r="I118" s="57"/>
      <c r="J118" s="57"/>
      <c r="K118" s="59" t="str">
        <f t="shared" si="6"/>
        <v>0.00 (0.00 – 0.00)</v>
      </c>
      <c r="L118" s="16" t="str">
        <f t="shared" si="7"/>
        <v>0.00
(0.00 – 0.00)</v>
      </c>
      <c r="M118" s="57"/>
      <c r="N118" s="59"/>
      <c r="O118" s="16"/>
    </row>
    <row r="119" spans="3:15" ht="15" hidden="1" customHeight="1" x14ac:dyDescent="0.25">
      <c r="C119" s="56"/>
      <c r="D119" s="57"/>
      <c r="E119" s="57"/>
      <c r="F119" s="57"/>
      <c r="G119" s="57"/>
      <c r="H119" s="57"/>
      <c r="I119" s="57"/>
      <c r="J119" s="57"/>
      <c r="K119" s="59" t="str">
        <f t="shared" si="6"/>
        <v>0.00 (0.00 – 0.00)</v>
      </c>
      <c r="L119" s="16" t="str">
        <f t="shared" si="7"/>
        <v>0.00
(0.00 – 0.00)</v>
      </c>
      <c r="M119" s="57"/>
      <c r="N119" s="59"/>
      <c r="O119" s="16"/>
    </row>
    <row r="120" spans="3:15" ht="15" hidden="1" customHeight="1" x14ac:dyDescent="0.25">
      <c r="C120" s="56"/>
      <c r="D120" s="57"/>
      <c r="E120" s="57"/>
      <c r="F120" s="57"/>
      <c r="G120" s="57"/>
      <c r="H120" s="57"/>
      <c r="I120" s="57"/>
      <c r="J120" s="57"/>
      <c r="K120" s="59" t="str">
        <f t="shared" si="6"/>
        <v>0.00 (0.00 – 0.00)</v>
      </c>
      <c r="L120" s="16" t="str">
        <f t="shared" si="7"/>
        <v>0.00
(0.00 – 0.00)</v>
      </c>
      <c r="M120" s="57"/>
      <c r="N120" s="59"/>
      <c r="O120" s="16"/>
    </row>
    <row r="121" spans="3:15" ht="15" hidden="1" customHeight="1" x14ac:dyDescent="0.25">
      <c r="C121" s="56"/>
      <c r="D121" s="57"/>
      <c r="E121" s="57"/>
      <c r="F121" s="57"/>
      <c r="G121" s="57"/>
      <c r="H121" s="57"/>
      <c r="I121" s="57"/>
      <c r="J121" s="57"/>
      <c r="K121" s="59" t="str">
        <f t="shared" si="6"/>
        <v>0.00 (0.00 – 0.00)</v>
      </c>
      <c r="L121" s="16" t="str">
        <f t="shared" si="7"/>
        <v>0.00
(0.00 – 0.00)</v>
      </c>
      <c r="M121" s="57"/>
      <c r="N121" s="59"/>
      <c r="O121" s="16"/>
    </row>
    <row r="122" spans="3:15" ht="15" hidden="1" customHeight="1" x14ac:dyDescent="0.25">
      <c r="C122" s="56"/>
      <c r="D122" s="57"/>
      <c r="E122" s="57"/>
      <c r="F122" s="57"/>
      <c r="G122" s="57"/>
      <c r="H122" s="57"/>
      <c r="I122" s="57"/>
      <c r="J122" s="57"/>
      <c r="K122" s="59" t="str">
        <f t="shared" si="6"/>
        <v>0.00 (0.00 – 0.00)</v>
      </c>
      <c r="L122" s="16" t="str">
        <f t="shared" si="7"/>
        <v>0.00
(0.00 – 0.00)</v>
      </c>
      <c r="M122" s="57"/>
      <c r="N122" s="59"/>
      <c r="O122" s="16"/>
    </row>
    <row r="123" spans="3:15" ht="15" hidden="1" customHeight="1" x14ac:dyDescent="0.25">
      <c r="C123" s="56"/>
      <c r="D123" s="57"/>
      <c r="E123" s="57"/>
      <c r="F123" s="57"/>
      <c r="G123" s="57"/>
      <c r="H123" s="57"/>
      <c r="I123" s="57"/>
      <c r="J123" s="57"/>
      <c r="K123" s="59" t="str">
        <f t="shared" si="6"/>
        <v>0.00 (0.00 – 0.00)</v>
      </c>
      <c r="L123" s="16" t="str">
        <f t="shared" si="7"/>
        <v>0.00
(0.00 – 0.00)</v>
      </c>
      <c r="M123" s="57"/>
      <c r="N123" s="59"/>
      <c r="O123" s="16"/>
    </row>
    <row r="124" spans="3:15" ht="15" hidden="1" customHeight="1" x14ac:dyDescent="0.25">
      <c r="C124" s="56"/>
      <c r="D124" s="57"/>
      <c r="E124" s="57"/>
      <c r="F124" s="57"/>
      <c r="G124" s="57"/>
      <c r="H124" s="57"/>
      <c r="I124" s="57"/>
      <c r="J124" s="57"/>
      <c r="K124" s="59" t="str">
        <f t="shared" si="6"/>
        <v>0.00 (0.00 – 0.00)</v>
      </c>
      <c r="L124" s="16" t="str">
        <f t="shared" si="7"/>
        <v>0.00
(0.00 – 0.00)</v>
      </c>
      <c r="M124" s="57"/>
      <c r="N124" s="59"/>
      <c r="O124" s="16"/>
    </row>
    <row r="125" spans="3:15" ht="15" hidden="1" customHeight="1" x14ac:dyDescent="0.25">
      <c r="C125" s="56"/>
      <c r="D125" s="57"/>
      <c r="E125" s="57"/>
      <c r="F125" s="57"/>
      <c r="G125" s="57"/>
      <c r="H125" s="57"/>
      <c r="I125" s="57"/>
      <c r="J125" s="57"/>
      <c r="K125" s="59" t="str">
        <f t="shared" si="6"/>
        <v>0.00 (0.00 – 0.00)</v>
      </c>
      <c r="L125" s="16" t="str">
        <f t="shared" si="7"/>
        <v>0.00
(0.00 – 0.00)</v>
      </c>
      <c r="M125" s="57"/>
      <c r="N125" s="59"/>
      <c r="O125" s="16"/>
    </row>
    <row r="126" spans="3:15" ht="15" hidden="1" customHeight="1" x14ac:dyDescent="0.25">
      <c r="C126" s="56"/>
      <c r="D126" s="57"/>
      <c r="E126" s="57"/>
      <c r="F126" s="57"/>
      <c r="G126" s="57"/>
      <c r="H126" s="57"/>
      <c r="I126" s="57"/>
      <c r="J126" s="57"/>
      <c r="K126" s="59" t="str">
        <f t="shared" si="6"/>
        <v>0.00 (0.00 – 0.00)</v>
      </c>
      <c r="L126" s="16" t="str">
        <f t="shared" si="7"/>
        <v>0.00
(0.00 – 0.00)</v>
      </c>
      <c r="M126" s="57"/>
      <c r="N126" s="59"/>
      <c r="O126" s="16"/>
    </row>
    <row r="127" spans="3:15" ht="15" hidden="1" customHeight="1" x14ac:dyDescent="0.25">
      <c r="C127" s="56"/>
      <c r="D127" s="57"/>
      <c r="E127" s="57"/>
      <c r="F127" s="57"/>
      <c r="G127" s="57"/>
      <c r="H127" s="57"/>
      <c r="I127" s="57"/>
      <c r="J127" s="57"/>
      <c r="K127" s="59" t="str">
        <f t="shared" si="6"/>
        <v>0.00 (0.00 – 0.00)</v>
      </c>
      <c r="L127" s="16" t="str">
        <f t="shared" si="7"/>
        <v>0.00
(0.00 – 0.00)</v>
      </c>
      <c r="M127" s="57"/>
      <c r="N127" s="59"/>
      <c r="O127" s="16"/>
    </row>
    <row r="128" spans="3:15" ht="15" hidden="1" customHeight="1" x14ac:dyDescent="0.25">
      <c r="C128" s="56"/>
      <c r="D128" s="57"/>
      <c r="E128" s="57"/>
      <c r="F128" s="57"/>
      <c r="G128" s="57"/>
      <c r="H128" s="57"/>
      <c r="I128" s="57"/>
      <c r="J128" s="57"/>
      <c r="K128" s="59" t="str">
        <f t="shared" si="6"/>
        <v>0.00 (0.00 – 0.00)</v>
      </c>
      <c r="L128" s="16" t="str">
        <f t="shared" si="7"/>
        <v>0.00
(0.00 – 0.00)</v>
      </c>
      <c r="M128" s="57"/>
      <c r="N128" s="59"/>
      <c r="O128" s="16"/>
    </row>
    <row r="129" spans="3:15" ht="15" hidden="1" customHeight="1" x14ac:dyDescent="0.25">
      <c r="C129" s="56"/>
      <c r="D129" s="57"/>
      <c r="E129" s="57"/>
      <c r="F129" s="57"/>
      <c r="G129" s="57"/>
      <c r="H129" s="57"/>
      <c r="I129" s="57"/>
      <c r="J129" s="57"/>
      <c r="K129" s="59" t="str">
        <f t="shared" si="6"/>
        <v>0.00 (0.00 – 0.00)</v>
      </c>
      <c r="L129" s="16" t="str">
        <f t="shared" si="7"/>
        <v>0.00
(0.00 – 0.00)</v>
      </c>
      <c r="M129" s="57"/>
      <c r="N129" s="59"/>
      <c r="O129" s="16"/>
    </row>
    <row r="130" spans="3:15" ht="15" hidden="1" customHeight="1" x14ac:dyDescent="0.25">
      <c r="C130" s="56"/>
      <c r="D130" s="57"/>
      <c r="E130" s="57"/>
      <c r="F130" s="57"/>
      <c r="G130" s="57"/>
      <c r="H130" s="57"/>
      <c r="I130" s="57"/>
      <c r="J130" s="57"/>
      <c r="K130" s="59" t="str">
        <f t="shared" si="6"/>
        <v>0.00 (0.00 – 0.00)</v>
      </c>
      <c r="L130" s="16" t="str">
        <f t="shared" si="7"/>
        <v>0.00
(0.00 – 0.00)</v>
      </c>
      <c r="M130" s="57"/>
      <c r="N130" s="59"/>
      <c r="O130" s="16"/>
    </row>
    <row r="131" spans="3:15" ht="15" hidden="1" customHeight="1" x14ac:dyDescent="0.25">
      <c r="C131" s="56"/>
      <c r="D131" s="57"/>
      <c r="E131" s="57"/>
      <c r="F131" s="57"/>
      <c r="G131" s="57"/>
      <c r="H131" s="57"/>
      <c r="I131" s="57"/>
      <c r="J131" s="57"/>
      <c r="K131" s="59" t="str">
        <f t="shared" si="6"/>
        <v>0.00 (0.00 – 0.00)</v>
      </c>
      <c r="L131" s="16" t="str">
        <f t="shared" si="7"/>
        <v>0.00
(0.00 – 0.00)</v>
      </c>
      <c r="M131" s="57"/>
      <c r="N131" s="59"/>
      <c r="O131" s="16"/>
    </row>
    <row r="132" spans="3:15" ht="15" hidden="1" customHeight="1" x14ac:dyDescent="0.25">
      <c r="C132" s="56"/>
      <c r="D132" s="57"/>
      <c r="E132" s="57"/>
      <c r="F132" s="57"/>
      <c r="G132" s="57"/>
      <c r="H132" s="57"/>
      <c r="I132" s="57"/>
      <c r="J132" s="57"/>
      <c r="K132" s="59" t="str">
        <f t="shared" si="6"/>
        <v>0.00 (0.00 – 0.00)</v>
      </c>
      <c r="L132" s="16" t="str">
        <f t="shared" si="7"/>
        <v>0.00
(0.00 – 0.00)</v>
      </c>
      <c r="M132" s="57"/>
      <c r="N132" s="59"/>
      <c r="O132" s="16"/>
    </row>
    <row r="133" spans="3:15" ht="15" hidden="1" customHeight="1" x14ac:dyDescent="0.25">
      <c r="C133" s="56"/>
      <c r="D133" s="57"/>
      <c r="E133" s="57"/>
      <c r="F133" s="57"/>
      <c r="G133" s="57"/>
      <c r="H133" s="57"/>
      <c r="I133" s="57"/>
      <c r="J133" s="57"/>
      <c r="K133" s="59" t="str">
        <f t="shared" ref="K133:K196" si="8">CONCATENATE(TEXT(I133,"0.00")," (",TEXT(H133,"0.00")," – ",TEXT(J133,"0.00"),")")</f>
        <v>0.00 (0.00 – 0.00)</v>
      </c>
      <c r="L133" s="16" t="str">
        <f t="shared" si="7"/>
        <v>0.00
(0.00 – 0.00)</v>
      </c>
      <c r="M133" s="57"/>
      <c r="N133" s="59"/>
      <c r="O133" s="16"/>
    </row>
    <row r="134" spans="3:15" ht="15" hidden="1" customHeight="1" x14ac:dyDescent="0.25">
      <c r="C134" s="56"/>
      <c r="D134" s="57"/>
      <c r="E134" s="57"/>
      <c r="F134" s="57"/>
      <c r="G134" s="57"/>
      <c r="H134" s="57"/>
      <c r="I134" s="57"/>
      <c r="J134" s="57"/>
      <c r="K134" s="59" t="str">
        <f t="shared" si="8"/>
        <v>0.00 (0.00 – 0.00)</v>
      </c>
      <c r="L134" s="16" t="str">
        <f t="shared" ref="L134:L197" si="9">CONCATENATE(TEXT(I134,"0.00"),"
(",TEXT(H134,"0.00")," – ",TEXT(J134,"0.00"),")")</f>
        <v>0.00
(0.00 – 0.00)</v>
      </c>
      <c r="M134" s="57"/>
      <c r="N134" s="59"/>
      <c r="O134" s="16"/>
    </row>
    <row r="135" spans="3:15" ht="15" hidden="1" customHeight="1" x14ac:dyDescent="0.25">
      <c r="C135" s="56"/>
      <c r="D135" s="57"/>
      <c r="E135" s="57"/>
      <c r="F135" s="57"/>
      <c r="G135" s="57"/>
      <c r="H135" s="57"/>
      <c r="I135" s="57"/>
      <c r="J135" s="57"/>
      <c r="K135" s="59" t="str">
        <f t="shared" si="8"/>
        <v>0.00 (0.00 – 0.00)</v>
      </c>
      <c r="L135" s="16" t="str">
        <f t="shared" si="9"/>
        <v>0.00
(0.00 – 0.00)</v>
      </c>
      <c r="M135" s="57"/>
      <c r="N135" s="59"/>
      <c r="O135" s="16"/>
    </row>
    <row r="136" spans="3:15" ht="15" hidden="1" customHeight="1" x14ac:dyDescent="0.25">
      <c r="C136" s="56"/>
      <c r="D136" s="57"/>
      <c r="E136" s="57"/>
      <c r="F136" s="57"/>
      <c r="G136" s="57"/>
      <c r="H136" s="57"/>
      <c r="I136" s="57"/>
      <c r="J136" s="57"/>
      <c r="K136" s="59" t="str">
        <f t="shared" si="8"/>
        <v>0.00 (0.00 – 0.00)</v>
      </c>
      <c r="L136" s="16" t="str">
        <f t="shared" si="9"/>
        <v>0.00
(0.00 – 0.00)</v>
      </c>
      <c r="M136" s="57"/>
      <c r="N136" s="59"/>
      <c r="O136" s="16"/>
    </row>
    <row r="137" spans="3:15" ht="15" hidden="1" customHeight="1" x14ac:dyDescent="0.25">
      <c r="C137" s="56"/>
      <c r="D137" s="57"/>
      <c r="E137" s="57"/>
      <c r="F137" s="57"/>
      <c r="G137" s="57"/>
      <c r="H137" s="57"/>
      <c r="I137" s="57"/>
      <c r="J137" s="57"/>
      <c r="K137" s="59" t="str">
        <f t="shared" si="8"/>
        <v>0.00 (0.00 – 0.00)</v>
      </c>
      <c r="L137" s="16" t="str">
        <f t="shared" si="9"/>
        <v>0.00
(0.00 – 0.00)</v>
      </c>
      <c r="M137" s="57"/>
      <c r="N137" s="59"/>
      <c r="O137" s="16"/>
    </row>
    <row r="138" spans="3:15" ht="15" hidden="1" customHeight="1" x14ac:dyDescent="0.25">
      <c r="C138" s="56"/>
      <c r="D138" s="57"/>
      <c r="E138" s="57"/>
      <c r="F138" s="57"/>
      <c r="G138" s="57"/>
      <c r="H138" s="57"/>
      <c r="I138" s="57"/>
      <c r="J138" s="57"/>
      <c r="K138" s="59" t="str">
        <f t="shared" si="8"/>
        <v>0.00 (0.00 – 0.00)</v>
      </c>
      <c r="L138" s="16" t="str">
        <f t="shared" si="9"/>
        <v>0.00
(0.00 – 0.00)</v>
      </c>
      <c r="M138" s="57"/>
      <c r="N138" s="59"/>
      <c r="O138" s="16"/>
    </row>
    <row r="139" spans="3:15" ht="15" hidden="1" customHeight="1" x14ac:dyDescent="0.25">
      <c r="C139" s="56"/>
      <c r="D139" s="57"/>
      <c r="E139" s="57"/>
      <c r="F139" s="57"/>
      <c r="G139" s="57"/>
      <c r="H139" s="57"/>
      <c r="I139" s="57"/>
      <c r="J139" s="57"/>
      <c r="K139" s="59" t="str">
        <f t="shared" si="8"/>
        <v>0.00 (0.00 – 0.00)</v>
      </c>
      <c r="L139" s="16" t="str">
        <f t="shared" si="9"/>
        <v>0.00
(0.00 – 0.00)</v>
      </c>
      <c r="M139" s="57"/>
      <c r="N139" s="59"/>
      <c r="O139" s="16"/>
    </row>
    <row r="140" spans="3:15" ht="15" hidden="1" customHeight="1" x14ac:dyDescent="0.25">
      <c r="C140" s="56"/>
      <c r="D140" s="57"/>
      <c r="E140" s="57"/>
      <c r="F140" s="57"/>
      <c r="G140" s="57"/>
      <c r="H140" s="57"/>
      <c r="I140" s="57"/>
      <c r="J140" s="57"/>
      <c r="K140" s="59" t="str">
        <f t="shared" si="8"/>
        <v>0.00 (0.00 – 0.00)</v>
      </c>
      <c r="L140" s="16" t="str">
        <f t="shared" si="9"/>
        <v>0.00
(0.00 – 0.00)</v>
      </c>
      <c r="M140" s="57"/>
      <c r="N140" s="59"/>
      <c r="O140" s="16"/>
    </row>
    <row r="141" spans="3:15" ht="15" hidden="1" customHeight="1" x14ac:dyDescent="0.25">
      <c r="C141" s="56"/>
      <c r="D141" s="57"/>
      <c r="E141" s="57"/>
      <c r="F141" s="57"/>
      <c r="G141" s="57"/>
      <c r="H141" s="57"/>
      <c r="I141" s="57"/>
      <c r="J141" s="57"/>
      <c r="K141" s="59" t="str">
        <f t="shared" si="8"/>
        <v>0.00 (0.00 – 0.00)</v>
      </c>
      <c r="L141" s="16" t="str">
        <f t="shared" si="9"/>
        <v>0.00
(0.00 – 0.00)</v>
      </c>
      <c r="M141" s="57"/>
      <c r="N141" s="59"/>
      <c r="O141" s="16"/>
    </row>
    <row r="142" spans="3:15" ht="15" hidden="1" customHeight="1" x14ac:dyDescent="0.25">
      <c r="C142" s="56"/>
      <c r="D142" s="57"/>
      <c r="E142" s="57"/>
      <c r="F142" s="57"/>
      <c r="G142" s="57"/>
      <c r="H142" s="57"/>
      <c r="I142" s="57"/>
      <c r="J142" s="57"/>
      <c r="K142" s="59" t="str">
        <f t="shared" si="8"/>
        <v>0.00 (0.00 – 0.00)</v>
      </c>
      <c r="L142" s="16" t="str">
        <f t="shared" si="9"/>
        <v>0.00
(0.00 – 0.00)</v>
      </c>
      <c r="M142" s="57"/>
      <c r="N142" s="59"/>
      <c r="O142" s="16"/>
    </row>
    <row r="143" spans="3:15" ht="15" hidden="1" customHeight="1" x14ac:dyDescent="0.25">
      <c r="C143" s="56"/>
      <c r="D143" s="57"/>
      <c r="E143" s="57"/>
      <c r="F143" s="57"/>
      <c r="G143" s="57"/>
      <c r="H143" s="57"/>
      <c r="I143" s="57"/>
      <c r="J143" s="57"/>
      <c r="K143" s="59" t="str">
        <f t="shared" si="8"/>
        <v>0.00 (0.00 – 0.00)</v>
      </c>
      <c r="L143" s="16" t="str">
        <f t="shared" si="9"/>
        <v>0.00
(0.00 – 0.00)</v>
      </c>
      <c r="M143" s="57"/>
      <c r="N143" s="59"/>
      <c r="O143" s="16"/>
    </row>
    <row r="144" spans="3:15" ht="15" hidden="1" customHeight="1" x14ac:dyDescent="0.25">
      <c r="C144" s="56"/>
      <c r="D144" s="57"/>
      <c r="E144" s="57"/>
      <c r="F144" s="57"/>
      <c r="G144" s="57"/>
      <c r="H144" s="57"/>
      <c r="I144" s="57"/>
      <c r="J144" s="57"/>
      <c r="K144" s="59" t="str">
        <f t="shared" si="8"/>
        <v>0.00 (0.00 – 0.00)</v>
      </c>
      <c r="L144" s="16" t="str">
        <f t="shared" si="9"/>
        <v>0.00
(0.00 – 0.00)</v>
      </c>
      <c r="M144" s="57"/>
      <c r="N144" s="59"/>
      <c r="O144" s="16"/>
    </row>
    <row r="145" spans="3:15" ht="15" hidden="1" customHeight="1" x14ac:dyDescent="0.25">
      <c r="C145" s="56"/>
      <c r="D145" s="57"/>
      <c r="E145" s="57"/>
      <c r="F145" s="57"/>
      <c r="G145" s="57"/>
      <c r="H145" s="57"/>
      <c r="I145" s="57"/>
      <c r="J145" s="57"/>
      <c r="K145" s="59" t="str">
        <f t="shared" si="8"/>
        <v>0.00 (0.00 – 0.00)</v>
      </c>
      <c r="L145" s="16" t="str">
        <f t="shared" si="9"/>
        <v>0.00
(0.00 – 0.00)</v>
      </c>
      <c r="M145" s="57"/>
      <c r="N145" s="59"/>
      <c r="O145" s="16"/>
    </row>
    <row r="146" spans="3:15" ht="15" hidden="1" customHeight="1" x14ac:dyDescent="0.25">
      <c r="C146" s="56"/>
      <c r="D146" s="57"/>
      <c r="E146" s="57"/>
      <c r="F146" s="57"/>
      <c r="G146" s="57"/>
      <c r="H146" s="57"/>
      <c r="I146" s="57"/>
      <c r="J146" s="57"/>
      <c r="K146" s="59" t="str">
        <f t="shared" si="8"/>
        <v>0.00 (0.00 – 0.00)</v>
      </c>
      <c r="L146" s="16" t="str">
        <f t="shared" si="9"/>
        <v>0.00
(0.00 – 0.00)</v>
      </c>
      <c r="M146" s="57"/>
      <c r="N146" s="59"/>
      <c r="O146" s="16"/>
    </row>
    <row r="147" spans="3:15" ht="15" hidden="1" customHeight="1" x14ac:dyDescent="0.25">
      <c r="C147" s="56"/>
      <c r="D147" s="57"/>
      <c r="E147" s="57"/>
      <c r="F147" s="57"/>
      <c r="G147" s="57"/>
      <c r="H147" s="57"/>
      <c r="I147" s="57"/>
      <c r="J147" s="57"/>
      <c r="K147" s="59" t="str">
        <f t="shared" si="8"/>
        <v>0.00 (0.00 – 0.00)</v>
      </c>
      <c r="L147" s="16" t="str">
        <f t="shared" si="9"/>
        <v>0.00
(0.00 – 0.00)</v>
      </c>
      <c r="M147" s="57"/>
      <c r="N147" s="59"/>
      <c r="O147" s="16"/>
    </row>
    <row r="148" spans="3:15" ht="15" hidden="1" customHeight="1" x14ac:dyDescent="0.25">
      <c r="C148" s="56"/>
      <c r="D148" s="57"/>
      <c r="E148" s="57"/>
      <c r="F148" s="57"/>
      <c r="G148" s="57"/>
      <c r="H148" s="57"/>
      <c r="I148" s="57"/>
      <c r="J148" s="57"/>
      <c r="K148" s="59" t="str">
        <f t="shared" si="8"/>
        <v>0.00 (0.00 – 0.00)</v>
      </c>
      <c r="L148" s="16" t="str">
        <f t="shared" si="9"/>
        <v>0.00
(0.00 – 0.00)</v>
      </c>
      <c r="M148" s="57"/>
      <c r="N148" s="59"/>
      <c r="O148" s="16"/>
    </row>
    <row r="149" spans="3:15" ht="15" hidden="1" customHeight="1" x14ac:dyDescent="0.25">
      <c r="C149" s="56"/>
      <c r="D149" s="57"/>
      <c r="E149" s="57"/>
      <c r="F149" s="57"/>
      <c r="G149" s="57"/>
      <c r="H149" s="57"/>
      <c r="I149" s="57"/>
      <c r="J149" s="57"/>
      <c r="K149" s="59" t="str">
        <f t="shared" si="8"/>
        <v>0.00 (0.00 – 0.00)</v>
      </c>
      <c r="L149" s="16" t="str">
        <f t="shared" si="9"/>
        <v>0.00
(0.00 – 0.00)</v>
      </c>
      <c r="M149" s="57"/>
      <c r="N149" s="59"/>
      <c r="O149" s="16"/>
    </row>
    <row r="150" spans="3:15" ht="15" hidden="1" customHeight="1" x14ac:dyDescent="0.25">
      <c r="C150" s="56"/>
      <c r="D150" s="57"/>
      <c r="E150" s="57"/>
      <c r="F150" s="57"/>
      <c r="G150" s="57"/>
      <c r="H150" s="57"/>
      <c r="I150" s="57"/>
      <c r="J150" s="57"/>
      <c r="K150" s="59" t="str">
        <f t="shared" si="8"/>
        <v>0.00 (0.00 – 0.00)</v>
      </c>
      <c r="L150" s="16" t="str">
        <f t="shared" si="9"/>
        <v>0.00
(0.00 – 0.00)</v>
      </c>
      <c r="M150" s="57"/>
      <c r="N150" s="59"/>
      <c r="O150" s="16"/>
    </row>
    <row r="151" spans="3:15" ht="15" hidden="1" customHeight="1" x14ac:dyDescent="0.25">
      <c r="C151" s="56"/>
      <c r="D151" s="57"/>
      <c r="E151" s="57"/>
      <c r="F151" s="57"/>
      <c r="G151" s="57"/>
      <c r="H151" s="57"/>
      <c r="I151" s="57"/>
      <c r="J151" s="57"/>
      <c r="K151" s="59" t="str">
        <f t="shared" si="8"/>
        <v>0.00 (0.00 – 0.00)</v>
      </c>
      <c r="L151" s="16" t="str">
        <f t="shared" si="9"/>
        <v>0.00
(0.00 – 0.00)</v>
      </c>
      <c r="M151" s="57"/>
      <c r="N151" s="59"/>
      <c r="O151" s="16"/>
    </row>
    <row r="152" spans="3:15" ht="15" hidden="1" customHeight="1" x14ac:dyDescent="0.25">
      <c r="C152" s="56"/>
      <c r="D152" s="57"/>
      <c r="E152" s="57"/>
      <c r="F152" s="57"/>
      <c r="G152" s="57"/>
      <c r="H152" s="57"/>
      <c r="I152" s="57"/>
      <c r="J152" s="57"/>
      <c r="K152" s="59" t="str">
        <f t="shared" si="8"/>
        <v>0.00 (0.00 – 0.00)</v>
      </c>
      <c r="L152" s="16" t="str">
        <f t="shared" si="9"/>
        <v>0.00
(0.00 – 0.00)</v>
      </c>
      <c r="M152" s="57"/>
      <c r="N152" s="59"/>
      <c r="O152" s="16"/>
    </row>
    <row r="153" spans="3:15" ht="15" hidden="1" customHeight="1" x14ac:dyDescent="0.25">
      <c r="C153" s="56"/>
      <c r="D153" s="57"/>
      <c r="E153" s="57"/>
      <c r="F153" s="57"/>
      <c r="G153" s="57"/>
      <c r="H153" s="57"/>
      <c r="I153" s="57"/>
      <c r="J153" s="57"/>
      <c r="K153" s="59" t="str">
        <f t="shared" si="8"/>
        <v>0.00 (0.00 – 0.00)</v>
      </c>
      <c r="L153" s="16" t="str">
        <f t="shared" si="9"/>
        <v>0.00
(0.00 – 0.00)</v>
      </c>
      <c r="M153" s="57"/>
      <c r="N153" s="59"/>
      <c r="O153" s="16"/>
    </row>
    <row r="154" spans="3:15" ht="15" hidden="1" customHeight="1" x14ac:dyDescent="0.25">
      <c r="C154" s="56"/>
      <c r="D154" s="57"/>
      <c r="E154" s="57"/>
      <c r="F154" s="57"/>
      <c r="G154" s="57"/>
      <c r="H154" s="57"/>
      <c r="I154" s="57"/>
      <c r="J154" s="57"/>
      <c r="K154" s="59" t="str">
        <f t="shared" si="8"/>
        <v>0.00 (0.00 – 0.00)</v>
      </c>
      <c r="L154" s="16" t="str">
        <f t="shared" si="9"/>
        <v>0.00
(0.00 – 0.00)</v>
      </c>
      <c r="M154" s="57"/>
      <c r="N154" s="59"/>
      <c r="O154" s="16"/>
    </row>
    <row r="155" spans="3:15" ht="15" hidden="1" customHeight="1" x14ac:dyDescent="0.25">
      <c r="C155" s="56"/>
      <c r="D155" s="57"/>
      <c r="E155" s="57"/>
      <c r="F155" s="57"/>
      <c r="G155" s="57"/>
      <c r="H155" s="57"/>
      <c r="I155" s="57"/>
      <c r="J155" s="57"/>
      <c r="K155" s="59" t="str">
        <f t="shared" si="8"/>
        <v>0.00 (0.00 – 0.00)</v>
      </c>
      <c r="L155" s="16" t="str">
        <f t="shared" si="9"/>
        <v>0.00
(0.00 – 0.00)</v>
      </c>
      <c r="M155" s="57"/>
      <c r="N155" s="59"/>
      <c r="O155" s="16"/>
    </row>
    <row r="156" spans="3:15" ht="15" hidden="1" customHeight="1" x14ac:dyDescent="0.25">
      <c r="C156" s="56"/>
      <c r="D156" s="57"/>
      <c r="E156" s="57"/>
      <c r="F156" s="57"/>
      <c r="G156" s="57"/>
      <c r="H156" s="57"/>
      <c r="I156" s="57"/>
      <c r="J156" s="57"/>
      <c r="K156" s="59" t="str">
        <f t="shared" si="8"/>
        <v>0.00 (0.00 – 0.00)</v>
      </c>
      <c r="L156" s="16" t="str">
        <f t="shared" si="9"/>
        <v>0.00
(0.00 – 0.00)</v>
      </c>
      <c r="M156" s="57"/>
      <c r="N156" s="59"/>
      <c r="O156" s="16"/>
    </row>
    <row r="157" spans="3:15" ht="15" hidden="1" customHeight="1" x14ac:dyDescent="0.25">
      <c r="C157" s="56"/>
      <c r="D157" s="57"/>
      <c r="E157" s="57"/>
      <c r="F157" s="57"/>
      <c r="G157" s="57"/>
      <c r="H157" s="57"/>
      <c r="I157" s="57"/>
      <c r="J157" s="57"/>
      <c r="K157" s="59" t="str">
        <f t="shared" si="8"/>
        <v>0.00 (0.00 – 0.00)</v>
      </c>
      <c r="L157" s="16" t="str">
        <f t="shared" si="9"/>
        <v>0.00
(0.00 – 0.00)</v>
      </c>
      <c r="M157" s="57"/>
      <c r="N157" s="59"/>
      <c r="O157" s="16"/>
    </row>
    <row r="158" spans="3:15" ht="15" hidden="1" customHeight="1" x14ac:dyDescent="0.25">
      <c r="C158" s="56"/>
      <c r="D158" s="57"/>
      <c r="E158" s="57"/>
      <c r="F158" s="57"/>
      <c r="G158" s="57"/>
      <c r="H158" s="57"/>
      <c r="I158" s="57"/>
      <c r="J158" s="57"/>
      <c r="K158" s="59" t="str">
        <f t="shared" si="8"/>
        <v>0.00 (0.00 – 0.00)</v>
      </c>
      <c r="L158" s="16" t="str">
        <f t="shared" si="9"/>
        <v>0.00
(0.00 – 0.00)</v>
      </c>
      <c r="M158" s="57"/>
      <c r="N158" s="59"/>
      <c r="O158" s="16"/>
    </row>
    <row r="159" spans="3:15" ht="15" hidden="1" customHeight="1" x14ac:dyDescent="0.25">
      <c r="C159" s="56"/>
      <c r="D159" s="57"/>
      <c r="E159" s="57"/>
      <c r="F159" s="57"/>
      <c r="G159" s="57"/>
      <c r="H159" s="57"/>
      <c r="I159" s="57"/>
      <c r="J159" s="57"/>
      <c r="K159" s="59" t="str">
        <f t="shared" si="8"/>
        <v>0.00 (0.00 – 0.00)</v>
      </c>
      <c r="L159" s="16" t="str">
        <f t="shared" si="9"/>
        <v>0.00
(0.00 – 0.00)</v>
      </c>
      <c r="M159" s="57"/>
      <c r="N159" s="59"/>
      <c r="O159" s="16"/>
    </row>
    <row r="160" spans="3:15" ht="15" hidden="1" customHeight="1" x14ac:dyDescent="0.25">
      <c r="C160" s="56"/>
      <c r="D160" s="57"/>
      <c r="E160" s="57"/>
      <c r="F160" s="57"/>
      <c r="G160" s="57"/>
      <c r="H160" s="57"/>
      <c r="I160" s="57"/>
      <c r="J160" s="57"/>
      <c r="K160" s="59" t="str">
        <f t="shared" si="8"/>
        <v>0.00 (0.00 – 0.00)</v>
      </c>
      <c r="L160" s="16" t="str">
        <f t="shared" si="9"/>
        <v>0.00
(0.00 – 0.00)</v>
      </c>
      <c r="M160" s="57"/>
      <c r="N160" s="59"/>
      <c r="O160" s="16"/>
    </row>
    <row r="161" spans="3:15" ht="15" hidden="1" customHeight="1" x14ac:dyDescent="0.25">
      <c r="C161" s="56"/>
      <c r="D161" s="57"/>
      <c r="E161" s="57"/>
      <c r="F161" s="57"/>
      <c r="G161" s="57"/>
      <c r="H161" s="57"/>
      <c r="I161" s="57"/>
      <c r="J161" s="57"/>
      <c r="K161" s="59" t="str">
        <f t="shared" si="8"/>
        <v>0.00 (0.00 – 0.00)</v>
      </c>
      <c r="L161" s="16" t="str">
        <f t="shared" si="9"/>
        <v>0.00
(0.00 – 0.00)</v>
      </c>
      <c r="M161" s="57"/>
      <c r="N161" s="59"/>
      <c r="O161" s="16"/>
    </row>
    <row r="162" spans="3:15" ht="15" hidden="1" customHeight="1" x14ac:dyDescent="0.25">
      <c r="C162" s="56"/>
      <c r="D162" s="57"/>
      <c r="E162" s="57"/>
      <c r="F162" s="57"/>
      <c r="G162" s="57"/>
      <c r="H162" s="57"/>
      <c r="I162" s="57"/>
      <c r="J162" s="57"/>
      <c r="K162" s="59" t="str">
        <f t="shared" si="8"/>
        <v>0.00 (0.00 – 0.00)</v>
      </c>
      <c r="L162" s="16" t="str">
        <f t="shared" si="9"/>
        <v>0.00
(0.00 – 0.00)</v>
      </c>
      <c r="M162" s="57"/>
      <c r="N162" s="59"/>
      <c r="O162" s="16"/>
    </row>
    <row r="163" spans="3:15" ht="15" hidden="1" customHeight="1" x14ac:dyDescent="0.25">
      <c r="C163" s="56"/>
      <c r="D163" s="57"/>
      <c r="E163" s="57"/>
      <c r="F163" s="57"/>
      <c r="G163" s="57"/>
      <c r="H163" s="57"/>
      <c r="I163" s="57"/>
      <c r="J163" s="57"/>
      <c r="K163" s="59" t="str">
        <f t="shared" si="8"/>
        <v>0.00 (0.00 – 0.00)</v>
      </c>
      <c r="L163" s="16" t="str">
        <f t="shared" si="9"/>
        <v>0.00
(0.00 – 0.00)</v>
      </c>
      <c r="M163" s="57"/>
      <c r="N163" s="59"/>
      <c r="O163" s="16"/>
    </row>
    <row r="164" spans="3:15" ht="15" hidden="1" customHeight="1" x14ac:dyDescent="0.25">
      <c r="C164" s="56"/>
      <c r="D164" s="57"/>
      <c r="E164" s="57"/>
      <c r="F164" s="57"/>
      <c r="G164" s="57"/>
      <c r="H164" s="57"/>
      <c r="I164" s="57"/>
      <c r="J164" s="57"/>
      <c r="K164" s="59" t="str">
        <f t="shared" si="8"/>
        <v>0.00 (0.00 – 0.00)</v>
      </c>
      <c r="L164" s="16" t="str">
        <f t="shared" si="9"/>
        <v>0.00
(0.00 – 0.00)</v>
      </c>
      <c r="M164" s="57"/>
      <c r="N164" s="59"/>
      <c r="O164" s="16"/>
    </row>
    <row r="165" spans="3:15" ht="15" hidden="1" customHeight="1" x14ac:dyDescent="0.25">
      <c r="C165" s="56"/>
      <c r="D165" s="57"/>
      <c r="E165" s="57"/>
      <c r="F165" s="57"/>
      <c r="G165" s="57"/>
      <c r="H165" s="57"/>
      <c r="I165" s="57"/>
      <c r="J165" s="57"/>
      <c r="K165" s="59" t="str">
        <f t="shared" si="8"/>
        <v>0.00 (0.00 – 0.00)</v>
      </c>
      <c r="L165" s="16" t="str">
        <f t="shared" si="9"/>
        <v>0.00
(0.00 – 0.00)</v>
      </c>
      <c r="M165" s="57"/>
      <c r="N165" s="59"/>
      <c r="O165" s="16"/>
    </row>
    <row r="166" spans="3:15" ht="15" hidden="1" customHeight="1" x14ac:dyDescent="0.25">
      <c r="C166" s="56"/>
      <c r="D166" s="57"/>
      <c r="E166" s="57"/>
      <c r="F166" s="57"/>
      <c r="G166" s="57"/>
      <c r="H166" s="57"/>
      <c r="I166" s="57"/>
      <c r="J166" s="57"/>
      <c r="K166" s="59" t="str">
        <f t="shared" si="8"/>
        <v>0.00 (0.00 – 0.00)</v>
      </c>
      <c r="L166" s="16" t="str">
        <f t="shared" si="9"/>
        <v>0.00
(0.00 – 0.00)</v>
      </c>
      <c r="M166" s="57"/>
      <c r="N166" s="59"/>
      <c r="O166" s="16"/>
    </row>
    <row r="167" spans="3:15" ht="15" hidden="1" customHeight="1" x14ac:dyDescent="0.25">
      <c r="C167" s="56"/>
      <c r="D167" s="57"/>
      <c r="E167" s="57"/>
      <c r="F167" s="57"/>
      <c r="G167" s="57"/>
      <c r="H167" s="57"/>
      <c r="I167" s="57"/>
      <c r="J167" s="57"/>
      <c r="K167" s="59" t="str">
        <f t="shared" si="8"/>
        <v>0.00 (0.00 – 0.00)</v>
      </c>
      <c r="L167" s="16" t="str">
        <f t="shared" si="9"/>
        <v>0.00
(0.00 – 0.00)</v>
      </c>
      <c r="M167" s="57"/>
      <c r="N167" s="59"/>
      <c r="O167" s="16"/>
    </row>
    <row r="168" spans="3:15" ht="15" hidden="1" customHeight="1" x14ac:dyDescent="0.25">
      <c r="C168" s="56"/>
      <c r="D168" s="57"/>
      <c r="E168" s="57"/>
      <c r="F168" s="57"/>
      <c r="G168" s="57"/>
      <c r="H168" s="57"/>
      <c r="I168" s="57"/>
      <c r="J168" s="57"/>
      <c r="K168" s="59" t="str">
        <f t="shared" si="8"/>
        <v>0.00 (0.00 – 0.00)</v>
      </c>
      <c r="L168" s="16" t="str">
        <f t="shared" si="9"/>
        <v>0.00
(0.00 – 0.00)</v>
      </c>
      <c r="M168" s="57"/>
      <c r="N168" s="59"/>
      <c r="O168" s="16"/>
    </row>
    <row r="169" spans="3:15" ht="15" hidden="1" customHeight="1" x14ac:dyDescent="0.25">
      <c r="C169" s="56"/>
      <c r="D169" s="57"/>
      <c r="E169" s="57"/>
      <c r="F169" s="57"/>
      <c r="G169" s="57"/>
      <c r="H169" s="57"/>
      <c r="I169" s="57"/>
      <c r="J169" s="57"/>
      <c r="K169" s="59" t="str">
        <f t="shared" si="8"/>
        <v>0.00 (0.00 – 0.00)</v>
      </c>
      <c r="L169" s="16" t="str">
        <f t="shared" si="9"/>
        <v>0.00
(0.00 – 0.00)</v>
      </c>
      <c r="M169" s="57"/>
      <c r="N169" s="59"/>
      <c r="O169" s="16"/>
    </row>
    <row r="170" spans="3:15" ht="15" hidden="1" customHeight="1" x14ac:dyDescent="0.25">
      <c r="C170" s="56"/>
      <c r="D170" s="57"/>
      <c r="E170" s="57"/>
      <c r="F170" s="57"/>
      <c r="G170" s="57"/>
      <c r="H170" s="57"/>
      <c r="I170" s="57"/>
      <c r="J170" s="57"/>
      <c r="K170" s="59" t="str">
        <f t="shared" si="8"/>
        <v>0.00 (0.00 – 0.00)</v>
      </c>
      <c r="L170" s="16" t="str">
        <f t="shared" si="9"/>
        <v>0.00
(0.00 – 0.00)</v>
      </c>
      <c r="M170" s="57"/>
      <c r="N170" s="59"/>
      <c r="O170" s="16"/>
    </row>
    <row r="171" spans="3:15" ht="15" hidden="1" customHeight="1" x14ac:dyDescent="0.25">
      <c r="C171" s="56"/>
      <c r="D171" s="57"/>
      <c r="E171" s="57"/>
      <c r="F171" s="57"/>
      <c r="G171" s="57"/>
      <c r="H171" s="57"/>
      <c r="I171" s="57"/>
      <c r="J171" s="57"/>
      <c r="K171" s="59" t="str">
        <f t="shared" si="8"/>
        <v>0.00 (0.00 – 0.00)</v>
      </c>
      <c r="L171" s="16" t="str">
        <f t="shared" si="9"/>
        <v>0.00
(0.00 – 0.00)</v>
      </c>
      <c r="M171" s="57"/>
      <c r="N171" s="59"/>
      <c r="O171" s="16"/>
    </row>
    <row r="172" spans="3:15" ht="15" hidden="1" customHeight="1" x14ac:dyDescent="0.25">
      <c r="C172" s="56"/>
      <c r="D172" s="57"/>
      <c r="E172" s="57"/>
      <c r="F172" s="57"/>
      <c r="G172" s="57"/>
      <c r="H172" s="57"/>
      <c r="I172" s="57"/>
      <c r="J172" s="57"/>
      <c r="K172" s="59" t="str">
        <f t="shared" si="8"/>
        <v>0.00 (0.00 – 0.00)</v>
      </c>
      <c r="L172" s="16" t="str">
        <f t="shared" si="9"/>
        <v>0.00
(0.00 – 0.00)</v>
      </c>
      <c r="M172" s="57"/>
      <c r="N172" s="59"/>
      <c r="O172" s="16"/>
    </row>
    <row r="173" spans="3:15" ht="15" hidden="1" customHeight="1" x14ac:dyDescent="0.25">
      <c r="C173" s="56"/>
      <c r="D173" s="57"/>
      <c r="E173" s="57"/>
      <c r="F173" s="57"/>
      <c r="G173" s="57"/>
      <c r="H173" s="57"/>
      <c r="I173" s="57"/>
      <c r="J173" s="57"/>
      <c r="K173" s="59" t="str">
        <f t="shared" si="8"/>
        <v>0.00 (0.00 – 0.00)</v>
      </c>
      <c r="L173" s="16" t="str">
        <f t="shared" si="9"/>
        <v>0.00
(0.00 – 0.00)</v>
      </c>
      <c r="M173" s="57"/>
      <c r="N173" s="59"/>
      <c r="O173" s="16"/>
    </row>
    <row r="174" spans="3:15" ht="15" hidden="1" customHeight="1" x14ac:dyDescent="0.25">
      <c r="C174" s="56"/>
      <c r="D174" s="57"/>
      <c r="E174" s="57"/>
      <c r="F174" s="57"/>
      <c r="G174" s="57"/>
      <c r="H174" s="57"/>
      <c r="I174" s="57"/>
      <c r="J174" s="57"/>
      <c r="K174" s="59" t="str">
        <f t="shared" si="8"/>
        <v>0.00 (0.00 – 0.00)</v>
      </c>
      <c r="L174" s="16" t="str">
        <f t="shared" si="9"/>
        <v>0.00
(0.00 – 0.00)</v>
      </c>
      <c r="M174" s="57"/>
      <c r="N174" s="59"/>
      <c r="O174" s="16"/>
    </row>
    <row r="175" spans="3:15" ht="15" hidden="1" customHeight="1" x14ac:dyDescent="0.25">
      <c r="C175" s="56"/>
      <c r="D175" s="57"/>
      <c r="E175" s="57"/>
      <c r="F175" s="57"/>
      <c r="G175" s="57"/>
      <c r="H175" s="57"/>
      <c r="I175" s="57"/>
      <c r="J175" s="57"/>
      <c r="K175" s="59" t="str">
        <f t="shared" si="8"/>
        <v>0.00 (0.00 – 0.00)</v>
      </c>
      <c r="L175" s="16" t="str">
        <f t="shared" si="9"/>
        <v>0.00
(0.00 – 0.00)</v>
      </c>
      <c r="M175" s="57"/>
      <c r="N175" s="59"/>
      <c r="O175" s="16"/>
    </row>
    <row r="176" spans="3:15" ht="15" hidden="1" customHeight="1" x14ac:dyDescent="0.25">
      <c r="C176" s="56"/>
      <c r="D176" s="57"/>
      <c r="E176" s="57"/>
      <c r="F176" s="57"/>
      <c r="G176" s="57"/>
      <c r="H176" s="57"/>
      <c r="I176" s="57"/>
      <c r="J176" s="57"/>
      <c r="K176" s="59" t="str">
        <f t="shared" si="8"/>
        <v>0.00 (0.00 – 0.00)</v>
      </c>
      <c r="L176" s="16" t="str">
        <f t="shared" si="9"/>
        <v>0.00
(0.00 – 0.00)</v>
      </c>
      <c r="M176" s="57"/>
      <c r="N176" s="59"/>
      <c r="O176" s="16"/>
    </row>
    <row r="177" spans="3:15" ht="15" hidden="1" customHeight="1" x14ac:dyDescent="0.25">
      <c r="C177" s="56"/>
      <c r="D177" s="57"/>
      <c r="E177" s="57"/>
      <c r="F177" s="57"/>
      <c r="G177" s="57"/>
      <c r="H177" s="57"/>
      <c r="I177" s="57"/>
      <c r="J177" s="57"/>
      <c r="K177" s="59" t="str">
        <f t="shared" si="8"/>
        <v>0.00 (0.00 – 0.00)</v>
      </c>
      <c r="L177" s="16" t="str">
        <f t="shared" si="9"/>
        <v>0.00
(0.00 – 0.00)</v>
      </c>
      <c r="M177" s="57"/>
      <c r="N177" s="59"/>
      <c r="O177" s="16"/>
    </row>
    <row r="178" spans="3:15" ht="15" hidden="1" customHeight="1" x14ac:dyDescent="0.25">
      <c r="C178" s="56"/>
      <c r="D178" s="57"/>
      <c r="E178" s="57"/>
      <c r="F178" s="57"/>
      <c r="G178" s="57"/>
      <c r="H178" s="57"/>
      <c r="I178" s="57"/>
      <c r="J178" s="57"/>
      <c r="K178" s="59" t="str">
        <f t="shared" si="8"/>
        <v>0.00 (0.00 – 0.00)</v>
      </c>
      <c r="L178" s="16" t="str">
        <f t="shared" si="9"/>
        <v>0.00
(0.00 – 0.00)</v>
      </c>
      <c r="M178" s="57"/>
      <c r="N178" s="59"/>
      <c r="O178" s="16"/>
    </row>
    <row r="179" spans="3:15" ht="15" hidden="1" customHeight="1" x14ac:dyDescent="0.25">
      <c r="C179" s="56"/>
      <c r="D179" s="57"/>
      <c r="E179" s="57"/>
      <c r="F179" s="57"/>
      <c r="G179" s="57"/>
      <c r="H179" s="57"/>
      <c r="I179" s="57"/>
      <c r="J179" s="57"/>
      <c r="K179" s="59" t="str">
        <f t="shared" si="8"/>
        <v>0.00 (0.00 – 0.00)</v>
      </c>
      <c r="L179" s="16" t="str">
        <f t="shared" si="9"/>
        <v>0.00
(0.00 – 0.00)</v>
      </c>
      <c r="M179" s="57"/>
      <c r="N179" s="59"/>
      <c r="O179" s="16"/>
    </row>
    <row r="180" spans="3:15" ht="15" hidden="1" customHeight="1" x14ac:dyDescent="0.25">
      <c r="C180" s="56"/>
      <c r="D180" s="57"/>
      <c r="E180" s="57"/>
      <c r="F180" s="57"/>
      <c r="G180" s="57"/>
      <c r="H180" s="57"/>
      <c r="I180" s="57"/>
      <c r="J180" s="57"/>
      <c r="K180" s="59" t="str">
        <f t="shared" si="8"/>
        <v>0.00 (0.00 – 0.00)</v>
      </c>
      <c r="L180" s="16" t="str">
        <f t="shared" si="9"/>
        <v>0.00
(0.00 – 0.00)</v>
      </c>
      <c r="M180" s="57"/>
      <c r="N180" s="59"/>
      <c r="O180" s="16"/>
    </row>
    <row r="181" spans="3:15" ht="15" hidden="1" customHeight="1" x14ac:dyDescent="0.25">
      <c r="C181" s="56"/>
      <c r="D181" s="57"/>
      <c r="E181" s="57"/>
      <c r="F181" s="57"/>
      <c r="G181" s="57"/>
      <c r="H181" s="57"/>
      <c r="I181" s="57"/>
      <c r="J181" s="57"/>
      <c r="K181" s="59" t="str">
        <f t="shared" si="8"/>
        <v>0.00 (0.00 – 0.00)</v>
      </c>
      <c r="L181" s="16" t="str">
        <f t="shared" si="9"/>
        <v>0.00
(0.00 – 0.00)</v>
      </c>
      <c r="M181" s="57"/>
      <c r="N181" s="59"/>
      <c r="O181" s="16"/>
    </row>
    <row r="182" spans="3:15" ht="15" hidden="1" customHeight="1" x14ac:dyDescent="0.25">
      <c r="C182" s="56"/>
      <c r="D182" s="57"/>
      <c r="E182" s="57"/>
      <c r="F182" s="57"/>
      <c r="G182" s="57"/>
      <c r="H182" s="57"/>
      <c r="I182" s="57"/>
      <c r="J182" s="57"/>
      <c r="K182" s="59" t="str">
        <f t="shared" si="8"/>
        <v>0.00 (0.00 – 0.00)</v>
      </c>
      <c r="L182" s="16" t="str">
        <f t="shared" si="9"/>
        <v>0.00
(0.00 – 0.00)</v>
      </c>
      <c r="M182" s="57"/>
      <c r="N182" s="59"/>
      <c r="O182" s="16"/>
    </row>
    <row r="183" spans="3:15" ht="15" hidden="1" customHeight="1" x14ac:dyDescent="0.25">
      <c r="C183" s="56"/>
      <c r="D183" s="57"/>
      <c r="E183" s="57"/>
      <c r="F183" s="57"/>
      <c r="G183" s="57"/>
      <c r="H183" s="57"/>
      <c r="I183" s="57"/>
      <c r="J183" s="57"/>
      <c r="K183" s="59" t="str">
        <f t="shared" si="8"/>
        <v>0.00 (0.00 – 0.00)</v>
      </c>
      <c r="L183" s="16" t="str">
        <f t="shared" si="9"/>
        <v>0.00
(0.00 – 0.00)</v>
      </c>
      <c r="M183" s="57"/>
      <c r="N183" s="59"/>
      <c r="O183" s="16"/>
    </row>
    <row r="184" spans="3:15" ht="15" hidden="1" customHeight="1" x14ac:dyDescent="0.25">
      <c r="C184" s="56"/>
      <c r="D184" s="57"/>
      <c r="E184" s="57"/>
      <c r="F184" s="57"/>
      <c r="G184" s="57"/>
      <c r="H184" s="57"/>
      <c r="I184" s="57"/>
      <c r="J184" s="57"/>
      <c r="K184" s="59" t="str">
        <f t="shared" si="8"/>
        <v>0.00 (0.00 – 0.00)</v>
      </c>
      <c r="L184" s="16" t="str">
        <f t="shared" si="9"/>
        <v>0.00
(0.00 – 0.00)</v>
      </c>
      <c r="M184" s="57"/>
      <c r="N184" s="59"/>
      <c r="O184" s="16"/>
    </row>
    <row r="185" spans="3:15" ht="15" hidden="1" customHeight="1" x14ac:dyDescent="0.25">
      <c r="C185" s="56"/>
      <c r="D185" s="57"/>
      <c r="E185" s="57"/>
      <c r="F185" s="57"/>
      <c r="G185" s="57"/>
      <c r="H185" s="57"/>
      <c r="I185" s="57"/>
      <c r="J185" s="57"/>
      <c r="K185" s="59" t="str">
        <f t="shared" si="8"/>
        <v>0.00 (0.00 – 0.00)</v>
      </c>
      <c r="L185" s="16" t="str">
        <f t="shared" si="9"/>
        <v>0.00
(0.00 – 0.00)</v>
      </c>
      <c r="M185" s="57"/>
      <c r="N185" s="59"/>
      <c r="O185" s="16"/>
    </row>
    <row r="186" spans="3:15" ht="15" hidden="1" customHeight="1" x14ac:dyDescent="0.25">
      <c r="C186" s="56"/>
      <c r="D186" s="57"/>
      <c r="E186" s="57"/>
      <c r="F186" s="57"/>
      <c r="G186" s="57"/>
      <c r="H186" s="57"/>
      <c r="I186" s="57"/>
      <c r="J186" s="57"/>
      <c r="K186" s="59" t="str">
        <f t="shared" si="8"/>
        <v>0.00 (0.00 – 0.00)</v>
      </c>
      <c r="L186" s="16" t="str">
        <f t="shared" si="9"/>
        <v>0.00
(0.00 – 0.00)</v>
      </c>
      <c r="M186" s="57"/>
      <c r="N186" s="59"/>
      <c r="O186" s="16"/>
    </row>
    <row r="187" spans="3:15" ht="15" hidden="1" customHeight="1" x14ac:dyDescent="0.25">
      <c r="C187" s="56"/>
      <c r="D187" s="57"/>
      <c r="E187" s="57"/>
      <c r="F187" s="57"/>
      <c r="G187" s="57"/>
      <c r="H187" s="57"/>
      <c r="I187" s="57"/>
      <c r="J187" s="57"/>
      <c r="K187" s="59" t="str">
        <f t="shared" si="8"/>
        <v>0.00 (0.00 – 0.00)</v>
      </c>
      <c r="L187" s="16" t="str">
        <f t="shared" si="9"/>
        <v>0.00
(0.00 – 0.00)</v>
      </c>
      <c r="M187" s="57"/>
      <c r="N187" s="59"/>
      <c r="O187" s="16"/>
    </row>
    <row r="188" spans="3:15" ht="15" hidden="1" customHeight="1" x14ac:dyDescent="0.25">
      <c r="C188" s="56"/>
      <c r="D188" s="57"/>
      <c r="E188" s="57"/>
      <c r="F188" s="57"/>
      <c r="G188" s="57"/>
      <c r="H188" s="57"/>
      <c r="I188" s="57"/>
      <c r="J188" s="57"/>
      <c r="K188" s="59" t="str">
        <f t="shared" si="8"/>
        <v>0.00 (0.00 – 0.00)</v>
      </c>
      <c r="L188" s="16" t="str">
        <f t="shared" si="9"/>
        <v>0.00
(0.00 – 0.00)</v>
      </c>
      <c r="M188" s="57"/>
      <c r="N188" s="59"/>
      <c r="O188" s="16"/>
    </row>
    <row r="189" spans="3:15" ht="15" hidden="1" customHeight="1" x14ac:dyDescent="0.25">
      <c r="C189" s="56"/>
      <c r="D189" s="57"/>
      <c r="E189" s="57"/>
      <c r="F189" s="57"/>
      <c r="G189" s="57"/>
      <c r="H189" s="57"/>
      <c r="I189" s="57"/>
      <c r="J189" s="57"/>
      <c r="K189" s="59" t="str">
        <f t="shared" si="8"/>
        <v>0.00 (0.00 – 0.00)</v>
      </c>
      <c r="L189" s="16" t="str">
        <f t="shared" si="9"/>
        <v>0.00
(0.00 – 0.00)</v>
      </c>
      <c r="M189" s="57"/>
      <c r="N189" s="59"/>
      <c r="O189" s="16"/>
    </row>
    <row r="190" spans="3:15" ht="15" hidden="1" customHeight="1" x14ac:dyDescent="0.25">
      <c r="C190" s="56"/>
      <c r="D190" s="57"/>
      <c r="E190" s="57"/>
      <c r="F190" s="57"/>
      <c r="G190" s="57"/>
      <c r="H190" s="57"/>
      <c r="I190" s="57"/>
      <c r="J190" s="57"/>
      <c r="K190" s="59" t="str">
        <f t="shared" si="8"/>
        <v>0.00 (0.00 – 0.00)</v>
      </c>
      <c r="L190" s="16" t="str">
        <f t="shared" si="9"/>
        <v>0.00
(0.00 – 0.00)</v>
      </c>
      <c r="M190" s="57"/>
      <c r="N190" s="59"/>
      <c r="O190" s="16"/>
    </row>
    <row r="191" spans="3:15" ht="15" hidden="1" customHeight="1" x14ac:dyDescent="0.25">
      <c r="C191" s="56"/>
      <c r="D191" s="57"/>
      <c r="E191" s="57"/>
      <c r="F191" s="57"/>
      <c r="G191" s="57"/>
      <c r="H191" s="57"/>
      <c r="I191" s="57"/>
      <c r="J191" s="57"/>
      <c r="K191" s="59" t="str">
        <f t="shared" si="8"/>
        <v>0.00 (0.00 – 0.00)</v>
      </c>
      <c r="L191" s="16" t="str">
        <f t="shared" si="9"/>
        <v>0.00
(0.00 – 0.00)</v>
      </c>
      <c r="M191" s="57"/>
      <c r="N191" s="59"/>
      <c r="O191" s="16"/>
    </row>
    <row r="192" spans="3:15" ht="15" hidden="1" customHeight="1" x14ac:dyDescent="0.25">
      <c r="C192" s="56"/>
      <c r="D192" s="57"/>
      <c r="E192" s="57"/>
      <c r="F192" s="57"/>
      <c r="G192" s="57"/>
      <c r="H192" s="57"/>
      <c r="I192" s="57"/>
      <c r="J192" s="57"/>
      <c r="K192" s="59" t="str">
        <f t="shared" si="8"/>
        <v>0.00 (0.00 – 0.00)</v>
      </c>
      <c r="L192" s="16" t="str">
        <f t="shared" si="9"/>
        <v>0.00
(0.00 – 0.00)</v>
      </c>
      <c r="M192" s="57"/>
      <c r="N192" s="59"/>
      <c r="O192" s="16"/>
    </row>
    <row r="193" spans="3:15" ht="15" hidden="1" customHeight="1" x14ac:dyDescent="0.25">
      <c r="C193" s="56"/>
      <c r="D193" s="57"/>
      <c r="E193" s="57"/>
      <c r="F193" s="57"/>
      <c r="G193" s="57"/>
      <c r="H193" s="57"/>
      <c r="I193" s="57"/>
      <c r="J193" s="57"/>
      <c r="K193" s="59" t="str">
        <f t="shared" si="8"/>
        <v>0.00 (0.00 – 0.00)</v>
      </c>
      <c r="L193" s="16" t="str">
        <f t="shared" si="9"/>
        <v>0.00
(0.00 – 0.00)</v>
      </c>
      <c r="M193" s="57"/>
      <c r="N193" s="59"/>
      <c r="O193" s="16"/>
    </row>
    <row r="194" spans="3:15" ht="15" hidden="1" customHeight="1" x14ac:dyDescent="0.25">
      <c r="C194" s="56"/>
      <c r="D194" s="57"/>
      <c r="E194" s="57"/>
      <c r="F194" s="57"/>
      <c r="G194" s="57"/>
      <c r="H194" s="57"/>
      <c r="I194" s="57"/>
      <c r="J194" s="57"/>
      <c r="K194" s="59" t="str">
        <f t="shared" si="8"/>
        <v>0.00 (0.00 – 0.00)</v>
      </c>
      <c r="L194" s="16" t="str">
        <f t="shared" si="9"/>
        <v>0.00
(0.00 – 0.00)</v>
      </c>
      <c r="M194" s="57"/>
      <c r="N194" s="59"/>
      <c r="O194" s="16"/>
    </row>
    <row r="195" spans="3:15" ht="15" hidden="1" customHeight="1" x14ac:dyDescent="0.25">
      <c r="C195" s="56"/>
      <c r="D195" s="57"/>
      <c r="E195" s="57"/>
      <c r="F195" s="57"/>
      <c r="G195" s="57"/>
      <c r="H195" s="57"/>
      <c r="I195" s="57"/>
      <c r="J195" s="57"/>
      <c r="K195" s="59" t="str">
        <f t="shared" si="8"/>
        <v>0.00 (0.00 – 0.00)</v>
      </c>
      <c r="L195" s="16" t="str">
        <f t="shared" si="9"/>
        <v>0.00
(0.00 – 0.00)</v>
      </c>
      <c r="M195" s="57"/>
      <c r="N195" s="59"/>
      <c r="O195" s="16"/>
    </row>
    <row r="196" spans="3:15" ht="15" hidden="1" customHeight="1" x14ac:dyDescent="0.25">
      <c r="C196" s="56"/>
      <c r="D196" s="57"/>
      <c r="E196" s="57"/>
      <c r="F196" s="57"/>
      <c r="G196" s="57"/>
      <c r="H196" s="57"/>
      <c r="I196" s="57"/>
      <c r="J196" s="57"/>
      <c r="K196" s="59" t="str">
        <f t="shared" si="8"/>
        <v>0.00 (0.00 – 0.00)</v>
      </c>
      <c r="L196" s="16" t="str">
        <f t="shared" si="9"/>
        <v>0.00
(0.00 – 0.00)</v>
      </c>
      <c r="M196" s="57"/>
      <c r="N196" s="59"/>
      <c r="O196" s="16"/>
    </row>
    <row r="197" spans="3:15" ht="15" hidden="1" customHeight="1" x14ac:dyDescent="0.25">
      <c r="C197" s="56"/>
      <c r="D197" s="57"/>
      <c r="E197" s="57"/>
      <c r="F197" s="57"/>
      <c r="G197" s="57"/>
      <c r="H197" s="57"/>
      <c r="I197" s="57"/>
      <c r="J197" s="57"/>
      <c r="K197" s="59" t="str">
        <f>CONCATENATE(TEXT(I197,"0.00")," (",TEXT(H197,"0.00")," – ",TEXT(J197,"0.00"),")")</f>
        <v>0.00 (0.00 – 0.00)</v>
      </c>
      <c r="L197" s="16" t="str">
        <f t="shared" si="9"/>
        <v>0.00
(0.00 – 0.00)</v>
      </c>
      <c r="M197" s="57"/>
      <c r="N197" s="59"/>
      <c r="O197" s="16"/>
    </row>
    <row r="198" spans="3:15" ht="15" hidden="1" customHeight="1" x14ac:dyDescent="0.25">
      <c r="C198" s="56"/>
      <c r="D198" s="57"/>
      <c r="E198" s="57"/>
      <c r="F198" s="57"/>
      <c r="G198" s="57"/>
      <c r="H198" s="57"/>
      <c r="I198" s="57"/>
      <c r="J198" s="57"/>
      <c r="K198" s="59" t="str">
        <f>CONCATENATE(TEXT(I198,"0.00")," (",TEXT(H198,"0.00")," – ",TEXT(J198,"0.00"),")")</f>
        <v>0.00 (0.00 – 0.00)</v>
      </c>
      <c r="L198" s="16" t="str">
        <f>CONCATENATE(TEXT(I198,"0.00"),"
(",TEXT(H198,"0.00")," – ",TEXT(J198,"0.00"),")")</f>
        <v>0.00
(0.00 – 0.00)</v>
      </c>
      <c r="M198" s="57"/>
      <c r="N198" s="59"/>
      <c r="O198" s="16"/>
    </row>
    <row r="199" spans="3:15" ht="15" hidden="1" customHeight="1" x14ac:dyDescent="0.25">
      <c r="C199" s="56"/>
      <c r="D199" s="57"/>
      <c r="E199" s="57"/>
      <c r="F199" s="57"/>
      <c r="G199" s="57"/>
      <c r="H199" s="57"/>
      <c r="I199" s="57"/>
      <c r="J199" s="57"/>
      <c r="K199" s="59" t="str">
        <f>CONCATENATE(TEXT(I199,"0.00")," (",TEXT(H199,"0.00")," – ",TEXT(J199,"0.00"),")")</f>
        <v>0.00 (0.00 – 0.00)</v>
      </c>
      <c r="L199" s="16" t="str">
        <f>CONCATENATE(TEXT(I199,"0.00"),"
(",TEXT(H199,"0.00")," – ",TEXT(J199,"0.00"),")")</f>
        <v>0.00
(0.00 – 0.00)</v>
      </c>
      <c r="M199" s="57"/>
      <c r="N199" s="59"/>
      <c r="O199" s="16"/>
    </row>
    <row r="200" spans="3:15" ht="15" hidden="1" customHeight="1" x14ac:dyDescent="0.25">
      <c r="C200" s="56"/>
      <c r="D200" s="57"/>
      <c r="E200" s="57"/>
      <c r="F200" s="57"/>
      <c r="G200" s="57"/>
      <c r="H200" s="57"/>
      <c r="I200" s="57"/>
      <c r="J200" s="57"/>
      <c r="K200" s="59" t="str">
        <f>CONCATENATE(TEXT(I200,"0.00")," (",TEXT(H200,"0.00")," – ",TEXT(J200,"0.00"),")")</f>
        <v>0.00 (0.00 – 0.00)</v>
      </c>
      <c r="L200" s="16" t="str">
        <f>CONCATENATE(TEXT(I200,"0.00"),"
(",TEXT(H200,"0.00")," – ",TEXT(J200,"0.00"),")")</f>
        <v>0.00
(0.00 – 0.00)</v>
      </c>
      <c r="M200" s="57"/>
      <c r="N200" s="59"/>
      <c r="O200" s="16"/>
    </row>
    <row r="201" spans="3:15" x14ac:dyDescent="0.25">
      <c r="C201" s="56"/>
      <c r="D201" s="57"/>
      <c r="E201" s="57"/>
      <c r="F201" s="57"/>
      <c r="G201" s="57"/>
      <c r="H201" s="57"/>
      <c r="I201" s="57"/>
      <c r="J201" s="57"/>
      <c r="K201" s="59"/>
      <c r="L201" s="16"/>
      <c r="M201" s="57"/>
      <c r="N201" s="59"/>
      <c r="O201" s="16"/>
    </row>
    <row r="202" spans="3:15" x14ac:dyDescent="0.25">
      <c r="C202" s="56"/>
      <c r="D202" s="57"/>
      <c r="E202" s="57"/>
      <c r="F202" s="57"/>
      <c r="G202" s="57"/>
      <c r="H202" s="57"/>
      <c r="I202" s="57"/>
      <c r="J202" s="57"/>
      <c r="K202" s="59"/>
      <c r="L202" s="16"/>
      <c r="M202" s="57"/>
    </row>
  </sheetData>
  <sortState ref="E5:L32">
    <sortCondition descending="1" ref="I4"/>
  </sortState>
  <dataConsolidate/>
  <mergeCells count="2">
    <mergeCell ref="F3:L3"/>
    <mergeCell ref="N3:T3"/>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0" tint="-0.499984740745262"/>
  </sheetPr>
  <dimension ref="A1:T204"/>
  <sheetViews>
    <sheetView showGridLines="0" zoomScaleNormal="100" workbookViewId="0">
      <selection activeCell="E5" sqref="E5:L32"/>
    </sheetView>
  </sheetViews>
  <sheetFormatPr defaultRowHeight="15" x14ac:dyDescent="0.25"/>
  <cols>
    <col min="1" max="1" width="29" customWidth="1"/>
    <col min="2" max="2" width="12.5703125" style="54" customWidth="1"/>
    <col min="3" max="3" width="12.85546875" style="54" customWidth="1"/>
    <col min="4" max="4" width="19.140625" style="19" customWidth="1"/>
    <col min="5" max="5" width="11.42578125" style="19" customWidth="1"/>
    <col min="6" max="6" width="17.42578125" style="19" customWidth="1"/>
    <col min="7" max="7" width="49.140625" style="19" customWidth="1"/>
    <col min="8" max="8" width="22.85546875" style="19" customWidth="1"/>
    <col min="9" max="13" width="17.42578125" style="19" customWidth="1"/>
    <col min="14" max="14" width="28.140625" style="19" customWidth="1"/>
    <col min="15" max="15" width="43.140625" style="19" customWidth="1"/>
    <col min="19" max="19" width="12.85546875" customWidth="1"/>
    <col min="20" max="20" width="12.28515625" customWidth="1"/>
    <col min="243" max="243" width="9.140625" customWidth="1"/>
  </cols>
  <sheetData>
    <row r="1" spans="1:20" x14ac:dyDescent="0.25">
      <c r="A1" s="50" t="str">
        <f ca="1">RIGHT(CELL("filename",A1),LEN(CELL("filename",A1))-FIND("]",CELL("filename",A1)))</f>
        <v>Random Effects (Vague)</v>
      </c>
      <c r="F1" s="57"/>
      <c r="G1" s="57"/>
      <c r="H1" s="57"/>
      <c r="I1" s="57"/>
      <c r="J1" s="57"/>
      <c r="K1" s="57"/>
      <c r="L1" s="57"/>
      <c r="M1" s="57"/>
    </row>
    <row r="2" spans="1:20" x14ac:dyDescent="0.25">
      <c r="A2" t="str">
        <f>CONCATENATE("Heterogeneity (Vague) = ",INDEX('RE Results (Vague Prior)'!B:H,MATCH("sd",'RE Results (Vague Prior)'!B:B,0),6), " 
95% CrI (",INDEX('RE Results (Vague Prior)'!B:H,MATCH("sd",'RE Results (Vague Prior)'!B:B,0),5)," – ",INDEX('RE Results (Vague Prior)'!B:H,MATCH("sd",'RE Results (Vague Prior)'!B:B,0),7),")")</f>
        <v>Heterogeneity (Vague) = 0.2031 
95% CrI (0.01238 – 0.5413)</v>
      </c>
      <c r="F2" s="57"/>
      <c r="G2" s="57"/>
      <c r="H2" s="57"/>
      <c r="I2" s="57"/>
      <c r="J2" s="57"/>
      <c r="K2" s="57"/>
      <c r="L2" s="57"/>
      <c r="M2" s="57"/>
    </row>
    <row r="3" spans="1:20" x14ac:dyDescent="0.25">
      <c r="F3" s="278" t="str">
        <f>"Random Effects (Vague Prior)"</f>
        <v>Random Effects (Vague Prior)</v>
      </c>
      <c r="G3" s="278"/>
      <c r="H3" s="278"/>
      <c r="I3" s="278"/>
      <c r="J3" s="278"/>
      <c r="K3" s="278"/>
      <c r="L3" s="278"/>
      <c r="N3" s="278" t="str">
        <f>F3</f>
        <v>Random Effects (Vague Prior)</v>
      </c>
      <c r="O3" s="278"/>
      <c r="P3" s="278"/>
      <c r="Q3" s="278"/>
      <c r="R3" s="278"/>
      <c r="S3" s="278"/>
      <c r="T3" s="278"/>
    </row>
    <row r="4" spans="1:20" ht="15.75" thickBot="1" x14ac:dyDescent="0.3">
      <c r="A4" s="103" t="s">
        <v>241</v>
      </c>
      <c r="B4" s="103" t="s">
        <v>242</v>
      </c>
      <c r="C4" s="103" t="s">
        <v>235</v>
      </c>
      <c r="E4" s="14" t="s">
        <v>236</v>
      </c>
      <c r="F4" s="14" t="s">
        <v>237</v>
      </c>
      <c r="G4" s="55" t="s">
        <v>109</v>
      </c>
      <c r="H4" s="58" t="s">
        <v>238</v>
      </c>
      <c r="I4" s="58" t="s">
        <v>111</v>
      </c>
      <c r="J4" s="58" t="s">
        <v>239</v>
      </c>
      <c r="K4" s="58" t="str">
        <f>$N$4 &amp;" (95% Cr.I.)"</f>
        <v>O.R. (95% Cr.I.)</v>
      </c>
      <c r="L4" s="58" t="str">
        <f>$N$4 &amp;" (95% Cr.I.)"</f>
        <v>O.R. (95% Cr.I.)</v>
      </c>
      <c r="N4" s="105" t="str">
        <f>IF(Forest="RR", "R.R","O.R.")</f>
        <v>O.R.</v>
      </c>
      <c r="O4" s="55" t="s">
        <v>109</v>
      </c>
      <c r="P4" s="58" t="s">
        <v>110</v>
      </c>
      <c r="Q4" s="58" t="s">
        <v>111</v>
      </c>
      <c r="R4" s="58" t="s">
        <v>112</v>
      </c>
      <c r="S4" s="58" t="s">
        <v>240</v>
      </c>
      <c r="T4" s="58" t="s">
        <v>237</v>
      </c>
    </row>
    <row r="5" spans="1:20" x14ac:dyDescent="0.25">
      <c r="A5" t="s">
        <v>354</v>
      </c>
      <c r="B5" s="54">
        <v>3</v>
      </c>
      <c r="C5" s="54">
        <v>1.887</v>
      </c>
      <c r="E5" s="19">
        <v>3</v>
      </c>
      <c r="F5" s="19">
        <v>4</v>
      </c>
      <c r="G5" s="19" t="s">
        <v>733</v>
      </c>
      <c r="H5" s="19">
        <v>0.46533271288971612</v>
      </c>
      <c r="I5" s="19">
        <v>1.0876658690450294</v>
      </c>
      <c r="J5" s="19">
        <v>2.6497085320614731</v>
      </c>
      <c r="K5" s="59" t="str">
        <f t="shared" ref="K5:K32" si="0">CONCATENATE(TEXT(I5,"0.00")," (",TEXT(H5,"0.00")," – ",TEXT(J5,"0.00"),")")</f>
        <v>1.09 (0.47 – 2.65)</v>
      </c>
      <c r="L5" s="16" t="str">
        <f t="shared" ref="L5:L32" si="1">CONCATENATE(TEXT(I5,"0.00"),"
(",TEXT(H5,"0.00")," – ",TEXT(J5,"0.00"),")")</f>
        <v>1.09
(0.47 – 2.65)</v>
      </c>
      <c r="N5" s="59" t="s">
        <v>408</v>
      </c>
      <c r="O5" s="16" t="s">
        <v>633</v>
      </c>
      <c r="P5">
        <v>0.77939999999999998</v>
      </c>
      <c r="Q5">
        <v>1.0960000000000001</v>
      </c>
      <c r="R5">
        <v>1.5489999999999999</v>
      </c>
      <c r="S5">
        <v>2</v>
      </c>
      <c r="T5">
        <v>1</v>
      </c>
    </row>
    <row r="6" spans="1:20" x14ac:dyDescent="0.25">
      <c r="A6" t="s">
        <v>355</v>
      </c>
      <c r="B6" s="19">
        <v>4</v>
      </c>
      <c r="C6" s="19">
        <v>1.9890000000000001</v>
      </c>
      <c r="E6" s="19">
        <v>7</v>
      </c>
      <c r="F6" s="59">
        <v>8</v>
      </c>
      <c r="G6" s="54" t="s">
        <v>671</v>
      </c>
      <c r="H6" s="16">
        <v>0.50050050050050054</v>
      </c>
      <c r="I6" s="16">
        <v>0.98425196850393704</v>
      </c>
      <c r="J6" s="16">
        <v>1.9230769230769229</v>
      </c>
      <c r="K6" s="59" t="str">
        <f t="shared" si="0"/>
        <v>0.98 (0.50 – 1.92)</v>
      </c>
      <c r="L6" s="16" t="str">
        <f t="shared" si="1"/>
        <v>0.98
(0.50 – 1.92)</v>
      </c>
      <c r="N6" s="59" t="s">
        <v>409</v>
      </c>
      <c r="O6" s="16" t="s">
        <v>634</v>
      </c>
      <c r="P6">
        <v>0.40100000000000002</v>
      </c>
      <c r="Q6">
        <v>0.68210000000000004</v>
      </c>
      <c r="R6">
        <v>1.135</v>
      </c>
      <c r="S6">
        <v>3</v>
      </c>
      <c r="T6">
        <v>1</v>
      </c>
    </row>
    <row r="7" spans="1:20" x14ac:dyDescent="0.25">
      <c r="A7" t="s">
        <v>352</v>
      </c>
      <c r="B7" s="19">
        <v>1</v>
      </c>
      <c r="C7" s="19">
        <v>3.7120000000000002</v>
      </c>
      <c r="E7" s="19">
        <v>6</v>
      </c>
      <c r="F7" s="19">
        <v>7</v>
      </c>
      <c r="G7" s="19" t="s">
        <v>739</v>
      </c>
      <c r="H7" s="19">
        <v>0.25458248472505091</v>
      </c>
      <c r="I7" s="19">
        <v>0.91324200913242015</v>
      </c>
      <c r="J7" s="19">
        <v>3.2247662044501775</v>
      </c>
      <c r="K7" s="59" t="str">
        <f t="shared" si="0"/>
        <v>0.91 (0.25 – 3.22)</v>
      </c>
      <c r="L7" s="16" t="str">
        <f t="shared" si="1"/>
        <v>0.91
(0.25 – 3.22)</v>
      </c>
      <c r="N7" s="59" t="s">
        <v>410</v>
      </c>
      <c r="O7" s="16" t="s">
        <v>635</v>
      </c>
      <c r="P7">
        <v>0.25359999999999999</v>
      </c>
      <c r="Q7">
        <v>0.62890000000000001</v>
      </c>
      <c r="R7">
        <v>1.5269999999999999</v>
      </c>
      <c r="S7">
        <v>4</v>
      </c>
      <c r="T7">
        <v>1</v>
      </c>
    </row>
    <row r="8" spans="1:20" x14ac:dyDescent="0.25">
      <c r="A8" t="s">
        <v>353</v>
      </c>
      <c r="B8" s="19">
        <v>2</v>
      </c>
      <c r="C8" s="19">
        <v>4.492</v>
      </c>
      <c r="E8" s="19">
        <v>1</v>
      </c>
      <c r="F8" s="59">
        <v>2</v>
      </c>
      <c r="G8" s="54" t="s">
        <v>668</v>
      </c>
      <c r="H8" s="16">
        <v>0.64557779212395094</v>
      </c>
      <c r="I8" s="16">
        <v>0.91240875912408748</v>
      </c>
      <c r="J8" s="16">
        <v>1.2830382345393894</v>
      </c>
      <c r="K8" s="59" t="str">
        <f t="shared" si="0"/>
        <v>0.91 (0.65 – 1.28)</v>
      </c>
      <c r="L8" s="16" t="str">
        <f t="shared" si="1"/>
        <v>0.91
(0.65 – 1.28)</v>
      </c>
      <c r="N8" s="59" t="s">
        <v>411</v>
      </c>
      <c r="O8" s="16" t="s">
        <v>636</v>
      </c>
      <c r="P8">
        <v>0.72929999999999995</v>
      </c>
      <c r="Q8">
        <v>2.3679999999999999</v>
      </c>
      <c r="R8">
        <v>8.016</v>
      </c>
      <c r="S8">
        <v>5</v>
      </c>
      <c r="T8">
        <v>1</v>
      </c>
    </row>
    <row r="9" spans="1:20" x14ac:dyDescent="0.25">
      <c r="A9" t="s">
        <v>358</v>
      </c>
      <c r="B9" s="19">
        <v>6</v>
      </c>
      <c r="C9" s="19">
        <v>5.0170000000000003</v>
      </c>
      <c r="E9" s="19">
        <v>6</v>
      </c>
      <c r="F9" s="59">
        <v>8</v>
      </c>
      <c r="G9" s="54" t="s">
        <v>674</v>
      </c>
      <c r="H9" s="16">
        <v>0.27517886626307103</v>
      </c>
      <c r="I9" s="16">
        <v>0.90334236675700097</v>
      </c>
      <c r="J9" s="16">
        <v>2.8818443804034586</v>
      </c>
      <c r="K9" s="59" t="str">
        <f t="shared" si="0"/>
        <v>0.90 (0.28 – 2.88)</v>
      </c>
      <c r="L9" s="16" t="str">
        <f t="shared" si="1"/>
        <v>0.90
(0.28 – 2.88)</v>
      </c>
      <c r="N9" s="59" t="s">
        <v>412</v>
      </c>
      <c r="O9" s="16" t="s">
        <v>637</v>
      </c>
      <c r="P9">
        <v>0.40429999999999999</v>
      </c>
      <c r="Q9">
        <v>1.2470000000000001</v>
      </c>
      <c r="R9">
        <v>3.7639999999999998</v>
      </c>
      <c r="S9">
        <v>6</v>
      </c>
      <c r="T9">
        <v>1</v>
      </c>
    </row>
    <row r="10" spans="1:20" x14ac:dyDescent="0.25">
      <c r="A10" t="s">
        <v>359</v>
      </c>
      <c r="B10" s="54">
        <v>7</v>
      </c>
      <c r="C10" s="54">
        <v>5.7539999999999996</v>
      </c>
      <c r="E10" s="19">
        <v>2</v>
      </c>
      <c r="F10" s="19">
        <v>6</v>
      </c>
      <c r="G10" s="19" t="s">
        <v>672</v>
      </c>
      <c r="H10" s="19">
        <v>0.30656039239730226</v>
      </c>
      <c r="I10" s="19">
        <v>0.88339222614840995</v>
      </c>
      <c r="J10" s="19">
        <v>2.5451768897938405</v>
      </c>
      <c r="K10" s="59" t="str">
        <f t="shared" si="0"/>
        <v>0.88 (0.31 – 2.55)</v>
      </c>
      <c r="L10" s="16" t="str">
        <f t="shared" si="1"/>
        <v>0.88
(0.31 – 2.55)</v>
      </c>
      <c r="N10" s="59" t="s">
        <v>413</v>
      </c>
      <c r="O10" s="16" t="s">
        <v>638</v>
      </c>
      <c r="P10">
        <v>0.78469999999999995</v>
      </c>
      <c r="Q10">
        <v>1.3560000000000001</v>
      </c>
      <c r="R10">
        <v>2.323</v>
      </c>
      <c r="S10">
        <v>7</v>
      </c>
      <c r="T10">
        <v>1</v>
      </c>
    </row>
    <row r="11" spans="1:20" x14ac:dyDescent="0.25">
      <c r="A11" t="s">
        <v>360</v>
      </c>
      <c r="B11" s="19">
        <v>8</v>
      </c>
      <c r="C11" s="19">
        <v>5.9930000000000003</v>
      </c>
      <c r="E11" s="19">
        <v>2</v>
      </c>
      <c r="F11" s="19">
        <v>7</v>
      </c>
      <c r="G11" s="19" t="s">
        <v>737</v>
      </c>
      <c r="H11" s="19">
        <v>0.42535091450446622</v>
      </c>
      <c r="I11" s="19">
        <v>0.81499592502037488</v>
      </c>
      <c r="J11" s="19">
        <v>1.5448787270199289</v>
      </c>
      <c r="K11" s="59" t="str">
        <f t="shared" si="0"/>
        <v>0.81 (0.43 – 1.54)</v>
      </c>
      <c r="L11" s="16" t="str">
        <f t="shared" si="1"/>
        <v>0.81
(0.43 – 1.54)</v>
      </c>
      <c r="N11" s="59" t="s">
        <v>414</v>
      </c>
      <c r="O11" s="16" t="s">
        <v>639</v>
      </c>
      <c r="P11">
        <v>0.89390000000000003</v>
      </c>
      <c r="Q11">
        <v>1.367</v>
      </c>
      <c r="R11">
        <v>2.2029999999999998</v>
      </c>
      <c r="S11">
        <v>8</v>
      </c>
      <c r="T11">
        <v>1</v>
      </c>
    </row>
    <row r="12" spans="1:20" x14ac:dyDescent="0.25">
      <c r="A12" t="s">
        <v>356</v>
      </c>
      <c r="B12" s="54">
        <v>5</v>
      </c>
      <c r="C12" s="54">
        <v>7.157</v>
      </c>
      <c r="E12" s="19">
        <v>1</v>
      </c>
      <c r="F12" s="19">
        <v>6</v>
      </c>
      <c r="G12" s="19" t="s">
        <v>669</v>
      </c>
      <c r="H12" s="19">
        <v>0.26567481402763021</v>
      </c>
      <c r="I12" s="19">
        <v>0.80192461908580581</v>
      </c>
      <c r="J12" s="19">
        <v>2.4734108335394511</v>
      </c>
      <c r="K12" s="59" t="str">
        <f t="shared" si="0"/>
        <v>0.80 (0.27 – 2.47)</v>
      </c>
      <c r="L12" s="16" t="str">
        <f t="shared" si="1"/>
        <v>0.80
(0.27 – 2.47)</v>
      </c>
      <c r="N12" s="59" t="s">
        <v>415</v>
      </c>
      <c r="O12" s="16" t="s">
        <v>640</v>
      </c>
      <c r="P12">
        <v>0.36149999999999999</v>
      </c>
      <c r="Q12">
        <v>0.62009999999999998</v>
      </c>
      <c r="R12">
        <v>1.03</v>
      </c>
      <c r="S12">
        <v>3</v>
      </c>
      <c r="T12">
        <v>2</v>
      </c>
    </row>
    <row r="13" spans="1:20" x14ac:dyDescent="0.25">
      <c r="E13" s="19">
        <v>2</v>
      </c>
      <c r="F13" s="59">
        <v>8</v>
      </c>
      <c r="G13" s="54" t="s">
        <v>673</v>
      </c>
      <c r="H13" s="16">
        <v>0.47801147227533458</v>
      </c>
      <c r="I13" s="16">
        <v>0.79936051159072752</v>
      </c>
      <c r="J13" s="16">
        <v>1.3220518244315178</v>
      </c>
      <c r="K13" s="59" t="str">
        <f t="shared" si="0"/>
        <v>0.80 (0.48 – 1.32)</v>
      </c>
      <c r="L13" s="16" t="str">
        <f t="shared" si="1"/>
        <v>0.80
(0.48 – 1.32)</v>
      </c>
      <c r="N13" s="59" t="s">
        <v>416</v>
      </c>
      <c r="O13" s="16" t="s">
        <v>641</v>
      </c>
      <c r="P13">
        <v>0.221</v>
      </c>
      <c r="Q13">
        <v>0.57340000000000002</v>
      </c>
      <c r="R13">
        <v>1.3839999999999999</v>
      </c>
      <c r="S13">
        <v>4</v>
      </c>
      <c r="T13">
        <v>2</v>
      </c>
    </row>
    <row r="14" spans="1:20" x14ac:dyDescent="0.25">
      <c r="E14" s="19">
        <v>1</v>
      </c>
      <c r="F14" s="19">
        <v>7</v>
      </c>
      <c r="G14" s="19" t="s">
        <v>667</v>
      </c>
      <c r="H14" s="19">
        <v>0.43047783039173482</v>
      </c>
      <c r="I14" s="19">
        <v>0.73746312684365778</v>
      </c>
      <c r="J14" s="19">
        <v>1.2743723716069837</v>
      </c>
      <c r="K14" s="59" t="str">
        <f t="shared" si="0"/>
        <v>0.74 (0.43 – 1.27)</v>
      </c>
      <c r="L14" s="16" t="str">
        <f t="shared" si="1"/>
        <v>0.74
(0.43 – 1.27)</v>
      </c>
      <c r="N14" s="59" t="s">
        <v>417</v>
      </c>
      <c r="O14" s="16" t="s">
        <v>642</v>
      </c>
      <c r="P14">
        <v>0.71150000000000002</v>
      </c>
      <c r="Q14">
        <v>2.1419999999999999</v>
      </c>
      <c r="R14">
        <v>6.8550000000000004</v>
      </c>
      <c r="S14">
        <v>5</v>
      </c>
      <c r="T14">
        <v>2</v>
      </c>
    </row>
    <row r="15" spans="1:20" ht="15" customHeight="1" x14ac:dyDescent="0.25">
      <c r="E15" s="19">
        <v>1</v>
      </c>
      <c r="F15" s="19">
        <v>8</v>
      </c>
      <c r="G15" s="19" t="s">
        <v>670</v>
      </c>
      <c r="H15" s="19">
        <v>0.45392646391284613</v>
      </c>
      <c r="I15" s="19">
        <v>0.73152889539136801</v>
      </c>
      <c r="J15" s="19">
        <v>1.1186933661483387</v>
      </c>
      <c r="K15" s="59" t="str">
        <f t="shared" si="0"/>
        <v>0.73 (0.45 – 1.12)</v>
      </c>
      <c r="L15" s="16" t="str">
        <f t="shared" si="1"/>
        <v>0.73
(0.45 – 1.12)</v>
      </c>
      <c r="N15" s="59" t="s">
        <v>418</v>
      </c>
      <c r="O15" s="16" t="s">
        <v>643</v>
      </c>
      <c r="P15">
        <v>0.39290000000000003</v>
      </c>
      <c r="Q15">
        <v>1.1319999999999999</v>
      </c>
      <c r="R15">
        <v>3.262</v>
      </c>
      <c r="S15">
        <v>6</v>
      </c>
      <c r="T15">
        <v>2</v>
      </c>
    </row>
    <row r="16" spans="1:20" ht="15" customHeight="1" x14ac:dyDescent="0.25">
      <c r="E16" s="19">
        <v>3</v>
      </c>
      <c r="F16" s="19">
        <v>1</v>
      </c>
      <c r="G16" s="19" t="s">
        <v>634</v>
      </c>
      <c r="H16" s="19">
        <v>0.40100000000000002</v>
      </c>
      <c r="I16" s="19">
        <v>0.68210000000000004</v>
      </c>
      <c r="J16" s="19">
        <v>1.135</v>
      </c>
      <c r="K16" s="59" t="str">
        <f t="shared" si="0"/>
        <v>0.68 (0.40 – 1.14)</v>
      </c>
      <c r="L16" s="16" t="str">
        <f t="shared" si="1"/>
        <v>0.68
(0.40 – 1.14)</v>
      </c>
      <c r="N16" s="59" t="s">
        <v>419</v>
      </c>
      <c r="O16" s="16" t="s">
        <v>644</v>
      </c>
      <c r="P16">
        <v>0.64729999999999999</v>
      </c>
      <c r="Q16">
        <v>1.2270000000000001</v>
      </c>
      <c r="R16">
        <v>2.351</v>
      </c>
      <c r="S16">
        <v>7</v>
      </c>
      <c r="T16">
        <v>2</v>
      </c>
    </row>
    <row r="17" spans="5:20" ht="15" customHeight="1" x14ac:dyDescent="0.25">
      <c r="E17" s="19">
        <v>4</v>
      </c>
      <c r="F17" s="59">
        <v>1</v>
      </c>
      <c r="G17" s="54" t="s">
        <v>635</v>
      </c>
      <c r="H17" s="16">
        <v>0.25359999999999999</v>
      </c>
      <c r="I17" s="16">
        <v>0.62890000000000001</v>
      </c>
      <c r="J17" s="16">
        <v>1.5269999999999999</v>
      </c>
      <c r="K17" s="59" t="str">
        <f t="shared" si="0"/>
        <v>0.63 (0.25 – 1.53)</v>
      </c>
      <c r="L17" s="16" t="str">
        <f t="shared" si="1"/>
        <v>0.63
(0.25 – 1.53)</v>
      </c>
      <c r="N17" s="59" t="s">
        <v>420</v>
      </c>
      <c r="O17" s="16" t="s">
        <v>645</v>
      </c>
      <c r="P17">
        <v>0.75639999999999996</v>
      </c>
      <c r="Q17">
        <v>1.2509999999999999</v>
      </c>
      <c r="R17">
        <v>2.0920000000000001</v>
      </c>
      <c r="S17">
        <v>8</v>
      </c>
      <c r="T17">
        <v>2</v>
      </c>
    </row>
    <row r="18" spans="5:20" ht="15" customHeight="1" x14ac:dyDescent="0.25">
      <c r="E18" s="19">
        <v>3</v>
      </c>
      <c r="F18" s="19">
        <v>2</v>
      </c>
      <c r="G18" s="19" t="s">
        <v>640</v>
      </c>
      <c r="H18" s="19">
        <v>0.36149999999999999</v>
      </c>
      <c r="I18" s="19">
        <v>0.62009999999999998</v>
      </c>
      <c r="J18" s="19">
        <v>1.03</v>
      </c>
      <c r="K18" s="59" t="str">
        <f t="shared" si="0"/>
        <v>0.62 (0.36 – 1.03)</v>
      </c>
      <c r="L18" s="16" t="str">
        <f t="shared" si="1"/>
        <v>0.62
(0.36 – 1.03)</v>
      </c>
      <c r="N18" s="59" t="s">
        <v>421</v>
      </c>
      <c r="O18" s="16" t="s">
        <v>646</v>
      </c>
      <c r="P18">
        <v>0.37740000000000001</v>
      </c>
      <c r="Q18">
        <v>0.9194</v>
      </c>
      <c r="R18">
        <v>2.149</v>
      </c>
      <c r="S18">
        <v>4</v>
      </c>
      <c r="T18">
        <v>3</v>
      </c>
    </row>
    <row r="19" spans="5:20" ht="15" customHeight="1" x14ac:dyDescent="0.25">
      <c r="E19" s="19">
        <v>8</v>
      </c>
      <c r="F19" s="19">
        <v>5</v>
      </c>
      <c r="G19" s="19" t="s">
        <v>657</v>
      </c>
      <c r="H19" s="19">
        <v>0.1663</v>
      </c>
      <c r="I19" s="19">
        <v>0.58250000000000002</v>
      </c>
      <c r="J19" s="19">
        <v>2.024</v>
      </c>
      <c r="K19" s="59" t="str">
        <f t="shared" si="0"/>
        <v>0.58 (0.17 – 2.02)</v>
      </c>
      <c r="L19" s="16" t="str">
        <f t="shared" si="1"/>
        <v>0.58
(0.17 – 2.02)</v>
      </c>
      <c r="N19" s="59" t="s">
        <v>422</v>
      </c>
      <c r="O19" s="16" t="s">
        <v>647</v>
      </c>
      <c r="P19">
        <v>0.99950000000000006</v>
      </c>
      <c r="Q19">
        <v>3.4860000000000002</v>
      </c>
      <c r="R19">
        <v>12.43</v>
      </c>
      <c r="S19">
        <v>5</v>
      </c>
      <c r="T19">
        <v>3</v>
      </c>
    </row>
    <row r="20" spans="5:20" ht="15" customHeight="1" x14ac:dyDescent="0.25">
      <c r="E20" s="19">
        <v>4</v>
      </c>
      <c r="F20" s="59">
        <v>2</v>
      </c>
      <c r="G20" s="54" t="s">
        <v>641</v>
      </c>
      <c r="H20" s="16">
        <v>0.221</v>
      </c>
      <c r="I20" s="16">
        <v>0.57340000000000002</v>
      </c>
      <c r="J20" s="16">
        <v>1.3839999999999999</v>
      </c>
      <c r="K20" s="59" t="str">
        <f t="shared" si="0"/>
        <v>0.57 (0.22 – 1.38)</v>
      </c>
      <c r="L20" s="16" t="str">
        <f t="shared" si="1"/>
        <v>0.57
(0.22 – 1.38)</v>
      </c>
      <c r="N20" s="59" t="s">
        <v>423</v>
      </c>
      <c r="O20" s="16" t="s">
        <v>648</v>
      </c>
      <c r="P20">
        <v>0.54569999999999996</v>
      </c>
      <c r="Q20">
        <v>1.8220000000000001</v>
      </c>
      <c r="R20">
        <v>5.9119999999999999</v>
      </c>
      <c r="S20">
        <v>6</v>
      </c>
      <c r="T20">
        <v>3</v>
      </c>
    </row>
    <row r="21" spans="5:20" ht="15" customHeight="1" x14ac:dyDescent="0.25">
      <c r="E21" s="19">
        <v>7</v>
      </c>
      <c r="F21" s="19">
        <v>5</v>
      </c>
      <c r="G21" s="19" t="s">
        <v>656</v>
      </c>
      <c r="H21" s="19">
        <v>0.15809999999999999</v>
      </c>
      <c r="I21" s="19">
        <v>0.5706</v>
      </c>
      <c r="J21" s="19">
        <v>2.1070000000000002</v>
      </c>
      <c r="K21" s="59" t="str">
        <f t="shared" si="0"/>
        <v>0.57 (0.16 – 2.11)</v>
      </c>
      <c r="L21" s="16" t="str">
        <f t="shared" si="1"/>
        <v>0.57
(0.16 – 2.11)</v>
      </c>
      <c r="N21" s="59" t="s">
        <v>424</v>
      </c>
      <c r="O21" s="16" t="s">
        <v>649</v>
      </c>
      <c r="P21">
        <v>0.98199999999999998</v>
      </c>
      <c r="Q21">
        <v>1.9850000000000001</v>
      </c>
      <c r="R21">
        <v>4.157</v>
      </c>
      <c r="S21">
        <v>7</v>
      </c>
      <c r="T21">
        <v>3</v>
      </c>
    </row>
    <row r="22" spans="5:20" ht="15" customHeight="1" x14ac:dyDescent="0.25">
      <c r="E22" s="19">
        <v>3</v>
      </c>
      <c r="F22" s="19">
        <v>6</v>
      </c>
      <c r="G22" s="19" t="s">
        <v>665</v>
      </c>
      <c r="H22" s="19">
        <v>0.16914749661705006</v>
      </c>
      <c r="I22" s="19">
        <v>0.54884742041712398</v>
      </c>
      <c r="J22" s="19">
        <v>1.8325087044163462</v>
      </c>
      <c r="K22" s="59" t="str">
        <f t="shared" si="0"/>
        <v>0.55 (0.17 – 1.83)</v>
      </c>
      <c r="L22" s="16" t="str">
        <f t="shared" si="1"/>
        <v>0.55
(0.17 – 1.83)</v>
      </c>
      <c r="N22" s="59" t="s">
        <v>425</v>
      </c>
      <c r="O22" s="16" t="s">
        <v>650</v>
      </c>
      <c r="P22">
        <v>1.1870000000000001</v>
      </c>
      <c r="Q22">
        <v>2.0110000000000001</v>
      </c>
      <c r="R22">
        <v>3.56</v>
      </c>
      <c r="S22">
        <v>8</v>
      </c>
      <c r="T22">
        <v>3</v>
      </c>
    </row>
    <row r="23" spans="5:20" ht="15" customHeight="1" x14ac:dyDescent="0.25">
      <c r="E23" s="19">
        <v>6</v>
      </c>
      <c r="F23" s="19">
        <v>5</v>
      </c>
      <c r="G23" s="19" t="s">
        <v>655</v>
      </c>
      <c r="H23" s="19">
        <v>0.109</v>
      </c>
      <c r="I23" s="19">
        <v>0.53359999999999996</v>
      </c>
      <c r="J23" s="19">
        <v>2.4140000000000001</v>
      </c>
      <c r="K23" s="59" t="str">
        <f t="shared" si="0"/>
        <v>0.53 (0.11 – 2.41)</v>
      </c>
      <c r="L23" s="16" t="str">
        <f t="shared" si="1"/>
        <v>0.53
(0.11 – 2.41)</v>
      </c>
      <c r="N23" s="59" t="s">
        <v>426</v>
      </c>
      <c r="O23" s="16" t="s">
        <v>651</v>
      </c>
      <c r="P23">
        <v>0.90480000000000005</v>
      </c>
      <c r="Q23">
        <v>3.7349999999999999</v>
      </c>
      <c r="R23">
        <v>15.61</v>
      </c>
      <c r="S23">
        <v>5</v>
      </c>
      <c r="T23">
        <v>4</v>
      </c>
    </row>
    <row r="24" spans="5:20" ht="15" customHeight="1" x14ac:dyDescent="0.25">
      <c r="E24" s="19">
        <v>3</v>
      </c>
      <c r="F24" s="19">
        <v>7</v>
      </c>
      <c r="G24" s="19" t="s">
        <v>664</v>
      </c>
      <c r="H24" s="19">
        <v>0.24055809477988935</v>
      </c>
      <c r="I24" s="19">
        <v>0.50377833753148615</v>
      </c>
      <c r="J24" s="19">
        <v>1.0183299389002036</v>
      </c>
      <c r="K24" s="59" t="str">
        <f t="shared" si="0"/>
        <v>0.50 (0.24 – 1.02)</v>
      </c>
      <c r="L24" s="16" t="str">
        <f t="shared" si="1"/>
        <v>0.50
(0.24 – 1.02)</v>
      </c>
      <c r="N24" s="59" t="s">
        <v>427</v>
      </c>
      <c r="O24" s="16" t="s">
        <v>652</v>
      </c>
      <c r="P24">
        <v>0.47420000000000001</v>
      </c>
      <c r="Q24">
        <v>2.0049999999999999</v>
      </c>
      <c r="R24">
        <v>7.6790000000000003</v>
      </c>
      <c r="S24">
        <v>6</v>
      </c>
      <c r="T24">
        <v>4</v>
      </c>
    </row>
    <row r="25" spans="5:20" ht="15" customHeight="1" x14ac:dyDescent="0.25">
      <c r="E25" s="19">
        <v>4</v>
      </c>
      <c r="F25" s="19">
        <v>6</v>
      </c>
      <c r="G25" s="19" t="s">
        <v>662</v>
      </c>
      <c r="H25" s="19">
        <v>0.13022528975126968</v>
      </c>
      <c r="I25" s="19">
        <v>0.49875311720698257</v>
      </c>
      <c r="J25" s="19">
        <v>2.1088148460565161</v>
      </c>
      <c r="K25" s="59" t="str">
        <f t="shared" si="0"/>
        <v>0.50 (0.13 – 2.11)</v>
      </c>
      <c r="L25" s="16" t="str">
        <f t="shared" si="1"/>
        <v>0.50
(0.13 – 2.11)</v>
      </c>
      <c r="N25" s="59" t="s">
        <v>428</v>
      </c>
      <c r="O25" s="16" t="s">
        <v>653</v>
      </c>
      <c r="P25">
        <v>0.7903</v>
      </c>
      <c r="Q25">
        <v>2.161</v>
      </c>
      <c r="R25">
        <v>6.0129999999999999</v>
      </c>
      <c r="S25">
        <v>7</v>
      </c>
      <c r="T25">
        <v>4</v>
      </c>
    </row>
    <row r="26" spans="5:20" ht="15" customHeight="1" x14ac:dyDescent="0.25">
      <c r="E26" s="19">
        <v>3</v>
      </c>
      <c r="F26" s="19">
        <v>8</v>
      </c>
      <c r="G26" s="19" t="s">
        <v>666</v>
      </c>
      <c r="H26" s="19">
        <v>0.2808988764044944</v>
      </c>
      <c r="I26" s="19">
        <v>0.49726504226752855</v>
      </c>
      <c r="J26" s="19">
        <v>0.84245998315080028</v>
      </c>
      <c r="K26" s="59" t="str">
        <f t="shared" si="0"/>
        <v>0.50 (0.28 – 0.84)</v>
      </c>
      <c r="L26" s="16" t="str">
        <f t="shared" si="1"/>
        <v>0.50
(0.28 – 0.84)</v>
      </c>
      <c r="N26" s="59" t="s">
        <v>429</v>
      </c>
      <c r="O26" s="16" t="s">
        <v>654</v>
      </c>
      <c r="P26">
        <v>0.89429999999999998</v>
      </c>
      <c r="Q26">
        <v>2.1669999999999998</v>
      </c>
      <c r="R26">
        <v>5.76</v>
      </c>
      <c r="S26">
        <v>8</v>
      </c>
      <c r="T26">
        <v>4</v>
      </c>
    </row>
    <row r="27" spans="5:20" ht="15" customHeight="1" x14ac:dyDescent="0.25">
      <c r="E27" s="19">
        <v>2</v>
      </c>
      <c r="F27" s="19">
        <v>5</v>
      </c>
      <c r="G27" s="19" t="s">
        <v>738</v>
      </c>
      <c r="H27" s="19">
        <v>0.14587892049598833</v>
      </c>
      <c r="I27" s="19">
        <v>0.46685340802987862</v>
      </c>
      <c r="J27" s="19">
        <v>1.4054813773717498</v>
      </c>
      <c r="K27" s="59" t="str">
        <f t="shared" si="0"/>
        <v>0.47 (0.15 – 1.41)</v>
      </c>
      <c r="L27" s="16" t="str">
        <f t="shared" si="1"/>
        <v>0.47
(0.15 – 1.41)</v>
      </c>
      <c r="N27" s="59" t="s">
        <v>430</v>
      </c>
      <c r="O27" s="16" t="s">
        <v>655</v>
      </c>
      <c r="P27">
        <v>0.109</v>
      </c>
      <c r="Q27">
        <v>0.53359999999999996</v>
      </c>
      <c r="R27">
        <v>2.4140000000000001</v>
      </c>
      <c r="S27">
        <v>6</v>
      </c>
      <c r="T27">
        <v>5</v>
      </c>
    </row>
    <row r="28" spans="5:20" ht="15" customHeight="1" x14ac:dyDescent="0.25">
      <c r="E28" s="19">
        <v>4</v>
      </c>
      <c r="F28" s="59">
        <v>7</v>
      </c>
      <c r="G28" s="54" t="s">
        <v>661</v>
      </c>
      <c r="H28" s="16">
        <v>0.16630633627141195</v>
      </c>
      <c r="I28" s="16">
        <v>0.46274872744099954</v>
      </c>
      <c r="J28" s="16">
        <v>1.2653422750854106</v>
      </c>
      <c r="K28" s="59" t="str">
        <f t="shared" si="0"/>
        <v>0.46 (0.17 – 1.27)</v>
      </c>
      <c r="L28" s="16" t="str">
        <f t="shared" si="1"/>
        <v>0.46
(0.17 – 1.27)</v>
      </c>
      <c r="N28" s="59" t="s">
        <v>431</v>
      </c>
      <c r="O28" s="16" t="s">
        <v>656</v>
      </c>
      <c r="P28">
        <v>0.15809999999999999</v>
      </c>
      <c r="Q28">
        <v>0.5706</v>
      </c>
      <c r="R28">
        <v>2.1070000000000002</v>
      </c>
      <c r="S28">
        <v>7</v>
      </c>
      <c r="T28">
        <v>5</v>
      </c>
    </row>
    <row r="29" spans="5:20" ht="15" customHeight="1" x14ac:dyDescent="0.25">
      <c r="E29" s="19">
        <v>4</v>
      </c>
      <c r="F29" s="59">
        <v>8</v>
      </c>
      <c r="G29" s="54" t="s">
        <v>663</v>
      </c>
      <c r="H29" s="16">
        <v>0.1736111111111111</v>
      </c>
      <c r="I29" s="16">
        <v>0.46146746654360871</v>
      </c>
      <c r="J29" s="16">
        <v>1.1181930001118192</v>
      </c>
      <c r="K29" s="59" t="str">
        <f t="shared" si="0"/>
        <v>0.46 (0.17 – 1.12)</v>
      </c>
      <c r="L29" s="16" t="str">
        <f t="shared" si="1"/>
        <v>0.46
(0.17 – 1.12)</v>
      </c>
      <c r="N29" s="59" t="s">
        <v>432</v>
      </c>
      <c r="O29" s="16" t="s">
        <v>657</v>
      </c>
      <c r="P29">
        <v>0.1663</v>
      </c>
      <c r="Q29">
        <v>0.58250000000000002</v>
      </c>
      <c r="R29">
        <v>2.024</v>
      </c>
      <c r="S29">
        <v>8</v>
      </c>
      <c r="T29">
        <v>5</v>
      </c>
    </row>
    <row r="30" spans="5:20" ht="15" customHeight="1" x14ac:dyDescent="0.25">
      <c r="E30" s="19">
        <v>1</v>
      </c>
      <c r="F30" s="59">
        <v>5</v>
      </c>
      <c r="G30" s="54" t="s">
        <v>736</v>
      </c>
      <c r="H30" s="16">
        <v>0.124750499001996</v>
      </c>
      <c r="I30" s="16">
        <v>0.42229729729729731</v>
      </c>
      <c r="J30" s="16">
        <v>1.3711778417660772</v>
      </c>
      <c r="K30" s="59" t="str">
        <f t="shared" si="0"/>
        <v>0.42 (0.12 – 1.37)</v>
      </c>
      <c r="L30" s="16" t="str">
        <f t="shared" si="1"/>
        <v>0.42
(0.12 – 1.37)</v>
      </c>
      <c r="N30" s="59" t="s">
        <v>433</v>
      </c>
      <c r="O30" s="16" t="s">
        <v>658</v>
      </c>
      <c r="P30">
        <v>0.31009999999999999</v>
      </c>
      <c r="Q30">
        <v>1.095</v>
      </c>
      <c r="R30">
        <v>3.9279999999999999</v>
      </c>
      <c r="S30">
        <v>7</v>
      </c>
      <c r="T30">
        <v>6</v>
      </c>
    </row>
    <row r="31" spans="5:20" ht="15" customHeight="1" x14ac:dyDescent="0.25">
      <c r="E31" s="19">
        <v>3</v>
      </c>
      <c r="F31" s="19">
        <v>5</v>
      </c>
      <c r="G31" s="19" t="s">
        <v>734</v>
      </c>
      <c r="H31" s="19">
        <v>8.0450522928399035E-2</v>
      </c>
      <c r="I31" s="19">
        <v>0.28686173264486514</v>
      </c>
      <c r="J31" s="19">
        <v>1.0005002501250624</v>
      </c>
      <c r="K31" s="59" t="str">
        <f t="shared" si="0"/>
        <v>0.29 (0.08 – 1.00)</v>
      </c>
      <c r="L31" s="16" t="str">
        <f t="shared" si="1"/>
        <v>0.29
(0.08 – 1.00)</v>
      </c>
      <c r="N31" s="59" t="s">
        <v>434</v>
      </c>
      <c r="O31" s="16" t="s">
        <v>659</v>
      </c>
      <c r="P31">
        <v>0.34699999999999998</v>
      </c>
      <c r="Q31">
        <v>1.107</v>
      </c>
      <c r="R31">
        <v>3.6339999999999999</v>
      </c>
      <c r="S31">
        <v>8</v>
      </c>
      <c r="T31">
        <v>6</v>
      </c>
    </row>
    <row r="32" spans="5:20" ht="15" customHeight="1" x14ac:dyDescent="0.25">
      <c r="E32" s="19">
        <v>4</v>
      </c>
      <c r="F32" s="59">
        <v>5</v>
      </c>
      <c r="G32" s="54" t="s">
        <v>735</v>
      </c>
      <c r="H32" s="16">
        <v>6.4061499039077513E-2</v>
      </c>
      <c r="I32" s="16">
        <v>0.2677376171352075</v>
      </c>
      <c r="J32" s="16">
        <v>1.1052166224580018</v>
      </c>
      <c r="K32" s="59" t="str">
        <f t="shared" si="0"/>
        <v>0.27 (0.06 – 1.11)</v>
      </c>
      <c r="L32" s="16" t="str">
        <f t="shared" si="1"/>
        <v>0.27
(0.06 – 1.11)</v>
      </c>
      <c r="N32" s="59" t="s">
        <v>435</v>
      </c>
      <c r="O32" s="16" t="s">
        <v>660</v>
      </c>
      <c r="P32">
        <v>0.52</v>
      </c>
      <c r="Q32">
        <v>1.016</v>
      </c>
      <c r="R32">
        <v>1.998</v>
      </c>
      <c r="S32">
        <v>8</v>
      </c>
      <c r="T32">
        <v>7</v>
      </c>
    </row>
    <row r="33" spans="3:15" ht="15" hidden="1" customHeight="1" x14ac:dyDescent="0.25">
      <c r="K33" s="59" t="str">
        <f t="shared" ref="K33:K68" si="2">CONCATENATE(TEXT(I33,"0.00")," (",TEXT(H33,"0.00")," – ",TEXT(J33,"0.00"),")")</f>
        <v>0.00 (0.00 – 0.00)</v>
      </c>
      <c r="L33" s="16" t="str">
        <f t="shared" ref="L33:L69" si="3">CONCATENATE(TEXT(I33,"0.00"),"
(",TEXT(H33,"0.00")," – ",TEXT(J33,"0.00"),")")</f>
        <v>0.00
(0.00 – 0.00)</v>
      </c>
      <c r="N33" s="59"/>
      <c r="O33" s="16"/>
    </row>
    <row r="34" spans="3:15" ht="15" hidden="1" customHeight="1" x14ac:dyDescent="0.25">
      <c r="K34" s="59" t="str">
        <f t="shared" si="2"/>
        <v>0.00 (0.00 – 0.00)</v>
      </c>
      <c r="L34" s="16" t="str">
        <f t="shared" si="3"/>
        <v>0.00
(0.00 – 0.00)</v>
      </c>
      <c r="N34" s="59"/>
      <c r="O34" s="16"/>
    </row>
    <row r="35" spans="3:15" ht="15" hidden="1" customHeight="1" x14ac:dyDescent="0.25">
      <c r="K35" s="59" t="str">
        <f t="shared" si="2"/>
        <v>0.00 (0.00 – 0.00)</v>
      </c>
      <c r="L35" s="16" t="str">
        <f t="shared" si="3"/>
        <v>0.00
(0.00 – 0.00)</v>
      </c>
      <c r="N35" s="59"/>
      <c r="O35" s="16"/>
    </row>
    <row r="36" spans="3:15" ht="15" hidden="1" customHeight="1" x14ac:dyDescent="0.25">
      <c r="C36" s="56"/>
      <c r="D36" s="57"/>
      <c r="E36" s="57"/>
      <c r="F36" s="57"/>
      <c r="G36" s="57"/>
      <c r="H36" s="57"/>
      <c r="I36" s="57"/>
      <c r="J36" s="57"/>
      <c r="K36" s="59" t="str">
        <f t="shared" si="2"/>
        <v>0.00 (0.00 – 0.00)</v>
      </c>
      <c r="L36" s="16" t="str">
        <f t="shared" si="3"/>
        <v>0.00
(0.00 – 0.00)</v>
      </c>
      <c r="M36" s="57"/>
      <c r="N36" s="59"/>
      <c r="O36" s="16"/>
    </row>
    <row r="37" spans="3:15" ht="15" hidden="1" customHeight="1" x14ac:dyDescent="0.25">
      <c r="C37" s="56"/>
      <c r="D37" s="57"/>
      <c r="E37" s="57"/>
      <c r="F37" s="57"/>
      <c r="G37" s="57"/>
      <c r="H37" s="57"/>
      <c r="I37" s="57"/>
      <c r="J37" s="57"/>
      <c r="K37" s="59" t="str">
        <f t="shared" si="2"/>
        <v>0.00 (0.00 – 0.00)</v>
      </c>
      <c r="L37" s="16" t="str">
        <f t="shared" si="3"/>
        <v>0.00
(0.00 – 0.00)</v>
      </c>
      <c r="M37" s="57"/>
      <c r="N37" s="59"/>
      <c r="O37" s="16"/>
    </row>
    <row r="38" spans="3:15" ht="15" hidden="1" customHeight="1" x14ac:dyDescent="0.25">
      <c r="C38" s="56"/>
      <c r="D38" s="57"/>
      <c r="E38" s="57"/>
      <c r="F38" s="57"/>
      <c r="G38" s="57"/>
      <c r="H38" s="57"/>
      <c r="I38" s="57"/>
      <c r="J38" s="57"/>
      <c r="K38" s="59" t="str">
        <f t="shared" si="2"/>
        <v>0.00 (0.00 – 0.00)</v>
      </c>
      <c r="L38" s="16" t="str">
        <f t="shared" si="3"/>
        <v>0.00
(0.00 – 0.00)</v>
      </c>
      <c r="M38" s="57"/>
      <c r="N38" s="59"/>
      <c r="O38" s="16"/>
    </row>
    <row r="39" spans="3:15" ht="15" hidden="1" customHeight="1" x14ac:dyDescent="0.25">
      <c r="C39" s="56"/>
      <c r="D39" s="57"/>
      <c r="E39" s="57"/>
      <c r="F39" s="57"/>
      <c r="G39" s="57"/>
      <c r="H39" s="57"/>
      <c r="I39" s="57"/>
      <c r="J39" s="57"/>
      <c r="K39" s="59" t="str">
        <f t="shared" si="2"/>
        <v>0.00 (0.00 – 0.00)</v>
      </c>
      <c r="L39" s="16" t="str">
        <f t="shared" si="3"/>
        <v>0.00
(0.00 – 0.00)</v>
      </c>
      <c r="M39" s="57"/>
      <c r="N39" s="59"/>
      <c r="O39" s="16"/>
    </row>
    <row r="40" spans="3:15" ht="15" hidden="1" customHeight="1" x14ac:dyDescent="0.25">
      <c r="C40" s="56"/>
      <c r="D40" s="57"/>
      <c r="E40" s="57"/>
      <c r="F40" s="57"/>
      <c r="G40" s="57"/>
      <c r="H40" s="57"/>
      <c r="I40" s="57"/>
      <c r="J40" s="57"/>
      <c r="K40" s="59" t="str">
        <f t="shared" si="2"/>
        <v>0.00 (0.00 – 0.00)</v>
      </c>
      <c r="L40" s="16" t="str">
        <f t="shared" si="3"/>
        <v>0.00
(0.00 – 0.00)</v>
      </c>
      <c r="M40" s="57"/>
      <c r="N40" s="59"/>
      <c r="O40" s="16"/>
    </row>
    <row r="41" spans="3:15" ht="15" hidden="1" customHeight="1" x14ac:dyDescent="0.25">
      <c r="C41" s="56"/>
      <c r="D41" s="57"/>
      <c r="E41" s="57"/>
      <c r="F41" s="57"/>
      <c r="G41" s="57"/>
      <c r="H41" s="57"/>
      <c r="I41" s="57"/>
      <c r="J41" s="57"/>
      <c r="K41" s="59" t="str">
        <f t="shared" si="2"/>
        <v>0.00 (0.00 – 0.00)</v>
      </c>
      <c r="L41" s="16" t="str">
        <f t="shared" si="3"/>
        <v>0.00
(0.00 – 0.00)</v>
      </c>
      <c r="M41" s="57"/>
      <c r="N41" s="59"/>
      <c r="O41" s="16"/>
    </row>
    <row r="42" spans="3:15" ht="15" hidden="1" customHeight="1" x14ac:dyDescent="0.25">
      <c r="C42" s="56"/>
      <c r="D42" s="57"/>
      <c r="E42" s="57"/>
      <c r="F42" s="57"/>
      <c r="G42" s="57"/>
      <c r="H42" s="57"/>
      <c r="I42" s="57"/>
      <c r="J42" s="57"/>
      <c r="K42" s="59" t="str">
        <f t="shared" si="2"/>
        <v>0.00 (0.00 – 0.00)</v>
      </c>
      <c r="L42" s="16" t="str">
        <f t="shared" si="3"/>
        <v>0.00
(0.00 – 0.00)</v>
      </c>
      <c r="M42" s="57"/>
      <c r="N42" s="59"/>
      <c r="O42" s="16"/>
    </row>
    <row r="43" spans="3:15" ht="15" hidden="1" customHeight="1" x14ac:dyDescent="0.25">
      <c r="C43" s="56"/>
      <c r="D43" s="57"/>
      <c r="E43" s="57"/>
      <c r="F43" s="57"/>
      <c r="G43" s="57"/>
      <c r="H43" s="57"/>
      <c r="I43" s="57"/>
      <c r="J43" s="57"/>
      <c r="K43" s="59" t="str">
        <f t="shared" si="2"/>
        <v>0.00 (0.00 – 0.00)</v>
      </c>
      <c r="L43" s="16" t="str">
        <f t="shared" si="3"/>
        <v>0.00
(0.00 – 0.00)</v>
      </c>
      <c r="M43" s="57"/>
      <c r="N43" s="59"/>
      <c r="O43" s="16"/>
    </row>
    <row r="44" spans="3:15" ht="15" hidden="1" customHeight="1" x14ac:dyDescent="0.25">
      <c r="C44" s="56"/>
      <c r="D44" s="57"/>
      <c r="E44" s="57"/>
      <c r="F44" s="57"/>
      <c r="G44" s="57"/>
      <c r="H44" s="57"/>
      <c r="I44" s="57"/>
      <c r="J44" s="57"/>
      <c r="K44" s="59" t="str">
        <f t="shared" si="2"/>
        <v>0.00 (0.00 – 0.00)</v>
      </c>
      <c r="L44" s="16" t="str">
        <f t="shared" si="3"/>
        <v>0.00
(0.00 – 0.00)</v>
      </c>
      <c r="M44" s="57"/>
      <c r="N44" s="59"/>
      <c r="O44" s="16"/>
    </row>
    <row r="45" spans="3:15" ht="15" hidden="1" customHeight="1" x14ac:dyDescent="0.25">
      <c r="C45" s="56"/>
      <c r="D45" s="57"/>
      <c r="E45" s="57"/>
      <c r="F45" s="57"/>
      <c r="G45" s="57"/>
      <c r="H45" s="57"/>
      <c r="I45" s="57"/>
      <c r="J45" s="57"/>
      <c r="K45" s="59" t="str">
        <f t="shared" si="2"/>
        <v>0.00 (0.00 – 0.00)</v>
      </c>
      <c r="L45" s="16" t="str">
        <f t="shared" si="3"/>
        <v>0.00
(0.00 – 0.00)</v>
      </c>
      <c r="M45" s="57"/>
      <c r="N45" s="59"/>
      <c r="O45" s="16"/>
    </row>
    <row r="46" spans="3:15" ht="15" hidden="1" customHeight="1" x14ac:dyDescent="0.25">
      <c r="C46" s="56"/>
      <c r="D46" s="57"/>
      <c r="E46" s="57"/>
      <c r="F46" s="57"/>
      <c r="G46" s="57"/>
      <c r="H46" s="57"/>
      <c r="I46" s="57"/>
      <c r="J46" s="57"/>
      <c r="K46" s="59" t="str">
        <f t="shared" si="2"/>
        <v>0.00 (0.00 – 0.00)</v>
      </c>
      <c r="L46" s="16" t="str">
        <f t="shared" si="3"/>
        <v>0.00
(0.00 – 0.00)</v>
      </c>
      <c r="M46" s="57"/>
      <c r="N46" s="59"/>
      <c r="O46" s="16"/>
    </row>
    <row r="47" spans="3:15" ht="15" hidden="1" customHeight="1" x14ac:dyDescent="0.25">
      <c r="C47" s="56"/>
      <c r="D47" s="57"/>
      <c r="E47" s="57"/>
      <c r="F47" s="57"/>
      <c r="G47" s="57"/>
      <c r="H47" s="57"/>
      <c r="I47" s="57"/>
      <c r="J47" s="57"/>
      <c r="K47" s="59" t="str">
        <f t="shared" si="2"/>
        <v>0.00 (0.00 – 0.00)</v>
      </c>
      <c r="L47" s="16" t="str">
        <f t="shared" si="3"/>
        <v>0.00
(0.00 – 0.00)</v>
      </c>
      <c r="M47" s="57"/>
      <c r="N47" s="59"/>
      <c r="O47" s="16"/>
    </row>
    <row r="48" spans="3:15" ht="15" hidden="1" customHeight="1" x14ac:dyDescent="0.25">
      <c r="C48" s="56"/>
      <c r="D48" s="57"/>
      <c r="E48" s="57"/>
      <c r="F48" s="57"/>
      <c r="G48" s="57"/>
      <c r="H48" s="57"/>
      <c r="I48" s="57"/>
      <c r="J48" s="57"/>
      <c r="K48" s="59" t="str">
        <f t="shared" si="2"/>
        <v>0.00 (0.00 – 0.00)</v>
      </c>
      <c r="L48" s="16" t="str">
        <f t="shared" si="3"/>
        <v>0.00
(0.00 – 0.00)</v>
      </c>
      <c r="M48" s="57"/>
      <c r="N48" s="59"/>
      <c r="O48" s="16"/>
    </row>
    <row r="49" spans="3:15" ht="15" hidden="1" customHeight="1" x14ac:dyDescent="0.25">
      <c r="C49" s="56"/>
      <c r="D49" s="57"/>
      <c r="E49" s="57"/>
      <c r="F49" s="57"/>
      <c r="G49" s="57"/>
      <c r="H49" s="57"/>
      <c r="I49" s="57"/>
      <c r="J49" s="57"/>
      <c r="K49" s="59" t="str">
        <f t="shared" si="2"/>
        <v>0.00 (0.00 – 0.00)</v>
      </c>
      <c r="L49" s="16" t="str">
        <f t="shared" si="3"/>
        <v>0.00
(0.00 – 0.00)</v>
      </c>
      <c r="M49" s="57"/>
      <c r="N49" s="59"/>
      <c r="O49" s="16"/>
    </row>
    <row r="50" spans="3:15" ht="15" hidden="1" customHeight="1" x14ac:dyDescent="0.25">
      <c r="C50" s="56"/>
      <c r="D50" s="57"/>
      <c r="E50" s="57"/>
      <c r="F50" s="57"/>
      <c r="G50" s="57"/>
      <c r="H50" s="57"/>
      <c r="I50" s="57"/>
      <c r="J50" s="57"/>
      <c r="K50" s="59" t="str">
        <f t="shared" si="2"/>
        <v>0.00 (0.00 – 0.00)</v>
      </c>
      <c r="L50" s="16" t="str">
        <f t="shared" si="3"/>
        <v>0.00
(0.00 – 0.00)</v>
      </c>
      <c r="M50" s="57"/>
      <c r="N50" s="59"/>
      <c r="O50" s="16"/>
    </row>
    <row r="51" spans="3:15" ht="15" hidden="1" customHeight="1" x14ac:dyDescent="0.25">
      <c r="C51" s="56"/>
      <c r="D51" s="57"/>
      <c r="E51" s="57"/>
      <c r="F51" s="57"/>
      <c r="G51" s="57"/>
      <c r="H51" s="57"/>
      <c r="I51" s="57"/>
      <c r="J51" s="57"/>
      <c r="K51" s="59" t="str">
        <f t="shared" si="2"/>
        <v>0.00 (0.00 – 0.00)</v>
      </c>
      <c r="L51" s="16" t="str">
        <f t="shared" si="3"/>
        <v>0.00
(0.00 – 0.00)</v>
      </c>
      <c r="M51" s="57"/>
      <c r="N51" s="59"/>
      <c r="O51" s="16"/>
    </row>
    <row r="52" spans="3:15" ht="15" hidden="1" customHeight="1" x14ac:dyDescent="0.25">
      <c r="C52" s="56"/>
      <c r="D52" s="57"/>
      <c r="E52" s="57"/>
      <c r="F52" s="57"/>
      <c r="G52" s="57"/>
      <c r="H52" s="57"/>
      <c r="I52" s="57"/>
      <c r="J52" s="57"/>
      <c r="K52" s="59" t="str">
        <f t="shared" si="2"/>
        <v>0.00 (0.00 – 0.00)</v>
      </c>
      <c r="L52" s="16" t="str">
        <f t="shared" si="3"/>
        <v>0.00
(0.00 – 0.00)</v>
      </c>
      <c r="M52" s="57"/>
      <c r="N52" s="59"/>
      <c r="O52" s="16"/>
    </row>
    <row r="53" spans="3:15" ht="15" hidden="1" customHeight="1" x14ac:dyDescent="0.25">
      <c r="C53" s="56"/>
      <c r="D53" s="57"/>
      <c r="E53" s="57"/>
      <c r="F53" s="57"/>
      <c r="G53" s="57"/>
      <c r="H53" s="57"/>
      <c r="I53" s="57"/>
      <c r="J53" s="57"/>
      <c r="K53" s="59" t="str">
        <f t="shared" si="2"/>
        <v>0.00 (0.00 – 0.00)</v>
      </c>
      <c r="L53" s="16" t="str">
        <f t="shared" si="3"/>
        <v>0.00
(0.00 – 0.00)</v>
      </c>
      <c r="M53" s="57"/>
      <c r="N53" s="59"/>
      <c r="O53" s="16"/>
    </row>
    <row r="54" spans="3:15" ht="15" hidden="1" customHeight="1" x14ac:dyDescent="0.25">
      <c r="C54" s="56"/>
      <c r="D54" s="57"/>
      <c r="E54" s="57"/>
      <c r="F54" s="57"/>
      <c r="G54" s="57"/>
      <c r="H54" s="57"/>
      <c r="I54" s="57"/>
      <c r="J54" s="57"/>
      <c r="K54" s="59" t="str">
        <f t="shared" si="2"/>
        <v>0.00 (0.00 – 0.00)</v>
      </c>
      <c r="L54" s="16" t="str">
        <f t="shared" si="3"/>
        <v>0.00
(0.00 – 0.00)</v>
      </c>
      <c r="M54" s="57"/>
      <c r="N54" s="59"/>
      <c r="O54" s="16"/>
    </row>
    <row r="55" spans="3:15" ht="15" hidden="1" customHeight="1" x14ac:dyDescent="0.25">
      <c r="C55" s="56"/>
      <c r="D55" s="57"/>
      <c r="E55" s="57"/>
      <c r="F55" s="57"/>
      <c r="G55" s="57"/>
      <c r="H55" s="57"/>
      <c r="I55" s="57"/>
      <c r="J55" s="57"/>
      <c r="K55" s="59" t="str">
        <f t="shared" si="2"/>
        <v>0.00 (0.00 – 0.00)</v>
      </c>
      <c r="L55" s="16" t="str">
        <f t="shared" si="3"/>
        <v>0.00
(0.00 – 0.00)</v>
      </c>
      <c r="M55" s="57"/>
      <c r="N55" s="59"/>
      <c r="O55" s="16"/>
    </row>
    <row r="56" spans="3:15" ht="15" hidden="1" customHeight="1" x14ac:dyDescent="0.25">
      <c r="C56" s="56"/>
      <c r="D56" s="57"/>
      <c r="E56" s="57"/>
      <c r="F56" s="57"/>
      <c r="G56" s="57"/>
      <c r="H56" s="57"/>
      <c r="I56" s="57"/>
      <c r="J56" s="57"/>
      <c r="K56" s="59" t="str">
        <f t="shared" si="2"/>
        <v>0.00 (0.00 – 0.00)</v>
      </c>
      <c r="L56" s="16" t="str">
        <f t="shared" si="3"/>
        <v>0.00
(0.00 – 0.00)</v>
      </c>
      <c r="M56" s="57"/>
      <c r="N56" s="59"/>
      <c r="O56" s="16"/>
    </row>
    <row r="57" spans="3:15" ht="15" hidden="1" customHeight="1" x14ac:dyDescent="0.25">
      <c r="C57" s="56"/>
      <c r="D57" s="57"/>
      <c r="E57" s="57"/>
      <c r="F57" s="57"/>
      <c r="G57" s="57"/>
      <c r="H57" s="57"/>
      <c r="I57" s="57"/>
      <c r="J57" s="57"/>
      <c r="K57" s="59" t="str">
        <f t="shared" si="2"/>
        <v>0.00 (0.00 – 0.00)</v>
      </c>
      <c r="L57" s="16" t="str">
        <f t="shared" si="3"/>
        <v>0.00
(0.00 – 0.00)</v>
      </c>
      <c r="M57" s="57"/>
      <c r="N57" s="59"/>
      <c r="O57" s="16"/>
    </row>
    <row r="58" spans="3:15" ht="15" hidden="1" customHeight="1" x14ac:dyDescent="0.25">
      <c r="C58" s="56"/>
      <c r="D58" s="57"/>
      <c r="E58" s="57"/>
      <c r="F58" s="57"/>
      <c r="G58" s="57"/>
      <c r="H58" s="57"/>
      <c r="I58" s="57"/>
      <c r="J58" s="57"/>
      <c r="K58" s="59" t="str">
        <f t="shared" si="2"/>
        <v>0.00 (0.00 – 0.00)</v>
      </c>
      <c r="L58" s="16" t="str">
        <f t="shared" si="3"/>
        <v>0.00
(0.00 – 0.00)</v>
      </c>
      <c r="M58" s="57"/>
      <c r="N58" s="59"/>
      <c r="O58" s="16"/>
    </row>
    <row r="59" spans="3:15" ht="15" hidden="1" customHeight="1" x14ac:dyDescent="0.25">
      <c r="C59" s="56"/>
      <c r="D59" s="57"/>
      <c r="E59" s="57"/>
      <c r="F59" s="57"/>
      <c r="G59" s="57"/>
      <c r="H59" s="57"/>
      <c r="I59" s="57"/>
      <c r="J59" s="57"/>
      <c r="K59" s="59" t="str">
        <f t="shared" si="2"/>
        <v>0.00 (0.00 – 0.00)</v>
      </c>
      <c r="L59" s="16" t="str">
        <f t="shared" si="3"/>
        <v>0.00
(0.00 – 0.00)</v>
      </c>
      <c r="M59" s="57"/>
      <c r="N59" s="59"/>
      <c r="O59" s="16"/>
    </row>
    <row r="60" spans="3:15" ht="15" hidden="1" customHeight="1" x14ac:dyDescent="0.25">
      <c r="C60" s="56"/>
      <c r="D60" s="57"/>
      <c r="E60" s="57"/>
      <c r="F60" s="57"/>
      <c r="G60" s="57"/>
      <c r="H60" s="57"/>
      <c r="I60" s="57"/>
      <c r="J60" s="57"/>
      <c r="K60" s="59" t="str">
        <f t="shared" si="2"/>
        <v>0.00 (0.00 – 0.00)</v>
      </c>
      <c r="L60" s="16" t="str">
        <f t="shared" si="3"/>
        <v>0.00
(0.00 – 0.00)</v>
      </c>
      <c r="M60" s="57"/>
      <c r="N60" s="59"/>
      <c r="O60" s="16"/>
    </row>
    <row r="61" spans="3:15" ht="15" hidden="1" customHeight="1" x14ac:dyDescent="0.25">
      <c r="C61" s="56"/>
      <c r="D61" s="57"/>
      <c r="E61" s="57"/>
      <c r="F61" s="57"/>
      <c r="G61" s="57"/>
      <c r="H61" s="57"/>
      <c r="I61" s="57"/>
      <c r="J61" s="57"/>
      <c r="K61" s="59" t="str">
        <f t="shared" si="2"/>
        <v>0.00 (0.00 – 0.00)</v>
      </c>
      <c r="L61" s="16" t="str">
        <f t="shared" si="3"/>
        <v>0.00
(0.00 – 0.00)</v>
      </c>
      <c r="M61" s="57"/>
      <c r="N61" s="59"/>
      <c r="O61" s="16"/>
    </row>
    <row r="62" spans="3:15" ht="15" hidden="1" customHeight="1" x14ac:dyDescent="0.25">
      <c r="C62" s="56"/>
      <c r="D62" s="57"/>
      <c r="E62" s="57"/>
      <c r="F62" s="57"/>
      <c r="G62" s="57"/>
      <c r="H62" s="57"/>
      <c r="I62" s="57"/>
      <c r="J62" s="57"/>
      <c r="K62" s="59" t="str">
        <f t="shared" si="2"/>
        <v>0.00 (0.00 – 0.00)</v>
      </c>
      <c r="L62" s="16" t="str">
        <f t="shared" si="3"/>
        <v>0.00
(0.00 – 0.00)</v>
      </c>
      <c r="M62" s="57"/>
      <c r="N62" s="59"/>
      <c r="O62" s="16"/>
    </row>
    <row r="63" spans="3:15" ht="15" hidden="1" customHeight="1" x14ac:dyDescent="0.25">
      <c r="C63" s="56"/>
      <c r="D63" s="57"/>
      <c r="E63" s="57"/>
      <c r="F63" s="57"/>
      <c r="G63" s="57"/>
      <c r="H63" s="57"/>
      <c r="I63" s="57"/>
      <c r="J63" s="57"/>
      <c r="K63" s="59" t="str">
        <f t="shared" si="2"/>
        <v>0.00 (0.00 – 0.00)</v>
      </c>
      <c r="L63" s="16" t="str">
        <f t="shared" si="3"/>
        <v>0.00
(0.00 – 0.00)</v>
      </c>
      <c r="M63" s="57"/>
      <c r="N63" s="59"/>
      <c r="O63" s="16"/>
    </row>
    <row r="64" spans="3:15" ht="15" hidden="1" customHeight="1" x14ac:dyDescent="0.25">
      <c r="C64" s="56"/>
      <c r="D64" s="57"/>
      <c r="E64" s="57"/>
      <c r="F64" s="57"/>
      <c r="G64" s="57"/>
      <c r="H64" s="57"/>
      <c r="I64" s="57"/>
      <c r="J64" s="57"/>
      <c r="K64" s="59" t="str">
        <f t="shared" si="2"/>
        <v>0.00 (0.00 – 0.00)</v>
      </c>
      <c r="L64" s="16" t="str">
        <f t="shared" si="3"/>
        <v>0.00
(0.00 – 0.00)</v>
      </c>
      <c r="M64" s="57"/>
      <c r="N64" s="59"/>
      <c r="O64" s="16"/>
    </row>
    <row r="65" spans="3:15" ht="15" hidden="1" customHeight="1" x14ac:dyDescent="0.25">
      <c r="C65" s="56"/>
      <c r="D65" s="57"/>
      <c r="E65" s="57"/>
      <c r="F65" s="57"/>
      <c r="G65" s="57"/>
      <c r="H65" s="57"/>
      <c r="I65" s="57"/>
      <c r="J65" s="57"/>
      <c r="K65" s="59" t="str">
        <f t="shared" si="2"/>
        <v>0.00 (0.00 – 0.00)</v>
      </c>
      <c r="L65" s="16" t="str">
        <f t="shared" si="3"/>
        <v>0.00
(0.00 – 0.00)</v>
      </c>
      <c r="M65" s="57"/>
      <c r="N65" s="59"/>
      <c r="O65" s="16"/>
    </row>
    <row r="66" spans="3:15" ht="15" hidden="1" customHeight="1" x14ac:dyDescent="0.25">
      <c r="C66" s="56"/>
      <c r="D66" s="57"/>
      <c r="E66" s="57"/>
      <c r="F66" s="57"/>
      <c r="G66" s="57"/>
      <c r="H66" s="57"/>
      <c r="I66" s="57"/>
      <c r="J66" s="57"/>
      <c r="K66" s="59" t="str">
        <f t="shared" si="2"/>
        <v>0.00 (0.00 – 0.00)</v>
      </c>
      <c r="L66" s="16" t="str">
        <f t="shared" si="3"/>
        <v>0.00
(0.00 – 0.00)</v>
      </c>
      <c r="M66" s="57"/>
      <c r="N66" s="59"/>
      <c r="O66" s="16"/>
    </row>
    <row r="67" spans="3:15" ht="15" hidden="1" customHeight="1" x14ac:dyDescent="0.25">
      <c r="C67" s="56"/>
      <c r="D67" s="57"/>
      <c r="E67" s="57"/>
      <c r="F67" s="57"/>
      <c r="G67" s="57"/>
      <c r="H67" s="57"/>
      <c r="I67" s="57"/>
      <c r="J67" s="57"/>
      <c r="K67" s="59" t="str">
        <f t="shared" si="2"/>
        <v>0.00 (0.00 – 0.00)</v>
      </c>
      <c r="L67" s="16" t="str">
        <f t="shared" si="3"/>
        <v>0.00
(0.00 – 0.00)</v>
      </c>
      <c r="M67" s="57"/>
      <c r="N67" s="59"/>
      <c r="O67" s="16"/>
    </row>
    <row r="68" spans="3:15" ht="15" hidden="1" customHeight="1" x14ac:dyDescent="0.25">
      <c r="C68" s="56"/>
      <c r="D68" s="57"/>
      <c r="E68" s="57"/>
      <c r="F68" s="57"/>
      <c r="G68" s="57"/>
      <c r="H68" s="57"/>
      <c r="I68" s="57"/>
      <c r="J68" s="57"/>
      <c r="K68" s="59" t="str">
        <f t="shared" si="2"/>
        <v>0.00 (0.00 – 0.00)</v>
      </c>
      <c r="L68" s="16" t="str">
        <f t="shared" si="3"/>
        <v>0.00
(0.00 – 0.00)</v>
      </c>
      <c r="M68" s="57"/>
      <c r="N68" s="59"/>
      <c r="O68" s="16"/>
    </row>
    <row r="69" spans="3:15" ht="15" hidden="1" customHeight="1" x14ac:dyDescent="0.25">
      <c r="C69" s="56"/>
      <c r="D69" s="57"/>
      <c r="E69" s="57"/>
      <c r="F69" s="57"/>
      <c r="G69" s="57"/>
      <c r="H69" s="57"/>
      <c r="I69" s="57"/>
      <c r="J69" s="57"/>
      <c r="K69" s="59" t="str">
        <f t="shared" ref="K69:K132" si="4">CONCATENATE(TEXT(I69,"0.00")," (",TEXT(H69,"0.00")," – ",TEXT(J69,"0.00"),")")</f>
        <v>0.00 (0.00 – 0.00)</v>
      </c>
      <c r="L69" s="16" t="str">
        <f t="shared" si="3"/>
        <v>0.00
(0.00 – 0.00)</v>
      </c>
      <c r="M69" s="57"/>
      <c r="N69" s="59"/>
      <c r="O69" s="16"/>
    </row>
    <row r="70" spans="3:15" ht="15" hidden="1" customHeight="1" x14ac:dyDescent="0.25">
      <c r="C70" s="56"/>
      <c r="D70" s="57"/>
      <c r="E70" s="57"/>
      <c r="F70" s="57"/>
      <c r="G70" s="57"/>
      <c r="H70" s="57"/>
      <c r="I70" s="57"/>
      <c r="J70" s="57"/>
      <c r="K70" s="59" t="str">
        <f t="shared" si="4"/>
        <v>0.00 (0.00 – 0.00)</v>
      </c>
      <c r="L70" s="16" t="str">
        <f t="shared" ref="L70:L133" si="5">CONCATENATE(TEXT(I70,"0.00"),"
(",TEXT(H70,"0.00")," – ",TEXT(J70,"0.00"),")")</f>
        <v>0.00
(0.00 – 0.00)</v>
      </c>
      <c r="M70" s="57"/>
      <c r="N70" s="59"/>
      <c r="O70" s="16"/>
    </row>
    <row r="71" spans="3:15" ht="15" hidden="1" customHeight="1" x14ac:dyDescent="0.25">
      <c r="C71" s="56"/>
      <c r="D71" s="57"/>
      <c r="E71" s="57"/>
      <c r="F71" s="57"/>
      <c r="G71" s="57"/>
      <c r="H71" s="57"/>
      <c r="I71" s="57"/>
      <c r="J71" s="57"/>
      <c r="K71" s="59" t="str">
        <f t="shared" si="4"/>
        <v>0.00 (0.00 – 0.00)</v>
      </c>
      <c r="L71" s="16" t="str">
        <f t="shared" si="5"/>
        <v>0.00
(0.00 – 0.00)</v>
      </c>
      <c r="M71" s="57"/>
      <c r="N71" s="59"/>
      <c r="O71" s="16"/>
    </row>
    <row r="72" spans="3:15" ht="15" hidden="1" customHeight="1" x14ac:dyDescent="0.25">
      <c r="C72" s="56"/>
      <c r="D72" s="57"/>
      <c r="E72" s="57"/>
      <c r="F72" s="57"/>
      <c r="G72" s="57"/>
      <c r="H72" s="57"/>
      <c r="I72" s="57"/>
      <c r="J72" s="57"/>
      <c r="K72" s="59" t="str">
        <f t="shared" si="4"/>
        <v>0.00 (0.00 – 0.00)</v>
      </c>
      <c r="L72" s="16" t="str">
        <f t="shared" si="5"/>
        <v>0.00
(0.00 – 0.00)</v>
      </c>
      <c r="M72" s="57"/>
      <c r="N72" s="59"/>
      <c r="O72" s="16"/>
    </row>
    <row r="73" spans="3:15" ht="15" hidden="1" customHeight="1" x14ac:dyDescent="0.25">
      <c r="C73" s="56"/>
      <c r="D73" s="57"/>
      <c r="E73" s="57"/>
      <c r="F73" s="57"/>
      <c r="G73" s="57"/>
      <c r="H73" s="57"/>
      <c r="I73" s="57"/>
      <c r="J73" s="57"/>
      <c r="K73" s="59" t="str">
        <f t="shared" si="4"/>
        <v>0.00 (0.00 – 0.00)</v>
      </c>
      <c r="L73" s="16" t="str">
        <f t="shared" si="5"/>
        <v>0.00
(0.00 – 0.00)</v>
      </c>
      <c r="M73" s="57"/>
      <c r="N73" s="59"/>
      <c r="O73" s="16"/>
    </row>
    <row r="74" spans="3:15" ht="15" hidden="1" customHeight="1" x14ac:dyDescent="0.25">
      <c r="C74" s="56"/>
      <c r="D74" s="57"/>
      <c r="E74" s="57"/>
      <c r="F74" s="57"/>
      <c r="G74" s="57"/>
      <c r="H74" s="57"/>
      <c r="I74" s="57"/>
      <c r="J74" s="57"/>
      <c r="K74" s="59" t="str">
        <f t="shared" si="4"/>
        <v>0.00 (0.00 – 0.00)</v>
      </c>
      <c r="L74" s="16" t="str">
        <f t="shared" si="5"/>
        <v>0.00
(0.00 – 0.00)</v>
      </c>
      <c r="M74" s="57"/>
      <c r="N74" s="59"/>
      <c r="O74" s="16"/>
    </row>
    <row r="75" spans="3:15" ht="15" hidden="1" customHeight="1" x14ac:dyDescent="0.25">
      <c r="C75" s="56"/>
      <c r="D75" s="57"/>
      <c r="E75" s="57"/>
      <c r="F75" s="57"/>
      <c r="G75" s="57"/>
      <c r="H75" s="57"/>
      <c r="I75" s="57"/>
      <c r="J75" s="57"/>
      <c r="K75" s="59" t="str">
        <f t="shared" si="4"/>
        <v>0.00 (0.00 – 0.00)</v>
      </c>
      <c r="L75" s="16" t="str">
        <f t="shared" si="5"/>
        <v>0.00
(0.00 – 0.00)</v>
      </c>
      <c r="M75" s="57"/>
      <c r="N75" s="59"/>
      <c r="O75" s="16"/>
    </row>
    <row r="76" spans="3:15" ht="15" hidden="1" customHeight="1" x14ac:dyDescent="0.25">
      <c r="C76" s="56"/>
      <c r="D76" s="57"/>
      <c r="E76" s="57"/>
      <c r="F76" s="57"/>
      <c r="G76" s="57"/>
      <c r="H76" s="57"/>
      <c r="I76" s="57"/>
      <c r="J76" s="57"/>
      <c r="K76" s="59" t="str">
        <f t="shared" si="4"/>
        <v>0.00 (0.00 – 0.00)</v>
      </c>
      <c r="L76" s="16" t="str">
        <f t="shared" si="5"/>
        <v>0.00
(0.00 – 0.00)</v>
      </c>
      <c r="M76" s="57"/>
      <c r="N76" s="59"/>
      <c r="O76" s="16"/>
    </row>
    <row r="77" spans="3:15" ht="15" hidden="1" customHeight="1" x14ac:dyDescent="0.25">
      <c r="C77" s="56"/>
      <c r="D77" s="57"/>
      <c r="E77" s="57"/>
      <c r="F77" s="57"/>
      <c r="G77" s="57"/>
      <c r="H77" s="57"/>
      <c r="I77" s="57"/>
      <c r="J77" s="57"/>
      <c r="K77" s="59" t="str">
        <f t="shared" si="4"/>
        <v>0.00 (0.00 – 0.00)</v>
      </c>
      <c r="L77" s="16" t="str">
        <f t="shared" si="5"/>
        <v>0.00
(0.00 – 0.00)</v>
      </c>
      <c r="M77" s="57"/>
      <c r="N77" s="59"/>
      <c r="O77" s="16"/>
    </row>
    <row r="78" spans="3:15" ht="15" hidden="1" customHeight="1" x14ac:dyDescent="0.25">
      <c r="C78" s="56"/>
      <c r="D78" s="57"/>
      <c r="E78" s="57"/>
      <c r="F78" s="57"/>
      <c r="G78" s="57"/>
      <c r="H78" s="57"/>
      <c r="I78" s="57"/>
      <c r="J78" s="57"/>
      <c r="K78" s="59" t="str">
        <f t="shared" si="4"/>
        <v>0.00 (0.00 – 0.00)</v>
      </c>
      <c r="L78" s="16" t="str">
        <f t="shared" si="5"/>
        <v>0.00
(0.00 – 0.00)</v>
      </c>
      <c r="M78" s="57"/>
      <c r="N78" s="59"/>
      <c r="O78" s="16"/>
    </row>
    <row r="79" spans="3:15" ht="15" hidden="1" customHeight="1" x14ac:dyDescent="0.25">
      <c r="C79" s="56"/>
      <c r="D79" s="57"/>
      <c r="E79" s="57"/>
      <c r="F79" s="57"/>
      <c r="G79" s="57"/>
      <c r="H79" s="57"/>
      <c r="I79" s="57"/>
      <c r="J79" s="57"/>
      <c r="K79" s="59" t="str">
        <f t="shared" si="4"/>
        <v>0.00 (0.00 – 0.00)</v>
      </c>
      <c r="L79" s="16" t="str">
        <f t="shared" si="5"/>
        <v>0.00
(0.00 – 0.00)</v>
      </c>
      <c r="M79" s="57"/>
      <c r="N79" s="59"/>
      <c r="O79" s="16"/>
    </row>
    <row r="80" spans="3:15" ht="15" hidden="1" customHeight="1" x14ac:dyDescent="0.25">
      <c r="C80" s="56"/>
      <c r="D80" s="57"/>
      <c r="E80" s="57"/>
      <c r="F80" s="57"/>
      <c r="G80" s="57"/>
      <c r="H80" s="57"/>
      <c r="I80" s="57"/>
      <c r="J80" s="57"/>
      <c r="K80" s="59" t="str">
        <f t="shared" si="4"/>
        <v>0.00 (0.00 – 0.00)</v>
      </c>
      <c r="L80" s="16" t="str">
        <f t="shared" si="5"/>
        <v>0.00
(0.00 – 0.00)</v>
      </c>
      <c r="M80" s="57"/>
      <c r="N80" s="59"/>
      <c r="O80" s="16"/>
    </row>
    <row r="81" spans="3:15" ht="15" hidden="1" customHeight="1" x14ac:dyDescent="0.25">
      <c r="C81" s="56"/>
      <c r="D81" s="57"/>
      <c r="E81" s="57"/>
      <c r="F81" s="57"/>
      <c r="G81" s="57"/>
      <c r="H81" s="57"/>
      <c r="I81" s="57"/>
      <c r="J81" s="57"/>
      <c r="K81" s="59" t="str">
        <f t="shared" si="4"/>
        <v>0.00 (0.00 – 0.00)</v>
      </c>
      <c r="L81" s="16" t="str">
        <f t="shared" si="5"/>
        <v>0.00
(0.00 – 0.00)</v>
      </c>
      <c r="M81" s="57"/>
      <c r="N81" s="59"/>
      <c r="O81" s="16"/>
    </row>
    <row r="82" spans="3:15" ht="15" hidden="1" customHeight="1" x14ac:dyDescent="0.25">
      <c r="C82" s="56"/>
      <c r="D82" s="57"/>
      <c r="E82" s="57"/>
      <c r="F82" s="57"/>
      <c r="G82" s="57"/>
      <c r="H82" s="57"/>
      <c r="I82" s="57"/>
      <c r="J82" s="57"/>
      <c r="K82" s="59" t="str">
        <f t="shared" si="4"/>
        <v>0.00 (0.00 – 0.00)</v>
      </c>
      <c r="L82" s="16" t="str">
        <f t="shared" si="5"/>
        <v>0.00
(0.00 – 0.00)</v>
      </c>
      <c r="M82" s="57"/>
      <c r="N82" s="59"/>
      <c r="O82" s="16"/>
    </row>
    <row r="83" spans="3:15" ht="15" hidden="1" customHeight="1" x14ac:dyDescent="0.25">
      <c r="C83" s="56"/>
      <c r="D83" s="57"/>
      <c r="E83" s="57"/>
      <c r="F83" s="57"/>
      <c r="G83" s="57"/>
      <c r="H83" s="57"/>
      <c r="I83" s="57"/>
      <c r="J83" s="57"/>
      <c r="K83" s="59" t="str">
        <f t="shared" si="4"/>
        <v>0.00 (0.00 – 0.00)</v>
      </c>
      <c r="L83" s="16" t="str">
        <f t="shared" si="5"/>
        <v>0.00
(0.00 – 0.00)</v>
      </c>
      <c r="M83" s="57"/>
      <c r="N83" s="59"/>
      <c r="O83" s="16"/>
    </row>
    <row r="84" spans="3:15" ht="15" hidden="1" customHeight="1" x14ac:dyDescent="0.25">
      <c r="C84" s="56"/>
      <c r="D84" s="57"/>
      <c r="E84" s="57"/>
      <c r="F84" s="57"/>
      <c r="G84" s="57"/>
      <c r="H84" s="57"/>
      <c r="I84" s="57"/>
      <c r="J84" s="57"/>
      <c r="K84" s="59" t="str">
        <f t="shared" si="4"/>
        <v>0.00 (0.00 – 0.00)</v>
      </c>
      <c r="L84" s="16" t="str">
        <f t="shared" si="5"/>
        <v>0.00
(0.00 – 0.00)</v>
      </c>
      <c r="M84" s="57"/>
      <c r="N84" s="59"/>
      <c r="O84" s="16"/>
    </row>
    <row r="85" spans="3:15" ht="15" hidden="1" customHeight="1" x14ac:dyDescent="0.25">
      <c r="C85" s="56"/>
      <c r="D85" s="57"/>
      <c r="E85" s="57"/>
      <c r="F85" s="57"/>
      <c r="G85" s="57"/>
      <c r="H85" s="57"/>
      <c r="I85" s="57"/>
      <c r="J85" s="57"/>
      <c r="K85" s="59" t="str">
        <f t="shared" si="4"/>
        <v>0.00 (0.00 – 0.00)</v>
      </c>
      <c r="L85" s="16" t="str">
        <f t="shared" si="5"/>
        <v>0.00
(0.00 – 0.00)</v>
      </c>
      <c r="M85" s="57"/>
      <c r="N85" s="59"/>
      <c r="O85" s="16"/>
    </row>
    <row r="86" spans="3:15" ht="15" hidden="1" customHeight="1" x14ac:dyDescent="0.25">
      <c r="C86" s="56"/>
      <c r="D86" s="57"/>
      <c r="E86" s="57"/>
      <c r="F86" s="57"/>
      <c r="G86" s="57"/>
      <c r="H86" s="57"/>
      <c r="I86" s="57"/>
      <c r="J86" s="57"/>
      <c r="K86" s="59" t="str">
        <f t="shared" si="4"/>
        <v>0.00 (0.00 – 0.00)</v>
      </c>
      <c r="L86" s="16" t="str">
        <f t="shared" si="5"/>
        <v>0.00
(0.00 – 0.00)</v>
      </c>
      <c r="M86" s="57"/>
      <c r="N86" s="59"/>
      <c r="O86" s="16"/>
    </row>
    <row r="87" spans="3:15" ht="15" hidden="1" customHeight="1" x14ac:dyDescent="0.25">
      <c r="C87" s="56"/>
      <c r="D87" s="57"/>
      <c r="E87" s="57"/>
      <c r="F87" s="57"/>
      <c r="G87" s="57"/>
      <c r="H87" s="57"/>
      <c r="I87" s="57"/>
      <c r="J87" s="57"/>
      <c r="K87" s="59" t="str">
        <f t="shared" si="4"/>
        <v>0.00 (0.00 – 0.00)</v>
      </c>
      <c r="L87" s="16" t="str">
        <f t="shared" si="5"/>
        <v>0.00
(0.00 – 0.00)</v>
      </c>
      <c r="M87" s="57"/>
      <c r="N87" s="59"/>
      <c r="O87" s="16"/>
    </row>
    <row r="88" spans="3:15" ht="15" hidden="1" customHeight="1" x14ac:dyDescent="0.25">
      <c r="C88" s="56"/>
      <c r="D88" s="57"/>
      <c r="E88" s="57"/>
      <c r="F88" s="57"/>
      <c r="G88" s="57"/>
      <c r="H88" s="57"/>
      <c r="I88" s="57"/>
      <c r="J88" s="57"/>
      <c r="K88" s="59" t="str">
        <f t="shared" si="4"/>
        <v>0.00 (0.00 – 0.00)</v>
      </c>
      <c r="L88" s="16" t="str">
        <f t="shared" si="5"/>
        <v>0.00
(0.00 – 0.00)</v>
      </c>
      <c r="M88" s="57"/>
      <c r="N88" s="59"/>
      <c r="O88" s="16"/>
    </row>
    <row r="89" spans="3:15" ht="15" hidden="1" customHeight="1" x14ac:dyDescent="0.25">
      <c r="C89" s="56"/>
      <c r="D89" s="57"/>
      <c r="E89" s="57"/>
      <c r="F89" s="57"/>
      <c r="G89" s="57"/>
      <c r="H89" s="57"/>
      <c r="I89" s="57"/>
      <c r="J89" s="57"/>
      <c r="K89" s="59" t="str">
        <f t="shared" si="4"/>
        <v>0.00 (0.00 – 0.00)</v>
      </c>
      <c r="L89" s="16" t="str">
        <f t="shared" si="5"/>
        <v>0.00
(0.00 – 0.00)</v>
      </c>
      <c r="M89" s="57"/>
      <c r="N89" s="59"/>
      <c r="O89" s="16"/>
    </row>
    <row r="90" spans="3:15" ht="15" hidden="1" customHeight="1" x14ac:dyDescent="0.25">
      <c r="C90" s="56"/>
      <c r="D90" s="57"/>
      <c r="E90" s="57"/>
      <c r="F90" s="57"/>
      <c r="G90" s="57"/>
      <c r="H90" s="57"/>
      <c r="I90" s="57"/>
      <c r="J90" s="57"/>
      <c r="K90" s="59" t="str">
        <f t="shared" si="4"/>
        <v>0.00 (0.00 – 0.00)</v>
      </c>
      <c r="L90" s="16" t="str">
        <f t="shared" si="5"/>
        <v>0.00
(0.00 – 0.00)</v>
      </c>
      <c r="M90" s="57"/>
      <c r="N90" s="59"/>
      <c r="O90" s="16"/>
    </row>
    <row r="91" spans="3:15" ht="15" hidden="1" customHeight="1" x14ac:dyDescent="0.25">
      <c r="C91" s="56"/>
      <c r="D91" s="57"/>
      <c r="E91" s="57"/>
      <c r="F91" s="57"/>
      <c r="G91" s="57"/>
      <c r="H91" s="57"/>
      <c r="I91" s="57"/>
      <c r="J91" s="57"/>
      <c r="K91" s="59" t="str">
        <f t="shared" si="4"/>
        <v>0.00 (0.00 – 0.00)</v>
      </c>
      <c r="L91" s="16" t="str">
        <f t="shared" si="5"/>
        <v>0.00
(0.00 – 0.00)</v>
      </c>
      <c r="M91" s="57"/>
      <c r="N91" s="59"/>
      <c r="O91" s="16"/>
    </row>
    <row r="92" spans="3:15" ht="15" hidden="1" customHeight="1" x14ac:dyDescent="0.25">
      <c r="C92" s="56"/>
      <c r="D92" s="57"/>
      <c r="E92" s="57"/>
      <c r="F92" s="57"/>
      <c r="G92" s="57"/>
      <c r="H92" s="57"/>
      <c r="I92" s="57"/>
      <c r="J92" s="57"/>
      <c r="K92" s="59" t="str">
        <f t="shared" si="4"/>
        <v>0.00 (0.00 – 0.00)</v>
      </c>
      <c r="L92" s="16" t="str">
        <f t="shared" si="5"/>
        <v>0.00
(0.00 – 0.00)</v>
      </c>
      <c r="M92" s="57"/>
      <c r="N92" s="59"/>
      <c r="O92" s="16"/>
    </row>
    <row r="93" spans="3:15" ht="15" hidden="1" customHeight="1" x14ac:dyDescent="0.25">
      <c r="C93" s="56"/>
      <c r="D93" s="57"/>
      <c r="E93" s="57"/>
      <c r="F93" s="57"/>
      <c r="G93" s="57"/>
      <c r="H93" s="57"/>
      <c r="I93" s="57"/>
      <c r="J93" s="57"/>
      <c r="K93" s="59" t="str">
        <f t="shared" si="4"/>
        <v>0.00 (0.00 – 0.00)</v>
      </c>
      <c r="L93" s="16" t="str">
        <f t="shared" si="5"/>
        <v>0.00
(0.00 – 0.00)</v>
      </c>
      <c r="M93" s="57"/>
      <c r="N93" s="59"/>
      <c r="O93" s="16"/>
    </row>
    <row r="94" spans="3:15" ht="15" hidden="1" customHeight="1" x14ac:dyDescent="0.25">
      <c r="C94" s="56"/>
      <c r="D94" s="57"/>
      <c r="E94" s="57"/>
      <c r="F94" s="57"/>
      <c r="G94" s="57"/>
      <c r="H94" s="57"/>
      <c r="I94" s="57"/>
      <c r="J94" s="57"/>
      <c r="K94" s="59" t="str">
        <f t="shared" si="4"/>
        <v>0.00 (0.00 – 0.00)</v>
      </c>
      <c r="L94" s="16" t="str">
        <f t="shared" si="5"/>
        <v>0.00
(0.00 – 0.00)</v>
      </c>
      <c r="M94" s="57"/>
      <c r="N94" s="59"/>
      <c r="O94" s="16"/>
    </row>
    <row r="95" spans="3:15" ht="15" hidden="1" customHeight="1" x14ac:dyDescent="0.25">
      <c r="C95" s="56"/>
      <c r="D95" s="57"/>
      <c r="E95" s="57"/>
      <c r="F95" s="57"/>
      <c r="G95" s="57"/>
      <c r="H95" s="57"/>
      <c r="I95" s="57"/>
      <c r="J95" s="57"/>
      <c r="K95" s="59" t="str">
        <f t="shared" si="4"/>
        <v>0.00 (0.00 – 0.00)</v>
      </c>
      <c r="L95" s="16" t="str">
        <f t="shared" si="5"/>
        <v>0.00
(0.00 – 0.00)</v>
      </c>
      <c r="M95" s="57"/>
      <c r="N95" s="59"/>
      <c r="O95" s="16"/>
    </row>
    <row r="96" spans="3:15" ht="15" hidden="1" customHeight="1" x14ac:dyDescent="0.25">
      <c r="C96" s="56"/>
      <c r="D96" s="57"/>
      <c r="E96" s="57"/>
      <c r="F96" s="57"/>
      <c r="G96" s="57"/>
      <c r="H96" s="57"/>
      <c r="I96" s="57"/>
      <c r="J96" s="57"/>
      <c r="K96" s="59" t="str">
        <f t="shared" si="4"/>
        <v>0.00 (0.00 – 0.00)</v>
      </c>
      <c r="L96" s="16" t="str">
        <f t="shared" si="5"/>
        <v>0.00
(0.00 – 0.00)</v>
      </c>
      <c r="M96" s="57"/>
      <c r="N96" s="59"/>
      <c r="O96" s="16"/>
    </row>
    <row r="97" spans="3:15" ht="15" hidden="1" customHeight="1" x14ac:dyDescent="0.25">
      <c r="C97" s="56"/>
      <c r="D97" s="57"/>
      <c r="E97" s="57"/>
      <c r="F97" s="57"/>
      <c r="G97" s="57"/>
      <c r="H97" s="57"/>
      <c r="I97" s="57"/>
      <c r="J97" s="57"/>
      <c r="K97" s="59" t="str">
        <f t="shared" si="4"/>
        <v>0.00 (0.00 – 0.00)</v>
      </c>
      <c r="L97" s="16" t="str">
        <f t="shared" si="5"/>
        <v>0.00
(0.00 – 0.00)</v>
      </c>
      <c r="M97" s="57"/>
      <c r="N97" s="59"/>
      <c r="O97" s="16"/>
    </row>
    <row r="98" spans="3:15" ht="15" hidden="1" customHeight="1" x14ac:dyDescent="0.25">
      <c r="C98" s="56"/>
      <c r="D98" s="57"/>
      <c r="E98" s="57"/>
      <c r="F98" s="57"/>
      <c r="G98" s="57"/>
      <c r="H98" s="57"/>
      <c r="I98" s="57"/>
      <c r="J98" s="57"/>
      <c r="K98" s="59" t="str">
        <f t="shared" si="4"/>
        <v>0.00 (0.00 – 0.00)</v>
      </c>
      <c r="L98" s="16" t="str">
        <f t="shared" si="5"/>
        <v>0.00
(0.00 – 0.00)</v>
      </c>
      <c r="M98" s="57"/>
      <c r="N98" s="59"/>
      <c r="O98" s="16"/>
    </row>
    <row r="99" spans="3:15" ht="15" hidden="1" customHeight="1" x14ac:dyDescent="0.25">
      <c r="C99" s="56"/>
      <c r="D99" s="57"/>
      <c r="E99" s="57"/>
      <c r="F99" s="57"/>
      <c r="G99" s="57"/>
      <c r="H99" s="57"/>
      <c r="I99" s="57"/>
      <c r="J99" s="57"/>
      <c r="K99" s="59" t="str">
        <f t="shared" si="4"/>
        <v>0.00 (0.00 – 0.00)</v>
      </c>
      <c r="L99" s="16" t="str">
        <f t="shared" si="5"/>
        <v>0.00
(0.00 – 0.00)</v>
      </c>
      <c r="M99" s="57"/>
      <c r="N99" s="59"/>
      <c r="O99" s="16"/>
    </row>
    <row r="100" spans="3:15" ht="15" hidden="1" customHeight="1" x14ac:dyDescent="0.25">
      <c r="C100" s="56"/>
      <c r="D100" s="57"/>
      <c r="E100" s="57"/>
      <c r="F100" s="57"/>
      <c r="G100" s="57"/>
      <c r="H100" s="57"/>
      <c r="I100" s="57"/>
      <c r="J100" s="57"/>
      <c r="K100" s="59" t="str">
        <f t="shared" si="4"/>
        <v>0.00 (0.00 – 0.00)</v>
      </c>
      <c r="L100" s="16" t="str">
        <f t="shared" si="5"/>
        <v>0.00
(0.00 – 0.00)</v>
      </c>
      <c r="M100" s="57"/>
      <c r="N100" s="59"/>
      <c r="O100" s="16"/>
    </row>
    <row r="101" spans="3:15" ht="15" hidden="1" customHeight="1" x14ac:dyDescent="0.25">
      <c r="C101" s="56"/>
      <c r="D101" s="57"/>
      <c r="E101" s="57"/>
      <c r="F101" s="57"/>
      <c r="G101" s="57"/>
      <c r="H101" s="57"/>
      <c r="I101" s="57"/>
      <c r="J101" s="57"/>
      <c r="K101" s="59" t="str">
        <f t="shared" si="4"/>
        <v>0.00 (0.00 – 0.00)</v>
      </c>
      <c r="L101" s="16" t="str">
        <f t="shared" si="5"/>
        <v>0.00
(0.00 – 0.00)</v>
      </c>
      <c r="M101" s="57"/>
      <c r="N101" s="59"/>
      <c r="O101" s="16"/>
    </row>
    <row r="102" spans="3:15" ht="15" hidden="1" customHeight="1" x14ac:dyDescent="0.25">
      <c r="C102" s="56"/>
      <c r="D102" s="57"/>
      <c r="E102" s="57"/>
      <c r="F102" s="57"/>
      <c r="G102" s="57"/>
      <c r="H102" s="57"/>
      <c r="I102" s="57"/>
      <c r="J102" s="57"/>
      <c r="K102" s="59" t="str">
        <f t="shared" si="4"/>
        <v>0.00 (0.00 – 0.00)</v>
      </c>
      <c r="L102" s="16" t="str">
        <f t="shared" si="5"/>
        <v>0.00
(0.00 – 0.00)</v>
      </c>
      <c r="M102" s="57"/>
      <c r="N102" s="59"/>
      <c r="O102" s="16"/>
    </row>
    <row r="103" spans="3:15" ht="15" hidden="1" customHeight="1" x14ac:dyDescent="0.25">
      <c r="C103" s="56"/>
      <c r="D103" s="57"/>
      <c r="E103" s="57"/>
      <c r="F103" s="57"/>
      <c r="G103" s="57"/>
      <c r="H103" s="57"/>
      <c r="I103" s="57"/>
      <c r="J103" s="57"/>
      <c r="K103" s="59" t="str">
        <f t="shared" si="4"/>
        <v>0.00 (0.00 – 0.00)</v>
      </c>
      <c r="L103" s="16" t="str">
        <f t="shared" si="5"/>
        <v>0.00
(0.00 – 0.00)</v>
      </c>
      <c r="M103" s="57"/>
      <c r="N103" s="59"/>
      <c r="O103" s="16"/>
    </row>
    <row r="104" spans="3:15" ht="15" hidden="1" customHeight="1" x14ac:dyDescent="0.25">
      <c r="C104" s="56"/>
      <c r="D104" s="57"/>
      <c r="E104" s="57"/>
      <c r="F104" s="57"/>
      <c r="G104" s="57"/>
      <c r="H104" s="57"/>
      <c r="I104" s="57"/>
      <c r="J104" s="57"/>
      <c r="K104" s="59" t="str">
        <f t="shared" si="4"/>
        <v>0.00 (0.00 – 0.00)</v>
      </c>
      <c r="L104" s="16" t="str">
        <f t="shared" si="5"/>
        <v>0.00
(0.00 – 0.00)</v>
      </c>
      <c r="M104" s="57"/>
      <c r="N104" s="59"/>
      <c r="O104" s="16"/>
    </row>
    <row r="105" spans="3:15" ht="15" hidden="1" customHeight="1" x14ac:dyDescent="0.25">
      <c r="C105" s="56"/>
      <c r="D105" s="57"/>
      <c r="E105" s="57"/>
      <c r="F105" s="57"/>
      <c r="G105" s="57"/>
      <c r="H105" s="57"/>
      <c r="I105" s="57"/>
      <c r="J105" s="57"/>
      <c r="K105" s="59" t="str">
        <f t="shared" si="4"/>
        <v>0.00 (0.00 – 0.00)</v>
      </c>
      <c r="L105" s="16" t="str">
        <f t="shared" si="5"/>
        <v>0.00
(0.00 – 0.00)</v>
      </c>
      <c r="M105" s="57"/>
      <c r="N105" s="59"/>
      <c r="O105" s="16"/>
    </row>
    <row r="106" spans="3:15" ht="15" hidden="1" customHeight="1" x14ac:dyDescent="0.25">
      <c r="C106" s="56"/>
      <c r="D106" s="57"/>
      <c r="E106" s="57"/>
      <c r="F106" s="57"/>
      <c r="G106" s="57"/>
      <c r="H106" s="57"/>
      <c r="I106" s="57"/>
      <c r="J106" s="57"/>
      <c r="K106" s="59" t="str">
        <f t="shared" si="4"/>
        <v>0.00 (0.00 – 0.00)</v>
      </c>
      <c r="L106" s="16" t="str">
        <f t="shared" si="5"/>
        <v>0.00
(0.00 – 0.00)</v>
      </c>
      <c r="M106" s="57"/>
      <c r="N106" s="59"/>
      <c r="O106" s="16"/>
    </row>
    <row r="107" spans="3:15" ht="15" hidden="1" customHeight="1" x14ac:dyDescent="0.25">
      <c r="C107" s="56"/>
      <c r="D107" s="57"/>
      <c r="E107" s="57"/>
      <c r="F107" s="57"/>
      <c r="G107" s="57"/>
      <c r="H107" s="57"/>
      <c r="I107" s="57"/>
      <c r="J107" s="57"/>
      <c r="K107" s="59" t="str">
        <f t="shared" si="4"/>
        <v>0.00 (0.00 – 0.00)</v>
      </c>
      <c r="L107" s="16" t="str">
        <f t="shared" si="5"/>
        <v>0.00
(0.00 – 0.00)</v>
      </c>
      <c r="M107" s="57"/>
      <c r="N107" s="59"/>
      <c r="O107" s="16"/>
    </row>
    <row r="108" spans="3:15" ht="15" hidden="1" customHeight="1" x14ac:dyDescent="0.25">
      <c r="C108" s="56"/>
      <c r="D108" s="57"/>
      <c r="E108" s="57"/>
      <c r="F108" s="57"/>
      <c r="G108" s="57"/>
      <c r="H108" s="57"/>
      <c r="I108" s="57"/>
      <c r="J108" s="57"/>
      <c r="K108" s="59" t="str">
        <f t="shared" si="4"/>
        <v>0.00 (0.00 – 0.00)</v>
      </c>
      <c r="L108" s="16" t="str">
        <f t="shared" si="5"/>
        <v>0.00
(0.00 – 0.00)</v>
      </c>
      <c r="M108" s="57"/>
      <c r="N108" s="59"/>
      <c r="O108" s="16"/>
    </row>
    <row r="109" spans="3:15" ht="15" hidden="1" customHeight="1" x14ac:dyDescent="0.25">
      <c r="C109" s="56"/>
      <c r="D109" s="57"/>
      <c r="E109" s="57"/>
      <c r="F109" s="57"/>
      <c r="G109" s="57"/>
      <c r="H109" s="57"/>
      <c r="I109" s="57"/>
      <c r="J109" s="57"/>
      <c r="K109" s="59" t="str">
        <f t="shared" si="4"/>
        <v>0.00 (0.00 – 0.00)</v>
      </c>
      <c r="L109" s="16" t="str">
        <f t="shared" si="5"/>
        <v>0.00
(0.00 – 0.00)</v>
      </c>
      <c r="M109" s="57"/>
      <c r="N109" s="59"/>
      <c r="O109" s="16"/>
    </row>
    <row r="110" spans="3:15" ht="15" hidden="1" customHeight="1" x14ac:dyDescent="0.25">
      <c r="C110" s="56"/>
      <c r="D110" s="57"/>
      <c r="E110" s="57"/>
      <c r="F110" s="57"/>
      <c r="G110" s="57"/>
      <c r="H110" s="57"/>
      <c r="I110" s="57"/>
      <c r="J110" s="57"/>
      <c r="K110" s="59" t="str">
        <f t="shared" si="4"/>
        <v>0.00 (0.00 – 0.00)</v>
      </c>
      <c r="L110" s="16" t="str">
        <f t="shared" si="5"/>
        <v>0.00
(0.00 – 0.00)</v>
      </c>
      <c r="M110" s="57"/>
      <c r="N110" s="59"/>
      <c r="O110" s="16"/>
    </row>
    <row r="111" spans="3:15" ht="15" hidden="1" customHeight="1" x14ac:dyDescent="0.25">
      <c r="C111" s="56"/>
      <c r="D111" s="57"/>
      <c r="E111" s="57"/>
      <c r="F111" s="57"/>
      <c r="G111" s="57"/>
      <c r="H111" s="57"/>
      <c r="I111" s="57"/>
      <c r="J111" s="57"/>
      <c r="K111" s="59" t="str">
        <f t="shared" si="4"/>
        <v>0.00 (0.00 – 0.00)</v>
      </c>
      <c r="L111" s="16" t="str">
        <f t="shared" si="5"/>
        <v>0.00
(0.00 – 0.00)</v>
      </c>
      <c r="M111" s="57"/>
      <c r="N111" s="59"/>
      <c r="O111" s="16"/>
    </row>
    <row r="112" spans="3:15" ht="15" hidden="1" customHeight="1" x14ac:dyDescent="0.25">
      <c r="C112" s="56"/>
      <c r="D112" s="57"/>
      <c r="E112" s="57"/>
      <c r="F112" s="57"/>
      <c r="G112" s="57"/>
      <c r="H112" s="57"/>
      <c r="I112" s="57"/>
      <c r="J112" s="57"/>
      <c r="K112" s="59" t="str">
        <f t="shared" si="4"/>
        <v>0.00 (0.00 – 0.00)</v>
      </c>
      <c r="L112" s="16" t="str">
        <f t="shared" si="5"/>
        <v>0.00
(0.00 – 0.00)</v>
      </c>
      <c r="M112" s="57"/>
      <c r="N112" s="59"/>
      <c r="O112" s="16"/>
    </row>
    <row r="113" spans="3:15" ht="15" hidden="1" customHeight="1" x14ac:dyDescent="0.25">
      <c r="C113" s="56"/>
      <c r="D113" s="57"/>
      <c r="E113" s="57"/>
      <c r="F113" s="57"/>
      <c r="G113" s="57"/>
      <c r="H113" s="57"/>
      <c r="I113" s="57"/>
      <c r="J113" s="57"/>
      <c r="K113" s="59" t="str">
        <f t="shared" si="4"/>
        <v>0.00 (0.00 – 0.00)</v>
      </c>
      <c r="L113" s="16" t="str">
        <f t="shared" si="5"/>
        <v>0.00
(0.00 – 0.00)</v>
      </c>
      <c r="M113" s="57"/>
      <c r="N113" s="59"/>
      <c r="O113" s="16"/>
    </row>
    <row r="114" spans="3:15" ht="15" hidden="1" customHeight="1" x14ac:dyDescent="0.25">
      <c r="C114" s="56"/>
      <c r="D114" s="57"/>
      <c r="E114" s="57"/>
      <c r="F114" s="57"/>
      <c r="G114" s="57"/>
      <c r="H114" s="57"/>
      <c r="I114" s="57"/>
      <c r="J114" s="57"/>
      <c r="K114" s="59" t="str">
        <f t="shared" si="4"/>
        <v>0.00 (0.00 – 0.00)</v>
      </c>
      <c r="L114" s="16" t="str">
        <f t="shared" si="5"/>
        <v>0.00
(0.00 – 0.00)</v>
      </c>
      <c r="M114" s="57"/>
      <c r="N114" s="59"/>
      <c r="O114" s="16"/>
    </row>
    <row r="115" spans="3:15" ht="15" hidden="1" customHeight="1" x14ac:dyDescent="0.25">
      <c r="C115" s="56"/>
      <c r="D115" s="57"/>
      <c r="E115" s="57"/>
      <c r="F115" s="57"/>
      <c r="G115" s="57"/>
      <c r="H115" s="57"/>
      <c r="I115" s="57"/>
      <c r="J115" s="57"/>
      <c r="K115" s="59" t="str">
        <f t="shared" si="4"/>
        <v>0.00 (0.00 – 0.00)</v>
      </c>
      <c r="L115" s="16" t="str">
        <f t="shared" si="5"/>
        <v>0.00
(0.00 – 0.00)</v>
      </c>
      <c r="M115" s="57"/>
      <c r="N115" s="59"/>
      <c r="O115" s="16"/>
    </row>
    <row r="116" spans="3:15" ht="15" hidden="1" customHeight="1" x14ac:dyDescent="0.25">
      <c r="C116" s="56"/>
      <c r="D116" s="57"/>
      <c r="E116" s="57"/>
      <c r="F116" s="57"/>
      <c r="G116" s="57"/>
      <c r="H116" s="57"/>
      <c r="I116" s="57"/>
      <c r="J116" s="57"/>
      <c r="K116" s="59" t="str">
        <f t="shared" si="4"/>
        <v>0.00 (0.00 – 0.00)</v>
      </c>
      <c r="L116" s="16" t="str">
        <f t="shared" si="5"/>
        <v>0.00
(0.00 – 0.00)</v>
      </c>
      <c r="M116" s="57"/>
      <c r="N116" s="59"/>
      <c r="O116" s="16"/>
    </row>
    <row r="117" spans="3:15" ht="15" hidden="1" customHeight="1" x14ac:dyDescent="0.25">
      <c r="C117" s="56"/>
      <c r="D117" s="57"/>
      <c r="E117" s="57"/>
      <c r="F117" s="57"/>
      <c r="G117" s="57"/>
      <c r="H117" s="57"/>
      <c r="I117" s="57"/>
      <c r="J117" s="57"/>
      <c r="K117" s="59" t="str">
        <f t="shared" si="4"/>
        <v>0.00 (0.00 – 0.00)</v>
      </c>
      <c r="L117" s="16" t="str">
        <f t="shared" si="5"/>
        <v>0.00
(0.00 – 0.00)</v>
      </c>
      <c r="M117" s="57"/>
      <c r="N117" s="59"/>
      <c r="O117" s="16"/>
    </row>
    <row r="118" spans="3:15" ht="15" hidden="1" customHeight="1" x14ac:dyDescent="0.25">
      <c r="C118" s="56"/>
      <c r="D118" s="57"/>
      <c r="E118" s="57"/>
      <c r="F118" s="57"/>
      <c r="G118" s="57"/>
      <c r="H118" s="57"/>
      <c r="I118" s="57"/>
      <c r="J118" s="57"/>
      <c r="K118" s="59" t="str">
        <f t="shared" si="4"/>
        <v>0.00 (0.00 – 0.00)</v>
      </c>
      <c r="L118" s="16" t="str">
        <f t="shared" si="5"/>
        <v>0.00
(0.00 – 0.00)</v>
      </c>
      <c r="M118" s="57"/>
      <c r="N118" s="59"/>
      <c r="O118" s="16"/>
    </row>
    <row r="119" spans="3:15" ht="15" hidden="1" customHeight="1" x14ac:dyDescent="0.25">
      <c r="C119" s="56"/>
      <c r="D119" s="57"/>
      <c r="E119" s="57"/>
      <c r="F119" s="57"/>
      <c r="G119" s="57"/>
      <c r="H119" s="57"/>
      <c r="I119" s="57"/>
      <c r="J119" s="57"/>
      <c r="K119" s="59" t="str">
        <f t="shared" si="4"/>
        <v>0.00 (0.00 – 0.00)</v>
      </c>
      <c r="L119" s="16" t="str">
        <f t="shared" si="5"/>
        <v>0.00
(0.00 – 0.00)</v>
      </c>
      <c r="M119" s="57"/>
      <c r="N119" s="59"/>
      <c r="O119" s="16"/>
    </row>
    <row r="120" spans="3:15" ht="15" hidden="1" customHeight="1" x14ac:dyDescent="0.25">
      <c r="C120" s="56"/>
      <c r="D120" s="57"/>
      <c r="E120" s="57"/>
      <c r="F120" s="57"/>
      <c r="G120" s="57"/>
      <c r="H120" s="57"/>
      <c r="I120" s="57"/>
      <c r="J120" s="57"/>
      <c r="K120" s="59" t="str">
        <f t="shared" si="4"/>
        <v>0.00 (0.00 – 0.00)</v>
      </c>
      <c r="L120" s="16" t="str">
        <f t="shared" si="5"/>
        <v>0.00
(0.00 – 0.00)</v>
      </c>
      <c r="M120" s="57"/>
      <c r="N120" s="59"/>
      <c r="O120" s="16"/>
    </row>
    <row r="121" spans="3:15" ht="15" hidden="1" customHeight="1" x14ac:dyDescent="0.25">
      <c r="C121" s="56"/>
      <c r="D121" s="57"/>
      <c r="E121" s="57"/>
      <c r="F121" s="57"/>
      <c r="G121" s="57"/>
      <c r="H121" s="57"/>
      <c r="I121" s="57"/>
      <c r="J121" s="57"/>
      <c r="K121" s="59" t="str">
        <f t="shared" si="4"/>
        <v>0.00 (0.00 – 0.00)</v>
      </c>
      <c r="L121" s="16" t="str">
        <f t="shared" si="5"/>
        <v>0.00
(0.00 – 0.00)</v>
      </c>
      <c r="M121" s="57"/>
      <c r="N121" s="59"/>
      <c r="O121" s="16"/>
    </row>
    <row r="122" spans="3:15" ht="15" hidden="1" customHeight="1" x14ac:dyDescent="0.25">
      <c r="C122" s="56"/>
      <c r="D122" s="57"/>
      <c r="E122" s="57"/>
      <c r="F122" s="57"/>
      <c r="G122" s="57"/>
      <c r="H122" s="57"/>
      <c r="I122" s="57"/>
      <c r="J122" s="57"/>
      <c r="K122" s="59" t="str">
        <f t="shared" si="4"/>
        <v>0.00 (0.00 – 0.00)</v>
      </c>
      <c r="L122" s="16" t="str">
        <f t="shared" si="5"/>
        <v>0.00
(0.00 – 0.00)</v>
      </c>
      <c r="M122" s="57"/>
      <c r="N122" s="59"/>
      <c r="O122" s="16"/>
    </row>
    <row r="123" spans="3:15" ht="15" hidden="1" customHeight="1" x14ac:dyDescent="0.25">
      <c r="C123" s="56"/>
      <c r="D123" s="57"/>
      <c r="E123" s="57"/>
      <c r="F123" s="57"/>
      <c r="G123" s="57"/>
      <c r="H123" s="57"/>
      <c r="I123" s="57"/>
      <c r="J123" s="57"/>
      <c r="K123" s="59" t="str">
        <f t="shared" si="4"/>
        <v>0.00 (0.00 – 0.00)</v>
      </c>
      <c r="L123" s="16" t="str">
        <f t="shared" si="5"/>
        <v>0.00
(0.00 – 0.00)</v>
      </c>
      <c r="M123" s="57"/>
      <c r="N123" s="59"/>
      <c r="O123" s="16"/>
    </row>
    <row r="124" spans="3:15" ht="15" hidden="1" customHeight="1" x14ac:dyDescent="0.25">
      <c r="C124" s="56"/>
      <c r="D124" s="57"/>
      <c r="E124" s="57"/>
      <c r="F124" s="57"/>
      <c r="G124" s="57"/>
      <c r="H124" s="57"/>
      <c r="I124" s="57"/>
      <c r="J124" s="57"/>
      <c r="K124" s="59" t="str">
        <f t="shared" si="4"/>
        <v>0.00 (0.00 – 0.00)</v>
      </c>
      <c r="L124" s="16" t="str">
        <f t="shared" si="5"/>
        <v>0.00
(0.00 – 0.00)</v>
      </c>
      <c r="M124" s="57"/>
      <c r="N124" s="59"/>
      <c r="O124" s="16"/>
    </row>
    <row r="125" spans="3:15" ht="15" hidden="1" customHeight="1" x14ac:dyDescent="0.25">
      <c r="C125" s="56"/>
      <c r="D125" s="57"/>
      <c r="E125" s="57"/>
      <c r="F125" s="57"/>
      <c r="G125" s="57"/>
      <c r="H125" s="57"/>
      <c r="I125" s="57"/>
      <c r="J125" s="57"/>
      <c r="K125" s="59" t="str">
        <f t="shared" si="4"/>
        <v>0.00 (0.00 – 0.00)</v>
      </c>
      <c r="L125" s="16" t="str">
        <f t="shared" si="5"/>
        <v>0.00
(0.00 – 0.00)</v>
      </c>
      <c r="M125" s="57"/>
      <c r="N125" s="59"/>
      <c r="O125" s="16"/>
    </row>
    <row r="126" spans="3:15" ht="15" hidden="1" customHeight="1" x14ac:dyDescent="0.25">
      <c r="C126" s="56"/>
      <c r="D126" s="57"/>
      <c r="E126" s="57"/>
      <c r="F126" s="57"/>
      <c r="G126" s="57"/>
      <c r="H126" s="57"/>
      <c r="I126" s="57"/>
      <c r="J126" s="57"/>
      <c r="K126" s="59" t="str">
        <f t="shared" si="4"/>
        <v>0.00 (0.00 – 0.00)</v>
      </c>
      <c r="L126" s="16" t="str">
        <f t="shared" si="5"/>
        <v>0.00
(0.00 – 0.00)</v>
      </c>
      <c r="M126" s="57"/>
      <c r="N126" s="59"/>
      <c r="O126" s="16"/>
    </row>
    <row r="127" spans="3:15" ht="15" hidden="1" customHeight="1" x14ac:dyDescent="0.25">
      <c r="C127" s="56"/>
      <c r="D127" s="57"/>
      <c r="E127" s="57"/>
      <c r="F127" s="57"/>
      <c r="G127" s="57"/>
      <c r="H127" s="57"/>
      <c r="I127" s="57"/>
      <c r="J127" s="57"/>
      <c r="K127" s="59" t="str">
        <f t="shared" si="4"/>
        <v>0.00 (0.00 – 0.00)</v>
      </c>
      <c r="L127" s="16" t="str">
        <f t="shared" si="5"/>
        <v>0.00
(0.00 – 0.00)</v>
      </c>
      <c r="M127" s="57"/>
      <c r="N127" s="59"/>
      <c r="O127" s="16"/>
    </row>
    <row r="128" spans="3:15" ht="15" hidden="1" customHeight="1" x14ac:dyDescent="0.25">
      <c r="C128" s="56"/>
      <c r="D128" s="57"/>
      <c r="E128" s="57"/>
      <c r="F128" s="57"/>
      <c r="G128" s="57"/>
      <c r="H128" s="57"/>
      <c r="I128" s="57"/>
      <c r="J128" s="57"/>
      <c r="K128" s="59" t="str">
        <f t="shared" si="4"/>
        <v>0.00 (0.00 – 0.00)</v>
      </c>
      <c r="L128" s="16" t="str">
        <f t="shared" si="5"/>
        <v>0.00
(0.00 – 0.00)</v>
      </c>
      <c r="M128" s="57"/>
      <c r="N128" s="59"/>
      <c r="O128" s="16"/>
    </row>
    <row r="129" spans="3:15" ht="15" hidden="1" customHeight="1" x14ac:dyDescent="0.25">
      <c r="C129" s="56"/>
      <c r="D129" s="57"/>
      <c r="E129" s="57"/>
      <c r="F129" s="57"/>
      <c r="G129" s="57"/>
      <c r="H129" s="57"/>
      <c r="I129" s="57"/>
      <c r="J129" s="57"/>
      <c r="K129" s="59" t="str">
        <f t="shared" si="4"/>
        <v>0.00 (0.00 – 0.00)</v>
      </c>
      <c r="L129" s="16" t="str">
        <f t="shared" si="5"/>
        <v>0.00
(0.00 – 0.00)</v>
      </c>
      <c r="M129" s="57"/>
      <c r="N129" s="59"/>
      <c r="O129" s="16"/>
    </row>
    <row r="130" spans="3:15" ht="15" hidden="1" customHeight="1" x14ac:dyDescent="0.25">
      <c r="C130" s="56"/>
      <c r="D130" s="57"/>
      <c r="E130" s="57"/>
      <c r="F130" s="57"/>
      <c r="G130" s="57"/>
      <c r="H130" s="57"/>
      <c r="I130" s="57"/>
      <c r="J130" s="57"/>
      <c r="K130" s="59" t="str">
        <f t="shared" si="4"/>
        <v>0.00 (0.00 – 0.00)</v>
      </c>
      <c r="L130" s="16" t="str">
        <f t="shared" si="5"/>
        <v>0.00
(0.00 – 0.00)</v>
      </c>
      <c r="M130" s="57"/>
      <c r="N130" s="59"/>
      <c r="O130" s="16"/>
    </row>
    <row r="131" spans="3:15" ht="15" hidden="1" customHeight="1" x14ac:dyDescent="0.25">
      <c r="C131" s="56"/>
      <c r="D131" s="57"/>
      <c r="E131" s="57"/>
      <c r="F131" s="57"/>
      <c r="G131" s="57"/>
      <c r="H131" s="57"/>
      <c r="I131" s="57"/>
      <c r="J131" s="57"/>
      <c r="K131" s="59" t="str">
        <f t="shared" si="4"/>
        <v>0.00 (0.00 – 0.00)</v>
      </c>
      <c r="L131" s="16" t="str">
        <f t="shared" si="5"/>
        <v>0.00
(0.00 – 0.00)</v>
      </c>
      <c r="M131" s="57"/>
      <c r="N131" s="59"/>
      <c r="O131" s="16"/>
    </row>
    <row r="132" spans="3:15" ht="15" hidden="1" customHeight="1" x14ac:dyDescent="0.25">
      <c r="C132" s="56"/>
      <c r="D132" s="57"/>
      <c r="E132" s="57"/>
      <c r="F132" s="57"/>
      <c r="G132" s="57"/>
      <c r="H132" s="57"/>
      <c r="I132" s="57"/>
      <c r="J132" s="57"/>
      <c r="K132" s="59" t="str">
        <f t="shared" si="4"/>
        <v>0.00 (0.00 – 0.00)</v>
      </c>
      <c r="L132" s="16" t="str">
        <f t="shared" si="5"/>
        <v>0.00
(0.00 – 0.00)</v>
      </c>
      <c r="M132" s="57"/>
      <c r="N132" s="59"/>
      <c r="O132" s="16"/>
    </row>
    <row r="133" spans="3:15" ht="15" hidden="1" customHeight="1" x14ac:dyDescent="0.25">
      <c r="C133" s="56"/>
      <c r="D133" s="57"/>
      <c r="E133" s="57"/>
      <c r="F133" s="57"/>
      <c r="G133" s="57"/>
      <c r="H133" s="57"/>
      <c r="I133" s="57"/>
      <c r="J133" s="57"/>
      <c r="K133" s="59" t="str">
        <f t="shared" ref="K133:K196" si="6">CONCATENATE(TEXT(I133,"0.00")," (",TEXT(H133,"0.00")," – ",TEXT(J133,"0.00"),")")</f>
        <v>0.00 (0.00 – 0.00)</v>
      </c>
      <c r="L133" s="16" t="str">
        <f t="shared" si="5"/>
        <v>0.00
(0.00 – 0.00)</v>
      </c>
      <c r="M133" s="57"/>
      <c r="N133" s="59"/>
      <c r="O133" s="16"/>
    </row>
    <row r="134" spans="3:15" ht="15" hidden="1" customHeight="1" x14ac:dyDescent="0.25">
      <c r="C134" s="56"/>
      <c r="D134" s="57"/>
      <c r="E134" s="57"/>
      <c r="F134" s="57"/>
      <c r="G134" s="57"/>
      <c r="H134" s="57"/>
      <c r="I134" s="57"/>
      <c r="J134" s="57"/>
      <c r="K134" s="59" t="str">
        <f t="shared" si="6"/>
        <v>0.00 (0.00 – 0.00)</v>
      </c>
      <c r="L134" s="16" t="str">
        <f t="shared" ref="L134:L197" si="7">CONCATENATE(TEXT(I134,"0.00"),"
(",TEXT(H134,"0.00")," – ",TEXT(J134,"0.00"),")")</f>
        <v>0.00
(0.00 – 0.00)</v>
      </c>
      <c r="M134" s="57"/>
      <c r="N134" s="59"/>
      <c r="O134" s="16"/>
    </row>
    <row r="135" spans="3:15" ht="15" hidden="1" customHeight="1" x14ac:dyDescent="0.25">
      <c r="C135" s="56"/>
      <c r="D135" s="57"/>
      <c r="E135" s="57"/>
      <c r="F135" s="57"/>
      <c r="G135" s="57"/>
      <c r="H135" s="57"/>
      <c r="I135" s="57"/>
      <c r="J135" s="57"/>
      <c r="K135" s="59" t="str">
        <f t="shared" si="6"/>
        <v>0.00 (0.00 – 0.00)</v>
      </c>
      <c r="L135" s="16" t="str">
        <f t="shared" si="7"/>
        <v>0.00
(0.00 – 0.00)</v>
      </c>
      <c r="M135" s="57"/>
      <c r="N135" s="59"/>
      <c r="O135" s="16"/>
    </row>
    <row r="136" spans="3:15" ht="15" hidden="1" customHeight="1" x14ac:dyDescent="0.25">
      <c r="C136" s="56"/>
      <c r="D136" s="57"/>
      <c r="E136" s="57"/>
      <c r="F136" s="57"/>
      <c r="G136" s="57"/>
      <c r="H136" s="57"/>
      <c r="I136" s="57"/>
      <c r="J136" s="57"/>
      <c r="K136" s="59" t="str">
        <f t="shared" si="6"/>
        <v>0.00 (0.00 – 0.00)</v>
      </c>
      <c r="L136" s="16" t="str">
        <f t="shared" si="7"/>
        <v>0.00
(0.00 – 0.00)</v>
      </c>
      <c r="M136" s="57"/>
      <c r="N136" s="59"/>
      <c r="O136" s="16"/>
    </row>
    <row r="137" spans="3:15" ht="15" hidden="1" customHeight="1" x14ac:dyDescent="0.25">
      <c r="C137" s="56"/>
      <c r="D137" s="57"/>
      <c r="E137" s="57"/>
      <c r="F137" s="57"/>
      <c r="G137" s="57"/>
      <c r="H137" s="57"/>
      <c r="I137" s="57"/>
      <c r="J137" s="57"/>
      <c r="K137" s="59" t="str">
        <f t="shared" si="6"/>
        <v>0.00 (0.00 – 0.00)</v>
      </c>
      <c r="L137" s="16" t="str">
        <f t="shared" si="7"/>
        <v>0.00
(0.00 – 0.00)</v>
      </c>
      <c r="M137" s="57"/>
      <c r="N137" s="59"/>
      <c r="O137" s="16"/>
    </row>
    <row r="138" spans="3:15" ht="15" hidden="1" customHeight="1" x14ac:dyDescent="0.25">
      <c r="C138" s="56"/>
      <c r="D138" s="57"/>
      <c r="E138" s="57"/>
      <c r="F138" s="57"/>
      <c r="G138" s="57"/>
      <c r="H138" s="57"/>
      <c r="I138" s="57"/>
      <c r="J138" s="57"/>
      <c r="K138" s="59" t="str">
        <f t="shared" si="6"/>
        <v>0.00 (0.00 – 0.00)</v>
      </c>
      <c r="L138" s="16" t="str">
        <f t="shared" si="7"/>
        <v>0.00
(0.00 – 0.00)</v>
      </c>
      <c r="M138" s="57"/>
      <c r="N138" s="59"/>
      <c r="O138" s="16"/>
    </row>
    <row r="139" spans="3:15" ht="15" hidden="1" customHeight="1" x14ac:dyDescent="0.25">
      <c r="C139" s="56"/>
      <c r="D139" s="57"/>
      <c r="E139" s="57"/>
      <c r="F139" s="57"/>
      <c r="G139" s="57"/>
      <c r="H139" s="57"/>
      <c r="I139" s="57"/>
      <c r="J139" s="57"/>
      <c r="K139" s="59" t="str">
        <f t="shared" si="6"/>
        <v>0.00 (0.00 – 0.00)</v>
      </c>
      <c r="L139" s="16" t="str">
        <f t="shared" si="7"/>
        <v>0.00
(0.00 – 0.00)</v>
      </c>
      <c r="M139" s="57"/>
      <c r="N139" s="59"/>
      <c r="O139" s="16"/>
    </row>
    <row r="140" spans="3:15" ht="15" hidden="1" customHeight="1" x14ac:dyDescent="0.25">
      <c r="C140" s="56"/>
      <c r="D140" s="57"/>
      <c r="E140" s="57"/>
      <c r="F140" s="57"/>
      <c r="G140" s="57"/>
      <c r="H140" s="57"/>
      <c r="I140" s="57"/>
      <c r="J140" s="57"/>
      <c r="K140" s="59" t="str">
        <f t="shared" si="6"/>
        <v>0.00 (0.00 – 0.00)</v>
      </c>
      <c r="L140" s="16" t="str">
        <f t="shared" si="7"/>
        <v>0.00
(0.00 – 0.00)</v>
      </c>
      <c r="M140" s="57"/>
      <c r="N140" s="59"/>
      <c r="O140" s="16"/>
    </row>
    <row r="141" spans="3:15" ht="15" hidden="1" customHeight="1" x14ac:dyDescent="0.25">
      <c r="C141" s="56"/>
      <c r="D141" s="57"/>
      <c r="E141" s="57"/>
      <c r="F141" s="57"/>
      <c r="G141" s="57"/>
      <c r="H141" s="57"/>
      <c r="I141" s="57"/>
      <c r="J141" s="57"/>
      <c r="K141" s="59" t="str">
        <f t="shared" si="6"/>
        <v>0.00 (0.00 – 0.00)</v>
      </c>
      <c r="L141" s="16" t="str">
        <f t="shared" si="7"/>
        <v>0.00
(0.00 – 0.00)</v>
      </c>
      <c r="M141" s="57"/>
      <c r="N141" s="59"/>
      <c r="O141" s="16"/>
    </row>
    <row r="142" spans="3:15" ht="15" hidden="1" customHeight="1" x14ac:dyDescent="0.25">
      <c r="C142" s="56"/>
      <c r="D142" s="57"/>
      <c r="E142" s="57"/>
      <c r="F142" s="57"/>
      <c r="G142" s="57"/>
      <c r="H142" s="57"/>
      <c r="I142" s="57"/>
      <c r="J142" s="57"/>
      <c r="K142" s="59" t="str">
        <f t="shared" si="6"/>
        <v>0.00 (0.00 – 0.00)</v>
      </c>
      <c r="L142" s="16" t="str">
        <f t="shared" si="7"/>
        <v>0.00
(0.00 – 0.00)</v>
      </c>
      <c r="M142" s="57"/>
      <c r="N142" s="59"/>
      <c r="O142" s="16"/>
    </row>
    <row r="143" spans="3:15" ht="15" hidden="1" customHeight="1" x14ac:dyDescent="0.25">
      <c r="C143" s="56"/>
      <c r="D143" s="57"/>
      <c r="E143" s="57"/>
      <c r="F143" s="57"/>
      <c r="G143" s="57"/>
      <c r="H143" s="57"/>
      <c r="I143" s="57"/>
      <c r="J143" s="57"/>
      <c r="K143" s="59" t="str">
        <f t="shared" si="6"/>
        <v>0.00 (0.00 – 0.00)</v>
      </c>
      <c r="L143" s="16" t="str">
        <f t="shared" si="7"/>
        <v>0.00
(0.00 – 0.00)</v>
      </c>
      <c r="M143" s="57"/>
      <c r="N143" s="59"/>
      <c r="O143" s="16"/>
    </row>
    <row r="144" spans="3:15" ht="15" hidden="1" customHeight="1" x14ac:dyDescent="0.25">
      <c r="C144" s="56"/>
      <c r="D144" s="57"/>
      <c r="E144" s="57"/>
      <c r="F144" s="57"/>
      <c r="G144" s="57"/>
      <c r="H144" s="57"/>
      <c r="I144" s="57"/>
      <c r="J144" s="57"/>
      <c r="K144" s="59" t="str">
        <f t="shared" si="6"/>
        <v>0.00 (0.00 – 0.00)</v>
      </c>
      <c r="L144" s="16" t="str">
        <f t="shared" si="7"/>
        <v>0.00
(0.00 – 0.00)</v>
      </c>
      <c r="M144" s="57"/>
      <c r="N144" s="59"/>
      <c r="O144" s="16"/>
    </row>
    <row r="145" spans="3:15" ht="15" hidden="1" customHeight="1" x14ac:dyDescent="0.25">
      <c r="C145" s="56"/>
      <c r="D145" s="57"/>
      <c r="E145" s="57"/>
      <c r="F145" s="57"/>
      <c r="G145" s="57"/>
      <c r="H145" s="57"/>
      <c r="I145" s="57"/>
      <c r="J145" s="57"/>
      <c r="K145" s="59" t="str">
        <f t="shared" si="6"/>
        <v>0.00 (0.00 – 0.00)</v>
      </c>
      <c r="L145" s="16" t="str">
        <f t="shared" si="7"/>
        <v>0.00
(0.00 – 0.00)</v>
      </c>
      <c r="M145" s="57"/>
      <c r="N145" s="59"/>
      <c r="O145" s="16"/>
    </row>
    <row r="146" spans="3:15" ht="15" hidden="1" customHeight="1" x14ac:dyDescent="0.25">
      <c r="C146" s="56"/>
      <c r="D146" s="57"/>
      <c r="E146" s="57"/>
      <c r="F146" s="57"/>
      <c r="G146" s="57"/>
      <c r="H146" s="57"/>
      <c r="I146" s="57"/>
      <c r="J146" s="57"/>
      <c r="K146" s="59" t="str">
        <f t="shared" si="6"/>
        <v>0.00 (0.00 – 0.00)</v>
      </c>
      <c r="L146" s="16" t="str">
        <f t="shared" si="7"/>
        <v>0.00
(0.00 – 0.00)</v>
      </c>
      <c r="M146" s="57"/>
      <c r="N146" s="59"/>
      <c r="O146" s="16"/>
    </row>
    <row r="147" spans="3:15" ht="15" hidden="1" customHeight="1" x14ac:dyDescent="0.25">
      <c r="C147" s="56"/>
      <c r="D147" s="57"/>
      <c r="E147" s="57"/>
      <c r="F147" s="57"/>
      <c r="G147" s="57"/>
      <c r="H147" s="57"/>
      <c r="I147" s="57"/>
      <c r="J147" s="57"/>
      <c r="K147" s="59" t="str">
        <f t="shared" si="6"/>
        <v>0.00 (0.00 – 0.00)</v>
      </c>
      <c r="L147" s="16" t="str">
        <f t="shared" si="7"/>
        <v>0.00
(0.00 – 0.00)</v>
      </c>
      <c r="M147" s="57"/>
      <c r="N147" s="59"/>
      <c r="O147" s="16"/>
    </row>
    <row r="148" spans="3:15" ht="15" hidden="1" customHeight="1" x14ac:dyDescent="0.25">
      <c r="C148" s="56"/>
      <c r="D148" s="57"/>
      <c r="E148" s="57"/>
      <c r="F148" s="57"/>
      <c r="G148" s="57"/>
      <c r="H148" s="57"/>
      <c r="I148" s="57"/>
      <c r="J148" s="57"/>
      <c r="K148" s="59" t="str">
        <f t="shared" si="6"/>
        <v>0.00 (0.00 – 0.00)</v>
      </c>
      <c r="L148" s="16" t="str">
        <f t="shared" si="7"/>
        <v>0.00
(0.00 – 0.00)</v>
      </c>
      <c r="M148" s="57"/>
      <c r="N148" s="59"/>
      <c r="O148" s="16"/>
    </row>
    <row r="149" spans="3:15" ht="15" hidden="1" customHeight="1" x14ac:dyDescent="0.25">
      <c r="C149" s="56"/>
      <c r="D149" s="57"/>
      <c r="E149" s="57"/>
      <c r="F149" s="57"/>
      <c r="G149" s="57"/>
      <c r="H149" s="57"/>
      <c r="I149" s="57"/>
      <c r="J149" s="57"/>
      <c r="K149" s="59" t="str">
        <f t="shared" si="6"/>
        <v>0.00 (0.00 – 0.00)</v>
      </c>
      <c r="L149" s="16" t="str">
        <f t="shared" si="7"/>
        <v>0.00
(0.00 – 0.00)</v>
      </c>
      <c r="M149" s="57"/>
      <c r="N149" s="59"/>
      <c r="O149" s="16"/>
    </row>
    <row r="150" spans="3:15" ht="15" hidden="1" customHeight="1" x14ac:dyDescent="0.25">
      <c r="C150" s="56"/>
      <c r="D150" s="57"/>
      <c r="E150" s="57"/>
      <c r="F150" s="57"/>
      <c r="G150" s="57"/>
      <c r="H150" s="57"/>
      <c r="I150" s="57"/>
      <c r="J150" s="57"/>
      <c r="K150" s="59" t="str">
        <f t="shared" si="6"/>
        <v>0.00 (0.00 – 0.00)</v>
      </c>
      <c r="L150" s="16" t="str">
        <f t="shared" si="7"/>
        <v>0.00
(0.00 – 0.00)</v>
      </c>
      <c r="M150" s="57"/>
      <c r="N150" s="59"/>
      <c r="O150" s="16"/>
    </row>
    <row r="151" spans="3:15" ht="15" hidden="1" customHeight="1" x14ac:dyDescent="0.25">
      <c r="C151" s="56"/>
      <c r="D151" s="57"/>
      <c r="E151" s="57"/>
      <c r="F151" s="57"/>
      <c r="G151" s="57"/>
      <c r="H151" s="57"/>
      <c r="I151" s="57"/>
      <c r="J151" s="57"/>
      <c r="K151" s="59" t="str">
        <f t="shared" si="6"/>
        <v>0.00 (0.00 – 0.00)</v>
      </c>
      <c r="L151" s="16" t="str">
        <f t="shared" si="7"/>
        <v>0.00
(0.00 – 0.00)</v>
      </c>
      <c r="M151" s="57"/>
      <c r="N151" s="59"/>
      <c r="O151" s="16"/>
    </row>
    <row r="152" spans="3:15" ht="15" hidden="1" customHeight="1" x14ac:dyDescent="0.25">
      <c r="C152" s="56"/>
      <c r="D152" s="57"/>
      <c r="E152" s="57"/>
      <c r="F152" s="57"/>
      <c r="G152" s="57"/>
      <c r="H152" s="57"/>
      <c r="I152" s="57"/>
      <c r="J152" s="57"/>
      <c r="K152" s="59" t="str">
        <f t="shared" si="6"/>
        <v>0.00 (0.00 – 0.00)</v>
      </c>
      <c r="L152" s="16" t="str">
        <f t="shared" si="7"/>
        <v>0.00
(0.00 – 0.00)</v>
      </c>
      <c r="M152" s="57"/>
      <c r="N152" s="59"/>
      <c r="O152" s="16"/>
    </row>
    <row r="153" spans="3:15" ht="15" hidden="1" customHeight="1" x14ac:dyDescent="0.25">
      <c r="C153" s="56"/>
      <c r="D153" s="57"/>
      <c r="E153" s="57"/>
      <c r="F153" s="57"/>
      <c r="G153" s="57"/>
      <c r="H153" s="57"/>
      <c r="I153" s="57"/>
      <c r="J153" s="57"/>
      <c r="K153" s="59" t="str">
        <f t="shared" si="6"/>
        <v>0.00 (0.00 – 0.00)</v>
      </c>
      <c r="L153" s="16" t="str">
        <f t="shared" si="7"/>
        <v>0.00
(0.00 – 0.00)</v>
      </c>
      <c r="M153" s="57"/>
      <c r="N153" s="59"/>
      <c r="O153" s="16"/>
    </row>
    <row r="154" spans="3:15" ht="15" hidden="1" customHeight="1" x14ac:dyDescent="0.25">
      <c r="C154" s="56"/>
      <c r="D154" s="57"/>
      <c r="E154" s="57"/>
      <c r="F154" s="57"/>
      <c r="G154" s="57"/>
      <c r="H154" s="57"/>
      <c r="I154" s="57"/>
      <c r="J154" s="57"/>
      <c r="K154" s="59" t="str">
        <f t="shared" si="6"/>
        <v>0.00 (0.00 – 0.00)</v>
      </c>
      <c r="L154" s="16" t="str">
        <f t="shared" si="7"/>
        <v>0.00
(0.00 – 0.00)</v>
      </c>
      <c r="M154" s="57"/>
      <c r="N154" s="59"/>
      <c r="O154" s="16"/>
    </row>
    <row r="155" spans="3:15" ht="15" hidden="1" customHeight="1" x14ac:dyDescent="0.25">
      <c r="C155" s="56"/>
      <c r="D155" s="57"/>
      <c r="E155" s="57"/>
      <c r="F155" s="57"/>
      <c r="G155" s="57"/>
      <c r="H155" s="57"/>
      <c r="I155" s="57"/>
      <c r="J155" s="57"/>
      <c r="K155" s="59" t="str">
        <f t="shared" si="6"/>
        <v>0.00 (0.00 – 0.00)</v>
      </c>
      <c r="L155" s="16" t="str">
        <f t="shared" si="7"/>
        <v>0.00
(0.00 – 0.00)</v>
      </c>
      <c r="M155" s="57"/>
      <c r="N155" s="59"/>
      <c r="O155" s="16"/>
    </row>
    <row r="156" spans="3:15" ht="15" hidden="1" customHeight="1" x14ac:dyDescent="0.25">
      <c r="C156" s="56"/>
      <c r="D156" s="57"/>
      <c r="E156" s="57"/>
      <c r="F156" s="57"/>
      <c r="G156" s="57"/>
      <c r="H156" s="57"/>
      <c r="I156" s="57"/>
      <c r="J156" s="57"/>
      <c r="K156" s="59" t="str">
        <f t="shared" si="6"/>
        <v>0.00 (0.00 – 0.00)</v>
      </c>
      <c r="L156" s="16" t="str">
        <f t="shared" si="7"/>
        <v>0.00
(0.00 – 0.00)</v>
      </c>
      <c r="M156" s="57"/>
      <c r="N156" s="59"/>
      <c r="O156" s="16"/>
    </row>
    <row r="157" spans="3:15" ht="15" hidden="1" customHeight="1" x14ac:dyDescent="0.25">
      <c r="C157" s="56"/>
      <c r="D157" s="57"/>
      <c r="E157" s="57"/>
      <c r="F157" s="57"/>
      <c r="G157" s="57"/>
      <c r="H157" s="57"/>
      <c r="I157" s="57"/>
      <c r="J157" s="57"/>
      <c r="K157" s="59" t="str">
        <f t="shared" si="6"/>
        <v>0.00 (0.00 – 0.00)</v>
      </c>
      <c r="L157" s="16" t="str">
        <f t="shared" si="7"/>
        <v>0.00
(0.00 – 0.00)</v>
      </c>
      <c r="M157" s="57"/>
      <c r="N157" s="59"/>
      <c r="O157" s="16"/>
    </row>
    <row r="158" spans="3:15" ht="15" hidden="1" customHeight="1" x14ac:dyDescent="0.25">
      <c r="C158" s="56"/>
      <c r="D158" s="57"/>
      <c r="E158" s="57"/>
      <c r="F158" s="57"/>
      <c r="G158" s="57"/>
      <c r="H158" s="57"/>
      <c r="I158" s="57"/>
      <c r="J158" s="57"/>
      <c r="K158" s="59" t="str">
        <f t="shared" si="6"/>
        <v>0.00 (0.00 – 0.00)</v>
      </c>
      <c r="L158" s="16" t="str">
        <f t="shared" si="7"/>
        <v>0.00
(0.00 – 0.00)</v>
      </c>
      <c r="M158" s="57"/>
      <c r="N158" s="59"/>
      <c r="O158" s="16"/>
    </row>
    <row r="159" spans="3:15" ht="15" hidden="1" customHeight="1" x14ac:dyDescent="0.25">
      <c r="C159" s="56"/>
      <c r="D159" s="57"/>
      <c r="E159" s="57"/>
      <c r="F159" s="57"/>
      <c r="G159" s="57"/>
      <c r="H159" s="57"/>
      <c r="I159" s="57"/>
      <c r="J159" s="57"/>
      <c r="K159" s="59" t="str">
        <f t="shared" si="6"/>
        <v>0.00 (0.00 – 0.00)</v>
      </c>
      <c r="L159" s="16" t="str">
        <f t="shared" si="7"/>
        <v>0.00
(0.00 – 0.00)</v>
      </c>
      <c r="M159" s="57"/>
      <c r="N159" s="59"/>
      <c r="O159" s="16"/>
    </row>
    <row r="160" spans="3:15" ht="15" hidden="1" customHeight="1" x14ac:dyDescent="0.25">
      <c r="C160" s="56"/>
      <c r="D160" s="57"/>
      <c r="E160" s="57"/>
      <c r="F160" s="57"/>
      <c r="G160" s="57"/>
      <c r="H160" s="57"/>
      <c r="I160" s="57"/>
      <c r="J160" s="57"/>
      <c r="K160" s="59" t="str">
        <f t="shared" si="6"/>
        <v>0.00 (0.00 – 0.00)</v>
      </c>
      <c r="L160" s="16" t="str">
        <f t="shared" si="7"/>
        <v>0.00
(0.00 – 0.00)</v>
      </c>
      <c r="M160" s="57"/>
      <c r="N160" s="59"/>
      <c r="O160" s="16"/>
    </row>
    <row r="161" spans="3:15" ht="15" hidden="1" customHeight="1" x14ac:dyDescent="0.25">
      <c r="C161" s="56"/>
      <c r="D161" s="57"/>
      <c r="E161" s="57"/>
      <c r="F161" s="57"/>
      <c r="G161" s="57"/>
      <c r="H161" s="57"/>
      <c r="I161" s="57"/>
      <c r="J161" s="57"/>
      <c r="K161" s="59" t="str">
        <f t="shared" si="6"/>
        <v>0.00 (0.00 – 0.00)</v>
      </c>
      <c r="L161" s="16" t="str">
        <f t="shared" si="7"/>
        <v>0.00
(0.00 – 0.00)</v>
      </c>
      <c r="M161" s="57"/>
      <c r="N161" s="59"/>
      <c r="O161" s="16"/>
    </row>
    <row r="162" spans="3:15" ht="15" hidden="1" customHeight="1" x14ac:dyDescent="0.25">
      <c r="C162" s="56"/>
      <c r="D162" s="57"/>
      <c r="E162" s="57"/>
      <c r="F162" s="57"/>
      <c r="G162" s="57"/>
      <c r="H162" s="57"/>
      <c r="I162" s="57"/>
      <c r="J162" s="57"/>
      <c r="K162" s="59" t="str">
        <f t="shared" si="6"/>
        <v>0.00 (0.00 – 0.00)</v>
      </c>
      <c r="L162" s="16" t="str">
        <f t="shared" si="7"/>
        <v>0.00
(0.00 – 0.00)</v>
      </c>
      <c r="M162" s="57"/>
      <c r="N162" s="59"/>
      <c r="O162" s="16"/>
    </row>
    <row r="163" spans="3:15" ht="15" hidden="1" customHeight="1" x14ac:dyDescent="0.25">
      <c r="C163" s="56"/>
      <c r="D163" s="57"/>
      <c r="E163" s="57"/>
      <c r="F163" s="57"/>
      <c r="G163" s="57"/>
      <c r="H163" s="57"/>
      <c r="I163" s="57"/>
      <c r="J163" s="57"/>
      <c r="K163" s="59" t="str">
        <f t="shared" si="6"/>
        <v>0.00 (0.00 – 0.00)</v>
      </c>
      <c r="L163" s="16" t="str">
        <f t="shared" si="7"/>
        <v>0.00
(0.00 – 0.00)</v>
      </c>
      <c r="M163" s="57"/>
      <c r="N163" s="59"/>
      <c r="O163" s="16"/>
    </row>
    <row r="164" spans="3:15" ht="15" hidden="1" customHeight="1" x14ac:dyDescent="0.25">
      <c r="C164" s="56"/>
      <c r="D164" s="57"/>
      <c r="E164" s="57"/>
      <c r="F164" s="57"/>
      <c r="G164" s="57"/>
      <c r="H164" s="57"/>
      <c r="I164" s="57"/>
      <c r="J164" s="57"/>
      <c r="K164" s="59" t="str">
        <f t="shared" si="6"/>
        <v>0.00 (0.00 – 0.00)</v>
      </c>
      <c r="L164" s="16" t="str">
        <f t="shared" si="7"/>
        <v>0.00
(0.00 – 0.00)</v>
      </c>
      <c r="M164" s="57"/>
      <c r="N164" s="59"/>
      <c r="O164" s="16"/>
    </row>
    <row r="165" spans="3:15" ht="15" hidden="1" customHeight="1" x14ac:dyDescent="0.25">
      <c r="C165" s="56"/>
      <c r="D165" s="57"/>
      <c r="E165" s="57"/>
      <c r="F165" s="57"/>
      <c r="G165" s="57"/>
      <c r="H165" s="57"/>
      <c r="I165" s="57"/>
      <c r="J165" s="57"/>
      <c r="K165" s="59" t="str">
        <f t="shared" si="6"/>
        <v>0.00 (0.00 – 0.00)</v>
      </c>
      <c r="L165" s="16" t="str">
        <f t="shared" si="7"/>
        <v>0.00
(0.00 – 0.00)</v>
      </c>
      <c r="M165" s="57"/>
      <c r="N165" s="59"/>
      <c r="O165" s="16"/>
    </row>
    <row r="166" spans="3:15" ht="15" hidden="1" customHeight="1" x14ac:dyDescent="0.25">
      <c r="C166" s="56"/>
      <c r="D166" s="57"/>
      <c r="E166" s="57"/>
      <c r="F166" s="57"/>
      <c r="G166" s="57"/>
      <c r="H166" s="57"/>
      <c r="I166" s="57"/>
      <c r="J166" s="57"/>
      <c r="K166" s="59" t="str">
        <f t="shared" si="6"/>
        <v>0.00 (0.00 – 0.00)</v>
      </c>
      <c r="L166" s="16" t="str">
        <f t="shared" si="7"/>
        <v>0.00
(0.00 – 0.00)</v>
      </c>
      <c r="M166" s="57"/>
      <c r="N166" s="59"/>
      <c r="O166" s="16"/>
    </row>
    <row r="167" spans="3:15" ht="15" hidden="1" customHeight="1" x14ac:dyDescent="0.25">
      <c r="C167" s="56"/>
      <c r="D167" s="57"/>
      <c r="E167" s="57"/>
      <c r="F167" s="57"/>
      <c r="G167" s="57"/>
      <c r="H167" s="57"/>
      <c r="I167" s="57"/>
      <c r="J167" s="57"/>
      <c r="K167" s="59" t="str">
        <f t="shared" si="6"/>
        <v>0.00 (0.00 – 0.00)</v>
      </c>
      <c r="L167" s="16" t="str">
        <f t="shared" si="7"/>
        <v>0.00
(0.00 – 0.00)</v>
      </c>
      <c r="M167" s="57"/>
      <c r="N167" s="59"/>
      <c r="O167" s="16"/>
    </row>
    <row r="168" spans="3:15" ht="15" hidden="1" customHeight="1" x14ac:dyDescent="0.25">
      <c r="C168" s="56"/>
      <c r="D168" s="57"/>
      <c r="E168" s="57"/>
      <c r="F168" s="57"/>
      <c r="G168" s="57"/>
      <c r="H168" s="57"/>
      <c r="I168" s="57"/>
      <c r="J168" s="57"/>
      <c r="K168" s="59" t="str">
        <f t="shared" si="6"/>
        <v>0.00 (0.00 – 0.00)</v>
      </c>
      <c r="L168" s="16" t="str">
        <f t="shared" si="7"/>
        <v>0.00
(0.00 – 0.00)</v>
      </c>
      <c r="M168" s="57"/>
      <c r="N168" s="59"/>
      <c r="O168" s="16"/>
    </row>
    <row r="169" spans="3:15" ht="15" hidden="1" customHeight="1" x14ac:dyDescent="0.25">
      <c r="C169" s="56"/>
      <c r="D169" s="57"/>
      <c r="E169" s="57"/>
      <c r="F169" s="57"/>
      <c r="G169" s="57"/>
      <c r="H169" s="57"/>
      <c r="I169" s="57"/>
      <c r="J169" s="57"/>
      <c r="K169" s="59" t="str">
        <f t="shared" si="6"/>
        <v>0.00 (0.00 – 0.00)</v>
      </c>
      <c r="L169" s="16" t="str">
        <f t="shared" si="7"/>
        <v>0.00
(0.00 – 0.00)</v>
      </c>
      <c r="M169" s="57"/>
      <c r="N169" s="59"/>
      <c r="O169" s="16"/>
    </row>
    <row r="170" spans="3:15" ht="15" hidden="1" customHeight="1" x14ac:dyDescent="0.25">
      <c r="C170" s="56"/>
      <c r="D170" s="57"/>
      <c r="E170" s="57"/>
      <c r="F170" s="57"/>
      <c r="G170" s="57"/>
      <c r="H170" s="57"/>
      <c r="I170" s="57"/>
      <c r="J170" s="57"/>
      <c r="K170" s="59" t="str">
        <f t="shared" si="6"/>
        <v>0.00 (0.00 – 0.00)</v>
      </c>
      <c r="L170" s="16" t="str">
        <f t="shared" si="7"/>
        <v>0.00
(0.00 – 0.00)</v>
      </c>
      <c r="M170" s="57"/>
      <c r="N170" s="59"/>
      <c r="O170" s="16"/>
    </row>
    <row r="171" spans="3:15" ht="15" hidden="1" customHeight="1" x14ac:dyDescent="0.25">
      <c r="C171" s="56"/>
      <c r="D171" s="57"/>
      <c r="E171" s="57"/>
      <c r="F171" s="57"/>
      <c r="G171" s="57"/>
      <c r="H171" s="57"/>
      <c r="I171" s="57"/>
      <c r="J171" s="57"/>
      <c r="K171" s="59" t="str">
        <f t="shared" si="6"/>
        <v>0.00 (0.00 – 0.00)</v>
      </c>
      <c r="L171" s="16" t="str">
        <f t="shared" si="7"/>
        <v>0.00
(0.00 – 0.00)</v>
      </c>
      <c r="M171" s="57"/>
      <c r="N171" s="59"/>
      <c r="O171" s="16"/>
    </row>
    <row r="172" spans="3:15" ht="15" hidden="1" customHeight="1" x14ac:dyDescent="0.25">
      <c r="C172" s="56"/>
      <c r="D172" s="57"/>
      <c r="E172" s="57"/>
      <c r="F172" s="57"/>
      <c r="G172" s="57"/>
      <c r="H172" s="57"/>
      <c r="I172" s="57"/>
      <c r="J172" s="57"/>
      <c r="K172" s="59" t="str">
        <f t="shared" si="6"/>
        <v>0.00 (0.00 – 0.00)</v>
      </c>
      <c r="L172" s="16" t="str">
        <f t="shared" si="7"/>
        <v>0.00
(0.00 – 0.00)</v>
      </c>
      <c r="M172" s="57"/>
      <c r="N172" s="59"/>
      <c r="O172" s="16"/>
    </row>
    <row r="173" spans="3:15" ht="15" hidden="1" customHeight="1" x14ac:dyDescent="0.25">
      <c r="C173" s="56"/>
      <c r="D173" s="57"/>
      <c r="E173" s="57"/>
      <c r="F173" s="57"/>
      <c r="G173" s="57"/>
      <c r="H173" s="57"/>
      <c r="I173" s="57"/>
      <c r="J173" s="57"/>
      <c r="K173" s="59" t="str">
        <f t="shared" si="6"/>
        <v>0.00 (0.00 – 0.00)</v>
      </c>
      <c r="L173" s="16" t="str">
        <f t="shared" si="7"/>
        <v>0.00
(0.00 – 0.00)</v>
      </c>
      <c r="M173" s="57"/>
      <c r="N173" s="59"/>
      <c r="O173" s="16"/>
    </row>
    <row r="174" spans="3:15" ht="15" hidden="1" customHeight="1" x14ac:dyDescent="0.25">
      <c r="C174" s="56"/>
      <c r="D174" s="57"/>
      <c r="E174" s="57"/>
      <c r="F174" s="57"/>
      <c r="G174" s="57"/>
      <c r="H174" s="57"/>
      <c r="I174" s="57"/>
      <c r="J174" s="57"/>
      <c r="K174" s="59" t="str">
        <f t="shared" si="6"/>
        <v>0.00 (0.00 – 0.00)</v>
      </c>
      <c r="L174" s="16" t="str">
        <f t="shared" si="7"/>
        <v>0.00
(0.00 – 0.00)</v>
      </c>
      <c r="M174" s="57"/>
      <c r="N174" s="59"/>
      <c r="O174" s="16"/>
    </row>
    <row r="175" spans="3:15" ht="15" hidden="1" customHeight="1" x14ac:dyDescent="0.25">
      <c r="C175" s="56"/>
      <c r="D175" s="57"/>
      <c r="E175" s="57"/>
      <c r="F175" s="57"/>
      <c r="G175" s="57"/>
      <c r="H175" s="57"/>
      <c r="I175" s="57"/>
      <c r="J175" s="57"/>
      <c r="K175" s="59" t="str">
        <f t="shared" si="6"/>
        <v>0.00 (0.00 – 0.00)</v>
      </c>
      <c r="L175" s="16" t="str">
        <f t="shared" si="7"/>
        <v>0.00
(0.00 – 0.00)</v>
      </c>
      <c r="M175" s="57"/>
      <c r="N175" s="59"/>
      <c r="O175" s="16"/>
    </row>
    <row r="176" spans="3:15" ht="15" hidden="1" customHeight="1" x14ac:dyDescent="0.25">
      <c r="C176" s="56"/>
      <c r="D176" s="57"/>
      <c r="E176" s="57"/>
      <c r="F176" s="57"/>
      <c r="G176" s="57"/>
      <c r="H176" s="57"/>
      <c r="I176" s="57"/>
      <c r="J176" s="57"/>
      <c r="K176" s="59" t="str">
        <f t="shared" si="6"/>
        <v>0.00 (0.00 – 0.00)</v>
      </c>
      <c r="L176" s="16" t="str">
        <f t="shared" si="7"/>
        <v>0.00
(0.00 – 0.00)</v>
      </c>
      <c r="M176" s="57"/>
      <c r="N176" s="59"/>
      <c r="O176" s="16"/>
    </row>
    <row r="177" spans="3:15" ht="15" hidden="1" customHeight="1" x14ac:dyDescent="0.25">
      <c r="C177" s="56"/>
      <c r="D177" s="57"/>
      <c r="E177" s="57"/>
      <c r="F177" s="57"/>
      <c r="G177" s="57"/>
      <c r="H177" s="57"/>
      <c r="I177" s="57"/>
      <c r="J177" s="57"/>
      <c r="K177" s="59" t="str">
        <f t="shared" si="6"/>
        <v>0.00 (0.00 – 0.00)</v>
      </c>
      <c r="L177" s="16" t="str">
        <f t="shared" si="7"/>
        <v>0.00
(0.00 – 0.00)</v>
      </c>
      <c r="M177" s="57"/>
      <c r="N177" s="59"/>
      <c r="O177" s="16"/>
    </row>
    <row r="178" spans="3:15" ht="15" hidden="1" customHeight="1" x14ac:dyDescent="0.25">
      <c r="C178" s="56"/>
      <c r="D178" s="57"/>
      <c r="E178" s="57"/>
      <c r="F178" s="57"/>
      <c r="G178" s="57"/>
      <c r="H178" s="57"/>
      <c r="I178" s="57"/>
      <c r="J178" s="57"/>
      <c r="K178" s="59" t="str">
        <f t="shared" si="6"/>
        <v>0.00 (0.00 – 0.00)</v>
      </c>
      <c r="L178" s="16" t="str">
        <f t="shared" si="7"/>
        <v>0.00
(0.00 – 0.00)</v>
      </c>
      <c r="M178" s="57"/>
      <c r="N178" s="59"/>
      <c r="O178" s="16"/>
    </row>
    <row r="179" spans="3:15" ht="15" hidden="1" customHeight="1" x14ac:dyDescent="0.25">
      <c r="C179" s="56"/>
      <c r="D179" s="57"/>
      <c r="E179" s="57"/>
      <c r="F179" s="57"/>
      <c r="G179" s="57"/>
      <c r="H179" s="57"/>
      <c r="I179" s="57"/>
      <c r="J179" s="57"/>
      <c r="K179" s="59" t="str">
        <f t="shared" si="6"/>
        <v>0.00 (0.00 – 0.00)</v>
      </c>
      <c r="L179" s="16" t="str">
        <f t="shared" si="7"/>
        <v>0.00
(0.00 – 0.00)</v>
      </c>
      <c r="M179" s="57"/>
      <c r="N179" s="59"/>
      <c r="O179" s="16"/>
    </row>
    <row r="180" spans="3:15" ht="15" hidden="1" customHeight="1" x14ac:dyDescent="0.25">
      <c r="C180" s="56"/>
      <c r="D180" s="57"/>
      <c r="E180" s="57"/>
      <c r="F180" s="57"/>
      <c r="G180" s="57"/>
      <c r="H180" s="57"/>
      <c r="I180" s="57"/>
      <c r="J180" s="57"/>
      <c r="K180" s="59" t="str">
        <f t="shared" si="6"/>
        <v>0.00 (0.00 – 0.00)</v>
      </c>
      <c r="L180" s="16" t="str">
        <f t="shared" si="7"/>
        <v>0.00
(0.00 – 0.00)</v>
      </c>
      <c r="M180" s="57"/>
      <c r="N180" s="59"/>
      <c r="O180" s="16"/>
    </row>
    <row r="181" spans="3:15" ht="15" hidden="1" customHeight="1" x14ac:dyDescent="0.25">
      <c r="C181" s="56"/>
      <c r="D181" s="57"/>
      <c r="E181" s="57"/>
      <c r="F181" s="57"/>
      <c r="G181" s="57"/>
      <c r="H181" s="57"/>
      <c r="I181" s="57"/>
      <c r="J181" s="57"/>
      <c r="K181" s="59" t="str">
        <f t="shared" si="6"/>
        <v>0.00 (0.00 – 0.00)</v>
      </c>
      <c r="L181" s="16" t="str">
        <f t="shared" si="7"/>
        <v>0.00
(0.00 – 0.00)</v>
      </c>
      <c r="M181" s="57"/>
      <c r="N181" s="59"/>
      <c r="O181" s="16"/>
    </row>
    <row r="182" spans="3:15" ht="15" hidden="1" customHeight="1" x14ac:dyDescent="0.25">
      <c r="C182" s="56"/>
      <c r="D182" s="57"/>
      <c r="E182" s="57"/>
      <c r="F182" s="57"/>
      <c r="G182" s="57"/>
      <c r="H182" s="57"/>
      <c r="I182" s="57"/>
      <c r="J182" s="57"/>
      <c r="K182" s="59" t="str">
        <f t="shared" si="6"/>
        <v>0.00 (0.00 – 0.00)</v>
      </c>
      <c r="L182" s="16" t="str">
        <f t="shared" si="7"/>
        <v>0.00
(0.00 – 0.00)</v>
      </c>
      <c r="M182" s="57"/>
      <c r="N182" s="59"/>
      <c r="O182" s="16"/>
    </row>
    <row r="183" spans="3:15" ht="15" hidden="1" customHeight="1" x14ac:dyDescent="0.25">
      <c r="C183" s="56"/>
      <c r="D183" s="57"/>
      <c r="E183" s="57"/>
      <c r="F183" s="57"/>
      <c r="G183" s="57"/>
      <c r="H183" s="57"/>
      <c r="I183" s="57"/>
      <c r="J183" s="57"/>
      <c r="K183" s="59" t="str">
        <f t="shared" si="6"/>
        <v>0.00 (0.00 – 0.00)</v>
      </c>
      <c r="L183" s="16" t="str">
        <f t="shared" si="7"/>
        <v>0.00
(0.00 – 0.00)</v>
      </c>
      <c r="M183" s="57"/>
      <c r="N183" s="59"/>
      <c r="O183" s="16"/>
    </row>
    <row r="184" spans="3:15" ht="15" hidden="1" customHeight="1" x14ac:dyDescent="0.25">
      <c r="C184" s="56"/>
      <c r="D184" s="57"/>
      <c r="E184" s="57"/>
      <c r="F184" s="57"/>
      <c r="G184" s="57"/>
      <c r="H184" s="57"/>
      <c r="I184" s="57"/>
      <c r="J184" s="57"/>
      <c r="K184" s="59" t="str">
        <f t="shared" si="6"/>
        <v>0.00 (0.00 – 0.00)</v>
      </c>
      <c r="L184" s="16" t="str">
        <f t="shared" si="7"/>
        <v>0.00
(0.00 – 0.00)</v>
      </c>
      <c r="M184" s="57"/>
      <c r="N184" s="59"/>
      <c r="O184" s="16"/>
    </row>
    <row r="185" spans="3:15" ht="15" hidden="1" customHeight="1" x14ac:dyDescent="0.25">
      <c r="C185" s="56"/>
      <c r="D185" s="57"/>
      <c r="E185" s="57"/>
      <c r="F185" s="57"/>
      <c r="G185" s="57"/>
      <c r="H185" s="57"/>
      <c r="I185" s="57"/>
      <c r="J185" s="57"/>
      <c r="K185" s="59" t="str">
        <f t="shared" si="6"/>
        <v>0.00 (0.00 – 0.00)</v>
      </c>
      <c r="L185" s="16" t="str">
        <f t="shared" si="7"/>
        <v>0.00
(0.00 – 0.00)</v>
      </c>
      <c r="M185" s="57"/>
      <c r="N185" s="59"/>
      <c r="O185" s="16"/>
    </row>
    <row r="186" spans="3:15" ht="15" hidden="1" customHeight="1" x14ac:dyDescent="0.25">
      <c r="C186" s="56"/>
      <c r="D186" s="57"/>
      <c r="E186" s="57"/>
      <c r="F186" s="57"/>
      <c r="G186" s="57"/>
      <c r="H186" s="57"/>
      <c r="I186" s="57"/>
      <c r="J186" s="57"/>
      <c r="K186" s="59" t="str">
        <f t="shared" si="6"/>
        <v>0.00 (0.00 – 0.00)</v>
      </c>
      <c r="L186" s="16" t="str">
        <f t="shared" si="7"/>
        <v>0.00
(0.00 – 0.00)</v>
      </c>
      <c r="M186" s="57"/>
      <c r="N186" s="59"/>
      <c r="O186" s="16"/>
    </row>
    <row r="187" spans="3:15" ht="15" hidden="1" customHeight="1" x14ac:dyDescent="0.25">
      <c r="C187" s="56"/>
      <c r="D187" s="57"/>
      <c r="E187" s="57"/>
      <c r="F187" s="57"/>
      <c r="G187" s="57"/>
      <c r="H187" s="57"/>
      <c r="I187" s="57"/>
      <c r="J187" s="57"/>
      <c r="K187" s="59" t="str">
        <f t="shared" si="6"/>
        <v>0.00 (0.00 – 0.00)</v>
      </c>
      <c r="L187" s="16" t="str">
        <f t="shared" si="7"/>
        <v>0.00
(0.00 – 0.00)</v>
      </c>
      <c r="M187" s="57"/>
      <c r="N187" s="59"/>
      <c r="O187" s="16"/>
    </row>
    <row r="188" spans="3:15" ht="15" hidden="1" customHeight="1" x14ac:dyDescent="0.25">
      <c r="C188" s="56"/>
      <c r="D188" s="57"/>
      <c r="E188" s="57"/>
      <c r="F188" s="57"/>
      <c r="G188" s="57"/>
      <c r="H188" s="57"/>
      <c r="I188" s="57"/>
      <c r="J188" s="57"/>
      <c r="K188" s="59" t="str">
        <f t="shared" si="6"/>
        <v>0.00 (0.00 – 0.00)</v>
      </c>
      <c r="L188" s="16" t="str">
        <f t="shared" si="7"/>
        <v>0.00
(0.00 – 0.00)</v>
      </c>
      <c r="M188" s="57"/>
      <c r="N188" s="59"/>
      <c r="O188" s="16"/>
    </row>
    <row r="189" spans="3:15" ht="15" hidden="1" customHeight="1" x14ac:dyDescent="0.25">
      <c r="C189" s="56"/>
      <c r="D189" s="57"/>
      <c r="E189" s="57"/>
      <c r="F189" s="57"/>
      <c r="G189" s="57"/>
      <c r="H189" s="57"/>
      <c r="I189" s="57"/>
      <c r="J189" s="57"/>
      <c r="K189" s="59" t="str">
        <f t="shared" si="6"/>
        <v>0.00 (0.00 – 0.00)</v>
      </c>
      <c r="L189" s="16" t="str">
        <f t="shared" si="7"/>
        <v>0.00
(0.00 – 0.00)</v>
      </c>
      <c r="M189" s="57"/>
      <c r="N189" s="59"/>
      <c r="O189" s="16"/>
    </row>
    <row r="190" spans="3:15" ht="15" hidden="1" customHeight="1" x14ac:dyDescent="0.25">
      <c r="C190" s="56"/>
      <c r="D190" s="57"/>
      <c r="E190" s="57"/>
      <c r="F190" s="57"/>
      <c r="G190" s="57"/>
      <c r="H190" s="57"/>
      <c r="I190" s="57"/>
      <c r="J190" s="57"/>
      <c r="K190" s="59" t="str">
        <f t="shared" si="6"/>
        <v>0.00 (0.00 – 0.00)</v>
      </c>
      <c r="L190" s="16" t="str">
        <f t="shared" si="7"/>
        <v>0.00
(0.00 – 0.00)</v>
      </c>
      <c r="M190" s="57"/>
      <c r="N190" s="59"/>
      <c r="O190" s="16"/>
    </row>
    <row r="191" spans="3:15" ht="15" hidden="1" customHeight="1" x14ac:dyDescent="0.25">
      <c r="C191" s="56"/>
      <c r="D191" s="57"/>
      <c r="E191" s="57"/>
      <c r="F191" s="57"/>
      <c r="G191" s="57"/>
      <c r="H191" s="57"/>
      <c r="I191" s="57"/>
      <c r="J191" s="57"/>
      <c r="K191" s="59" t="str">
        <f t="shared" si="6"/>
        <v>0.00 (0.00 – 0.00)</v>
      </c>
      <c r="L191" s="16" t="str">
        <f t="shared" si="7"/>
        <v>0.00
(0.00 – 0.00)</v>
      </c>
      <c r="M191" s="57"/>
      <c r="N191" s="59"/>
      <c r="O191" s="16"/>
    </row>
    <row r="192" spans="3:15" ht="15" hidden="1" customHeight="1" x14ac:dyDescent="0.25">
      <c r="C192" s="56"/>
      <c r="D192" s="57"/>
      <c r="E192" s="57"/>
      <c r="F192" s="57"/>
      <c r="G192" s="57"/>
      <c r="H192" s="57"/>
      <c r="I192" s="57"/>
      <c r="J192" s="57"/>
      <c r="K192" s="59" t="str">
        <f t="shared" si="6"/>
        <v>0.00 (0.00 – 0.00)</v>
      </c>
      <c r="L192" s="16" t="str">
        <f t="shared" si="7"/>
        <v>0.00
(0.00 – 0.00)</v>
      </c>
      <c r="M192" s="57"/>
      <c r="N192" s="59"/>
      <c r="O192" s="16"/>
    </row>
    <row r="193" spans="3:15" ht="15" hidden="1" customHeight="1" x14ac:dyDescent="0.25">
      <c r="C193" s="56"/>
      <c r="D193" s="57"/>
      <c r="E193" s="57"/>
      <c r="F193" s="57"/>
      <c r="G193" s="57"/>
      <c r="H193" s="57"/>
      <c r="I193" s="57"/>
      <c r="J193" s="57"/>
      <c r="K193" s="59" t="str">
        <f t="shared" si="6"/>
        <v>0.00 (0.00 – 0.00)</v>
      </c>
      <c r="L193" s="16" t="str">
        <f t="shared" si="7"/>
        <v>0.00
(0.00 – 0.00)</v>
      </c>
      <c r="M193" s="57"/>
      <c r="N193" s="59"/>
      <c r="O193" s="16"/>
    </row>
    <row r="194" spans="3:15" ht="15" hidden="1" customHeight="1" x14ac:dyDescent="0.25">
      <c r="C194" s="56"/>
      <c r="D194" s="57"/>
      <c r="E194" s="57"/>
      <c r="F194" s="57"/>
      <c r="G194" s="57"/>
      <c r="H194" s="57"/>
      <c r="I194" s="57"/>
      <c r="J194" s="57"/>
      <c r="K194" s="59" t="str">
        <f t="shared" si="6"/>
        <v>0.00 (0.00 – 0.00)</v>
      </c>
      <c r="L194" s="16" t="str">
        <f t="shared" si="7"/>
        <v>0.00
(0.00 – 0.00)</v>
      </c>
      <c r="M194" s="57"/>
      <c r="N194" s="59"/>
      <c r="O194" s="16"/>
    </row>
    <row r="195" spans="3:15" ht="15" hidden="1" customHeight="1" x14ac:dyDescent="0.25">
      <c r="C195" s="56"/>
      <c r="D195" s="57"/>
      <c r="E195" s="57"/>
      <c r="F195" s="57"/>
      <c r="G195" s="57"/>
      <c r="H195" s="57"/>
      <c r="I195" s="57"/>
      <c r="J195" s="57"/>
      <c r="K195" s="59" t="str">
        <f t="shared" si="6"/>
        <v>0.00 (0.00 – 0.00)</v>
      </c>
      <c r="L195" s="16" t="str">
        <f t="shared" si="7"/>
        <v>0.00
(0.00 – 0.00)</v>
      </c>
      <c r="M195" s="57"/>
      <c r="N195" s="59"/>
      <c r="O195" s="16"/>
    </row>
    <row r="196" spans="3:15" ht="15" hidden="1" customHeight="1" x14ac:dyDescent="0.25">
      <c r="C196" s="56"/>
      <c r="D196" s="57"/>
      <c r="E196" s="57"/>
      <c r="F196" s="57"/>
      <c r="G196" s="57"/>
      <c r="H196" s="57"/>
      <c r="I196" s="57"/>
      <c r="J196" s="57"/>
      <c r="K196" s="59" t="str">
        <f t="shared" si="6"/>
        <v>0.00 (0.00 – 0.00)</v>
      </c>
      <c r="L196" s="16" t="str">
        <f t="shared" si="7"/>
        <v>0.00
(0.00 – 0.00)</v>
      </c>
      <c r="M196" s="57"/>
      <c r="N196" s="59"/>
      <c r="O196" s="16"/>
    </row>
    <row r="197" spans="3:15" ht="15" hidden="1" customHeight="1" x14ac:dyDescent="0.25">
      <c r="C197" s="56"/>
      <c r="D197" s="57"/>
      <c r="E197" s="57"/>
      <c r="F197" s="57"/>
      <c r="G197" s="57"/>
      <c r="H197" s="57"/>
      <c r="I197" s="57"/>
      <c r="J197" s="57"/>
      <c r="K197" s="59" t="str">
        <f>CONCATENATE(TEXT(I197,"0.00")," (",TEXT(H197,"0.00")," – ",TEXT(J197,"0.00"),")")</f>
        <v>0.00 (0.00 – 0.00)</v>
      </c>
      <c r="L197" s="16" t="str">
        <f t="shared" si="7"/>
        <v>0.00
(0.00 – 0.00)</v>
      </c>
      <c r="M197" s="57"/>
      <c r="N197" s="59"/>
      <c r="O197" s="16"/>
    </row>
    <row r="198" spans="3:15" ht="15" hidden="1" customHeight="1" x14ac:dyDescent="0.25">
      <c r="C198" s="56"/>
      <c r="D198" s="57"/>
      <c r="E198" s="57"/>
      <c r="F198" s="57"/>
      <c r="G198" s="57"/>
      <c r="H198" s="57"/>
      <c r="I198" s="57"/>
      <c r="J198" s="57"/>
      <c r="K198" s="59" t="str">
        <f>CONCATENATE(TEXT(I198,"0.00")," (",TEXT(H198,"0.00")," – ",TEXT(J198,"0.00"),")")</f>
        <v>0.00 (0.00 – 0.00)</v>
      </c>
      <c r="L198" s="16" t="str">
        <f>CONCATENATE(TEXT(I198,"0.00"),"
(",TEXT(H198,"0.00")," – ",TEXT(J198,"0.00"),")")</f>
        <v>0.00
(0.00 – 0.00)</v>
      </c>
      <c r="M198" s="57"/>
      <c r="N198" s="59"/>
      <c r="O198" s="16"/>
    </row>
    <row r="199" spans="3:15" ht="15" hidden="1" customHeight="1" x14ac:dyDescent="0.25">
      <c r="C199" s="56"/>
      <c r="D199" s="57"/>
      <c r="E199" s="57"/>
      <c r="F199" s="57"/>
      <c r="G199" s="57"/>
      <c r="H199" s="57"/>
      <c r="I199" s="57"/>
      <c r="J199" s="57"/>
      <c r="K199" s="59" t="str">
        <f>CONCATENATE(TEXT(I199,"0.00")," (",TEXT(H199,"0.00")," – ",TEXT(J199,"0.00"),")")</f>
        <v>0.00 (0.00 – 0.00)</v>
      </c>
      <c r="L199" s="16" t="str">
        <f>CONCATENATE(TEXT(I199,"0.00"),"
(",TEXT(H199,"0.00")," – ",TEXT(J199,"0.00"),")")</f>
        <v>0.00
(0.00 – 0.00)</v>
      </c>
      <c r="M199" s="57"/>
      <c r="N199" s="59"/>
      <c r="O199" s="16"/>
    </row>
    <row r="200" spans="3:15" ht="15" hidden="1" customHeight="1" x14ac:dyDescent="0.25">
      <c r="C200" s="56"/>
      <c r="D200" s="57"/>
      <c r="E200" s="57"/>
      <c r="F200" s="57"/>
      <c r="G200" s="57"/>
      <c r="H200" s="57"/>
      <c r="I200" s="57"/>
      <c r="J200" s="57"/>
      <c r="K200" s="59" t="str">
        <f>CONCATENATE(TEXT(I200,"0.00")," (",TEXT(H200,"0.00")," – ",TEXT(J200,"0.00"),")")</f>
        <v>0.00 (0.00 – 0.00)</v>
      </c>
      <c r="L200" s="16" t="str">
        <f>CONCATENATE(TEXT(I200,"0.00"),"
(",TEXT(H200,"0.00")," – ",TEXT(J200,"0.00"),")")</f>
        <v>0.00
(0.00 – 0.00)</v>
      </c>
      <c r="M200" s="57"/>
      <c r="N200" s="59"/>
      <c r="O200" s="16"/>
    </row>
    <row r="201" spans="3:15" x14ac:dyDescent="0.25">
      <c r="C201" s="56"/>
      <c r="D201" s="57"/>
      <c r="E201" s="57"/>
      <c r="F201" s="57"/>
      <c r="G201" s="57"/>
      <c r="H201" s="57"/>
      <c r="I201" s="57"/>
      <c r="J201" s="57"/>
      <c r="K201" s="59"/>
      <c r="L201" s="16"/>
      <c r="M201" s="57"/>
      <c r="N201" s="59"/>
      <c r="O201" s="16"/>
    </row>
    <row r="202" spans="3:15" x14ac:dyDescent="0.25">
      <c r="C202" s="56"/>
      <c r="D202" s="57"/>
      <c r="E202" s="57"/>
      <c r="F202" s="57"/>
      <c r="G202" s="57"/>
      <c r="H202" s="57"/>
      <c r="I202" s="57"/>
      <c r="J202" s="57"/>
      <c r="K202" s="59"/>
      <c r="L202" s="16"/>
      <c r="M202" s="57"/>
    </row>
    <row r="203" spans="3:15" x14ac:dyDescent="0.25">
      <c r="C203" s="56"/>
      <c r="D203" s="57"/>
      <c r="E203" s="57"/>
      <c r="F203" s="57"/>
      <c r="G203" s="57"/>
      <c r="H203" s="57"/>
      <c r="I203" s="57"/>
      <c r="J203" s="57"/>
      <c r="K203" s="57"/>
      <c r="L203" s="57"/>
      <c r="M203" s="57"/>
    </row>
    <row r="204" spans="3:15" x14ac:dyDescent="0.25">
      <c r="C204" s="56"/>
      <c r="D204" s="57"/>
      <c r="E204" s="57"/>
      <c r="F204" s="57"/>
      <c r="G204" s="57"/>
      <c r="H204" s="57"/>
      <c r="I204" s="57"/>
      <c r="J204" s="57"/>
      <c r="K204" s="57"/>
      <c r="L204" s="57"/>
      <c r="M204" s="57"/>
    </row>
  </sheetData>
  <sortState ref="E5:L32">
    <sortCondition descending="1" ref="I4"/>
  </sortState>
  <dataConsolidate/>
  <mergeCells count="2">
    <mergeCell ref="F3:L3"/>
    <mergeCell ref="N3:T3"/>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theme="3"/>
  </sheetPr>
  <dimension ref="A2:D30"/>
  <sheetViews>
    <sheetView showGridLines="0" zoomScale="90" zoomScaleNormal="90" workbookViewId="0">
      <selection activeCell="M42" sqref="M42"/>
    </sheetView>
  </sheetViews>
  <sheetFormatPr defaultRowHeight="15" x14ac:dyDescent="0.25"/>
  <sheetData>
    <row r="2" spans="1:4" x14ac:dyDescent="0.25">
      <c r="A2" t="s">
        <v>166</v>
      </c>
    </row>
    <row r="3" spans="1:4" x14ac:dyDescent="0.25">
      <c r="A3" t="s">
        <v>167</v>
      </c>
    </row>
    <row r="4" spans="1:4" x14ac:dyDescent="0.25">
      <c r="A4" t="s">
        <v>87</v>
      </c>
    </row>
    <row r="5" spans="1:4" x14ac:dyDescent="0.25">
      <c r="B5" t="s">
        <v>202</v>
      </c>
    </row>
    <row r="6" spans="1:4" x14ac:dyDescent="0.25">
      <c r="B6" t="s">
        <v>92</v>
      </c>
    </row>
    <row r="7" spans="1:4" x14ac:dyDescent="0.25">
      <c r="C7" t="s">
        <v>174</v>
      </c>
    </row>
    <row r="8" spans="1:4" x14ac:dyDescent="0.25">
      <c r="C8" t="s">
        <v>168</v>
      </c>
    </row>
    <row r="9" spans="1:4" x14ac:dyDescent="0.25">
      <c r="C9" t="s">
        <v>87</v>
      </c>
    </row>
    <row r="10" spans="1:4" x14ac:dyDescent="0.25">
      <c r="D10" t="s">
        <v>163</v>
      </c>
    </row>
    <row r="11" spans="1:4" x14ac:dyDescent="0.25">
      <c r="D11" t="s">
        <v>175</v>
      </c>
    </row>
    <row r="12" spans="1:4" x14ac:dyDescent="0.25">
      <c r="D12" t="s">
        <v>173</v>
      </c>
    </row>
    <row r="13" spans="1:4" x14ac:dyDescent="0.25">
      <c r="D13" t="s">
        <v>169</v>
      </c>
    </row>
    <row r="15" spans="1:4" x14ac:dyDescent="0.25">
      <c r="C15" t="s">
        <v>164</v>
      </c>
    </row>
    <row r="16" spans="1:4" x14ac:dyDescent="0.25">
      <c r="C16" t="s">
        <v>176</v>
      </c>
    </row>
    <row r="17" spans="1:4" x14ac:dyDescent="0.25">
      <c r="B17" t="s">
        <v>164</v>
      </c>
    </row>
    <row r="18" spans="1:4" x14ac:dyDescent="0.25">
      <c r="B18" t="s">
        <v>165</v>
      </c>
    </row>
    <row r="19" spans="1:4" x14ac:dyDescent="0.25">
      <c r="B19" t="s">
        <v>203</v>
      </c>
    </row>
    <row r="20" spans="1:4" x14ac:dyDescent="0.25">
      <c r="B20" t="s">
        <v>87</v>
      </c>
    </row>
    <row r="21" spans="1:4" x14ac:dyDescent="0.25">
      <c r="C21" t="s">
        <v>170</v>
      </c>
    </row>
    <row r="22" spans="1:4" x14ac:dyDescent="0.25">
      <c r="B22" t="s">
        <v>30</v>
      </c>
    </row>
    <row r="23" spans="1:4" x14ac:dyDescent="0.25">
      <c r="B23" t="s">
        <v>204</v>
      </c>
    </row>
    <row r="24" spans="1:4" x14ac:dyDescent="0.25">
      <c r="B24" t="s">
        <v>87</v>
      </c>
    </row>
    <row r="25" spans="1:4" x14ac:dyDescent="0.25">
      <c r="C25" t="s">
        <v>205</v>
      </c>
    </row>
    <row r="26" spans="1:4" x14ac:dyDescent="0.25">
      <c r="C26" t="s">
        <v>87</v>
      </c>
    </row>
    <row r="27" spans="1:4" x14ac:dyDescent="0.25">
      <c r="D27" t="s">
        <v>171</v>
      </c>
    </row>
    <row r="28" spans="1:4" x14ac:dyDescent="0.25">
      <c r="C28" t="s">
        <v>30</v>
      </c>
    </row>
    <row r="29" spans="1:4" x14ac:dyDescent="0.25">
      <c r="B29" t="s">
        <v>30</v>
      </c>
    </row>
    <row r="30" spans="1:4" x14ac:dyDescent="0.25">
      <c r="A30" t="s">
        <v>172</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3"/>
  </sheetPr>
  <dimension ref="A2:D33"/>
  <sheetViews>
    <sheetView showGridLines="0" zoomScale="90" zoomScaleNormal="90" workbookViewId="0">
      <selection activeCell="D8" sqref="D8"/>
    </sheetView>
  </sheetViews>
  <sheetFormatPr defaultRowHeight="15" x14ac:dyDescent="0.25"/>
  <sheetData>
    <row r="2" spans="1:4" x14ac:dyDescent="0.25">
      <c r="A2" t="s">
        <v>183</v>
      </c>
    </row>
    <row r="3" spans="1:4" x14ac:dyDescent="0.25">
      <c r="A3" t="s">
        <v>184</v>
      </c>
    </row>
    <row r="4" spans="1:4" x14ac:dyDescent="0.25">
      <c r="A4" t="s">
        <v>81</v>
      </c>
    </row>
    <row r="5" spans="1:4" x14ac:dyDescent="0.25">
      <c r="B5" t="s">
        <v>200</v>
      </c>
    </row>
    <row r="6" spans="1:4" x14ac:dyDescent="0.25">
      <c r="B6" t="s">
        <v>87</v>
      </c>
    </row>
    <row r="7" spans="1:4" x14ac:dyDescent="0.25">
      <c r="C7" t="s">
        <v>188</v>
      </c>
    </row>
    <row r="8" spans="1:4" x14ac:dyDescent="0.25">
      <c r="C8" t="s">
        <v>189</v>
      </c>
    </row>
    <row r="9" spans="1:4" x14ac:dyDescent="0.25">
      <c r="C9" t="s">
        <v>190</v>
      </c>
    </row>
    <row r="10" spans="1:4" x14ac:dyDescent="0.25">
      <c r="C10" t="s">
        <v>81</v>
      </c>
    </row>
    <row r="11" spans="1:4" x14ac:dyDescent="0.25">
      <c r="D11" t="s">
        <v>185</v>
      </c>
    </row>
    <row r="12" spans="1:4" x14ac:dyDescent="0.25">
      <c r="D12" t="s">
        <v>186</v>
      </c>
    </row>
    <row r="13" spans="1:4" x14ac:dyDescent="0.25">
      <c r="D13" t="s">
        <v>187</v>
      </c>
    </row>
    <row r="14" spans="1:4" x14ac:dyDescent="0.25">
      <c r="D14" t="s">
        <v>192</v>
      </c>
    </row>
    <row r="15" spans="1:4" x14ac:dyDescent="0.25">
      <c r="C15" t="s">
        <v>30</v>
      </c>
    </row>
    <row r="16" spans="1:4" x14ac:dyDescent="0.25">
      <c r="A16" t="s">
        <v>103</v>
      </c>
      <c r="C16" t="s">
        <v>191</v>
      </c>
    </row>
    <row r="17" spans="2:4" x14ac:dyDescent="0.25">
      <c r="C17" t="s">
        <v>193</v>
      </c>
    </row>
    <row r="18" spans="2:4" x14ac:dyDescent="0.25">
      <c r="C18" t="s">
        <v>81</v>
      </c>
    </row>
    <row r="19" spans="2:4" x14ac:dyDescent="0.25">
      <c r="D19" t="s">
        <v>194</v>
      </c>
    </row>
    <row r="20" spans="2:4" x14ac:dyDescent="0.25">
      <c r="C20" t="s">
        <v>30</v>
      </c>
    </row>
    <row r="21" spans="2:4" x14ac:dyDescent="0.25">
      <c r="B21" t="s">
        <v>177</v>
      </c>
    </row>
    <row r="22" spans="2:4" x14ac:dyDescent="0.25">
      <c r="B22" t="s">
        <v>178</v>
      </c>
    </row>
    <row r="23" spans="2:4" x14ac:dyDescent="0.25">
      <c r="B23" t="s">
        <v>201</v>
      </c>
    </row>
    <row r="24" spans="2:4" x14ac:dyDescent="0.25">
      <c r="B24" t="s">
        <v>81</v>
      </c>
    </row>
    <row r="25" spans="2:4" x14ac:dyDescent="0.25">
      <c r="C25" t="s">
        <v>93</v>
      </c>
    </row>
    <row r="26" spans="2:4" x14ac:dyDescent="0.25">
      <c r="C26" t="s">
        <v>87</v>
      </c>
    </row>
    <row r="27" spans="2:4" x14ac:dyDescent="0.25">
      <c r="D27" t="s">
        <v>195</v>
      </c>
    </row>
    <row r="28" spans="2:4" x14ac:dyDescent="0.25">
      <c r="C28" t="s">
        <v>30</v>
      </c>
    </row>
    <row r="29" spans="2:4" x14ac:dyDescent="0.25">
      <c r="B29" t="s">
        <v>179</v>
      </c>
    </row>
    <row r="30" spans="2:4" x14ac:dyDescent="0.25">
      <c r="B30" t="s">
        <v>180</v>
      </c>
    </row>
    <row r="31" spans="2:4" x14ac:dyDescent="0.25">
      <c r="B31" t="s">
        <v>181</v>
      </c>
    </row>
    <row r="32" spans="2:4" x14ac:dyDescent="0.25">
      <c r="B32" t="s">
        <v>182</v>
      </c>
    </row>
    <row r="33" spans="1:1" x14ac:dyDescent="0.25">
      <c r="A33" t="s">
        <v>196</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3"/>
  </sheetPr>
  <dimension ref="B3:AZ200"/>
  <sheetViews>
    <sheetView showGridLines="0" zoomScale="70" zoomScaleNormal="70" workbookViewId="0">
      <selection activeCell="M4" sqref="M4:AH4"/>
    </sheetView>
  </sheetViews>
  <sheetFormatPr defaultRowHeight="15" x14ac:dyDescent="0.25"/>
  <cols>
    <col min="3" max="3" width="21.28515625" customWidth="1"/>
    <col min="4" max="4" width="11.140625" customWidth="1"/>
    <col min="13" max="20" width="9.140625" customWidth="1"/>
    <col min="21" max="52" width="9.140625" hidden="1" customWidth="1"/>
  </cols>
  <sheetData>
    <row r="3" spans="2:20" ht="18.75" x14ac:dyDescent="0.3">
      <c r="B3" s="279"/>
      <c r="C3" s="279"/>
      <c r="D3" s="279"/>
      <c r="E3" s="279"/>
      <c r="F3" s="279"/>
      <c r="G3" s="279"/>
      <c r="H3" s="279"/>
      <c r="I3" s="279"/>
      <c r="J3" s="279"/>
    </row>
    <row r="4" spans="2:20" ht="15.75" thickBot="1" x14ac:dyDescent="0.3">
      <c r="B4" s="14"/>
      <c r="C4" s="14"/>
      <c r="D4" s="15"/>
      <c r="E4" s="15"/>
      <c r="F4" s="15"/>
      <c r="G4" s="15"/>
      <c r="H4" s="15"/>
      <c r="I4" s="15"/>
      <c r="J4" s="15"/>
      <c r="M4" t="s">
        <v>352</v>
      </c>
      <c r="N4" t="s">
        <v>353</v>
      </c>
      <c r="O4" t="s">
        <v>354</v>
      </c>
      <c r="P4" t="s">
        <v>355</v>
      </c>
      <c r="Q4" t="s">
        <v>356</v>
      </c>
      <c r="R4" t="s">
        <v>358</v>
      </c>
      <c r="S4" t="s">
        <v>359</v>
      </c>
      <c r="T4" t="s">
        <v>360</v>
      </c>
    </row>
    <row r="5" spans="2:20" x14ac:dyDescent="0.25">
      <c r="B5" t="s">
        <v>516</v>
      </c>
      <c r="C5" s="17" t="s">
        <v>352</v>
      </c>
      <c r="D5" s="17">
        <v>1</v>
      </c>
      <c r="E5">
        <v>1.387E-2</v>
      </c>
      <c r="F5">
        <v>0.1169</v>
      </c>
      <c r="G5">
        <v>1.6180000000000001E-3</v>
      </c>
      <c r="H5">
        <v>0</v>
      </c>
      <c r="I5">
        <v>0</v>
      </c>
      <c r="J5">
        <v>0</v>
      </c>
      <c r="L5">
        <v>1</v>
      </c>
      <c r="M5">
        <v>1.387E-2</v>
      </c>
      <c r="N5">
        <v>3.5999999999999999E-3</v>
      </c>
      <c r="O5">
        <v>0.34970000000000001</v>
      </c>
      <c r="P5">
        <v>0.5222</v>
      </c>
      <c r="Q5">
        <v>1.223E-2</v>
      </c>
      <c r="R5">
        <v>9.2730000000000007E-2</v>
      </c>
      <c r="S5">
        <v>5.1330000000000004E-3</v>
      </c>
      <c r="T5">
        <v>5.6669999999999995E-4</v>
      </c>
    </row>
    <row r="6" spans="2:20" x14ac:dyDescent="0.25">
      <c r="B6" t="s">
        <v>517</v>
      </c>
      <c r="C6" s="17" t="s">
        <v>352</v>
      </c>
      <c r="D6" s="17">
        <v>2</v>
      </c>
      <c r="E6">
        <v>9.1170000000000001E-2</v>
      </c>
      <c r="F6">
        <v>0.2878</v>
      </c>
      <c r="G6">
        <v>6.2639999999999996E-3</v>
      </c>
      <c r="H6">
        <v>0</v>
      </c>
      <c r="I6">
        <v>0</v>
      </c>
      <c r="J6">
        <v>1</v>
      </c>
      <c r="L6">
        <v>2</v>
      </c>
      <c r="M6">
        <v>9.1170000000000001E-2</v>
      </c>
      <c r="N6">
        <v>3.193E-2</v>
      </c>
      <c r="O6">
        <v>0.48280000000000001</v>
      </c>
      <c r="P6">
        <v>0.25659999999999999</v>
      </c>
      <c r="Q6">
        <v>1.5169999999999999E-2</v>
      </c>
      <c r="R6">
        <v>9.2499999999999999E-2</v>
      </c>
      <c r="S6">
        <v>2.4199999999999999E-2</v>
      </c>
      <c r="T6">
        <v>5.6670000000000002E-3</v>
      </c>
    </row>
    <row r="7" spans="2:20" x14ac:dyDescent="0.25">
      <c r="B7" t="s">
        <v>518</v>
      </c>
      <c r="C7" s="17" t="s">
        <v>352</v>
      </c>
      <c r="D7" s="17">
        <v>3</v>
      </c>
      <c r="E7">
        <v>0.36159999999999998</v>
      </c>
      <c r="F7">
        <v>0.48049999999999998</v>
      </c>
      <c r="G7">
        <v>9.8820000000000002E-3</v>
      </c>
      <c r="H7">
        <v>0</v>
      </c>
      <c r="I7">
        <v>0</v>
      </c>
      <c r="J7">
        <v>1</v>
      </c>
      <c r="L7">
        <v>3</v>
      </c>
      <c r="M7">
        <v>0.36159999999999998</v>
      </c>
      <c r="N7">
        <v>0.15179999999999999</v>
      </c>
      <c r="O7">
        <v>0.1201</v>
      </c>
      <c r="P7">
        <v>8.6999999999999994E-2</v>
      </c>
      <c r="Q7">
        <v>2.9899999999999999E-2</v>
      </c>
      <c r="R7">
        <v>0.14099999999999999</v>
      </c>
      <c r="S7">
        <v>7.3599999999999999E-2</v>
      </c>
      <c r="T7">
        <v>3.5000000000000003E-2</v>
      </c>
    </row>
    <row r="8" spans="2:20" x14ac:dyDescent="0.25">
      <c r="B8" t="s">
        <v>519</v>
      </c>
      <c r="C8" s="17" t="s">
        <v>352</v>
      </c>
      <c r="D8" s="17">
        <v>4</v>
      </c>
      <c r="E8">
        <v>0.31019999999999998</v>
      </c>
      <c r="F8">
        <v>0.46260000000000001</v>
      </c>
      <c r="G8">
        <v>7.5129999999999997E-3</v>
      </c>
      <c r="H8">
        <v>0</v>
      </c>
      <c r="I8">
        <v>0</v>
      </c>
      <c r="J8">
        <v>1</v>
      </c>
      <c r="L8">
        <v>4</v>
      </c>
      <c r="M8">
        <v>0.31019999999999998</v>
      </c>
      <c r="N8">
        <v>0.31929999999999997</v>
      </c>
      <c r="O8">
        <v>3.1269999999999999E-2</v>
      </c>
      <c r="P8">
        <v>4.743E-2</v>
      </c>
      <c r="Q8">
        <v>2.5770000000000001E-2</v>
      </c>
      <c r="R8">
        <v>7.8130000000000005E-2</v>
      </c>
      <c r="S8">
        <v>0.10979999999999999</v>
      </c>
      <c r="T8">
        <v>7.8E-2</v>
      </c>
    </row>
    <row r="9" spans="2:20" x14ac:dyDescent="0.25">
      <c r="B9" t="s">
        <v>520</v>
      </c>
      <c r="C9" s="17" t="s">
        <v>352</v>
      </c>
      <c r="D9" s="17">
        <v>5</v>
      </c>
      <c r="E9">
        <v>0.1618</v>
      </c>
      <c r="F9">
        <v>0.36830000000000002</v>
      </c>
      <c r="G9">
        <v>6.6429999999999996E-3</v>
      </c>
      <c r="H9">
        <v>0</v>
      </c>
      <c r="I9">
        <v>0</v>
      </c>
      <c r="J9">
        <v>1</v>
      </c>
      <c r="L9">
        <v>5</v>
      </c>
      <c r="M9">
        <v>0.1618</v>
      </c>
      <c r="N9">
        <v>0.3054</v>
      </c>
      <c r="O9">
        <v>1.137E-2</v>
      </c>
      <c r="P9">
        <v>4.1230000000000003E-2</v>
      </c>
      <c r="Q9">
        <v>4.0899999999999999E-2</v>
      </c>
      <c r="R9">
        <v>9.7769999999999996E-2</v>
      </c>
      <c r="S9">
        <v>0.16020000000000001</v>
      </c>
      <c r="T9">
        <v>0.18129999999999999</v>
      </c>
    </row>
    <row r="10" spans="2:20" x14ac:dyDescent="0.25">
      <c r="B10" t="s">
        <v>521</v>
      </c>
      <c r="C10" s="17" t="s">
        <v>352</v>
      </c>
      <c r="D10" s="17">
        <v>6</v>
      </c>
      <c r="E10">
        <v>4.8399999999999999E-2</v>
      </c>
      <c r="F10">
        <v>0.21460000000000001</v>
      </c>
      <c r="G10">
        <v>4.0309999999999999E-3</v>
      </c>
      <c r="H10">
        <v>0</v>
      </c>
      <c r="I10">
        <v>0</v>
      </c>
      <c r="J10">
        <v>1</v>
      </c>
      <c r="L10">
        <v>6</v>
      </c>
      <c r="M10">
        <v>4.8399999999999999E-2</v>
      </c>
      <c r="N10">
        <v>0.15390000000000001</v>
      </c>
      <c r="O10">
        <v>3.6670000000000001E-3</v>
      </c>
      <c r="P10">
        <v>2.6200000000000001E-2</v>
      </c>
      <c r="Q10">
        <v>6.9470000000000004E-2</v>
      </c>
      <c r="R10">
        <v>0.1212</v>
      </c>
      <c r="S10">
        <v>0.25090000000000001</v>
      </c>
      <c r="T10">
        <v>0.32629999999999998</v>
      </c>
    </row>
    <row r="11" spans="2:20" x14ac:dyDescent="0.25">
      <c r="B11" t="s">
        <v>522</v>
      </c>
      <c r="C11" s="17" t="s">
        <v>352</v>
      </c>
      <c r="D11" s="17">
        <v>7</v>
      </c>
      <c r="E11">
        <v>1.2699999999999999E-2</v>
      </c>
      <c r="F11">
        <v>0.112</v>
      </c>
      <c r="G11">
        <v>3.774E-3</v>
      </c>
      <c r="H11">
        <v>0</v>
      </c>
      <c r="I11">
        <v>0</v>
      </c>
      <c r="J11">
        <v>0</v>
      </c>
      <c r="L11">
        <v>7</v>
      </c>
      <c r="M11">
        <v>1.2699999999999999E-2</v>
      </c>
      <c r="N11">
        <v>3.1329999999999997E-2</v>
      </c>
      <c r="O11">
        <v>1.0330000000000001E-3</v>
      </c>
      <c r="P11">
        <v>1.583E-2</v>
      </c>
      <c r="Q11">
        <v>0.15240000000000001</v>
      </c>
      <c r="R11">
        <v>0.22620000000000001</v>
      </c>
      <c r="S11">
        <v>0.27510000000000001</v>
      </c>
      <c r="T11">
        <v>0.28539999999999999</v>
      </c>
    </row>
    <row r="12" spans="2:20" x14ac:dyDescent="0.25">
      <c r="B12" t="s">
        <v>523</v>
      </c>
      <c r="C12" s="17" t="s">
        <v>352</v>
      </c>
      <c r="D12" s="17">
        <v>8</v>
      </c>
      <c r="E12">
        <v>2.0000000000000001E-4</v>
      </c>
      <c r="F12">
        <v>1.414E-2</v>
      </c>
      <c r="G12">
        <v>9.4040000000000001E-5</v>
      </c>
      <c r="H12">
        <v>0</v>
      </c>
      <c r="I12">
        <v>0</v>
      </c>
      <c r="J12">
        <v>0</v>
      </c>
      <c r="L12">
        <v>8</v>
      </c>
      <c r="M12">
        <v>2.0000000000000001E-4</v>
      </c>
      <c r="N12">
        <v>2.7000000000000001E-3</v>
      </c>
      <c r="O12">
        <v>1E-4</v>
      </c>
      <c r="P12">
        <v>3.5330000000000001E-3</v>
      </c>
      <c r="Q12">
        <v>0.6542</v>
      </c>
      <c r="R12">
        <v>0.15049999999999999</v>
      </c>
      <c r="S12">
        <v>0.10100000000000001</v>
      </c>
      <c r="T12">
        <v>8.7730000000000002E-2</v>
      </c>
    </row>
    <row r="13" spans="2:20" hidden="1" x14ac:dyDescent="0.25">
      <c r="B13" t="s">
        <v>524</v>
      </c>
      <c r="C13" s="17" t="s">
        <v>353</v>
      </c>
      <c r="D13" s="17">
        <v>1</v>
      </c>
      <c r="E13">
        <v>3.5999999999999999E-3</v>
      </c>
      <c r="F13">
        <v>5.9889999999999999E-2</v>
      </c>
      <c r="G13">
        <v>4.7980000000000001E-4</v>
      </c>
      <c r="H13">
        <v>0</v>
      </c>
      <c r="I13">
        <v>0</v>
      </c>
      <c r="J13">
        <v>0</v>
      </c>
    </row>
    <row r="14" spans="2:20" hidden="1" x14ac:dyDescent="0.25">
      <c r="B14" t="s">
        <v>525</v>
      </c>
      <c r="C14" s="17" t="s">
        <v>353</v>
      </c>
      <c r="D14" s="17">
        <v>2</v>
      </c>
      <c r="E14">
        <v>3.193E-2</v>
      </c>
      <c r="F14">
        <v>0.17580000000000001</v>
      </c>
      <c r="G14">
        <v>2.6619999999999999E-3</v>
      </c>
      <c r="H14">
        <v>0</v>
      </c>
      <c r="I14">
        <v>0</v>
      </c>
      <c r="J14">
        <v>1</v>
      </c>
    </row>
    <row r="15" spans="2:20" hidden="1" x14ac:dyDescent="0.25">
      <c r="B15" t="s">
        <v>526</v>
      </c>
      <c r="C15" s="17" t="s">
        <v>353</v>
      </c>
      <c r="D15" s="17">
        <v>3</v>
      </c>
      <c r="E15">
        <v>0.15179999999999999</v>
      </c>
      <c r="F15">
        <v>0.35880000000000001</v>
      </c>
      <c r="G15">
        <v>6.4060000000000002E-3</v>
      </c>
      <c r="H15">
        <v>0</v>
      </c>
      <c r="I15">
        <v>0</v>
      </c>
      <c r="J15">
        <v>1</v>
      </c>
    </row>
    <row r="16" spans="2:20" hidden="1" x14ac:dyDescent="0.25">
      <c r="B16" t="s">
        <v>527</v>
      </c>
      <c r="C16" s="17" t="s">
        <v>353</v>
      </c>
      <c r="D16" s="17">
        <v>4</v>
      </c>
      <c r="E16">
        <v>0.31929999999999997</v>
      </c>
      <c r="F16">
        <v>0.4662</v>
      </c>
      <c r="G16">
        <v>7.927E-3</v>
      </c>
      <c r="H16">
        <v>0</v>
      </c>
      <c r="I16">
        <v>0</v>
      </c>
      <c r="J16">
        <v>1</v>
      </c>
    </row>
    <row r="17" spans="2:10" hidden="1" x14ac:dyDescent="0.25">
      <c r="B17" t="s">
        <v>528</v>
      </c>
      <c r="C17" s="17" t="s">
        <v>353</v>
      </c>
      <c r="D17" s="17">
        <v>5</v>
      </c>
      <c r="E17">
        <v>0.3054</v>
      </c>
      <c r="F17">
        <v>0.46060000000000001</v>
      </c>
      <c r="G17">
        <v>8.2360000000000003E-3</v>
      </c>
      <c r="H17">
        <v>0</v>
      </c>
      <c r="I17">
        <v>0</v>
      </c>
      <c r="J17">
        <v>1</v>
      </c>
    </row>
    <row r="18" spans="2:10" hidden="1" x14ac:dyDescent="0.25">
      <c r="B18" t="s">
        <v>529</v>
      </c>
      <c r="C18" s="17" t="s">
        <v>353</v>
      </c>
      <c r="D18" s="17">
        <v>6</v>
      </c>
      <c r="E18">
        <v>0.15390000000000001</v>
      </c>
      <c r="F18">
        <v>0.3609</v>
      </c>
      <c r="G18">
        <v>7.5799999999999999E-3</v>
      </c>
      <c r="H18">
        <v>0</v>
      </c>
      <c r="I18">
        <v>0</v>
      </c>
      <c r="J18">
        <v>1</v>
      </c>
    </row>
    <row r="19" spans="2:10" hidden="1" x14ac:dyDescent="0.25">
      <c r="B19" t="s">
        <v>530</v>
      </c>
      <c r="C19" s="17" t="s">
        <v>353</v>
      </c>
      <c r="D19" s="17">
        <v>7</v>
      </c>
      <c r="E19">
        <v>3.1329999999999997E-2</v>
      </c>
      <c r="F19">
        <v>0.17419999999999999</v>
      </c>
      <c r="G19">
        <v>2.4039999999999999E-3</v>
      </c>
      <c r="H19">
        <v>0</v>
      </c>
      <c r="I19">
        <v>0</v>
      </c>
      <c r="J19">
        <v>1</v>
      </c>
    </row>
    <row r="20" spans="2:10" hidden="1" x14ac:dyDescent="0.25">
      <c r="B20" t="s">
        <v>531</v>
      </c>
      <c r="C20" s="17" t="s">
        <v>353</v>
      </c>
      <c r="D20" s="17">
        <v>8</v>
      </c>
      <c r="E20">
        <v>2.7000000000000001E-3</v>
      </c>
      <c r="F20">
        <v>5.1889999999999999E-2</v>
      </c>
      <c r="G20">
        <v>7.8359999999999996E-4</v>
      </c>
      <c r="H20">
        <v>0</v>
      </c>
      <c r="I20">
        <v>0</v>
      </c>
      <c r="J20">
        <v>0</v>
      </c>
    </row>
    <row r="21" spans="2:10" hidden="1" x14ac:dyDescent="0.25">
      <c r="B21" t="s">
        <v>532</v>
      </c>
      <c r="C21" s="17" t="s">
        <v>354</v>
      </c>
      <c r="D21" s="17">
        <v>1</v>
      </c>
      <c r="E21">
        <v>0.34970000000000001</v>
      </c>
      <c r="F21">
        <v>0.47689999999999999</v>
      </c>
      <c r="G21">
        <v>1.3440000000000001E-2</v>
      </c>
      <c r="H21">
        <v>0</v>
      </c>
      <c r="I21">
        <v>0</v>
      </c>
      <c r="J21">
        <v>1</v>
      </c>
    </row>
    <row r="22" spans="2:10" hidden="1" x14ac:dyDescent="0.25">
      <c r="B22" t="s">
        <v>533</v>
      </c>
      <c r="C22" s="17" t="s">
        <v>354</v>
      </c>
      <c r="D22" s="17">
        <v>2</v>
      </c>
      <c r="E22">
        <v>0.48280000000000001</v>
      </c>
      <c r="F22">
        <v>0.49969999999999998</v>
      </c>
      <c r="G22">
        <v>1.18E-2</v>
      </c>
      <c r="H22">
        <v>0</v>
      </c>
      <c r="I22">
        <v>0</v>
      </c>
      <c r="J22">
        <v>1</v>
      </c>
    </row>
    <row r="23" spans="2:10" hidden="1" x14ac:dyDescent="0.25">
      <c r="B23" t="s">
        <v>534</v>
      </c>
      <c r="C23" s="17" t="s">
        <v>354</v>
      </c>
      <c r="D23" s="17">
        <v>3</v>
      </c>
      <c r="E23">
        <v>0.1201</v>
      </c>
      <c r="F23">
        <v>0.3251</v>
      </c>
      <c r="G23">
        <v>6.5550000000000001E-3</v>
      </c>
      <c r="H23">
        <v>0</v>
      </c>
      <c r="I23">
        <v>0</v>
      </c>
      <c r="J23">
        <v>1</v>
      </c>
    </row>
    <row r="24" spans="2:10" hidden="1" x14ac:dyDescent="0.25">
      <c r="B24" t="s">
        <v>535</v>
      </c>
      <c r="C24" s="17" t="s">
        <v>354</v>
      </c>
      <c r="D24" s="17">
        <v>4</v>
      </c>
      <c r="E24">
        <v>3.1269999999999999E-2</v>
      </c>
      <c r="F24">
        <v>0.17399999999999999</v>
      </c>
      <c r="G24">
        <v>2.5300000000000001E-3</v>
      </c>
      <c r="H24">
        <v>0</v>
      </c>
      <c r="I24">
        <v>0</v>
      </c>
      <c r="J24">
        <v>1</v>
      </c>
    </row>
    <row r="25" spans="2:10" hidden="1" x14ac:dyDescent="0.25">
      <c r="B25" t="s">
        <v>536</v>
      </c>
      <c r="C25" s="17" t="s">
        <v>354</v>
      </c>
      <c r="D25" s="17">
        <v>5</v>
      </c>
      <c r="E25">
        <v>1.137E-2</v>
      </c>
      <c r="F25">
        <v>0.106</v>
      </c>
      <c r="G25">
        <v>1.072E-3</v>
      </c>
      <c r="H25">
        <v>0</v>
      </c>
      <c r="I25">
        <v>0</v>
      </c>
      <c r="J25">
        <v>0</v>
      </c>
    </row>
    <row r="26" spans="2:10" hidden="1" x14ac:dyDescent="0.25">
      <c r="B26" t="s">
        <v>537</v>
      </c>
      <c r="C26" s="17" t="s">
        <v>354</v>
      </c>
      <c r="D26" s="17">
        <v>6</v>
      </c>
      <c r="E26">
        <v>3.6670000000000001E-3</v>
      </c>
      <c r="F26">
        <v>6.0440000000000001E-2</v>
      </c>
      <c r="G26">
        <v>5.5420000000000003E-4</v>
      </c>
      <c r="H26">
        <v>0</v>
      </c>
      <c r="I26">
        <v>0</v>
      </c>
      <c r="J26">
        <v>0</v>
      </c>
    </row>
    <row r="27" spans="2:10" hidden="1" x14ac:dyDescent="0.25">
      <c r="B27" t="s">
        <v>538</v>
      </c>
      <c r="C27" s="17" t="s">
        <v>354</v>
      </c>
      <c r="D27" s="17">
        <v>7</v>
      </c>
      <c r="E27">
        <v>1.0330000000000001E-3</v>
      </c>
      <c r="F27">
        <v>3.2129999999999999E-2</v>
      </c>
      <c r="G27">
        <v>2.364E-4</v>
      </c>
      <c r="H27">
        <v>0</v>
      </c>
      <c r="I27">
        <v>0</v>
      </c>
      <c r="J27">
        <v>0</v>
      </c>
    </row>
    <row r="28" spans="2:10" hidden="1" x14ac:dyDescent="0.25">
      <c r="B28" t="s">
        <v>539</v>
      </c>
      <c r="C28" s="17" t="s">
        <v>354</v>
      </c>
      <c r="D28" s="17">
        <v>8</v>
      </c>
      <c r="E28">
        <v>1E-4</v>
      </c>
      <c r="F28">
        <v>9.9989999999999992E-3</v>
      </c>
      <c r="G28">
        <v>5.7739999999999999E-5</v>
      </c>
      <c r="H28">
        <v>0</v>
      </c>
      <c r="I28">
        <v>0</v>
      </c>
      <c r="J28">
        <v>0</v>
      </c>
    </row>
    <row r="29" spans="2:10" hidden="1" x14ac:dyDescent="0.25">
      <c r="B29" t="s">
        <v>540</v>
      </c>
      <c r="C29" s="17" t="s">
        <v>355</v>
      </c>
      <c r="D29" s="17">
        <v>1</v>
      </c>
      <c r="E29">
        <v>0.5222</v>
      </c>
      <c r="F29">
        <v>0.4995</v>
      </c>
      <c r="G29">
        <v>1.421E-2</v>
      </c>
      <c r="H29">
        <v>0</v>
      </c>
      <c r="I29">
        <v>1</v>
      </c>
      <c r="J29">
        <v>1</v>
      </c>
    </row>
    <row r="30" spans="2:10" hidden="1" x14ac:dyDescent="0.25">
      <c r="B30" t="s">
        <v>541</v>
      </c>
      <c r="C30" t="s">
        <v>355</v>
      </c>
      <c r="D30">
        <v>2</v>
      </c>
      <c r="E30">
        <v>0.25659999999999999</v>
      </c>
      <c r="F30">
        <v>0.43669999999999998</v>
      </c>
      <c r="G30">
        <v>9.7870000000000006E-3</v>
      </c>
      <c r="H30">
        <v>0</v>
      </c>
      <c r="I30">
        <v>0</v>
      </c>
      <c r="J30">
        <v>1</v>
      </c>
    </row>
    <row r="31" spans="2:10" hidden="1" x14ac:dyDescent="0.25">
      <c r="B31" t="s">
        <v>542</v>
      </c>
      <c r="C31" t="s">
        <v>355</v>
      </c>
      <c r="D31">
        <v>3</v>
      </c>
      <c r="E31">
        <v>8.6999999999999994E-2</v>
      </c>
      <c r="F31">
        <v>0.28179999999999999</v>
      </c>
      <c r="G31">
        <v>4.5459999999999997E-3</v>
      </c>
      <c r="H31">
        <v>0</v>
      </c>
      <c r="I31">
        <v>0</v>
      </c>
      <c r="J31">
        <v>1</v>
      </c>
    </row>
    <row r="32" spans="2:10" hidden="1" x14ac:dyDescent="0.25">
      <c r="B32" t="s">
        <v>543</v>
      </c>
      <c r="C32" t="s">
        <v>355</v>
      </c>
      <c r="D32">
        <v>4</v>
      </c>
      <c r="E32">
        <v>4.743E-2</v>
      </c>
      <c r="F32">
        <v>0.21260000000000001</v>
      </c>
      <c r="G32">
        <v>2.8370000000000001E-3</v>
      </c>
      <c r="H32">
        <v>0</v>
      </c>
      <c r="I32">
        <v>0</v>
      </c>
      <c r="J32">
        <v>1</v>
      </c>
    </row>
    <row r="33" spans="2:10" hidden="1" x14ac:dyDescent="0.25">
      <c r="B33" t="s">
        <v>544</v>
      </c>
      <c r="C33" t="s">
        <v>355</v>
      </c>
      <c r="D33">
        <v>5</v>
      </c>
      <c r="E33">
        <v>4.1230000000000003E-2</v>
      </c>
      <c r="F33">
        <v>0.1988</v>
      </c>
      <c r="G33">
        <v>3.3210000000000002E-3</v>
      </c>
      <c r="H33">
        <v>0</v>
      </c>
      <c r="I33">
        <v>0</v>
      </c>
      <c r="J33">
        <v>1</v>
      </c>
    </row>
    <row r="34" spans="2:10" hidden="1" x14ac:dyDescent="0.25">
      <c r="B34" t="s">
        <v>545</v>
      </c>
      <c r="C34" t="s">
        <v>355</v>
      </c>
      <c r="D34">
        <v>6</v>
      </c>
      <c r="E34">
        <v>2.6200000000000001E-2</v>
      </c>
      <c r="F34">
        <v>0.15970000000000001</v>
      </c>
      <c r="G34">
        <v>2.6679999999999998E-3</v>
      </c>
      <c r="H34">
        <v>0</v>
      </c>
      <c r="I34">
        <v>0</v>
      </c>
      <c r="J34">
        <v>1</v>
      </c>
    </row>
    <row r="35" spans="2:10" hidden="1" x14ac:dyDescent="0.25">
      <c r="B35" t="s">
        <v>546</v>
      </c>
      <c r="C35" t="s">
        <v>355</v>
      </c>
      <c r="D35">
        <v>7</v>
      </c>
      <c r="E35">
        <v>1.583E-2</v>
      </c>
      <c r="F35">
        <v>0.12479999999999999</v>
      </c>
      <c r="G35">
        <v>1.6609999999999999E-3</v>
      </c>
      <c r="H35">
        <v>0</v>
      </c>
      <c r="I35">
        <v>0</v>
      </c>
      <c r="J35">
        <v>0</v>
      </c>
    </row>
    <row r="36" spans="2:10" hidden="1" x14ac:dyDescent="0.25">
      <c r="B36" t="s">
        <v>547</v>
      </c>
      <c r="C36" t="s">
        <v>355</v>
      </c>
      <c r="D36">
        <v>8</v>
      </c>
      <c r="E36">
        <v>3.5330000000000001E-3</v>
      </c>
      <c r="F36">
        <v>5.9339999999999997E-2</v>
      </c>
      <c r="G36">
        <v>5.3870000000000003E-4</v>
      </c>
      <c r="H36">
        <v>0</v>
      </c>
      <c r="I36">
        <v>0</v>
      </c>
      <c r="J36">
        <v>0</v>
      </c>
    </row>
    <row r="37" spans="2:10" hidden="1" x14ac:dyDescent="0.25">
      <c r="B37" t="s">
        <v>548</v>
      </c>
      <c r="C37" t="s">
        <v>356</v>
      </c>
      <c r="D37">
        <v>1</v>
      </c>
      <c r="E37">
        <v>1.223E-2</v>
      </c>
      <c r="F37">
        <v>0.1099</v>
      </c>
      <c r="G37">
        <v>1.361E-3</v>
      </c>
      <c r="H37">
        <v>0</v>
      </c>
      <c r="I37">
        <v>0</v>
      </c>
      <c r="J37">
        <v>0</v>
      </c>
    </row>
    <row r="38" spans="2:10" hidden="1" x14ac:dyDescent="0.25">
      <c r="B38" t="s">
        <v>549</v>
      </c>
      <c r="C38" t="s">
        <v>356</v>
      </c>
      <c r="D38">
        <v>2</v>
      </c>
      <c r="E38">
        <v>1.5169999999999999E-2</v>
      </c>
      <c r="F38">
        <v>0.1222</v>
      </c>
      <c r="G38">
        <v>1.206E-3</v>
      </c>
      <c r="H38">
        <v>0</v>
      </c>
      <c r="I38">
        <v>0</v>
      </c>
      <c r="J38">
        <v>0</v>
      </c>
    </row>
    <row r="39" spans="2:10" hidden="1" x14ac:dyDescent="0.25">
      <c r="B39" t="s">
        <v>550</v>
      </c>
      <c r="C39" t="s">
        <v>356</v>
      </c>
      <c r="D39">
        <v>3</v>
      </c>
      <c r="E39">
        <v>2.9899999999999999E-2</v>
      </c>
      <c r="F39">
        <v>0.17030000000000001</v>
      </c>
      <c r="G39">
        <v>2.2060000000000001E-3</v>
      </c>
      <c r="H39">
        <v>0</v>
      </c>
      <c r="I39">
        <v>0</v>
      </c>
      <c r="J39">
        <v>1</v>
      </c>
    </row>
    <row r="40" spans="2:10" hidden="1" x14ac:dyDescent="0.25">
      <c r="B40" t="s">
        <v>551</v>
      </c>
      <c r="C40" t="s">
        <v>356</v>
      </c>
      <c r="D40">
        <v>4</v>
      </c>
      <c r="E40">
        <v>2.5770000000000001E-2</v>
      </c>
      <c r="F40">
        <v>0.15840000000000001</v>
      </c>
      <c r="G40">
        <v>1.9780000000000002E-3</v>
      </c>
      <c r="H40">
        <v>0</v>
      </c>
      <c r="I40">
        <v>0</v>
      </c>
      <c r="J40">
        <v>1</v>
      </c>
    </row>
    <row r="41" spans="2:10" hidden="1" x14ac:dyDescent="0.25">
      <c r="B41" t="s">
        <v>552</v>
      </c>
      <c r="C41" t="s">
        <v>356</v>
      </c>
      <c r="D41">
        <v>5</v>
      </c>
      <c r="E41">
        <v>4.0899999999999999E-2</v>
      </c>
      <c r="F41">
        <v>0.1981</v>
      </c>
      <c r="G41">
        <v>2.7720000000000002E-3</v>
      </c>
      <c r="H41">
        <v>0</v>
      </c>
      <c r="I41">
        <v>0</v>
      </c>
      <c r="J41">
        <v>1</v>
      </c>
    </row>
    <row r="42" spans="2:10" hidden="1" x14ac:dyDescent="0.25">
      <c r="B42" t="s">
        <v>553</v>
      </c>
      <c r="C42" t="s">
        <v>356</v>
      </c>
      <c r="D42">
        <v>6</v>
      </c>
      <c r="E42">
        <v>6.9470000000000004E-2</v>
      </c>
      <c r="F42">
        <v>0.25419999999999998</v>
      </c>
      <c r="G42">
        <v>4.3449999999999999E-3</v>
      </c>
      <c r="H42">
        <v>0</v>
      </c>
      <c r="I42">
        <v>0</v>
      </c>
      <c r="J42">
        <v>1</v>
      </c>
    </row>
    <row r="43" spans="2:10" hidden="1" x14ac:dyDescent="0.25">
      <c r="B43" t="s">
        <v>554</v>
      </c>
      <c r="C43" t="s">
        <v>356</v>
      </c>
      <c r="D43">
        <v>7</v>
      </c>
      <c r="E43">
        <v>0.15240000000000001</v>
      </c>
      <c r="F43">
        <v>0.3594</v>
      </c>
      <c r="G43">
        <v>6.796E-3</v>
      </c>
      <c r="H43">
        <v>0</v>
      </c>
      <c r="I43">
        <v>0</v>
      </c>
      <c r="J43">
        <v>1</v>
      </c>
    </row>
    <row r="44" spans="2:10" hidden="1" x14ac:dyDescent="0.25">
      <c r="B44" t="s">
        <v>555</v>
      </c>
      <c r="C44" t="s">
        <v>356</v>
      </c>
      <c r="D44">
        <v>8</v>
      </c>
      <c r="E44">
        <v>0.6542</v>
      </c>
      <c r="F44">
        <v>0.47560000000000002</v>
      </c>
      <c r="G44">
        <v>1.145E-2</v>
      </c>
      <c r="H44">
        <v>0</v>
      </c>
      <c r="I44">
        <v>1</v>
      </c>
      <c r="J44">
        <v>1</v>
      </c>
    </row>
    <row r="45" spans="2:10" hidden="1" x14ac:dyDescent="0.25">
      <c r="B45" t="s">
        <v>556</v>
      </c>
      <c r="C45" t="s">
        <v>358</v>
      </c>
      <c r="D45">
        <v>1</v>
      </c>
      <c r="E45">
        <v>9.2730000000000007E-2</v>
      </c>
      <c r="F45">
        <v>0.29010000000000002</v>
      </c>
      <c r="G45">
        <v>5.4390000000000003E-3</v>
      </c>
      <c r="H45">
        <v>0</v>
      </c>
      <c r="I45">
        <v>0</v>
      </c>
      <c r="J45">
        <v>1</v>
      </c>
    </row>
    <row r="46" spans="2:10" hidden="1" x14ac:dyDescent="0.25">
      <c r="B46" t="s">
        <v>557</v>
      </c>
      <c r="C46" t="s">
        <v>358</v>
      </c>
      <c r="D46">
        <v>2</v>
      </c>
      <c r="E46">
        <v>9.2499999999999999E-2</v>
      </c>
      <c r="F46">
        <v>0.28970000000000001</v>
      </c>
      <c r="G46">
        <v>5.2350000000000001E-3</v>
      </c>
      <c r="H46">
        <v>0</v>
      </c>
      <c r="I46">
        <v>0</v>
      </c>
      <c r="J46">
        <v>1</v>
      </c>
    </row>
    <row r="47" spans="2:10" hidden="1" x14ac:dyDescent="0.25">
      <c r="B47" t="s">
        <v>558</v>
      </c>
      <c r="C47" t="s">
        <v>358</v>
      </c>
      <c r="D47">
        <v>3</v>
      </c>
      <c r="E47">
        <v>0.14099999999999999</v>
      </c>
      <c r="F47">
        <v>0.34799999999999998</v>
      </c>
      <c r="G47">
        <v>6.9129999999999999E-3</v>
      </c>
      <c r="H47">
        <v>0</v>
      </c>
      <c r="I47">
        <v>0</v>
      </c>
      <c r="J47">
        <v>1</v>
      </c>
    </row>
    <row r="48" spans="2:10" hidden="1" x14ac:dyDescent="0.25">
      <c r="B48" t="s">
        <v>559</v>
      </c>
      <c r="C48" t="s">
        <v>358</v>
      </c>
      <c r="D48">
        <v>4</v>
      </c>
      <c r="E48">
        <v>7.8130000000000005E-2</v>
      </c>
      <c r="F48">
        <v>0.26840000000000003</v>
      </c>
      <c r="G48">
        <v>3.9490000000000003E-3</v>
      </c>
      <c r="H48">
        <v>0</v>
      </c>
      <c r="I48">
        <v>0</v>
      </c>
      <c r="J48">
        <v>1</v>
      </c>
    </row>
    <row r="49" spans="2:10" hidden="1" x14ac:dyDescent="0.25">
      <c r="B49" t="s">
        <v>560</v>
      </c>
      <c r="C49" t="s">
        <v>358</v>
      </c>
      <c r="D49">
        <v>5</v>
      </c>
      <c r="E49">
        <v>9.7769999999999996E-2</v>
      </c>
      <c r="F49">
        <v>0.29699999999999999</v>
      </c>
      <c r="G49">
        <v>3.2420000000000001E-3</v>
      </c>
      <c r="H49">
        <v>0</v>
      </c>
      <c r="I49">
        <v>0</v>
      </c>
      <c r="J49">
        <v>1</v>
      </c>
    </row>
    <row r="50" spans="2:10" hidden="1" x14ac:dyDescent="0.25">
      <c r="B50" t="s">
        <v>561</v>
      </c>
      <c r="C50" t="s">
        <v>358</v>
      </c>
      <c r="D50">
        <v>6</v>
      </c>
      <c r="E50">
        <v>0.1212</v>
      </c>
      <c r="F50">
        <v>0.32629999999999998</v>
      </c>
      <c r="G50">
        <v>3.9909999999999998E-3</v>
      </c>
      <c r="H50">
        <v>0</v>
      </c>
      <c r="I50">
        <v>0</v>
      </c>
      <c r="J50">
        <v>1</v>
      </c>
    </row>
    <row r="51" spans="2:10" hidden="1" x14ac:dyDescent="0.25">
      <c r="B51" t="s">
        <v>562</v>
      </c>
      <c r="C51" t="s">
        <v>358</v>
      </c>
      <c r="D51">
        <v>7</v>
      </c>
      <c r="E51">
        <v>0.22620000000000001</v>
      </c>
      <c r="F51">
        <v>0.41839999999999999</v>
      </c>
      <c r="G51">
        <v>8.8090000000000009E-3</v>
      </c>
      <c r="H51">
        <v>0</v>
      </c>
      <c r="I51">
        <v>0</v>
      </c>
      <c r="J51">
        <v>1</v>
      </c>
    </row>
    <row r="52" spans="2:10" hidden="1" x14ac:dyDescent="0.25">
      <c r="B52" t="s">
        <v>563</v>
      </c>
      <c r="C52" t="s">
        <v>358</v>
      </c>
      <c r="D52">
        <v>8</v>
      </c>
      <c r="E52">
        <v>0.15049999999999999</v>
      </c>
      <c r="F52">
        <v>0.35759999999999997</v>
      </c>
      <c r="G52">
        <v>9.1459999999999996E-3</v>
      </c>
      <c r="H52">
        <v>0</v>
      </c>
      <c r="I52">
        <v>0</v>
      </c>
      <c r="J52">
        <v>1</v>
      </c>
    </row>
    <row r="53" spans="2:10" hidden="1" x14ac:dyDescent="0.25">
      <c r="B53" t="s">
        <v>564</v>
      </c>
      <c r="C53" t="s">
        <v>359</v>
      </c>
      <c r="D53">
        <v>1</v>
      </c>
      <c r="E53">
        <v>5.1330000000000004E-3</v>
      </c>
      <c r="F53">
        <v>7.1459999999999996E-2</v>
      </c>
      <c r="G53">
        <v>6.8900000000000005E-4</v>
      </c>
      <c r="H53">
        <v>0</v>
      </c>
      <c r="I53">
        <v>0</v>
      </c>
      <c r="J53">
        <v>0</v>
      </c>
    </row>
    <row r="54" spans="2:10" hidden="1" x14ac:dyDescent="0.25">
      <c r="B54" t="s">
        <v>565</v>
      </c>
      <c r="C54" t="s">
        <v>359</v>
      </c>
      <c r="D54">
        <v>2</v>
      </c>
      <c r="E54">
        <v>2.4199999999999999E-2</v>
      </c>
      <c r="F54">
        <v>0.1537</v>
      </c>
      <c r="G54">
        <v>2.1029999999999998E-3</v>
      </c>
      <c r="H54">
        <v>0</v>
      </c>
      <c r="I54">
        <v>0</v>
      </c>
      <c r="J54">
        <v>0</v>
      </c>
    </row>
    <row r="55" spans="2:10" hidden="1" x14ac:dyDescent="0.25">
      <c r="B55" t="s">
        <v>566</v>
      </c>
      <c r="C55" t="s">
        <v>359</v>
      </c>
      <c r="D55">
        <v>3</v>
      </c>
      <c r="E55">
        <v>7.3599999999999999E-2</v>
      </c>
      <c r="F55">
        <v>0.2611</v>
      </c>
      <c r="G55">
        <v>6.9230000000000003E-3</v>
      </c>
      <c r="H55">
        <v>0</v>
      </c>
      <c r="I55">
        <v>0</v>
      </c>
      <c r="J55">
        <v>1</v>
      </c>
    </row>
    <row r="56" spans="2:10" hidden="1" x14ac:dyDescent="0.25">
      <c r="B56" t="s">
        <v>567</v>
      </c>
      <c r="C56" t="s">
        <v>359</v>
      </c>
      <c r="D56">
        <v>4</v>
      </c>
      <c r="E56">
        <v>0.10979999999999999</v>
      </c>
      <c r="F56">
        <v>0.31269999999999998</v>
      </c>
      <c r="G56">
        <v>6.3680000000000004E-3</v>
      </c>
      <c r="H56">
        <v>0</v>
      </c>
      <c r="I56">
        <v>0</v>
      </c>
      <c r="J56">
        <v>1</v>
      </c>
    </row>
    <row r="57" spans="2:10" hidden="1" x14ac:dyDescent="0.25">
      <c r="B57" t="s">
        <v>568</v>
      </c>
      <c r="C57" t="s">
        <v>359</v>
      </c>
      <c r="D57">
        <v>5</v>
      </c>
      <c r="E57">
        <v>0.16020000000000001</v>
      </c>
      <c r="F57">
        <v>0.36680000000000001</v>
      </c>
      <c r="G57">
        <v>6.8979999999999996E-3</v>
      </c>
      <c r="H57">
        <v>0</v>
      </c>
      <c r="I57">
        <v>0</v>
      </c>
      <c r="J57">
        <v>1</v>
      </c>
    </row>
    <row r="58" spans="2:10" hidden="1" x14ac:dyDescent="0.25">
      <c r="B58" t="s">
        <v>569</v>
      </c>
      <c r="C58" t="s">
        <v>359</v>
      </c>
      <c r="D58">
        <v>6</v>
      </c>
      <c r="E58">
        <v>0.25090000000000001</v>
      </c>
      <c r="F58">
        <v>0.43359999999999999</v>
      </c>
      <c r="G58">
        <v>7.633E-3</v>
      </c>
      <c r="H58">
        <v>0</v>
      </c>
      <c r="I58">
        <v>0</v>
      </c>
      <c r="J58">
        <v>1</v>
      </c>
    </row>
    <row r="59" spans="2:10" hidden="1" x14ac:dyDescent="0.25">
      <c r="B59" t="s">
        <v>570</v>
      </c>
      <c r="C59" t="s">
        <v>359</v>
      </c>
      <c r="D59">
        <v>7</v>
      </c>
      <c r="E59">
        <v>0.27510000000000001</v>
      </c>
      <c r="F59">
        <v>0.4466</v>
      </c>
      <c r="G59">
        <v>8.8940000000000009E-3</v>
      </c>
      <c r="H59">
        <v>0</v>
      </c>
      <c r="I59">
        <v>0</v>
      </c>
      <c r="J59">
        <v>1</v>
      </c>
    </row>
    <row r="60" spans="2:10" hidden="1" x14ac:dyDescent="0.25">
      <c r="B60" t="s">
        <v>571</v>
      </c>
      <c r="C60" t="s">
        <v>359</v>
      </c>
      <c r="D60">
        <v>8</v>
      </c>
      <c r="E60">
        <v>0.10100000000000001</v>
      </c>
      <c r="F60">
        <v>0.30130000000000001</v>
      </c>
      <c r="G60">
        <v>5.7460000000000002E-3</v>
      </c>
      <c r="H60">
        <v>0</v>
      </c>
      <c r="I60">
        <v>0</v>
      </c>
      <c r="J60">
        <v>1</v>
      </c>
    </row>
    <row r="61" spans="2:10" hidden="1" x14ac:dyDescent="0.25">
      <c r="B61" t="s">
        <v>572</v>
      </c>
      <c r="C61" t="s">
        <v>360</v>
      </c>
      <c r="D61">
        <v>1</v>
      </c>
      <c r="E61">
        <v>5.6669999999999995E-4</v>
      </c>
      <c r="F61">
        <v>2.3800000000000002E-2</v>
      </c>
      <c r="G61">
        <v>1.7090000000000001E-4</v>
      </c>
      <c r="H61">
        <v>0</v>
      </c>
      <c r="I61">
        <v>0</v>
      </c>
      <c r="J61">
        <v>0</v>
      </c>
    </row>
    <row r="62" spans="2:10" hidden="1" x14ac:dyDescent="0.25">
      <c r="B62" t="s">
        <v>573</v>
      </c>
      <c r="C62" t="s">
        <v>360</v>
      </c>
      <c r="D62">
        <v>2</v>
      </c>
      <c r="E62">
        <v>5.6670000000000002E-3</v>
      </c>
      <c r="F62">
        <v>7.5060000000000002E-2</v>
      </c>
      <c r="G62">
        <v>8.499E-4</v>
      </c>
      <c r="H62">
        <v>0</v>
      </c>
      <c r="I62">
        <v>0</v>
      </c>
      <c r="J62">
        <v>0</v>
      </c>
    </row>
    <row r="63" spans="2:10" hidden="1" x14ac:dyDescent="0.25">
      <c r="B63" t="s">
        <v>574</v>
      </c>
      <c r="C63" t="s">
        <v>360</v>
      </c>
      <c r="D63">
        <v>3</v>
      </c>
      <c r="E63">
        <v>3.5000000000000003E-2</v>
      </c>
      <c r="F63">
        <v>0.18379999999999999</v>
      </c>
      <c r="G63">
        <v>2.9580000000000001E-3</v>
      </c>
      <c r="H63">
        <v>0</v>
      </c>
      <c r="I63">
        <v>0</v>
      </c>
      <c r="J63">
        <v>1</v>
      </c>
    </row>
    <row r="64" spans="2:10" hidden="1" x14ac:dyDescent="0.25">
      <c r="B64" t="s">
        <v>575</v>
      </c>
      <c r="C64" t="s">
        <v>360</v>
      </c>
      <c r="D64">
        <v>4</v>
      </c>
      <c r="E64">
        <v>7.8E-2</v>
      </c>
      <c r="F64">
        <v>0.26819999999999999</v>
      </c>
      <c r="G64">
        <v>4.7889999999999999E-3</v>
      </c>
      <c r="H64">
        <v>0</v>
      </c>
      <c r="I64">
        <v>0</v>
      </c>
      <c r="J64">
        <v>1</v>
      </c>
    </row>
    <row r="65" spans="2:10" hidden="1" x14ac:dyDescent="0.25">
      <c r="B65" t="s">
        <v>576</v>
      </c>
      <c r="C65" t="s">
        <v>360</v>
      </c>
      <c r="D65">
        <v>5</v>
      </c>
      <c r="E65">
        <v>0.18129999999999999</v>
      </c>
      <c r="F65">
        <v>0.38529999999999998</v>
      </c>
      <c r="G65">
        <v>6.3400000000000001E-3</v>
      </c>
      <c r="H65">
        <v>0</v>
      </c>
      <c r="I65">
        <v>0</v>
      </c>
      <c r="J65">
        <v>1</v>
      </c>
    </row>
    <row r="66" spans="2:10" hidden="1" x14ac:dyDescent="0.25">
      <c r="B66" t="s">
        <v>577</v>
      </c>
      <c r="C66" t="s">
        <v>360</v>
      </c>
      <c r="D66">
        <v>6</v>
      </c>
      <c r="E66">
        <v>0.32629999999999998</v>
      </c>
      <c r="F66">
        <v>0.46879999999999999</v>
      </c>
      <c r="G66">
        <v>8.6429999999999996E-3</v>
      </c>
      <c r="H66">
        <v>0</v>
      </c>
      <c r="I66">
        <v>0</v>
      </c>
      <c r="J66">
        <v>1</v>
      </c>
    </row>
    <row r="67" spans="2:10" hidden="1" x14ac:dyDescent="0.25">
      <c r="B67" t="s">
        <v>578</v>
      </c>
      <c r="C67" t="s">
        <v>360</v>
      </c>
      <c r="D67">
        <v>7</v>
      </c>
      <c r="E67">
        <v>0.28539999999999999</v>
      </c>
      <c r="F67">
        <v>0.4516</v>
      </c>
      <c r="G67">
        <v>8.8970000000000004E-3</v>
      </c>
      <c r="H67">
        <v>0</v>
      </c>
      <c r="I67">
        <v>0</v>
      </c>
      <c r="J67">
        <v>1</v>
      </c>
    </row>
    <row r="68" spans="2:10" hidden="1" x14ac:dyDescent="0.25">
      <c r="B68" t="s">
        <v>579</v>
      </c>
      <c r="C68" t="s">
        <v>360</v>
      </c>
      <c r="D68">
        <v>8</v>
      </c>
      <c r="E68">
        <v>8.7730000000000002E-2</v>
      </c>
      <c r="F68">
        <v>0.28289999999999998</v>
      </c>
      <c r="G68">
        <v>6.6800000000000002E-3</v>
      </c>
      <c r="H68">
        <v>0</v>
      </c>
      <c r="I68">
        <v>0</v>
      </c>
      <c r="J68">
        <v>1</v>
      </c>
    </row>
    <row r="69" spans="2:10" hidden="1" x14ac:dyDescent="0.25"/>
    <row r="70" spans="2:10" hidden="1" x14ac:dyDescent="0.25"/>
    <row r="71" spans="2:10" hidden="1" x14ac:dyDescent="0.25"/>
    <row r="72" spans="2:10" hidden="1" x14ac:dyDescent="0.25"/>
    <row r="73" spans="2:10" hidden="1" x14ac:dyDescent="0.25"/>
    <row r="74" spans="2:10" hidden="1" x14ac:dyDescent="0.25"/>
    <row r="75" spans="2:10" hidden="1" x14ac:dyDescent="0.25"/>
    <row r="76" spans="2:10" hidden="1" x14ac:dyDescent="0.25"/>
    <row r="77" spans="2:10" hidden="1" x14ac:dyDescent="0.25"/>
    <row r="78" spans="2:10" hidden="1" x14ac:dyDescent="0.25"/>
    <row r="79" spans="2:10" hidden="1" x14ac:dyDescent="0.25"/>
    <row r="80" spans="2:1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row r="131" hidden="1" x14ac:dyDescent="0.25"/>
    <row r="132" hidden="1" x14ac:dyDescent="0.25"/>
    <row r="133" hidden="1" x14ac:dyDescent="0.25"/>
    <row r="134" hidden="1" x14ac:dyDescent="0.25"/>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hidden="1" x14ac:dyDescent="0.25"/>
    <row r="194" hidden="1" x14ac:dyDescent="0.25"/>
    <row r="195" hidden="1" x14ac:dyDescent="0.25"/>
    <row r="196" hidden="1" x14ac:dyDescent="0.25"/>
    <row r="197" hidden="1" x14ac:dyDescent="0.25"/>
    <row r="198" hidden="1" x14ac:dyDescent="0.25"/>
    <row r="199" hidden="1" x14ac:dyDescent="0.25"/>
    <row r="200" hidden="1" x14ac:dyDescent="0.25"/>
  </sheetData>
  <dataConsolidate/>
  <mergeCells count="1">
    <mergeCell ref="B3:J3"/>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00549E"/>
  </sheetPr>
  <dimension ref="B2:P46"/>
  <sheetViews>
    <sheetView showGridLines="0" topLeftCell="A2" zoomScale="120" zoomScaleNormal="120" workbookViewId="0">
      <selection activeCell="D38" sqref="D38"/>
    </sheetView>
  </sheetViews>
  <sheetFormatPr defaultRowHeight="15" x14ac:dyDescent="0.25"/>
  <cols>
    <col min="1" max="1" width="12.140625" customWidth="1"/>
    <col min="3" max="3" width="44.7109375" customWidth="1"/>
    <col min="4" max="4" width="29.28515625" customWidth="1"/>
    <col min="5" max="5" width="8.28515625" customWidth="1"/>
    <col min="8" max="8" width="37.140625" customWidth="1"/>
    <col min="9" max="9" width="10" customWidth="1"/>
  </cols>
  <sheetData>
    <row r="2" spans="2:16" x14ac:dyDescent="0.25">
      <c r="P2" t="s">
        <v>230</v>
      </c>
    </row>
    <row r="3" spans="2:16" x14ac:dyDescent="0.25">
      <c r="P3" t="s">
        <v>229</v>
      </c>
    </row>
    <row r="7" spans="2:16" ht="15.75" thickBot="1" x14ac:dyDescent="0.3">
      <c r="F7" s="149"/>
      <c r="G7" s="149"/>
      <c r="H7" s="149"/>
    </row>
    <row r="8" spans="2:16" ht="15.75" thickTop="1" x14ac:dyDescent="0.25">
      <c r="B8" s="20"/>
      <c r="C8" s="18" t="s">
        <v>35</v>
      </c>
      <c r="D8" s="175">
        <f>'Winbugs Settings '!burn_in</f>
        <v>10000</v>
      </c>
      <c r="F8" s="150"/>
      <c r="G8" s="151"/>
      <c r="H8" s="152"/>
    </row>
    <row r="9" spans="2:16" ht="15.75" thickBot="1" x14ac:dyDescent="0.3">
      <c r="B9" s="20"/>
      <c r="C9" s="18" t="s">
        <v>36</v>
      </c>
      <c r="D9" s="175">
        <f>'Winbugs Settings '!model_runs</f>
        <v>10000</v>
      </c>
      <c r="F9" s="153"/>
      <c r="G9" s="154"/>
      <c r="H9" s="155"/>
    </row>
    <row r="10" spans="2:16" ht="15.75" customHeight="1" thickTop="1" thickBot="1" x14ac:dyDescent="0.3">
      <c r="B10" s="21"/>
      <c r="C10" s="23" t="s">
        <v>130</v>
      </c>
      <c r="D10" s="72" t="b">
        <v>1</v>
      </c>
      <c r="F10" s="156"/>
      <c r="G10" s="157"/>
      <c r="H10" s="158"/>
    </row>
    <row r="11" spans="2:16" ht="15.75" customHeight="1" thickTop="1" thickBot="1" x14ac:dyDescent="0.3">
      <c r="B11" s="21"/>
      <c r="C11" s="23" t="s">
        <v>216</v>
      </c>
      <c r="D11" s="72" t="b">
        <v>1</v>
      </c>
      <c r="F11" s="156"/>
      <c r="G11" s="157"/>
      <c r="H11" s="158"/>
    </row>
    <row r="12" spans="2:16" ht="15.75" customHeight="1" thickTop="1" x14ac:dyDescent="0.25">
      <c r="B12" s="20"/>
      <c r="C12" s="18" t="s">
        <v>125</v>
      </c>
      <c r="D12" s="72" t="b">
        <v>1</v>
      </c>
      <c r="F12" s="150"/>
      <c r="G12" s="159"/>
      <c r="H12" s="160"/>
    </row>
    <row r="13" spans="2:16" x14ac:dyDescent="0.25">
      <c r="B13" s="20"/>
      <c r="C13" s="18" t="s">
        <v>66</v>
      </c>
      <c r="D13" s="72" t="b">
        <v>0</v>
      </c>
      <c r="F13" s="161"/>
      <c r="G13" s="162"/>
      <c r="H13" s="163"/>
    </row>
    <row r="14" spans="2:16" x14ac:dyDescent="0.25">
      <c r="B14" s="20"/>
      <c r="C14" s="18" t="s">
        <v>161</v>
      </c>
      <c r="D14" s="72" t="b">
        <v>0</v>
      </c>
      <c r="F14" s="161"/>
      <c r="G14" s="162"/>
      <c r="H14" s="163"/>
    </row>
    <row r="15" spans="2:16" x14ac:dyDescent="0.25">
      <c r="B15" s="20"/>
      <c r="C15" s="18" t="s">
        <v>131</v>
      </c>
      <c r="D15" s="72" t="b">
        <v>0</v>
      </c>
      <c r="F15" s="161"/>
      <c r="G15" s="162"/>
      <c r="H15" s="163"/>
    </row>
    <row r="16" spans="2:16" x14ac:dyDescent="0.25">
      <c r="B16" s="20"/>
      <c r="C16" s="18" t="s">
        <v>38</v>
      </c>
      <c r="D16" s="72" t="b">
        <v>1</v>
      </c>
      <c r="F16" s="161"/>
      <c r="G16" s="162"/>
      <c r="H16" s="163"/>
    </row>
    <row r="17" spans="2:8" x14ac:dyDescent="0.25">
      <c r="B17" s="20"/>
      <c r="C17" s="18" t="s">
        <v>39</v>
      </c>
      <c r="D17" s="72" t="b">
        <v>1</v>
      </c>
      <c r="F17" s="161"/>
      <c r="G17" s="162"/>
      <c r="H17" s="163"/>
    </row>
    <row r="18" spans="2:8" x14ac:dyDescent="0.25">
      <c r="B18" s="20"/>
      <c r="C18" s="18" t="s">
        <v>224</v>
      </c>
      <c r="D18" s="72" t="b">
        <v>1</v>
      </c>
      <c r="F18" s="161"/>
      <c r="G18" s="162"/>
      <c r="H18" s="163"/>
    </row>
    <row r="19" spans="2:8" ht="15.75" thickBot="1" x14ac:dyDescent="0.3">
      <c r="B19" s="20"/>
      <c r="C19" s="18" t="s">
        <v>124</v>
      </c>
      <c r="D19" s="72" t="b">
        <v>1</v>
      </c>
      <c r="F19" s="164"/>
      <c r="G19" s="165"/>
      <c r="H19" s="166"/>
    </row>
    <row r="20" spans="2:8" ht="15.75" thickTop="1" x14ac:dyDescent="0.25">
      <c r="B20" s="20"/>
      <c r="C20" s="18" t="s">
        <v>68</v>
      </c>
      <c r="D20" s="72" t="b">
        <f>'Winbugs Settings '!trace_or</f>
        <v>1</v>
      </c>
      <c r="F20" s="150"/>
      <c r="G20" s="159"/>
      <c r="H20" s="160"/>
    </row>
    <row r="21" spans="2:8" x14ac:dyDescent="0.25">
      <c r="B21" s="20"/>
      <c r="C21" s="18" t="s">
        <v>69</v>
      </c>
      <c r="D21" s="72" t="b">
        <v>0</v>
      </c>
      <c r="F21" s="161"/>
      <c r="G21" s="162"/>
      <c r="H21" s="163"/>
    </row>
    <row r="22" spans="2:8" x14ac:dyDescent="0.25">
      <c r="B22" s="20"/>
      <c r="C22" s="18" t="s">
        <v>67</v>
      </c>
      <c r="D22" s="72" t="b">
        <f>'Winbugs Settings '!gr_or</f>
        <v>1</v>
      </c>
      <c r="F22" s="161"/>
      <c r="G22" s="162"/>
      <c r="H22" s="163"/>
    </row>
    <row r="23" spans="2:8" ht="15.75" thickBot="1" x14ac:dyDescent="0.3">
      <c r="B23" s="20"/>
      <c r="C23" s="18" t="s">
        <v>70</v>
      </c>
      <c r="D23" s="72" t="b">
        <v>0</v>
      </c>
      <c r="F23" s="164"/>
      <c r="G23" s="165"/>
      <c r="H23" s="166"/>
    </row>
    <row r="24" spans="2:8" ht="15.75" thickTop="1" x14ac:dyDescent="0.25">
      <c r="B24" s="20"/>
      <c r="C24" s="18" t="s">
        <v>40</v>
      </c>
      <c r="D24" s="72" t="b">
        <v>1</v>
      </c>
      <c r="F24" s="150"/>
      <c r="G24" s="159"/>
      <c r="H24" s="160"/>
    </row>
    <row r="25" spans="2:8" ht="15.75" thickBot="1" x14ac:dyDescent="0.3">
      <c r="B25" s="20"/>
      <c r="C25" s="18" t="s">
        <v>72</v>
      </c>
      <c r="D25" s="72" t="b">
        <v>1</v>
      </c>
      <c r="F25" s="164"/>
      <c r="G25" s="165"/>
      <c r="H25" s="166"/>
    </row>
    <row r="26" spans="2:8" ht="17.25" customHeight="1" thickTop="1" x14ac:dyDescent="0.25">
      <c r="B26" s="20"/>
      <c r="C26" s="18" t="s">
        <v>152</v>
      </c>
      <c r="D26" s="175" t="s">
        <v>227</v>
      </c>
      <c r="F26" s="150"/>
      <c r="G26" s="159"/>
      <c r="H26" s="160"/>
    </row>
    <row r="27" spans="2:8" ht="17.25" customHeight="1" thickBot="1" x14ac:dyDescent="0.3">
      <c r="B27" s="20"/>
      <c r="C27" s="18" t="s">
        <v>153</v>
      </c>
      <c r="D27" s="175" t="s">
        <v>144</v>
      </c>
      <c r="F27" s="164"/>
      <c r="G27" s="165"/>
      <c r="H27" s="166"/>
    </row>
    <row r="28" spans="2:8" ht="15.75" customHeight="1" thickTop="1" x14ac:dyDescent="0.25">
      <c r="B28" s="20"/>
      <c r="C28" s="18" t="s">
        <v>136</v>
      </c>
      <c r="D28" s="74">
        <f>'Winbugs Settings '!inits_low</f>
        <v>0</v>
      </c>
      <c r="F28" s="150"/>
      <c r="G28" s="159"/>
      <c r="H28" s="160"/>
    </row>
    <row r="29" spans="2:8" ht="15" customHeight="1" x14ac:dyDescent="0.25">
      <c r="B29" s="20"/>
      <c r="C29" s="18" t="s">
        <v>137</v>
      </c>
      <c r="D29" s="74">
        <f>'Winbugs Settings '!inits_high</f>
        <v>2</v>
      </c>
      <c r="F29" s="161"/>
      <c r="G29" s="162"/>
      <c r="H29" s="163"/>
    </row>
    <row r="30" spans="2:8" ht="15" customHeight="1" x14ac:dyDescent="0.25">
      <c r="B30" s="20"/>
      <c r="C30" s="18" t="s">
        <v>134</v>
      </c>
      <c r="D30" s="74">
        <f>'Winbugs Settings '!sd_low</f>
        <v>1</v>
      </c>
      <c r="F30" s="161"/>
      <c r="G30" s="162"/>
      <c r="H30" s="163"/>
    </row>
    <row r="31" spans="2:8" ht="15.75" customHeight="1" thickBot="1" x14ac:dyDescent="0.3">
      <c r="B31" s="20"/>
      <c r="C31" s="18" t="s">
        <v>135</v>
      </c>
      <c r="D31" s="74">
        <f>'Winbugs Settings '!sd_high</f>
        <v>2</v>
      </c>
      <c r="F31" s="164"/>
      <c r="G31" s="165"/>
      <c r="H31" s="166"/>
    </row>
    <row r="32" spans="2:8" ht="16.5" thickTop="1" thickBot="1" x14ac:dyDescent="0.3">
      <c r="C32" s="24" t="s">
        <v>34</v>
      </c>
      <c r="D32" s="71" t="str">
        <f>'Winbugs Settings '!winbugs_directory</f>
        <v>C:\Program Files\WinBUGS14\</v>
      </c>
      <c r="E32" t="s">
        <v>82</v>
      </c>
      <c r="F32" s="156"/>
      <c r="G32" s="157"/>
      <c r="H32" s="158"/>
    </row>
    <row r="33" spans="3:8" ht="15.75" thickTop="1" x14ac:dyDescent="0.25">
      <c r="C33" s="25" t="s">
        <v>48</v>
      </c>
      <c r="D33" s="71" t="str">
        <f>'Winbugs Settings '!data_directory</f>
        <v>C:\WinBUGS data\</v>
      </c>
      <c r="F33" s="150"/>
      <c r="G33" s="159"/>
      <c r="H33" s="160"/>
    </row>
    <row r="34" spans="3:8" ht="15.75" thickBot="1" x14ac:dyDescent="0.3">
      <c r="C34" s="24" t="s">
        <v>49</v>
      </c>
      <c r="D34" s="71" t="str">
        <f>'Winbugs Settings '!results_directory</f>
        <v>C:\WinBUGS Results\</v>
      </c>
      <c r="F34" s="164"/>
      <c r="G34" s="165"/>
      <c r="H34" s="166"/>
    </row>
    <row r="35" spans="3:8" ht="15.75" thickTop="1" x14ac:dyDescent="0.25">
      <c r="C35" s="18" t="s">
        <v>56</v>
      </c>
      <c r="D35" s="72" t="str">
        <f>'Winbugs Settings '!FEresults_name</f>
        <v>Fixed Effect Results</v>
      </c>
      <c r="F35" s="150"/>
      <c r="G35" s="159"/>
      <c r="H35" s="160"/>
    </row>
    <row r="36" spans="3:8" ht="15.75" thickBot="1" x14ac:dyDescent="0.3">
      <c r="C36" s="18" t="s">
        <v>57</v>
      </c>
      <c r="D36" s="72" t="str">
        <f>CONCATENATE('Winbugs Settings '!REresults_name, " (", IF(vague_prior,"Vague )","Informative)"))</f>
        <v>Random Effect Results (Vague )</v>
      </c>
      <c r="F36" s="164"/>
      <c r="G36" s="165"/>
      <c r="H36" s="166"/>
    </row>
    <row r="37" spans="3:8" ht="15.75" thickTop="1" x14ac:dyDescent="0.25">
      <c r="C37" s="18" t="s">
        <v>51</v>
      </c>
      <c r="D37" s="72" t="str">
        <f>'Winbugs Settings '!FEmodel_name</f>
        <v>Fixed Effect Model</v>
      </c>
      <c r="F37" s="149"/>
      <c r="G37" s="149"/>
      <c r="H37" s="149"/>
    </row>
    <row r="38" spans="3:8" x14ac:dyDescent="0.25">
      <c r="C38" s="18" t="s">
        <v>52</v>
      </c>
      <c r="D38" s="72" t="str">
        <f>CONCATENATE('Winbugs Settings '!REmodel_name, " (", IF(vague_prior,"Vague)","Informative)"))</f>
        <v>Random Effect Model (Vague)</v>
      </c>
      <c r="F38" s="149"/>
      <c r="G38" s="149"/>
      <c r="H38" s="149"/>
    </row>
    <row r="39" spans="3:8" x14ac:dyDescent="0.25">
      <c r="C39" s="18" t="s">
        <v>50</v>
      </c>
      <c r="D39" s="72" t="str">
        <f>'Winbugs Settings '!data_name</f>
        <v>Data Table</v>
      </c>
      <c r="F39" s="149"/>
      <c r="G39" s="149"/>
      <c r="H39" s="149"/>
    </row>
    <row r="40" spans="3:8" x14ac:dyDescent="0.25">
      <c r="C40" s="18" t="s">
        <v>53</v>
      </c>
      <c r="D40" s="72" t="str">
        <f>'Winbugs Settings '!datalist_name</f>
        <v>Data List</v>
      </c>
      <c r="F40" s="149"/>
      <c r="G40" s="149"/>
      <c r="H40" s="149"/>
    </row>
    <row r="41" spans="3:8" x14ac:dyDescent="0.25">
      <c r="C41" s="18" t="s">
        <v>55</v>
      </c>
      <c r="D41" s="72" t="str">
        <f>'Winbugs Settings '!FEinits_name</f>
        <v>Fixed Effect Inits</v>
      </c>
      <c r="F41" s="149"/>
      <c r="G41" s="149"/>
      <c r="H41" s="149"/>
    </row>
    <row r="42" spans="3:8" x14ac:dyDescent="0.25">
      <c r="C42" s="18" t="s">
        <v>268</v>
      </c>
      <c r="D42" s="72" t="str">
        <f>CONCATENATE('Winbugs Settings '!REVinits_name, " (", IF(vague_prior,"Vague)","Informative)"))</f>
        <v>Random Effect Inits (Vague)</v>
      </c>
      <c r="F42" s="149"/>
      <c r="G42" s="149"/>
      <c r="H42" s="149"/>
    </row>
    <row r="43" spans="3:8" x14ac:dyDescent="0.25">
      <c r="C43" s="18" t="s">
        <v>41</v>
      </c>
      <c r="D43" s="73" t="str">
        <f ca="1">IF('Winbugs Settings '!date_time,TEXT(NOW()," m d yyyy h mm ss AM/PM"),"")</f>
        <v xml:space="preserve"> 1 16 2018 3 58 53 PM</v>
      </c>
      <c r="F43" s="149"/>
      <c r="G43" s="149"/>
      <c r="H43" s="149"/>
    </row>
    <row r="44" spans="3:8" x14ac:dyDescent="0.25">
      <c r="C44" s="18" t="s">
        <v>107</v>
      </c>
      <c r="D44" s="74" t="b">
        <v>1</v>
      </c>
      <c r="F44" s="149"/>
      <c r="G44" s="149"/>
      <c r="H44" s="149"/>
    </row>
    <row r="45" spans="3:8" x14ac:dyDescent="0.25">
      <c r="C45" s="18" t="s">
        <v>162</v>
      </c>
      <c r="D45" s="74" t="b">
        <v>1</v>
      </c>
      <c r="F45" s="149"/>
      <c r="G45" s="149"/>
      <c r="H45" s="149"/>
    </row>
    <row r="46" spans="3:8" x14ac:dyDescent="0.25">
      <c r="F46" s="149"/>
      <c r="G46" s="149"/>
      <c r="H46" s="149"/>
    </row>
  </sheetData>
  <sheetProtection formatRows="0"/>
  <dataValidations disablePrompts="1" count="2">
    <dataValidation type="list" allowBlank="1" showInputMessage="1" showErrorMessage="1" sqref="D26">
      <formula1>intervention_type</formula1>
    </dataValidation>
    <dataValidation type="list" allowBlank="1" showInputMessage="1" showErrorMessage="1" sqref="D27">
      <formula1>outcome_type</formula1>
    </dataValidation>
  </dataValidations>
  <pageMargins left="0.7" right="0.7" top="0.75" bottom="0.75" header="0.3" footer="0.3"/>
  <pageSetup orientation="portrait" r:id="rId1"/>
  <customProperties>
    <customPr name="SSCSheetTrackingNo" r:id="rId2"/>
  </customProperties>
  <drawing r:id="rId3"/>
</worksheet>
</file>

<file path=customUI/customUI.xml><?xml version="1.0" encoding="utf-8"?>
<customUI xmlns="http://schemas.microsoft.com/office/2006/01/customui">
  <ribbon>
    <tabs>
      <tab id="simTab" label="WinBUGS">
        <group id="grp1" label="Run Analyses">
          <button id="convert" label="Convert Data" imageMso="DatabaseEncodeDecode" size="large" onAction="Make_WinBUGS_table"/>
          <button id="runWinBUGS" label="Run WinBUGS" imageMso="MacroPlay" size="large" onAction="Run_winbugs"/>
          <button id="openWinBUGS" label="Open WinBUGS" imageMso="StartTimer" size="large" onAction="Open_winbugs"/>
        </group>
        <group id="grp2" label="Fixed Effects">
          <button id="FeText" label="Text Results" imageMso="AcceptInvitation" size="large" onAction="FE_results"/>
          <button id="FeForest" label="Forest Plot" imageMso="Chart3DBarChart" size="large" onAction="FE_forest"/>
          <button id="FeLeague" label="League Table" imageMso="ViewGridlinesWord" size="large" onAction="FE_step"/>
          <button id="FeRank" label="Rankogram" imageMso="Chart3DColumnChart" size="large" onAction="FE_rankogram"/>
          <button id="FeWinbugs" label="View In WinBUGS" imageMso="ImportSavedImports" size="large" onAction="open_FE_results"/>
        </group>
        <group id="grp3" label="Random Effects (Vague Prior)">
          <button id="ReText" label="Text Results" imageMso="AcceptInvitation" size="large" onAction="RE_results"/>
          <button id="ReForest" label="Forest Plot" imageMso="Chart3DBarChart" size="large" onAction="RE_forest"/>
          <button id="ReVLeague" label="League Table" imageMso="ViewGridlinesWord" size="large" onAction="ReV_step"/>
          <button id="ReRank" label="Rankogram" imageMso="Chart3DColumnChart" size="large" onAction="RE_rankogram"/>
          <button id="ReWinbugs" label="View In WinBUGS" imageMso="ImportSavedImports" size="large" onAction="open_RE_results"/>
        </group>
        <group id="grp4" label="Random Effects (Informative Prior)">
          <button id="InforText" label="Text Results" imageMso="AcceptInvitation" size="large" onAction="infor_results"/>
          <button id="InforForest" label="Forest Plot" imageMso="Chart3DBarChart" size="large" onAction="infor_forest"/>
          <button id="ReILeague" label="League Table" imageMso="ViewGridlinesWord" size="large" onAction="ReI_step"/>
          <button id="InforRank" label="Rankogram" imageMso="Chart3DColumnChart" size="large" onAction="infor_rankogram"/>
          <button id="InforWinbugs" label="View In WinBUGS" imageMso="ImportSavedImports" size="large" onAction="open_infor_results"/>
        </group>
        <group id="grp5" label="Inconsistency" tag="Incon_show">
          <button id="InconResults" label="Inconsistency Graph" imageMso="AcceptInvitation" size="large" onAction="Incon_results"/>
        </group>
        <group id="grp6" label="Delete">
          <button id="runDelInp" label="Delete Inputs" imageMso="Delete" size="large" onAction="Delete_inputs"/>
          <button id="runDelRel" label="Delete Results" imageMso="Delete" size="large" onAction="Delete_results"/>
        </group>
        <group id="grp7" label="Network Diagram" tag="Diagram_show">
          <button id="generateDiag" label="Generate Diagram" imageMso="CreateModule" size="large" onAction="radius"/>
          <button id="reConnect" label="ReDraw Connectsions" imageMso="RecurrenceEdit" size="large" onAction="ReConnector"/>
          <button id="deleteDiag" label="Delete Diagram" imageMso="Delete" size="large" onAction="DeleteAllAutoShapes"/>
        </group>
        <group id="grp8" label="Information">
          <button id="showLegend" label="Legend" imageMso="ViewsLayoutView" size="large" onAction="show_legend"/>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108</vt:i4>
      </vt:variant>
    </vt:vector>
  </HeadingPairs>
  <TitlesOfParts>
    <vt:vector size="142" baseType="lpstr">
      <vt:lpstr>Cover</vt:lpstr>
      <vt:lpstr>Winbugs Settings </vt:lpstr>
      <vt:lpstr>DATA Input</vt:lpstr>
      <vt:lpstr>Diagram Data</vt:lpstr>
      <vt:lpstr>WINBUGS data</vt:lpstr>
      <vt:lpstr>WINBUGS Data Inconsistency</vt:lpstr>
      <vt:lpstr>Data Summary</vt:lpstr>
      <vt:lpstr>Network Diagram</vt:lpstr>
      <vt:lpstr>Forest Plot</vt:lpstr>
      <vt:lpstr>League Table</vt:lpstr>
      <vt:lpstr>Rankogram</vt:lpstr>
      <vt:lpstr>Inconsistency Data</vt:lpstr>
      <vt:lpstr>Inconsistency Results</vt:lpstr>
      <vt:lpstr>FE Results</vt:lpstr>
      <vt:lpstr>RE Results (Vague Prior)</vt:lpstr>
      <vt:lpstr>RE Results (Informative Prior)</vt:lpstr>
      <vt:lpstr>FE Inconsistency Results</vt:lpstr>
      <vt:lpstr>RE Inconsistency Results</vt:lpstr>
      <vt:lpstr>Informative Priors</vt:lpstr>
      <vt:lpstr>Data Table</vt:lpstr>
      <vt:lpstr>FE Script</vt:lpstr>
      <vt:lpstr>RE Script</vt:lpstr>
      <vt:lpstr>FE Inconsistency Script </vt:lpstr>
      <vt:lpstr>RE Inconsistency Script</vt:lpstr>
      <vt:lpstr>FE Model</vt:lpstr>
      <vt:lpstr>Fixed Effects</vt:lpstr>
      <vt:lpstr>RE Model</vt:lpstr>
      <vt:lpstr>League Table Data</vt:lpstr>
      <vt:lpstr>Random Effects  (Informative)</vt:lpstr>
      <vt:lpstr>Random Effects (Vague)</vt:lpstr>
      <vt:lpstr>FE Inconsistency Model</vt:lpstr>
      <vt:lpstr>RE Inconsistency Model</vt:lpstr>
      <vt:lpstr>Rankogram Data</vt:lpstr>
      <vt:lpstr>Variables</vt:lpstr>
      <vt:lpstr>ab_names</vt:lpstr>
      <vt:lpstr>auto_run</vt:lpstr>
      <vt:lpstr>best</vt:lpstr>
      <vt:lpstr>bottom</vt:lpstr>
      <vt:lpstr>'Winbugs Settings '!burn_in</vt:lpstr>
      <vt:lpstr>burn_in</vt:lpstr>
      <vt:lpstr>chart_type</vt:lpstr>
      <vt:lpstr>'Winbugs Settings '!data_directory</vt:lpstr>
      <vt:lpstr>data_directory</vt:lpstr>
      <vt:lpstr>'Winbugs Settings '!data_name</vt:lpstr>
      <vt:lpstr>data_name</vt:lpstr>
      <vt:lpstr>'Winbugs Settings '!datalist_name</vt:lpstr>
      <vt:lpstr>datalist_name</vt:lpstr>
      <vt:lpstr>'Winbugs Settings '!date_time</vt:lpstr>
      <vt:lpstr>date_time</vt:lpstr>
      <vt:lpstr>diag_radius</vt:lpstr>
      <vt:lpstr>DIC</vt:lpstr>
      <vt:lpstr>events_bad</vt:lpstr>
      <vt:lpstr>'Diagram Data'!Extract</vt:lpstr>
      <vt:lpstr>'WINBUGS Data Inconsistency'!FE_inits</vt:lpstr>
      <vt:lpstr>FE_inits</vt:lpstr>
      <vt:lpstr>'Winbugs Settings '!FEinits_name</vt:lpstr>
      <vt:lpstr>FEinits_name</vt:lpstr>
      <vt:lpstr>'Winbugs Settings '!FEmodel_name</vt:lpstr>
      <vt:lpstr>FEmodel_name</vt:lpstr>
      <vt:lpstr>'Winbugs Settings '!FEresults_name</vt:lpstr>
      <vt:lpstr>FEresults_name</vt:lpstr>
      <vt:lpstr>Forest</vt:lpstr>
      <vt:lpstr>'Winbugs Settings '!gr_or</vt:lpstr>
      <vt:lpstr>gr_or</vt:lpstr>
      <vt:lpstr>gr_rr</vt:lpstr>
      <vt:lpstr>'Winbugs Settings '!incon</vt:lpstr>
      <vt:lpstr>incon</vt:lpstr>
      <vt:lpstr>'Winbugs Settings '!incon_list</vt:lpstr>
      <vt:lpstr>incon_list</vt:lpstr>
      <vt:lpstr>'Winbugs Settings '!inits_high</vt:lpstr>
      <vt:lpstr>inits_high</vt:lpstr>
      <vt:lpstr>'Winbugs Settings '!inits_low</vt:lpstr>
      <vt:lpstr>inits_low</vt:lpstr>
      <vt:lpstr>'Winbugs Settings '!Inits_settings</vt:lpstr>
      <vt:lpstr>intervention_selection</vt:lpstr>
      <vt:lpstr>intervention_type</vt:lpstr>
      <vt:lpstr>'WINBUGS Data Inconsistency'!Legend</vt:lpstr>
      <vt:lpstr>Legend</vt:lpstr>
      <vt:lpstr>list</vt:lpstr>
      <vt:lpstr>list_1</vt:lpstr>
      <vt:lpstr>list_2</vt:lpstr>
      <vt:lpstr>list_3</vt:lpstr>
      <vt:lpstr>list_statement</vt:lpstr>
      <vt:lpstr>marker</vt:lpstr>
      <vt:lpstr>max_logOR</vt:lpstr>
      <vt:lpstr>max_total</vt:lpstr>
      <vt:lpstr>min_total</vt:lpstr>
      <vt:lpstr>'Winbugs Settings '!model_runs</vt:lpstr>
      <vt:lpstr>model_runs</vt:lpstr>
      <vt:lpstr>monitor_nnt</vt:lpstr>
      <vt:lpstr>monitor_or</vt:lpstr>
      <vt:lpstr>monitor_rd</vt:lpstr>
      <vt:lpstr>monitor_resdev</vt:lpstr>
      <vt:lpstr>monitor_rr</vt:lpstr>
      <vt:lpstr>monitor_SUCRA</vt:lpstr>
      <vt:lpstr>'WINBUGS Data Inconsistency'!names</vt:lpstr>
      <vt:lpstr>names</vt:lpstr>
      <vt:lpstr>num_studies</vt:lpstr>
      <vt:lpstr>num_treatment_1_studies</vt:lpstr>
      <vt:lpstr>num_treatments</vt:lpstr>
      <vt:lpstr>outcome_selection</vt:lpstr>
      <vt:lpstr>outcome_type</vt:lpstr>
      <vt:lpstr>patient_totals</vt:lpstr>
      <vt:lpstr>prior_mean</vt:lpstr>
      <vt:lpstr>prior_sigma</vt:lpstr>
      <vt:lpstr>prior_sigma2</vt:lpstr>
      <vt:lpstr>prob</vt:lpstr>
      <vt:lpstr>'Winbugs Settings '!Program_settings</vt:lpstr>
      <vt:lpstr>rank</vt:lpstr>
      <vt:lpstr>rank_analysis</vt:lpstr>
      <vt:lpstr>rank_legend</vt:lpstr>
      <vt:lpstr>'WINBUGS Data Inconsistency'!RE_inits</vt:lpstr>
      <vt:lpstr>REI_inits</vt:lpstr>
      <vt:lpstr>REinits_name</vt:lpstr>
      <vt:lpstr>'Winbugs Settings '!REmodel_name</vt:lpstr>
      <vt:lpstr>REmodel_name</vt:lpstr>
      <vt:lpstr>'Winbugs Settings '!REresults_name</vt:lpstr>
      <vt:lpstr>REresults_name</vt:lpstr>
      <vt:lpstr>'Winbugs Settings '!results_directory</vt:lpstr>
      <vt:lpstr>results_directory</vt:lpstr>
      <vt:lpstr>REV_inits</vt:lpstr>
      <vt:lpstr>'Winbugs Settings '!REVinits_name</vt:lpstr>
      <vt:lpstr>'Winbugs Settings '!sd_high</vt:lpstr>
      <vt:lpstr>sd_high</vt:lpstr>
      <vt:lpstr>'Winbugs Settings '!sd_low</vt:lpstr>
      <vt:lpstr>sd_low</vt:lpstr>
      <vt:lpstr>spacing</vt:lpstr>
      <vt:lpstr>step</vt:lpstr>
      <vt:lpstr>study_arms</vt:lpstr>
      <vt:lpstr>sucra_list</vt:lpstr>
      <vt:lpstr>sucra_table</vt:lpstr>
      <vt:lpstr>sum_total</vt:lpstr>
      <vt:lpstr>top</vt:lpstr>
      <vt:lpstr>'Winbugs Settings '!trace_or</vt:lpstr>
      <vt:lpstr>trace_or</vt:lpstr>
      <vt:lpstr>trace_rr</vt:lpstr>
      <vt:lpstr>treatment_selection</vt:lpstr>
      <vt:lpstr>vague_prior</vt:lpstr>
      <vt:lpstr>'Winbugs Settings '!winbugs_directory</vt:lpstr>
      <vt:lpstr>winbugs_directory</vt:lpstr>
      <vt:lpstr>'Winbugs Settings '!Winbugs_settings</vt:lpstr>
      <vt:lpstr>zero_corr</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gawells</dc:creator>
  <cp:lastModifiedBy>Souvik Mitra</cp:lastModifiedBy>
  <cp:lastPrinted>2013-12-11T19:47:01Z</cp:lastPrinted>
  <dcterms:created xsi:type="dcterms:W3CDTF">2012-06-03T02:15:13Z</dcterms:created>
  <dcterms:modified xsi:type="dcterms:W3CDTF">2018-01-16T20:08:26Z</dcterms:modified>
</cp:coreProperties>
</file>