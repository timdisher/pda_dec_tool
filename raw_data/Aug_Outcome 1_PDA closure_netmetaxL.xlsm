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13.xml" ContentType="application/vnd.openxmlformats-officedocument.drawingml.chartshap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August 2017 analyses\Outcome 1_PDA closure\"/>
    </mc:Choice>
  </mc:AlternateContent>
  <bookViews>
    <workbookView xWindow="0" yWindow="0" windowWidth="28800" windowHeight="12435" tabRatio="840" firstSheet="1" activeTab="6"/>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r:id="rId13"/>
    <sheet name="Sheet1" sheetId="49" r:id="rId14"/>
    <sheet name="FE Results" sheetId="10" state="hidden" r:id="rId15"/>
    <sheet name="RE Results (Vague Prior)" sheetId="11" r:id="rId16"/>
    <sheet name="RE Results (Informative Prior)" sheetId="29" r:id="rId17"/>
    <sheet name="FE Inconsistency Results" sheetId="35" r:id="rId18"/>
    <sheet name="RE Inconsistency Results" sheetId="36" r:id="rId19"/>
    <sheet name="Informative Priors" sheetId="24" r:id="rId20"/>
    <sheet name="Data Table" sheetId="3" r:id="rId21"/>
    <sheet name="FE Script" sheetId="4" r:id="rId22"/>
    <sheet name="RE Script" sheetId="6" r:id="rId23"/>
    <sheet name="FE Inconsistency Script " sheetId="37" r:id="rId24"/>
    <sheet name="RE Inconsistency Script" sheetId="38" r:id="rId25"/>
    <sheet name="FE Model" sheetId="7" r:id="rId26"/>
    <sheet name="Fixed Effects" sheetId="12" state="hidden" r:id="rId27"/>
    <sheet name="RE Model" sheetId="8" r:id="rId28"/>
    <sheet name="League Table Data" sheetId="45" state="hidden" r:id="rId29"/>
    <sheet name="Random Effects  (Informative)" sheetId="27" state="hidden" r:id="rId30"/>
    <sheet name="Random Effects (Vague)" sheetId="20" state="hidden" r:id="rId31"/>
    <sheet name="FE Inconsistency Model" sheetId="33" r:id="rId32"/>
    <sheet name="RE Inconsistency Model" sheetId="34" r:id="rId33"/>
    <sheet name="Rankogram Data" sheetId="43" r:id="rId34"/>
    <sheet name="Variables" sheetId="9" r:id="rId35"/>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8">#REF!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8">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8">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calcMode="autoNoTable" concurrentCalc="0"/>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46" i="20"/>
  <c r="K46" i="20"/>
  <c r="L37" i="20"/>
  <c r="K37" i="20"/>
  <c r="L44" i="20"/>
  <c r="K44" i="20"/>
  <c r="L47" i="20"/>
  <c r="K47" i="20"/>
  <c r="L25" i="20"/>
  <c r="K25" i="20"/>
  <c r="L45" i="20"/>
  <c r="K45" i="20"/>
  <c r="L36" i="20"/>
  <c r="K36" i="20"/>
  <c r="L33" i="20"/>
  <c r="K33" i="20"/>
  <c r="L14" i="20"/>
  <c r="K14" i="20"/>
  <c r="L21" i="20"/>
  <c r="K21" i="20"/>
  <c r="L12" i="20"/>
  <c r="K12" i="20"/>
  <c r="L34" i="20"/>
  <c r="K34" i="20"/>
  <c r="L27" i="20"/>
  <c r="K27" i="20"/>
  <c r="L30" i="20"/>
  <c r="K30" i="20"/>
  <c r="L7" i="20"/>
  <c r="K7" i="20"/>
  <c r="L16" i="20"/>
  <c r="K16" i="20"/>
  <c r="L48" i="20"/>
  <c r="K48" i="20"/>
  <c r="L22" i="20"/>
  <c r="K22" i="20"/>
  <c r="L10" i="20"/>
  <c r="K10" i="20"/>
  <c r="L8" i="20"/>
  <c r="K8" i="20"/>
  <c r="L6" i="20"/>
  <c r="K6" i="20"/>
  <c r="L13" i="20"/>
  <c r="K13" i="20"/>
  <c r="L29" i="20"/>
  <c r="K29" i="20"/>
  <c r="L42" i="20"/>
  <c r="K42" i="20"/>
  <c r="L35" i="20"/>
  <c r="K35" i="20"/>
  <c r="L15" i="20"/>
  <c r="K15" i="20"/>
  <c r="L5" i="20"/>
  <c r="K5" i="20"/>
  <c r="L9" i="20"/>
  <c r="K9" i="20"/>
  <c r="L17" i="20"/>
  <c r="K17" i="20"/>
  <c r="L11" i="20"/>
  <c r="K11" i="20"/>
  <c r="L32" i="20"/>
  <c r="K32" i="20"/>
  <c r="L20" i="20"/>
  <c r="K20" i="20"/>
  <c r="L18" i="20"/>
  <c r="K18" i="20"/>
  <c r="L40" i="20"/>
  <c r="K40" i="20"/>
  <c r="L23" i="20"/>
  <c r="K23" i="20"/>
  <c r="L19" i="20"/>
  <c r="K19" i="20"/>
  <c r="L41" i="20"/>
  <c r="K41" i="20"/>
  <c r="L49" i="20"/>
  <c r="K49" i="20"/>
  <c r="L28" i="20"/>
  <c r="K28" i="20"/>
  <c r="L26" i="20"/>
  <c r="K26" i="20"/>
  <c r="L38" i="20"/>
  <c r="K38" i="20"/>
  <c r="L31" i="20"/>
  <c r="K31" i="20"/>
  <c r="L24" i="20"/>
  <c r="K24" i="20"/>
  <c r="L43" i="20"/>
  <c r="K43" i="20"/>
  <c r="L39" i="20"/>
  <c r="K39"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45" i="27"/>
  <c r="K45" i="27"/>
  <c r="L7" i="27"/>
  <c r="K7" i="27"/>
  <c r="L33" i="27"/>
  <c r="K33" i="27"/>
  <c r="L49" i="27"/>
  <c r="K49" i="27"/>
  <c r="L26" i="27"/>
  <c r="K26" i="27"/>
  <c r="L8" i="27"/>
  <c r="K8" i="27"/>
  <c r="L13" i="27"/>
  <c r="K13" i="27"/>
  <c r="L37" i="27"/>
  <c r="K37" i="27"/>
  <c r="L14" i="27"/>
  <c r="K14" i="27"/>
  <c r="L24" i="27"/>
  <c r="K24" i="27"/>
  <c r="L35" i="27"/>
  <c r="K35" i="27"/>
  <c r="L38" i="27"/>
  <c r="K38" i="27"/>
  <c r="L22" i="27"/>
  <c r="K22" i="27"/>
  <c r="L43" i="27"/>
  <c r="K43" i="27"/>
  <c r="L5" i="27"/>
  <c r="K5" i="27"/>
  <c r="L21" i="27"/>
  <c r="K21" i="27"/>
  <c r="L11" i="27"/>
  <c r="K11" i="27"/>
  <c r="L30" i="27"/>
  <c r="K30" i="27"/>
  <c r="L9" i="27"/>
  <c r="K9" i="27"/>
  <c r="L47" i="27"/>
  <c r="K47" i="27"/>
  <c r="L34" i="27"/>
  <c r="K34" i="27"/>
  <c r="L32" i="27"/>
  <c r="K32" i="27"/>
  <c r="L44" i="27"/>
  <c r="K44" i="27"/>
  <c r="L28" i="27"/>
  <c r="K28" i="27"/>
  <c r="L23" i="27"/>
  <c r="K23" i="27"/>
  <c r="L25" i="27"/>
  <c r="K25" i="27"/>
  <c r="L42" i="27"/>
  <c r="K42" i="27"/>
  <c r="L39" i="27"/>
  <c r="K39" i="27"/>
  <c r="L40" i="27"/>
  <c r="K40" i="27"/>
  <c r="L10" i="27"/>
  <c r="K10" i="27"/>
  <c r="L27" i="27"/>
  <c r="K27" i="27"/>
  <c r="L41" i="27"/>
  <c r="K41" i="27"/>
  <c r="L16" i="27"/>
  <c r="K16" i="27"/>
  <c r="L15" i="27"/>
  <c r="K15" i="27"/>
  <c r="L31" i="27"/>
  <c r="K31" i="27"/>
  <c r="L48" i="27"/>
  <c r="K48" i="27"/>
  <c r="L6" i="27"/>
  <c r="K6" i="27"/>
  <c r="L17" i="27"/>
  <c r="K17" i="27"/>
  <c r="L20" i="27"/>
  <c r="K20" i="27"/>
  <c r="L18" i="27"/>
  <c r="K18" i="27"/>
  <c r="L12" i="27"/>
  <c r="K12" i="27"/>
  <c r="L29" i="27"/>
  <c r="K29" i="27"/>
  <c r="L19" i="27"/>
  <c r="K19" i="27"/>
  <c r="L46" i="27"/>
  <c r="K46" i="27"/>
  <c r="L36" i="27"/>
  <c r="K36"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20" i="12"/>
  <c r="K20" i="12"/>
  <c r="L38" i="12"/>
  <c r="K38" i="12"/>
  <c r="L8" i="12"/>
  <c r="K8" i="12"/>
  <c r="L49" i="12"/>
  <c r="K49" i="12"/>
  <c r="L24" i="12"/>
  <c r="K24" i="12"/>
  <c r="L18" i="12"/>
  <c r="K18" i="12"/>
  <c r="L28" i="12"/>
  <c r="K28" i="12"/>
  <c r="L32" i="12"/>
  <c r="K32" i="12"/>
  <c r="L16" i="12"/>
  <c r="K16" i="12"/>
  <c r="L31" i="12"/>
  <c r="K31" i="12"/>
  <c r="L47" i="12"/>
  <c r="K47" i="12"/>
  <c r="L15" i="12"/>
  <c r="K15" i="12"/>
  <c r="L25" i="12"/>
  <c r="K25" i="12"/>
  <c r="L34" i="12"/>
  <c r="K34" i="12"/>
  <c r="L27" i="12"/>
  <c r="K27" i="12"/>
  <c r="L33" i="12"/>
  <c r="K33" i="12"/>
  <c r="L48" i="12"/>
  <c r="K48" i="12"/>
  <c r="L29" i="12"/>
  <c r="K29" i="12"/>
  <c r="L10" i="12"/>
  <c r="K10" i="12"/>
  <c r="L36" i="12"/>
  <c r="K36" i="12"/>
  <c r="L42" i="12"/>
  <c r="K42" i="12"/>
  <c r="L13" i="12"/>
  <c r="K13" i="12"/>
  <c r="L43" i="12"/>
  <c r="K43" i="12"/>
  <c r="L26" i="12"/>
  <c r="K26" i="12"/>
  <c r="L23" i="12"/>
  <c r="K23" i="12"/>
  <c r="L6" i="12"/>
  <c r="K6" i="12"/>
  <c r="L44" i="12"/>
  <c r="K44" i="12"/>
  <c r="L46" i="12"/>
  <c r="K46" i="12"/>
  <c r="L39" i="12"/>
  <c r="K39" i="12"/>
  <c r="L14" i="12"/>
  <c r="K14" i="12"/>
  <c r="L45" i="12"/>
  <c r="K45" i="12"/>
  <c r="L17" i="12"/>
  <c r="K17" i="12"/>
  <c r="L19" i="12"/>
  <c r="K19" i="12"/>
  <c r="L7" i="12"/>
  <c r="K7" i="12"/>
  <c r="L22" i="12"/>
  <c r="K22" i="12"/>
  <c r="L37" i="12"/>
  <c r="K37" i="12"/>
  <c r="L9" i="12"/>
  <c r="K9" i="12"/>
  <c r="L41" i="12"/>
  <c r="K41" i="12"/>
  <c r="L40" i="12"/>
  <c r="K40" i="12"/>
  <c r="L11" i="12"/>
  <c r="K11" i="12"/>
  <c r="L35" i="12"/>
  <c r="K35" i="12"/>
  <c r="L5" i="12"/>
  <c r="K5" i="12"/>
  <c r="L12" i="12"/>
  <c r="K12" i="12"/>
  <c r="L21" i="12"/>
  <c r="K21" i="12"/>
  <c r="L30" i="12"/>
  <c r="K30" i="12"/>
  <c r="N4" i="12"/>
  <c r="L4" i="12"/>
  <c r="N3" i="12"/>
  <c r="F3" i="12"/>
  <c r="A1" i="12"/>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J134" i="40"/>
  <c r="J147" i="40"/>
  <c r="J120" i="40"/>
  <c r="J144" i="40"/>
  <c r="J121" i="40"/>
  <c r="K128" i="40"/>
  <c r="K116" i="40"/>
  <c r="I115" i="40"/>
  <c r="J116" i="40"/>
  <c r="I144" i="40"/>
  <c r="I131" i="40"/>
  <c r="J132" i="40"/>
  <c r="J112" i="40"/>
  <c r="J125" i="40"/>
  <c r="J150" i="40"/>
  <c r="J111" i="40"/>
  <c r="J114" i="40"/>
  <c r="K127" i="40"/>
  <c r="K135" i="40"/>
  <c r="I114" i="40"/>
  <c r="J115" i="40"/>
  <c r="J149" i="40"/>
  <c r="J139" i="40"/>
  <c r="I122" i="40"/>
  <c r="J130" i="40"/>
  <c r="I149" i="40"/>
  <c r="I127" i="40"/>
  <c r="I128" i="40"/>
  <c r="K119" i="40"/>
  <c r="K121" i="40"/>
  <c r="K113" i="40"/>
  <c r="J138" i="40"/>
  <c r="I135" i="40"/>
  <c r="K125" i="40"/>
  <c r="K131" i="40"/>
  <c r="J135" i="40"/>
  <c r="J137" i="40"/>
  <c r="J128" i="40"/>
  <c r="K141" i="40"/>
  <c r="I150" i="40"/>
  <c r="K137" i="40"/>
  <c r="K129" i="40"/>
  <c r="K143" i="40"/>
  <c r="K142" i="40"/>
  <c r="K150" i="40"/>
  <c r="I125" i="40"/>
  <c r="K122" i="40"/>
  <c r="I143" i="40"/>
  <c r="J142" i="40"/>
  <c r="K140" i="40"/>
  <c r="K124" i="40"/>
  <c r="J133" i="40"/>
  <c r="I126" i="40"/>
  <c r="I139" i="40"/>
  <c r="I132" i="40"/>
  <c r="K114" i="40"/>
  <c r="I136" i="40"/>
  <c r="K126" i="40"/>
  <c r="J136" i="40"/>
  <c r="K111" i="40"/>
  <c r="K132" i="40"/>
  <c r="K118" i="40"/>
  <c r="K138" i="40"/>
  <c r="J143" i="40"/>
  <c r="I119" i="40"/>
  <c r="I142" i="40"/>
  <c r="J122" i="40"/>
  <c r="J131" i="40"/>
  <c r="K117" i="40"/>
  <c r="J117" i="40"/>
  <c r="J140" i="40"/>
  <c r="I146" i="40"/>
  <c r="I113" i="40"/>
  <c r="K146" i="40"/>
  <c r="I141" i="40"/>
  <c r="J127" i="40"/>
  <c r="I124" i="40"/>
  <c r="K123" i="40"/>
  <c r="I133" i="40"/>
  <c r="K147" i="40"/>
  <c r="I121" i="40"/>
  <c r="I116" i="40"/>
  <c r="K133" i="40"/>
  <c r="I147" i="40"/>
  <c r="I138" i="40"/>
  <c r="I140" i="40"/>
  <c r="I123" i="40"/>
  <c r="J129" i="40"/>
  <c r="K148" i="40"/>
  <c r="J123" i="40"/>
  <c r="I145" i="40"/>
  <c r="I137" i="40"/>
  <c r="K139" i="40"/>
  <c r="I117" i="40"/>
  <c r="J146" i="40"/>
  <c r="K120" i="40"/>
  <c r="I134" i="40"/>
  <c r="I120" i="40"/>
  <c r="I112" i="40"/>
  <c r="K144" i="40"/>
  <c r="K112" i="40"/>
  <c r="K115" i="40"/>
  <c r="J141" i="40"/>
  <c r="K130" i="40"/>
  <c r="K136" i="40"/>
  <c r="K145" i="40"/>
  <c r="J148" i="40"/>
  <c r="K149" i="40"/>
  <c r="J118" i="40"/>
  <c r="I118" i="40"/>
  <c r="J126" i="40"/>
  <c r="J113" i="40"/>
  <c r="I148" i="40"/>
  <c r="K134" i="40"/>
  <c r="I130" i="40"/>
  <c r="J145" i="40"/>
  <c r="J124" i="40"/>
  <c r="J119" i="40"/>
  <c r="I129" i="40"/>
  <c r="I111"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Z5" i="44"/>
  <c r="Z4" i="44"/>
  <c r="Z3" i="44"/>
  <c r="Y2" i="44"/>
  <c r="Z5" i="41"/>
  <c r="Q83" i="46"/>
  <c r="S83" i="46"/>
  <c r="T83" i="46"/>
  <c r="U83" i="46"/>
  <c r="Q85" i="46"/>
  <c r="S85" i="46"/>
  <c r="T85" i="46"/>
  <c r="U85" i="46"/>
  <c r="Q92" i="46"/>
  <c r="S92" i="46"/>
  <c r="T92" i="46"/>
  <c r="U92" i="46"/>
  <c r="Q80" i="46"/>
  <c r="S80" i="46"/>
  <c r="T80" i="46"/>
  <c r="U80" i="46"/>
  <c r="Q88" i="46"/>
  <c r="S88" i="46"/>
  <c r="T88" i="46"/>
  <c r="U88" i="46"/>
  <c r="Q95" i="46"/>
  <c r="S95" i="46"/>
  <c r="T95" i="46"/>
  <c r="U95" i="46"/>
  <c r="Q97" i="46"/>
  <c r="S97" i="46"/>
  <c r="T97" i="46"/>
  <c r="U97" i="46"/>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1" i="46"/>
  <c r="S81" i="46"/>
  <c r="T81" i="46"/>
  <c r="U81" i="46"/>
  <c r="Q82" i="46"/>
  <c r="S82" i="46"/>
  <c r="T82" i="46"/>
  <c r="U82" i="46"/>
  <c r="Q84" i="46"/>
  <c r="S84" i="46"/>
  <c r="T84" i="46"/>
  <c r="U84" i="46"/>
  <c r="Q86" i="46"/>
  <c r="S86" i="46"/>
  <c r="T86" i="46"/>
  <c r="U86" i="46"/>
  <c r="Q87" i="46"/>
  <c r="S87" i="46"/>
  <c r="T87" i="46"/>
  <c r="U87" i="46"/>
  <c r="Q89" i="46"/>
  <c r="S89" i="46"/>
  <c r="T89" i="46"/>
  <c r="U89" i="46"/>
  <c r="Q90" i="46"/>
  <c r="S90" i="46"/>
  <c r="T90" i="46"/>
  <c r="U90" i="46"/>
  <c r="Q91" i="46"/>
  <c r="S91" i="46"/>
  <c r="T91" i="46"/>
  <c r="U91" i="46"/>
  <c r="Q93" i="46"/>
  <c r="S93" i="46"/>
  <c r="T93" i="46"/>
  <c r="U93" i="46"/>
  <c r="Q94" i="46"/>
  <c r="S94" i="46"/>
  <c r="T94" i="46"/>
  <c r="U94" i="46"/>
  <c r="Q96" i="46"/>
  <c r="S96" i="46"/>
  <c r="T96" i="46"/>
  <c r="U96"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Z4" i="41"/>
  <c r="Z3" i="41"/>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K34" i="40"/>
  <c r="I37" i="40"/>
  <c r="I32" i="40"/>
  <c r="K16" i="40"/>
  <c r="I97" i="40"/>
  <c r="J56" i="40"/>
  <c r="I25" i="40"/>
  <c r="I58" i="40"/>
  <c r="K94" i="40"/>
  <c r="I88" i="40"/>
  <c r="K103" i="40"/>
  <c r="K101" i="40"/>
  <c r="I8" i="40"/>
  <c r="K74" i="40"/>
  <c r="J38" i="40"/>
  <c r="J82" i="40"/>
  <c r="J96" i="40"/>
  <c r="K54" i="40"/>
  <c r="K72" i="40"/>
  <c r="I76" i="40"/>
  <c r="K62" i="40"/>
  <c r="J37" i="40"/>
  <c r="I15" i="40"/>
  <c r="I75" i="40"/>
  <c r="J11" i="40"/>
  <c r="K67" i="40"/>
  <c r="K81" i="40"/>
  <c r="J33" i="40"/>
  <c r="K51" i="40"/>
  <c r="J67" i="40"/>
  <c r="K96" i="40"/>
  <c r="K92" i="40"/>
  <c r="I103" i="40"/>
  <c r="J79" i="40"/>
  <c r="J44" i="40"/>
  <c r="K75" i="40"/>
  <c r="I107" i="40"/>
  <c r="K61" i="40"/>
  <c r="I24" i="40"/>
  <c r="J86" i="40"/>
  <c r="I62" i="40"/>
  <c r="I40" i="40"/>
  <c r="K63" i="40"/>
  <c r="I63" i="40"/>
  <c r="J77" i="40"/>
  <c r="K28" i="40"/>
  <c r="J8" i="40"/>
  <c r="I69" i="40"/>
  <c r="K13" i="40"/>
  <c r="K41" i="40"/>
  <c r="K73" i="40"/>
  <c r="I106" i="40"/>
  <c r="I39" i="40"/>
  <c r="K59" i="40"/>
  <c r="I60" i="40"/>
  <c r="J84" i="40"/>
  <c r="I81" i="40"/>
  <c r="I80" i="40"/>
  <c r="J83" i="40"/>
  <c r="J55" i="40"/>
  <c r="I98" i="40"/>
  <c r="I34" i="40"/>
  <c r="J72" i="40"/>
  <c r="J19" i="40"/>
  <c r="K5" i="40"/>
  <c r="I28" i="40"/>
  <c r="K10" i="40"/>
  <c r="J91" i="40"/>
  <c r="I79" i="40"/>
  <c r="J92" i="40"/>
  <c r="K11" i="40"/>
  <c r="K65" i="40"/>
  <c r="J59" i="40"/>
  <c r="I86" i="40"/>
  <c r="K42" i="40"/>
  <c r="K79" i="40"/>
  <c r="I99" i="40"/>
  <c r="J90" i="40"/>
  <c r="K71" i="40"/>
  <c r="J106" i="40"/>
  <c r="I100" i="40"/>
  <c r="K93" i="40"/>
  <c r="K55" i="40"/>
  <c r="K9" i="40"/>
  <c r="J103" i="40"/>
  <c r="I31" i="40"/>
  <c r="J39" i="40"/>
  <c r="I48" i="40"/>
  <c r="K109" i="40"/>
  <c r="I16" i="40"/>
  <c r="K105" i="40"/>
  <c r="K66" i="40"/>
  <c r="K36" i="40"/>
  <c r="I101" i="40"/>
  <c r="K107" i="40"/>
  <c r="I44" i="40"/>
  <c r="K104" i="40"/>
  <c r="I46" i="40"/>
  <c r="J66" i="40"/>
  <c r="J25" i="40"/>
  <c r="K110" i="40"/>
  <c r="I91" i="40"/>
  <c r="K49" i="40"/>
  <c r="J13" i="40"/>
  <c r="J6" i="40"/>
  <c r="J32" i="40"/>
  <c r="J54" i="40"/>
  <c r="I110" i="40"/>
  <c r="I61" i="40"/>
  <c r="I5" i="40"/>
  <c r="J58" i="40"/>
  <c r="J20" i="40"/>
  <c r="J42" i="40"/>
  <c r="K25" i="40"/>
  <c r="K19" i="40"/>
  <c r="J76" i="40"/>
  <c r="I85" i="40"/>
  <c r="J89" i="40"/>
  <c r="K47" i="40"/>
  <c r="J45" i="40"/>
  <c r="J17" i="40"/>
  <c r="K68" i="40"/>
  <c r="J53" i="40"/>
  <c r="I6" i="40"/>
  <c r="K26" i="40"/>
  <c r="J48" i="40"/>
  <c r="I95" i="40"/>
  <c r="J110" i="40"/>
  <c r="I52" i="40"/>
  <c r="I70" i="40"/>
  <c r="J60" i="40"/>
  <c r="I36" i="40"/>
  <c r="I67" i="40"/>
  <c r="K31" i="40"/>
  <c r="I102" i="40"/>
  <c r="J27" i="40"/>
  <c r="J88" i="40"/>
  <c r="K22" i="40"/>
  <c r="J51" i="40"/>
  <c r="J23" i="40"/>
  <c r="K21" i="40"/>
  <c r="K58" i="40"/>
  <c r="K37" i="40"/>
  <c r="I21" i="40"/>
  <c r="K108" i="40"/>
  <c r="K77" i="40"/>
  <c r="J12" i="40"/>
  <c r="I83" i="40"/>
  <c r="K95" i="40"/>
  <c r="I23" i="40"/>
  <c r="K80" i="40"/>
  <c r="J28" i="40"/>
  <c r="J97" i="40"/>
  <c r="K35" i="40"/>
  <c r="I87" i="40"/>
  <c r="I64" i="40"/>
  <c r="J26" i="40"/>
  <c r="I77" i="40"/>
  <c r="J41" i="40"/>
  <c r="K102" i="40"/>
  <c r="I94" i="40"/>
  <c r="I93" i="40"/>
  <c r="J24" i="40"/>
  <c r="I105" i="40"/>
  <c r="K106" i="40"/>
  <c r="I56" i="40"/>
  <c r="K90" i="40"/>
  <c r="I89" i="40"/>
  <c r="K86" i="40"/>
  <c r="K20" i="40"/>
  <c r="J104" i="40"/>
  <c r="K88" i="40"/>
  <c r="I38" i="40"/>
  <c r="K50" i="40"/>
  <c r="K85" i="40"/>
  <c r="K70" i="40"/>
  <c r="J105" i="40"/>
  <c r="J15" i="40"/>
  <c r="J30" i="40"/>
  <c r="I30" i="40"/>
  <c r="J21" i="40"/>
  <c r="I47" i="40"/>
  <c r="K27" i="40"/>
  <c r="I84" i="40"/>
  <c r="K57" i="40"/>
  <c r="J52" i="40"/>
  <c r="I42" i="40"/>
  <c r="K82" i="40"/>
  <c r="I55" i="40"/>
  <c r="I65" i="40"/>
  <c r="J69" i="40"/>
  <c r="K15" i="40"/>
  <c r="K17" i="40"/>
  <c r="I104" i="40"/>
  <c r="I54" i="40"/>
  <c r="I50" i="40"/>
  <c r="J61" i="40"/>
  <c r="I13" i="40"/>
  <c r="J10" i="40"/>
  <c r="K64" i="40"/>
  <c r="I59" i="40"/>
  <c r="J7" i="40"/>
  <c r="J50" i="40"/>
  <c r="J40" i="40"/>
  <c r="J101" i="40"/>
  <c r="K23" i="40"/>
  <c r="I33" i="40"/>
  <c r="K6" i="40"/>
  <c r="J99" i="40"/>
  <c r="K84" i="40"/>
  <c r="I71" i="40"/>
  <c r="K12" i="40"/>
  <c r="J71" i="40"/>
  <c r="K30" i="40"/>
  <c r="K39" i="40"/>
  <c r="K100" i="40"/>
  <c r="J65" i="40"/>
  <c r="I11" i="40"/>
  <c r="I7" i="40"/>
  <c r="K7" i="40"/>
  <c r="I9" i="40"/>
  <c r="J5" i="40"/>
  <c r="J75" i="40"/>
  <c r="J62" i="40"/>
  <c r="J108" i="40"/>
  <c r="J70" i="40"/>
  <c r="I109" i="40"/>
  <c r="J98" i="40"/>
  <c r="K38" i="40"/>
  <c r="K46" i="40"/>
  <c r="J43" i="40"/>
  <c r="K18" i="40"/>
  <c r="J64" i="40"/>
  <c r="J9" i="40"/>
  <c r="K89" i="40"/>
  <c r="J47" i="40"/>
  <c r="J109" i="40"/>
  <c r="I49" i="40"/>
  <c r="I73" i="40"/>
  <c r="I27" i="40"/>
  <c r="J36" i="40"/>
  <c r="I20" i="40"/>
  <c r="J22" i="40"/>
  <c r="K91" i="40"/>
  <c r="I53" i="40"/>
  <c r="I92" i="40"/>
  <c r="K56" i="40"/>
  <c r="I57" i="40"/>
  <c r="K14" i="40"/>
  <c r="J107" i="40"/>
  <c r="K60" i="40"/>
  <c r="J73" i="40"/>
  <c r="K24" i="40"/>
  <c r="I66" i="40"/>
  <c r="I35" i="40"/>
  <c r="J87" i="40"/>
  <c r="I90" i="40"/>
  <c r="J14" i="40"/>
  <c r="I29" i="40"/>
  <c r="I68" i="40"/>
  <c r="J49" i="40"/>
  <c r="J29" i="40"/>
  <c r="K45" i="40"/>
  <c r="K48" i="40"/>
  <c r="K99" i="40"/>
  <c r="J68" i="40"/>
  <c r="J100" i="40"/>
  <c r="I18" i="40"/>
  <c r="K87" i="40"/>
  <c r="K52" i="40"/>
  <c r="K83" i="40"/>
  <c r="J102" i="40"/>
  <c r="J80" i="40"/>
  <c r="I51" i="40"/>
  <c r="K76" i="40"/>
  <c r="J63" i="40"/>
  <c r="K69" i="40"/>
  <c r="K29" i="40"/>
  <c r="J85" i="40"/>
  <c r="J93" i="40"/>
  <c r="K44" i="40"/>
  <c r="K8" i="40"/>
  <c r="J78" i="40"/>
  <c r="K32" i="40"/>
  <c r="J34" i="40"/>
  <c r="I14" i="40"/>
  <c r="K33" i="40"/>
  <c r="J74" i="40"/>
  <c r="K78" i="40"/>
  <c r="K53" i="40"/>
  <c r="J18" i="40"/>
  <c r="I41" i="40"/>
  <c r="I96" i="40"/>
  <c r="J16" i="40"/>
  <c r="I43" i="40"/>
  <c r="I78" i="40"/>
  <c r="K40" i="40"/>
  <c r="J95" i="40"/>
  <c r="I74" i="40"/>
  <c r="J46" i="40"/>
  <c r="I10" i="40"/>
  <c r="J57" i="40"/>
  <c r="I12" i="40"/>
  <c r="I72" i="40"/>
  <c r="I45" i="40"/>
  <c r="I17" i="40"/>
  <c r="J94" i="40"/>
  <c r="K97" i="40"/>
  <c r="J81" i="40"/>
  <c r="K43" i="40"/>
  <c r="I82" i="40"/>
  <c r="I19" i="40"/>
  <c r="J31" i="40"/>
  <c r="I26" i="40"/>
  <c r="I22" i="40"/>
  <c r="K98" i="40"/>
  <c r="J35" i="40"/>
  <c r="I108" i="40"/>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J24" i="48"/>
  <c r="J28" i="48"/>
  <c r="I30" i="48"/>
  <c r="I36" i="48"/>
  <c r="E17" i="48"/>
  <c r="E15" i="48"/>
  <c r="I38" i="48"/>
  <c r="I25" i="48"/>
  <c r="J29" i="48"/>
  <c r="I35" i="48"/>
  <c r="J31" i="48"/>
  <c r="I27" i="48"/>
  <c r="J27" i="48"/>
  <c r="J34" i="48"/>
  <c r="J32" i="48"/>
  <c r="I34" i="48"/>
  <c r="J30" i="48"/>
  <c r="J38" i="48"/>
  <c r="I32" i="48"/>
  <c r="J33" i="48"/>
  <c r="J26" i="48"/>
  <c r="I26" i="48"/>
  <c r="I24" i="48"/>
  <c r="J35" i="48"/>
  <c r="I28" i="48"/>
  <c r="I31" i="48"/>
  <c r="I29" i="48"/>
  <c r="J25" i="48"/>
  <c r="J37" i="48"/>
  <c r="I33" i="48"/>
  <c r="I37" i="48"/>
  <c r="J36" i="48"/>
  <c r="E8" i="48"/>
  <c r="E16" i="48"/>
  <c r="A31" i="38"/>
  <c r="A46" i="6"/>
  <c r="A31" i="37"/>
  <c r="A32" i="37"/>
  <c r="A30" i="38"/>
  <c r="A45" i="6"/>
  <c r="A46" i="4"/>
  <c r="A45" i="4"/>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alcChain>
</file>

<file path=xl/sharedStrings.xml><?xml version="1.0" encoding="utf-8"?>
<sst xmlns="http://schemas.openxmlformats.org/spreadsheetml/2006/main" count="3917" uniqueCount="948">
  <si>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</si>
  <si>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</si>
  <si>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</si>
  <si>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</si>
  <si>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</si>
  <si>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</si>
  <si>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</si>
  <si>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</si>
  <si>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</si>
  <si>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</si>
  <si>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</si>
  <si>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</si>
  <si>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</si>
  <si>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</si>
  <si>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</si>
  <si>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</si>
  <si>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</si>
  <si>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</si>
  <si>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</si>
  <si>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</si>
  <si>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</si>
  <si>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</si>
  <si>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</si>
  <si>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</si>
  <si>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</si>
  <si>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</si>
  <si>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</si>
  <si>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</si>
  <si>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</si>
  <si>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</si>
  <si>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</si>
  <si>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</si>
  <si>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</si>
  <si>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</si>
  <si>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</si>
  <si>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</si>
  <si>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</si>
  <si>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</si>
  <si>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</si>
  <si>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</si>
  <si>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</si>
  <si>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</si>
  <si>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</si>
  <si>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</si>
  <si>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</si>
  <si>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</si>
  <si>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</si>
  <si>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</si>
  <si>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</si>
  <si>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</si>
  <si>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</si>
  <si>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</si>
  <si>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</si>
  <si>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</si>
  <si>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</si>
  <si>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</si>
  <si>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</si>
  <si>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</si>
  <si>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</si>
  <si>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</si>
  <si>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</si>
  <si>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</si>
  <si>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</si>
  <si>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</si>
  <si>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</si>
  <si>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</si>
  <si>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</si>
  <si>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</si>
  <si>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</si>
  <si>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</si>
  <si>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</si>
  <si>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</si>
  <si>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</si>
  <si>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</si>
  <si>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</si>
  <si>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</si>
  <si>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</si>
  <si>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</si>
  <si>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</si>
  <si>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</si>
  <si>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</si>
  <si>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</si>
  <si>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</si>
  <si>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</si>
  <si>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</si>
  <si>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</si>
  <si>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</si>
  <si>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</si>
  <si>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</si>
  <si>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</si>
  <si>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</si>
  <si>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</si>
  <si>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</si>
  <si>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</si>
  <si>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</si>
  <si>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</si>
  <si>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</si>
  <si>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</si>
  <si>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</si>
  <si>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</si>
  <si>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</si>
  <si>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</si>
  <si>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</si>
  <si>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</si>
  <si>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</si>
  <si>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</si>
  <si>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</si>
  <si>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</si>
  <si>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</si>
  <si>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</si>
  <si>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</si>
  <si>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</si>
  <si>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</si>
  <si>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</si>
  <si>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</si>
  <si>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</si>
  <si>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</si>
  <si>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</si>
  <si>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</si>
  <si>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</si>
  <si>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</si>
  <si>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</si>
  <si>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</si>
  <si>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</si>
  <si>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</si>
  <si>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</si>
  <si>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</si>
  <si>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</si>
  <si>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</si>
  <si>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</si>
  <si>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</si>
  <si>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</si>
  <si>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</si>
  <si>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</si>
  <si>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</si>
  <si>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</si>
  <si>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</si>
  <si>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</si>
  <si>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</si>
  <si>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</si>
  <si>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</si>
  <si>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</si>
  <si>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</si>
  <si>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</si>
  <si>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</si>
  <si>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</si>
  <si>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</si>
  <si>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</si>
  <si>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</si>
  <si>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</si>
  <si>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</si>
  <si>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</si>
  <si>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</si>
  <si>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</si>
  <si>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</si>
  <si>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</si>
  <si>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</si>
  <si>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</si>
  <si>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</si>
  <si>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</si>
  <si>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</si>
  <si>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</si>
  <si>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</si>
  <si>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</si>
  <si>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</si>
  <si>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</si>
  <si>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</si>
  <si>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</si>
  <si>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</si>
  <si>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</si>
  <si>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</si>
  <si>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</si>
  <si>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</si>
  <si>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</si>
  <si>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</si>
  <si>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</si>
  <si>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</si>
  <si>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</si>
  <si>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</si>
  <si>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</si>
  <si>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</si>
  <si>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</si>
  <si>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</si>
  <si>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</si>
  <si>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</si>
  <si>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</si>
  <si>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</si>
  <si>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</si>
  <si>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</si>
  <si>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</si>
  <si>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</si>
  <si>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</si>
  <si>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</si>
  <si>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</si>
  <si>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</si>
  <si>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</si>
  <si>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</si>
  <si>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</si>
  <si>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</si>
  <si>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</si>
  <si>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</si>
  <si>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</si>
  <si>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</si>
  <si>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</si>
  <si>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</si>
  <si>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</si>
  <si>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</si>
  <si>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</si>
  <si>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</si>
  <si>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</si>
  <si>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</si>
  <si>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</si>
  <si>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</si>
  <si>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</si>
  <si>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</si>
  <si>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</si>
  <si>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</si>
  <si>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</si>
  <si>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</si>
  <si>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</si>
  <si>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</si>
  <si>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</si>
  <si>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</si>
  <si>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</si>
  <si>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</si>
  <si>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</si>
  <si>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</si>
  <si>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</si>
  <si>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</si>
  <si>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</si>
  <si>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</si>
  <si>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</si>
  <si>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</si>
  <si>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</si>
  <si>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</si>
  <si>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</si>
  <si>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</si>
  <si>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</si>
  <si>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</si>
  <si>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</si>
  <si>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</si>
  <si>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</si>
  <si>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</si>
  <si>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</si>
  <si>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</si>
  <si>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</si>
  <si>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</si>
  <si>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</si>
  <si>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</si>
  <si>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</si>
  <si>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</si>
  <si>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</si>
  <si>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</si>
  <si>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</si>
  <si>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</si>
  <si>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</si>
  <si>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</si>
  <si>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</si>
  <si>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</si>
  <si>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</si>
  <si>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</si>
  <si>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</si>
  <si>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</si>
  <si>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</si>
  <si>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</si>
  <si>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</si>
  <si>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</si>
  <si>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</si>
  <si>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</si>
  <si>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</si>
  <si>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</si>
  <si>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</si>
  <si>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</si>
  <si>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</si>
  <si>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</si>
  <si>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</si>
  <si>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</si>
  <si>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</si>
  <si>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</si>
  <si>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</si>
  <si>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</si>
  <si>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</si>
  <si>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</si>
  <si>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</si>
  <si>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</si>
  <si>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</si>
  <si>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</si>
  <si>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</si>
  <si>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</si>
  <si>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</si>
  <si>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</si>
  <si>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</si>
  <si>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</si>
  <si>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</si>
  <si>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</si>
  <si>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</si>
  <si>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</si>
  <si>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</si>
  <si>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</si>
  <si>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</si>
  <si>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</si>
  <si>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</si>
  <si>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</si>
  <si>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</si>
  <si>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</si>
  <si>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</si>
  <si>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</si>
  <si>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</si>
  <si>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</si>
  <si>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</si>
  <si>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</si>
  <si>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</si>
  <si>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</si>
  <si>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</si>
  <si>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</si>
  <si>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</si>
  <si>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</si>
  <si>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</si>
  <si>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</si>
  <si>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</si>
  <si>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</si>
  <si>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</si>
  <si>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</si>
  <si>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</si>
  <si>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</si>
  <si>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</si>
  <si>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</si>
  <si>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</si>
  <si>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</si>
  <si>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</si>
  <si>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</si>
  <si>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</si>
  <si>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</si>
  <si>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</si>
  <si>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</si>
  <si>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</si>
  <si>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</si>
  <si>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</si>
  <si>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</si>
  <si>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</si>
  <si>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</si>
  <si>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</si>
  <si>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</si>
  <si>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</si>
  <si>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</si>
  <si>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</si>
  <si>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</si>
  <si>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</si>
  <si>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</si>
  <si>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</si>
  <si>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</si>
  <si>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</si>
  <si>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</si>
  <si>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</si>
  <si>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</si>
  <si>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</si>
  <si>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</si>
  <si>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</si>
  <si>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INDOIVCONT</t>
  </si>
  <si>
    <t>INDOTHERS</t>
  </si>
  <si>
    <t>PLAC_NORX</t>
  </si>
  <si>
    <t>r[,6]</t>
  </si>
  <si>
    <t>n[,6]</t>
  </si>
  <si>
    <t>r[,7]</t>
  </si>
  <si>
    <t>n[,7]</t>
  </si>
  <si>
    <t>r[,8]</t>
  </si>
  <si>
    <t>n[,8]</t>
  </si>
  <si>
    <t>r[,9]</t>
  </si>
  <si>
    <t>n[,9]</t>
  </si>
  <si>
    <t>r[,10]</t>
  </si>
  <si>
    <t>n[,10]</t>
  </si>
  <si>
    <t>t[,6]</t>
  </si>
  <si>
    <t>t[,7]</t>
  </si>
  <si>
    <t>t[,8]</t>
  </si>
  <si>
    <t>t[,9]</t>
  </si>
  <si>
    <t>t[,10]</t>
  </si>
  <si>
    <t>NA</t>
  </si>
  <si>
    <t>END</t>
  </si>
  <si>
    <t>INDOIV vs. IBUPO</t>
  </si>
  <si>
    <t>IBUIV vs. PLAC_NORX</t>
  </si>
  <si>
    <t>INDOIV vs. INDOTHERS</t>
  </si>
  <si>
    <t>INDOIV vs. PARAPO</t>
  </si>
  <si>
    <t>IBUPO vs. PLAC_NORX</t>
  </si>
  <si>
    <t>INDIVOTHERS</t>
  </si>
  <si>
    <t>PLACOTHERS</t>
  </si>
  <si>
    <t>list(NS=47, NT=10)</t>
  </si>
  <si>
    <t>IBUPO vs. PARAPO</t>
  </si>
  <si>
    <t>IBUIV vs. IBUPO</t>
  </si>
  <si>
    <t>INDOIV vs. INDOIVCONT</t>
  </si>
  <si>
    <t>INDOIV vs. PLAC_NORX</t>
  </si>
  <si>
    <t>IBUIV vs. INDOIVCONT</t>
  </si>
  <si>
    <t>IBUIV vs. IBUIVHIGHDOSE</t>
  </si>
  <si>
    <t>IBUPO vs. INDOTHERS</t>
  </si>
  <si>
    <t>INDOIV vs. IBUIV</t>
  </si>
  <si>
    <t>IBUIV vs. IBUIVCONT</t>
  </si>
  <si>
    <t>IBUPO vs. IBUPOHIGHDOSE</t>
  </si>
  <si>
    <t>INDOTHERS vs. PLAC_NORX</t>
  </si>
  <si>
    <t>display(log)</t>
  </si>
  <si>
    <t>data(C:/WinBUGS data/Inconsistency Data List.txt)</t>
  </si>
  <si>
    <t>data(C:/WinBUGS data/Inconsistency Data Table.txt)</t>
  </si>
  <si>
    <t>update(40000)</t>
  </si>
  <si>
    <t>stats(*)</t>
  </si>
  <si>
    <t>list(d=c(NA,1.5,0.5,0,1.5,1.5,2,2,1.5,1.5), sd=1.5, mu=c(1.5,2,1.5,1,1.5,0,0.5,1,2,0.5,1,0.5,0.5,1,1.5,2,1,1.5,0,1,1,1,0.5,1,0.5,1.5,2,1,1,1.5,0,0.5,1.5,0,1,1.5,0,1,0.5,0.5,1,1.5,0.5,0.5,0.5,0.5,0.5))</t>
  </si>
  <si>
    <t>list(d=c(NA,1,0.5,1.5,0,1.5,1.5,0.5,0,1.5), sd=1.5, mu=c(1.5,2,2,0,0,0,0,0.5,1,0.5,1,1.5,1,2,1,1.5,0,2,1,1.5,1,0.5,2,0.5,1,1,1.5,0,1.5,0,0,0,1,0.5,0.5,2,1.5,1,0,2,0.5,0.5,0,1.5,1,0,1.5))</t>
  </si>
  <si>
    <t>list(d=c(NA,1,1.5,1.5,1,0.5,0,1,1,1.5), sd=1.5, mu=c(1,0.5,0.5,2,1,1.5,0.5,2,0.5,1.5,1.5,0.5,0,0.5,0.5,1.5,1,1.5,2,1,0.5,0,0,1,0.5,0.5,1,1.5,1,0.5,0.5,1,1.5,1.5,0.5,1,1,0.5,1,0,1.5,1.5,0,0.5,0.5,1,1))</t>
  </si>
  <si>
    <t>list(d=c(NA,1.5,1,1,2,0.5,2,0.5,1,2), var=1.5, mu=c(1,1,1,0.5,1.5,0.5,1,0.5,0.5,1,1.5,0,1,0,1.5,0.5,1.5,1.5,1.5,1,1.5,1.5,1,1.5,0.5,2,2,1,0.5,1,1,1.5,0.5,1.5,1.5,2,2,0,1.5,0.5,1,1.5,0.5,0.5,1,1,1.5))</t>
  </si>
  <si>
    <t>list(d=c(NA,2,0,2,1,1,0.5,1,1,1.5), var=2, mu=c(1.5,1,1,1,2,0.5,0.5,2,1.5,1.5,0.5,0,1,0.5,1,1,1,0,0,0.5,1.5,0.5,2,0.5,0,1,0.5,0.5,1,2,1.5,1.5,0.5,0,1.5,1.5,2,2,1,0.5,0,1.5,2,1.5,0.5,0.5,1))</t>
  </si>
  <si>
    <t>list(d=c(NA,0.5,1.5,0,0.5,0.5,0,2,1.5,1.5), var=1.5, mu=c(0.5,1.5,1,1,0.5,0.5,1,1,1.5,0.5,2,1.5,0,0,1,1.5,2,1.5,1,2,1,0.5,0,0,1,1,1,1,2,1.5,0,1,0.5,1,0.5,1.5,1,1.5,0,1,0.5,1,0.5,0.5,2,1,2))</t>
  </si>
  <si>
    <t>list(d=c(NA,1,0.5,0.5,1.5,1,1,0.5,1.5,2), mu=c(0,1,0.5,1,1,0.5,0,1.5,2,1,1,1,0,1,1,0.5,1.5,0,0.5,1,0.5,1.5,1,1,0.5,1,0,2,1.5,2,1.5,1.5,0.5,0.5,0.5,1.5,1.5,1.5,1,2,2,0,1.5,0.5,1.5,1,1.5))</t>
  </si>
  <si>
    <t>list(d=c(NA,0.5,0.5,0,0.5,1.5,0,1.5,0.5,0.5), mu=c(2,2,1.5,1.5,1,1,2,2,1.5,1.5,0.5,0.5,0.5,0.5,0,1.5,0.5,0.5,2,1.5,0,1.5,1,0.5,1,1,1,2,1,0.5,0,0,1,0.5,1,1,1,1,1.5,0.5,0.5,0.5,1,1,0,0,1))</t>
  </si>
  <si>
    <t>list(d=c(NA,1.5,0.5,1.5,1.5,1.5,1,0.5,1,2), mu=c(1.5,1,0,0.5,1,0.5,0,0.5,1,1.5,0.5,1,1.5,2,1,2,0,1,1.5,0.5,1.5,0.5,1.5,0.5,0.5,1,0.5,2,1.5,0.5,0.5,0,1,1.5,1,1.5,2,0.5,1,1.5,0.5,2,1,1.5,1,1,1))</t>
  </si>
  <si>
    <t>model is syntactically correct</t>
  </si>
  <si>
    <t>data(C:/WinBUGS data/Data List.txt)</t>
  </si>
  <si>
    <t>data loaded</t>
  </si>
  <si>
    <t>data(C:/WinBUGS data/Data Table.txt)</t>
  </si>
  <si>
    <t>model compiled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</si>
  <si>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</si>
  <si>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</si>
  <si>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</si>
  <si>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</si>
  <si>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</si>
  <si>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</si>
  <si>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</si>
  <si>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</si>
  <si>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</si>
  <si>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</si>
  <si>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</si>
  <si>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</si>
  <si>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</si>
  <si>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</si>
  <si>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</si>
  <si>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</si>
  <si>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</si>
  <si>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</si>
  <si>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</si>
  <si>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</si>
  <si>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</si>
  <si>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</si>
  <si>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OR[1,9]</t>
  </si>
  <si>
    <t>OR[1,10]</t>
  </si>
  <si>
    <t>OR[2,3]</t>
  </si>
  <si>
    <t>OR[2,4]</t>
  </si>
  <si>
    <t>OR[2,5]</t>
  </si>
  <si>
    <t>OR[2,6]</t>
  </si>
  <si>
    <t>OR[2,7]</t>
  </si>
  <si>
    <t>OR[2,8]</t>
  </si>
  <si>
    <t>OR[2,9]</t>
  </si>
  <si>
    <t>OR[2,10]</t>
  </si>
  <si>
    <t>OR[3,4]</t>
  </si>
  <si>
    <t>OR[3,5]</t>
  </si>
  <si>
    <t>OR[3,6]</t>
  </si>
  <si>
    <t>OR[3,7]</t>
  </si>
  <si>
    <t>OR[3,8]</t>
  </si>
  <si>
    <t>OR[3,9]</t>
  </si>
  <si>
    <t>OR[3,10]</t>
  </si>
  <si>
    <t>OR[4,5]</t>
  </si>
  <si>
    <t>OR[4,6]</t>
  </si>
  <si>
    <t>OR[4,7]</t>
  </si>
  <si>
    <t>OR[4,8]</t>
  </si>
  <si>
    <t>OR[4,9]</t>
  </si>
  <si>
    <t>OR[4,10]</t>
  </si>
  <si>
    <t>OR[5,6]</t>
  </si>
  <si>
    <t>OR[5,7]</t>
  </si>
  <si>
    <t>OR[5,8]</t>
  </si>
  <si>
    <t>OR[5,9]</t>
  </si>
  <si>
    <t>OR[5,10]</t>
  </si>
  <si>
    <t>OR[6,7]</t>
  </si>
  <si>
    <t>OR[6,8]</t>
  </si>
  <si>
    <t>OR[6,9]</t>
  </si>
  <si>
    <t>OR[6,10]</t>
  </si>
  <si>
    <t>OR[7,8]</t>
  </si>
  <si>
    <t>OR[7,9]</t>
  </si>
  <si>
    <t>OR[7,10]</t>
  </si>
  <si>
    <t>OR[8,9]</t>
  </si>
  <si>
    <t>OR[8,10]</t>
  </si>
  <si>
    <t>OR[9,10]</t>
  </si>
  <si>
    <t>SUCRA[1]</t>
  </si>
  <si>
    <t>SUCRA[2]</t>
  </si>
  <si>
    <t>SUCRA[3]</t>
  </si>
  <si>
    <t>SUCRA[4]</t>
  </si>
  <si>
    <t>SUCRA[5]</t>
  </si>
  <si>
    <t>SUCRA[6]</t>
  </si>
  <si>
    <t>SUCRA[7]</t>
  </si>
  <si>
    <t>SUCRA[8]</t>
  </si>
  <si>
    <t>SUCRA[9]</t>
  </si>
  <si>
    <t>SUCRA[10]</t>
  </si>
  <si>
    <t>best[1]</t>
  </si>
  <si>
    <t>best[2]</t>
  </si>
  <si>
    <t>best[3]</t>
  </si>
  <si>
    <t>best[4]</t>
  </si>
  <si>
    <t>best[5]</t>
  </si>
  <si>
    <t>best[6]</t>
  </si>
  <si>
    <t>best[7]</t>
  </si>
  <si>
    <t>best[8]</t>
  </si>
  <si>
    <t>best[9]</t>
  </si>
  <si>
    <t>best[10]</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</si>
  <si>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</si>
  <si>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</si>
  <si>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</si>
  <si>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</si>
  <si>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</si>
  <si>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</si>
  <si>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</si>
  <si>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</si>
  <si>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</si>
  <si>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</si>
  <si>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</si>
  <si>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</si>
  <si>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</si>
  <si>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</si>
  <si>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</si>
  <si>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</si>
  <si>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</si>
  <si>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</si>
  <si>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</si>
  <si>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</si>
  <si>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</si>
  <si>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</si>
  <si>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</si>
  <si>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</si>
  <si>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</si>
  <si>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</si>
  <si>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</si>
  <si>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</si>
  <si>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</si>
  <si>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</si>
  <si>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</si>
  <si>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</si>
  <si>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</si>
  <si>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</si>
  <si>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</si>
  <si>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</si>
  <si>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</si>
  <si>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</si>
  <si>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dev[20,1]</t>
  </si>
  <si>
    <t>dev[20,2]</t>
  </si>
  <si>
    <t>dev[21,1]</t>
  </si>
  <si>
    <t>dev[21,2]</t>
  </si>
  <si>
    <t>dev[22,1]</t>
  </si>
  <si>
    <t>dev[22,2]</t>
  </si>
  <si>
    <t>dev[23,1]</t>
  </si>
  <si>
    <t>dev[23,2]</t>
  </si>
  <si>
    <t>dev[24,1]</t>
  </si>
  <si>
    <t>dev[24,2]</t>
  </si>
  <si>
    <t>dev[25,1]</t>
  </si>
  <si>
    <t>dev[25,2]</t>
  </si>
  <si>
    <t>dev[26,1]</t>
  </si>
  <si>
    <t>dev[26,2]</t>
  </si>
  <si>
    <t>dev[27,1]</t>
  </si>
  <si>
    <t>dev[27,2]</t>
  </si>
  <si>
    <t>dev[28,1]</t>
  </si>
  <si>
    <t>dev[28,2]</t>
  </si>
  <si>
    <t>dev[29,1]</t>
  </si>
  <si>
    <t>dev[29,2]</t>
  </si>
  <si>
    <t>dev[30,1]</t>
  </si>
  <si>
    <t>dev[30,2]</t>
  </si>
  <si>
    <t>dev[31,1]</t>
  </si>
  <si>
    <t>dev[31,2]</t>
  </si>
  <si>
    <t>dev[32,1]</t>
  </si>
  <si>
    <t>dev[32,2]</t>
  </si>
  <si>
    <t>dev[33,1]</t>
  </si>
  <si>
    <t>dev[33,2]</t>
  </si>
  <si>
    <t>dev[34,1]</t>
  </si>
  <si>
    <t>dev[34,2]</t>
  </si>
  <si>
    <t>dev[35,1]</t>
  </si>
  <si>
    <t>dev[35,2]</t>
  </si>
  <si>
    <t>dev[36,1]</t>
  </si>
  <si>
    <t>dev[36,2]</t>
  </si>
  <si>
    <t>dev[37,1]</t>
  </si>
  <si>
    <t>dev[37,2]</t>
  </si>
  <si>
    <t>dev[38,1]</t>
  </si>
  <si>
    <t>dev[38,2]</t>
  </si>
  <si>
    <t>dev[39,1]</t>
  </si>
  <si>
    <t>dev[39,2]</t>
  </si>
  <si>
    <t>dev[40,1]</t>
  </si>
  <si>
    <t>dev[40,2]</t>
  </si>
  <si>
    <t>dev[41,1]</t>
  </si>
  <si>
    <t>dev[41,2]</t>
  </si>
  <si>
    <t>dev[42,1]</t>
  </si>
  <si>
    <t>dev[42,2]</t>
  </si>
  <si>
    <t>dev[43,1]</t>
  </si>
  <si>
    <t>dev[43,2]</t>
  </si>
  <si>
    <t>dev[44,1]</t>
  </si>
  <si>
    <t>dev[44,2]</t>
  </si>
  <si>
    <t>dev[45,1]</t>
  </si>
  <si>
    <t>dev[45,2]</t>
  </si>
  <si>
    <t>dev[46,1]</t>
  </si>
  <si>
    <t>dev[46,2]</t>
  </si>
  <si>
    <t>dev[47,1]</t>
  </si>
  <si>
    <t>dev[47,2]</t>
  </si>
  <si>
    <t>prob[1,1]</t>
  </si>
  <si>
    <t>prob[1,2]</t>
  </si>
  <si>
    <t>prob[1,3]</t>
  </si>
  <si>
    <t>prob[1,4]</t>
  </si>
  <si>
    <t>prob[1,5]</t>
  </si>
  <si>
    <t>prob[1,6]</t>
  </si>
  <si>
    <t>prob[1,7]</t>
  </si>
  <si>
    <t>prob[1,8]</t>
  </si>
  <si>
    <t>prob[1,9]</t>
  </si>
  <si>
    <t>prob[1,10]</t>
  </si>
  <si>
    <t>prob[2,1]</t>
  </si>
  <si>
    <t>prob[2,2]</t>
  </si>
  <si>
    <t>prob[2,3]</t>
  </si>
  <si>
    <t>prob[2,4]</t>
  </si>
  <si>
    <t>prob[2,5]</t>
  </si>
  <si>
    <t>prob[2,6]</t>
  </si>
  <si>
    <t>prob[2,7]</t>
  </si>
  <si>
    <t>prob[2,8]</t>
  </si>
  <si>
    <t>prob[2,9]</t>
  </si>
  <si>
    <t>prob[2,10]</t>
  </si>
  <si>
    <t>prob[3,1]</t>
  </si>
  <si>
    <t>prob[3,2]</t>
  </si>
  <si>
    <t>prob[3,3]</t>
  </si>
  <si>
    <t>prob[3,4]</t>
  </si>
  <si>
    <t>prob[3,5]</t>
  </si>
  <si>
    <t>prob[3,6]</t>
  </si>
  <si>
    <t>prob[3,7]</t>
  </si>
  <si>
    <t>prob[3,8]</t>
  </si>
  <si>
    <t>prob[3,9]</t>
  </si>
  <si>
    <t>prob[3,10]</t>
  </si>
  <si>
    <t>prob[4,1]</t>
  </si>
  <si>
    <t>prob[4,2]</t>
  </si>
  <si>
    <t>prob[4,3]</t>
  </si>
  <si>
    <t>prob[4,4]</t>
  </si>
  <si>
    <t>prob[4,5]</t>
  </si>
  <si>
    <t>prob[4,6]</t>
  </si>
  <si>
    <t>prob[4,7]</t>
  </si>
  <si>
    <t>prob[4,8]</t>
  </si>
  <si>
    <t>prob[4,9]</t>
  </si>
  <si>
    <t>prob[4,10]</t>
  </si>
  <si>
    <t>prob[5,1]</t>
  </si>
  <si>
    <t>prob[5,2]</t>
  </si>
  <si>
    <t>prob[5,3]</t>
  </si>
  <si>
    <t>prob[5,4]</t>
  </si>
  <si>
    <t>prob[5,5]</t>
  </si>
  <si>
    <t>prob[5,6]</t>
  </si>
  <si>
    <t>prob[5,7]</t>
  </si>
  <si>
    <t>prob[5,8]</t>
  </si>
  <si>
    <t>prob[5,9]</t>
  </si>
  <si>
    <t>prob[5,10]</t>
  </si>
  <si>
    <t>prob[6,1]</t>
  </si>
  <si>
    <t>prob[6,2]</t>
  </si>
  <si>
    <t>prob[6,3]</t>
  </si>
  <si>
    <t>prob[6,4]</t>
  </si>
  <si>
    <t>prob[6,5]</t>
  </si>
  <si>
    <t>prob[6,6]</t>
  </si>
  <si>
    <t>prob[6,7]</t>
  </si>
  <si>
    <t>prob[6,8]</t>
  </si>
  <si>
    <t>prob[6,9]</t>
  </si>
  <si>
    <t>prob[6,10]</t>
  </si>
  <si>
    <t>prob[7,1]</t>
  </si>
  <si>
    <t>prob[7,2]</t>
  </si>
  <si>
    <t>prob[7,3]</t>
  </si>
  <si>
    <t>prob[7,4]</t>
  </si>
  <si>
    <t>prob[7,5]</t>
  </si>
  <si>
    <t>prob[7,6]</t>
  </si>
  <si>
    <t>prob[7,7]</t>
  </si>
  <si>
    <t>prob[7,8]</t>
  </si>
  <si>
    <t>prob[7,9]</t>
  </si>
  <si>
    <t>prob[7,10]</t>
  </si>
  <si>
    <t>prob[8,1]</t>
  </si>
  <si>
    <t>prob[8,2]</t>
  </si>
  <si>
    <t>prob[8,3]</t>
  </si>
  <si>
    <t>prob[8,4]</t>
  </si>
  <si>
    <t>prob[8,5]</t>
  </si>
  <si>
    <t>prob[8,6]</t>
  </si>
  <si>
    <t>prob[8,7]</t>
  </si>
  <si>
    <t>prob[8,8]</t>
  </si>
  <si>
    <t>prob[8,9]</t>
  </si>
  <si>
    <t>prob[8,10]</t>
  </si>
  <si>
    <t>prob[9,1]</t>
  </si>
  <si>
    <t>prob[9,2]</t>
  </si>
  <si>
    <t>prob[9,3]</t>
  </si>
  <si>
    <t>prob[9,4]</t>
  </si>
  <si>
    <t>prob[9,5]</t>
  </si>
  <si>
    <t>prob[9,6]</t>
  </si>
  <si>
    <t>prob[9,7]</t>
  </si>
  <si>
    <t>prob[9,8]</t>
  </si>
  <si>
    <t>prob[9,9]</t>
  </si>
  <si>
    <t>prob[9,10]</t>
  </si>
  <si>
    <t>prob[10,1]</t>
  </si>
  <si>
    <t>prob[10,2]</t>
  </si>
  <si>
    <t>prob[10,3]</t>
  </si>
  <si>
    <t>prob[10,4]</t>
  </si>
  <si>
    <t>prob[10,5]</t>
  </si>
  <si>
    <t>prob[10,6]</t>
  </si>
  <si>
    <t>prob[10,7]</t>
  </si>
  <si>
    <t>prob[10,8]</t>
  </si>
  <si>
    <t>prob[10,9]</t>
  </si>
  <si>
    <t>prob[10,10]</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</si>
  <si>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</si>
  <si>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</si>
  <si>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</si>
  <si>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</si>
  <si>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</si>
  <si>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</si>
  <si>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</si>
  <si>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</si>
  <si>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</si>
  <si>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</si>
  <si>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</si>
  <si>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</si>
  <si>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</si>
  <si>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</si>
  <si>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</si>
  <si>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</si>
  <si>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</si>
  <si>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</si>
  <si>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</si>
  <si>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resdev[20]</t>
  </si>
  <si>
    <t>resdev[21]</t>
  </si>
  <si>
    <t>resdev[22]</t>
  </si>
  <si>
    <t>resdev[23]</t>
  </si>
  <si>
    <t>resdev[24]</t>
  </si>
  <si>
    <t>resdev[25]</t>
  </si>
  <si>
    <t>resdev[26]</t>
  </si>
  <si>
    <t>resdev[27]</t>
  </si>
  <si>
    <t>resdev[28]</t>
  </si>
  <si>
    <t>resdev[29]</t>
  </si>
  <si>
    <t>resdev[30]</t>
  </si>
  <si>
    <t>resdev[31]</t>
  </si>
  <si>
    <t>resdev[32]</t>
  </si>
  <si>
    <t>resdev[33]</t>
  </si>
  <si>
    <t>resdev[34]</t>
  </si>
  <si>
    <t>resdev[35]</t>
  </si>
  <si>
    <t>resdev[36]</t>
  </si>
  <si>
    <t>resdev[37]</t>
  </si>
  <si>
    <t>resdev[38]</t>
  </si>
  <si>
    <t>resdev[39]</t>
  </si>
  <si>
    <t>resdev[40]</t>
  </si>
  <si>
    <t>resdev[41]</t>
  </si>
  <si>
    <t>resdev[42]</t>
  </si>
  <si>
    <t>resdev[43]</t>
  </si>
  <si>
    <t>resdev[44]</t>
  </si>
  <si>
    <t>resdev[45]</t>
  </si>
  <si>
    <t>resdev[46]</t>
  </si>
  <si>
    <t>resdev[47]</t>
  </si>
  <si>
    <t>rk[1]</t>
  </si>
  <si>
    <t>rk[2]</t>
  </si>
  <si>
    <t>rk[3]</t>
  </si>
  <si>
    <t>rk[4]</t>
  </si>
  <si>
    <t>rk[5]</t>
  </si>
  <si>
    <t>rk[6]</t>
  </si>
  <si>
    <t>rk[7]</t>
  </si>
  <si>
    <t>rk[8]</t>
  </si>
  <si>
    <t>rk[9]</t>
  </si>
  <si>
    <t>rk[10]</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</si>
  <si>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</si>
  <si>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</si>
  <si>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</si>
  <si>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</si>
  <si>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</si>
  <si>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</si>
  <si>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</si>
  <si>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</si>
  <si>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</si>
  <si>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</si>
  <si>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</si>
  <si>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</si>
  <si>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</si>
  <si>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</si>
  <si>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</si>
  <si>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</si>
  <si>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</si>
  <si>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IBUPOHIGHDOSE versus INDOIV</t>
  </si>
  <si>
    <t>IBUIVCONT versus INDOIV</t>
  </si>
  <si>
    <t>INDOIVCONT versus INDOIV</t>
  </si>
  <si>
    <t>INDOTHERS versus INDOIV</t>
  </si>
  <si>
    <t>PLAC_NORX versus INDOIV</t>
  </si>
  <si>
    <t>IBUPO versus IBUIV</t>
  </si>
  <si>
    <t>PARAPO versus IBUIV</t>
  </si>
  <si>
    <t>IBUIVHIGHDOSE versus IBUIV</t>
  </si>
  <si>
    <t>IBUPOHIGHDOSE versus IBUIV</t>
  </si>
  <si>
    <t>IBUIVCONT versus IBUIV</t>
  </si>
  <si>
    <t>INDOIVCONT versus IBUIV</t>
  </si>
  <si>
    <t>INDOTHERS versus IBUIV</t>
  </si>
  <si>
    <t>PLAC_NORX versus IBUIV</t>
  </si>
  <si>
    <t>PARAPO versus IBUPO</t>
  </si>
  <si>
    <t>IBUIVHIGHDOSE versus IBUPO</t>
  </si>
  <si>
    <t>IBUPOHIGHDOSE versus IBUPO</t>
  </si>
  <si>
    <t>IBUIVCONT versus IBUPO</t>
  </si>
  <si>
    <t>INDOIVCONT versus IBUPO</t>
  </si>
  <si>
    <t>INDOTHERS versus IBUPO</t>
  </si>
  <si>
    <t>PLAC_NORX versus IBUPO</t>
  </si>
  <si>
    <t>IBUIVHIGHDOSE versus PARAPO</t>
  </si>
  <si>
    <t>IBUPOHIGHDOSE versus PARAPO</t>
  </si>
  <si>
    <t>IBUIVCONT versus PARAPO</t>
  </si>
  <si>
    <t>INDOIVCONT versus PARAPO</t>
  </si>
  <si>
    <t>INDOTHERS versus PARAPO</t>
  </si>
  <si>
    <t>PLAC_NORX versus PARAPO</t>
  </si>
  <si>
    <t>IBUPOHIGHDOSE versus IBUIVHIGHDOSE</t>
  </si>
  <si>
    <t>IBUIVCONT versus IBUIVHIGHDOSE</t>
  </si>
  <si>
    <t>INDOIVCONT versus IBUIVHIGHDOSE</t>
  </si>
  <si>
    <t>INDOTHERS versus IBUIVHIGHDOSE</t>
  </si>
  <si>
    <t>PLAC_NORX versus IBUIVHIGHDOSE</t>
  </si>
  <si>
    <t>IBUIVCONT versus IBUPOHIGHDOSE</t>
  </si>
  <si>
    <t>INDOIVCONT versus IBUPOHIGHDOSE</t>
  </si>
  <si>
    <t>INDOTHERS versus IBUPOHIGHDOSE</t>
  </si>
  <si>
    <t>PLAC_NORX versus IBUPOHIGHDOSE</t>
  </si>
  <si>
    <t>INDOIVCONT versus IBUIVCONT</t>
  </si>
  <si>
    <t>INDOTHERS versus IBUIVCONT</t>
  </si>
  <si>
    <t>PLAC_NORX versus IBUIVCONT</t>
  </si>
  <si>
    <t>INDOTHERS versus INDOIVCONT</t>
  </si>
  <si>
    <t>PLAC_NORX versus INDOIVCONT</t>
  </si>
  <si>
    <t>PLAC_NORX versus INDOTHERS</t>
  </si>
  <si>
    <t>IBUPOHIGHDOSE versus INDOTHERS</t>
  </si>
  <si>
    <t>IBUPOHIGHDOSE versus INDOIVCONT</t>
  </si>
  <si>
    <t>IBUPOHIGHDOSE versus IBUIVCONT</t>
  </si>
  <si>
    <t>IBUPOHIGHDOSE versus PLAC_NORX</t>
  </si>
  <si>
    <t>IBUIVHIGHDOSE versus INDOTHERS</t>
  </si>
  <si>
    <t>IBUIVHIGHDOSE versus INDOIVCONT</t>
  </si>
  <si>
    <t>IBUIVHIGHDOSE versus IBUIVCONT</t>
  </si>
  <si>
    <t>IBUIVHIGHDOSE versus PLAC_NORX</t>
  </si>
  <si>
    <t>PARAPO versus INDOTHERS</t>
  </si>
  <si>
    <t>PARAPO versus INDOIVCONT</t>
  </si>
  <si>
    <t>PARAPO versus IBUIVCONT</t>
  </si>
  <si>
    <t>PARAPO versus PLAC_NORX</t>
  </si>
  <si>
    <t>IBUPO versus INDOTHERS</t>
  </si>
  <si>
    <t>IBUPO versus INDOIVCONT</t>
  </si>
  <si>
    <t>IBUPO versus IBUIVCONT</t>
  </si>
  <si>
    <t>IBUPO versus PLAC_NORX</t>
  </si>
  <si>
    <t>INDOIV versus INDOTHERS</t>
  </si>
  <si>
    <t>INDOIV versus INDOIVCONT</t>
  </si>
  <si>
    <t>INDOIV versus IBUIV</t>
  </si>
  <si>
    <t>INDOIV versus IBUIVCONT</t>
  </si>
  <si>
    <t>INDOIV versus PLAC_NORX</t>
  </si>
  <si>
    <t>INDOTHERS versus PLAC_NORX</t>
  </si>
  <si>
    <t>INDOIVCONT versus PLAC_NORX</t>
  </si>
  <si>
    <t>IBUIV versus IBUIVCONT</t>
  </si>
  <si>
    <t>IBUIV versus PLAC_NORX</t>
  </si>
  <si>
    <t>IBUIVCONT versus PLAC_NORX</t>
  </si>
  <si>
    <t>OR &gt;1 Means the Treatment in Top Left is Better</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</si>
  <si>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</si>
  <si>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</si>
  <si>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</si>
  <si>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</si>
  <si>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</si>
  <si>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</si>
  <si>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</si>
  <si>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list(mu=c(2,1,0.5,0.5,1,1,1,0.5,1,0.5,1.5,1.5,1.5,1,1.5,2,0,1.5,1,1,0.5,1,1.5,1.5,1.5,0,1.5,0.5,0.5,1.5,1.5,0.5,0.5,1.5,1.5,1,2,1,0,0.5,1.5,1.5,1,0,1,0.5,0.5), d= structure(.Data = c(NA,1,0.5,1.5,1.5,0.5,1,1.5,0.5,1, NA,NA,0.5,1,1,0.5,0,1,1.5,2, NA,NA,NA,1.5,0.5,1.5,0.5,1,0,0, NA,NA,NA,NA,0.5,0.5,0.5,0.5,1,0.5, NA,NA,NA,NA,NA,1,2,0,1.5,0.5, NA,NA,NA,NA,NA,NA,1,1.5,1,1.5, NA,NA,NA,NA,NA,NA,NA,1,1.5,2, NA,NA,NA,NA,NA,NA,NA,NA,1,0.5, NA,NA,NA,NA,NA,NA,NA,NA,NA,1.5, NA,NA,NA,NA,NA,NA,NA,NA,NA,NA), .Dim =c(10, 10)))</t>
  </si>
  <si>
    <t>list(mu=c(2,1,0.5,1,1.5,0,1,2,1,0,2,1.5,1,2,0,0,0.5,0,0.5,1.5,0,1.5,1.5,1.5,0.5,0.5,0.5,2,1.5,1.5,1.5,0.5,0.5,0.5,1.5,0.5,1.5,1,1.5,0,0.5,1,0.5,2,0.5,1.5,0), d= structure(.Data = c(NA,1,0.5,1.5,1,2,1,1.5,1,0.5, NA,NA,2,1,0.5,0.5,1,1,0.5,0, NA,NA,NA,1.5,1,1,0.5,1,1.5,0.5, NA,NA,NA,NA,1.5,0.5,1,1.5,0,0.5, NA,NA,NA,NA,NA,0.5,1,0.5,2,2, NA,NA,NA,NA,NA,NA,1,1.5,1.5,1, NA,NA,NA,NA,NA,NA,NA,1.5,2,2, NA,NA,NA,NA,NA,NA,NA,NA,1.5,1.5, NA,NA,NA,NA,NA,NA,NA,NA,NA,0.5, NA,NA,NA,NA,NA,NA,NA,NA,NA,NA), .Dim =c(10, 10)))</t>
  </si>
  <si>
    <t>list(mu=c(1,0,0,1,0,0.5,1,1.5,1.5,0.5,0.5,0,0.5,2,1.5,2,1,0,1,1,1,1,1,1.5,1.5,2,0.5,0.5,1.5,0.5,2,1,1,0,1.5,1,1,1.5,2,1,1,1.5,0.5,0.5,1.5,0.5,1), d= structure(.Data = c(NA,0,0.5,2,1,0.5,1.5,1.5,1,1, NA,NA,1,0,1.5,1,1.5,0.5,0,1, NA,NA,NA,1.5,1.5,1,1.5,1.5,0.5,2, NA,NA,NA,NA,0.5,0.5,1,1,0,1, NA,NA,NA,NA,NA,1.5,1,0.5,0.5,0.5, NA,NA,NA,NA,NA,NA,1,0,0.5,1.5, NA,NA,NA,NA,NA,NA,NA,0.5,0.5,1.5, NA,NA,NA,NA,NA,NA,NA,NA,1,1, NA,NA,NA,NA,NA,NA,NA,NA,NA,0, NA,NA,NA,NA,NA,NA,NA,NA,NA,NA), .Dim =c(10, 10)))</t>
  </si>
  <si>
    <t>d[1,2]</t>
  </si>
  <si>
    <t>d[1,3]</t>
  </si>
  <si>
    <t>d[1,4]</t>
  </si>
  <si>
    <t>d[1,5]</t>
  </si>
  <si>
    <t>d[1,6]</t>
  </si>
  <si>
    <t>d[1,7]</t>
  </si>
  <si>
    <t>d[1,8]</t>
  </si>
  <si>
    <t>d[1,9]</t>
  </si>
  <si>
    <t>d[1,10]</t>
  </si>
  <si>
    <t>d[2,3]</t>
  </si>
  <si>
    <t>d[2,4]</t>
  </si>
  <si>
    <t>d[2,5]</t>
  </si>
  <si>
    <t>d[2,6]</t>
  </si>
  <si>
    <t>d[2,7]</t>
  </si>
  <si>
    <t>d[2,8]</t>
  </si>
  <si>
    <t>d[2,9]</t>
  </si>
  <si>
    <t>d[2,10]</t>
  </si>
  <si>
    <t>d[3,4]</t>
  </si>
  <si>
    <t>d[3,5]</t>
  </si>
  <si>
    <t>d[3,6]</t>
  </si>
  <si>
    <t>d[3,7]</t>
  </si>
  <si>
    <t>d[3,8]</t>
  </si>
  <si>
    <t>d[3,9]</t>
  </si>
  <si>
    <t>d[3,10]</t>
  </si>
  <si>
    <t>d[4,5]</t>
  </si>
  <si>
    <t>d[4,6]</t>
  </si>
  <si>
    <t>d[4,7]</t>
  </si>
  <si>
    <t>d[4,8]</t>
  </si>
  <si>
    <t>d[4,9]</t>
  </si>
  <si>
    <t>d[4,10]</t>
  </si>
  <si>
    <t>d[5,6]</t>
  </si>
  <si>
    <t>d[5,7]</t>
  </si>
  <si>
    <t>d[5,8]</t>
  </si>
  <si>
    <t>d[5,9]</t>
  </si>
  <si>
    <t>d[5,10]</t>
  </si>
  <si>
    <t>d[6,7]</t>
  </si>
  <si>
    <t>d[6,8]</t>
  </si>
  <si>
    <t>d[6,9]</t>
  </si>
  <si>
    <t>d[6,10]</t>
  </si>
  <si>
    <t>d[7,8]</t>
  </si>
  <si>
    <t>d[7,9]</t>
  </si>
  <si>
    <t>d[7,10]</t>
  </si>
  <si>
    <t>d[8,9]</t>
  </si>
  <si>
    <t>d[8,10]</t>
  </si>
  <si>
    <t>d[9,10]</t>
  </si>
  <si>
    <t>check(C:/WinBUGS data/Inconsistency Random Effect Model (Vague).txt)</t>
  </si>
  <si>
    <t>inits(1,C:/WinBUGS data/Inconsistency Random Effect Inits (Vague)1.txt)</t>
  </si>
  <si>
    <t>inits(2,C:/WinBUGS data/Inconsistency Random Effect Inits (Vague)2.txt)</t>
  </si>
  <si>
    <t>inits(3,C:/WinBUGS data/Inconsistency Random Effect Inits (Vague)3.txt)</t>
  </si>
  <si>
    <t>check(C:/WinBUGS data/Random Effect Model (Vague).txt)</t>
  </si>
  <si>
    <t>inits(1,C:/WinBUGS data/Random Effect Inits (Vague)1.txt)</t>
  </si>
  <si>
    <t>inits(2,C:/WinBUGS data/Random Effect Inits (Vague)2.txt)</t>
  </si>
  <si>
    <t>inits(3,C:/WinBUGS data/Random Effect Inits (Vague)3.txt)</t>
  </si>
  <si>
    <t>Random Effects (Vague) Rankogram</t>
  </si>
  <si>
    <t>1.81
(0.31 – 10.02)</t>
  </si>
  <si>
    <t>2.62
(0.90 – 7.74)</t>
  </si>
  <si>
    <t>3.05
(1.20 – 7.92)</t>
  </si>
  <si>
    <t>4.42
(1.46 – 13.26)</t>
  </si>
  <si>
    <t>4.46
(1.54 – 12.87)</t>
  </si>
  <si>
    <t>5.49
(1.37 – 22.39)</t>
  </si>
  <si>
    <t>6.86
(2.42 – 19.97)</t>
  </si>
  <si>
    <t>9.48
(2.21 – 40.83)</t>
  </si>
  <si>
    <t>30.75
(10.57 – 90.25)</t>
  </si>
  <si>
    <t>1.45
(0.32 – 6.85)</t>
  </si>
  <si>
    <t>1.68
(0.40 – 7.36)</t>
  </si>
  <si>
    <t>2.42
(0.56 – 11.00)</t>
  </si>
  <si>
    <t>2.44
(0.61 – 10.38)</t>
  </si>
  <si>
    <t>3.01
(0.59 – 16.78)</t>
  </si>
  <si>
    <t>3.75
(0.99 – 15.54)</t>
  </si>
  <si>
    <t>5.23
(0.97 – 29.61)</t>
  </si>
  <si>
    <t>16.85
(4.00 – 74.85)</t>
  </si>
  <si>
    <t>1.17
(0.68 – 1.96)</t>
  </si>
  <si>
    <t>1.69
(0.78 – 3.53)</t>
  </si>
  <si>
    <t>1.70
(0.85 – 3.35)</t>
  </si>
  <si>
    <t>2.10
(0.67 – 6.65)</t>
  </si>
  <si>
    <t>2.61
(1.33 – 5.22)</t>
  </si>
  <si>
    <t>3.61
(1.07 – 12.27)</t>
  </si>
  <si>
    <t>11.68
(5.70 – 23.95)</t>
  </si>
  <si>
    <t>1.45
(0.82 – 2.49)</t>
  </si>
  <si>
    <t>1.46
(0.92 – 2.32)</t>
  </si>
  <si>
    <t>1.80
(0.64 – 5.11)</t>
  </si>
  <si>
    <t>2.24
(1.44 – 3.60)</t>
  </si>
  <si>
    <t>3.09
(1.05 – 9.51)</t>
  </si>
  <si>
    <t>10.02
(6.13 – 16.79)</t>
  </si>
  <si>
    <t>1.00
(0.60 – 1.74)</t>
  </si>
  <si>
    <t>1.24
(0.43 – 3.78)</t>
  </si>
  <si>
    <t>1.55
(0.89 – 2.85)</t>
  </si>
  <si>
    <t>2.14
(0.69 – 7.06)</t>
  </si>
  <si>
    <t>6.92
(3.98 – 12.63)</t>
  </si>
  <si>
    <t>1.23
(0.47 – 3.28)</t>
  </si>
  <si>
    <t>1.54
(1.10 – 2.18)</t>
  </si>
  <si>
    <t>2.12
(0.74 – 6.28)</t>
  </si>
  <si>
    <t>6.88
(4.35 – 10.98)</t>
  </si>
  <si>
    <t>1.25
(0.48 – 3.23)</t>
  </si>
  <si>
    <t>1.73
(0.43 – 6.97)</t>
  </si>
  <si>
    <t>5.58
(1.95 – 15.93)</t>
  </si>
  <si>
    <t>1.38
(0.51 – 3.81)</t>
  </si>
  <si>
    <t>4.47
(2.71 – 7.30)</t>
  </si>
  <si>
    <t>3.26
(1.05 – 9.81)</t>
  </si>
  <si>
    <t>PARAPO vs. IBUPOHIGHDOSE</t>
  </si>
  <si>
    <t>save(C:/WinBUGS Results/Random Effect Results (Vague ) 8 8 2017 11 31 58 AM.txt)</t>
  </si>
  <si>
    <t>save(C:/WinBUGS Results/Random Effect Results (Informative) 8 8 2017 11 38 46 AM.txt)</t>
  </si>
  <si>
    <t>list(mu=c(2,1,0.5,0.5,1,1,1,0.5,1,0.5,1.5,1.5,1.5,1,1.5,2,0,1.5,1,1,0.5,1,1.5,1.5,1.5,0,1.5,0.5,0.5,1.5,1.5,0.5,0.5,1.5,1.5,1,2,1,0,0.5,1.5,1.5,1,0,1,0.5,1.5), sd=1, d= structure(.Data = c(NA,0.5,1.5,1.5,0.5,1,1.5,0.5,1,0.5, NA,NA,1,1,0.5,0,1,1.5,2,1.5, NA,NA,NA,0.5,1.5,0.5,1,0,0,0.5, NA,NA,NA,NA,0.5,0.5,0.5,1,0.5,1, NA,NA,NA,NA,NA,2,0,1.5,0.5,1, NA,NA,NA,NA,NA,NA,1.5,1,1.5,1, NA,NA,NA,NA,NA,NA,NA,1.5,2,1, NA,NA,NA,NA,NA,NA,NA,NA,0.5,1.5, NA,NA,NA,NA,NA,NA,NA,NA,NA,1), .Dim =c(9, 10)))</t>
  </si>
  <si>
    <t>list(mu=c(2,1,0.5,1,1.5,0,1,2,1,0,2,1.5,1,2,0,0,0.5,0,0.5,1.5,0,1.5,1.5,1.5,0.5,0.5,0.5,2,1.5,1.5,1.5,0.5,0.5,0.5,1.5,0.5,1.5,1,1.5,0,0.5,1,0.5,2,0.5,1.5,1.5), sd=1.5, d= structure(.Data = c(NA,0.5,1.5,1,2,1,1.5,1,0.5,2, NA,NA,1,0.5,0.5,1,1,0.5,0,1.5, NA,NA,NA,1,1,0.5,1,1.5,0.5,1.5, NA,NA,NA,NA,0.5,1,1.5,0,0.5,0.5, NA,NA,NA,NA,NA,1,0.5,2,2,1, NA,NA,NA,NA,NA,NA,1.5,1.5,1,1.5, NA,NA,NA,NA,NA,NA,NA,2,2,1.5, NA,NA,NA,NA,NA,NA,NA,NA,1.5,0.5, NA,NA,NA,NA,NA,NA,NA,NA,NA,0), .Dim =c(9, 10)))</t>
  </si>
  <si>
    <t>list(mu=c(1,0,0,1,0,0.5,1,1.5,1.5,0.5,0.5,0,0.5,2,1.5,2,1,0,1,1,1,1,1,1.5,1.5,2,0.5,0.5,1.5,0.5,2,1,1,0,1.5,1,1,1.5,2,1,1,1.5,0.5,0.5,1.5,0.5,1.5), sd=1, d= structure(.Data = c(NA,0.5,2,1,0.5,1.5,1.5,1,1,1, NA,NA,0,1.5,1,1.5,0.5,0,1,1.5, NA,NA,NA,1.5,1,1.5,1.5,0.5,2,0.5, NA,NA,NA,NA,0.5,1,1,0,1,1.5, NA,NA,NA,NA,NA,1,0.5,0.5,0.5,1, NA,NA,NA,NA,NA,NA,0,0.5,1.5,0.5, NA,NA,NA,NA,NA,NA,NA,0.5,1.5,1, NA,NA,NA,NA,NA,NA,NA,NA,1,0, NA,NA,NA,NA,NA,NA,NA,NA,NA,0.5), .Dim =c(9, 10)))</t>
  </si>
  <si>
    <t>save(C:/WinBUGS Results/Inconsistency Random Effect Results (Vague ) 8 8 2017 11 45 28 AM.txt)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</si>
</sst>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79">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18" xfId="0" applyFont="1" applyFill="1" applyBorder="1" applyAlignment="1">
      <alignment horizontal="center"/>
    </xf>
    <xf numFmtId="0" fontId="1" fillId="4" borderId="19" xfId="0" applyFont="1" applyFill="1" applyBorder="1" applyAlignment="1">
      <alignment horizont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83">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0125523012552301E-2"/>
          <c:w val="0.45767847166118031"/>
          <c:h val="0.94142259414225937"/>
        </c:manualLayout>
      </c:layout>
      <c:scatterChart>
        <c:scatterStyle val="lineMarker"/>
        <c:varyColors val="0"/>
        <c:ser>
          <c:idx val="0"/>
          <c:order val="0"/>
          <c:tx>
            <c:v>IBUPOHIGHDOSE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27.810562282005552</c:v>
                </c:pt>
              </c:numLit>
            </c:plus>
            <c:minus>
              <c:numLit>
                <c:formatCode>General</c:formatCode>
                <c:ptCount val="1"/>
                <c:pt idx="0">
                  <c:v>10.150148723984504</c:v>
                </c:pt>
              </c:numLit>
            </c:minus>
          </c:errBars>
          <c:xVal>
            <c:numRef>
              <c:f>'Random Effects (Vague)'!$I$5</c:f>
              <c:numCache>
                <c:formatCode>General</c:formatCode>
                <c:ptCount val="1"/>
                <c:pt idx="0">
                  <c:v>16.812373907195695</c:v>
                </c:pt>
              </c:numCache>
            </c:numRef>
          </c:xVal>
          <c:yVal>
            <c:numLit>
              <c:formatCode>General</c:formatCode>
              <c:ptCount val="1"/>
              <c:pt idx="0">
                <c:v>1.5</c:v>
              </c:pt>
            </c:numLit>
          </c:yVal>
          <c:smooth val="0"/>
        </c:ser>
        <c:ser>
          <c:idx val="1"/>
          <c:order val="1"/>
          <c:tx>
            <c:v>IBUIVHIGHDOSE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65.358676326845099</c:v>
                </c:pt>
              </c:numLit>
            </c:plus>
            <c:minus>
              <c:numLit>
                <c:formatCode>General</c:formatCode>
                <c:ptCount val="1"/>
                <c:pt idx="0">
                  <c:v>12.891064668949877</c:v>
                </c:pt>
              </c:numLit>
            </c:minus>
          </c:errBars>
          <c:xVal>
            <c:numRef>
              <c:f>'Random Effects (Vague)'!$I$6</c:f>
              <c:numCache>
                <c:formatCode>General</c:formatCode>
                <c:ptCount val="1"/>
                <c:pt idx="0">
                  <c:v>16.608536787908985</c:v>
                </c:pt>
              </c:numCache>
            </c:numRef>
          </c:xVal>
          <c:yVal>
            <c:numLit>
              <c:formatCode>General</c:formatCode>
              <c:ptCount val="1"/>
              <c:pt idx="0">
                <c:v>3.5</c:v>
              </c:pt>
            </c:numLit>
          </c:yVal>
          <c:smooth val="0"/>
        </c:ser>
        <c:ser>
          <c:idx val="2"/>
          <c:order val="2"/>
          <c:tx>
            <c:v>PARAPO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16.236746986859465</c:v>
                </c:pt>
              </c:numLit>
            </c:plus>
            <c:minus>
              <c:numLit>
                <c:formatCode>General</c:formatCode>
                <c:ptCount val="1"/>
                <c:pt idx="0">
                  <c:v>7.2562216491831064</c:v>
                </c:pt>
              </c:numLit>
            </c:minus>
          </c:errBars>
          <c:xVal>
            <c:numRef>
              <c:f>'Random Effects (Vague)'!$I$7</c:f>
              <c:numCache>
                <c:formatCode>General</c:formatCode>
                <c:ptCount val="1"/>
                <c:pt idx="0">
                  <c:v>13.331555792560993</c:v>
                </c:pt>
              </c:numCache>
            </c:numRef>
          </c:xVal>
          <c:yVal>
            <c:numLit>
              <c:formatCode>General</c:formatCode>
              <c:ptCount val="1"/>
              <c:pt idx="0">
                <c:v>5.5</c:v>
              </c:pt>
            </c:numLit>
          </c:yVal>
          <c:smooth val="0"/>
        </c:ser>
        <c:ser>
          <c:idx val="3"/>
          <c:order val="3"/>
          <c:tx>
            <c:v>IBUPO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7.3602284037156291</c:v>
                </c:pt>
              </c:numLit>
            </c:plus>
            <c:minus>
              <c:numLit>
                <c:formatCode>General</c:formatCode>
                <c:ptCount val="1"/>
                <c:pt idx="0">
                  <c:v>4.1372037676270734</c:v>
                </c:pt>
              </c:numLit>
            </c:minus>
          </c:errBars>
          <c:xVal>
            <c:numRef>
              <c:f>'Random Effects (Vague)'!$I$8</c:f>
              <c:numCache>
                <c:formatCode>General</c:formatCode>
                <c:ptCount val="1"/>
                <c:pt idx="0">
                  <c:v>10.061374383740818</c:v>
                </c:pt>
              </c:numCache>
            </c:numRef>
          </c:xVal>
          <c:yVal>
            <c:numLit>
              <c:formatCode>General</c:formatCode>
              <c:ptCount val="1"/>
              <c:pt idx="0">
                <c:v>7.5</c:v>
              </c:pt>
            </c:numLit>
          </c:yVal>
          <c:smooth val="0"/>
        </c:ser>
        <c:ser>
          <c:idx val="4"/>
          <c:order val="4"/>
          <c:tx>
            <c:v>INDOTHERS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6.5347107719772382</c:v>
                </c:pt>
              </c:numLit>
            </c:plus>
            <c:minus>
              <c:numLit>
                <c:formatCode>General</c:formatCode>
                <c:ptCount val="1"/>
                <c:pt idx="0">
                  <c:v>3.3315336624160148</c:v>
                </c:pt>
              </c:numLit>
            </c:minus>
          </c:errBars>
          <c:xVal>
            <c:numRef>
              <c:f>'Random Effects (Vague)'!$I$9</c:f>
              <c:numCache>
                <c:formatCode>General</c:formatCode>
                <c:ptCount val="1"/>
                <c:pt idx="0">
                  <c:v>7.1022727272727266</c:v>
                </c:pt>
              </c:numCache>
            </c:numRef>
          </c:xVal>
          <c:yVal>
            <c:numLit>
              <c:formatCode>General</c:formatCode>
              <c:ptCount val="1"/>
              <c:pt idx="0">
                <c:v>9.5</c:v>
              </c:pt>
            </c:numLit>
          </c:yVal>
          <c:smooth val="0"/>
        </c:ser>
        <c:ser>
          <c:idx val="5"/>
          <c:order val="5"/>
          <c:tx>
            <c:v>INDOIV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4.7132846299318683</c:v>
                </c:pt>
              </c:numLit>
            </c:plus>
            <c:minus>
              <c:numLit>
                <c:formatCode>General</c:formatCode>
                <c:ptCount val="1"/>
                <c:pt idx="0">
                  <c:v>2.6927437641723353</c:v>
                </c:pt>
              </c:numLit>
            </c:minus>
          </c:errBars>
          <c:xVal>
            <c:numRef>
              <c:f>'Random Effects (Vague)'!$I$10</c:f>
              <c:numCache>
                <c:formatCode>General</c:formatCode>
                <c:ptCount val="1"/>
                <c:pt idx="0">
                  <c:v>6.9444444444444446</c:v>
                </c:pt>
              </c:numCache>
            </c:numRef>
          </c:xVal>
          <c:yVal>
            <c:numLit>
              <c:formatCode>General</c:formatCode>
              <c:ptCount val="1"/>
              <c:pt idx="0">
                <c:v>11.5</c:v>
              </c:pt>
            </c:numLit>
          </c:yVal>
          <c:smooth val="0"/>
        </c:ser>
        <c:ser>
          <c:idx val="6"/>
          <c:order val="6"/>
          <c:tx>
            <c:v>INDOIVCONT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11.467445449840753</c:v>
                </c:pt>
              </c:numLit>
            </c:plus>
            <c:minus>
              <c:numLit>
                <c:formatCode>General</c:formatCode>
                <c:ptCount val="1"/>
                <c:pt idx="0">
                  <c:v>3.7858670532676877</c:v>
                </c:pt>
              </c:numLit>
            </c:minus>
          </c:errBars>
          <c:xVal>
            <c:numRef>
              <c:f>'Random Effects (Vague)'!$I$11</c:f>
              <c:numCache>
                <c:formatCode>General</c:formatCode>
                <c:ptCount val="1"/>
                <c:pt idx="0">
                  <c:v>5.5741360089186172</c:v>
                </c:pt>
              </c:numCache>
            </c:numRef>
          </c:xVal>
          <c:yVal>
            <c:numLit>
              <c:formatCode>General</c:formatCode>
              <c:ptCount val="1"/>
              <c:pt idx="0">
                <c:v>13.5</c:v>
              </c:pt>
            </c:numLit>
          </c:yVal>
          <c:smooth val="0"/>
        </c:ser>
        <c:ser>
          <c:idx val="7"/>
          <c:order val="7"/>
          <c:tx>
            <c:v>IBUPOHIGHDOSE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17.501027714840202</c:v>
                </c:pt>
              </c:numLit>
            </c:plus>
            <c:minus>
              <c:numLit>
                <c:formatCode>General</c:formatCode>
                <c:ptCount val="1"/>
                <c:pt idx="0">
                  <c:v>3.9682389838718901</c:v>
                </c:pt>
              </c:numLit>
            </c:minus>
          </c:errBars>
          <c:xVal>
            <c:numRef>
              <c:f>'Random Effects (Vague)'!$I$12</c:f>
              <c:numCache>
                <c:formatCode>0.0000</c:formatCode>
                <c:ptCount val="1"/>
                <c:pt idx="0">
                  <c:v>5.2521008403361344</c:v>
                </c:pt>
              </c:numCache>
            </c:numRef>
          </c:xVal>
          <c:yVal>
            <c:numLit>
              <c:formatCode>General</c:formatCode>
              <c:ptCount val="1"/>
              <c:pt idx="0">
                <c:v>15.5</c:v>
              </c:pt>
            </c:numLit>
          </c:yVal>
          <c:smooth val="0"/>
        </c:ser>
        <c:ser>
          <c:idx val="8"/>
          <c:order val="8"/>
          <c:tx>
            <c:v>IBUIVHIGHDOSE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28.252708057665394</c:v>
                </c:pt>
              </c:numLit>
            </c:plus>
            <c:minus>
              <c:numLit>
                <c:formatCode>General</c:formatCode>
                <c:ptCount val="1"/>
                <c:pt idx="0">
                  <c:v>4.307152243633924</c:v>
                </c:pt>
              </c:numLit>
            </c:minus>
          </c:errBars>
          <c:xVal>
            <c:numRef>
              <c:f>'Random Effects (Vague)'!$I$13</c:f>
              <c:numCache>
                <c:formatCode>General</c:formatCode>
                <c:ptCount val="1"/>
                <c:pt idx="0">
                  <c:v>5.1921079958463139</c:v>
                </c:pt>
              </c:numCache>
            </c:numRef>
          </c:xVal>
          <c:yVal>
            <c:numLit>
              <c:formatCode>General</c:formatCode>
              <c:ptCount val="1"/>
              <c:pt idx="0">
                <c:v>17.5</c:v>
              </c:pt>
            </c:numLit>
          </c:yVal>
          <c:smooth val="0"/>
        </c:ser>
        <c:ser>
          <c:idx val="9"/>
          <c:order val="9"/>
          <c:tx>
            <c:v>IBUIV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3.1386714423176105</c:v>
                </c:pt>
              </c:numLit>
            </c:plus>
            <c:minus>
              <c:numLit>
                <c:formatCode>General</c:formatCode>
                <c:ptCount val="1"/>
                <c:pt idx="0">
                  <c:v>1.8481402218348713</c:v>
                </c:pt>
              </c:numLit>
            </c:minus>
          </c:errBars>
          <c:xVal>
            <c:numRef>
              <c:f>'Random Effects (Vague)'!$I$14</c:f>
              <c:numCache>
                <c:formatCode>0.0000</c:formatCode>
                <c:ptCount val="1"/>
                <c:pt idx="0">
                  <c:v>4.4543429844097995</c:v>
                </c:pt>
              </c:numCache>
            </c:numRef>
          </c:xVal>
          <c:yVal>
            <c:numLit>
              <c:formatCode>General</c:formatCode>
              <c:ptCount val="1"/>
              <c:pt idx="0">
                <c:v>19.5</c:v>
              </c:pt>
            </c:numLit>
          </c:yVal>
          <c:smooth val="0"/>
        </c:ser>
        <c:ser>
          <c:idx val="10"/>
          <c:order val="10"/>
          <c:tx>
            <c:v>PARAPO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11.84878172217485</c:v>
                </c:pt>
              </c:numLit>
            </c:plus>
            <c:minus>
              <c:numLit>
                <c:formatCode>General</c:formatCode>
                <c:ptCount val="1"/>
                <c:pt idx="0">
                  <c:v>3.0671334720852599</c:v>
                </c:pt>
              </c:numLit>
            </c:minus>
          </c:errBars>
          <c:xVal>
            <c:numRef>
              <c:f>'Random Effects (Vague)'!$I$15</c:f>
              <c:numCache>
                <c:formatCode>General</c:formatCode>
                <c:ptCount val="1"/>
                <c:pt idx="0">
                  <c:v>4.1614648356221391</c:v>
                </c:pt>
              </c:numCache>
            </c:numRef>
          </c:xVal>
          <c:yVal>
            <c:numLit>
              <c:formatCode>General</c:formatCode>
              <c:ptCount val="1"/>
              <c:pt idx="0">
                <c:v>21.5</c:v>
              </c:pt>
            </c:numLit>
          </c:yVal>
          <c:smooth val="0"/>
        </c:ser>
        <c:ser>
          <c:idx val="11"/>
          <c:order val="11"/>
          <c:tx>
            <c:v>IBUPOHIGHDOSE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5.9490000000000007</c:v>
                </c:pt>
              </c:numLit>
            </c:plus>
            <c:minus>
              <c:numLit>
                <c:formatCode>General</c:formatCode>
                <c:ptCount val="1"/>
                <c:pt idx="0">
                  <c:v>2.234</c:v>
                </c:pt>
              </c:numLit>
            </c:minus>
          </c:errBars>
          <c:xVal>
            <c:numRef>
              <c:f>'Random Effects (Vague)'!$I$16</c:f>
              <c:numCache>
                <c:formatCode>General</c:formatCode>
                <c:ptCount val="1"/>
                <c:pt idx="0">
                  <c:v>3.774</c:v>
                </c:pt>
              </c:numCache>
            </c:numRef>
          </c:xVal>
          <c:yVal>
            <c:numLit>
              <c:formatCode>General</c:formatCode>
              <c:ptCount val="1"/>
              <c:pt idx="0">
                <c:v>23.5</c:v>
              </c:pt>
            </c:numLit>
          </c:yVal>
          <c:smooth val="0"/>
        </c:ser>
        <c:ser>
          <c:idx val="12"/>
          <c:order val="12"/>
          <c:tx>
            <c:v>IBUIVHIGHDOSE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13.098999999999998</c:v>
                </c:pt>
              </c:numLit>
            </c:plus>
            <c:minus>
              <c:numLit>
                <c:formatCode>General</c:formatCode>
                <c:ptCount val="1"/>
                <c:pt idx="0">
                  <c:v>2.8043999999999998</c:v>
                </c:pt>
              </c:numLit>
            </c:minus>
          </c:errBars>
          <c:xVal>
            <c:numRef>
              <c:f>'Random Effects (Vague)'!$I$17</c:f>
              <c:numCache>
                <c:formatCode>General</c:formatCode>
                <c:ptCount val="1"/>
                <c:pt idx="0">
                  <c:v>3.7309999999999999</c:v>
                </c:pt>
              </c:numCache>
            </c:numRef>
          </c:xVal>
          <c:yVal>
            <c:numLit>
              <c:formatCode>General</c:formatCode>
              <c:ptCount val="1"/>
              <c:pt idx="0">
                <c:v>25.5</c:v>
              </c:pt>
            </c:numLit>
          </c:yVal>
          <c:smooth val="0"/>
        </c:ser>
        <c:ser>
          <c:idx val="13"/>
          <c:order val="13"/>
          <c:tx>
            <c:v>IBUIVCONT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7.6496701166595535</c:v>
                </c:pt>
              </c:numLit>
            </c:plus>
            <c:minus>
              <c:numLit>
                <c:formatCode>General</c:formatCode>
                <c:ptCount val="1"/>
                <c:pt idx="0">
                  <c:v>2.2602905554424639</c:v>
                </c:pt>
              </c:numLit>
            </c:minus>
          </c:errBars>
          <c:xVal>
            <c:numRef>
              <c:f>'Random Effects (Vague)'!$I$18</c:f>
              <c:numCache>
                <c:formatCode>General</c:formatCode>
                <c:ptCount val="1"/>
                <c:pt idx="0">
                  <c:v>3.2010243277848911</c:v>
                </c:pt>
              </c:numCache>
            </c:numRef>
          </c:xVal>
          <c:yVal>
            <c:numLit>
              <c:formatCode>General</c:formatCode>
              <c:ptCount val="1"/>
              <c:pt idx="0">
                <c:v>27.5</c:v>
              </c:pt>
            </c:numLit>
          </c:yVal>
          <c:smooth val="0"/>
        </c:ser>
        <c:ser>
          <c:idx val="14"/>
          <c:order val="14"/>
          <c:tx>
            <c:v>IBUPO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7.4106477499673451</c:v>
                </c:pt>
              </c:numLit>
            </c:plus>
            <c:minus>
              <c:numLit>
                <c:formatCode>General</c:formatCode>
                <c:ptCount val="1"/>
                <c:pt idx="0">
                  <c:v>2.1879962573121694</c:v>
                </c:pt>
              </c:numLit>
            </c:minus>
          </c:errBars>
          <c:xVal>
            <c:numRef>
              <c:f>'Random Effects (Vague)'!$I$19</c:f>
              <c:numCache>
                <c:formatCode>General</c:formatCode>
                <c:ptCount val="1"/>
                <c:pt idx="0">
                  <c:v>3.1367628607277291</c:v>
                </c:pt>
              </c:numCache>
            </c:numRef>
          </c:xVal>
          <c:yVal>
            <c:numLit>
              <c:formatCode>General</c:formatCode>
              <c:ptCount val="1"/>
              <c:pt idx="0">
                <c:v>29.5</c:v>
              </c:pt>
            </c:numLit>
          </c:yVal>
          <c:smooth val="0"/>
        </c:ser>
        <c:ser>
          <c:idx val="15"/>
          <c:order val="15"/>
          <c:tx>
            <c:v>IBUPOHIGHDOSE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9.0579710144927539</c:v>
                </c:pt>
              </c:numLit>
            </c:plus>
            <c:minus>
              <c:numLit>
                <c:formatCode>General</c:formatCode>
                <c:ptCount val="1"/>
                <c:pt idx="0">
                  <c:v>2.2167554531990294</c:v>
                </c:pt>
              </c:numLit>
            </c:minus>
          </c:errBars>
          <c:xVal>
            <c:numRef>
              <c:f>'Random Effects (Vague)'!$I$20</c:f>
              <c:numCache>
                <c:formatCode>General</c:formatCode>
                <c:ptCount val="1"/>
                <c:pt idx="0">
                  <c:v>3.0193236714975846</c:v>
                </c:pt>
              </c:numCache>
            </c:numRef>
          </c:xVal>
          <c:yVal>
            <c:numLit>
              <c:formatCode>General</c:formatCode>
              <c:ptCount val="1"/>
              <c:pt idx="0">
                <c:v>31.5</c:v>
              </c:pt>
            </c:numLit>
          </c:yVal>
          <c:smooth val="0"/>
        </c:ser>
        <c:ser>
          <c:idx val="16"/>
          <c:order val="16"/>
          <c:tx>
            <c:v>IBUIVHIGHDOSE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15.332405562883757</c:v>
                </c:pt>
              </c:numLit>
            </c:plus>
            <c:minus>
              <c:numLit>
                <c:formatCode>General</c:formatCode>
                <c:ptCount val="1"/>
                <c:pt idx="0">
                  <c:v>2.4649265764164117</c:v>
                </c:pt>
              </c:numLit>
            </c:minus>
          </c:errBars>
          <c:xVal>
            <c:numRef>
              <c:f>'Random Effects (Vague)'!$I$21</c:f>
              <c:numCache>
                <c:formatCode>0.0000</c:formatCode>
                <c:ptCount val="1"/>
                <c:pt idx="0">
                  <c:v>2.9994001199760052</c:v>
                </c:pt>
              </c:numCache>
            </c:numRef>
          </c:xVal>
          <c:yVal>
            <c:numLit>
              <c:formatCode>General</c:formatCode>
              <c:ptCount val="1"/>
              <c:pt idx="0">
                <c:v>33.5</c:v>
              </c:pt>
            </c:numLit>
          </c:yVal>
          <c:smooth val="0"/>
        </c:ser>
        <c:ser>
          <c:idx val="17"/>
          <c:order val="17"/>
          <c:tx>
            <c:v>PARAPO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3.3810000000000002</c:v>
                </c:pt>
              </c:numLit>
            </c:plus>
            <c:minus>
              <c:numLit>
                <c:formatCode>General</c:formatCode>
                <c:ptCount val="1"/>
                <c:pt idx="0">
                  <c:v>1.579</c:v>
                </c:pt>
              </c:numLit>
            </c:minus>
          </c:errBars>
          <c:xVal>
            <c:numRef>
              <c:f>'Random Effects (Vague)'!$I$22</c:f>
              <c:numCache>
                <c:formatCode>General</c:formatCode>
                <c:ptCount val="1"/>
                <c:pt idx="0">
                  <c:v>2.9889999999999999</c:v>
                </c:pt>
              </c:numCache>
            </c:numRef>
          </c:xVal>
          <c:yVal>
            <c:numLit>
              <c:formatCode>General</c:formatCode>
              <c:ptCount val="1"/>
              <c:pt idx="0">
                <c:v>35.5</c:v>
              </c:pt>
            </c:numLit>
          </c:yVal>
          <c:smooth val="0"/>
        </c:ser>
        <c:ser>
          <c:idx val="18"/>
          <c:order val="18"/>
          <c:tx>
            <c:v>IBUPOHIGHDOSE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3.7009999999999996</c:v>
                </c:pt>
              </c:numLit>
            </c:plus>
            <c:minus>
              <c:numLit>
                <c:formatCode>General</c:formatCode>
                <c:ptCount val="1"/>
                <c:pt idx="0">
                  <c:v>1.4331</c:v>
                </c:pt>
              </c:numLit>
            </c:minus>
          </c:errBars>
          <c:xVal>
            <c:numRef>
              <c:f>'Random Effects (Vague)'!$I$23</c:f>
              <c:numCache>
                <c:formatCode>General</c:formatCode>
                <c:ptCount val="1"/>
                <c:pt idx="0">
                  <c:v>2.4180000000000001</c:v>
                </c:pt>
              </c:numCache>
            </c:numRef>
          </c:xVal>
          <c:yVal>
            <c:numLit>
              <c:formatCode>General</c:formatCode>
              <c:ptCount val="1"/>
              <c:pt idx="0">
                <c:v>37.5</c:v>
              </c:pt>
            </c:numLit>
          </c:yVal>
          <c:smooth val="0"/>
        </c:ser>
        <c:ser>
          <c:idx val="19"/>
          <c:order val="19"/>
          <c:tx>
            <c:v>IBUIVHIGHDOSE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8.7460000000000004</c:v>
                </c:pt>
              </c:numLit>
            </c:plus>
            <c:minus>
              <c:numLit>
                <c:formatCode>General</c:formatCode>
                <c:ptCount val="1"/>
                <c:pt idx="0">
                  <c:v>1.8304</c:v>
                </c:pt>
              </c:numLit>
            </c:minus>
          </c:errBars>
          <c:xVal>
            <c:numRef>
              <c:f>'Random Effects (Vague)'!$I$24</c:f>
              <c:numCache>
                <c:formatCode>General</c:formatCode>
                <c:ptCount val="1"/>
                <c:pt idx="0">
                  <c:v>2.3940000000000001</c:v>
                </c:pt>
              </c:numCache>
            </c:numRef>
          </c:xVal>
          <c:yVal>
            <c:numLit>
              <c:formatCode>General</c:formatCode>
              <c:ptCount val="1"/>
              <c:pt idx="0">
                <c:v>39.5</c:v>
              </c:pt>
            </c:numLit>
          </c:yVal>
          <c:smooth val="0"/>
        </c:ser>
        <c:ser>
          <c:idx val="20"/>
          <c:order val="20"/>
          <c:tx>
            <c:v>PARAPO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6.0507508230948357</c:v>
                </c:pt>
              </c:numLit>
            </c:plus>
            <c:minus>
              <c:numLit>
                <c:formatCode>General</c:formatCode>
                <c:ptCount val="1"/>
                <c:pt idx="0">
                  <c:v>1.6732382974421189</c:v>
                </c:pt>
              </c:numLit>
            </c:minus>
          </c:errBars>
          <c:xVal>
            <c:numRef>
              <c:f>'Random Effects (Vague)'!$I$25</c:f>
              <c:numCache>
                <c:formatCode>0.0000</c:formatCode>
                <c:ptCount val="1"/>
                <c:pt idx="0">
                  <c:v>2.3809523809523809</c:v>
                </c:pt>
              </c:numCache>
            </c:numRef>
          </c:xVal>
          <c:yVal>
            <c:numLit>
              <c:formatCode>General</c:formatCode>
              <c:ptCount val="1"/>
              <c:pt idx="0">
                <c:v>41.5</c:v>
              </c:pt>
            </c:numLit>
          </c:yVal>
          <c:smooth val="0"/>
        </c:ser>
        <c:ser>
          <c:idx val="21"/>
          <c:order val="21"/>
          <c:tx>
            <c:v>IBUPOHIGHDOSE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4.1279402233997935</c:v>
                </c:pt>
              </c:numLit>
            </c:plus>
            <c:minus>
              <c:numLit>
                <c:formatCode>General</c:formatCode>
                <c:ptCount val="1"/>
                <c:pt idx="0">
                  <c:v>1.4568838288003376</c:v>
                </c:pt>
              </c:numLit>
            </c:minus>
          </c:errBars>
          <c:xVal>
            <c:numRef>
              <c:f>'Random Effects (Vague)'!$I$26</c:f>
              <c:numCache>
                <c:formatCode>General</c:formatCode>
                <c:ptCount val="1"/>
                <c:pt idx="0">
                  <c:v>2.3529411764705883</c:v>
                </c:pt>
              </c:numCache>
            </c:numRef>
          </c:xVal>
          <c:yVal>
            <c:numLit>
              <c:formatCode>General</c:formatCode>
              <c:ptCount val="1"/>
              <c:pt idx="0">
                <c:v>43.5</c:v>
              </c:pt>
            </c:numLit>
          </c:yVal>
          <c:smooth val="0"/>
        </c:ser>
        <c:ser>
          <c:idx val="22"/>
          <c:order val="22"/>
          <c:tx>
            <c:v>IBUIVHIGHDOSE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9.524585823824486</c:v>
                </c:pt>
              </c:numLit>
            </c:plus>
            <c:minus>
              <c:numLit>
                <c:formatCode>General</c:formatCode>
                <c:ptCount val="1"/>
                <c:pt idx="0">
                  <c:v>1.8255950610243021</c:v>
                </c:pt>
              </c:numLit>
            </c:minus>
          </c:errBars>
          <c:xVal>
            <c:numRef>
              <c:f>'Random Effects (Vague)'!$I$27</c:f>
              <c:numCache>
                <c:formatCode>0.0000</c:formatCode>
                <c:ptCount val="1"/>
                <c:pt idx="0">
                  <c:v>2.3293733985557883</c:v>
                </c:pt>
              </c:numCache>
            </c:numRef>
          </c:xVal>
          <c:yVal>
            <c:numLit>
              <c:formatCode>General</c:formatCode>
              <c:ptCount val="1"/>
              <c:pt idx="0">
                <c:v>45.5</c:v>
              </c:pt>
            </c:numLit>
          </c:yVal>
          <c:smooth val="0"/>
        </c:ser>
        <c:ser>
          <c:idx val="23"/>
          <c:order val="23"/>
          <c:tx>
            <c:v>IBUPO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1.444</c:v>
                </c:pt>
              </c:numLit>
            </c:plus>
            <c:minus>
              <c:numLit>
                <c:formatCode>General</c:formatCode>
                <c:ptCount val="1"/>
                <c:pt idx="0">
                  <c:v>0.85799999999999987</c:v>
                </c:pt>
              </c:numLit>
            </c:minus>
          </c:errBars>
          <c:xVal>
            <c:numRef>
              <c:f>'Random Effects (Vague)'!$I$28</c:f>
              <c:numCache>
                <c:formatCode>General</c:formatCode>
                <c:ptCount val="1"/>
                <c:pt idx="0">
                  <c:v>2.2589999999999999</c:v>
                </c:pt>
              </c:numCache>
            </c:numRef>
          </c:xVal>
          <c:yVal>
            <c:numLit>
              <c:formatCode>General</c:formatCode>
              <c:ptCount val="1"/>
              <c:pt idx="0">
                <c:v>47.5</c:v>
              </c:pt>
            </c:numLit>
          </c:yVal>
          <c:smooth val="0"/>
        </c:ser>
        <c:ser>
          <c:idx val="24"/>
          <c:order val="24"/>
          <c:tx>
            <c:v>INDOTHERS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5.8179999999999996</c:v>
                </c:pt>
              </c:numLit>
            </c:plus>
            <c:minus>
              <c:numLit>
                <c:formatCode>General</c:formatCode>
                <c:ptCount val="1"/>
                <c:pt idx="0">
                  <c:v>1.5878999999999999</c:v>
                </c:pt>
              </c:numLit>
            </c:minus>
          </c:errBars>
          <c:xVal>
            <c:numRef>
              <c:f>'Random Effects (Vague)'!$I$29</c:f>
              <c:numCache>
                <c:formatCode>General</c:formatCode>
                <c:ptCount val="1"/>
                <c:pt idx="0">
                  <c:v>2.214</c:v>
                </c:pt>
              </c:numCache>
            </c:numRef>
          </c:xVal>
          <c:yVal>
            <c:numLit>
              <c:formatCode>General</c:formatCode>
              <c:ptCount val="1"/>
              <c:pt idx="0">
                <c:v>49.5</c:v>
              </c:pt>
            </c:numLit>
          </c:yVal>
          <c:smooth val="0"/>
        </c:ser>
        <c:ser>
          <c:idx val="25"/>
          <c:order val="25"/>
          <c:tx>
            <c:v>INDOIV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4.8443659993017789</c:v>
                </c:pt>
              </c:numLit>
            </c:plus>
            <c:minus>
              <c:numLit>
                <c:formatCode>General</c:formatCode>
                <c:ptCount val="1"/>
                <c:pt idx="0">
                  <c:v>1.4804988123798808</c:v>
                </c:pt>
              </c:numLit>
            </c:minus>
          </c:errBars>
          <c:xVal>
            <c:numRef>
              <c:f>'Random Effects (Vague)'!$I$30</c:f>
              <c:numCache>
                <c:formatCode>0.0000</c:formatCode>
                <c:ptCount val="1"/>
                <c:pt idx="0">
                  <c:v>2.1682567215958368</c:v>
                </c:pt>
              </c:numCache>
            </c:numRef>
          </c:xVal>
          <c:yVal>
            <c:numLit>
              <c:formatCode>General</c:formatCode>
              <c:ptCount val="1"/>
              <c:pt idx="0">
                <c:v>51.5</c:v>
              </c:pt>
            </c:numLit>
          </c:yVal>
          <c:smooth val="0"/>
        </c:ser>
        <c:ser>
          <c:idx val="26"/>
          <c:order val="26"/>
          <c:tx>
            <c:v>PARAPO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2.1269999999999998</c:v>
                </c:pt>
              </c:numLit>
            </c:plus>
            <c:minus>
              <c:numLit>
                <c:formatCode>General</c:formatCode>
                <c:ptCount val="1"/>
                <c:pt idx="0">
                  <c:v>1.0234999999999999</c:v>
                </c:pt>
              </c:numLit>
            </c:minus>
          </c:errBars>
          <c:xVal>
            <c:numRef>
              <c:f>'Random Effects (Vague)'!$I$31</c:f>
              <c:numCache>
                <c:formatCode>General</c:formatCode>
                <c:ptCount val="1"/>
                <c:pt idx="0">
                  <c:v>1.92</c:v>
                </c:pt>
              </c:numCache>
            </c:numRef>
          </c:xVal>
          <c:yVal>
            <c:numLit>
              <c:formatCode>General</c:formatCode>
              <c:ptCount val="1"/>
              <c:pt idx="0">
                <c:v>53.5</c:v>
              </c:pt>
            </c:numLit>
          </c:yVal>
          <c:smooth val="0"/>
        </c:ser>
        <c:ser>
          <c:idx val="27"/>
          <c:order val="27"/>
          <c:tx>
            <c:v>PARAPO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2.4648089105609734</c:v>
                </c:pt>
              </c:numLit>
            </c:plus>
            <c:minus>
              <c:numLit>
                <c:formatCode>General</c:formatCode>
                <c:ptCount val="1"/>
                <c:pt idx="0">
                  <c:v>1.072256015811182</c:v>
                </c:pt>
              </c:numLit>
            </c:minus>
          </c:errBars>
          <c:xVal>
            <c:numRef>
              <c:f>'Random Effects (Vague)'!$I$32</c:f>
              <c:numCache>
                <c:formatCode>General</c:formatCode>
                <c:ptCount val="1"/>
                <c:pt idx="0">
                  <c:v>1.8754688672168043</c:v>
                </c:pt>
              </c:numCache>
            </c:numRef>
          </c:xVal>
          <c:yVal>
            <c:numLit>
              <c:formatCode>General</c:formatCode>
              <c:ptCount val="1"/>
              <c:pt idx="0">
                <c:v>55.5</c:v>
              </c:pt>
            </c:numLit>
          </c:yVal>
          <c:smooth val="0"/>
        </c:ser>
        <c:ser>
          <c:idx val="28"/>
          <c:order val="28"/>
          <c:tx>
            <c:v>IBUPO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3.7838159033067349</c:v>
                </c:pt>
              </c:numLit>
            </c:plus>
            <c:minus>
              <c:numLit>
                <c:formatCode>General</c:formatCode>
                <c:ptCount val="1"/>
                <c:pt idx="0">
                  <c:v>1.1933917538310643</c:v>
                </c:pt>
              </c:numLit>
            </c:minus>
          </c:errBars>
          <c:xVal>
            <c:numRef>
              <c:f>'Random Effects (Vague)'!$I$33</c:f>
              <c:numCache>
                <c:formatCode>0.0000</c:formatCode>
                <c:ptCount val="1"/>
                <c:pt idx="0">
                  <c:v>1.8027762754642149</c:v>
                </c:pt>
              </c:numCache>
            </c:numRef>
          </c:xVal>
          <c:yVal>
            <c:numLit>
              <c:formatCode>General</c:formatCode>
              <c:ptCount val="1"/>
              <c:pt idx="0">
                <c:v>57.5</c:v>
              </c:pt>
            </c:numLit>
          </c:yVal>
          <c:smooth val="0"/>
        </c:ser>
        <c:ser>
          <c:idx val="29"/>
          <c:order val="29"/>
          <c:tx>
            <c:v>INDOIVCONT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6.0040000000000004</c:v>
                </c:pt>
              </c:numLit>
            </c:plus>
            <c:minus>
              <c:numLit>
                <c:formatCode>General</c:formatCode>
                <c:ptCount val="1"/>
                <c:pt idx="0">
                  <c:v>1.3555999999999999</c:v>
                </c:pt>
              </c:numLit>
            </c:minus>
          </c:errBars>
          <c:xVal>
            <c:numRef>
              <c:f>'Random Effects (Vague)'!$I$34</c:f>
              <c:numCache>
                <c:formatCode>0.0000</c:formatCode>
                <c:ptCount val="1"/>
                <c:pt idx="0">
                  <c:v>1.742</c:v>
                </c:pt>
              </c:numCache>
            </c:numRef>
          </c:xVal>
          <c:yVal>
            <c:numLit>
              <c:formatCode>General</c:formatCode>
              <c:ptCount val="1"/>
              <c:pt idx="0">
                <c:v>59.5</c:v>
              </c:pt>
            </c:numLit>
          </c:yVal>
          <c:smooth val="0"/>
        </c:ser>
        <c:ser>
          <c:idx val="30"/>
          <c:order val="30"/>
          <c:tx>
            <c:v>IBUPOHIGHDOSE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2.0590000000000002</c:v>
                </c:pt>
              </c:numLit>
            </c:plus>
            <c:minus>
              <c:numLit>
                <c:formatCode>General</c:formatCode>
                <c:ptCount val="1"/>
                <c:pt idx="0">
                  <c:v>0.8929999999999999</c:v>
                </c:pt>
              </c:numLit>
            </c:minus>
          </c:errBars>
          <c:xVal>
            <c:numRef>
              <c:f>'Random Effects (Vague)'!$I$35</c:f>
              <c:numCache>
                <c:formatCode>General</c:formatCode>
                <c:ptCount val="1"/>
                <c:pt idx="0">
                  <c:v>1.6719999999999999</c:v>
                </c:pt>
              </c:numCache>
            </c:numRef>
          </c:xVal>
          <c:yVal>
            <c:numLit>
              <c:formatCode>General</c:formatCode>
              <c:ptCount val="1"/>
              <c:pt idx="0">
                <c:v>61.5</c:v>
              </c:pt>
            </c:numLit>
          </c:yVal>
          <c:smooth val="0"/>
        </c:ser>
        <c:ser>
          <c:idx val="31"/>
          <c:order val="31"/>
          <c:tx>
            <c:v>IBUIVHIGHDOSE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6.327</c:v>
                </c:pt>
              </c:numLit>
            </c:plus>
            <c:minus>
              <c:numLit>
                <c:formatCode>General</c:formatCode>
                <c:ptCount val="1"/>
                <c:pt idx="0">
                  <c:v>1.2758</c:v>
                </c:pt>
              </c:numLit>
            </c:minus>
          </c:errBars>
          <c:xVal>
            <c:numRef>
              <c:f>'Random Effects (Vague)'!$I$36</c:f>
              <c:numCache>
                <c:formatCode>0.0000</c:formatCode>
                <c:ptCount val="1"/>
                <c:pt idx="0">
                  <c:v>1.651</c:v>
                </c:pt>
              </c:numCache>
            </c:numRef>
          </c:xVal>
          <c:yVal>
            <c:numLit>
              <c:formatCode>General</c:formatCode>
              <c:ptCount val="1"/>
              <c:pt idx="0">
                <c:v>63.5</c:v>
              </c:pt>
            </c:numLit>
          </c:yVal>
          <c:smooth val="0"/>
        </c:ser>
        <c:ser>
          <c:idx val="32"/>
          <c:order val="32"/>
          <c:tx>
            <c:v>INDOTHERS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1.4810000000000001</c:v>
                </c:pt>
              </c:numLit>
            </c:plus>
            <c:minus>
              <c:numLit>
                <c:formatCode>General</c:formatCode>
                <c:ptCount val="1"/>
                <c:pt idx="0">
                  <c:v>0.74199999999999999</c:v>
                </c:pt>
              </c:numLit>
            </c:minus>
          </c:errBars>
          <c:xVal>
            <c:numRef>
              <c:f>'Random Effects (Vague)'!$I$37</c:f>
              <c:numCache>
                <c:formatCode>0.0000</c:formatCode>
                <c:ptCount val="1"/>
                <c:pt idx="0">
                  <c:v>1.595</c:v>
                </c:pt>
              </c:numCache>
            </c:numRef>
          </c:xVal>
          <c:yVal>
            <c:numLit>
              <c:formatCode>General</c:formatCode>
              <c:ptCount val="1"/>
              <c:pt idx="0">
                <c:v>65.5</c:v>
              </c:pt>
            </c:numLit>
          </c:yVal>
          <c:smooth val="0"/>
        </c:ser>
        <c:ser>
          <c:idx val="33"/>
          <c:order val="33"/>
          <c:tx>
            <c:v>INDOIV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0.7187492372601878</c:v>
                </c:pt>
              </c:numLit>
            </c:plus>
            <c:minus>
              <c:numLit>
                <c:formatCode>General</c:formatCode>
                <c:ptCount val="1"/>
                <c:pt idx="0">
                  <c:v>0.46066388676929537</c:v>
                </c:pt>
              </c:numLit>
            </c:minus>
          </c:errBars>
          <c:xVal>
            <c:numRef>
              <c:f>'Random Effects (Vague)'!$I$38</c:f>
              <c:numCache>
                <c:formatCode>General</c:formatCode>
                <c:ptCount val="1"/>
                <c:pt idx="0">
                  <c:v>1.558117793705204</c:v>
                </c:pt>
              </c:numCache>
            </c:numRef>
          </c:xVal>
          <c:yVal>
            <c:numLit>
              <c:formatCode>General</c:formatCode>
              <c:ptCount val="1"/>
              <c:pt idx="0">
                <c:v>67.5</c:v>
              </c:pt>
            </c:numLit>
          </c:yVal>
          <c:smooth val="0"/>
        </c:ser>
        <c:ser>
          <c:idx val="34"/>
          <c:order val="34"/>
          <c:tx>
            <c:v>IBUPO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0.90300000000000002</c:v>
                </c:pt>
              </c:numLit>
            </c:plus>
            <c:minus>
              <c:numLit>
                <c:formatCode>General</c:formatCode>
                <c:ptCount val="1"/>
                <c:pt idx="0">
                  <c:v>0.57080000000000009</c:v>
                </c:pt>
              </c:numLit>
            </c:minus>
          </c:errBars>
          <c:xVal>
            <c:numRef>
              <c:f>'Random Effects (Vague)'!$I$39</c:f>
              <c:numCache>
                <c:formatCode>General</c:formatCode>
                <c:ptCount val="1"/>
                <c:pt idx="0">
                  <c:v>1.4510000000000001</c:v>
                </c:pt>
              </c:numCache>
            </c:numRef>
          </c:xVal>
          <c:yVal>
            <c:numLit>
              <c:formatCode>General</c:formatCode>
              <c:ptCount val="1"/>
              <c:pt idx="0">
                <c:v>69.5</c:v>
              </c:pt>
            </c:numLit>
          </c:yVal>
          <c:smooth val="0"/>
        </c:ser>
        <c:ser>
          <c:idx val="35"/>
          <c:order val="35"/>
          <c:tx>
            <c:v>IBUPO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1.181573629541915</c:v>
                </c:pt>
              </c:numLit>
            </c:plus>
            <c:minus>
              <c:numLit>
                <c:formatCode>General</c:formatCode>
                <c:ptCount val="1"/>
                <c:pt idx="0">
                  <c:v>0.65071802677422474</c:v>
                </c:pt>
              </c:numLit>
            </c:minus>
          </c:errBars>
          <c:xVal>
            <c:numRef>
              <c:f>'Random Effects (Vague)'!$I$40</c:f>
              <c:numCache>
                <c:formatCode>General</c:formatCode>
                <c:ptCount val="1"/>
                <c:pt idx="0">
                  <c:v>1.4158289678606824</c:v>
                </c:pt>
              </c:numCache>
            </c:numRef>
          </c:xVal>
          <c:yVal>
            <c:numLit>
              <c:formatCode>General</c:formatCode>
              <c:ptCount val="1"/>
              <c:pt idx="0">
                <c:v>71.5</c:v>
              </c:pt>
            </c:numLit>
          </c:yVal>
          <c:smooth val="0"/>
        </c:ser>
        <c:ser>
          <c:idx val="36"/>
          <c:order val="36"/>
          <c:tx>
            <c:v>IBUIV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2.7926614811173565</c:v>
                </c:pt>
              </c:numLit>
            </c:plus>
            <c:minus>
              <c:numLit>
                <c:formatCode>General</c:formatCode>
                <c:ptCount val="1"/>
                <c:pt idx="0">
                  <c:v>0.92408630374190259</c:v>
                </c:pt>
              </c:numLit>
            </c:minus>
          </c:errBars>
          <c:xVal>
            <c:numRef>
              <c:f>'Random Effects (Vague)'!$I$41</c:f>
              <c:numCache>
                <c:formatCode>General</c:formatCode>
                <c:ptCount val="1"/>
                <c:pt idx="0">
                  <c:v>1.386193512614361</c:v>
                </c:pt>
              </c:numCache>
            </c:numRef>
          </c:xVal>
          <c:yVal>
            <c:numLit>
              <c:formatCode>General</c:formatCode>
              <c:ptCount val="1"/>
              <c:pt idx="0">
                <c:v>73.5</c:v>
              </c:pt>
            </c:numLit>
          </c:yVal>
          <c:smooth val="0"/>
        </c:ser>
        <c:ser>
          <c:idx val="37"/>
          <c:order val="37"/>
          <c:tx>
            <c:v>PARAPO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1.0649999999999999</c:v>
                </c:pt>
              </c:numLit>
            </c:plus>
            <c:minus>
              <c:numLit>
                <c:formatCode>General</c:formatCode>
                <c:ptCount val="1"/>
                <c:pt idx="0">
                  <c:v>0.6009000000000001</c:v>
                </c:pt>
              </c:numLit>
            </c:minus>
          </c:errBars>
          <c:xVal>
            <c:numRef>
              <c:f>'Random Effects (Vague)'!$I$42</c:f>
              <c:numCache>
                <c:formatCode>General</c:formatCode>
                <c:ptCount val="1"/>
                <c:pt idx="0">
                  <c:v>1.3260000000000001</c:v>
                </c:pt>
              </c:numCache>
            </c:numRef>
          </c:xVal>
          <c:yVal>
            <c:numLit>
              <c:formatCode>General</c:formatCode>
              <c:ptCount val="1"/>
              <c:pt idx="0">
                <c:v>75.5</c:v>
              </c:pt>
            </c:numLit>
          </c:yVal>
          <c:smooth val="0"/>
        </c:ser>
        <c:ser>
          <c:idx val="38"/>
          <c:order val="38"/>
          <c:tx>
            <c:v>INDOTHERS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2.948</c:v>
                </c:pt>
              </c:numLit>
            </c:plus>
            <c:minus>
              <c:numLit>
                <c:formatCode>General</c:formatCode>
                <c:ptCount val="1"/>
                <c:pt idx="0">
                  <c:v>0.87049999999999983</c:v>
                </c:pt>
              </c:numLit>
            </c:minus>
          </c:errBars>
          <c:xVal>
            <c:numRef>
              <c:f>'Random Effects (Vague)'!$I$43</c:f>
              <c:numCache>
                <c:formatCode>General</c:formatCode>
                <c:ptCount val="1"/>
                <c:pt idx="0">
                  <c:v>1.2749999999999999</c:v>
                </c:pt>
              </c:numCache>
            </c:numRef>
          </c:xVal>
          <c:yVal>
            <c:numLit>
              <c:formatCode>General</c:formatCode>
              <c:ptCount val="1"/>
              <c:pt idx="0">
                <c:v>77.5</c:v>
              </c:pt>
            </c:numLit>
          </c:yVal>
          <c:smooth val="0"/>
        </c:ser>
        <c:ser>
          <c:idx val="39"/>
          <c:order val="39"/>
          <c:tx>
            <c:v>IBUPOHIGHDOSE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1.6679999999999999</c:v>
                </c:pt>
              </c:numLit>
            </c:plus>
            <c:minus>
              <c:numLit>
                <c:formatCode>General</c:formatCode>
                <c:ptCount val="1"/>
                <c:pt idx="0">
                  <c:v>0.69149999999999989</c:v>
                </c:pt>
              </c:numLit>
            </c:minus>
          </c:errBars>
          <c:xVal>
            <c:numRef>
              <c:f>'Random Effects (Vague)'!$I$44</c:f>
              <c:numCache>
                <c:formatCode>0.0000</c:formatCode>
                <c:ptCount val="1"/>
                <c:pt idx="0">
                  <c:v>1.2609999999999999</c:v>
                </c:pt>
              </c:numCache>
            </c:numRef>
          </c:xVal>
          <c:yVal>
            <c:numLit>
              <c:formatCode>General</c:formatCode>
              <c:ptCount val="1"/>
              <c:pt idx="0">
                <c:v>79.5</c:v>
              </c:pt>
            </c:numLit>
          </c:yVal>
          <c:smooth val="0"/>
        </c:ser>
        <c:ser>
          <c:idx val="40"/>
          <c:order val="40"/>
          <c:tx>
            <c:v>INDOIVCONT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2.169</c:v>
                </c:pt>
              </c:numLit>
            </c:plus>
            <c:minus>
              <c:numLit>
                <c:formatCode>General</c:formatCode>
                <c:ptCount val="1"/>
                <c:pt idx="0">
                  <c:v>0.80199999999999982</c:v>
                </c:pt>
              </c:numLit>
            </c:minus>
          </c:errBars>
          <c:xVal>
            <c:numRef>
              <c:f>'Random Effects (Vague)'!$I$45</c:f>
              <c:numCache>
                <c:formatCode>0.0000</c:formatCode>
                <c:ptCount val="1"/>
                <c:pt idx="0">
                  <c:v>1.2509999999999999</c:v>
                </c:pt>
              </c:numCache>
            </c:numRef>
          </c:xVal>
          <c:yVal>
            <c:numLit>
              <c:formatCode>General</c:formatCode>
              <c:ptCount val="1"/>
              <c:pt idx="0">
                <c:v>81.5</c:v>
              </c:pt>
            </c:numLit>
          </c:yVal>
          <c:smooth val="0"/>
        </c:ser>
        <c:ser>
          <c:idx val="41"/>
          <c:order val="41"/>
          <c:tx>
            <c:v>INDOIV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2.3283764132749996</c:v>
                </c:pt>
              </c:numLit>
            </c:plus>
            <c:minus>
              <c:numLit>
                <c:formatCode>General</c:formatCode>
                <c:ptCount val="1"/>
                <c:pt idx="0">
                  <c:v>0.79683778851700615</c:v>
                </c:pt>
              </c:numLit>
            </c:minus>
          </c:errBars>
          <c:xVal>
            <c:numRef>
              <c:f>'Random Effects (Vague)'!$I$46</c:f>
              <c:numCache>
                <c:formatCode>0.0000</c:formatCode>
                <c:ptCount val="1"/>
                <c:pt idx="0">
                  <c:v>1.2468827930174562</c:v>
                </c:pt>
              </c:numCache>
            </c:numRef>
          </c:xVal>
          <c:yVal>
            <c:numLit>
              <c:formatCode>General</c:formatCode>
              <c:ptCount val="1"/>
              <c:pt idx="0">
                <c:v>83.5</c:v>
              </c:pt>
            </c:numLit>
          </c:yVal>
          <c:smooth val="0"/>
        </c:ser>
        <c:ser>
          <c:idx val="42"/>
          <c:order val="42"/>
          <c:tx>
            <c:v>IBUIVHIGHDOSE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5.4489999999999998</c:v>
                </c:pt>
              </c:numLit>
            </c:plus>
            <c:minus>
              <c:numLit>
                <c:formatCode>General</c:formatCode>
                <c:ptCount val="1"/>
                <c:pt idx="0">
                  <c:v>0.98899999999999999</c:v>
                </c:pt>
              </c:numLit>
            </c:minus>
          </c:errBars>
          <c:xVal>
            <c:numRef>
              <c:f>'Random Effects (Vague)'!$I$47</c:f>
              <c:numCache>
                <c:formatCode>0.0000</c:formatCode>
                <c:ptCount val="1"/>
                <c:pt idx="0">
                  <c:v>1.246</c:v>
                </c:pt>
              </c:numCache>
            </c:numRef>
          </c:xVal>
          <c:yVal>
            <c:numLit>
              <c:formatCode>General</c:formatCode>
              <c:ptCount val="1"/>
              <c:pt idx="0">
                <c:v>85.5</c:v>
              </c:pt>
            </c:numLit>
          </c:yVal>
          <c:smooth val="0"/>
        </c:ser>
        <c:ser>
          <c:idx val="43"/>
          <c:order val="43"/>
          <c:tx>
            <c:v>INDOTHERS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0.83100000000000018</c:v>
                </c:pt>
              </c:numLit>
            </c:plus>
            <c:minus>
              <c:numLit>
                <c:formatCode>General</c:formatCode>
                <c:ptCount val="1"/>
                <c:pt idx="0">
                  <c:v>0.46219999999999994</c:v>
                </c:pt>
              </c:numLit>
            </c:minus>
          </c:errBars>
          <c:xVal>
            <c:numRef>
              <c:f>'Random Effects (Vague)'!$I$48</c:f>
              <c:numCache>
                <c:formatCode>General</c:formatCode>
                <c:ptCount val="1"/>
                <c:pt idx="0">
                  <c:v>1.0229999999999999</c:v>
                </c:pt>
              </c:numCache>
            </c:numRef>
          </c:xVal>
          <c:yVal>
            <c:numLit>
              <c:formatCode>General</c:formatCode>
              <c:ptCount val="1"/>
              <c:pt idx="0">
                <c:v>87.5</c:v>
              </c:pt>
            </c:numLit>
          </c:yVal>
          <c:smooth val="0"/>
        </c:ser>
        <c:ser>
          <c:idx val="44"/>
          <c:order val="44"/>
          <c:tx>
            <c:v>IBUPOHIGHDOSE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4.4489999999999998</c:v>
                </c:pt>
              </c:numLit>
            </c:plus>
            <c:minus>
              <c:numLit>
                <c:formatCode>General</c:formatCode>
                <c:ptCount val="1"/>
                <c:pt idx="0">
                  <c:v>0.83760000000000001</c:v>
                </c:pt>
              </c:numLit>
            </c:minus>
          </c:errBars>
          <c:xVal>
            <c:numRef>
              <c:f>'Random Effects (Vague)'!$I$49</c:f>
              <c:numCache>
                <c:formatCode>General</c:formatCode>
                <c:ptCount val="1"/>
                <c:pt idx="0">
                  <c:v>1.016</c:v>
                </c:pt>
              </c:numCache>
            </c:numRef>
          </c:xVal>
          <c:yVal>
            <c:numLit>
              <c:formatCode>General</c:formatCode>
              <c:ptCount val="1"/>
              <c:pt idx="0">
                <c:v>89.5</c:v>
              </c:pt>
            </c:numLit>
          </c:yVal>
          <c:smooth val="0"/>
        </c:ser>
        <c:dLbls>
          <c:showLegendKey val="0"/>
          <c:showVal val="0"/>
          <c:showCatName val="0"/>
          <c:showSerName val="0"/>
          <c:showPercent val="0"/>
          <c:showBubbleSize val="0"/>
        </c:dLbls>
        <c:axId val="572499824"/>
        <c:axId val="94349120"/>
      </c:scatterChart>
      <c:valAx>
        <c:axId val="572499824"/>
        <c:scaling>
          <c:logBase val="10"/>
          <c:orientation val="minMax"/>
        </c:scaling>
        <c:delete val="0"/>
        <c:axPos val="b"/>
        <c:numFmt formatCode="General" sourceLinked="1"/>
        <c:majorTickMark val="out"/>
        <c:minorTickMark val="out"/>
        <c:tickLblPos val="nextTo"/>
        <c:crossAx val="94349120"/>
        <c:crossesAt val="0"/>
        <c:crossBetween val="midCat"/>
      </c:valAx>
      <c:valAx>
        <c:axId val="94349120"/>
        <c:scaling>
          <c:orientation val="minMax"/>
          <c:max val="90"/>
          <c:min val="0"/>
        </c:scaling>
        <c:delete val="0"/>
        <c:axPos val="l"/>
        <c:numFmt formatCode="General" sourceLinked="1"/>
        <c:majorTickMark val="none"/>
        <c:minorTickMark val="none"/>
        <c:tickLblPos val="none"/>
        <c:crossAx val="572499824"/>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1"/>
    <c:plotArea>
      <c:layout>
        <c:manualLayout>
          <c:layoutTarget val="inner"/>
          <c:xMode val="edge"/>
          <c:yMode val="edge"/>
          <c:x val="0.10873537086058752"/>
          <c:y val="9.2707258806466714E-2"/>
          <c:w val="0.59977788845437863"/>
          <c:h val="0.74626563106439092"/>
        </c:manualLayout>
      </c:layout>
      <c:lineChart>
        <c:grouping val="standard"/>
        <c:varyColors val="0"/>
        <c:ser>
          <c:idx val="0"/>
          <c:order val="0"/>
          <c:tx>
            <c:strRef>
              <c:f>'Rankogram Data'!$M$4</c:f>
              <c:strCache>
                <c:ptCount val="1"/>
                <c:pt idx="0">
                  <c:v>INDOIV</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Data'!$M$5:$M$100</c:f>
              <c:numCache>
                <c:formatCode>General</c:formatCode>
                <c:ptCount val="10"/>
                <c:pt idx="0">
                  <c:v>5.4169999999999999E-4</c:v>
                </c:pt>
                <c:pt idx="1">
                  <c:v>4.6249999999999998E-3</c:v>
                </c:pt>
                <c:pt idx="2">
                  <c:v>1.771E-2</c:v>
                </c:pt>
                <c:pt idx="3">
                  <c:v>7.3880000000000001E-2</c:v>
                </c:pt>
                <c:pt idx="4">
                  <c:v>0.29020000000000001</c:v>
                </c:pt>
                <c:pt idx="5">
                  <c:v>0.41549999999999998</c:v>
                </c:pt>
                <c:pt idx="6">
                  <c:v>0.1779</c:v>
                </c:pt>
                <c:pt idx="7">
                  <c:v>1.8780000000000002E-2</c:v>
                </c:pt>
                <c:pt idx="8">
                  <c:v>9.167E-4</c:v>
                </c:pt>
                <c:pt idx="9">
                  <c:v>0</c:v>
                </c:pt>
              </c:numCache>
            </c:numRef>
          </c:val>
          <c:smooth val="0"/>
        </c:ser>
        <c:ser>
          <c:idx val="1"/>
          <c:order val="1"/>
          <c:tx>
            <c:strRef>
              <c:f>'Rankogram Data'!$N$4</c:f>
              <c:strCache>
                <c:ptCount val="1"/>
                <c:pt idx="0">
                  <c:v>IBUIV</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Data'!$N$5:$N$100</c:f>
              <c:numCache>
                <c:formatCode>General</c:formatCode>
                <c:ptCount val="10"/>
                <c:pt idx="0">
                  <c:v>0</c:v>
                </c:pt>
                <c:pt idx="1">
                  <c:v>8.3329999999999997E-6</c:v>
                </c:pt>
                <c:pt idx="2">
                  <c:v>1.6670000000000001E-5</c:v>
                </c:pt>
                <c:pt idx="3">
                  <c:v>2.3330000000000001E-4</c:v>
                </c:pt>
                <c:pt idx="4">
                  <c:v>2.333E-3</c:v>
                </c:pt>
                <c:pt idx="5">
                  <c:v>2.852E-2</c:v>
                </c:pt>
                <c:pt idx="6">
                  <c:v>0.26779999999999998</c:v>
                </c:pt>
                <c:pt idx="7">
                  <c:v>0.53990000000000005</c:v>
                </c:pt>
                <c:pt idx="8">
                  <c:v>0.16120000000000001</c:v>
                </c:pt>
                <c:pt idx="9">
                  <c:v>0</c:v>
                </c:pt>
              </c:numCache>
            </c:numRef>
          </c:val>
          <c:smooth val="0"/>
        </c:ser>
        <c:ser>
          <c:idx val="2"/>
          <c:order val="2"/>
          <c:tx>
            <c:strRef>
              <c:f>'Rankogram Data'!$O$4</c:f>
              <c:strCache>
                <c:ptCount val="1"/>
                <c:pt idx="0">
                  <c:v>IBUPO</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Data'!$O$5:$O$100</c:f>
              <c:numCache>
                <c:formatCode>General</c:formatCode>
                <c:ptCount val="10"/>
                <c:pt idx="0">
                  <c:v>6.5079999999999999E-3</c:v>
                </c:pt>
                <c:pt idx="1">
                  <c:v>5.772E-2</c:v>
                </c:pt>
                <c:pt idx="2">
                  <c:v>0.26340000000000002</c:v>
                </c:pt>
                <c:pt idx="3">
                  <c:v>0.47589999999999999</c:v>
                </c:pt>
                <c:pt idx="4">
                  <c:v>0.14729999999999999</c:v>
                </c:pt>
                <c:pt idx="5">
                  <c:v>3.8600000000000002E-2</c:v>
                </c:pt>
                <c:pt idx="6">
                  <c:v>9.6749999999999996E-3</c:v>
                </c:pt>
                <c:pt idx="7">
                  <c:v>8.6669999999999998E-4</c:v>
                </c:pt>
                <c:pt idx="8">
                  <c:v>4.1669999999999999E-5</c:v>
                </c:pt>
                <c:pt idx="9">
                  <c:v>0</c:v>
                </c:pt>
              </c:numCache>
            </c:numRef>
          </c:val>
          <c:smooth val="0"/>
        </c:ser>
        <c:ser>
          <c:idx val="3"/>
          <c:order val="3"/>
          <c:tx>
            <c:strRef>
              <c:f>'Rankogram Data'!$P$4</c:f>
              <c:strCache>
                <c:ptCount val="1"/>
                <c:pt idx="0">
                  <c:v>PARAPO</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Data'!$P$5:$P$100</c:f>
              <c:numCache>
                <c:formatCode>General</c:formatCode>
                <c:ptCount val="10"/>
                <c:pt idx="0">
                  <c:v>0.1193</c:v>
                </c:pt>
                <c:pt idx="1">
                  <c:v>0.3538</c:v>
                </c:pt>
                <c:pt idx="2">
                  <c:v>0.34689999999999999</c:v>
                </c:pt>
                <c:pt idx="3">
                  <c:v>0.1047</c:v>
                </c:pt>
                <c:pt idx="4">
                  <c:v>4.3360000000000003E-2</c:v>
                </c:pt>
                <c:pt idx="5">
                  <c:v>2.053E-2</c:v>
                </c:pt>
                <c:pt idx="6">
                  <c:v>8.6420000000000004E-3</c:v>
                </c:pt>
                <c:pt idx="7">
                  <c:v>2.2669999999999999E-3</c:v>
                </c:pt>
                <c:pt idx="8">
                  <c:v>5.2499999999999997E-4</c:v>
                </c:pt>
                <c:pt idx="9">
                  <c:v>0</c:v>
                </c:pt>
              </c:numCache>
            </c:numRef>
          </c:val>
          <c:smooth val="0"/>
        </c:ser>
        <c:ser>
          <c:idx val="4"/>
          <c:order val="4"/>
          <c:tx>
            <c:strRef>
              <c:f>'Rankogram Data'!$Q$4</c:f>
              <c:strCache>
                <c:ptCount val="1"/>
                <c:pt idx="0">
                  <c:v>IBUIVHIGHDOSE</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Data'!$Q$5:$Q$100</c:f>
              <c:numCache>
                <c:formatCode>General</c:formatCode>
                <c:ptCount val="10"/>
                <c:pt idx="0">
                  <c:v>0.45279999999999998</c:v>
                </c:pt>
                <c:pt idx="1">
                  <c:v>0.16309999999999999</c:v>
                </c:pt>
                <c:pt idx="2">
                  <c:v>0.1258</c:v>
                </c:pt>
                <c:pt idx="3">
                  <c:v>9.1520000000000004E-2</c:v>
                </c:pt>
                <c:pt idx="4">
                  <c:v>5.6160000000000002E-2</c:v>
                </c:pt>
                <c:pt idx="5">
                  <c:v>4.5379999999999997E-2</c:v>
                </c:pt>
                <c:pt idx="6">
                  <c:v>3.3919999999999999E-2</c:v>
                </c:pt>
                <c:pt idx="7">
                  <c:v>1.9449999999999999E-2</c:v>
                </c:pt>
                <c:pt idx="8">
                  <c:v>1.162E-2</c:v>
                </c:pt>
                <c:pt idx="9">
                  <c:v>2.1670000000000001E-4</c:v>
                </c:pt>
              </c:numCache>
            </c:numRef>
          </c:val>
          <c:smooth val="0"/>
        </c:ser>
        <c:ser>
          <c:idx val="5"/>
          <c:order val="5"/>
          <c:tx>
            <c:strRef>
              <c:f>'Rankogram Data'!$R$4</c:f>
              <c:strCache>
                <c:ptCount val="1"/>
                <c:pt idx="0">
                  <c:v>IBUPOHIGHDOSE</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Data'!$R$5:$R$100</c:f>
              <c:numCache>
                <c:formatCode>General</c:formatCode>
                <c:ptCount val="10"/>
                <c:pt idx="0">
                  <c:v>0.3982</c:v>
                </c:pt>
                <c:pt idx="1">
                  <c:v>0.36530000000000001</c:v>
                </c:pt>
                <c:pt idx="2">
                  <c:v>0.14530000000000001</c:v>
                </c:pt>
                <c:pt idx="3">
                  <c:v>5.008E-2</c:v>
                </c:pt>
                <c:pt idx="4">
                  <c:v>2.1559999999999999E-2</c:v>
                </c:pt>
                <c:pt idx="5">
                  <c:v>1.218E-2</c:v>
                </c:pt>
                <c:pt idx="6">
                  <c:v>5.3420000000000004E-3</c:v>
                </c:pt>
                <c:pt idx="7">
                  <c:v>1.508E-3</c:v>
                </c:pt>
                <c:pt idx="8">
                  <c:v>5.7499999999999999E-4</c:v>
                </c:pt>
                <c:pt idx="9">
                  <c:v>0</c:v>
                </c:pt>
              </c:numCache>
            </c:numRef>
          </c:val>
          <c:smooth val="0"/>
        </c:ser>
        <c:ser>
          <c:idx val="6"/>
          <c:order val="6"/>
          <c:tx>
            <c:strRef>
              <c:f>'Rankogram Data'!$S$4</c:f>
              <c:strCache>
                <c:ptCount val="1"/>
                <c:pt idx="0">
                  <c:v>IBUIVCONT</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Data'!$S$5:$S$100</c:f>
              <c:numCache>
                <c:formatCode>General</c:formatCode>
                <c:ptCount val="10"/>
                <c:pt idx="0">
                  <c:v>2.1329999999999999E-3</c:v>
                </c:pt>
                <c:pt idx="1">
                  <c:v>6.0080000000000003E-3</c:v>
                </c:pt>
                <c:pt idx="2">
                  <c:v>9.6249999999999999E-3</c:v>
                </c:pt>
                <c:pt idx="3">
                  <c:v>1.559E-2</c:v>
                </c:pt>
                <c:pt idx="4">
                  <c:v>3.0179999999999998E-2</c:v>
                </c:pt>
                <c:pt idx="5">
                  <c:v>4.2529999999999998E-2</c:v>
                </c:pt>
                <c:pt idx="6">
                  <c:v>8.7809999999999999E-2</c:v>
                </c:pt>
                <c:pt idx="7">
                  <c:v>0.15870000000000001</c:v>
                </c:pt>
                <c:pt idx="8">
                  <c:v>0.61680000000000001</c:v>
                </c:pt>
                <c:pt idx="9">
                  <c:v>3.0669999999999999E-2</c:v>
                </c:pt>
              </c:numCache>
            </c:numRef>
          </c:val>
          <c:smooth val="0"/>
        </c:ser>
        <c:ser>
          <c:idx val="7"/>
          <c:order val="7"/>
          <c:tx>
            <c:strRef>
              <c:f>'Rankogram Data'!$T$4</c:f>
              <c:strCache>
                <c:ptCount val="1"/>
                <c:pt idx="0">
                  <c:v>INDOIVCONT</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Data'!$T$5:$T$100</c:f>
              <c:numCache>
                <c:formatCode>General</c:formatCode>
                <c:ptCount val="10"/>
                <c:pt idx="0">
                  <c:v>1.6490000000000001E-2</c:v>
                </c:pt>
                <c:pt idx="1">
                  <c:v>3.116E-2</c:v>
                </c:pt>
                <c:pt idx="2">
                  <c:v>4.6089999999999999E-2</c:v>
                </c:pt>
                <c:pt idx="3">
                  <c:v>7.1179999999999993E-2</c:v>
                </c:pt>
                <c:pt idx="4">
                  <c:v>0.1201</c:v>
                </c:pt>
                <c:pt idx="5">
                  <c:v>0.126</c:v>
                </c:pt>
                <c:pt idx="6">
                  <c:v>0.22869999999999999</c:v>
                </c:pt>
                <c:pt idx="7">
                  <c:v>0.2</c:v>
                </c:pt>
                <c:pt idx="8">
                  <c:v>0.15840000000000001</c:v>
                </c:pt>
                <c:pt idx="9">
                  <c:v>1.7669999999999999E-3</c:v>
                </c:pt>
              </c:numCache>
            </c:numRef>
          </c:val>
          <c:smooth val="0"/>
        </c:ser>
        <c:ser>
          <c:idx val="8"/>
          <c:order val="8"/>
          <c:tx>
            <c:strRef>
              <c:f>'Rankogram Data'!$U$4</c:f>
              <c:strCache>
                <c:ptCount val="1"/>
                <c:pt idx="0">
                  <c:v>INDOTHERS</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Data'!$U$5:$U$100</c:f>
              <c:numCache>
                <c:formatCode>General</c:formatCode>
                <c:ptCount val="10"/>
                <c:pt idx="0">
                  <c:v>4.1000000000000003E-3</c:v>
                </c:pt>
                <c:pt idx="1">
                  <c:v>1.8249999999999999E-2</c:v>
                </c:pt>
                <c:pt idx="2">
                  <c:v>4.5170000000000002E-2</c:v>
                </c:pt>
                <c:pt idx="3">
                  <c:v>0.1169</c:v>
                </c:pt>
                <c:pt idx="4">
                  <c:v>0.2888</c:v>
                </c:pt>
                <c:pt idx="5">
                  <c:v>0.27079999999999999</c:v>
                </c:pt>
                <c:pt idx="6">
                  <c:v>0.1802</c:v>
                </c:pt>
                <c:pt idx="7">
                  <c:v>5.8259999999999999E-2</c:v>
                </c:pt>
                <c:pt idx="8">
                  <c:v>1.754E-2</c:v>
                </c:pt>
                <c:pt idx="9">
                  <c:v>0</c:v>
                </c:pt>
              </c:numCache>
            </c:numRef>
          </c:val>
          <c:smooth val="0"/>
        </c:ser>
        <c:ser>
          <c:idx val="9"/>
          <c:order val="9"/>
          <c:tx>
            <c:strRef>
              <c:f>'Rankogram Data'!$V$4</c:f>
              <c:strCache>
                <c:ptCount val="1"/>
                <c:pt idx="0">
                  <c:v>PLAC_NORX</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Data'!$V$5:$V$100</c:f>
              <c:numCache>
                <c:formatCode>General</c:formatCode>
                <c:ptCount val="10"/>
                <c:pt idx="0">
                  <c:v>0</c:v>
                </c:pt>
                <c:pt idx="1">
                  <c:v>0</c:v>
                </c:pt>
                <c:pt idx="2">
                  <c:v>0</c:v>
                </c:pt>
                <c:pt idx="3">
                  <c:v>0</c:v>
                </c:pt>
                <c:pt idx="4">
                  <c:v>0</c:v>
                </c:pt>
                <c:pt idx="5">
                  <c:v>0</c:v>
                </c:pt>
                <c:pt idx="6">
                  <c:v>0</c:v>
                </c:pt>
                <c:pt idx="7">
                  <c:v>2.6669999999999998E-4</c:v>
                </c:pt>
                <c:pt idx="8">
                  <c:v>3.2379999999999999E-2</c:v>
                </c:pt>
                <c:pt idx="9">
                  <c:v>0.96740000000000004</c:v>
                </c:pt>
              </c:numCache>
            </c:numRef>
          </c:val>
          <c:smooth val="0"/>
        </c:ser>
        <c:ser>
          <c:idx val="10"/>
          <c:order val="10"/>
          <c:tx>
            <c:strRef>
              <c:f>'Rankogram Data'!$W$4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Data'!$W$5:$W$100</c:f>
            </c:numRef>
          </c:val>
          <c:smooth val="0"/>
        </c:ser>
        <c:ser>
          <c:idx val="11"/>
          <c:order val="11"/>
          <c:tx>
            <c:strRef>
              <c:f>'Rankogram Data'!$X$4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Data'!$X$5:$X$100</c:f>
            </c:numRef>
          </c:val>
          <c:smooth val="0"/>
        </c:ser>
        <c:ser>
          <c:idx val="12"/>
          <c:order val="12"/>
          <c:tx>
            <c:strRef>
              <c:f>'Rankogram Data'!$Y$4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Data'!$Y$5:$Y$100</c:f>
            </c:numRef>
          </c:val>
          <c:smooth val="0"/>
        </c:ser>
        <c:ser>
          <c:idx val="13"/>
          <c:order val="13"/>
          <c:tx>
            <c:strRef>
              <c:f>'Rankogram Data'!$Z$4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Data'!$Z$5:$Z$100</c:f>
            </c:numRef>
          </c:val>
          <c:smooth val="0"/>
        </c:ser>
        <c:ser>
          <c:idx val="14"/>
          <c:order val="14"/>
          <c:tx>
            <c:strRef>
              <c:f>'Rankogram Data'!$AA$4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Data'!$AA$5:$AA$100</c:f>
            </c:numRef>
          </c:val>
          <c:smooth val="0"/>
        </c:ser>
        <c:dLbls>
          <c:showLegendKey val="0"/>
          <c:showVal val="0"/>
          <c:showCatName val="0"/>
          <c:showSerName val="0"/>
          <c:showPercent val="0"/>
          <c:showBubbleSize val="0"/>
        </c:dLbls>
        <c:smooth val="0"/>
        <c:axId val="374456824"/>
        <c:axId val="374457216"/>
      </c:lineChart>
      <c:catAx>
        <c:axId val="374456824"/>
        <c:scaling>
          <c:orientation val="minMax"/>
        </c:scaling>
        <c:delete val="0"/>
        <c:axPos val="b"/>
        <c:title>
          <c:tx>
            <c:rich>
              <a:bodyPr/>
              <a:lstStyle/>
              <a:p>
                <a:pPr>
                  <a:defRPr sz="1100"/>
                </a:pPr>
                <a:r>
                  <a:rPr lang="en-US" sz="1100"/>
                  <a:t>Rank</a:t>
                </a:r>
              </a:p>
            </c:rich>
          </c:tx>
          <c:layout>
            <c:manualLayout>
              <c:xMode val="edge"/>
              <c:yMode val="edge"/>
              <c:x val="0.38751809869920828"/>
              <c:y val="0.88750082016866638"/>
            </c:manualLayout>
          </c:layout>
          <c:overlay val="0"/>
        </c:title>
        <c:numFmt formatCode="General" sourceLinked="1"/>
        <c:majorTickMark val="out"/>
        <c:minorTickMark val="none"/>
        <c:tickLblPos val="nextTo"/>
        <c:txPr>
          <a:bodyPr/>
          <a:lstStyle/>
          <a:p>
            <a:pPr>
              <a:defRPr b="1"/>
            </a:pPr>
            <a:endParaRPr lang="en-US"/>
          </a:p>
        </c:txPr>
        <c:crossAx val="374457216"/>
        <c:crosses val="autoZero"/>
        <c:auto val="1"/>
        <c:lblAlgn val="ctr"/>
        <c:lblOffset val="100"/>
        <c:noMultiLvlLbl val="0"/>
      </c:catAx>
      <c:valAx>
        <c:axId val="374457216"/>
        <c:scaling>
          <c:orientation val="minMax"/>
          <c:max val="1.05"/>
          <c:min val="0"/>
        </c:scaling>
        <c:delete val="0"/>
        <c:axPos val="l"/>
        <c:majorGridlines>
          <c:spPr>
            <a:ln>
              <a:solidFill>
                <a:sysClr val="windowText" lastClr="000000"/>
              </a:solidFill>
            </a:ln>
          </c:spPr>
        </c:majorGridlines>
        <c:title>
          <c:tx>
            <c:rich>
              <a:bodyPr rot="-5400000" vert="horz"/>
              <a:lstStyle/>
              <a:p>
                <a:pPr>
                  <a:defRPr sz="1200"/>
                </a:pPr>
                <a:r>
                  <a:rPr lang="en-US" sz="1200"/>
                  <a:t>Probability of Being Ranked</a:t>
                </a:r>
              </a:p>
            </c:rich>
          </c:tx>
          <c:overlay val="0"/>
        </c:title>
        <c:numFmt formatCode="General" sourceLinked="1"/>
        <c:majorTickMark val="out"/>
        <c:minorTickMark val="none"/>
        <c:tickLblPos val="nextTo"/>
        <c:txPr>
          <a:bodyPr/>
          <a:lstStyle/>
          <a:p>
            <a:pPr>
              <a:defRPr b="1"/>
            </a:pPr>
            <a:endParaRPr lang="en-US"/>
          </a:p>
        </c:txPr>
        <c:crossAx val="374456824"/>
        <c:crosses val="autoZero"/>
        <c:crossBetween val="between"/>
        <c:majorUnit val="0.1"/>
      </c:valAx>
      <c:spPr>
        <a:solidFill>
          <a:schemeClr val="bg1"/>
        </a:solidFill>
        <a:ln>
          <a:solidFill>
            <a:sysClr val="windowText" lastClr="000000"/>
          </a:solidFill>
        </a:ln>
        <a:effectLst>
          <a:outerShdw blurRad="50800" dist="38100" dir="8100000" algn="tr" rotWithShape="0">
            <a:prstClr val="black">
              <a:alpha val="40000"/>
            </a:prstClr>
          </a:outerShdw>
        </a:effectLst>
      </c:spPr>
    </c:plotArea>
    <c:legend>
      <c:legendPos val="r"/>
      <c:layout>
        <c:manualLayout>
          <c:xMode val="edge"/>
          <c:yMode val="edge"/>
          <c:x val="0.73255896859046454"/>
          <c:y val="9.0924255815095223E-2"/>
          <c:w val="0.15631542211069771"/>
          <c:h val="0.38931996618601472"/>
        </c:manualLayout>
      </c:layout>
      <c:overlay val="0"/>
      <c:spPr>
        <a:solidFill>
          <a:schemeClr val="bg1"/>
        </a:solidFill>
        <a:ln>
          <a:solidFill>
            <a:sysClr val="windowText" lastClr="000000"/>
          </a:solidFill>
        </a:ln>
        <a:effectLst>
          <a:outerShdw blurRad="50800" dist="38100" dir="8100000" algn="tr" rotWithShape="0">
            <a:prstClr val="black">
              <a:alpha val="40000"/>
            </a:prstClr>
          </a:outerShdw>
        </a:effectLst>
      </c:spPr>
      <c:txPr>
        <a:bodyPr/>
        <a:lstStyle/>
        <a:p>
          <a:pPr>
            <a:defRPr sz="1100"/>
          </a:pPr>
          <a:endParaRPr lang="en-US"/>
        </a:p>
      </c:txPr>
    </c:legend>
    <c:plotVisOnly val="1"/>
    <c:dispBlanksAs val="gap"/>
    <c:showDLblsOverMax val="0"/>
  </c:chart>
  <c:spPr>
    <a:solidFill>
      <a:schemeClr val="accent1">
        <a:lumMod val="20000"/>
        <a:lumOff val="80000"/>
      </a:schemeClr>
    </a:solidFill>
    <a:effectLst>
      <a:outerShdw blurRad="50800" dist="38100" dir="8100000" algn="tr" rotWithShape="0">
        <a:prstClr val="black">
          <a:alpha val="40000"/>
        </a:prstClr>
      </a:outerShdw>
    </a:effectLst>
  </c:spPr>
  <c:printSettings>
    <c:headerFooter/>
    <c:pageMargins b="0.75000000000000833" l="0.70000000000000062" r="0.70000000000000062" t="0.75000000000000833"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324176488"/>
        <c:axId val="324176880"/>
      </c:scatterChart>
      <c:valAx>
        <c:axId val="324176488"/>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324176880"/>
        <c:crosses val="autoZero"/>
        <c:crossBetween val="midCat"/>
        <c:majorUnit val="0.5"/>
        <c:minorUnit val="0.25"/>
      </c:valAx>
      <c:valAx>
        <c:axId val="324176880"/>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324176488"/>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layout/>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pt idx="0">
                  <c:v>0.58299999999999996</c:v>
                </c:pt>
                <c:pt idx="1">
                  <c:v>0.60919999999999996</c:v>
                </c:pt>
                <c:pt idx="2">
                  <c:v>1.2450000000000001</c:v>
                </c:pt>
                <c:pt idx="3">
                  <c:v>1.1659999999999999</c:v>
                </c:pt>
                <c:pt idx="4">
                  <c:v>1.0169999999999999</c:v>
                </c:pt>
                <c:pt idx="5">
                  <c:v>1.0309999999999999</c:v>
                </c:pt>
                <c:pt idx="6">
                  <c:v>0.7601</c:v>
                </c:pt>
                <c:pt idx="7">
                  <c:v>0.46</c:v>
                </c:pt>
                <c:pt idx="8">
                  <c:v>0.27160000000000001</c:v>
                </c:pt>
                <c:pt idx="9">
                  <c:v>0.91149999999999998</c:v>
                </c:pt>
                <c:pt idx="10">
                  <c:v>0.86170000000000002</c:v>
                </c:pt>
                <c:pt idx="11">
                  <c:v>0.86350000000000005</c:v>
                </c:pt>
                <c:pt idx="12">
                  <c:v>0.85809999999999997</c:v>
                </c:pt>
                <c:pt idx="13">
                  <c:v>0.70809999999999995</c:v>
                </c:pt>
                <c:pt idx="14">
                  <c:v>1.204</c:v>
                </c:pt>
                <c:pt idx="15">
                  <c:v>1.1850000000000001</c:v>
                </c:pt>
                <c:pt idx="16">
                  <c:v>1.748</c:v>
                </c:pt>
                <c:pt idx="17">
                  <c:v>1.3180000000000001</c:v>
                </c:pt>
                <c:pt idx="18">
                  <c:v>0.86960000000000004</c:v>
                </c:pt>
                <c:pt idx="19">
                  <c:v>0.69589999999999996</c:v>
                </c:pt>
                <c:pt idx="20">
                  <c:v>1.448</c:v>
                </c:pt>
                <c:pt idx="21">
                  <c:v>1.5129999999999999</c:v>
                </c:pt>
                <c:pt idx="22">
                  <c:v>1.1100000000000001</c:v>
                </c:pt>
                <c:pt idx="23">
                  <c:v>1.196</c:v>
                </c:pt>
                <c:pt idx="24">
                  <c:v>0.83</c:v>
                </c:pt>
                <c:pt idx="25">
                  <c:v>0.87590000000000001</c:v>
                </c:pt>
              </c:numCache>
            </c:numRef>
          </c:xVal>
          <c:yVal>
            <c:numRef>
              <c:f>'Inconsistency Data'!$J$6:$J$105</c:f>
              <c:numCache>
                <c:formatCode>General</c:formatCode>
                <c:ptCount val="26"/>
                <c:pt idx="0">
                  <c:v>0.95389999999999997</c:v>
                </c:pt>
                <c:pt idx="1">
                  <c:v>0.79800000000000004</c:v>
                </c:pt>
                <c:pt idx="2">
                  <c:v>1.002</c:v>
                </c:pt>
                <c:pt idx="3">
                  <c:v>0.99880000000000002</c:v>
                </c:pt>
                <c:pt idx="4">
                  <c:v>1.0089999999999999</c:v>
                </c:pt>
                <c:pt idx="5">
                  <c:v>1.008</c:v>
                </c:pt>
                <c:pt idx="6">
                  <c:v>1.097</c:v>
                </c:pt>
                <c:pt idx="7">
                  <c:v>1.1539999999999999</c:v>
                </c:pt>
                <c:pt idx="8">
                  <c:v>0.26869999999999999</c:v>
                </c:pt>
                <c:pt idx="9">
                  <c:v>0.90749999999999997</c:v>
                </c:pt>
                <c:pt idx="10">
                  <c:v>1.087</c:v>
                </c:pt>
                <c:pt idx="11">
                  <c:v>1.0860000000000001</c:v>
                </c:pt>
                <c:pt idx="12">
                  <c:v>0.76590000000000003</c:v>
                </c:pt>
                <c:pt idx="13">
                  <c:v>0.61850000000000005</c:v>
                </c:pt>
                <c:pt idx="14">
                  <c:v>0.97670000000000001</c:v>
                </c:pt>
                <c:pt idx="15">
                  <c:v>0.81710000000000005</c:v>
                </c:pt>
                <c:pt idx="16">
                  <c:v>2.4209999999999998</c:v>
                </c:pt>
                <c:pt idx="17">
                  <c:v>1.643</c:v>
                </c:pt>
                <c:pt idx="18">
                  <c:v>0.76929999999999998</c:v>
                </c:pt>
                <c:pt idx="19">
                  <c:v>0.57620000000000005</c:v>
                </c:pt>
                <c:pt idx="20">
                  <c:v>0.82730000000000004</c:v>
                </c:pt>
                <c:pt idx="21">
                  <c:v>0.86760000000000004</c:v>
                </c:pt>
                <c:pt idx="22">
                  <c:v>0.90810000000000002</c:v>
                </c:pt>
                <c:pt idx="23">
                  <c:v>1.002</c:v>
                </c:pt>
                <c:pt idx="24">
                  <c:v>0.92849999999999999</c:v>
                </c:pt>
                <c:pt idx="25">
                  <c:v>0.91239999999999999</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324177664"/>
        <c:axId val="324178056"/>
      </c:scatterChart>
      <c:valAx>
        <c:axId val="324177664"/>
        <c:scaling>
          <c:orientation val="minMax"/>
          <c:max val="2"/>
          <c:min val="0"/>
        </c:scaling>
        <c:delete val="0"/>
        <c:axPos val="b"/>
        <c:title>
          <c:tx>
            <c:strRef>
              <c:f>'Inconsistency Data'!$F$5</c:f>
              <c:strCache>
                <c:ptCount val="1"/>
                <c:pt idx="0">
                  <c:v>Consistency Model</c:v>
                </c:pt>
              </c:strCache>
            </c:strRef>
          </c:tx>
          <c:layout/>
          <c:overlay val="0"/>
        </c:title>
        <c:numFmt formatCode="General" sourceLinked="1"/>
        <c:majorTickMark val="out"/>
        <c:minorTickMark val="out"/>
        <c:tickLblPos val="nextTo"/>
        <c:crossAx val="324178056"/>
        <c:crosses val="autoZero"/>
        <c:crossBetween val="midCat"/>
        <c:majorUnit val="0.5"/>
        <c:minorUnit val="0.25"/>
      </c:valAx>
      <c:valAx>
        <c:axId val="324178056"/>
        <c:scaling>
          <c:orientation val="minMax"/>
          <c:max val="2"/>
          <c:min val="0"/>
        </c:scaling>
        <c:delete val="0"/>
        <c:axPos val="l"/>
        <c:title>
          <c:tx>
            <c:strRef>
              <c:f>'Inconsistency Data'!$D$5</c:f>
              <c:strCache>
                <c:ptCount val="1"/>
                <c:pt idx="0">
                  <c:v>Inconsistency Model</c:v>
                </c:pt>
              </c:strCache>
            </c:strRef>
          </c:tx>
          <c:layout/>
          <c:overlay val="0"/>
          <c:txPr>
            <a:bodyPr rot="-5400000" vert="horz"/>
            <a:lstStyle/>
            <a:p>
              <a:pPr>
                <a:defRPr/>
              </a:pPr>
              <a:endParaRPr lang="en-US"/>
            </a:p>
          </c:txPr>
        </c:title>
        <c:numFmt formatCode="General" sourceLinked="1"/>
        <c:majorTickMark val="out"/>
        <c:minorTickMark val="out"/>
        <c:tickLblPos val="nextTo"/>
        <c:crossAx val="324177664"/>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userShapes r:id="rId1"/>
</c:chartSpac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twoCellAnchor>
    <xdr:from>
      <xdr:col>16</xdr:col>
      <xdr:colOff>469367</xdr:colOff>
      <xdr:row>41</xdr:row>
      <xdr:rowOff>18517</xdr:rowOff>
    </xdr:from>
    <xdr:to>
      <xdr:col>20</xdr:col>
      <xdr:colOff>191033</xdr:colOff>
      <xdr:row>52</xdr:row>
      <xdr:rowOff>83083</xdr:rowOff>
    </xdr:to>
    <xdr:sp macro="" textlink="">
      <xdr:nvSpPr>
        <xdr:cNvPr id="2" name="A"/>
        <xdr:cNvSpPr/>
      </xdr:nvSpPr>
      <xdr:spPr>
        <a:xfrm>
          <a:off x="12432767" y="7924267"/>
          <a:ext cx="2160066" cy="2160066"/>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19</xdr:col>
      <xdr:colOff>468840</xdr:colOff>
      <xdr:row>68</xdr:row>
      <xdr:rowOff>119590</xdr:rowOff>
    </xdr:from>
    <xdr:to>
      <xdr:col>22</xdr:col>
      <xdr:colOff>445559</xdr:colOff>
      <xdr:row>78</xdr:row>
      <xdr:rowOff>20109</xdr:rowOff>
    </xdr:to>
    <xdr:sp macro="" textlink="">
      <xdr:nvSpPr>
        <xdr:cNvPr id="3" name="B"/>
        <xdr:cNvSpPr/>
      </xdr:nvSpPr>
      <xdr:spPr>
        <a:xfrm>
          <a:off x="14261040" y="13168840"/>
          <a:ext cx="1805519" cy="1805519"/>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26</xdr:col>
      <xdr:colOff>588749</xdr:colOff>
      <xdr:row>85</xdr:row>
      <xdr:rowOff>99799</xdr:rowOff>
    </xdr:from>
    <xdr:to>
      <xdr:col>29</xdr:col>
      <xdr:colOff>401851</xdr:colOff>
      <xdr:row>94</xdr:row>
      <xdr:rowOff>27201</xdr:rowOff>
    </xdr:to>
    <xdr:sp macro="" textlink="">
      <xdr:nvSpPr>
        <xdr:cNvPr id="4" name="C"/>
        <xdr:cNvSpPr/>
      </xdr:nvSpPr>
      <xdr:spPr>
        <a:xfrm>
          <a:off x="18648149" y="16387549"/>
          <a:ext cx="1641902" cy="1641902"/>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36</xdr:col>
      <xdr:colOff>121541</xdr:colOff>
      <xdr:row>87</xdr:row>
      <xdr:rowOff>13591</xdr:rowOff>
    </xdr:from>
    <xdr:to>
      <xdr:col>37</xdr:col>
      <xdr:colOff>564259</xdr:colOff>
      <xdr:row>92</xdr:row>
      <xdr:rowOff>113409</xdr:rowOff>
    </xdr:to>
    <xdr:sp macro="" textlink="">
      <xdr:nvSpPr>
        <xdr:cNvPr id="5" name="D"/>
        <xdr:cNvSpPr/>
      </xdr:nvSpPr>
      <xdr:spPr>
        <a:xfrm>
          <a:off x="24276941" y="16682341"/>
          <a:ext cx="1052318" cy="1052318"/>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43</xdr:col>
      <xdr:colOff>495300</xdr:colOff>
      <xdr:row>72</xdr:row>
      <xdr:rowOff>69850</xdr:rowOff>
    </xdr:from>
    <xdr:to>
      <xdr:col>44</xdr:col>
      <xdr:colOff>266700</xdr:colOff>
      <xdr:row>74</xdr:row>
      <xdr:rowOff>69850</xdr:rowOff>
    </xdr:to>
    <xdr:sp macro="" textlink="">
      <xdr:nvSpPr>
        <xdr:cNvPr id="6" name="E"/>
        <xdr:cNvSpPr/>
      </xdr:nvSpPr>
      <xdr:spPr>
        <a:xfrm>
          <a:off x="28917900" y="13881100"/>
          <a:ext cx="381000" cy="38100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46</xdr:col>
      <xdr:colOff>152335</xdr:colOff>
      <xdr:row>44</xdr:row>
      <xdr:rowOff>171385</xdr:rowOff>
    </xdr:from>
    <xdr:to>
      <xdr:col>47</xdr:col>
      <xdr:colOff>254065</xdr:colOff>
      <xdr:row>48</xdr:row>
      <xdr:rowOff>120714</xdr:rowOff>
    </xdr:to>
    <xdr:sp macro="" textlink="">
      <xdr:nvSpPr>
        <xdr:cNvPr id="7" name="F"/>
        <xdr:cNvSpPr/>
      </xdr:nvSpPr>
      <xdr:spPr>
        <a:xfrm>
          <a:off x="30403735" y="8648635"/>
          <a:ext cx="711330" cy="711329"/>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43</xdr:col>
      <xdr:colOff>446996</xdr:colOff>
      <xdr:row>19</xdr:row>
      <xdr:rowOff>69171</xdr:rowOff>
    </xdr:from>
    <xdr:to>
      <xdr:col>44</xdr:col>
      <xdr:colOff>315004</xdr:colOff>
      <xdr:row>21</xdr:row>
      <xdr:rowOff>165779</xdr:rowOff>
    </xdr:to>
    <xdr:sp macro="" textlink="">
      <xdr:nvSpPr>
        <xdr:cNvPr id="8" name="G"/>
        <xdr:cNvSpPr/>
      </xdr:nvSpPr>
      <xdr:spPr>
        <a:xfrm>
          <a:off x="28869596" y="3698196"/>
          <a:ext cx="477608" cy="477608"/>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36</xdr:col>
      <xdr:colOff>402470</xdr:colOff>
      <xdr:row>2</xdr:row>
      <xdr:rowOff>173869</xdr:rowOff>
    </xdr:from>
    <xdr:to>
      <xdr:col>37</xdr:col>
      <xdr:colOff>283332</xdr:colOff>
      <xdr:row>5</xdr:row>
      <xdr:rowOff>92831</xdr:rowOff>
    </xdr:to>
    <xdr:sp macro="" textlink="">
      <xdr:nvSpPr>
        <xdr:cNvPr id="9" name="H"/>
        <xdr:cNvSpPr/>
      </xdr:nvSpPr>
      <xdr:spPr>
        <a:xfrm>
          <a:off x="24557870" y="554869"/>
          <a:ext cx="490462" cy="490462"/>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27</xdr:col>
      <xdr:colOff>466044</xdr:colOff>
      <xdr:row>1</xdr:row>
      <xdr:rowOff>61232</xdr:rowOff>
    </xdr:from>
    <xdr:to>
      <xdr:col>30</xdr:col>
      <xdr:colOff>153079</xdr:colOff>
      <xdr:row>9</xdr:row>
      <xdr:rowOff>62592</xdr:rowOff>
    </xdr:to>
    <xdr:sp macro="" textlink="">
      <xdr:nvSpPr>
        <xdr:cNvPr id="10" name="I"/>
        <xdr:cNvSpPr/>
      </xdr:nvSpPr>
      <xdr:spPr>
        <a:xfrm>
          <a:off x="19373169" y="251732"/>
          <a:ext cx="1544410" cy="152536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19</xdr:col>
      <xdr:colOff>584829</xdr:colOff>
      <xdr:row>16</xdr:row>
      <xdr:rowOff>102229</xdr:rowOff>
    </xdr:from>
    <xdr:to>
      <xdr:col>22</xdr:col>
      <xdr:colOff>329571</xdr:colOff>
      <xdr:row>24</xdr:row>
      <xdr:rowOff>66046</xdr:rowOff>
    </xdr:to>
    <xdr:sp macro="" textlink="">
      <xdr:nvSpPr>
        <xdr:cNvPr id="11" name="J"/>
        <xdr:cNvSpPr/>
      </xdr:nvSpPr>
      <xdr:spPr>
        <a:xfrm>
          <a:off x="14377029" y="3150229"/>
          <a:ext cx="1573542" cy="1573542"/>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19</xdr:col>
      <xdr:colOff>484299</xdr:colOff>
      <xdr:row>50</xdr:row>
      <xdr:rowOff>147749</xdr:rowOff>
    </xdr:from>
    <xdr:to>
      <xdr:col>27</xdr:col>
      <xdr:colOff>219600</xdr:colOff>
      <xdr:row>86</xdr:row>
      <xdr:rowOff>149750</xdr:rowOff>
    </xdr:to>
    <xdr:cxnSp macro="">
      <xdr:nvCxnSpPr>
        <xdr:cNvPr id="12" name="Straight Arrow Connector 11"/>
        <xdr:cNvCxnSpPr>
          <a:stCxn id="2" idx="5"/>
          <a:endCxn id="4" idx="1"/>
        </xdr:cNvCxnSpPr>
      </xdr:nvCxnSpPr>
      <xdr:spPr>
        <a:xfrm>
          <a:off x="14276499" y="9767999"/>
          <a:ext cx="4612101" cy="6860001"/>
        </a:xfrm>
        <a:prstGeom prst="straightConnector1">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24</xdr:row>
      <xdr:rowOff>66046</xdr:rowOff>
    </xdr:from>
    <xdr:to>
      <xdr:col>21</xdr:col>
      <xdr:colOff>152400</xdr:colOff>
      <xdr:row>68</xdr:row>
      <xdr:rowOff>119590</xdr:rowOff>
    </xdr:to>
    <xdr:cxnSp macro="">
      <xdr:nvCxnSpPr>
        <xdr:cNvPr id="13" name="Straight Arrow Connector 12"/>
        <xdr:cNvCxnSpPr>
          <a:stCxn id="3" idx="0"/>
          <a:endCxn id="11" idx="4"/>
        </xdr:cNvCxnSpPr>
      </xdr:nvCxnSpPr>
      <xdr:spPr>
        <a:xfrm flipV="1">
          <a:off x="15163800" y="4723771"/>
          <a:ext cx="0" cy="8445069"/>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488244</xdr:colOff>
      <xdr:row>8</xdr:row>
      <xdr:rowOff>29708</xdr:rowOff>
    </xdr:from>
    <xdr:to>
      <xdr:col>28</xdr:col>
      <xdr:colOff>73093</xdr:colOff>
      <xdr:row>42</xdr:row>
      <xdr:rowOff>144351</xdr:rowOff>
    </xdr:to>
    <xdr:cxnSp macro="">
      <xdr:nvCxnSpPr>
        <xdr:cNvPr id="14" name="Straight Arrow Connector 13"/>
        <xdr:cNvCxnSpPr>
          <a:stCxn id="2" idx="7"/>
          <a:endCxn id="10" idx="3"/>
        </xdr:cNvCxnSpPr>
      </xdr:nvCxnSpPr>
      <xdr:spPr>
        <a:xfrm flipV="1">
          <a:off x="14442369" y="1553708"/>
          <a:ext cx="5156974" cy="6639268"/>
        </a:xfrm>
        <a:prstGeom prst="straightConnector1">
          <a:avLst/>
        </a:prstGeom>
        <a:ln w="1016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484299</xdr:colOff>
      <xdr:row>50</xdr:row>
      <xdr:rowOff>147749</xdr:rowOff>
    </xdr:from>
    <xdr:to>
      <xdr:col>36</xdr:col>
      <xdr:colOff>275649</xdr:colOff>
      <xdr:row>87</xdr:row>
      <xdr:rowOff>167699</xdr:rowOff>
    </xdr:to>
    <xdr:cxnSp macro="">
      <xdr:nvCxnSpPr>
        <xdr:cNvPr id="15" name="Straight Arrow Connector 14"/>
        <xdr:cNvCxnSpPr>
          <a:stCxn id="2" idx="5"/>
          <a:endCxn id="5" idx="1"/>
        </xdr:cNvCxnSpPr>
      </xdr:nvCxnSpPr>
      <xdr:spPr>
        <a:xfrm>
          <a:off x="14276499" y="9767999"/>
          <a:ext cx="10154550" cy="7068450"/>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24</xdr:row>
      <xdr:rowOff>66046</xdr:rowOff>
    </xdr:from>
    <xdr:to>
      <xdr:col>28</xdr:col>
      <xdr:colOff>190500</xdr:colOff>
      <xdr:row>85</xdr:row>
      <xdr:rowOff>99799</xdr:rowOff>
    </xdr:to>
    <xdr:cxnSp macro="">
      <xdr:nvCxnSpPr>
        <xdr:cNvPr id="16" name="Straight Arrow Connector 15"/>
        <xdr:cNvCxnSpPr>
          <a:stCxn id="4" idx="0"/>
          <a:endCxn id="11" idx="4"/>
        </xdr:cNvCxnSpPr>
      </xdr:nvCxnSpPr>
      <xdr:spPr>
        <a:xfrm flipH="1" flipV="1">
          <a:off x="15163800" y="4723771"/>
          <a:ext cx="4305300" cy="11663778"/>
        </a:xfrm>
        <a:prstGeom prst="straightConnector1">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401851</xdr:colOff>
      <xdr:row>89</xdr:row>
      <xdr:rowOff>158750</xdr:rowOff>
    </xdr:from>
    <xdr:to>
      <xdr:col>36</xdr:col>
      <xdr:colOff>121541</xdr:colOff>
      <xdr:row>89</xdr:row>
      <xdr:rowOff>158750</xdr:rowOff>
    </xdr:to>
    <xdr:cxnSp macro="">
      <xdr:nvCxnSpPr>
        <xdr:cNvPr id="17" name="Straight Arrow Connector 16"/>
        <xdr:cNvCxnSpPr>
          <a:stCxn id="4" idx="6"/>
          <a:endCxn id="5" idx="2"/>
        </xdr:cNvCxnSpPr>
      </xdr:nvCxnSpPr>
      <xdr:spPr>
        <a:xfrm>
          <a:off x="20290051" y="17208500"/>
          <a:ext cx="3986890" cy="0"/>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181147</xdr:colOff>
      <xdr:row>76</xdr:row>
      <xdr:rowOff>136697</xdr:rowOff>
    </xdr:from>
    <xdr:to>
      <xdr:col>27</xdr:col>
      <xdr:colOff>219600</xdr:colOff>
      <xdr:row>86</xdr:row>
      <xdr:rowOff>149750</xdr:rowOff>
    </xdr:to>
    <xdr:cxnSp macro="">
      <xdr:nvCxnSpPr>
        <xdr:cNvPr id="18" name="Straight Arrow Connector 17"/>
        <xdr:cNvCxnSpPr>
          <a:stCxn id="3" idx="5"/>
          <a:endCxn id="4" idx="1"/>
        </xdr:cNvCxnSpPr>
      </xdr:nvCxnSpPr>
      <xdr:spPr>
        <a:xfrm>
          <a:off x="15802147" y="14709947"/>
          <a:ext cx="3086453" cy="1918053"/>
        </a:xfrm>
        <a:prstGeom prst="straightConnector1">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484299</xdr:colOff>
      <xdr:row>5</xdr:row>
      <xdr:rowOff>21005</xdr:rowOff>
    </xdr:from>
    <xdr:to>
      <xdr:col>36</xdr:col>
      <xdr:colOff>474296</xdr:colOff>
      <xdr:row>42</xdr:row>
      <xdr:rowOff>144351</xdr:rowOff>
    </xdr:to>
    <xdr:cxnSp macro="">
      <xdr:nvCxnSpPr>
        <xdr:cNvPr id="19" name="Straight Arrow Connector 18"/>
        <xdr:cNvCxnSpPr>
          <a:stCxn id="2" idx="7"/>
          <a:endCxn id="9" idx="3"/>
        </xdr:cNvCxnSpPr>
      </xdr:nvCxnSpPr>
      <xdr:spPr>
        <a:xfrm flipV="1">
          <a:off x="14276499" y="973505"/>
          <a:ext cx="10353197" cy="7267096"/>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330200</xdr:colOff>
      <xdr:row>24</xdr:row>
      <xdr:rowOff>66046</xdr:rowOff>
    </xdr:from>
    <xdr:to>
      <xdr:col>21</xdr:col>
      <xdr:colOff>152400</xdr:colOff>
      <xdr:row>41</xdr:row>
      <xdr:rowOff>18517</xdr:rowOff>
    </xdr:to>
    <xdr:cxnSp macro="">
      <xdr:nvCxnSpPr>
        <xdr:cNvPr id="20" name="Straight Arrow Connector 19"/>
        <xdr:cNvCxnSpPr>
          <a:stCxn id="2" idx="0"/>
          <a:endCxn id="11" idx="4"/>
        </xdr:cNvCxnSpPr>
      </xdr:nvCxnSpPr>
      <xdr:spPr>
        <a:xfrm flipV="1">
          <a:off x="13512800" y="4723771"/>
          <a:ext cx="1651000" cy="3200496"/>
        </a:xfrm>
        <a:prstGeom prst="straightConnector1">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181147</xdr:colOff>
      <xdr:row>5</xdr:row>
      <xdr:rowOff>21005</xdr:rowOff>
    </xdr:from>
    <xdr:to>
      <xdr:col>36</xdr:col>
      <xdr:colOff>474296</xdr:colOff>
      <xdr:row>70</xdr:row>
      <xdr:rowOff>3002</xdr:rowOff>
    </xdr:to>
    <xdr:cxnSp macro="">
      <xdr:nvCxnSpPr>
        <xdr:cNvPr id="21" name="Straight Arrow Connector 20"/>
        <xdr:cNvCxnSpPr>
          <a:stCxn id="3" idx="7"/>
          <a:endCxn id="9" idx="3"/>
        </xdr:cNvCxnSpPr>
      </xdr:nvCxnSpPr>
      <xdr:spPr>
        <a:xfrm flipV="1">
          <a:off x="15802147" y="973505"/>
          <a:ext cx="8827549" cy="12459747"/>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445559</xdr:colOff>
      <xdr:row>73</xdr:row>
      <xdr:rowOff>69850</xdr:rowOff>
    </xdr:from>
    <xdr:to>
      <xdr:col>43</xdr:col>
      <xdr:colOff>495300</xdr:colOff>
      <xdr:row>73</xdr:row>
      <xdr:rowOff>69850</xdr:rowOff>
    </xdr:to>
    <xdr:cxnSp macro="">
      <xdr:nvCxnSpPr>
        <xdr:cNvPr id="22" name="Straight Arrow Connector 21"/>
        <xdr:cNvCxnSpPr>
          <a:stCxn id="3" idx="6"/>
          <a:endCxn id="6" idx="2"/>
        </xdr:cNvCxnSpPr>
      </xdr:nvCxnSpPr>
      <xdr:spPr>
        <a:xfrm>
          <a:off x="16066559" y="14071600"/>
          <a:ext cx="12851341" cy="0"/>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185738</xdr:colOff>
      <xdr:row>9</xdr:row>
      <xdr:rowOff>62592</xdr:rowOff>
    </xdr:from>
    <xdr:to>
      <xdr:col>29</xdr:col>
      <xdr:colOff>-1</xdr:colOff>
      <xdr:row>85</xdr:row>
      <xdr:rowOff>99799</xdr:rowOff>
    </xdr:to>
    <xdr:cxnSp macro="">
      <xdr:nvCxnSpPr>
        <xdr:cNvPr id="23" name="Straight Arrow Connector 22"/>
        <xdr:cNvCxnSpPr>
          <a:stCxn id="4" idx="0"/>
          <a:endCxn id="10" idx="4"/>
        </xdr:cNvCxnSpPr>
      </xdr:nvCxnSpPr>
      <xdr:spPr>
        <a:xfrm flipV="1">
          <a:off x="19711988" y="1777092"/>
          <a:ext cx="433386" cy="14562832"/>
        </a:xfrm>
        <a:prstGeom prst="straightConnector1">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330200</xdr:colOff>
      <xdr:row>52</xdr:row>
      <xdr:rowOff>83083</xdr:rowOff>
    </xdr:from>
    <xdr:to>
      <xdr:col>21</xdr:col>
      <xdr:colOff>152400</xdr:colOff>
      <xdr:row>68</xdr:row>
      <xdr:rowOff>119590</xdr:rowOff>
    </xdr:to>
    <xdr:cxnSp macro="">
      <xdr:nvCxnSpPr>
        <xdr:cNvPr id="24" name="Straight Arrow Connector 23"/>
        <xdr:cNvCxnSpPr>
          <a:stCxn id="2" idx="4"/>
          <a:endCxn id="3" idx="0"/>
        </xdr:cNvCxnSpPr>
      </xdr:nvCxnSpPr>
      <xdr:spPr>
        <a:xfrm>
          <a:off x="13512800" y="10084333"/>
          <a:ext cx="1651000" cy="3084507"/>
        </a:xfrm>
        <a:prstGeom prst="straightConnector1">
          <a:avLst/>
        </a:prstGeom>
        <a:ln w="165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181147</xdr:colOff>
      <xdr:row>21</xdr:row>
      <xdr:rowOff>95835</xdr:rowOff>
    </xdr:from>
    <xdr:to>
      <xdr:col>43</xdr:col>
      <xdr:colOff>516940</xdr:colOff>
      <xdr:row>70</xdr:row>
      <xdr:rowOff>3002</xdr:rowOff>
    </xdr:to>
    <xdr:cxnSp macro="">
      <xdr:nvCxnSpPr>
        <xdr:cNvPr id="25" name="Straight Arrow Connector 24"/>
        <xdr:cNvCxnSpPr>
          <a:stCxn id="3" idx="7"/>
          <a:endCxn id="8" idx="3"/>
        </xdr:cNvCxnSpPr>
      </xdr:nvCxnSpPr>
      <xdr:spPr>
        <a:xfrm flipV="1">
          <a:off x="15802147" y="4105860"/>
          <a:ext cx="13137393" cy="9327392"/>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161400</xdr:colOff>
      <xdr:row>48</xdr:row>
      <xdr:rowOff>16542</xdr:rowOff>
    </xdr:from>
    <xdr:to>
      <xdr:col>46</xdr:col>
      <xdr:colOff>256507</xdr:colOff>
      <xdr:row>86</xdr:row>
      <xdr:rowOff>149750</xdr:rowOff>
    </xdr:to>
    <xdr:cxnSp macro="">
      <xdr:nvCxnSpPr>
        <xdr:cNvPr id="26" name="Straight Arrow Connector 25"/>
        <xdr:cNvCxnSpPr>
          <a:stCxn id="4" idx="7"/>
          <a:endCxn id="7" idx="3"/>
        </xdr:cNvCxnSpPr>
      </xdr:nvCxnSpPr>
      <xdr:spPr>
        <a:xfrm flipV="1">
          <a:off x="20049600" y="9255792"/>
          <a:ext cx="10458307" cy="7372208"/>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410151</xdr:colOff>
      <xdr:row>48</xdr:row>
      <xdr:rowOff>16542</xdr:rowOff>
    </xdr:from>
    <xdr:to>
      <xdr:col>46</xdr:col>
      <xdr:colOff>256507</xdr:colOff>
      <xdr:row>87</xdr:row>
      <xdr:rowOff>167699</xdr:rowOff>
    </xdr:to>
    <xdr:cxnSp macro="">
      <xdr:nvCxnSpPr>
        <xdr:cNvPr id="27" name="Straight Arrow Connector 26"/>
        <xdr:cNvCxnSpPr>
          <a:stCxn id="5" idx="7"/>
          <a:endCxn id="7" idx="3"/>
        </xdr:cNvCxnSpPr>
      </xdr:nvCxnSpPr>
      <xdr:spPr>
        <a:xfrm flipV="1">
          <a:off x="25175151" y="9255792"/>
          <a:ext cx="5332756" cy="7580657"/>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94946</xdr:colOff>
      <xdr:row>8</xdr:row>
      <xdr:rowOff>29708</xdr:rowOff>
    </xdr:from>
    <xdr:to>
      <xdr:col>28</xdr:col>
      <xdr:colOff>73093</xdr:colOff>
      <xdr:row>17</xdr:row>
      <xdr:rowOff>136589</xdr:rowOff>
    </xdr:to>
    <xdr:cxnSp macro="">
      <xdr:nvCxnSpPr>
        <xdr:cNvPr id="86" name="Straight Arrow Connector 85"/>
        <xdr:cNvCxnSpPr>
          <a:stCxn id="10" idx="3"/>
          <a:endCxn id="11" idx="7"/>
        </xdr:cNvCxnSpPr>
      </xdr:nvCxnSpPr>
      <xdr:spPr>
        <a:xfrm flipH="1">
          <a:off x="15906446" y="1553708"/>
          <a:ext cx="3692897" cy="1821381"/>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absoluteAnchor>
    <xdr:pos x="5472641" y="280458"/>
    <xdr:ext cx="6219825" cy="22764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0.9855</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22434549"/>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0.98466</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22415499"/>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relSizeAnchor xmlns:cdr="http://schemas.openxmlformats.org/drawingml/2006/chartDrawing">
    <cdr:from>
      <cdr:x>0.01021</cdr:x>
      <cdr:y>0.94059</cdr:y>
    </cdr:from>
    <cdr:to>
      <cdr:x>0.31649</cdr:x>
      <cdr:y>0.9629</cdr:y>
    </cdr:to>
    <cdr:sp macro="" textlink="">
      <cdr:nvSpPr>
        <cdr:cNvPr id="2" name="TextBox 1"/>
        <cdr:cNvSpPr txBox="1"/>
      </cdr:nvSpPr>
      <cdr:spPr>
        <a:xfrm xmlns:a="http://schemas.openxmlformats.org/drawingml/2006/main">
          <a:off x="63500" y="21412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PLAC_NORX</a:t>
          </a:r>
        </a:p>
      </cdr:txBody>
    </cdr:sp>
  </cdr:relSizeAnchor>
  <cdr:relSizeAnchor xmlns:cdr="http://schemas.openxmlformats.org/drawingml/2006/chartDrawing">
    <cdr:from>
      <cdr:x>0.75498</cdr:x>
      <cdr:y>0.94059</cdr:y>
    </cdr:from>
    <cdr:to>
      <cdr:x>1</cdr:x>
      <cdr:y>0.95174</cdr:y>
    </cdr:to>
    <cdr:sp macro="" textlink="">
      <cdr:nvSpPr>
        <cdr:cNvPr id="3" name="TextBox 2"/>
        <cdr:cNvSpPr txBox="1"/>
      </cdr:nvSpPr>
      <cdr:spPr>
        <a:xfrm xmlns:a="http://schemas.openxmlformats.org/drawingml/2006/main">
          <a:off x="4815044" y="21412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16.81 (6.66 – 44.62)</a:t>
          </a:r>
        </a:p>
      </cdr:txBody>
    </cdr:sp>
  </cdr:relSizeAnchor>
  <cdr:relSizeAnchor xmlns:cdr="http://schemas.openxmlformats.org/drawingml/2006/chartDrawing">
    <cdr:from>
      <cdr:x>0.01021</cdr:x>
      <cdr:y>0.91994</cdr:y>
    </cdr:from>
    <cdr:to>
      <cdr:x>0.31649</cdr:x>
      <cdr:y>0.94226</cdr:y>
    </cdr:to>
    <cdr:sp macro="" textlink="">
      <cdr:nvSpPr>
        <cdr:cNvPr id="4" name="TextBox 3"/>
        <cdr:cNvSpPr txBox="1"/>
      </cdr:nvSpPr>
      <cdr:spPr>
        <a:xfrm xmlns:a="http://schemas.openxmlformats.org/drawingml/2006/main">
          <a:off x="63500" y="20942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PLAC_NORX</a:t>
          </a:r>
        </a:p>
      </cdr:txBody>
    </cdr:sp>
  </cdr:relSizeAnchor>
  <cdr:relSizeAnchor xmlns:cdr="http://schemas.openxmlformats.org/drawingml/2006/chartDrawing">
    <cdr:from>
      <cdr:x>0.75498</cdr:x>
      <cdr:y>0.91994</cdr:y>
    </cdr:from>
    <cdr:to>
      <cdr:x>1</cdr:x>
      <cdr:y>0.9311</cdr:y>
    </cdr:to>
    <cdr:sp macro="" textlink="">
      <cdr:nvSpPr>
        <cdr:cNvPr id="5" name="TextBox 4"/>
        <cdr:cNvSpPr txBox="1"/>
      </cdr:nvSpPr>
      <cdr:spPr>
        <a:xfrm xmlns:a="http://schemas.openxmlformats.org/drawingml/2006/main">
          <a:off x="4815044" y="20942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16.61 (3.72 – 81.97)</a:t>
          </a:r>
        </a:p>
      </cdr:txBody>
    </cdr:sp>
  </cdr:relSizeAnchor>
  <cdr:relSizeAnchor xmlns:cdr="http://schemas.openxmlformats.org/drawingml/2006/chartDrawing">
    <cdr:from>
      <cdr:x>0.01021</cdr:x>
      <cdr:y>0.8993</cdr:y>
    </cdr:from>
    <cdr:to>
      <cdr:x>0.31649</cdr:x>
      <cdr:y>0.92162</cdr:y>
    </cdr:to>
    <cdr:sp macro="" textlink="">
      <cdr:nvSpPr>
        <cdr:cNvPr id="6" name="TextBox 5"/>
        <cdr:cNvSpPr txBox="1"/>
      </cdr:nvSpPr>
      <cdr:spPr>
        <a:xfrm xmlns:a="http://schemas.openxmlformats.org/drawingml/2006/main">
          <a:off x="63500" y="20472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PLAC_NORX</a:t>
          </a:r>
        </a:p>
      </cdr:txBody>
    </cdr:sp>
  </cdr:relSizeAnchor>
  <cdr:relSizeAnchor xmlns:cdr="http://schemas.openxmlformats.org/drawingml/2006/chartDrawing">
    <cdr:from>
      <cdr:x>0.75498</cdr:x>
      <cdr:y>0.8993</cdr:y>
    </cdr:from>
    <cdr:to>
      <cdr:x>1</cdr:x>
      <cdr:y>0.91046</cdr:y>
    </cdr:to>
    <cdr:sp macro="" textlink="">
      <cdr:nvSpPr>
        <cdr:cNvPr id="7" name="TextBox 6"/>
        <cdr:cNvSpPr txBox="1"/>
      </cdr:nvSpPr>
      <cdr:spPr>
        <a:xfrm xmlns:a="http://schemas.openxmlformats.org/drawingml/2006/main">
          <a:off x="4815044" y="20472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13.33 (6.08 – 29.57)</a:t>
          </a:r>
        </a:p>
      </cdr:txBody>
    </cdr:sp>
  </cdr:relSizeAnchor>
  <cdr:relSizeAnchor xmlns:cdr="http://schemas.openxmlformats.org/drawingml/2006/chartDrawing">
    <cdr:from>
      <cdr:x>0.01021</cdr:x>
      <cdr:y>0.87866</cdr:y>
    </cdr:from>
    <cdr:to>
      <cdr:x>0.31649</cdr:x>
      <cdr:y>0.90098</cdr:y>
    </cdr:to>
    <cdr:sp macro="" textlink="">
      <cdr:nvSpPr>
        <cdr:cNvPr id="8" name="TextBox 7"/>
        <cdr:cNvSpPr txBox="1"/>
      </cdr:nvSpPr>
      <cdr:spPr>
        <a:xfrm xmlns:a="http://schemas.openxmlformats.org/drawingml/2006/main">
          <a:off x="63500" y="20002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PLAC_NORX</a:t>
          </a:r>
        </a:p>
      </cdr:txBody>
    </cdr:sp>
  </cdr:relSizeAnchor>
  <cdr:relSizeAnchor xmlns:cdr="http://schemas.openxmlformats.org/drawingml/2006/chartDrawing">
    <cdr:from>
      <cdr:x>0.75498</cdr:x>
      <cdr:y>0.87866</cdr:y>
    </cdr:from>
    <cdr:to>
      <cdr:x>1</cdr:x>
      <cdr:y>0.88982</cdr:y>
    </cdr:to>
    <cdr:sp macro="" textlink="">
      <cdr:nvSpPr>
        <cdr:cNvPr id="9" name="TextBox 8"/>
        <cdr:cNvSpPr txBox="1"/>
      </cdr:nvSpPr>
      <cdr:spPr>
        <a:xfrm xmlns:a="http://schemas.openxmlformats.org/drawingml/2006/main">
          <a:off x="4815044" y="20002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10.06 (5.92 – 17.42)</a:t>
          </a:r>
        </a:p>
      </cdr:txBody>
    </cdr:sp>
  </cdr:relSizeAnchor>
  <cdr:relSizeAnchor xmlns:cdr="http://schemas.openxmlformats.org/drawingml/2006/chartDrawing">
    <cdr:from>
      <cdr:x>0.01021</cdr:x>
      <cdr:y>0.85802</cdr:y>
    </cdr:from>
    <cdr:to>
      <cdr:x>0.31649</cdr:x>
      <cdr:y>0.88033</cdr:y>
    </cdr:to>
    <cdr:sp macro="" textlink="">
      <cdr:nvSpPr>
        <cdr:cNvPr id="10" name="TextBox 9"/>
        <cdr:cNvSpPr txBox="1"/>
      </cdr:nvSpPr>
      <cdr:spPr>
        <a:xfrm xmlns:a="http://schemas.openxmlformats.org/drawingml/2006/main">
          <a:off x="63500" y="19532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PLAC_NORX</a:t>
          </a:r>
        </a:p>
      </cdr:txBody>
    </cdr:sp>
  </cdr:relSizeAnchor>
  <cdr:relSizeAnchor xmlns:cdr="http://schemas.openxmlformats.org/drawingml/2006/chartDrawing">
    <cdr:from>
      <cdr:x>0.75498</cdr:x>
      <cdr:y>0.85802</cdr:y>
    </cdr:from>
    <cdr:to>
      <cdr:x>1</cdr:x>
      <cdr:y>0.86918</cdr:y>
    </cdr:to>
    <cdr:sp macro="" textlink="">
      <cdr:nvSpPr>
        <cdr:cNvPr id="11" name="TextBox 10"/>
        <cdr:cNvSpPr txBox="1"/>
      </cdr:nvSpPr>
      <cdr:spPr>
        <a:xfrm xmlns:a="http://schemas.openxmlformats.org/drawingml/2006/main">
          <a:off x="4815044" y="19532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7.10 (3.77 – 13.64)</a:t>
          </a:r>
        </a:p>
      </cdr:txBody>
    </cdr:sp>
  </cdr:relSizeAnchor>
  <cdr:relSizeAnchor xmlns:cdr="http://schemas.openxmlformats.org/drawingml/2006/chartDrawing">
    <cdr:from>
      <cdr:x>0.01021</cdr:x>
      <cdr:y>0.83738</cdr:y>
    </cdr:from>
    <cdr:to>
      <cdr:x>0.31649</cdr:x>
      <cdr:y>0.85969</cdr:y>
    </cdr:to>
    <cdr:sp macro="" textlink="">
      <cdr:nvSpPr>
        <cdr:cNvPr id="12" name="TextBox 11"/>
        <cdr:cNvSpPr txBox="1"/>
      </cdr:nvSpPr>
      <cdr:spPr>
        <a:xfrm xmlns:a="http://schemas.openxmlformats.org/drawingml/2006/main">
          <a:off x="63500" y="19062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PLAC_NORX</a:t>
          </a:r>
        </a:p>
      </cdr:txBody>
    </cdr:sp>
  </cdr:relSizeAnchor>
  <cdr:relSizeAnchor xmlns:cdr="http://schemas.openxmlformats.org/drawingml/2006/chartDrawing">
    <cdr:from>
      <cdr:x>0.75498</cdr:x>
      <cdr:y>0.83738</cdr:y>
    </cdr:from>
    <cdr:to>
      <cdr:x>1</cdr:x>
      <cdr:y>0.84854</cdr:y>
    </cdr:to>
    <cdr:sp macro="" textlink="">
      <cdr:nvSpPr>
        <cdr:cNvPr id="13" name="TextBox 12"/>
        <cdr:cNvSpPr txBox="1"/>
      </cdr:nvSpPr>
      <cdr:spPr>
        <a:xfrm xmlns:a="http://schemas.openxmlformats.org/drawingml/2006/main">
          <a:off x="4815044" y="19062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6.94 (4.25 – 11.66)</a:t>
          </a:r>
        </a:p>
      </cdr:txBody>
    </cdr:sp>
  </cdr:relSizeAnchor>
  <cdr:relSizeAnchor xmlns:cdr="http://schemas.openxmlformats.org/drawingml/2006/chartDrawing">
    <cdr:from>
      <cdr:x>0.01021</cdr:x>
      <cdr:y>0.81674</cdr:y>
    </cdr:from>
    <cdr:to>
      <cdr:x>0.31649</cdr:x>
      <cdr:y>0.83905</cdr:y>
    </cdr:to>
    <cdr:sp macro="" textlink="">
      <cdr:nvSpPr>
        <cdr:cNvPr id="14" name="TextBox 13"/>
        <cdr:cNvSpPr txBox="1"/>
      </cdr:nvSpPr>
      <cdr:spPr>
        <a:xfrm xmlns:a="http://schemas.openxmlformats.org/drawingml/2006/main">
          <a:off x="63500" y="18592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PLAC_NORX</a:t>
          </a:r>
        </a:p>
      </cdr:txBody>
    </cdr:sp>
  </cdr:relSizeAnchor>
  <cdr:relSizeAnchor xmlns:cdr="http://schemas.openxmlformats.org/drawingml/2006/chartDrawing">
    <cdr:from>
      <cdr:x>0.75498</cdr:x>
      <cdr:y>0.81674</cdr:y>
    </cdr:from>
    <cdr:to>
      <cdr:x>1</cdr:x>
      <cdr:y>0.82789</cdr:y>
    </cdr:to>
    <cdr:sp macro="" textlink="">
      <cdr:nvSpPr>
        <cdr:cNvPr id="15" name="TextBox 14"/>
        <cdr:cNvSpPr txBox="1"/>
      </cdr:nvSpPr>
      <cdr:spPr>
        <a:xfrm xmlns:a="http://schemas.openxmlformats.org/drawingml/2006/main">
          <a:off x="4815044" y="18592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5.57 (1.79 – 17.04)</a:t>
          </a:r>
        </a:p>
      </cdr:txBody>
    </cdr:sp>
  </cdr:relSizeAnchor>
  <cdr:relSizeAnchor xmlns:cdr="http://schemas.openxmlformats.org/drawingml/2006/chartDrawing">
    <cdr:from>
      <cdr:x>0.01021</cdr:x>
      <cdr:y>0.79609</cdr:y>
    </cdr:from>
    <cdr:to>
      <cdr:x>0.31649</cdr:x>
      <cdr:y>0.81841</cdr:y>
    </cdr:to>
    <cdr:sp macro="" textlink="">
      <cdr:nvSpPr>
        <cdr:cNvPr id="16" name="TextBox 15"/>
        <cdr:cNvSpPr txBox="1"/>
      </cdr:nvSpPr>
      <cdr:spPr>
        <a:xfrm xmlns:a="http://schemas.openxmlformats.org/drawingml/2006/main">
          <a:off x="63500" y="18122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IBUIVCONT</a:t>
          </a:r>
        </a:p>
      </cdr:txBody>
    </cdr:sp>
  </cdr:relSizeAnchor>
  <cdr:relSizeAnchor xmlns:cdr="http://schemas.openxmlformats.org/drawingml/2006/chartDrawing">
    <cdr:from>
      <cdr:x>0.75498</cdr:x>
      <cdr:y>0.79609</cdr:y>
    </cdr:from>
    <cdr:to>
      <cdr:x>1</cdr:x>
      <cdr:y>0.80725</cdr:y>
    </cdr:to>
    <cdr:sp macro="" textlink="">
      <cdr:nvSpPr>
        <cdr:cNvPr id="17" name="TextBox 16"/>
        <cdr:cNvSpPr txBox="1"/>
      </cdr:nvSpPr>
      <cdr:spPr>
        <a:xfrm xmlns:a="http://schemas.openxmlformats.org/drawingml/2006/main">
          <a:off x="4815044" y="18122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5.25 (1.28 – 22.75)</a:t>
          </a:r>
        </a:p>
      </cdr:txBody>
    </cdr:sp>
  </cdr:relSizeAnchor>
  <cdr:relSizeAnchor xmlns:cdr="http://schemas.openxmlformats.org/drawingml/2006/chartDrawing">
    <cdr:from>
      <cdr:x>0.01021</cdr:x>
      <cdr:y>0.77545</cdr:y>
    </cdr:from>
    <cdr:to>
      <cdr:x>0.31649</cdr:x>
      <cdr:y>0.79777</cdr:y>
    </cdr:to>
    <cdr:sp macro="" textlink="">
      <cdr:nvSpPr>
        <cdr:cNvPr id="18" name="TextBox 17"/>
        <cdr:cNvSpPr txBox="1"/>
      </cdr:nvSpPr>
      <cdr:spPr>
        <a:xfrm xmlns:a="http://schemas.openxmlformats.org/drawingml/2006/main">
          <a:off x="63500" y="17653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IBUIVCONT</a:t>
          </a:r>
        </a:p>
      </cdr:txBody>
    </cdr:sp>
  </cdr:relSizeAnchor>
  <cdr:relSizeAnchor xmlns:cdr="http://schemas.openxmlformats.org/drawingml/2006/chartDrawing">
    <cdr:from>
      <cdr:x>0.75498</cdr:x>
      <cdr:y>0.77545</cdr:y>
    </cdr:from>
    <cdr:to>
      <cdr:x>1</cdr:x>
      <cdr:y>0.78661</cdr:y>
    </cdr:to>
    <cdr:sp macro="" textlink="">
      <cdr:nvSpPr>
        <cdr:cNvPr id="19" name="TextBox 18"/>
        <cdr:cNvSpPr txBox="1"/>
      </cdr:nvSpPr>
      <cdr:spPr>
        <a:xfrm xmlns:a="http://schemas.openxmlformats.org/drawingml/2006/main">
          <a:off x="4815044" y="17653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5.19 (0.88 – 33.44)</a:t>
          </a:r>
        </a:p>
      </cdr:txBody>
    </cdr:sp>
  </cdr:relSizeAnchor>
  <cdr:relSizeAnchor xmlns:cdr="http://schemas.openxmlformats.org/drawingml/2006/chartDrawing">
    <cdr:from>
      <cdr:x>0.01021</cdr:x>
      <cdr:y>0.75481</cdr:y>
    </cdr:from>
    <cdr:to>
      <cdr:x>0.31649</cdr:x>
      <cdr:y>0.77713</cdr:y>
    </cdr:to>
    <cdr:sp macro="" textlink="">
      <cdr:nvSpPr>
        <cdr:cNvPr id="20" name="TextBox 19"/>
        <cdr:cNvSpPr txBox="1"/>
      </cdr:nvSpPr>
      <cdr:spPr>
        <a:xfrm xmlns:a="http://schemas.openxmlformats.org/drawingml/2006/main">
          <a:off x="63500" y="17183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PLAC_NORX</a:t>
          </a:r>
        </a:p>
      </cdr:txBody>
    </cdr:sp>
  </cdr:relSizeAnchor>
  <cdr:relSizeAnchor xmlns:cdr="http://schemas.openxmlformats.org/drawingml/2006/chartDrawing">
    <cdr:from>
      <cdr:x>0.75498</cdr:x>
      <cdr:y>0.75481</cdr:y>
    </cdr:from>
    <cdr:to>
      <cdr:x>1</cdr:x>
      <cdr:y>0.76597</cdr:y>
    </cdr:to>
    <cdr:sp macro="" textlink="">
      <cdr:nvSpPr>
        <cdr:cNvPr id="21" name="TextBox 20"/>
        <cdr:cNvSpPr txBox="1"/>
      </cdr:nvSpPr>
      <cdr:spPr>
        <a:xfrm xmlns:a="http://schemas.openxmlformats.org/drawingml/2006/main">
          <a:off x="4815044" y="17183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4.45 (2.61 – 7.59)</a:t>
          </a:r>
        </a:p>
      </cdr:txBody>
    </cdr:sp>
  </cdr:relSizeAnchor>
  <cdr:relSizeAnchor xmlns:cdr="http://schemas.openxmlformats.org/drawingml/2006/chartDrawing">
    <cdr:from>
      <cdr:x>0.01021</cdr:x>
      <cdr:y>0.73417</cdr:y>
    </cdr:from>
    <cdr:to>
      <cdr:x>0.31649</cdr:x>
      <cdr:y>0.75649</cdr:y>
    </cdr:to>
    <cdr:sp macro="" textlink="">
      <cdr:nvSpPr>
        <cdr:cNvPr id="22" name="TextBox 21"/>
        <cdr:cNvSpPr txBox="1"/>
      </cdr:nvSpPr>
      <cdr:spPr>
        <a:xfrm xmlns:a="http://schemas.openxmlformats.org/drawingml/2006/main">
          <a:off x="63500" y="16713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IBUIVCONT</a:t>
          </a:r>
        </a:p>
      </cdr:txBody>
    </cdr:sp>
  </cdr:relSizeAnchor>
  <cdr:relSizeAnchor xmlns:cdr="http://schemas.openxmlformats.org/drawingml/2006/chartDrawing">
    <cdr:from>
      <cdr:x>0.75498</cdr:x>
      <cdr:y>0.73417</cdr:y>
    </cdr:from>
    <cdr:to>
      <cdr:x>1</cdr:x>
      <cdr:y>0.74533</cdr:y>
    </cdr:to>
    <cdr:sp macro="" textlink="">
      <cdr:nvSpPr>
        <cdr:cNvPr id="23" name="TextBox 22"/>
        <cdr:cNvSpPr txBox="1"/>
      </cdr:nvSpPr>
      <cdr:spPr>
        <a:xfrm xmlns:a="http://schemas.openxmlformats.org/drawingml/2006/main">
          <a:off x="4815044" y="16713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4.16 (1.09 – 16.01)</a:t>
          </a:r>
        </a:p>
      </cdr:txBody>
    </cdr:sp>
  </cdr:relSizeAnchor>
  <cdr:relSizeAnchor xmlns:cdr="http://schemas.openxmlformats.org/drawingml/2006/chartDrawing">
    <cdr:from>
      <cdr:x>0.01021</cdr:x>
      <cdr:y>0.71297</cdr:y>
    </cdr:from>
    <cdr:to>
      <cdr:x>0.31649</cdr:x>
      <cdr:y>0.73529</cdr:y>
    </cdr:to>
    <cdr:sp macro="" textlink="">
      <cdr:nvSpPr>
        <cdr:cNvPr id="24" name="TextBox 23"/>
        <cdr:cNvSpPr txBox="1"/>
      </cdr:nvSpPr>
      <cdr:spPr>
        <a:xfrm xmlns:a="http://schemas.openxmlformats.org/drawingml/2006/main">
          <a:off x="63500" y="16230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IBUIV</a:t>
          </a:r>
        </a:p>
      </cdr:txBody>
    </cdr:sp>
  </cdr:relSizeAnchor>
  <cdr:relSizeAnchor xmlns:cdr="http://schemas.openxmlformats.org/drawingml/2006/chartDrawing">
    <cdr:from>
      <cdr:x>0.75498</cdr:x>
      <cdr:y>0.71297</cdr:y>
    </cdr:from>
    <cdr:to>
      <cdr:x>1</cdr:x>
      <cdr:y>0.72413</cdr:y>
    </cdr:to>
    <cdr:sp macro="" textlink="">
      <cdr:nvSpPr>
        <cdr:cNvPr id="25" name="TextBox 24"/>
        <cdr:cNvSpPr txBox="1"/>
      </cdr:nvSpPr>
      <cdr:spPr>
        <a:xfrm xmlns:a="http://schemas.openxmlformats.org/drawingml/2006/main">
          <a:off x="4815044" y="16230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3.77 (1.54 – 9.72)</a:t>
          </a:r>
        </a:p>
      </cdr:txBody>
    </cdr:sp>
  </cdr:relSizeAnchor>
  <cdr:relSizeAnchor xmlns:cdr="http://schemas.openxmlformats.org/drawingml/2006/chartDrawing">
    <cdr:from>
      <cdr:x>0.01021</cdr:x>
      <cdr:y>0.69233</cdr:y>
    </cdr:from>
    <cdr:to>
      <cdr:x>0.31649</cdr:x>
      <cdr:y>0.71464</cdr:y>
    </cdr:to>
    <cdr:sp macro="" textlink="">
      <cdr:nvSpPr>
        <cdr:cNvPr id="26" name="TextBox 25"/>
        <cdr:cNvSpPr txBox="1"/>
      </cdr:nvSpPr>
      <cdr:spPr>
        <a:xfrm xmlns:a="http://schemas.openxmlformats.org/drawingml/2006/main">
          <a:off x="63500" y="15760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IBUIV</a:t>
          </a:r>
        </a:p>
      </cdr:txBody>
    </cdr:sp>
  </cdr:relSizeAnchor>
  <cdr:relSizeAnchor xmlns:cdr="http://schemas.openxmlformats.org/drawingml/2006/chartDrawing">
    <cdr:from>
      <cdr:x>0.75498</cdr:x>
      <cdr:y>0.69233</cdr:y>
    </cdr:from>
    <cdr:to>
      <cdr:x>1</cdr:x>
      <cdr:y>0.70349</cdr:y>
    </cdr:to>
    <cdr:sp macro="" textlink="">
      <cdr:nvSpPr>
        <cdr:cNvPr id="27" name="TextBox 26"/>
        <cdr:cNvSpPr txBox="1"/>
      </cdr:nvSpPr>
      <cdr:spPr>
        <a:xfrm xmlns:a="http://schemas.openxmlformats.org/drawingml/2006/main">
          <a:off x="4815044" y="15760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3.73 (0.93 – 16.83)</a:t>
          </a:r>
        </a:p>
      </cdr:txBody>
    </cdr:sp>
  </cdr:relSizeAnchor>
  <cdr:relSizeAnchor xmlns:cdr="http://schemas.openxmlformats.org/drawingml/2006/chartDrawing">
    <cdr:from>
      <cdr:x>0.01021</cdr:x>
      <cdr:y>0.67169</cdr:y>
    </cdr:from>
    <cdr:to>
      <cdr:x>0.31649</cdr:x>
      <cdr:y>0.694</cdr:y>
    </cdr:to>
    <cdr:sp macro="" textlink="">
      <cdr:nvSpPr>
        <cdr:cNvPr id="28" name="TextBox 27"/>
        <cdr:cNvSpPr txBox="1"/>
      </cdr:nvSpPr>
      <cdr:spPr>
        <a:xfrm xmlns:a="http://schemas.openxmlformats.org/drawingml/2006/main">
          <a:off x="63500" y="15290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PLAC_NORX</a:t>
          </a:r>
        </a:p>
      </cdr:txBody>
    </cdr:sp>
  </cdr:relSizeAnchor>
  <cdr:relSizeAnchor xmlns:cdr="http://schemas.openxmlformats.org/drawingml/2006/chartDrawing">
    <cdr:from>
      <cdr:x>0.75498</cdr:x>
      <cdr:y>0.67169</cdr:y>
    </cdr:from>
    <cdr:to>
      <cdr:x>1</cdr:x>
      <cdr:y>0.68285</cdr:y>
    </cdr:to>
    <cdr:sp macro="" textlink="">
      <cdr:nvSpPr>
        <cdr:cNvPr id="29" name="TextBox 28"/>
        <cdr:cNvSpPr txBox="1"/>
      </cdr:nvSpPr>
      <cdr:spPr>
        <a:xfrm xmlns:a="http://schemas.openxmlformats.org/drawingml/2006/main">
          <a:off x="4815044" y="15290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3.20 (0.94 – 10.85)</a:t>
          </a:r>
        </a:p>
      </cdr:txBody>
    </cdr:sp>
  </cdr:relSizeAnchor>
  <cdr:relSizeAnchor xmlns:cdr="http://schemas.openxmlformats.org/drawingml/2006/chartDrawing">
    <cdr:from>
      <cdr:x>0.01021</cdr:x>
      <cdr:y>0.65105</cdr:y>
    </cdr:from>
    <cdr:to>
      <cdr:x>0.31649</cdr:x>
      <cdr:y>0.67336</cdr:y>
    </cdr:to>
    <cdr:sp macro="" textlink="">
      <cdr:nvSpPr>
        <cdr:cNvPr id="30" name="TextBox 29"/>
        <cdr:cNvSpPr txBox="1"/>
      </cdr:nvSpPr>
      <cdr:spPr>
        <a:xfrm xmlns:a="http://schemas.openxmlformats.org/drawingml/2006/main">
          <a:off x="63500" y="14820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IBUIVCONT</a:t>
          </a:r>
        </a:p>
      </cdr:txBody>
    </cdr:sp>
  </cdr:relSizeAnchor>
  <cdr:relSizeAnchor xmlns:cdr="http://schemas.openxmlformats.org/drawingml/2006/chartDrawing">
    <cdr:from>
      <cdr:x>0.75498</cdr:x>
      <cdr:y>0.65105</cdr:y>
    </cdr:from>
    <cdr:to>
      <cdr:x>1</cdr:x>
      <cdr:y>0.6622</cdr:y>
    </cdr:to>
    <cdr:sp macro="" textlink="">
      <cdr:nvSpPr>
        <cdr:cNvPr id="31" name="TextBox 30"/>
        <cdr:cNvSpPr txBox="1"/>
      </cdr:nvSpPr>
      <cdr:spPr>
        <a:xfrm xmlns:a="http://schemas.openxmlformats.org/drawingml/2006/main">
          <a:off x="4815044" y="14820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3.14 (0.95 – 10.55)</a:t>
          </a:r>
        </a:p>
      </cdr:txBody>
    </cdr:sp>
  </cdr:relSizeAnchor>
  <cdr:relSizeAnchor xmlns:cdr="http://schemas.openxmlformats.org/drawingml/2006/chartDrawing">
    <cdr:from>
      <cdr:x>0.01021</cdr:x>
      <cdr:y>0.6304</cdr:y>
    </cdr:from>
    <cdr:to>
      <cdr:x>0.31649</cdr:x>
      <cdr:y>0.65272</cdr:y>
    </cdr:to>
    <cdr:sp macro="" textlink="">
      <cdr:nvSpPr>
        <cdr:cNvPr id="192" name="TextBox 191"/>
        <cdr:cNvSpPr txBox="1"/>
      </cdr:nvSpPr>
      <cdr:spPr>
        <a:xfrm xmlns:a="http://schemas.openxmlformats.org/drawingml/2006/main">
          <a:off x="63500" y="14351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INDOIVCONT</a:t>
          </a:r>
        </a:p>
      </cdr:txBody>
    </cdr:sp>
  </cdr:relSizeAnchor>
  <cdr:relSizeAnchor xmlns:cdr="http://schemas.openxmlformats.org/drawingml/2006/chartDrawing">
    <cdr:from>
      <cdr:x>0.75498</cdr:x>
      <cdr:y>0.6304</cdr:y>
    </cdr:from>
    <cdr:to>
      <cdr:x>1</cdr:x>
      <cdr:y>0.64156</cdr:y>
    </cdr:to>
    <cdr:sp macro="" textlink="">
      <cdr:nvSpPr>
        <cdr:cNvPr id="193" name="TextBox 192"/>
        <cdr:cNvSpPr txBox="1"/>
      </cdr:nvSpPr>
      <cdr:spPr>
        <a:xfrm xmlns:a="http://schemas.openxmlformats.org/drawingml/2006/main">
          <a:off x="4815044" y="14351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3.02 (0.80 – 12.08)</a:t>
          </a:r>
        </a:p>
      </cdr:txBody>
    </cdr:sp>
  </cdr:relSizeAnchor>
  <cdr:relSizeAnchor xmlns:cdr="http://schemas.openxmlformats.org/drawingml/2006/chartDrawing">
    <cdr:from>
      <cdr:x>0.01021</cdr:x>
      <cdr:y>0.60976</cdr:y>
    </cdr:from>
    <cdr:to>
      <cdr:x>0.31649</cdr:x>
      <cdr:y>0.63208</cdr:y>
    </cdr:to>
    <cdr:sp macro="" textlink="">
      <cdr:nvSpPr>
        <cdr:cNvPr id="194" name="TextBox 193"/>
        <cdr:cNvSpPr txBox="1"/>
      </cdr:nvSpPr>
      <cdr:spPr>
        <a:xfrm xmlns:a="http://schemas.openxmlformats.org/drawingml/2006/main">
          <a:off x="63500" y="13881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INDOIVCONT</a:t>
          </a:r>
        </a:p>
      </cdr:txBody>
    </cdr:sp>
  </cdr:relSizeAnchor>
  <cdr:relSizeAnchor xmlns:cdr="http://schemas.openxmlformats.org/drawingml/2006/chartDrawing">
    <cdr:from>
      <cdr:x>0.75498</cdr:x>
      <cdr:y>0.60976</cdr:y>
    </cdr:from>
    <cdr:to>
      <cdr:x>1</cdr:x>
      <cdr:y>0.62092</cdr:y>
    </cdr:to>
    <cdr:sp macro="" textlink="">
      <cdr:nvSpPr>
        <cdr:cNvPr id="195" name="TextBox 194"/>
        <cdr:cNvSpPr txBox="1"/>
      </cdr:nvSpPr>
      <cdr:spPr>
        <a:xfrm xmlns:a="http://schemas.openxmlformats.org/drawingml/2006/main">
          <a:off x="4815044" y="13881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3.00 (0.53 – 18.33)</a:t>
          </a:r>
        </a:p>
      </cdr:txBody>
    </cdr:sp>
  </cdr:relSizeAnchor>
  <cdr:relSizeAnchor xmlns:cdr="http://schemas.openxmlformats.org/drawingml/2006/chartDrawing">
    <cdr:from>
      <cdr:x>0.01021</cdr:x>
      <cdr:y>0.58912</cdr:y>
    </cdr:from>
    <cdr:to>
      <cdr:x>0.31649</cdr:x>
      <cdr:y>0.61144</cdr:y>
    </cdr:to>
    <cdr:sp macro="" textlink="">
      <cdr:nvSpPr>
        <cdr:cNvPr id="196" name="TextBox 195"/>
        <cdr:cNvSpPr txBox="1"/>
      </cdr:nvSpPr>
      <cdr:spPr>
        <a:xfrm xmlns:a="http://schemas.openxmlformats.org/drawingml/2006/main">
          <a:off x="63500" y="13411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a:t>
          </a:r>
        </a:p>
      </cdr:txBody>
    </cdr:sp>
  </cdr:relSizeAnchor>
  <cdr:relSizeAnchor xmlns:cdr="http://schemas.openxmlformats.org/drawingml/2006/chartDrawing">
    <cdr:from>
      <cdr:x>0.75498</cdr:x>
      <cdr:y>0.58912</cdr:y>
    </cdr:from>
    <cdr:to>
      <cdr:x>1</cdr:x>
      <cdr:y>0.60028</cdr:y>
    </cdr:to>
    <cdr:sp macro="" textlink="">
      <cdr:nvSpPr>
        <cdr:cNvPr id="197" name="TextBox 196"/>
        <cdr:cNvSpPr txBox="1"/>
      </cdr:nvSpPr>
      <cdr:spPr>
        <a:xfrm xmlns:a="http://schemas.openxmlformats.org/drawingml/2006/main">
          <a:off x="4815044" y="13411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2.99 (1.41 – 6.37)</a:t>
          </a:r>
        </a:p>
      </cdr:txBody>
    </cdr:sp>
  </cdr:relSizeAnchor>
  <cdr:relSizeAnchor xmlns:cdr="http://schemas.openxmlformats.org/drawingml/2006/chartDrawing">
    <cdr:from>
      <cdr:x>0.01021</cdr:x>
      <cdr:y>0.56848</cdr:y>
    </cdr:from>
    <cdr:to>
      <cdr:x>0.31649</cdr:x>
      <cdr:y>0.59079</cdr:y>
    </cdr:to>
    <cdr:sp macro="" textlink="">
      <cdr:nvSpPr>
        <cdr:cNvPr id="198" name="TextBox 197"/>
        <cdr:cNvSpPr txBox="1"/>
      </cdr:nvSpPr>
      <cdr:spPr>
        <a:xfrm xmlns:a="http://schemas.openxmlformats.org/drawingml/2006/main">
          <a:off x="63500" y="12941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INDOIV</a:t>
          </a:r>
        </a:p>
      </cdr:txBody>
    </cdr:sp>
  </cdr:relSizeAnchor>
  <cdr:relSizeAnchor xmlns:cdr="http://schemas.openxmlformats.org/drawingml/2006/chartDrawing">
    <cdr:from>
      <cdr:x>0.75498</cdr:x>
      <cdr:y>0.56848</cdr:y>
    </cdr:from>
    <cdr:to>
      <cdr:x>1</cdr:x>
      <cdr:y>0.57964</cdr:y>
    </cdr:to>
    <cdr:sp macro="" textlink="">
      <cdr:nvSpPr>
        <cdr:cNvPr id="199" name="TextBox 198"/>
        <cdr:cNvSpPr txBox="1"/>
      </cdr:nvSpPr>
      <cdr:spPr>
        <a:xfrm xmlns:a="http://schemas.openxmlformats.org/drawingml/2006/main">
          <a:off x="4815044" y="12941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2.42 (0.98 – 6.12)</a:t>
          </a:r>
        </a:p>
      </cdr:txBody>
    </cdr:sp>
  </cdr:relSizeAnchor>
  <cdr:relSizeAnchor xmlns:cdr="http://schemas.openxmlformats.org/drawingml/2006/chartDrawing">
    <cdr:from>
      <cdr:x>0.01021</cdr:x>
      <cdr:y>0.54784</cdr:y>
    </cdr:from>
    <cdr:to>
      <cdr:x>0.31649</cdr:x>
      <cdr:y>0.57015</cdr:y>
    </cdr:to>
    <cdr:sp macro="" textlink="">
      <cdr:nvSpPr>
        <cdr:cNvPr id="200" name="TextBox 199"/>
        <cdr:cNvSpPr txBox="1"/>
      </cdr:nvSpPr>
      <cdr:spPr>
        <a:xfrm xmlns:a="http://schemas.openxmlformats.org/drawingml/2006/main">
          <a:off x="63500" y="12471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INDOIV</a:t>
          </a:r>
        </a:p>
      </cdr:txBody>
    </cdr:sp>
  </cdr:relSizeAnchor>
  <cdr:relSizeAnchor xmlns:cdr="http://schemas.openxmlformats.org/drawingml/2006/chartDrawing">
    <cdr:from>
      <cdr:x>0.75498</cdr:x>
      <cdr:y>0.54784</cdr:y>
    </cdr:from>
    <cdr:to>
      <cdr:x>1</cdr:x>
      <cdr:y>0.559</cdr:y>
    </cdr:to>
    <cdr:sp macro="" textlink="">
      <cdr:nvSpPr>
        <cdr:cNvPr id="201" name="TextBox 200"/>
        <cdr:cNvSpPr txBox="1"/>
      </cdr:nvSpPr>
      <cdr:spPr>
        <a:xfrm xmlns:a="http://schemas.openxmlformats.org/drawingml/2006/main">
          <a:off x="4815044" y="12471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2.39 (0.56 – 11.14)</a:t>
          </a:r>
        </a:p>
      </cdr:txBody>
    </cdr:sp>
  </cdr:relSizeAnchor>
  <cdr:relSizeAnchor xmlns:cdr="http://schemas.openxmlformats.org/drawingml/2006/chartDrawing">
    <cdr:from>
      <cdr:x>0.01021</cdr:x>
      <cdr:y>0.5272</cdr:y>
    </cdr:from>
    <cdr:to>
      <cdr:x>0.31649</cdr:x>
      <cdr:y>0.54951</cdr:y>
    </cdr:to>
    <cdr:sp macro="" textlink="">
      <cdr:nvSpPr>
        <cdr:cNvPr id="202" name="TextBox 201"/>
        <cdr:cNvSpPr txBox="1"/>
      </cdr:nvSpPr>
      <cdr:spPr>
        <a:xfrm xmlns:a="http://schemas.openxmlformats.org/drawingml/2006/main">
          <a:off x="63500" y="12001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INDOIVCONT</a:t>
          </a:r>
        </a:p>
      </cdr:txBody>
    </cdr:sp>
  </cdr:relSizeAnchor>
  <cdr:relSizeAnchor xmlns:cdr="http://schemas.openxmlformats.org/drawingml/2006/chartDrawing">
    <cdr:from>
      <cdr:x>0.75498</cdr:x>
      <cdr:y>0.5272</cdr:y>
    </cdr:from>
    <cdr:to>
      <cdr:x>1</cdr:x>
      <cdr:y>0.53835</cdr:y>
    </cdr:to>
    <cdr:sp macro="" textlink="">
      <cdr:nvSpPr>
        <cdr:cNvPr id="203" name="TextBox 202"/>
        <cdr:cNvSpPr txBox="1"/>
      </cdr:nvSpPr>
      <cdr:spPr>
        <a:xfrm xmlns:a="http://schemas.openxmlformats.org/drawingml/2006/main">
          <a:off x="4815044" y="12001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2.38 (0.71 – 8.43)</a:t>
          </a:r>
        </a:p>
      </cdr:txBody>
    </cdr:sp>
  </cdr:relSizeAnchor>
  <cdr:relSizeAnchor xmlns:cdr="http://schemas.openxmlformats.org/drawingml/2006/chartDrawing">
    <cdr:from>
      <cdr:x>0.01021</cdr:x>
      <cdr:y>0.50656</cdr:y>
    </cdr:from>
    <cdr:to>
      <cdr:x>0.31649</cdr:x>
      <cdr:y>0.52887</cdr:y>
    </cdr:to>
    <cdr:sp macro="" textlink="">
      <cdr:nvSpPr>
        <cdr:cNvPr id="204" name="TextBox 203"/>
        <cdr:cNvSpPr txBox="1"/>
      </cdr:nvSpPr>
      <cdr:spPr>
        <a:xfrm xmlns:a="http://schemas.openxmlformats.org/drawingml/2006/main">
          <a:off x="63500" y="11531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INDOTHERS</a:t>
          </a:r>
        </a:p>
      </cdr:txBody>
    </cdr:sp>
  </cdr:relSizeAnchor>
  <cdr:relSizeAnchor xmlns:cdr="http://schemas.openxmlformats.org/drawingml/2006/chartDrawing">
    <cdr:from>
      <cdr:x>0.75498</cdr:x>
      <cdr:y>0.50656</cdr:y>
    </cdr:from>
    <cdr:to>
      <cdr:x>1</cdr:x>
      <cdr:y>0.51771</cdr:y>
    </cdr:to>
    <cdr:sp macro="" textlink="">
      <cdr:nvSpPr>
        <cdr:cNvPr id="205" name="TextBox 204"/>
        <cdr:cNvSpPr txBox="1"/>
      </cdr:nvSpPr>
      <cdr:spPr>
        <a:xfrm xmlns:a="http://schemas.openxmlformats.org/drawingml/2006/main">
          <a:off x="4815044" y="11531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2.35 (0.90 – 6.48)</a:t>
          </a:r>
        </a:p>
      </cdr:txBody>
    </cdr:sp>
  </cdr:relSizeAnchor>
  <cdr:relSizeAnchor xmlns:cdr="http://schemas.openxmlformats.org/drawingml/2006/chartDrawing">
    <cdr:from>
      <cdr:x>0.01021</cdr:x>
      <cdr:y>0.48591</cdr:y>
    </cdr:from>
    <cdr:to>
      <cdr:x>0.31649</cdr:x>
      <cdr:y>0.50823</cdr:y>
    </cdr:to>
    <cdr:sp macro="" textlink="">
      <cdr:nvSpPr>
        <cdr:cNvPr id="206" name="TextBox 205"/>
        <cdr:cNvSpPr txBox="1"/>
      </cdr:nvSpPr>
      <cdr:spPr>
        <a:xfrm xmlns:a="http://schemas.openxmlformats.org/drawingml/2006/main">
          <a:off x="63500" y="11061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INDOTHERS</a:t>
          </a:r>
        </a:p>
      </cdr:txBody>
    </cdr:sp>
  </cdr:relSizeAnchor>
  <cdr:relSizeAnchor xmlns:cdr="http://schemas.openxmlformats.org/drawingml/2006/chartDrawing">
    <cdr:from>
      <cdr:x>0.75498</cdr:x>
      <cdr:y>0.48591</cdr:y>
    </cdr:from>
    <cdr:to>
      <cdr:x>1</cdr:x>
      <cdr:y>0.49707</cdr:y>
    </cdr:to>
    <cdr:sp macro="" textlink="">
      <cdr:nvSpPr>
        <cdr:cNvPr id="207" name="TextBox 206"/>
        <cdr:cNvSpPr txBox="1"/>
      </cdr:nvSpPr>
      <cdr:spPr>
        <a:xfrm xmlns:a="http://schemas.openxmlformats.org/drawingml/2006/main">
          <a:off x="4815044" y="11061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2.33 (0.50 – 11.85)</a:t>
          </a:r>
        </a:p>
      </cdr:txBody>
    </cdr:sp>
  </cdr:relSizeAnchor>
  <cdr:relSizeAnchor xmlns:cdr="http://schemas.openxmlformats.org/drawingml/2006/chartDrawing">
    <cdr:from>
      <cdr:x>0.01021</cdr:x>
      <cdr:y>0.46527</cdr:y>
    </cdr:from>
    <cdr:to>
      <cdr:x>0.31649</cdr:x>
      <cdr:y>0.48759</cdr:y>
    </cdr:to>
    <cdr:sp macro="" textlink="">
      <cdr:nvSpPr>
        <cdr:cNvPr id="208" name="TextBox 207"/>
        <cdr:cNvSpPr txBox="1"/>
      </cdr:nvSpPr>
      <cdr:spPr>
        <a:xfrm xmlns:a="http://schemas.openxmlformats.org/drawingml/2006/main">
          <a:off x="63500" y="10591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a:t>
          </a:r>
        </a:p>
      </cdr:txBody>
    </cdr:sp>
  </cdr:relSizeAnchor>
  <cdr:relSizeAnchor xmlns:cdr="http://schemas.openxmlformats.org/drawingml/2006/chartDrawing">
    <cdr:from>
      <cdr:x>0.75498</cdr:x>
      <cdr:y>0.46527</cdr:y>
    </cdr:from>
    <cdr:to>
      <cdr:x>1</cdr:x>
      <cdr:y>0.47643</cdr:y>
    </cdr:to>
    <cdr:sp macro="" textlink="">
      <cdr:nvSpPr>
        <cdr:cNvPr id="209" name="TextBox 208"/>
        <cdr:cNvSpPr txBox="1"/>
      </cdr:nvSpPr>
      <cdr:spPr>
        <a:xfrm xmlns:a="http://schemas.openxmlformats.org/drawingml/2006/main">
          <a:off x="4815044" y="10591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2.26 (1.40 – 3.70)</a:t>
          </a:r>
        </a:p>
      </cdr:txBody>
    </cdr:sp>
  </cdr:relSizeAnchor>
  <cdr:relSizeAnchor xmlns:cdr="http://schemas.openxmlformats.org/drawingml/2006/chartDrawing">
    <cdr:from>
      <cdr:x>0.01021</cdr:x>
      <cdr:y>0.44463</cdr:y>
    </cdr:from>
    <cdr:to>
      <cdr:x>0.31649</cdr:x>
      <cdr:y>0.46695</cdr:y>
    </cdr:to>
    <cdr:sp macro="" textlink="">
      <cdr:nvSpPr>
        <cdr:cNvPr id="210" name="TextBox 209"/>
        <cdr:cNvSpPr txBox="1"/>
      </cdr:nvSpPr>
      <cdr:spPr>
        <a:xfrm xmlns:a="http://schemas.openxmlformats.org/drawingml/2006/main">
          <a:off x="63500" y="10121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IBUIVCONT</a:t>
          </a:r>
        </a:p>
      </cdr:txBody>
    </cdr:sp>
  </cdr:relSizeAnchor>
  <cdr:relSizeAnchor xmlns:cdr="http://schemas.openxmlformats.org/drawingml/2006/chartDrawing">
    <cdr:from>
      <cdr:x>0.75498</cdr:x>
      <cdr:y>0.44463</cdr:y>
    </cdr:from>
    <cdr:to>
      <cdr:x>1</cdr:x>
      <cdr:y>0.45579</cdr:y>
    </cdr:to>
    <cdr:sp macro="" textlink="">
      <cdr:nvSpPr>
        <cdr:cNvPr id="213" name="TextBox 212"/>
        <cdr:cNvSpPr txBox="1"/>
      </cdr:nvSpPr>
      <cdr:spPr>
        <a:xfrm xmlns:a="http://schemas.openxmlformats.org/drawingml/2006/main">
          <a:off x="4815044" y="10121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2.21 (0.63 – 8.03)</a:t>
          </a:r>
        </a:p>
      </cdr:txBody>
    </cdr:sp>
  </cdr:relSizeAnchor>
  <cdr:relSizeAnchor xmlns:cdr="http://schemas.openxmlformats.org/drawingml/2006/chartDrawing">
    <cdr:from>
      <cdr:x>0.01021</cdr:x>
      <cdr:y>0.42399</cdr:y>
    </cdr:from>
    <cdr:to>
      <cdr:x>0.31649</cdr:x>
      <cdr:y>0.4463</cdr:y>
    </cdr:to>
    <cdr:sp macro="" textlink="">
      <cdr:nvSpPr>
        <cdr:cNvPr id="214" name="TextBox 213"/>
        <cdr:cNvSpPr txBox="1"/>
      </cdr:nvSpPr>
      <cdr:spPr>
        <a:xfrm xmlns:a="http://schemas.openxmlformats.org/drawingml/2006/main">
          <a:off x="63500" y="9652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IBUIVCONT</a:t>
          </a:r>
        </a:p>
      </cdr:txBody>
    </cdr:sp>
  </cdr:relSizeAnchor>
  <cdr:relSizeAnchor xmlns:cdr="http://schemas.openxmlformats.org/drawingml/2006/chartDrawing">
    <cdr:from>
      <cdr:x>0.75498</cdr:x>
      <cdr:y>0.42399</cdr:y>
    </cdr:from>
    <cdr:to>
      <cdr:x>1</cdr:x>
      <cdr:y>0.43515</cdr:y>
    </cdr:to>
    <cdr:sp macro="" textlink="">
      <cdr:nvSpPr>
        <cdr:cNvPr id="215" name="TextBox 214"/>
        <cdr:cNvSpPr txBox="1"/>
      </cdr:nvSpPr>
      <cdr:spPr>
        <a:xfrm xmlns:a="http://schemas.openxmlformats.org/drawingml/2006/main">
          <a:off x="4815044" y="9652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2.17 (0.69 – 7.01)</a:t>
          </a:r>
        </a:p>
      </cdr:txBody>
    </cdr:sp>
  </cdr:relSizeAnchor>
  <cdr:relSizeAnchor xmlns:cdr="http://schemas.openxmlformats.org/drawingml/2006/chartDrawing">
    <cdr:from>
      <cdr:x>0.01021</cdr:x>
      <cdr:y>0.40335</cdr:y>
    </cdr:from>
    <cdr:to>
      <cdr:x>0.31649</cdr:x>
      <cdr:y>0.42566</cdr:y>
    </cdr:to>
    <cdr:sp macro="" textlink="">
      <cdr:nvSpPr>
        <cdr:cNvPr id="216" name="TextBox 215"/>
        <cdr:cNvSpPr txBox="1"/>
      </cdr:nvSpPr>
      <cdr:spPr>
        <a:xfrm xmlns:a="http://schemas.openxmlformats.org/drawingml/2006/main">
          <a:off x="63500" y="9182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INDOIV</a:t>
          </a:r>
        </a:p>
      </cdr:txBody>
    </cdr:sp>
  </cdr:relSizeAnchor>
  <cdr:relSizeAnchor xmlns:cdr="http://schemas.openxmlformats.org/drawingml/2006/chartDrawing">
    <cdr:from>
      <cdr:x>0.75498</cdr:x>
      <cdr:y>0.40335</cdr:y>
    </cdr:from>
    <cdr:to>
      <cdr:x>1</cdr:x>
      <cdr:y>0.4145</cdr:y>
    </cdr:to>
    <cdr:sp macro="" textlink="">
      <cdr:nvSpPr>
        <cdr:cNvPr id="217" name="TextBox 216"/>
        <cdr:cNvSpPr txBox="1"/>
      </cdr:nvSpPr>
      <cdr:spPr>
        <a:xfrm xmlns:a="http://schemas.openxmlformats.org/drawingml/2006/main">
          <a:off x="4815044" y="9182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1.92 (0.90 – 4.05)</a:t>
          </a:r>
        </a:p>
      </cdr:txBody>
    </cdr:sp>
  </cdr:relSizeAnchor>
  <cdr:relSizeAnchor xmlns:cdr="http://schemas.openxmlformats.org/drawingml/2006/chartDrawing">
    <cdr:from>
      <cdr:x>0.01021</cdr:x>
      <cdr:y>0.38271</cdr:y>
    </cdr:from>
    <cdr:to>
      <cdr:x>0.31649</cdr:x>
      <cdr:y>0.40502</cdr:y>
    </cdr:to>
    <cdr:sp macro="" textlink="">
      <cdr:nvSpPr>
        <cdr:cNvPr id="218" name="TextBox 217"/>
        <cdr:cNvSpPr txBox="1"/>
      </cdr:nvSpPr>
      <cdr:spPr>
        <a:xfrm xmlns:a="http://schemas.openxmlformats.org/drawingml/2006/main">
          <a:off x="63500" y="8712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INDOTHERS</a:t>
          </a:r>
        </a:p>
      </cdr:txBody>
    </cdr:sp>
  </cdr:relSizeAnchor>
  <cdr:relSizeAnchor xmlns:cdr="http://schemas.openxmlformats.org/drawingml/2006/chartDrawing">
    <cdr:from>
      <cdr:x>0.75498</cdr:x>
      <cdr:y>0.38271</cdr:y>
    </cdr:from>
    <cdr:to>
      <cdr:x>1</cdr:x>
      <cdr:y>0.39386</cdr:y>
    </cdr:to>
    <cdr:sp macro="" textlink="">
      <cdr:nvSpPr>
        <cdr:cNvPr id="219" name="TextBox 218"/>
        <cdr:cNvSpPr txBox="1"/>
      </cdr:nvSpPr>
      <cdr:spPr>
        <a:xfrm xmlns:a="http://schemas.openxmlformats.org/drawingml/2006/main">
          <a:off x="4815044" y="8712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1.88 (0.80 – 4.34)</a:t>
          </a:r>
        </a:p>
      </cdr:txBody>
    </cdr:sp>
  </cdr:relSizeAnchor>
  <cdr:relSizeAnchor xmlns:cdr="http://schemas.openxmlformats.org/drawingml/2006/chartDrawing">
    <cdr:from>
      <cdr:x>0.01021</cdr:x>
      <cdr:y>0.36206</cdr:y>
    </cdr:from>
    <cdr:to>
      <cdr:x>0.31649</cdr:x>
      <cdr:y>0.38438</cdr:y>
    </cdr:to>
    <cdr:sp macro="" textlink="">
      <cdr:nvSpPr>
        <cdr:cNvPr id="220" name="TextBox 219"/>
        <cdr:cNvSpPr txBox="1"/>
      </cdr:nvSpPr>
      <cdr:spPr>
        <a:xfrm xmlns:a="http://schemas.openxmlformats.org/drawingml/2006/main">
          <a:off x="63500" y="8242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INDOIVCONT</a:t>
          </a:r>
        </a:p>
      </cdr:txBody>
    </cdr:sp>
  </cdr:relSizeAnchor>
  <cdr:relSizeAnchor xmlns:cdr="http://schemas.openxmlformats.org/drawingml/2006/chartDrawing">
    <cdr:from>
      <cdr:x>0.75498</cdr:x>
      <cdr:y>0.36206</cdr:y>
    </cdr:from>
    <cdr:to>
      <cdr:x>1</cdr:x>
      <cdr:y>0.37322</cdr:y>
    </cdr:to>
    <cdr:sp macro="" textlink="">
      <cdr:nvSpPr>
        <cdr:cNvPr id="221" name="TextBox 220"/>
        <cdr:cNvSpPr txBox="1"/>
      </cdr:nvSpPr>
      <cdr:spPr>
        <a:xfrm xmlns:a="http://schemas.openxmlformats.org/drawingml/2006/main">
          <a:off x="4815044" y="8242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1.80 (0.61 – 5.59)</a:t>
          </a:r>
        </a:p>
      </cdr:txBody>
    </cdr:sp>
  </cdr:relSizeAnchor>
  <cdr:relSizeAnchor xmlns:cdr="http://schemas.openxmlformats.org/drawingml/2006/chartDrawing">
    <cdr:from>
      <cdr:x>0.01021</cdr:x>
      <cdr:y>0.34086</cdr:y>
    </cdr:from>
    <cdr:to>
      <cdr:x>0.31649</cdr:x>
      <cdr:y>0.36318</cdr:y>
    </cdr:to>
    <cdr:sp macro="" textlink="">
      <cdr:nvSpPr>
        <cdr:cNvPr id="222" name="TextBox 221"/>
        <cdr:cNvSpPr txBox="1"/>
      </cdr:nvSpPr>
      <cdr:spPr>
        <a:xfrm xmlns:a="http://schemas.openxmlformats.org/drawingml/2006/main">
          <a:off x="63500" y="7759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IBUIVCONT</a:t>
          </a:r>
        </a:p>
      </cdr:txBody>
    </cdr:sp>
  </cdr:relSizeAnchor>
  <cdr:relSizeAnchor xmlns:cdr="http://schemas.openxmlformats.org/drawingml/2006/chartDrawing">
    <cdr:from>
      <cdr:x>0.75498</cdr:x>
      <cdr:y>0.34086</cdr:y>
    </cdr:from>
    <cdr:to>
      <cdr:x>1</cdr:x>
      <cdr:y>0.35202</cdr:y>
    </cdr:to>
    <cdr:sp macro="" textlink="">
      <cdr:nvSpPr>
        <cdr:cNvPr id="223" name="TextBox 222"/>
        <cdr:cNvSpPr txBox="1"/>
      </cdr:nvSpPr>
      <cdr:spPr>
        <a:xfrm xmlns:a="http://schemas.openxmlformats.org/drawingml/2006/main">
          <a:off x="4815044" y="7759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1.74 (0.39 – 7.75)</a:t>
          </a:r>
        </a:p>
      </cdr:txBody>
    </cdr:sp>
  </cdr:relSizeAnchor>
  <cdr:relSizeAnchor xmlns:cdr="http://schemas.openxmlformats.org/drawingml/2006/chartDrawing">
    <cdr:from>
      <cdr:x>0.01021</cdr:x>
      <cdr:y>0.32022</cdr:y>
    </cdr:from>
    <cdr:to>
      <cdr:x>0.31649</cdr:x>
      <cdr:y>0.34254</cdr:y>
    </cdr:to>
    <cdr:sp macro="" textlink="">
      <cdr:nvSpPr>
        <cdr:cNvPr id="224" name="TextBox 223"/>
        <cdr:cNvSpPr txBox="1"/>
      </cdr:nvSpPr>
      <cdr:spPr>
        <a:xfrm xmlns:a="http://schemas.openxmlformats.org/drawingml/2006/main">
          <a:off x="63500" y="7289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IBUPO</a:t>
          </a:r>
        </a:p>
      </cdr:txBody>
    </cdr:sp>
  </cdr:relSizeAnchor>
  <cdr:relSizeAnchor xmlns:cdr="http://schemas.openxmlformats.org/drawingml/2006/chartDrawing">
    <cdr:from>
      <cdr:x>0.75498</cdr:x>
      <cdr:y>0.32022</cdr:y>
    </cdr:from>
    <cdr:to>
      <cdr:x>1</cdr:x>
      <cdr:y>0.33138</cdr:y>
    </cdr:to>
    <cdr:sp macro="" textlink="">
      <cdr:nvSpPr>
        <cdr:cNvPr id="225" name="TextBox 224"/>
        <cdr:cNvSpPr txBox="1"/>
      </cdr:nvSpPr>
      <cdr:spPr>
        <a:xfrm xmlns:a="http://schemas.openxmlformats.org/drawingml/2006/main">
          <a:off x="4815044" y="7289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1.67 (0.78 – 3.73)</a:t>
          </a:r>
        </a:p>
      </cdr:txBody>
    </cdr:sp>
  </cdr:relSizeAnchor>
  <cdr:relSizeAnchor xmlns:cdr="http://schemas.openxmlformats.org/drawingml/2006/chartDrawing">
    <cdr:from>
      <cdr:x>0.01021</cdr:x>
      <cdr:y>0.29958</cdr:y>
    </cdr:from>
    <cdr:to>
      <cdr:x>0.31649</cdr:x>
      <cdr:y>0.3219</cdr:y>
    </cdr:to>
    <cdr:sp macro="" textlink="">
      <cdr:nvSpPr>
        <cdr:cNvPr id="226" name="TextBox 225"/>
        <cdr:cNvSpPr txBox="1"/>
      </cdr:nvSpPr>
      <cdr:spPr>
        <a:xfrm xmlns:a="http://schemas.openxmlformats.org/drawingml/2006/main">
          <a:off x="63500" y="6819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IBUPO</a:t>
          </a:r>
        </a:p>
      </cdr:txBody>
    </cdr:sp>
  </cdr:relSizeAnchor>
  <cdr:relSizeAnchor xmlns:cdr="http://schemas.openxmlformats.org/drawingml/2006/chartDrawing">
    <cdr:from>
      <cdr:x>0.75498</cdr:x>
      <cdr:y>0.29958</cdr:y>
    </cdr:from>
    <cdr:to>
      <cdr:x>1</cdr:x>
      <cdr:y>0.31074</cdr:y>
    </cdr:to>
    <cdr:sp macro="" textlink="">
      <cdr:nvSpPr>
        <cdr:cNvPr id="227" name="TextBox 226"/>
        <cdr:cNvSpPr txBox="1"/>
      </cdr:nvSpPr>
      <cdr:spPr>
        <a:xfrm xmlns:a="http://schemas.openxmlformats.org/drawingml/2006/main">
          <a:off x="4815044" y="6819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1.65 (0.38 – 7.98)</a:t>
          </a:r>
        </a:p>
      </cdr:txBody>
    </cdr:sp>
  </cdr:relSizeAnchor>
  <cdr:relSizeAnchor xmlns:cdr="http://schemas.openxmlformats.org/drawingml/2006/chartDrawing">
    <cdr:from>
      <cdr:x>0.01021</cdr:x>
      <cdr:y>0.27894</cdr:y>
    </cdr:from>
    <cdr:to>
      <cdr:x>0.31649</cdr:x>
      <cdr:y>0.30126</cdr:y>
    </cdr:to>
    <cdr:sp macro="" textlink="">
      <cdr:nvSpPr>
        <cdr:cNvPr id="228" name="TextBox 227"/>
        <cdr:cNvSpPr txBox="1"/>
      </cdr:nvSpPr>
      <cdr:spPr>
        <a:xfrm xmlns:a="http://schemas.openxmlformats.org/drawingml/2006/main">
          <a:off x="63500" y="6350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IBUIV</a:t>
          </a:r>
        </a:p>
      </cdr:txBody>
    </cdr:sp>
  </cdr:relSizeAnchor>
  <cdr:relSizeAnchor xmlns:cdr="http://schemas.openxmlformats.org/drawingml/2006/chartDrawing">
    <cdr:from>
      <cdr:x>0.75498</cdr:x>
      <cdr:y>0.27894</cdr:y>
    </cdr:from>
    <cdr:to>
      <cdr:x>1</cdr:x>
      <cdr:y>0.2901</cdr:y>
    </cdr:to>
    <cdr:sp macro="" textlink="">
      <cdr:nvSpPr>
        <cdr:cNvPr id="229" name="TextBox 228"/>
        <cdr:cNvSpPr txBox="1"/>
      </cdr:nvSpPr>
      <cdr:spPr>
        <a:xfrm xmlns:a="http://schemas.openxmlformats.org/drawingml/2006/main">
          <a:off x="4815044" y="6350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1.60 (0.85 – 3.08)</a:t>
          </a:r>
        </a:p>
      </cdr:txBody>
    </cdr:sp>
  </cdr:relSizeAnchor>
  <cdr:relSizeAnchor xmlns:cdr="http://schemas.openxmlformats.org/drawingml/2006/chartDrawing">
    <cdr:from>
      <cdr:x>0.01021</cdr:x>
      <cdr:y>0.2583</cdr:y>
    </cdr:from>
    <cdr:to>
      <cdr:x>0.31649</cdr:x>
      <cdr:y>0.28061</cdr:y>
    </cdr:to>
    <cdr:sp macro="" textlink="">
      <cdr:nvSpPr>
        <cdr:cNvPr id="230" name="TextBox 229"/>
        <cdr:cNvSpPr txBox="1"/>
      </cdr:nvSpPr>
      <cdr:spPr>
        <a:xfrm xmlns:a="http://schemas.openxmlformats.org/drawingml/2006/main">
          <a:off x="63500" y="5880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IBUIV</a:t>
          </a:r>
        </a:p>
      </cdr:txBody>
    </cdr:sp>
  </cdr:relSizeAnchor>
  <cdr:relSizeAnchor xmlns:cdr="http://schemas.openxmlformats.org/drawingml/2006/chartDrawing">
    <cdr:from>
      <cdr:x>0.75498</cdr:x>
      <cdr:y>0.2583</cdr:y>
    </cdr:from>
    <cdr:to>
      <cdr:x>1</cdr:x>
      <cdr:y>0.26946</cdr:y>
    </cdr:to>
    <cdr:sp macro="" textlink="">
      <cdr:nvSpPr>
        <cdr:cNvPr id="231" name="TextBox 230"/>
        <cdr:cNvSpPr txBox="1"/>
      </cdr:nvSpPr>
      <cdr:spPr>
        <a:xfrm xmlns:a="http://schemas.openxmlformats.org/drawingml/2006/main">
          <a:off x="4815044" y="5880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1.56 (1.10 – 2.28)</a:t>
          </a:r>
        </a:p>
      </cdr:txBody>
    </cdr:sp>
  </cdr:relSizeAnchor>
  <cdr:relSizeAnchor xmlns:cdr="http://schemas.openxmlformats.org/drawingml/2006/chartDrawing">
    <cdr:from>
      <cdr:x>0.01021</cdr:x>
      <cdr:y>0.23766</cdr:y>
    </cdr:from>
    <cdr:to>
      <cdr:x>0.31649</cdr:x>
      <cdr:y>0.25997</cdr:y>
    </cdr:to>
    <cdr:sp macro="" textlink="">
      <cdr:nvSpPr>
        <cdr:cNvPr id="232" name="TextBox 231"/>
        <cdr:cNvSpPr txBox="1"/>
      </cdr:nvSpPr>
      <cdr:spPr>
        <a:xfrm xmlns:a="http://schemas.openxmlformats.org/drawingml/2006/main">
          <a:off x="63500" y="5410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a:t>
          </a:r>
        </a:p>
      </cdr:txBody>
    </cdr:sp>
  </cdr:relSizeAnchor>
  <cdr:relSizeAnchor xmlns:cdr="http://schemas.openxmlformats.org/drawingml/2006/chartDrawing">
    <cdr:from>
      <cdr:x>0.75498</cdr:x>
      <cdr:y>0.23766</cdr:y>
    </cdr:from>
    <cdr:to>
      <cdr:x>1</cdr:x>
      <cdr:y>0.24881</cdr:y>
    </cdr:to>
    <cdr:sp macro="" textlink="">
      <cdr:nvSpPr>
        <cdr:cNvPr id="233" name="TextBox 232"/>
        <cdr:cNvSpPr txBox="1"/>
      </cdr:nvSpPr>
      <cdr:spPr>
        <a:xfrm xmlns:a="http://schemas.openxmlformats.org/drawingml/2006/main">
          <a:off x="4815044" y="5410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1.45 (0.88 – 2.35)</a:t>
          </a:r>
        </a:p>
      </cdr:txBody>
    </cdr:sp>
  </cdr:relSizeAnchor>
  <cdr:relSizeAnchor xmlns:cdr="http://schemas.openxmlformats.org/drawingml/2006/chartDrawing">
    <cdr:from>
      <cdr:x>0.01021</cdr:x>
      <cdr:y>0.21702</cdr:y>
    </cdr:from>
    <cdr:to>
      <cdr:x>0.31649</cdr:x>
      <cdr:y>0.23933</cdr:y>
    </cdr:to>
    <cdr:sp macro="" textlink="">
      <cdr:nvSpPr>
        <cdr:cNvPr id="234" name="TextBox 233"/>
        <cdr:cNvSpPr txBox="1"/>
      </cdr:nvSpPr>
      <cdr:spPr>
        <a:xfrm xmlns:a="http://schemas.openxmlformats.org/drawingml/2006/main">
          <a:off x="63500" y="4940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INDOTHERS</a:t>
          </a:r>
        </a:p>
      </cdr:txBody>
    </cdr:sp>
  </cdr:relSizeAnchor>
  <cdr:relSizeAnchor xmlns:cdr="http://schemas.openxmlformats.org/drawingml/2006/chartDrawing">
    <cdr:from>
      <cdr:x>0.75498</cdr:x>
      <cdr:y>0.21702</cdr:y>
    </cdr:from>
    <cdr:to>
      <cdr:x>1</cdr:x>
      <cdr:y>0.22817</cdr:y>
    </cdr:to>
    <cdr:sp macro="" textlink="">
      <cdr:nvSpPr>
        <cdr:cNvPr id="235" name="TextBox 234"/>
        <cdr:cNvSpPr txBox="1"/>
      </cdr:nvSpPr>
      <cdr:spPr>
        <a:xfrm xmlns:a="http://schemas.openxmlformats.org/drawingml/2006/main">
          <a:off x="4815044" y="4940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1.42 (0.77 – 2.60)</a:t>
          </a:r>
        </a:p>
      </cdr:txBody>
    </cdr:sp>
  </cdr:relSizeAnchor>
  <cdr:relSizeAnchor xmlns:cdr="http://schemas.openxmlformats.org/drawingml/2006/chartDrawing">
    <cdr:from>
      <cdr:x>0.01021</cdr:x>
      <cdr:y>0.19637</cdr:y>
    </cdr:from>
    <cdr:to>
      <cdr:x>0.31649</cdr:x>
      <cdr:y>0.21869</cdr:y>
    </cdr:to>
    <cdr:sp macro="" textlink="">
      <cdr:nvSpPr>
        <cdr:cNvPr id="236" name="TextBox 235"/>
        <cdr:cNvSpPr txBox="1"/>
      </cdr:nvSpPr>
      <cdr:spPr>
        <a:xfrm xmlns:a="http://schemas.openxmlformats.org/drawingml/2006/main">
          <a:off x="63500" y="4470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IBUIVCONT</a:t>
          </a:r>
        </a:p>
      </cdr:txBody>
    </cdr:sp>
  </cdr:relSizeAnchor>
  <cdr:relSizeAnchor xmlns:cdr="http://schemas.openxmlformats.org/drawingml/2006/chartDrawing">
    <cdr:from>
      <cdr:x>0.75498</cdr:x>
      <cdr:y>0.19637</cdr:y>
    </cdr:from>
    <cdr:to>
      <cdr:x>1</cdr:x>
      <cdr:y>0.20753</cdr:y>
    </cdr:to>
    <cdr:sp macro="" textlink="">
      <cdr:nvSpPr>
        <cdr:cNvPr id="237" name="TextBox 236"/>
        <cdr:cNvSpPr txBox="1"/>
      </cdr:nvSpPr>
      <cdr:spPr>
        <a:xfrm xmlns:a="http://schemas.openxmlformats.org/drawingml/2006/main">
          <a:off x="4815044" y="4470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1.39 (0.46 – 4.18)</a:t>
          </a:r>
        </a:p>
      </cdr:txBody>
    </cdr:sp>
  </cdr:relSizeAnchor>
  <cdr:relSizeAnchor xmlns:cdr="http://schemas.openxmlformats.org/drawingml/2006/chartDrawing">
    <cdr:from>
      <cdr:x>0.01021</cdr:x>
      <cdr:y>0.17573</cdr:y>
    </cdr:from>
    <cdr:to>
      <cdr:x>0.31649</cdr:x>
      <cdr:y>0.19805</cdr:y>
    </cdr:to>
    <cdr:sp macro="" textlink="">
      <cdr:nvSpPr>
        <cdr:cNvPr id="238" name="TextBox 237"/>
        <cdr:cNvSpPr txBox="1"/>
      </cdr:nvSpPr>
      <cdr:spPr>
        <a:xfrm xmlns:a="http://schemas.openxmlformats.org/drawingml/2006/main">
          <a:off x="63500" y="4000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IBUPO</a:t>
          </a:r>
        </a:p>
      </cdr:txBody>
    </cdr:sp>
  </cdr:relSizeAnchor>
  <cdr:relSizeAnchor xmlns:cdr="http://schemas.openxmlformats.org/drawingml/2006/chartDrawing">
    <cdr:from>
      <cdr:x>0.75498</cdr:x>
      <cdr:y>0.17573</cdr:y>
    </cdr:from>
    <cdr:to>
      <cdr:x>1</cdr:x>
      <cdr:y>0.18689</cdr:y>
    </cdr:to>
    <cdr:sp macro="" textlink="">
      <cdr:nvSpPr>
        <cdr:cNvPr id="239" name="TextBox 238"/>
        <cdr:cNvSpPr txBox="1"/>
      </cdr:nvSpPr>
      <cdr:spPr>
        <a:xfrm xmlns:a="http://schemas.openxmlformats.org/drawingml/2006/main">
          <a:off x="4815044" y="4000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1.33 (0.73 – 2.39)</a:t>
          </a:r>
        </a:p>
      </cdr:txBody>
    </cdr:sp>
  </cdr:relSizeAnchor>
  <cdr:relSizeAnchor xmlns:cdr="http://schemas.openxmlformats.org/drawingml/2006/chartDrawing">
    <cdr:from>
      <cdr:x>0.01021</cdr:x>
      <cdr:y>0.15509</cdr:y>
    </cdr:from>
    <cdr:to>
      <cdr:x>0.31649</cdr:x>
      <cdr:y>0.17741</cdr:y>
    </cdr:to>
    <cdr:sp macro="" textlink="">
      <cdr:nvSpPr>
        <cdr:cNvPr id="240" name="TextBox 239"/>
        <cdr:cNvSpPr txBox="1"/>
      </cdr:nvSpPr>
      <cdr:spPr>
        <a:xfrm xmlns:a="http://schemas.openxmlformats.org/drawingml/2006/main">
          <a:off x="63500" y="3530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INDOIVCONT</a:t>
          </a:r>
        </a:p>
      </cdr:txBody>
    </cdr:sp>
  </cdr:relSizeAnchor>
  <cdr:relSizeAnchor xmlns:cdr="http://schemas.openxmlformats.org/drawingml/2006/chartDrawing">
    <cdr:from>
      <cdr:x>0.75498</cdr:x>
      <cdr:y>0.15509</cdr:y>
    </cdr:from>
    <cdr:to>
      <cdr:x>1</cdr:x>
      <cdr:y>0.16625</cdr:y>
    </cdr:to>
    <cdr:sp macro="" textlink="">
      <cdr:nvSpPr>
        <cdr:cNvPr id="241" name="TextBox 240"/>
        <cdr:cNvSpPr txBox="1"/>
      </cdr:nvSpPr>
      <cdr:spPr>
        <a:xfrm xmlns:a="http://schemas.openxmlformats.org/drawingml/2006/main">
          <a:off x="4815044" y="3530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1.28 (0.40 – 4.22)</a:t>
          </a:r>
        </a:p>
      </cdr:txBody>
    </cdr:sp>
  </cdr:relSizeAnchor>
  <cdr:relSizeAnchor xmlns:cdr="http://schemas.openxmlformats.org/drawingml/2006/chartDrawing">
    <cdr:from>
      <cdr:x>0.01021</cdr:x>
      <cdr:y>0.13445</cdr:y>
    </cdr:from>
    <cdr:to>
      <cdr:x>0.31649</cdr:x>
      <cdr:y>0.15676</cdr:y>
    </cdr:to>
    <cdr:sp macro="" textlink="">
      <cdr:nvSpPr>
        <cdr:cNvPr id="242" name="TextBox 241"/>
        <cdr:cNvSpPr txBox="1"/>
      </cdr:nvSpPr>
      <cdr:spPr>
        <a:xfrm xmlns:a="http://schemas.openxmlformats.org/drawingml/2006/main">
          <a:off x="63500" y="3060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PARAPO</a:t>
          </a:r>
        </a:p>
      </cdr:txBody>
    </cdr:sp>
  </cdr:relSizeAnchor>
  <cdr:relSizeAnchor xmlns:cdr="http://schemas.openxmlformats.org/drawingml/2006/chartDrawing">
    <cdr:from>
      <cdr:x>0.75498</cdr:x>
      <cdr:y>0.13445</cdr:y>
    </cdr:from>
    <cdr:to>
      <cdr:x>1</cdr:x>
      <cdr:y>0.14561</cdr:y>
    </cdr:to>
    <cdr:sp macro="" textlink="">
      <cdr:nvSpPr>
        <cdr:cNvPr id="243" name="TextBox 242"/>
        <cdr:cNvSpPr txBox="1"/>
      </cdr:nvSpPr>
      <cdr:spPr>
        <a:xfrm xmlns:a="http://schemas.openxmlformats.org/drawingml/2006/main">
          <a:off x="4815044" y="3060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1.26 (0.57 – 2.93)</a:t>
          </a:r>
        </a:p>
      </cdr:txBody>
    </cdr:sp>
  </cdr:relSizeAnchor>
  <cdr:relSizeAnchor xmlns:cdr="http://schemas.openxmlformats.org/drawingml/2006/chartDrawing">
    <cdr:from>
      <cdr:x>0.01021</cdr:x>
      <cdr:y>0.11381</cdr:y>
    </cdr:from>
    <cdr:to>
      <cdr:x>0.31649</cdr:x>
      <cdr:y>0.13612</cdr:y>
    </cdr:to>
    <cdr:sp macro="" textlink="">
      <cdr:nvSpPr>
        <cdr:cNvPr id="244" name="TextBox 243"/>
        <cdr:cNvSpPr txBox="1"/>
      </cdr:nvSpPr>
      <cdr:spPr>
        <a:xfrm xmlns:a="http://schemas.openxmlformats.org/drawingml/2006/main">
          <a:off x="63500" y="2590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IBUIV</a:t>
          </a:r>
        </a:p>
      </cdr:txBody>
    </cdr:sp>
  </cdr:relSizeAnchor>
  <cdr:relSizeAnchor xmlns:cdr="http://schemas.openxmlformats.org/drawingml/2006/chartDrawing">
    <cdr:from>
      <cdr:x>0.75498</cdr:x>
      <cdr:y>0.11381</cdr:y>
    </cdr:from>
    <cdr:to>
      <cdr:x>1</cdr:x>
      <cdr:y>0.12497</cdr:y>
    </cdr:to>
    <cdr:sp macro="" textlink="">
      <cdr:nvSpPr>
        <cdr:cNvPr id="245" name="TextBox 244"/>
        <cdr:cNvSpPr txBox="1"/>
      </cdr:nvSpPr>
      <cdr:spPr>
        <a:xfrm xmlns:a="http://schemas.openxmlformats.org/drawingml/2006/main">
          <a:off x="4815044" y="2590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1.25 (0.45 – 3.42)</a:t>
          </a:r>
        </a:p>
      </cdr:txBody>
    </cdr:sp>
  </cdr:relSizeAnchor>
  <cdr:relSizeAnchor xmlns:cdr="http://schemas.openxmlformats.org/drawingml/2006/chartDrawing">
    <cdr:from>
      <cdr:x>0.01021</cdr:x>
      <cdr:y>0.09317</cdr:y>
    </cdr:from>
    <cdr:to>
      <cdr:x>0.31649</cdr:x>
      <cdr:y>0.11548</cdr:y>
    </cdr:to>
    <cdr:sp macro="" textlink="">
      <cdr:nvSpPr>
        <cdr:cNvPr id="246" name="TextBox 245"/>
        <cdr:cNvSpPr txBox="1"/>
      </cdr:nvSpPr>
      <cdr:spPr>
        <a:xfrm xmlns:a="http://schemas.openxmlformats.org/drawingml/2006/main">
          <a:off x="63500" y="2120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INDOIVCONT</a:t>
          </a:r>
        </a:p>
      </cdr:txBody>
    </cdr:sp>
  </cdr:relSizeAnchor>
  <cdr:relSizeAnchor xmlns:cdr="http://schemas.openxmlformats.org/drawingml/2006/chartDrawing">
    <cdr:from>
      <cdr:x>0.75498</cdr:x>
      <cdr:y>0.09317</cdr:y>
    </cdr:from>
    <cdr:to>
      <cdr:x>1</cdr:x>
      <cdr:y>0.10432</cdr:y>
    </cdr:to>
    <cdr:sp macro="" textlink="">
      <cdr:nvSpPr>
        <cdr:cNvPr id="247" name="TextBox 246"/>
        <cdr:cNvSpPr txBox="1"/>
      </cdr:nvSpPr>
      <cdr:spPr>
        <a:xfrm xmlns:a="http://schemas.openxmlformats.org/drawingml/2006/main">
          <a:off x="4815044" y="2120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1.25 (0.45 – 3.58)</a:t>
          </a:r>
        </a:p>
      </cdr:txBody>
    </cdr:sp>
  </cdr:relSizeAnchor>
  <cdr:relSizeAnchor xmlns:cdr="http://schemas.openxmlformats.org/drawingml/2006/chartDrawing">
    <cdr:from>
      <cdr:x>0.01021</cdr:x>
      <cdr:y>0.07252</cdr:y>
    </cdr:from>
    <cdr:to>
      <cdr:x>0.31649</cdr:x>
      <cdr:y>0.09484</cdr:y>
    </cdr:to>
    <cdr:sp macro="" textlink="">
      <cdr:nvSpPr>
        <cdr:cNvPr id="248" name="TextBox 247"/>
        <cdr:cNvSpPr txBox="1"/>
      </cdr:nvSpPr>
      <cdr:spPr>
        <a:xfrm xmlns:a="http://schemas.openxmlformats.org/drawingml/2006/main">
          <a:off x="63500" y="1651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PARAPO</a:t>
          </a:r>
        </a:p>
      </cdr:txBody>
    </cdr:sp>
  </cdr:relSizeAnchor>
  <cdr:relSizeAnchor xmlns:cdr="http://schemas.openxmlformats.org/drawingml/2006/chartDrawing">
    <cdr:from>
      <cdr:x>0.75498</cdr:x>
      <cdr:y>0.07252</cdr:y>
    </cdr:from>
    <cdr:to>
      <cdr:x>1</cdr:x>
      <cdr:y>0.08368</cdr:y>
    </cdr:to>
    <cdr:sp macro="" textlink="">
      <cdr:nvSpPr>
        <cdr:cNvPr id="249" name="TextBox 248"/>
        <cdr:cNvSpPr txBox="1"/>
      </cdr:nvSpPr>
      <cdr:spPr>
        <a:xfrm xmlns:a="http://schemas.openxmlformats.org/drawingml/2006/main">
          <a:off x="4815044" y="1651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1.25 (0.26 – 6.70)</a:t>
          </a:r>
        </a:p>
      </cdr:txBody>
    </cdr:sp>
  </cdr:relSizeAnchor>
  <cdr:relSizeAnchor xmlns:cdr="http://schemas.openxmlformats.org/drawingml/2006/chartDrawing">
    <cdr:from>
      <cdr:x>0.01021</cdr:x>
      <cdr:y>0.05188</cdr:y>
    </cdr:from>
    <cdr:to>
      <cdr:x>0.31649</cdr:x>
      <cdr:y>0.0742</cdr:y>
    </cdr:to>
    <cdr:sp macro="" textlink="">
      <cdr:nvSpPr>
        <cdr:cNvPr id="250" name="TextBox 249"/>
        <cdr:cNvSpPr txBox="1"/>
      </cdr:nvSpPr>
      <cdr:spPr>
        <a:xfrm xmlns:a="http://schemas.openxmlformats.org/drawingml/2006/main">
          <a:off x="63500" y="1181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INDOIV</a:t>
          </a:r>
        </a:p>
      </cdr:txBody>
    </cdr:sp>
  </cdr:relSizeAnchor>
  <cdr:relSizeAnchor xmlns:cdr="http://schemas.openxmlformats.org/drawingml/2006/chartDrawing">
    <cdr:from>
      <cdr:x>0.75498</cdr:x>
      <cdr:y>0.05188</cdr:y>
    </cdr:from>
    <cdr:to>
      <cdr:x>1</cdr:x>
      <cdr:y>0.06304</cdr:y>
    </cdr:to>
    <cdr:sp macro="" textlink="">
      <cdr:nvSpPr>
        <cdr:cNvPr id="251" name="TextBox 250"/>
        <cdr:cNvSpPr txBox="1"/>
      </cdr:nvSpPr>
      <cdr:spPr>
        <a:xfrm xmlns:a="http://schemas.openxmlformats.org/drawingml/2006/main">
          <a:off x="4815044" y="1181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1.02 (0.56 – 1.85)</a:t>
          </a:r>
        </a:p>
      </cdr:txBody>
    </cdr:sp>
  </cdr:relSizeAnchor>
  <cdr:relSizeAnchor xmlns:cdr="http://schemas.openxmlformats.org/drawingml/2006/chartDrawing">
    <cdr:from>
      <cdr:x>0.01021</cdr:x>
      <cdr:y>0.03124</cdr:y>
    </cdr:from>
    <cdr:to>
      <cdr:x>0.31649</cdr:x>
      <cdr:y>0.05356</cdr:y>
    </cdr:to>
    <cdr:sp macro="" textlink="">
      <cdr:nvSpPr>
        <cdr:cNvPr id="252" name="TextBox 251"/>
        <cdr:cNvSpPr txBox="1"/>
      </cdr:nvSpPr>
      <cdr:spPr>
        <a:xfrm xmlns:a="http://schemas.openxmlformats.org/drawingml/2006/main">
          <a:off x="63500" y="711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IBUIVHIGHDOSE</a:t>
          </a:r>
        </a:p>
      </cdr:txBody>
    </cdr:sp>
  </cdr:relSizeAnchor>
  <cdr:relSizeAnchor xmlns:cdr="http://schemas.openxmlformats.org/drawingml/2006/chartDrawing">
    <cdr:from>
      <cdr:x>0.75498</cdr:x>
      <cdr:y>0.03124</cdr:y>
    </cdr:from>
    <cdr:to>
      <cdr:x>1</cdr:x>
      <cdr:y>0.0424</cdr:y>
    </cdr:to>
    <cdr:sp macro="" textlink="">
      <cdr:nvSpPr>
        <cdr:cNvPr id="253" name="TextBox 252"/>
        <cdr:cNvSpPr txBox="1"/>
      </cdr:nvSpPr>
      <cdr:spPr>
        <a:xfrm xmlns:a="http://schemas.openxmlformats.org/drawingml/2006/main">
          <a:off x="4815044" y="711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1.02 (0.18 – 5.47)</a:t>
          </a:r>
        </a:p>
      </cdr:txBody>
    </cdr:sp>
  </cdr:relSizeAnchor>
  <cdr:relSizeAnchor xmlns:cdr="http://schemas.openxmlformats.org/drawingml/2006/chartDrawing">
    <cdr:from>
      <cdr:x>0.01021</cdr:x>
      <cdr:y>0.00279</cdr:y>
    </cdr:from>
    <cdr:to>
      <cdr:x>0.41858</cdr:x>
      <cdr:y>0.0251</cdr:y>
    </cdr:to>
    <cdr:sp macro="" textlink="">
      <cdr:nvSpPr>
        <cdr:cNvPr id="254" name="TextBox 253"/>
        <cdr:cNvSpPr txBox="1"/>
      </cdr:nvSpPr>
      <cdr:spPr>
        <a:xfrm xmlns:a="http://schemas.openxmlformats.org/drawingml/2006/main">
          <a:off x="63500" y="63500"/>
          <a:ext cx="2540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Treatment 1 vs. Treatment 2</a:t>
          </a:r>
        </a:p>
      </cdr:txBody>
    </cdr:sp>
  </cdr:relSizeAnchor>
  <cdr:relSizeAnchor xmlns:cdr="http://schemas.openxmlformats.org/drawingml/2006/chartDrawing">
    <cdr:from>
      <cdr:x>0.75498</cdr:x>
      <cdr:y>0.00279</cdr:y>
    </cdr:from>
    <cdr:to>
      <cdr:x>1</cdr:x>
      <cdr:y>0.0251</cdr:y>
    </cdr:to>
    <cdr:sp macro="" textlink="">
      <cdr:nvSpPr>
        <cdr:cNvPr id="255" name="TextBox 254"/>
        <cdr:cNvSpPr txBox="1"/>
      </cdr:nvSpPr>
      <cdr:spPr>
        <a:xfrm xmlns:a="http://schemas.openxmlformats.org/drawingml/2006/main">
          <a:off x="4815044" y="63500"/>
          <a:ext cx="1524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O.R. (95% Cr.I.)</a:t>
          </a:r>
        </a:p>
      </cdr:txBody>
    </cdr:sp>
  </cdr:relSizeAnchor>
  <cdr:relSizeAnchor xmlns:cdr="http://schemas.openxmlformats.org/drawingml/2006/chartDrawing">
    <cdr:from>
      <cdr:x>0.3573</cdr:x>
      <cdr:y>0.97155</cdr:y>
    </cdr:from>
    <cdr:to>
      <cdr:x>0.60233</cdr:x>
      <cdr:y>0.98271</cdr:y>
    </cdr:to>
    <cdr:sp macro="" textlink="">
      <cdr:nvSpPr>
        <cdr:cNvPr id="256" name="TextBox 255"/>
        <cdr:cNvSpPr txBox="1"/>
      </cdr:nvSpPr>
      <cdr:spPr>
        <a:xfrm xmlns:a="http://schemas.openxmlformats.org/drawingml/2006/main">
          <a:off x="2222364" y="2211705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2</a:t>
          </a:r>
        </a:p>
      </cdr:txBody>
    </cdr:sp>
  </cdr:relSizeAnchor>
  <cdr:relSizeAnchor xmlns:cdr="http://schemas.openxmlformats.org/drawingml/2006/chartDrawing">
    <cdr:from>
      <cdr:x>0.56996</cdr:x>
      <cdr:y>0.97155</cdr:y>
    </cdr:from>
    <cdr:to>
      <cdr:x>0.81498</cdr:x>
      <cdr:y>0.98271</cdr:y>
    </cdr:to>
    <cdr:sp macro="" textlink="">
      <cdr:nvSpPr>
        <cdr:cNvPr id="257" name="TextBox 256"/>
        <cdr:cNvSpPr txBox="1"/>
      </cdr:nvSpPr>
      <cdr:spPr>
        <a:xfrm xmlns:a="http://schemas.openxmlformats.org/drawingml/2006/main">
          <a:off x="3545044" y="2211705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1</a:t>
          </a:r>
        </a:p>
      </cdr:txBody>
    </cdr:sp>
  </cdr:relSizeAnchor>
  <cdr:relSizeAnchor xmlns:cdr="http://schemas.openxmlformats.org/drawingml/2006/chartDrawing">
    <cdr:from>
      <cdr:x>0.47981</cdr:x>
      <cdr:y>0.98271</cdr:y>
    </cdr:from>
    <cdr:to>
      <cdr:x>0.84907</cdr:x>
      <cdr:y>0.99386</cdr:y>
    </cdr:to>
    <cdr:sp macro="" textlink="">
      <cdr:nvSpPr>
        <cdr:cNvPr id="258" name="TextBox 257"/>
        <cdr:cNvSpPr txBox="1"/>
      </cdr:nvSpPr>
      <cdr:spPr>
        <a:xfrm xmlns:a="http://schemas.openxmlformats.org/drawingml/2006/main">
          <a:off x="2984364" y="22371050"/>
          <a:ext cx="229672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Random Effects (Non-informative Prior)</a:t>
          </a:r>
        </a:p>
      </cdr:txBody>
    </cdr:sp>
  </cdr:relSizeAnchor>
  <cdr:relSizeAnchor xmlns:cdr="http://schemas.openxmlformats.org/drawingml/2006/chartDrawing">
    <cdr:from>
      <cdr:x>0.01021</cdr:x>
      <cdr:y>0.96039</cdr:y>
    </cdr:from>
    <cdr:to>
      <cdr:x>0.3238</cdr:x>
      <cdr:y>0.97713</cdr:y>
    </cdr:to>
    <cdr:sp macro="" textlink="">
      <cdr:nvSpPr>
        <cdr:cNvPr id="259" name="TextBox 258"/>
        <cdr:cNvSpPr txBox="1"/>
      </cdr:nvSpPr>
      <cdr:spPr>
        <a:xfrm xmlns:a="http://schemas.openxmlformats.org/drawingml/2006/main">
          <a:off x="63499" y="21863050"/>
          <a:ext cx="1950509"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800"/>
            <a:t>Heterogeneity (Non-informative) = 0.3688 
95% CrI (0.1024 – 0.6803)</a:t>
          </a:r>
        </a:p>
      </cdr:txBody>
    </cdr:sp>
  </cdr:relSizeAnchor>
  <cdr:relSizeAnchor xmlns:cdr="http://schemas.openxmlformats.org/drawingml/2006/chartDrawing">
    <cdr:from>
      <cdr:x>0.01021</cdr:x>
      <cdr:y>0.97155</cdr:y>
    </cdr:from>
    <cdr:to>
      <cdr:x>0.29607</cdr:x>
      <cdr:y>0.98828</cdr:y>
    </cdr:to>
    <cdr:sp macro="" textlink="">
      <cdr:nvSpPr>
        <cdr:cNvPr id="260" name="TextBox 259"/>
        <cdr:cNvSpPr txBox="1"/>
      </cdr:nvSpPr>
      <cdr:spPr>
        <a:xfrm xmlns:a="http://schemas.openxmlformats.org/drawingml/2006/main">
          <a:off x="63500" y="22117050"/>
          <a:ext cx="1778000"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endParaRPr lang="en-US" sz="800"/>
        </a:p>
      </cdr:txBody>
    </cdr:sp>
  </cdr:rel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&gt;1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c:userShapes xmlns:c="http://schemas.openxmlformats.org/drawingml/2006/chart">
  <cdr:relSizeAnchor xmlns:cdr="http://schemas.openxmlformats.org/drawingml/2006/chartDrawing">
    <cdr:from>
      <cdr:x>0.72863</cdr:x>
      <cdr:y>0.53071</cdr:y>
    </cdr:from>
    <cdr:to>
      <cdr:x>1</cdr:x>
      <cdr:y>0.59225</cdr:y>
    </cdr:to>
    <cdr:sp macro="" textlink="">
      <cdr:nvSpPr>
        <cdr:cNvPr id="7" name="TextBox 6"/>
        <cdr:cNvSpPr txBox="1"/>
      </cdr:nvSpPr>
      <cdr:spPr>
        <a:xfrm xmlns:a="http://schemas.openxmlformats.org/drawingml/2006/main">
          <a:off x="3429637" y="1642880"/>
          <a:ext cx="1270000" cy="190500"/>
        </a:xfrm>
        <a:prstGeom xmlns:a="http://schemas.openxmlformats.org/drawingml/2006/main" prst="rect">
          <a:avLst/>
        </a:prstGeom>
      </cdr:spPr>
      <cdr:txBody>
        <a:bodyPr xmlns:a="http://schemas.openxmlformats.org/drawingml/2006/main" vertOverflow="clip" vert="horz" rtlCol="0" anchor="ctr"/>
        <a:lstStyle xmlns:a="http://schemas.openxmlformats.org/drawingml/2006/main"/>
        <a:p xmlns:a="http://schemas.openxmlformats.org/drawingml/2006/main">
          <a:r>
            <a:rPr lang="en-US" sz="800"/>
            <a:t>13, IBUPO</a:t>
          </a:r>
        </a:p>
      </cdr:txBody>
    </cdr:sp>
  </cdr:relSizeAnchor>
  <cdr:relSizeAnchor xmlns:cdr="http://schemas.openxmlformats.org/drawingml/2006/chartDrawing">
    <cdr:from>
      <cdr:x>0.72863</cdr:x>
      <cdr:y>0.53071</cdr:y>
    </cdr:from>
    <cdr:to>
      <cdr:x>1</cdr:x>
      <cdr:y>0.59225</cdr:y>
    </cdr:to>
    <cdr:sp macro="" textlink="">
      <cdr:nvSpPr>
        <cdr:cNvPr id="2" name="TextBox 1"/>
        <cdr:cNvSpPr txBox="1"/>
      </cdr:nvSpPr>
      <cdr:spPr>
        <a:xfrm xmlns:a="http://schemas.openxmlformats.org/drawingml/2006/main">
          <a:off x="3429637" y="1642880"/>
          <a:ext cx="1270000" cy="190500"/>
        </a:xfrm>
        <a:prstGeom xmlns:a="http://schemas.openxmlformats.org/drawingml/2006/main" prst="rect">
          <a:avLst/>
        </a:prstGeom>
      </cdr:spPr>
      <cdr:txBody>
        <a:bodyPr xmlns:a="http://schemas.openxmlformats.org/drawingml/2006/main" vertOverflow="clip" vert="horz" rtlCol="0" anchor="ctr"/>
        <a:lstStyle xmlns:a="http://schemas.openxmlformats.org/drawingml/2006/main"/>
        <a:p xmlns:a="http://schemas.openxmlformats.org/drawingml/2006/main">
          <a:r>
            <a:rPr lang="en-US" sz="800"/>
            <a:t>13</a:t>
          </a:r>
        </a:p>
      </cdr:txBody>
    </cdr:sp>
  </cdr:relSizeAnchor>
  <cdr:relSizeAnchor xmlns:cdr="http://schemas.openxmlformats.org/drawingml/2006/chartDrawing">
    <cdr:from>
      <cdr:x>0.29661</cdr:x>
      <cdr:y>0.42536</cdr:y>
    </cdr:from>
    <cdr:to>
      <cdr:x>0.56797</cdr:x>
      <cdr:y>0.4869</cdr:y>
    </cdr:to>
    <cdr:sp macro="" textlink="">
      <cdr:nvSpPr>
        <cdr:cNvPr id="3" name="TextBox 2"/>
        <cdr:cNvSpPr txBox="1"/>
      </cdr:nvSpPr>
      <cdr:spPr>
        <a:xfrm xmlns:a="http://schemas.openxmlformats.org/drawingml/2006/main">
          <a:off x="1388119" y="1316763"/>
          <a:ext cx="1270000" cy="190500"/>
        </a:xfrm>
        <a:prstGeom xmlns:a="http://schemas.openxmlformats.org/drawingml/2006/main" prst="rect">
          <a:avLst/>
        </a:prstGeom>
      </cdr:spPr>
      <cdr:txBody>
        <a:bodyPr xmlns:a="http://schemas.openxmlformats.org/drawingml/2006/main" vertOverflow="clip" vert="horz" rtlCol="0" anchor="ctr"/>
        <a:lstStyle xmlns:a="http://schemas.openxmlformats.org/drawingml/2006/main"/>
        <a:p xmlns:a="http://schemas.openxmlformats.org/drawingml/2006/main">
          <a:r>
            <a:rPr lang="en-US" sz="800"/>
            <a:t>4</a:t>
          </a:r>
        </a:p>
      </cdr:txBody>
    </cdr:sp>
  </cdr:relSizeAnchor>
  <cdr:relSizeAnchor xmlns:cdr="http://schemas.openxmlformats.org/drawingml/2006/chartDrawing">
    <cdr:from>
      <cdr:x>0.71396</cdr:x>
      <cdr:y>0.544</cdr:y>
    </cdr:from>
    <cdr:to>
      <cdr:x>0.98533</cdr:x>
      <cdr:y>0.60554</cdr:y>
    </cdr:to>
    <cdr:sp macro="" textlink="">
      <cdr:nvSpPr>
        <cdr:cNvPr id="4" name="TextBox 3"/>
        <cdr:cNvSpPr txBox="1"/>
      </cdr:nvSpPr>
      <cdr:spPr>
        <a:xfrm xmlns:a="http://schemas.openxmlformats.org/drawingml/2006/main">
          <a:off x="3341352" y="1684029"/>
          <a:ext cx="1270000" cy="190500"/>
        </a:xfrm>
        <a:prstGeom xmlns:a="http://schemas.openxmlformats.org/drawingml/2006/main" prst="rect">
          <a:avLst/>
        </a:prstGeom>
      </cdr:spPr>
      <cdr:txBody>
        <a:bodyPr xmlns:a="http://schemas.openxmlformats.org/drawingml/2006/main" vertOverflow="clip" vert="horz" rtlCol="0" anchor="ctr"/>
        <a:lstStyle xmlns:a="http://schemas.openxmlformats.org/drawingml/2006/main"/>
        <a:p xmlns:a="http://schemas.openxmlformats.org/drawingml/2006/main">
          <a:r>
            <a:rPr lang="en-US" sz="800"/>
            <a:t>13</a:t>
          </a:r>
        </a:p>
      </cdr:txBody>
    </cdr:sp>
  </cdr:relSizeAnchor>
</c:userShapes>
</file>

<file path=xl/drawings/drawing14.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3.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8.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customProperty" Target="../customProperty11.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29" t="s">
        <v>250</v>
      </c>
      <c r="D30" s="229"/>
      <c r="E30" s="229"/>
      <c r="F30" s="229"/>
      <c r="G30" s="229"/>
      <c r="H30" s="229"/>
      <c r="I30" s="229"/>
      <c r="J30" s="229"/>
      <c r="K30" s="229"/>
      <c r="L30" s="229"/>
      <c r="M30" s="229"/>
    </row>
    <row r="31" spans="3:13" x14ac:dyDescent="0.25">
      <c r="C31" s="229"/>
      <c r="D31" s="229"/>
      <c r="E31" s="229"/>
      <c r="F31" s="229"/>
      <c r="G31" s="229"/>
      <c r="H31" s="229"/>
      <c r="I31" s="229"/>
      <c r="J31" s="229"/>
      <c r="K31" s="229"/>
      <c r="L31" s="229"/>
      <c r="M31" s="229"/>
    </row>
    <row r="32" spans="3:13" x14ac:dyDescent="0.25">
      <c r="C32" s="229"/>
      <c r="D32" s="229"/>
      <c r="E32" s="229"/>
      <c r="F32" s="229"/>
      <c r="G32" s="229"/>
      <c r="H32" s="229"/>
      <c r="I32" s="229"/>
      <c r="J32" s="229"/>
      <c r="K32" s="229"/>
      <c r="L32" s="229"/>
      <c r="M32" s="229"/>
    </row>
    <row r="33" spans="3:13" x14ac:dyDescent="0.25">
      <c r="C33" s="229"/>
      <c r="D33" s="229"/>
      <c r="E33" s="229"/>
      <c r="F33" s="229"/>
      <c r="G33" s="229"/>
      <c r="H33" s="229"/>
      <c r="I33" s="229"/>
      <c r="J33" s="229"/>
      <c r="K33" s="229"/>
      <c r="L33" s="229"/>
      <c r="M33" s="229"/>
    </row>
    <row r="34" spans="3:13" x14ac:dyDescent="0.25">
      <c r="C34" s="229"/>
      <c r="D34" s="229"/>
      <c r="E34" s="229"/>
      <c r="F34" s="229"/>
      <c r="G34" s="229"/>
      <c r="H34" s="229"/>
      <c r="I34" s="229"/>
      <c r="J34" s="229"/>
      <c r="K34" s="229"/>
      <c r="L34" s="229"/>
      <c r="M34" s="229"/>
    </row>
    <row r="35" spans="3:13" x14ac:dyDescent="0.25">
      <c r="C35" s="229"/>
      <c r="D35" s="229"/>
      <c r="E35" s="229"/>
      <c r="F35" s="229"/>
      <c r="G35" s="229"/>
      <c r="H35" s="229"/>
      <c r="I35" s="229"/>
      <c r="J35" s="229"/>
      <c r="K35" s="229"/>
      <c r="L35" s="229"/>
      <c r="M35" s="229"/>
    </row>
    <row r="36" spans="3:13" x14ac:dyDescent="0.25">
      <c r="C36" s="229"/>
      <c r="D36" s="229"/>
      <c r="E36" s="229"/>
      <c r="F36" s="229"/>
      <c r="G36" s="229"/>
      <c r="H36" s="229"/>
      <c r="I36" s="229"/>
      <c r="J36" s="229"/>
      <c r="K36" s="229"/>
      <c r="L36" s="229"/>
      <c r="M36" s="229"/>
    </row>
    <row r="37" spans="3:13" x14ac:dyDescent="0.25">
      <c r="C37" s="229"/>
      <c r="D37" s="229"/>
      <c r="E37" s="229"/>
      <c r="F37" s="229"/>
      <c r="G37" s="229"/>
      <c r="H37" s="229"/>
      <c r="I37" s="229"/>
      <c r="J37" s="229"/>
      <c r="K37" s="229"/>
      <c r="L37" s="229"/>
      <c r="M37" s="229"/>
    </row>
    <row r="38" spans="3:13" x14ac:dyDescent="0.25">
      <c r="C38" s="229"/>
      <c r="D38" s="229"/>
      <c r="E38" s="229"/>
      <c r="F38" s="229"/>
      <c r="G38" s="229"/>
      <c r="H38" s="229"/>
      <c r="I38" s="229"/>
      <c r="J38" s="229"/>
      <c r="K38" s="229"/>
      <c r="L38" s="229"/>
      <c r="M38" s="229"/>
    </row>
    <row r="39" spans="3:13" x14ac:dyDescent="0.25">
      <c r="C39" s="229"/>
      <c r="D39" s="229"/>
      <c r="E39" s="229"/>
      <c r="F39" s="229"/>
      <c r="G39" s="229"/>
      <c r="H39" s="229"/>
      <c r="I39" s="229"/>
      <c r="J39" s="229"/>
      <c r="K39" s="229"/>
      <c r="L39" s="229"/>
      <c r="M39" s="229"/>
    </row>
    <row r="40" spans="3:13" x14ac:dyDescent="0.25">
      <c r="C40" s="229"/>
      <c r="D40" s="229"/>
      <c r="E40" s="229"/>
      <c r="F40" s="229"/>
      <c r="G40" s="229"/>
      <c r="H40" s="229"/>
      <c r="I40" s="229"/>
      <c r="J40" s="229"/>
      <c r="K40" s="229"/>
      <c r="L40" s="229"/>
      <c r="M40" s="229"/>
    </row>
    <row r="41" spans="3:13" x14ac:dyDescent="0.25">
      <c r="C41" s="229"/>
      <c r="D41" s="229"/>
      <c r="E41" s="229"/>
      <c r="F41" s="229"/>
      <c r="G41" s="229"/>
      <c r="H41" s="229"/>
      <c r="I41" s="229"/>
      <c r="J41" s="229"/>
      <c r="K41" s="229"/>
      <c r="L41" s="229"/>
      <c r="M41" s="229"/>
    </row>
    <row r="42" spans="3:13" x14ac:dyDescent="0.25">
      <c r="C42" s="229"/>
      <c r="D42" s="229"/>
      <c r="E42" s="229"/>
      <c r="F42" s="229"/>
      <c r="G42" s="229"/>
      <c r="H42" s="229"/>
      <c r="I42" s="229"/>
      <c r="J42" s="229"/>
      <c r="K42" s="229"/>
      <c r="L42" s="229"/>
      <c r="M42" s="229"/>
    </row>
    <row r="43" spans="3:13" x14ac:dyDescent="0.25">
      <c r="C43" s="229"/>
      <c r="D43" s="229"/>
      <c r="E43" s="229"/>
      <c r="F43" s="229"/>
      <c r="G43" s="229"/>
      <c r="H43" s="229"/>
      <c r="I43" s="229"/>
      <c r="J43" s="229"/>
      <c r="K43" s="229"/>
      <c r="L43" s="229"/>
      <c r="M43" s="229"/>
    </row>
    <row r="44" spans="3:13" x14ac:dyDescent="0.25">
      <c r="C44" s="229"/>
      <c r="D44" s="229"/>
      <c r="E44" s="229"/>
      <c r="F44" s="229"/>
      <c r="G44" s="229"/>
      <c r="H44" s="229"/>
      <c r="I44" s="229"/>
      <c r="J44" s="229"/>
      <c r="K44" s="229"/>
      <c r="L44" s="229"/>
      <c r="M44" s="229"/>
    </row>
    <row r="45" spans="3:13" x14ac:dyDescent="0.25">
      <c r="C45" s="229"/>
      <c r="D45" s="229"/>
      <c r="E45" s="229"/>
      <c r="F45" s="229"/>
      <c r="G45" s="229"/>
      <c r="H45" s="229"/>
      <c r="I45" s="229"/>
      <c r="J45" s="229"/>
      <c r="K45" s="229"/>
      <c r="L45" s="229"/>
      <c r="M45" s="229"/>
    </row>
    <row r="46" spans="3:13" x14ac:dyDescent="0.25">
      <c r="C46" s="229"/>
      <c r="D46" s="229"/>
      <c r="E46" s="229"/>
      <c r="F46" s="229"/>
      <c r="G46" s="229"/>
      <c r="H46" s="229"/>
      <c r="I46" s="229"/>
      <c r="J46" s="229"/>
      <c r="K46" s="229"/>
      <c r="L46" s="229"/>
      <c r="M46" s="229"/>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topLeftCell="A19" zoomScale="120" zoomScaleNormal="120" workbookViewId="0">
      <selection activeCell="C31" sqref="C31"/>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40000</v>
      </c>
      <c r="F9" s="230" t="s">
        <v>118</v>
      </c>
      <c r="G9" s="231"/>
      <c r="H9" s="232"/>
    </row>
    <row r="10" spans="2:16" ht="15.75" thickBot="1" x14ac:dyDescent="0.3">
      <c r="B10" s="20"/>
      <c r="C10" s="18" t="s">
        <v>36</v>
      </c>
      <c r="D10" s="174">
        <v>40000</v>
      </c>
      <c r="F10" s="233"/>
      <c r="G10" s="234"/>
      <c r="H10" s="235"/>
    </row>
    <row r="11" spans="2:16" ht="15.75" customHeight="1" thickTop="1" x14ac:dyDescent="0.25">
      <c r="B11" s="20"/>
      <c r="C11" s="18" t="s">
        <v>68</v>
      </c>
      <c r="D11" s="168" t="b">
        <v>1</v>
      </c>
      <c r="F11" s="230" t="s">
        <v>117</v>
      </c>
      <c r="G11" s="231"/>
      <c r="H11" s="232"/>
    </row>
    <row r="12" spans="2:16" ht="15.75" thickBot="1" x14ac:dyDescent="0.3">
      <c r="B12" s="20"/>
      <c r="C12" s="18" t="s">
        <v>67</v>
      </c>
      <c r="D12" s="169" t="b">
        <v>1</v>
      </c>
      <c r="F12" s="239"/>
      <c r="G12" s="240"/>
      <c r="H12" s="241"/>
    </row>
    <row r="13" spans="2:16" ht="34.5" customHeight="1" thickTop="1" thickBot="1" x14ac:dyDescent="0.3">
      <c r="B13" s="21" t="s">
        <v>71</v>
      </c>
    </row>
    <row r="14" spans="2:16" ht="15.75" customHeight="1" thickTop="1" x14ac:dyDescent="0.25">
      <c r="B14" s="20"/>
      <c r="C14" s="18" t="s">
        <v>136</v>
      </c>
      <c r="D14" s="167">
        <v>0</v>
      </c>
      <c r="F14" s="230" t="s">
        <v>119</v>
      </c>
      <c r="G14" s="231"/>
      <c r="H14" s="232"/>
    </row>
    <row r="15" spans="2:16" ht="15" customHeight="1" x14ac:dyDescent="0.25">
      <c r="B15" s="20"/>
      <c r="C15" s="18" t="s">
        <v>137</v>
      </c>
      <c r="D15" s="168">
        <v>2</v>
      </c>
      <c r="F15" s="239"/>
      <c r="G15" s="240"/>
      <c r="H15" s="241"/>
    </row>
    <row r="16" spans="2:16" ht="15" customHeight="1" x14ac:dyDescent="0.25">
      <c r="B16" s="20"/>
      <c r="C16" s="18" t="s">
        <v>269</v>
      </c>
      <c r="D16" s="168">
        <v>1</v>
      </c>
      <c r="F16" s="239"/>
      <c r="G16" s="240"/>
      <c r="H16" s="241"/>
    </row>
    <row r="17" spans="2:8" ht="15.75" customHeight="1" thickBot="1" x14ac:dyDescent="0.3">
      <c r="B17" s="20"/>
      <c r="C17" s="18" t="s">
        <v>270</v>
      </c>
      <c r="D17" s="169">
        <v>2</v>
      </c>
      <c r="F17" s="233"/>
      <c r="G17" s="234"/>
      <c r="H17" s="235"/>
    </row>
    <row r="18" spans="2:8" ht="33.75" customHeight="1" thickTop="1" thickBot="1" x14ac:dyDescent="0.3">
      <c r="B18" s="21" t="s">
        <v>115</v>
      </c>
    </row>
    <row r="19" spans="2:8" ht="35.25" customHeight="1" thickTop="1" thickBot="1" x14ac:dyDescent="0.3">
      <c r="C19" s="24" t="s">
        <v>34</v>
      </c>
      <c r="D19" s="170" t="s">
        <v>297</v>
      </c>
      <c r="E19" t="s">
        <v>82</v>
      </c>
      <c r="F19" s="236" t="s">
        <v>133</v>
      </c>
      <c r="G19" s="237"/>
      <c r="H19" s="238"/>
    </row>
    <row r="20" spans="2:8" ht="33" customHeight="1" thickTop="1" x14ac:dyDescent="0.25">
      <c r="C20" s="25" t="s">
        <v>48</v>
      </c>
      <c r="D20" s="170" t="s">
        <v>313</v>
      </c>
      <c r="F20" s="230" t="s">
        <v>138</v>
      </c>
      <c r="G20" s="231"/>
      <c r="H20" s="232"/>
    </row>
    <row r="21" spans="2:8" ht="33" customHeight="1" thickBot="1" x14ac:dyDescent="0.3">
      <c r="C21" s="24" t="s">
        <v>49</v>
      </c>
      <c r="D21" s="170" t="s">
        <v>314</v>
      </c>
      <c r="F21" s="233"/>
      <c r="G21" s="234"/>
      <c r="H21" s="235"/>
    </row>
    <row r="22" spans="2:8" ht="15.75" customHeight="1" thickTop="1" x14ac:dyDescent="0.25">
      <c r="C22" s="18" t="s">
        <v>56</v>
      </c>
      <c r="D22" s="171" t="s">
        <v>58</v>
      </c>
      <c r="F22" s="230" t="s">
        <v>120</v>
      </c>
      <c r="G22" s="231"/>
      <c r="H22" s="232"/>
    </row>
    <row r="23" spans="2:8" ht="15.75" thickBot="1" x14ac:dyDescent="0.3">
      <c r="C23" s="18" t="s">
        <v>57</v>
      </c>
      <c r="D23" s="171" t="s">
        <v>59</v>
      </c>
      <c r="F23" s="233"/>
      <c r="G23" s="234"/>
      <c r="H23" s="235"/>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272</v>
      </c>
      <c r="D30" s="176" t="b">
        <v>1</v>
      </c>
      <c r="F30" s="236" t="s">
        <v>273</v>
      </c>
      <c r="G30" s="237"/>
      <c r="H30" s="238"/>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22" zoomScale="80" zoomScaleNormal="80" workbookViewId="0">
      <selection activeCell="N20" sqref="N20"/>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47</v>
      </c>
      <c r="D2" s="142" t="s">
        <v>14</v>
      </c>
      <c r="G2" s="60"/>
      <c r="H2" s="60"/>
    </row>
    <row r="3" spans="3:34" ht="19.5" thickBot="1" x14ac:dyDescent="0.35">
      <c r="C3" s="143">
        <f>COUNTIF(E5:AH5,"&lt;&gt;")</f>
        <v>10</v>
      </c>
      <c r="D3" s="142" t="s">
        <v>15</v>
      </c>
      <c r="E3" s="253" t="s">
        <v>231</v>
      </c>
      <c r="F3" s="254"/>
      <c r="G3" s="254"/>
      <c r="H3" s="254"/>
      <c r="I3" s="254"/>
      <c r="J3" s="254"/>
      <c r="K3" s="254"/>
      <c r="L3" s="254"/>
      <c r="M3" s="254"/>
      <c r="N3" s="254"/>
      <c r="O3" s="254"/>
      <c r="P3" s="254"/>
      <c r="Q3" s="254"/>
      <c r="R3" s="254"/>
      <c r="S3" s="254"/>
      <c r="T3" s="254"/>
      <c r="U3" s="254"/>
      <c r="V3" s="254"/>
      <c r="W3" s="254"/>
      <c r="X3" s="254"/>
      <c r="Y3" s="254"/>
      <c r="Z3" s="254"/>
      <c r="AA3" s="254"/>
      <c r="AB3" s="254"/>
      <c r="AC3" s="254"/>
      <c r="AD3" s="254"/>
      <c r="AE3" s="254"/>
      <c r="AF3" s="254"/>
      <c r="AG3" s="254"/>
      <c r="AH3" s="255"/>
    </row>
    <row r="4" spans="3:34" ht="15.75" thickBot="1" x14ac:dyDescent="0.3">
      <c r="C4" s="143">
        <f>COUNTIF(F7:F56,"&lt;&gt;")</f>
        <v>24</v>
      </c>
      <c r="D4" s="142" t="s">
        <v>114</v>
      </c>
      <c r="E4" s="244">
        <v>1</v>
      </c>
      <c r="F4" s="245"/>
      <c r="G4" s="244">
        <f>E4+1</f>
        <v>2</v>
      </c>
      <c r="H4" s="245"/>
      <c r="I4" s="244">
        <f>G4+1</f>
        <v>3</v>
      </c>
      <c r="J4" s="245"/>
      <c r="K4" s="244">
        <f>I4+1</f>
        <v>4</v>
      </c>
      <c r="L4" s="245"/>
      <c r="M4" s="244">
        <f>K4+1</f>
        <v>5</v>
      </c>
      <c r="N4" s="245"/>
      <c r="O4" s="244">
        <f>M4+1</f>
        <v>6</v>
      </c>
      <c r="P4" s="245"/>
      <c r="Q4" s="244">
        <f>O4+1</f>
        <v>7</v>
      </c>
      <c r="R4" s="245"/>
      <c r="S4" s="244">
        <f>Q4+1</f>
        <v>8</v>
      </c>
      <c r="T4" s="245"/>
      <c r="U4" s="244">
        <f>S4+1</f>
        <v>9</v>
      </c>
      <c r="V4" s="245"/>
      <c r="W4" s="244">
        <f>U4+1</f>
        <v>10</v>
      </c>
      <c r="X4" s="245"/>
      <c r="Y4" s="244">
        <f>W4+1</f>
        <v>11</v>
      </c>
      <c r="Z4" s="245"/>
      <c r="AA4" s="244">
        <f>Y4+1</f>
        <v>12</v>
      </c>
      <c r="AB4" s="245"/>
      <c r="AC4" s="244">
        <f>AA4+1</f>
        <v>13</v>
      </c>
      <c r="AD4" s="245"/>
      <c r="AE4" s="244">
        <f>AC4+1</f>
        <v>14</v>
      </c>
      <c r="AF4" s="245"/>
      <c r="AG4" s="244">
        <f>AE4+1</f>
        <v>15</v>
      </c>
      <c r="AH4" s="245"/>
    </row>
    <row r="5" spans="3:34" ht="19.5" customHeight="1" thickBot="1" x14ac:dyDescent="0.3">
      <c r="C5" s="242" t="s">
        <v>9</v>
      </c>
      <c r="D5" s="140" t="s">
        <v>241</v>
      </c>
      <c r="E5" s="248" t="s">
        <v>351</v>
      </c>
      <c r="F5" s="249"/>
      <c r="G5" s="246" t="s">
        <v>352</v>
      </c>
      <c r="H5" s="247"/>
      <c r="I5" s="246" t="s">
        <v>353</v>
      </c>
      <c r="J5" s="247"/>
      <c r="K5" s="246" t="s">
        <v>354</v>
      </c>
      <c r="L5" s="247"/>
      <c r="M5" s="246" t="s">
        <v>355</v>
      </c>
      <c r="N5" s="247"/>
      <c r="O5" s="246" t="s">
        <v>356</v>
      </c>
      <c r="P5" s="247"/>
      <c r="Q5" s="246" t="s">
        <v>357</v>
      </c>
      <c r="R5" s="247"/>
      <c r="S5" s="246" t="s">
        <v>358</v>
      </c>
      <c r="T5" s="247"/>
      <c r="U5" s="246" t="s">
        <v>359</v>
      </c>
      <c r="V5" s="247"/>
      <c r="W5" s="246" t="s">
        <v>360</v>
      </c>
      <c r="X5" s="247"/>
      <c r="Y5" s="246"/>
      <c r="Z5" s="247"/>
      <c r="AA5" s="246"/>
      <c r="AB5" s="247"/>
      <c r="AC5" s="246"/>
      <c r="AD5" s="247"/>
      <c r="AE5" s="246"/>
      <c r="AF5" s="247"/>
      <c r="AG5" s="246"/>
      <c r="AH5" s="247"/>
    </row>
    <row r="6" spans="3:34" ht="32.25" customHeight="1" thickBot="1" x14ac:dyDescent="0.3">
      <c r="C6" s="243"/>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1</v>
      </c>
      <c r="E7" s="62">
        <v>7</v>
      </c>
      <c r="F7" s="63">
        <v>9</v>
      </c>
      <c r="G7" s="62"/>
      <c r="H7" s="63"/>
      <c r="I7" s="62">
        <v>10</v>
      </c>
      <c r="J7" s="63">
        <v>12</v>
      </c>
      <c r="K7" s="62"/>
      <c r="L7" s="63"/>
      <c r="M7" s="62"/>
      <c r="N7" s="63"/>
      <c r="O7" s="62"/>
      <c r="P7" s="63"/>
      <c r="Q7" s="62"/>
      <c r="R7" s="63"/>
      <c r="S7" s="62"/>
      <c r="T7" s="63"/>
      <c r="U7" s="62"/>
      <c r="V7" s="63"/>
      <c r="W7" s="62"/>
      <c r="X7" s="63"/>
      <c r="Y7" s="62"/>
      <c r="Z7" s="63"/>
      <c r="AA7" s="62"/>
      <c r="AB7" s="63"/>
      <c r="AC7" s="62"/>
      <c r="AD7" s="63"/>
      <c r="AE7" s="62"/>
      <c r="AF7" s="63"/>
      <c r="AG7" s="62"/>
      <c r="AH7" s="63"/>
    </row>
    <row r="8" spans="3:34" x14ac:dyDescent="0.25">
      <c r="C8" s="79">
        <v>2</v>
      </c>
      <c r="D8" s="61">
        <v>2</v>
      </c>
      <c r="E8" s="62"/>
      <c r="F8" s="63"/>
      <c r="G8" s="62">
        <v>47</v>
      </c>
      <c r="H8" s="63">
        <v>68</v>
      </c>
      <c r="I8" s="62"/>
      <c r="J8" s="63"/>
      <c r="K8" s="62"/>
      <c r="L8" s="63"/>
      <c r="M8" s="62"/>
      <c r="N8" s="63"/>
      <c r="O8" s="62"/>
      <c r="P8" s="63"/>
      <c r="Q8" s="62"/>
      <c r="R8" s="63"/>
      <c r="S8" s="62"/>
      <c r="T8" s="63"/>
      <c r="U8" s="62"/>
      <c r="V8" s="63"/>
      <c r="W8" s="62">
        <v>32</v>
      </c>
      <c r="X8" s="63">
        <v>68</v>
      </c>
      <c r="Y8" s="62"/>
      <c r="Z8" s="63"/>
      <c r="AA8" s="62"/>
      <c r="AB8" s="63"/>
      <c r="AC8" s="62"/>
      <c r="AD8" s="63"/>
      <c r="AE8" s="62"/>
      <c r="AF8" s="63"/>
      <c r="AG8" s="62"/>
      <c r="AH8" s="63"/>
    </row>
    <row r="9" spans="3:34" x14ac:dyDescent="0.25">
      <c r="C9" s="79">
        <v>3</v>
      </c>
      <c r="D9" s="61" t="s">
        <v>383</v>
      </c>
      <c r="E9" s="62">
        <v>285</v>
      </c>
      <c r="F9" s="63">
        <v>399</v>
      </c>
      <c r="G9" s="62"/>
      <c r="H9" s="63"/>
      <c r="I9" s="62"/>
      <c r="J9" s="63"/>
      <c r="K9" s="62"/>
      <c r="L9" s="63"/>
      <c r="M9" s="62"/>
      <c r="N9" s="63"/>
      <c r="O9" s="62"/>
      <c r="P9" s="63"/>
      <c r="Q9" s="62"/>
      <c r="R9" s="63"/>
      <c r="S9" s="62"/>
      <c r="T9" s="63"/>
      <c r="U9" s="62">
        <v>270</v>
      </c>
      <c r="V9" s="63">
        <v>403</v>
      </c>
      <c r="W9" s="62"/>
      <c r="X9" s="63"/>
      <c r="Y9" s="62"/>
      <c r="Z9" s="63"/>
      <c r="AA9" s="62"/>
      <c r="AB9" s="63"/>
      <c r="AC9" s="62"/>
      <c r="AD9" s="63"/>
      <c r="AE9" s="62"/>
      <c r="AF9" s="63"/>
      <c r="AG9" s="62"/>
      <c r="AH9" s="63"/>
    </row>
    <row r="10" spans="3:34" x14ac:dyDescent="0.25">
      <c r="C10" s="79">
        <v>4</v>
      </c>
      <c r="D10" s="61">
        <v>4</v>
      </c>
      <c r="E10" s="62">
        <v>35</v>
      </c>
      <c r="F10" s="63">
        <v>37</v>
      </c>
      <c r="G10" s="62"/>
      <c r="H10" s="63"/>
      <c r="I10" s="62"/>
      <c r="J10" s="63"/>
      <c r="K10" s="62">
        <v>35</v>
      </c>
      <c r="L10" s="63">
        <v>36</v>
      </c>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5</v>
      </c>
      <c r="E11" s="62"/>
      <c r="F11" s="63"/>
      <c r="G11" s="62"/>
      <c r="H11" s="63"/>
      <c r="I11" s="62">
        <v>34</v>
      </c>
      <c r="J11" s="63">
        <v>35</v>
      </c>
      <c r="K11" s="62"/>
      <c r="L11" s="63"/>
      <c r="M11" s="62"/>
      <c r="N11" s="63"/>
      <c r="O11" s="62"/>
      <c r="P11" s="63"/>
      <c r="Q11" s="62"/>
      <c r="R11" s="63"/>
      <c r="S11" s="62"/>
      <c r="T11" s="63"/>
      <c r="U11" s="62"/>
      <c r="V11" s="63"/>
      <c r="W11" s="62">
        <v>29</v>
      </c>
      <c r="X11" s="63">
        <v>37</v>
      </c>
      <c r="Y11" s="62"/>
      <c r="Z11" s="63"/>
      <c r="AA11" s="62"/>
      <c r="AB11" s="63"/>
      <c r="AC11" s="62"/>
      <c r="AD11" s="63"/>
      <c r="AE11" s="62"/>
      <c r="AF11" s="63"/>
      <c r="AG11" s="62"/>
      <c r="AH11" s="63"/>
    </row>
    <row r="12" spans="3:34" x14ac:dyDescent="0.25">
      <c r="C12" s="79">
        <v>6</v>
      </c>
      <c r="D12" s="61">
        <v>7</v>
      </c>
      <c r="E12" s="62"/>
      <c r="F12" s="63"/>
      <c r="G12" s="62"/>
      <c r="H12" s="63"/>
      <c r="I12" s="62">
        <v>38</v>
      </c>
      <c r="J12" s="63">
        <v>80</v>
      </c>
      <c r="K12" s="62">
        <v>45</v>
      </c>
      <c r="L12" s="63">
        <v>80</v>
      </c>
      <c r="M12" s="62"/>
      <c r="N12" s="63"/>
      <c r="O12" s="62"/>
      <c r="P12" s="63"/>
      <c r="Q12" s="62"/>
      <c r="R12" s="63"/>
      <c r="S12" s="62"/>
      <c r="T12" s="63"/>
      <c r="U12" s="62"/>
      <c r="V12" s="63"/>
      <c r="W12" s="62"/>
      <c r="X12" s="63"/>
      <c r="Y12" s="62"/>
      <c r="Z12" s="63"/>
      <c r="AA12" s="62"/>
      <c r="AB12" s="63"/>
      <c r="AC12" s="62"/>
      <c r="AD12" s="63"/>
      <c r="AE12" s="62"/>
      <c r="AF12" s="63"/>
      <c r="AG12" s="62"/>
      <c r="AH12" s="63"/>
    </row>
    <row r="13" spans="3:34" x14ac:dyDescent="0.25">
      <c r="C13" s="79">
        <v>7</v>
      </c>
      <c r="D13" s="61">
        <v>8</v>
      </c>
      <c r="E13" s="62"/>
      <c r="F13" s="63"/>
      <c r="G13" s="62">
        <v>21</v>
      </c>
      <c r="H13" s="63">
        <v>34</v>
      </c>
      <c r="I13" s="62">
        <v>30</v>
      </c>
      <c r="J13" s="63">
        <v>36</v>
      </c>
      <c r="K13" s="62"/>
      <c r="L13" s="63"/>
      <c r="M13" s="62"/>
      <c r="N13" s="63"/>
      <c r="O13" s="62"/>
      <c r="P13" s="63"/>
      <c r="Q13" s="62"/>
      <c r="R13" s="63"/>
      <c r="S13" s="62"/>
      <c r="T13" s="63"/>
      <c r="U13" s="62"/>
      <c r="V13" s="63"/>
      <c r="W13" s="62"/>
      <c r="X13" s="63"/>
      <c r="Y13" s="62"/>
      <c r="Z13" s="63"/>
      <c r="AA13" s="62"/>
      <c r="AB13" s="63"/>
      <c r="AC13" s="62"/>
      <c r="AD13" s="63"/>
      <c r="AE13" s="62"/>
      <c r="AF13" s="63"/>
      <c r="AG13" s="62"/>
      <c r="AH13" s="63"/>
    </row>
    <row r="14" spans="3:34" x14ac:dyDescent="0.25">
      <c r="C14" s="79">
        <v>8</v>
      </c>
      <c r="D14" s="61">
        <v>9</v>
      </c>
      <c r="E14" s="62"/>
      <c r="F14" s="63"/>
      <c r="G14" s="62">
        <v>31</v>
      </c>
      <c r="H14" s="63">
        <v>50</v>
      </c>
      <c r="I14" s="62">
        <v>46</v>
      </c>
      <c r="J14" s="63">
        <v>52</v>
      </c>
      <c r="K14" s="62"/>
      <c r="L14" s="63"/>
      <c r="M14" s="62"/>
      <c r="N14" s="63"/>
      <c r="O14" s="62"/>
      <c r="P14" s="63"/>
      <c r="Q14" s="62"/>
      <c r="R14" s="63"/>
      <c r="S14" s="62"/>
      <c r="T14" s="63"/>
      <c r="U14" s="62"/>
      <c r="V14" s="63"/>
      <c r="W14" s="62"/>
      <c r="X14" s="63"/>
      <c r="Y14" s="62"/>
      <c r="Z14" s="63"/>
      <c r="AA14" s="62"/>
      <c r="AB14" s="63"/>
      <c r="AC14" s="62"/>
      <c r="AD14" s="63"/>
      <c r="AE14" s="62"/>
      <c r="AF14" s="63"/>
      <c r="AG14" s="62"/>
      <c r="AH14" s="63"/>
    </row>
    <row r="15" spans="3:34" x14ac:dyDescent="0.25">
      <c r="C15" s="79">
        <v>9</v>
      </c>
      <c r="D15" s="61">
        <v>10</v>
      </c>
      <c r="E15" s="62"/>
      <c r="F15" s="63"/>
      <c r="G15" s="62"/>
      <c r="H15" s="63"/>
      <c r="I15" s="62">
        <v>31</v>
      </c>
      <c r="J15" s="63">
        <v>33</v>
      </c>
      <c r="K15" s="62"/>
      <c r="L15" s="63"/>
      <c r="M15" s="62"/>
      <c r="N15" s="63"/>
      <c r="O15" s="62"/>
      <c r="P15" s="63"/>
      <c r="Q15" s="62"/>
      <c r="R15" s="63"/>
      <c r="S15" s="62"/>
      <c r="T15" s="63"/>
      <c r="U15" s="62"/>
      <c r="V15" s="63"/>
      <c r="W15" s="62">
        <v>10</v>
      </c>
      <c r="X15" s="63">
        <v>33</v>
      </c>
      <c r="Y15" s="62"/>
      <c r="Z15" s="63"/>
      <c r="AA15" s="62"/>
      <c r="AB15" s="63"/>
      <c r="AC15" s="62"/>
      <c r="AD15" s="63"/>
      <c r="AE15" s="62"/>
      <c r="AF15" s="63"/>
      <c r="AG15" s="62"/>
      <c r="AH15" s="63"/>
    </row>
    <row r="16" spans="3:34" x14ac:dyDescent="0.25">
      <c r="C16" s="79">
        <v>10</v>
      </c>
      <c r="D16" s="61">
        <v>11</v>
      </c>
      <c r="E16" s="62"/>
      <c r="F16" s="63"/>
      <c r="G16" s="62">
        <v>20</v>
      </c>
      <c r="H16" s="63">
        <v>32</v>
      </c>
      <c r="I16" s="62">
        <v>27</v>
      </c>
      <c r="J16" s="63">
        <v>32</v>
      </c>
      <c r="K16" s="62"/>
      <c r="L16" s="63"/>
      <c r="M16" s="62"/>
      <c r="N16" s="63"/>
      <c r="O16" s="62"/>
      <c r="P16" s="63"/>
      <c r="Q16" s="62"/>
      <c r="R16" s="63"/>
      <c r="S16" s="62"/>
      <c r="T16" s="63"/>
      <c r="U16" s="62"/>
      <c r="V16" s="63"/>
      <c r="W16" s="62"/>
      <c r="X16" s="63"/>
      <c r="Y16" s="62"/>
      <c r="Z16" s="63"/>
      <c r="AA16" s="62"/>
      <c r="AB16" s="63"/>
      <c r="AC16" s="62"/>
      <c r="AD16" s="63"/>
      <c r="AE16" s="62"/>
      <c r="AF16" s="63"/>
      <c r="AG16" s="62"/>
      <c r="AH16" s="63"/>
    </row>
    <row r="17" spans="3:34" x14ac:dyDescent="0.25">
      <c r="C17" s="79">
        <v>11</v>
      </c>
      <c r="D17" s="61">
        <v>13</v>
      </c>
      <c r="E17" s="62">
        <v>10</v>
      </c>
      <c r="F17" s="63">
        <v>15</v>
      </c>
      <c r="G17" s="62"/>
      <c r="H17" s="63"/>
      <c r="I17" s="62">
        <v>7</v>
      </c>
      <c r="J17" s="63">
        <v>15</v>
      </c>
      <c r="K17" s="62"/>
      <c r="L17" s="63"/>
      <c r="M17" s="62"/>
      <c r="N17" s="63"/>
      <c r="O17" s="62"/>
      <c r="P17" s="63"/>
      <c r="Q17" s="62"/>
      <c r="R17" s="63"/>
      <c r="S17" s="62"/>
      <c r="T17" s="63"/>
      <c r="U17" s="62"/>
      <c r="V17" s="63"/>
      <c r="W17" s="62"/>
      <c r="X17" s="63"/>
      <c r="Y17" s="62"/>
      <c r="Z17" s="63"/>
      <c r="AA17" s="62"/>
      <c r="AB17" s="63"/>
      <c r="AC17" s="62"/>
      <c r="AD17" s="63"/>
      <c r="AE17" s="62"/>
      <c r="AF17" s="63"/>
      <c r="AG17" s="62"/>
      <c r="AH17" s="63"/>
    </row>
    <row r="18" spans="3:34" x14ac:dyDescent="0.25">
      <c r="C18" s="79">
        <v>12</v>
      </c>
      <c r="D18" s="61">
        <v>14</v>
      </c>
      <c r="E18" s="62">
        <v>11</v>
      </c>
      <c r="F18" s="63">
        <v>14</v>
      </c>
      <c r="G18" s="62"/>
      <c r="H18" s="63"/>
      <c r="I18" s="62"/>
      <c r="J18" s="63"/>
      <c r="K18" s="62"/>
      <c r="L18" s="63"/>
      <c r="M18" s="62"/>
      <c r="N18" s="63"/>
      <c r="O18" s="62"/>
      <c r="P18" s="63"/>
      <c r="Q18" s="62"/>
      <c r="R18" s="63"/>
      <c r="S18" s="62">
        <v>10</v>
      </c>
      <c r="T18" s="63">
        <v>18</v>
      </c>
      <c r="U18" s="62"/>
      <c r="V18" s="63"/>
      <c r="W18" s="62"/>
      <c r="X18" s="63"/>
      <c r="Y18" s="62"/>
      <c r="Z18" s="63"/>
      <c r="AA18" s="62"/>
      <c r="AB18" s="63"/>
      <c r="AC18" s="62"/>
      <c r="AD18" s="63"/>
      <c r="AE18" s="62"/>
      <c r="AF18" s="63"/>
      <c r="AG18" s="62"/>
      <c r="AH18" s="63"/>
    </row>
    <row r="19" spans="3:34" x14ac:dyDescent="0.25">
      <c r="C19" s="79">
        <v>13</v>
      </c>
      <c r="D19" s="61">
        <v>15</v>
      </c>
      <c r="E19" s="62">
        <v>18</v>
      </c>
      <c r="F19" s="63">
        <v>20</v>
      </c>
      <c r="G19" s="62"/>
      <c r="H19" s="63"/>
      <c r="I19" s="62"/>
      <c r="J19" s="63"/>
      <c r="K19" s="62"/>
      <c r="L19" s="63"/>
      <c r="M19" s="62"/>
      <c r="N19" s="63"/>
      <c r="O19" s="62"/>
      <c r="P19" s="63"/>
      <c r="Q19" s="62"/>
      <c r="R19" s="63"/>
      <c r="S19" s="62"/>
      <c r="T19" s="63"/>
      <c r="U19" s="62"/>
      <c r="V19" s="63"/>
      <c r="W19" s="62">
        <v>14</v>
      </c>
      <c r="X19" s="63">
        <v>19</v>
      </c>
      <c r="Y19" s="62"/>
      <c r="Z19" s="63"/>
      <c r="AA19" s="62"/>
      <c r="AB19" s="63"/>
      <c r="AC19" s="62"/>
      <c r="AD19" s="63"/>
      <c r="AE19" s="62"/>
      <c r="AF19" s="63"/>
      <c r="AG19" s="62"/>
      <c r="AH19" s="63"/>
    </row>
    <row r="20" spans="3:34" x14ac:dyDescent="0.25">
      <c r="C20" s="79">
        <v>14</v>
      </c>
      <c r="D20" s="61">
        <v>16</v>
      </c>
      <c r="E20" s="62">
        <v>8</v>
      </c>
      <c r="F20" s="63">
        <v>9</v>
      </c>
      <c r="G20" s="62"/>
      <c r="H20" s="63"/>
      <c r="I20" s="62"/>
      <c r="J20" s="63"/>
      <c r="K20" s="62"/>
      <c r="L20" s="63"/>
      <c r="M20" s="62"/>
      <c r="N20" s="63"/>
      <c r="O20" s="62"/>
      <c r="P20" s="63"/>
      <c r="Q20" s="62"/>
      <c r="R20" s="63"/>
      <c r="S20" s="62">
        <v>8</v>
      </c>
      <c r="T20" s="63">
        <v>9</v>
      </c>
      <c r="U20" s="62"/>
      <c r="V20" s="63"/>
      <c r="W20" s="62"/>
      <c r="X20" s="63"/>
      <c r="Y20" s="62"/>
      <c r="Z20" s="63"/>
      <c r="AA20" s="62"/>
      <c r="AB20" s="63"/>
      <c r="AC20" s="62"/>
      <c r="AD20" s="63"/>
      <c r="AE20" s="62"/>
      <c r="AF20" s="63"/>
      <c r="AG20" s="62"/>
      <c r="AH20" s="63"/>
    </row>
    <row r="21" spans="3:34" x14ac:dyDescent="0.25">
      <c r="C21" s="79">
        <v>15</v>
      </c>
      <c r="D21" s="61">
        <v>17</v>
      </c>
      <c r="E21" s="62"/>
      <c r="F21" s="63"/>
      <c r="G21" s="62">
        <v>19</v>
      </c>
      <c r="H21" s="63">
        <v>32</v>
      </c>
      <c r="I21" s="62"/>
      <c r="J21" s="63"/>
      <c r="K21" s="62"/>
      <c r="L21" s="63"/>
      <c r="M21" s="62"/>
      <c r="N21" s="63"/>
      <c r="O21" s="62"/>
      <c r="P21" s="63"/>
      <c r="Q21" s="62"/>
      <c r="R21" s="63"/>
      <c r="S21" s="62">
        <v>23</v>
      </c>
      <c r="T21" s="63">
        <v>31</v>
      </c>
      <c r="U21" s="62"/>
      <c r="V21" s="63"/>
      <c r="W21" s="62"/>
      <c r="X21" s="63"/>
      <c r="Y21" s="62"/>
      <c r="Z21" s="63"/>
      <c r="AA21" s="62"/>
      <c r="AB21" s="63"/>
      <c r="AC21" s="62"/>
      <c r="AD21" s="63"/>
      <c r="AE21" s="62"/>
      <c r="AF21" s="63"/>
      <c r="AG21" s="62"/>
      <c r="AH21" s="63"/>
    </row>
    <row r="22" spans="3:34" x14ac:dyDescent="0.25">
      <c r="C22" s="79">
        <v>16</v>
      </c>
      <c r="D22" s="61">
        <v>18</v>
      </c>
      <c r="E22" s="62"/>
      <c r="F22" s="63"/>
      <c r="G22" s="62">
        <v>22</v>
      </c>
      <c r="H22" s="63">
        <v>35</v>
      </c>
      <c r="I22" s="62"/>
      <c r="J22" s="63"/>
      <c r="K22" s="62"/>
      <c r="L22" s="63"/>
      <c r="M22" s="62">
        <v>30</v>
      </c>
      <c r="N22" s="63">
        <v>35</v>
      </c>
      <c r="O22" s="62"/>
      <c r="P22" s="63"/>
      <c r="Q22" s="62"/>
      <c r="R22" s="63"/>
      <c r="S22" s="62"/>
      <c r="T22" s="63"/>
      <c r="U22" s="62"/>
      <c r="V22" s="63"/>
      <c r="W22" s="62"/>
      <c r="X22" s="63"/>
      <c r="Y22" s="62"/>
      <c r="Z22" s="63"/>
      <c r="AA22" s="62"/>
      <c r="AB22" s="63"/>
      <c r="AC22" s="62"/>
      <c r="AD22" s="63"/>
      <c r="AE22" s="62"/>
      <c r="AF22" s="63"/>
      <c r="AG22" s="62"/>
      <c r="AH22" s="63"/>
    </row>
    <row r="23" spans="3:34" x14ac:dyDescent="0.25">
      <c r="C23" s="79">
        <v>17</v>
      </c>
      <c r="D23" s="61">
        <v>19</v>
      </c>
      <c r="E23" s="62"/>
      <c r="F23" s="63"/>
      <c r="G23" s="62"/>
      <c r="H23" s="63"/>
      <c r="I23" s="62">
        <v>18</v>
      </c>
      <c r="J23" s="63">
        <v>18</v>
      </c>
      <c r="K23" s="62"/>
      <c r="L23" s="63"/>
      <c r="M23" s="62"/>
      <c r="N23" s="63"/>
      <c r="O23" s="62"/>
      <c r="P23" s="63"/>
      <c r="Q23" s="62"/>
      <c r="R23" s="63"/>
      <c r="S23" s="62"/>
      <c r="T23" s="63"/>
      <c r="U23" s="62">
        <v>15</v>
      </c>
      <c r="V23" s="63">
        <v>18</v>
      </c>
      <c r="W23" s="62"/>
      <c r="X23" s="63"/>
      <c r="Y23" s="62"/>
      <c r="Z23" s="63"/>
      <c r="AA23" s="62"/>
      <c r="AB23" s="63"/>
      <c r="AC23" s="62"/>
      <c r="AD23" s="63"/>
      <c r="AE23" s="62"/>
      <c r="AF23" s="63"/>
      <c r="AG23" s="62"/>
      <c r="AH23" s="63"/>
    </row>
    <row r="24" spans="3:34" x14ac:dyDescent="0.25">
      <c r="C24" s="79">
        <v>18</v>
      </c>
      <c r="D24" s="61">
        <v>20</v>
      </c>
      <c r="E24" s="62">
        <v>107</v>
      </c>
      <c r="F24" s="63">
        <v>135</v>
      </c>
      <c r="G24" s="62"/>
      <c r="H24" s="63"/>
      <c r="I24" s="62"/>
      <c r="J24" s="63"/>
      <c r="K24" s="62"/>
      <c r="L24" s="63"/>
      <c r="M24" s="62"/>
      <c r="N24" s="63"/>
      <c r="O24" s="62"/>
      <c r="P24" s="63"/>
      <c r="Q24" s="62"/>
      <c r="R24" s="63"/>
      <c r="S24" s="62"/>
      <c r="T24" s="63"/>
      <c r="U24" s="62"/>
      <c r="V24" s="63"/>
      <c r="W24" s="62">
        <v>95</v>
      </c>
      <c r="X24" s="63">
        <v>270</v>
      </c>
      <c r="Y24" s="62"/>
      <c r="Z24" s="63"/>
      <c r="AA24" s="62"/>
      <c r="AB24" s="63"/>
      <c r="AC24" s="62"/>
      <c r="AD24" s="63"/>
      <c r="AE24" s="62"/>
      <c r="AF24" s="63"/>
      <c r="AG24" s="62"/>
      <c r="AH24" s="63"/>
    </row>
    <row r="25" spans="3:34" x14ac:dyDescent="0.25">
      <c r="C25" s="79">
        <v>19</v>
      </c>
      <c r="D25" s="61">
        <v>23</v>
      </c>
      <c r="E25" s="62">
        <v>7</v>
      </c>
      <c r="F25" s="63">
        <v>12</v>
      </c>
      <c r="G25" s="62"/>
      <c r="H25" s="63"/>
      <c r="I25" s="62"/>
      <c r="J25" s="63"/>
      <c r="K25" s="62"/>
      <c r="L25" s="63"/>
      <c r="M25" s="62"/>
      <c r="N25" s="63"/>
      <c r="O25" s="62"/>
      <c r="P25" s="63"/>
      <c r="Q25" s="62"/>
      <c r="R25" s="63"/>
      <c r="S25" s="62"/>
      <c r="T25" s="63"/>
      <c r="U25" s="62"/>
      <c r="V25" s="63"/>
      <c r="W25" s="62">
        <v>2</v>
      </c>
      <c r="X25" s="63">
        <v>15</v>
      </c>
      <c r="Y25" s="62"/>
      <c r="Z25" s="63"/>
      <c r="AA25" s="62"/>
      <c r="AB25" s="63"/>
      <c r="AC25" s="62"/>
      <c r="AD25" s="63"/>
      <c r="AE25" s="62"/>
      <c r="AF25" s="63"/>
      <c r="AG25" s="62"/>
      <c r="AH25" s="63"/>
    </row>
    <row r="26" spans="3:34" x14ac:dyDescent="0.25">
      <c r="C26" s="79">
        <v>20</v>
      </c>
      <c r="D26" s="61">
        <v>24</v>
      </c>
      <c r="E26" s="62">
        <v>56</v>
      </c>
      <c r="F26" s="63">
        <v>81</v>
      </c>
      <c r="G26" s="62">
        <v>69</v>
      </c>
      <c r="H26" s="63">
        <v>94</v>
      </c>
      <c r="I26" s="62"/>
      <c r="J26" s="63"/>
      <c r="K26" s="62"/>
      <c r="L26" s="63"/>
      <c r="M26" s="62"/>
      <c r="N26" s="63"/>
      <c r="O26" s="62"/>
      <c r="P26" s="63"/>
      <c r="Q26" s="62"/>
      <c r="R26" s="63"/>
      <c r="S26" s="62"/>
      <c r="T26" s="63"/>
      <c r="U26" s="62"/>
      <c r="V26" s="63"/>
      <c r="W26" s="62"/>
      <c r="X26" s="63"/>
      <c r="Y26" s="62"/>
      <c r="Z26" s="63"/>
      <c r="AA26" s="62"/>
      <c r="AB26" s="63"/>
      <c r="AC26" s="62"/>
      <c r="AD26" s="63"/>
      <c r="AE26" s="62"/>
      <c r="AF26" s="63"/>
      <c r="AG26" s="62"/>
      <c r="AH26" s="63"/>
    </row>
    <row r="27" spans="3:34" x14ac:dyDescent="0.25">
      <c r="C27" s="79">
        <v>21</v>
      </c>
      <c r="D27" s="61">
        <v>25</v>
      </c>
      <c r="E27" s="62"/>
      <c r="F27" s="63"/>
      <c r="G27" s="62">
        <v>32</v>
      </c>
      <c r="H27" s="63">
        <v>56</v>
      </c>
      <c r="I27" s="62"/>
      <c r="J27" s="63"/>
      <c r="K27" s="62"/>
      <c r="L27" s="63"/>
      <c r="M27" s="62"/>
      <c r="N27" s="63"/>
      <c r="O27" s="62"/>
      <c r="P27" s="63"/>
      <c r="Q27" s="62">
        <v>27</v>
      </c>
      <c r="R27" s="63">
        <v>55</v>
      </c>
      <c r="S27" s="62"/>
      <c r="T27" s="63"/>
      <c r="U27" s="62"/>
      <c r="V27" s="63"/>
      <c r="W27" s="62"/>
      <c r="X27" s="63"/>
      <c r="Y27" s="62"/>
      <c r="Z27" s="63"/>
      <c r="AA27" s="62"/>
      <c r="AB27" s="63"/>
      <c r="AC27" s="62"/>
      <c r="AD27" s="63"/>
      <c r="AE27" s="62"/>
      <c r="AF27" s="63"/>
      <c r="AG27" s="62"/>
      <c r="AH27" s="63"/>
    </row>
    <row r="28" spans="3:34" x14ac:dyDescent="0.25">
      <c r="C28" s="79">
        <v>22</v>
      </c>
      <c r="D28" s="61">
        <v>28</v>
      </c>
      <c r="E28" s="62">
        <v>6</v>
      </c>
      <c r="F28" s="63">
        <v>8</v>
      </c>
      <c r="G28" s="62">
        <v>5</v>
      </c>
      <c r="H28" s="63">
        <v>8</v>
      </c>
      <c r="I28" s="62"/>
      <c r="J28" s="63"/>
      <c r="K28" s="62"/>
      <c r="L28" s="63"/>
      <c r="M28" s="62"/>
      <c r="N28" s="63"/>
      <c r="O28" s="62"/>
      <c r="P28" s="63"/>
      <c r="Q28" s="62"/>
      <c r="R28" s="63"/>
      <c r="S28" s="62"/>
      <c r="T28" s="63"/>
      <c r="U28" s="62"/>
      <c r="V28" s="63"/>
      <c r="W28" s="62"/>
      <c r="X28" s="63"/>
      <c r="Y28" s="62"/>
      <c r="Z28" s="63"/>
      <c r="AA28" s="62"/>
      <c r="AB28" s="63"/>
      <c r="AC28" s="62"/>
      <c r="AD28" s="63"/>
      <c r="AE28" s="62"/>
      <c r="AF28" s="63"/>
      <c r="AG28" s="62"/>
      <c r="AH28" s="63"/>
    </row>
    <row r="29" spans="3:34" x14ac:dyDescent="0.25">
      <c r="C29" s="79">
        <v>23</v>
      </c>
      <c r="D29" s="61">
        <v>32</v>
      </c>
      <c r="E29" s="62"/>
      <c r="F29" s="63"/>
      <c r="G29" s="62"/>
      <c r="H29" s="63"/>
      <c r="I29" s="62">
        <v>31</v>
      </c>
      <c r="J29" s="63">
        <v>40</v>
      </c>
      <c r="K29" s="62">
        <v>29</v>
      </c>
      <c r="L29" s="63">
        <v>40</v>
      </c>
      <c r="M29" s="62"/>
      <c r="N29" s="63"/>
      <c r="O29" s="62"/>
      <c r="P29" s="63"/>
      <c r="Q29" s="62"/>
      <c r="R29" s="63"/>
      <c r="S29" s="62"/>
      <c r="T29" s="63"/>
      <c r="U29" s="62"/>
      <c r="V29" s="63"/>
      <c r="W29" s="62"/>
      <c r="X29" s="63"/>
      <c r="Y29" s="62"/>
      <c r="Z29" s="63"/>
      <c r="AA29" s="62"/>
      <c r="AB29" s="63"/>
      <c r="AC29" s="62"/>
      <c r="AD29" s="63"/>
      <c r="AE29" s="62"/>
      <c r="AF29" s="63"/>
      <c r="AG29" s="62"/>
      <c r="AH29" s="63"/>
    </row>
    <row r="30" spans="3:34" x14ac:dyDescent="0.25">
      <c r="C30" s="79">
        <v>24</v>
      </c>
      <c r="D30" s="61">
        <v>35</v>
      </c>
      <c r="E30" s="62">
        <v>15</v>
      </c>
      <c r="F30" s="63">
        <v>20</v>
      </c>
      <c r="G30" s="62">
        <v>16</v>
      </c>
      <c r="H30" s="63">
        <v>20</v>
      </c>
      <c r="I30" s="62"/>
      <c r="J30" s="63"/>
      <c r="K30" s="62"/>
      <c r="L30" s="63"/>
      <c r="M30" s="62"/>
      <c r="N30" s="63"/>
      <c r="O30" s="62"/>
      <c r="P30" s="63"/>
      <c r="Q30" s="62"/>
      <c r="R30" s="63"/>
      <c r="S30" s="62"/>
      <c r="T30" s="63"/>
      <c r="U30" s="62"/>
      <c r="V30" s="63"/>
      <c r="W30" s="62"/>
      <c r="X30" s="63"/>
      <c r="Y30" s="62"/>
      <c r="Z30" s="63"/>
      <c r="AA30" s="62"/>
      <c r="AB30" s="63"/>
      <c r="AC30" s="62"/>
      <c r="AD30" s="63"/>
      <c r="AE30" s="62"/>
      <c r="AF30" s="63"/>
      <c r="AG30" s="62"/>
      <c r="AH30" s="63"/>
    </row>
    <row r="31" spans="3:34" x14ac:dyDescent="0.25">
      <c r="C31" s="79">
        <v>25</v>
      </c>
      <c r="D31" s="61">
        <v>37</v>
      </c>
      <c r="E31" s="62">
        <v>14</v>
      </c>
      <c r="F31" s="63">
        <v>15</v>
      </c>
      <c r="G31" s="62">
        <v>14</v>
      </c>
      <c r="H31" s="63">
        <v>18</v>
      </c>
      <c r="I31" s="62"/>
      <c r="J31" s="63"/>
      <c r="K31" s="62"/>
      <c r="L31" s="63"/>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79">
        <v>26</v>
      </c>
      <c r="D32" s="61">
        <v>38</v>
      </c>
      <c r="E32" s="62">
        <v>7</v>
      </c>
      <c r="F32" s="63">
        <v>8</v>
      </c>
      <c r="G32" s="62">
        <v>7</v>
      </c>
      <c r="H32" s="63">
        <v>9</v>
      </c>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79">
        <v>27</v>
      </c>
      <c r="D33" s="61">
        <v>39</v>
      </c>
      <c r="E33" s="62"/>
      <c r="F33" s="63"/>
      <c r="G33" s="62">
        <v>23</v>
      </c>
      <c r="H33" s="63">
        <v>32</v>
      </c>
      <c r="I33" s="62">
        <v>30</v>
      </c>
      <c r="J33" s="63">
        <v>36</v>
      </c>
      <c r="K33" s="62"/>
      <c r="L33" s="63"/>
      <c r="M33" s="62"/>
      <c r="N33" s="63"/>
      <c r="O33" s="62"/>
      <c r="P33" s="63"/>
      <c r="Q33" s="62"/>
      <c r="R33" s="63"/>
      <c r="S33" s="62"/>
      <c r="T33" s="63"/>
      <c r="U33" s="62"/>
      <c r="V33" s="63"/>
      <c r="W33" s="62"/>
      <c r="X33" s="63"/>
      <c r="Y33" s="62"/>
      <c r="Z33" s="63"/>
      <c r="AA33" s="62"/>
      <c r="AB33" s="63"/>
      <c r="AC33" s="62"/>
      <c r="AD33" s="63"/>
      <c r="AE33" s="62"/>
      <c r="AF33" s="63"/>
      <c r="AG33" s="62"/>
      <c r="AH33" s="63"/>
    </row>
    <row r="34" spans="3:34" x14ac:dyDescent="0.25">
      <c r="C34" s="79">
        <v>28</v>
      </c>
      <c r="D34" s="61">
        <v>40</v>
      </c>
      <c r="E34" s="62"/>
      <c r="F34" s="63"/>
      <c r="G34" s="62"/>
      <c r="H34" s="63"/>
      <c r="I34" s="62">
        <v>8</v>
      </c>
      <c r="J34" s="63">
        <v>10</v>
      </c>
      <c r="K34" s="62"/>
      <c r="L34" s="63"/>
      <c r="M34" s="62"/>
      <c r="N34" s="63"/>
      <c r="O34" s="62"/>
      <c r="P34" s="63"/>
      <c r="Q34" s="62"/>
      <c r="R34" s="63"/>
      <c r="S34" s="62"/>
      <c r="T34" s="63"/>
      <c r="U34" s="62">
        <v>7</v>
      </c>
      <c r="V34" s="63">
        <v>10</v>
      </c>
      <c r="W34" s="62"/>
      <c r="X34" s="63"/>
      <c r="Y34" s="62"/>
      <c r="Z34" s="63"/>
      <c r="AA34" s="62"/>
      <c r="AB34" s="63"/>
      <c r="AC34" s="62"/>
      <c r="AD34" s="63"/>
      <c r="AE34" s="62"/>
      <c r="AF34" s="63"/>
      <c r="AG34" s="62"/>
      <c r="AH34" s="63"/>
    </row>
    <row r="35" spans="3:34" x14ac:dyDescent="0.25">
      <c r="C35" s="79">
        <v>29</v>
      </c>
      <c r="D35" s="61">
        <v>41</v>
      </c>
      <c r="E35" s="62"/>
      <c r="F35" s="63"/>
      <c r="G35" s="62"/>
      <c r="H35" s="63"/>
      <c r="I35" s="62">
        <v>11</v>
      </c>
      <c r="J35" s="63">
        <v>30</v>
      </c>
      <c r="K35" s="62"/>
      <c r="L35" s="63"/>
      <c r="M35" s="62"/>
      <c r="N35" s="63"/>
      <c r="O35" s="62">
        <v>21</v>
      </c>
      <c r="P35" s="63">
        <v>30</v>
      </c>
      <c r="Q35" s="62"/>
      <c r="R35" s="63"/>
      <c r="S35" s="62"/>
      <c r="T35" s="63"/>
      <c r="U35" s="62"/>
      <c r="V35" s="63"/>
      <c r="W35" s="62"/>
      <c r="X35" s="63"/>
      <c r="Y35" s="62"/>
      <c r="Z35" s="63"/>
      <c r="AA35" s="62"/>
      <c r="AB35" s="63"/>
      <c r="AC35" s="62"/>
      <c r="AD35" s="63"/>
      <c r="AE35" s="62"/>
      <c r="AF35" s="63"/>
      <c r="AG35" s="62"/>
      <c r="AH35" s="63"/>
    </row>
    <row r="36" spans="3:34" x14ac:dyDescent="0.25">
      <c r="C36" s="79">
        <v>30</v>
      </c>
      <c r="D36" s="61">
        <v>46</v>
      </c>
      <c r="E36" s="62"/>
      <c r="F36" s="63"/>
      <c r="G36" s="62"/>
      <c r="H36" s="63"/>
      <c r="I36" s="62">
        <v>25</v>
      </c>
      <c r="J36" s="63">
        <v>31</v>
      </c>
      <c r="K36" s="62"/>
      <c r="L36" s="63"/>
      <c r="M36" s="62"/>
      <c r="N36" s="63"/>
      <c r="O36" s="62"/>
      <c r="P36" s="63"/>
      <c r="Q36" s="62"/>
      <c r="R36" s="63"/>
      <c r="S36" s="62"/>
      <c r="T36" s="63"/>
      <c r="U36" s="62"/>
      <c r="V36" s="63"/>
      <c r="W36" s="62">
        <v>18</v>
      </c>
      <c r="X36" s="63">
        <v>31</v>
      </c>
      <c r="Y36" s="62"/>
      <c r="Z36" s="63"/>
      <c r="AA36" s="62"/>
      <c r="AB36" s="63"/>
      <c r="AC36" s="62"/>
      <c r="AD36" s="63"/>
      <c r="AE36" s="62"/>
      <c r="AF36" s="63"/>
      <c r="AG36" s="62"/>
      <c r="AH36" s="63"/>
    </row>
    <row r="37" spans="3:34" x14ac:dyDescent="0.25">
      <c r="C37" s="79">
        <v>31</v>
      </c>
      <c r="D37" s="61">
        <v>49</v>
      </c>
      <c r="E37" s="62">
        <v>45</v>
      </c>
      <c r="F37" s="63">
        <v>59</v>
      </c>
      <c r="G37" s="62">
        <v>45</v>
      </c>
      <c r="H37" s="63">
        <v>60</v>
      </c>
      <c r="I37" s="62"/>
      <c r="J37" s="63"/>
      <c r="K37" s="62"/>
      <c r="L37" s="63"/>
      <c r="M37" s="62"/>
      <c r="N37" s="63"/>
      <c r="O37" s="62"/>
      <c r="P37" s="63"/>
      <c r="Q37" s="62"/>
      <c r="R37" s="63"/>
      <c r="S37" s="62"/>
      <c r="T37" s="63"/>
      <c r="U37" s="62"/>
      <c r="V37" s="63"/>
      <c r="W37" s="62"/>
      <c r="X37" s="63"/>
      <c r="Y37" s="62"/>
      <c r="Z37" s="63"/>
      <c r="AA37" s="62"/>
      <c r="AB37" s="63"/>
      <c r="AC37" s="62"/>
      <c r="AD37" s="63"/>
      <c r="AE37" s="62"/>
      <c r="AF37" s="63"/>
      <c r="AG37" s="62"/>
      <c r="AH37" s="63"/>
    </row>
    <row r="38" spans="3:34" x14ac:dyDescent="0.25">
      <c r="C38" s="79">
        <v>32</v>
      </c>
      <c r="D38" s="61">
        <v>50</v>
      </c>
      <c r="E38" s="62">
        <v>25</v>
      </c>
      <c r="F38" s="63">
        <v>31</v>
      </c>
      <c r="G38" s="62">
        <v>27</v>
      </c>
      <c r="H38" s="63">
        <v>32</v>
      </c>
      <c r="I38" s="62"/>
      <c r="J38" s="63"/>
      <c r="K38" s="62"/>
      <c r="L38" s="63"/>
      <c r="M38" s="62"/>
      <c r="N38" s="63"/>
      <c r="O38" s="62"/>
      <c r="P38" s="63"/>
      <c r="Q38" s="62"/>
      <c r="R38" s="63"/>
      <c r="S38" s="62"/>
      <c r="T38" s="63"/>
      <c r="U38" s="62"/>
      <c r="V38" s="63"/>
      <c r="W38" s="62"/>
      <c r="X38" s="63"/>
      <c r="Y38" s="62"/>
      <c r="Z38" s="63"/>
      <c r="AA38" s="62"/>
      <c r="AB38" s="63"/>
      <c r="AC38" s="62"/>
      <c r="AD38" s="63"/>
      <c r="AE38" s="62"/>
      <c r="AF38" s="63"/>
      <c r="AG38" s="62"/>
      <c r="AH38" s="63"/>
    </row>
    <row r="39" spans="3:34" x14ac:dyDescent="0.25">
      <c r="C39" s="79">
        <v>33</v>
      </c>
      <c r="D39" s="61">
        <v>51</v>
      </c>
      <c r="E39" s="62">
        <v>8</v>
      </c>
      <c r="F39" s="63">
        <v>9</v>
      </c>
      <c r="G39" s="62"/>
      <c r="H39" s="63"/>
      <c r="I39" s="62">
        <v>7</v>
      </c>
      <c r="J39" s="63">
        <v>9</v>
      </c>
      <c r="K39" s="62"/>
      <c r="L39" s="63"/>
      <c r="M39" s="62"/>
      <c r="N39" s="63"/>
      <c r="O39" s="62"/>
      <c r="P39" s="63"/>
      <c r="Q39" s="62"/>
      <c r="R39" s="63"/>
      <c r="S39" s="62"/>
      <c r="T39" s="63"/>
      <c r="U39" s="62"/>
      <c r="V39" s="63"/>
      <c r="W39" s="62"/>
      <c r="X39" s="63"/>
      <c r="Y39" s="62"/>
      <c r="Z39" s="63"/>
      <c r="AA39" s="62"/>
      <c r="AB39" s="63"/>
      <c r="AC39" s="62"/>
      <c r="AD39" s="63"/>
      <c r="AE39" s="62"/>
      <c r="AF39" s="63"/>
      <c r="AG39" s="62"/>
      <c r="AH39" s="63"/>
    </row>
    <row r="40" spans="3:34" x14ac:dyDescent="0.25">
      <c r="C40" s="79">
        <v>34</v>
      </c>
      <c r="D40" s="61">
        <v>53</v>
      </c>
      <c r="E40" s="62">
        <v>49</v>
      </c>
      <c r="F40" s="63">
        <v>74</v>
      </c>
      <c r="G40" s="62">
        <v>52</v>
      </c>
      <c r="H40" s="63">
        <v>74</v>
      </c>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v>54</v>
      </c>
      <c r="E41" s="62"/>
      <c r="F41" s="63"/>
      <c r="G41" s="62"/>
      <c r="H41" s="63"/>
      <c r="I41" s="62">
        <v>29</v>
      </c>
      <c r="J41" s="63">
        <v>48</v>
      </c>
      <c r="K41" s="62"/>
      <c r="L41" s="63"/>
      <c r="M41" s="62"/>
      <c r="N41" s="63"/>
      <c r="O41" s="62"/>
      <c r="P41" s="63"/>
      <c r="Q41" s="62"/>
      <c r="R41" s="63"/>
      <c r="S41" s="62"/>
      <c r="T41" s="63"/>
      <c r="U41" s="62">
        <v>23</v>
      </c>
      <c r="V41" s="63">
        <v>35</v>
      </c>
      <c r="W41" s="62"/>
      <c r="X41" s="63"/>
      <c r="Y41" s="62"/>
      <c r="Z41" s="63"/>
      <c r="AA41" s="62"/>
      <c r="AB41" s="63"/>
      <c r="AC41" s="62"/>
      <c r="AD41" s="63"/>
      <c r="AE41" s="62"/>
      <c r="AF41" s="63"/>
      <c r="AG41" s="62"/>
      <c r="AH41" s="63"/>
    </row>
    <row r="42" spans="3:34" x14ac:dyDescent="0.25">
      <c r="C42" s="79">
        <v>36</v>
      </c>
      <c r="D42" s="61">
        <v>56</v>
      </c>
      <c r="E42" s="62"/>
      <c r="F42" s="63"/>
      <c r="G42" s="62"/>
      <c r="H42" s="63"/>
      <c r="I42" s="62">
        <v>20</v>
      </c>
      <c r="J42" s="63">
        <v>30</v>
      </c>
      <c r="K42" s="62"/>
      <c r="L42" s="63"/>
      <c r="M42" s="62"/>
      <c r="N42" s="63"/>
      <c r="O42" s="62">
        <v>24</v>
      </c>
      <c r="P42" s="63">
        <v>30</v>
      </c>
      <c r="Q42" s="62"/>
      <c r="R42" s="63"/>
      <c r="S42" s="62"/>
      <c r="T42" s="63"/>
      <c r="U42" s="62"/>
      <c r="V42" s="63"/>
      <c r="W42" s="62"/>
      <c r="X42" s="63"/>
      <c r="Y42" s="62"/>
      <c r="Z42" s="63"/>
      <c r="AA42" s="62"/>
      <c r="AB42" s="63"/>
      <c r="AC42" s="62"/>
      <c r="AD42" s="63"/>
      <c r="AE42" s="62"/>
      <c r="AF42" s="63"/>
      <c r="AG42" s="62"/>
      <c r="AH42" s="63"/>
    </row>
    <row r="43" spans="3:34" x14ac:dyDescent="0.25">
      <c r="C43" s="79">
        <v>37</v>
      </c>
      <c r="D43" s="61">
        <v>57</v>
      </c>
      <c r="E43" s="62">
        <v>21</v>
      </c>
      <c r="F43" s="63">
        <v>24</v>
      </c>
      <c r="G43" s="62">
        <v>16</v>
      </c>
      <c r="H43" s="63">
        <v>22</v>
      </c>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79">
        <v>38</v>
      </c>
      <c r="D44" s="61">
        <v>60</v>
      </c>
      <c r="E44" s="62"/>
      <c r="F44" s="63"/>
      <c r="G44" s="62"/>
      <c r="H44" s="63"/>
      <c r="I44" s="62">
        <v>27</v>
      </c>
      <c r="J44" s="63">
        <v>32</v>
      </c>
      <c r="K44" s="62"/>
      <c r="L44" s="63"/>
      <c r="M44" s="62"/>
      <c r="N44" s="63"/>
      <c r="O44" s="62"/>
      <c r="P44" s="63"/>
      <c r="Q44" s="62"/>
      <c r="R44" s="63"/>
      <c r="S44" s="62"/>
      <c r="T44" s="63"/>
      <c r="U44" s="62"/>
      <c r="V44" s="63"/>
      <c r="W44" s="62">
        <v>13</v>
      </c>
      <c r="X44" s="63">
        <v>32</v>
      </c>
      <c r="Y44" s="62"/>
      <c r="Z44" s="63"/>
      <c r="AA44" s="62"/>
      <c r="AB44" s="63"/>
      <c r="AC44" s="62"/>
      <c r="AD44" s="63"/>
      <c r="AE44" s="62"/>
      <c r="AF44" s="63"/>
      <c r="AG44" s="62"/>
      <c r="AH44" s="63"/>
    </row>
    <row r="45" spans="3:34" x14ac:dyDescent="0.25">
      <c r="C45" s="79">
        <v>39</v>
      </c>
      <c r="D45" s="61">
        <v>61</v>
      </c>
      <c r="E45" s="62">
        <v>8</v>
      </c>
      <c r="F45" s="63">
        <v>12</v>
      </c>
      <c r="G45" s="62"/>
      <c r="H45" s="63"/>
      <c r="I45" s="62"/>
      <c r="J45" s="63"/>
      <c r="K45" s="62"/>
      <c r="L45" s="63"/>
      <c r="M45" s="62"/>
      <c r="N45" s="63"/>
      <c r="O45" s="62"/>
      <c r="P45" s="63"/>
      <c r="Q45" s="62"/>
      <c r="R45" s="63"/>
      <c r="S45" s="62"/>
      <c r="T45" s="63"/>
      <c r="U45" s="62"/>
      <c r="V45" s="63"/>
      <c r="W45" s="62">
        <v>1</v>
      </c>
      <c r="X45" s="63">
        <v>12</v>
      </c>
      <c r="Y45" s="62"/>
      <c r="Z45" s="63"/>
      <c r="AA45" s="62"/>
      <c r="AB45" s="63"/>
      <c r="AC45" s="62"/>
      <c r="AD45" s="63"/>
      <c r="AE45" s="62"/>
      <c r="AF45" s="63"/>
      <c r="AG45" s="62"/>
      <c r="AH45" s="63"/>
    </row>
    <row r="46" spans="3:34" x14ac:dyDescent="0.25">
      <c r="C46" s="79">
        <v>40</v>
      </c>
      <c r="D46" s="61">
        <v>62</v>
      </c>
      <c r="E46" s="62">
        <v>21</v>
      </c>
      <c r="F46" s="63">
        <v>24</v>
      </c>
      <c r="G46" s="62">
        <v>19</v>
      </c>
      <c r="H46" s="63">
        <v>23</v>
      </c>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79">
        <v>41</v>
      </c>
      <c r="D47" s="61">
        <v>63</v>
      </c>
      <c r="E47" s="62">
        <v>15</v>
      </c>
      <c r="F47" s="63">
        <v>19</v>
      </c>
      <c r="G47" s="62">
        <v>11</v>
      </c>
      <c r="H47" s="63">
        <v>16</v>
      </c>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v>64</v>
      </c>
      <c r="E48" s="62"/>
      <c r="F48" s="63"/>
      <c r="G48" s="62"/>
      <c r="H48" s="63"/>
      <c r="I48" s="62">
        <v>10</v>
      </c>
      <c r="J48" s="63">
        <v>12</v>
      </c>
      <c r="K48" s="62"/>
      <c r="L48" s="63"/>
      <c r="M48" s="62"/>
      <c r="N48" s="63"/>
      <c r="O48" s="62"/>
      <c r="P48" s="63"/>
      <c r="Q48" s="62"/>
      <c r="R48" s="63"/>
      <c r="S48" s="62"/>
      <c r="T48" s="63"/>
      <c r="U48" s="62">
        <v>8</v>
      </c>
      <c r="V48" s="63">
        <v>11</v>
      </c>
      <c r="W48" s="62"/>
      <c r="X48" s="63"/>
      <c r="Y48" s="62"/>
      <c r="Z48" s="63"/>
      <c r="AA48" s="62"/>
      <c r="AB48" s="63"/>
      <c r="AC48" s="62"/>
      <c r="AD48" s="63"/>
      <c r="AE48" s="62"/>
      <c r="AF48" s="63"/>
      <c r="AG48" s="62"/>
      <c r="AH48" s="63"/>
    </row>
    <row r="49" spans="3:34" x14ac:dyDescent="0.25">
      <c r="C49" s="79">
        <v>43</v>
      </c>
      <c r="D49" s="61">
        <v>65</v>
      </c>
      <c r="E49" s="62">
        <v>16</v>
      </c>
      <c r="F49" s="63">
        <v>18</v>
      </c>
      <c r="G49" s="62"/>
      <c r="H49" s="63"/>
      <c r="I49" s="62">
        <v>14</v>
      </c>
      <c r="J49" s="63">
        <v>16</v>
      </c>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v>66</v>
      </c>
      <c r="E50" s="62">
        <v>55</v>
      </c>
      <c r="F50" s="63">
        <v>73</v>
      </c>
      <c r="G50" s="62">
        <v>46</v>
      </c>
      <c r="H50" s="63">
        <v>71</v>
      </c>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v>67</v>
      </c>
      <c r="E51" s="62"/>
      <c r="F51" s="63"/>
      <c r="G51" s="62"/>
      <c r="H51" s="63"/>
      <c r="I51" s="62"/>
      <c r="J51" s="63"/>
      <c r="K51" s="62">
        <v>55</v>
      </c>
      <c r="L51" s="63">
        <v>67</v>
      </c>
      <c r="M51" s="62"/>
      <c r="N51" s="63"/>
      <c r="O51" s="62">
        <v>45</v>
      </c>
      <c r="P51" s="63">
        <v>62</v>
      </c>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v>68</v>
      </c>
      <c r="E52" s="62"/>
      <c r="F52" s="63"/>
      <c r="G52" s="62"/>
      <c r="H52" s="63"/>
      <c r="I52" s="62">
        <v>33</v>
      </c>
      <c r="J52" s="63">
        <v>43</v>
      </c>
      <c r="K52" s="62">
        <v>31</v>
      </c>
      <c r="L52" s="63">
        <v>44</v>
      </c>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t="s">
        <v>384</v>
      </c>
      <c r="E53" s="62"/>
      <c r="F53" s="63"/>
      <c r="G53" s="62"/>
      <c r="H53" s="63"/>
      <c r="I53" s="62"/>
      <c r="J53" s="63"/>
      <c r="K53" s="62"/>
      <c r="L53" s="63"/>
      <c r="M53" s="62"/>
      <c r="N53" s="63"/>
      <c r="O53" s="62"/>
      <c r="P53" s="63"/>
      <c r="Q53" s="62"/>
      <c r="R53" s="63"/>
      <c r="S53" s="62"/>
      <c r="T53" s="63"/>
      <c r="U53" s="62">
        <v>57</v>
      </c>
      <c r="V53" s="63">
        <v>84</v>
      </c>
      <c r="W53" s="62">
        <v>13</v>
      </c>
      <c r="X53" s="63">
        <v>80</v>
      </c>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35</v>
      </c>
      <c r="D57" s="77">
        <f>SUM(patient_totals)</f>
        <v>4256</v>
      </c>
      <c r="E57" s="250">
        <f>IF(SUM(F7:F56)=0,"",SUM(F7:F56))</f>
        <v>1125</v>
      </c>
      <c r="F57" s="251"/>
      <c r="G57" s="250">
        <f>IF(SUM(H7:H56)=0,"",SUM(H7:H56))</f>
        <v>786</v>
      </c>
      <c r="H57" s="251"/>
      <c r="I57" s="250">
        <f>IF(SUM(J7:J56)=0,"",SUM(J7:J56))</f>
        <v>650</v>
      </c>
      <c r="J57" s="251"/>
      <c r="K57" s="250">
        <f>IF(SUM(L7:L56)=0,"",SUM(L7:L56))</f>
        <v>267</v>
      </c>
      <c r="L57" s="251"/>
      <c r="M57" s="250">
        <f>IF(SUM(N7:N56)=0,"",SUM(N7:N56))</f>
        <v>35</v>
      </c>
      <c r="N57" s="251"/>
      <c r="O57" s="250">
        <f>IF(SUM(P7:P56)=0,"",SUM(P7:P56))</f>
        <v>122</v>
      </c>
      <c r="P57" s="251"/>
      <c r="Q57" s="250">
        <f>IF(SUM(R7:R56)=0,"",SUM(R7:R56))</f>
        <v>55</v>
      </c>
      <c r="R57" s="251"/>
      <c r="S57" s="250">
        <f>IF(SUM(T7:T56)=0,"",SUM(T7:T56))</f>
        <v>58</v>
      </c>
      <c r="T57" s="251"/>
      <c r="U57" s="250">
        <f>IF(SUM(V7:V56)=0,"",SUM(V7:V56))</f>
        <v>561</v>
      </c>
      <c r="V57" s="251"/>
      <c r="W57" s="250">
        <f>IF(SUM(X7:X56)=0,"",SUM(X7:X56))</f>
        <v>597</v>
      </c>
      <c r="X57" s="251"/>
      <c r="Y57" s="250" t="str">
        <f>IF(SUM(Z7:Z56)=0,"",SUM(Z7:Z56))</f>
        <v/>
      </c>
      <c r="Z57" s="251"/>
      <c r="AA57" s="250" t="str">
        <f>IF(SUM(AB7:AB56)=0,"",SUM(AB7:AB56))</f>
        <v/>
      </c>
      <c r="AB57" s="251"/>
      <c r="AC57" s="250" t="str">
        <f>IF(SUM(AD7:AD56)=0,"",SUM(AD7:AD56))</f>
        <v/>
      </c>
      <c r="AD57" s="251"/>
      <c r="AE57" s="250" t="str">
        <f>IF(SUM(AF7:AF56)=0,"",SUM(AF7:AF56))</f>
        <v/>
      </c>
      <c r="AF57" s="251"/>
      <c r="AG57" s="252" t="str">
        <f>IF(SUM(AH7:AH56)=0,"",SUM(AH7:AH56))</f>
        <v/>
      </c>
      <c r="AH57" s="251"/>
    </row>
  </sheetData>
  <sheetProtection selectLockedCells="1"/>
  <mergeCells count="47">
    <mergeCell ref="AE4:AF4"/>
    <mergeCell ref="AG4:AH4"/>
    <mergeCell ref="E3:AH3"/>
    <mergeCell ref="U4:V4"/>
    <mergeCell ref="W4:X4"/>
    <mergeCell ref="Y4:Z4"/>
    <mergeCell ref="AA4:AB4"/>
    <mergeCell ref="AC4:AD4"/>
    <mergeCell ref="K4:L4"/>
    <mergeCell ref="M4:N4"/>
    <mergeCell ref="O4:P4"/>
    <mergeCell ref="Q4:R4"/>
    <mergeCell ref="S4:T4"/>
    <mergeCell ref="Y57:Z57"/>
    <mergeCell ref="AA57:AB57"/>
    <mergeCell ref="AC57:AD57"/>
    <mergeCell ref="AE57:AF57"/>
    <mergeCell ref="AG57:AH57"/>
    <mergeCell ref="O57:P57"/>
    <mergeCell ref="Q57:R57"/>
    <mergeCell ref="S57:T57"/>
    <mergeCell ref="U57:V57"/>
    <mergeCell ref="W57:X57"/>
    <mergeCell ref="E57:F57"/>
    <mergeCell ref="G57:H57"/>
    <mergeCell ref="I57:J57"/>
    <mergeCell ref="K57:L57"/>
    <mergeCell ref="M57:N57"/>
    <mergeCell ref="AA5:AB5"/>
    <mergeCell ref="AC5:AD5"/>
    <mergeCell ref="AE5:AF5"/>
    <mergeCell ref="AG5:AH5"/>
    <mergeCell ref="U5:V5"/>
    <mergeCell ref="W5:X5"/>
    <mergeCell ref="Y5:Z5"/>
    <mergeCell ref="Q5:R5"/>
    <mergeCell ref="S5:T5"/>
    <mergeCell ref="E5:F5"/>
    <mergeCell ref="G5:H5"/>
    <mergeCell ref="I5:J5"/>
    <mergeCell ref="K5:L5"/>
    <mergeCell ref="M5:N5"/>
    <mergeCell ref="C5:C6"/>
    <mergeCell ref="E4:F4"/>
    <mergeCell ref="G4:H4"/>
    <mergeCell ref="I4:J4"/>
    <mergeCell ref="O5:P5"/>
  </mergeCells>
  <conditionalFormatting sqref="D8">
    <cfRule type="expression" dxfId="82" priority="83">
      <formula>$D7&lt;&gt;""</formula>
    </cfRule>
  </conditionalFormatting>
  <conditionalFormatting sqref="D9">
    <cfRule type="expression" dxfId="81" priority="82">
      <formula>$D8&lt;&gt;""</formula>
    </cfRule>
  </conditionalFormatting>
  <conditionalFormatting sqref="D10:D56">
    <cfRule type="expression" dxfId="80" priority="81">
      <formula>$D9&lt;&gt;""</formula>
    </cfRule>
  </conditionalFormatting>
  <conditionalFormatting sqref="G5:H5">
    <cfRule type="expression" dxfId="79" priority="80">
      <formula>E$5&lt;&gt;""</formula>
    </cfRule>
  </conditionalFormatting>
  <conditionalFormatting sqref="I5:AH5">
    <cfRule type="expression" dxfId="78" priority="79">
      <formula>G$5&lt;&gt;""</formula>
    </cfRule>
  </conditionalFormatting>
  <conditionalFormatting sqref="E7">
    <cfRule type="expression" dxfId="77" priority="76">
      <formula>AND($D7&lt;&gt;"",E$5&lt;&gt;"")</formula>
    </cfRule>
  </conditionalFormatting>
  <conditionalFormatting sqref="F7">
    <cfRule type="expression" dxfId="76" priority="75">
      <formula>AND($D7&lt;&gt;"",E$5&lt;&gt;"")</formula>
    </cfRule>
  </conditionalFormatting>
  <conditionalFormatting sqref="E8:E16 E21:E56">
    <cfRule type="expression" dxfId="75" priority="74">
      <formula>AND($D8&lt;&gt;"",E$5&lt;&gt;"")</formula>
    </cfRule>
  </conditionalFormatting>
  <conditionalFormatting sqref="F8:F16 F21:F56">
    <cfRule type="expression" dxfId="74" priority="73">
      <formula>AND($D8&lt;&gt;"",E$5&lt;&gt;"")</formula>
    </cfRule>
  </conditionalFormatting>
  <conditionalFormatting sqref="G7">
    <cfRule type="expression" dxfId="73" priority="72">
      <formula>AND($D7&lt;&gt;"",G$5&lt;&gt;"")</formula>
    </cfRule>
  </conditionalFormatting>
  <conditionalFormatting sqref="H7">
    <cfRule type="expression" dxfId="72" priority="71">
      <formula>AND($D7&lt;&gt;"",G$5&lt;&gt;"")</formula>
    </cfRule>
  </conditionalFormatting>
  <conditionalFormatting sqref="I7 K7 M7 O7 Q7 S7 U7 W7 Y7 AA7 AC7 AE7 AG7">
    <cfRule type="expression" dxfId="71" priority="70">
      <formula>AND($D7&lt;&gt;"",I$5&lt;&gt;"")</formula>
    </cfRule>
  </conditionalFormatting>
  <conditionalFormatting sqref="J7 L7 N7 P7 R7 T7 V7 X7 Z7 AB7 AD7 AF7 AH7">
    <cfRule type="expression" dxfId="70" priority="69">
      <formula>AND($D7&lt;&gt;"",I$5&lt;&gt;"")</formula>
    </cfRule>
  </conditionalFormatting>
  <conditionalFormatting sqref="G8:G12 G15 G23:G56">
    <cfRule type="expression" dxfId="69" priority="68">
      <formula>AND($D8&lt;&gt;"",G$5&lt;&gt;"")</formula>
    </cfRule>
  </conditionalFormatting>
  <conditionalFormatting sqref="H8:H12 H15 H23:H56">
    <cfRule type="expression" dxfId="68" priority="67">
      <formula>AND($D8&lt;&gt;"",G$5&lt;&gt;"")</formula>
    </cfRule>
  </conditionalFormatting>
  <conditionalFormatting sqref="I8:I11 O8:O17 Q8:Q17 S8:S17 U8:U18 W8:W14 Y8:Y56 AA8:AA56 AC8:AC56 AE8:AE56 AG8:AG56 K8:K11 M8:M17 K13:K17 I23:I56 W16:W18 K23:K56 M23:M56 S22:S56 Q22:Q56 O22:O56 W20:W56 U20:U56">
    <cfRule type="expression" dxfId="67" priority="66">
      <formula>AND($D8&lt;&gt;"",I$5&lt;&gt;"")</formula>
    </cfRule>
  </conditionalFormatting>
  <conditionalFormatting sqref="J8:J11 P8:P17 R8:R17 T8:T17 V8:V18 X8:X14 Z8:Z56 AB8:AB56 AD8:AD56 AF8:AF56 AH8:AH56 L8:L11 N8:N17 L13:L17 J23:J56 X16:X18 L23:L56 N23:N56 T22:T56 R22:R56 P22:P56 X20:X56 V20:V56">
    <cfRule type="expression" dxfId="66" priority="65">
      <formula>AND($D8&lt;&gt;"",I$5&lt;&gt;"")</formula>
    </cfRule>
  </conditionalFormatting>
  <conditionalFormatting sqref="M11:M17">
    <cfRule type="expression" dxfId="65" priority="64">
      <formula>AND($D11&lt;&gt;"",M$5&lt;&gt;"")</formula>
    </cfRule>
  </conditionalFormatting>
  <conditionalFormatting sqref="N11:N17">
    <cfRule type="expression" dxfId="64" priority="63">
      <formula>AND($D11&lt;&gt;"",M$5&lt;&gt;"")</formula>
    </cfRule>
  </conditionalFormatting>
  <conditionalFormatting sqref="M7">
    <cfRule type="expression" dxfId="63" priority="62">
      <formula>AND($D7&lt;&gt;"",M$5&lt;&gt;"")</formula>
    </cfRule>
  </conditionalFormatting>
  <conditionalFormatting sqref="N7">
    <cfRule type="expression" dxfId="62" priority="61">
      <formula>AND($D7&lt;&gt;"",M$5&lt;&gt;"")</formula>
    </cfRule>
  </conditionalFormatting>
  <conditionalFormatting sqref="K11">
    <cfRule type="expression" dxfId="61" priority="60">
      <formula>AND($D11&lt;&gt;"",K$5&lt;&gt;"")</formula>
    </cfRule>
  </conditionalFormatting>
  <conditionalFormatting sqref="L11">
    <cfRule type="expression" dxfId="60" priority="59">
      <formula>AND($D11&lt;&gt;"",K$5&lt;&gt;"")</formula>
    </cfRule>
  </conditionalFormatting>
  <conditionalFormatting sqref="K11">
    <cfRule type="expression" dxfId="59" priority="58">
      <formula>AND($D11&lt;&gt;"",K$5&lt;&gt;"")</formula>
    </cfRule>
  </conditionalFormatting>
  <conditionalFormatting sqref="L11">
    <cfRule type="expression" dxfId="58" priority="57">
      <formula>AND($D11&lt;&gt;"",K$5&lt;&gt;"")</formula>
    </cfRule>
  </conditionalFormatting>
  <conditionalFormatting sqref="M8">
    <cfRule type="expression" dxfId="57" priority="56">
      <formula>AND($D8&lt;&gt;"",M$5&lt;&gt;"")</formula>
    </cfRule>
  </conditionalFormatting>
  <conditionalFormatting sqref="N8">
    <cfRule type="expression" dxfId="56" priority="55">
      <formula>AND($D8&lt;&gt;"",M$5&lt;&gt;"")</formula>
    </cfRule>
  </conditionalFormatting>
  <conditionalFormatting sqref="G5:H5">
    <cfRule type="expression" dxfId="55" priority="54">
      <formula>E$5&lt;&gt;""</formula>
    </cfRule>
  </conditionalFormatting>
  <conditionalFormatting sqref="I5:R5">
    <cfRule type="expression" dxfId="54" priority="53">
      <formula>G$5&lt;&gt;""</formula>
    </cfRule>
  </conditionalFormatting>
  <conditionalFormatting sqref="G5:H5">
    <cfRule type="expression" dxfId="53" priority="52">
      <formula>E$5&lt;&gt;""</formula>
    </cfRule>
  </conditionalFormatting>
  <conditionalFormatting sqref="I5:R5">
    <cfRule type="expression" dxfId="52" priority="51">
      <formula>G$5&lt;&gt;""</formula>
    </cfRule>
  </conditionalFormatting>
  <conditionalFormatting sqref="K12 I12">
    <cfRule type="expression" dxfId="51" priority="50">
      <formula>AND($D12&lt;&gt;"",I$5&lt;&gt;"")</formula>
    </cfRule>
  </conditionalFormatting>
  <conditionalFormatting sqref="L12 J12">
    <cfRule type="expression" dxfId="50" priority="49">
      <formula>AND($D12&lt;&gt;"",I$5&lt;&gt;"")</formula>
    </cfRule>
  </conditionalFormatting>
  <conditionalFormatting sqref="G13">
    <cfRule type="expression" dxfId="49" priority="48">
      <formula>AND($D13&lt;&gt;"",G$5&lt;&gt;"")</formula>
    </cfRule>
  </conditionalFormatting>
  <conditionalFormatting sqref="H13">
    <cfRule type="expression" dxfId="48" priority="47">
      <formula>AND($D13&lt;&gt;"",G$5&lt;&gt;"")</formula>
    </cfRule>
  </conditionalFormatting>
  <conditionalFormatting sqref="I13">
    <cfRule type="expression" dxfId="47" priority="46">
      <formula>AND($D13&lt;&gt;"",I$5&lt;&gt;"")</formula>
    </cfRule>
  </conditionalFormatting>
  <conditionalFormatting sqref="J13">
    <cfRule type="expression" dxfId="46" priority="45">
      <formula>AND($D13&lt;&gt;"",I$5&lt;&gt;"")</formula>
    </cfRule>
  </conditionalFormatting>
  <conditionalFormatting sqref="G14">
    <cfRule type="expression" dxfId="45" priority="44">
      <formula>AND($D14&lt;&gt;"",G$5&lt;&gt;"")</formula>
    </cfRule>
  </conditionalFormatting>
  <conditionalFormatting sqref="H14">
    <cfRule type="expression" dxfId="44" priority="43">
      <formula>AND($D14&lt;&gt;"",G$5&lt;&gt;"")</formula>
    </cfRule>
  </conditionalFormatting>
  <conditionalFormatting sqref="I14">
    <cfRule type="expression" dxfId="43" priority="42">
      <formula>AND($D14&lt;&gt;"",I$5&lt;&gt;"")</formula>
    </cfRule>
  </conditionalFormatting>
  <conditionalFormatting sqref="J14">
    <cfRule type="expression" dxfId="42" priority="41">
      <formula>AND($D14&lt;&gt;"",I$5&lt;&gt;"")</formula>
    </cfRule>
  </conditionalFormatting>
  <conditionalFormatting sqref="I15">
    <cfRule type="expression" dxfId="41" priority="40">
      <formula>AND($D15&lt;&gt;"",I$5&lt;&gt;"")</formula>
    </cfRule>
  </conditionalFormatting>
  <conditionalFormatting sqref="J15">
    <cfRule type="expression" dxfId="40" priority="39">
      <formula>AND($D15&lt;&gt;"",I$5&lt;&gt;"")</formula>
    </cfRule>
  </conditionalFormatting>
  <conditionalFormatting sqref="W15">
    <cfRule type="expression" dxfId="39" priority="38">
      <formula>AND($D15&lt;&gt;"",W$5&lt;&gt;"")</formula>
    </cfRule>
  </conditionalFormatting>
  <conditionalFormatting sqref="X15">
    <cfRule type="expression" dxfId="38" priority="37">
      <formula>AND($D15&lt;&gt;"",W$5&lt;&gt;"")</formula>
    </cfRule>
  </conditionalFormatting>
  <conditionalFormatting sqref="G16">
    <cfRule type="expression" dxfId="37" priority="36">
      <formula>AND($D16&lt;&gt;"",G$5&lt;&gt;"")</formula>
    </cfRule>
  </conditionalFormatting>
  <conditionalFormatting sqref="H16">
    <cfRule type="expression" dxfId="36" priority="35">
      <formula>AND($D16&lt;&gt;"",G$5&lt;&gt;"")</formula>
    </cfRule>
  </conditionalFormatting>
  <conditionalFormatting sqref="I16">
    <cfRule type="expression" dxfId="35" priority="34">
      <formula>AND($D16&lt;&gt;"",I$5&lt;&gt;"")</formula>
    </cfRule>
  </conditionalFormatting>
  <conditionalFormatting sqref="J16">
    <cfRule type="expression" dxfId="34" priority="33">
      <formula>AND($D16&lt;&gt;"",I$5&lt;&gt;"")</formula>
    </cfRule>
  </conditionalFormatting>
  <conditionalFormatting sqref="E17">
    <cfRule type="expression" dxfId="33" priority="32">
      <formula>AND($D17&lt;&gt;"",E$5&lt;&gt;"")</formula>
    </cfRule>
  </conditionalFormatting>
  <conditionalFormatting sqref="F17">
    <cfRule type="expression" dxfId="32" priority="31">
      <formula>AND($D17&lt;&gt;"",E$5&lt;&gt;"")</formula>
    </cfRule>
  </conditionalFormatting>
  <conditionalFormatting sqref="G17">
    <cfRule type="expression" dxfId="31" priority="30">
      <formula>AND($D17&lt;&gt;"",G$5&lt;&gt;"")</formula>
    </cfRule>
  </conditionalFormatting>
  <conditionalFormatting sqref="H17">
    <cfRule type="expression" dxfId="30" priority="29">
      <formula>AND($D17&lt;&gt;"",G$5&lt;&gt;"")</formula>
    </cfRule>
  </conditionalFormatting>
  <conditionalFormatting sqref="I17">
    <cfRule type="expression" dxfId="29" priority="28">
      <formula>AND($D17&lt;&gt;"",I$5&lt;&gt;"")</formula>
    </cfRule>
  </conditionalFormatting>
  <conditionalFormatting sqref="J17">
    <cfRule type="expression" dxfId="28" priority="27">
      <formula>AND($D17&lt;&gt;"",I$5&lt;&gt;"")</formula>
    </cfRule>
  </conditionalFormatting>
  <conditionalFormatting sqref="E18">
    <cfRule type="expression" dxfId="27" priority="26">
      <formula>AND($D18&lt;&gt;"",E$5&lt;&gt;"")</formula>
    </cfRule>
  </conditionalFormatting>
  <conditionalFormatting sqref="F18">
    <cfRule type="expression" dxfId="26" priority="25">
      <formula>AND($D18&lt;&gt;"",E$5&lt;&gt;"")</formula>
    </cfRule>
  </conditionalFormatting>
  <conditionalFormatting sqref="G18">
    <cfRule type="expression" dxfId="25" priority="24">
      <formula>AND($D18&lt;&gt;"",G$5&lt;&gt;"")</formula>
    </cfRule>
  </conditionalFormatting>
  <conditionalFormatting sqref="H18">
    <cfRule type="expression" dxfId="24" priority="23">
      <formula>AND($D18&lt;&gt;"",G$5&lt;&gt;"")</formula>
    </cfRule>
  </conditionalFormatting>
  <conditionalFormatting sqref="I18 K18 M18 S18 Q18 O18">
    <cfRule type="expression" dxfId="23" priority="22">
      <formula>AND($D18&lt;&gt;"",I$5&lt;&gt;"")</formula>
    </cfRule>
  </conditionalFormatting>
  <conditionalFormatting sqref="J18 L18 N18 T18 R18 P18">
    <cfRule type="expression" dxfId="22" priority="21">
      <formula>AND($D18&lt;&gt;"",I$5&lt;&gt;"")</formula>
    </cfRule>
  </conditionalFormatting>
  <conditionalFormatting sqref="E19">
    <cfRule type="expression" dxfId="21" priority="20">
      <formula>AND($D19&lt;&gt;"",E$5&lt;&gt;"")</formula>
    </cfRule>
  </conditionalFormatting>
  <conditionalFormatting sqref="F19">
    <cfRule type="expression" dxfId="20" priority="19">
      <formula>AND($D19&lt;&gt;"",E$5&lt;&gt;"")</formula>
    </cfRule>
  </conditionalFormatting>
  <conditionalFormatting sqref="G19">
    <cfRule type="expression" dxfId="19" priority="18">
      <formula>AND($D19&lt;&gt;"",G$5&lt;&gt;"")</formula>
    </cfRule>
  </conditionalFormatting>
  <conditionalFormatting sqref="H19">
    <cfRule type="expression" dxfId="18" priority="17">
      <formula>AND($D19&lt;&gt;"",G$5&lt;&gt;"")</formula>
    </cfRule>
  </conditionalFormatting>
  <conditionalFormatting sqref="I19 K19 M19 S19 Q19 O19 W19 U19">
    <cfRule type="expression" dxfId="17" priority="16">
      <formula>AND($D19&lt;&gt;"",I$5&lt;&gt;"")</formula>
    </cfRule>
  </conditionalFormatting>
  <conditionalFormatting sqref="J19 L19 N19 T19 R19 P19 X19 V19">
    <cfRule type="expression" dxfId="16" priority="15">
      <formula>AND($D19&lt;&gt;"",I$5&lt;&gt;"")</formula>
    </cfRule>
  </conditionalFormatting>
  <conditionalFormatting sqref="E20">
    <cfRule type="expression" dxfId="15" priority="14">
      <formula>AND($D20&lt;&gt;"",E$5&lt;&gt;"")</formula>
    </cfRule>
  </conditionalFormatting>
  <conditionalFormatting sqref="F20">
    <cfRule type="expression" dxfId="14" priority="13">
      <formula>AND($D20&lt;&gt;"",E$5&lt;&gt;"")</formula>
    </cfRule>
  </conditionalFormatting>
  <conditionalFormatting sqref="G20">
    <cfRule type="expression" dxfId="13" priority="12">
      <formula>AND($D20&lt;&gt;"",G$5&lt;&gt;"")</formula>
    </cfRule>
  </conditionalFormatting>
  <conditionalFormatting sqref="H20">
    <cfRule type="expression" dxfId="12" priority="11">
      <formula>AND($D20&lt;&gt;"",G$5&lt;&gt;"")</formula>
    </cfRule>
  </conditionalFormatting>
  <conditionalFormatting sqref="I20 K20 M20 S20 Q20 O20">
    <cfRule type="expression" dxfId="11" priority="10">
      <formula>AND($D20&lt;&gt;"",I$5&lt;&gt;"")</formula>
    </cfRule>
  </conditionalFormatting>
  <conditionalFormatting sqref="J20 L20 N20 T20 R20 P20">
    <cfRule type="expression" dxfId="10" priority="9">
      <formula>AND($D20&lt;&gt;"",I$5&lt;&gt;"")</formula>
    </cfRule>
  </conditionalFormatting>
  <conditionalFormatting sqref="G21">
    <cfRule type="expression" dxfId="9" priority="8">
      <formula>AND($D21&lt;&gt;"",G$5&lt;&gt;"")</formula>
    </cfRule>
  </conditionalFormatting>
  <conditionalFormatting sqref="H21">
    <cfRule type="expression" dxfId="8" priority="7">
      <formula>AND($D21&lt;&gt;"",G$5&lt;&gt;"")</formula>
    </cfRule>
  </conditionalFormatting>
  <conditionalFormatting sqref="I21 K21 M21 S21 Q21 O21">
    <cfRule type="expression" dxfId="7" priority="6">
      <formula>AND($D21&lt;&gt;"",I$5&lt;&gt;"")</formula>
    </cfRule>
  </conditionalFormatting>
  <conditionalFormatting sqref="J21 L21 N21 T21 R21 P21">
    <cfRule type="expression" dxfId="6" priority="5">
      <formula>AND($D21&lt;&gt;"",I$5&lt;&gt;"")</formula>
    </cfRule>
  </conditionalFormatting>
  <conditionalFormatting sqref="G22">
    <cfRule type="expression" dxfId="5" priority="4">
      <formula>AND($D22&lt;&gt;"",G$5&lt;&gt;"")</formula>
    </cfRule>
  </conditionalFormatting>
  <conditionalFormatting sqref="H22">
    <cfRule type="expression" dxfId="4" priority="3">
      <formula>AND($D22&lt;&gt;"",G$5&lt;&gt;"")</formula>
    </cfRule>
  </conditionalFormatting>
  <conditionalFormatting sqref="I22 K22 M22">
    <cfRule type="expression" dxfId="3" priority="2">
      <formula>AND($D22&lt;&gt;"",I$5&lt;&gt;"")</formula>
    </cfRule>
  </conditionalFormatting>
  <conditionalFormatting sqref="J22 L22 N22">
    <cfRule type="expression" dxfId="2" priority="1">
      <formula>AND($D22&lt;&gt;"",I$5&lt;&gt;"")</formula>
    </cfRule>
  </conditionalFormatting>
  <dataValidations count="1">
    <dataValidation type="custom" allowBlank="1" showInputMessage="1" showErrorMessage="1" sqref="D19">
      <formula1>D18&lt;&gt;""</formula1>
    </dataValidation>
  </dataValidations>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271</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1,3</v>
      </c>
      <c r="F5" s="31">
        <f>IFERROR(INDEX('WINBUGS data'!$F$17:$ZZ$65,MATCH($C5,'WINBUGS data'!$F$17:$F$65,0),MATCH("t[,"&amp;F$4 &amp;"]",'WINBUGS data'!$F$16:$ZZ$16,0)),"")</f>
        <v>1</v>
      </c>
      <c r="G5" s="31">
        <f>IFERROR(INDEX('WINBUGS data'!$F$17:$ZZ$65,MATCH($C5,'WINBUGS data'!$F$17:$F$65,0),MATCH("t[,"&amp;G$4 &amp;"]",'WINBUGS data'!$F$16:$ZZ$16,0)),"")</f>
        <v>3</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NA</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2,10</v>
      </c>
      <c r="F6" s="31">
        <f>IFERROR(INDEX('WINBUGS data'!$F$17:$ZZ$65,MATCH($C6,'WINBUGS data'!$F$17:$F$65,0),MATCH("t[,"&amp;F$4 &amp;"]",'WINBUGS data'!$F$16:$ZZ$16,0)),"")</f>
        <v>2</v>
      </c>
      <c r="G6" s="31">
        <f>IFERROR(INDEX('WINBUGS data'!$F$17:$ZZ$65,MATCH($C6,'WINBUGS data'!$F$17:$F$65,0),MATCH("t[,"&amp;G$4 &amp;"]",'WINBUGS data'!$F$16:$ZZ$16,0)),"")</f>
        <v>10</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NA</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1,9</v>
      </c>
      <c r="F7" s="31">
        <f>IFERROR(INDEX('WINBUGS data'!$F$17:$ZZ$65,MATCH($C7,'WINBUGS data'!$F$17:$F$65,0),MATCH("t[,"&amp;F$4 &amp;"]",'WINBUGS data'!$F$16:$ZZ$16,0)),"")</f>
        <v>1</v>
      </c>
      <c r="G7" s="31">
        <f>IFERROR(INDEX('WINBUGS data'!$F$17:$ZZ$65,MATCH($C7,'WINBUGS data'!$F$17:$F$65,0),MATCH("t[,"&amp;G$4 &amp;"]",'WINBUGS data'!$F$16:$ZZ$16,0)),"")</f>
        <v>9</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NA</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1,4</v>
      </c>
      <c r="F8" s="31">
        <f>IFERROR(INDEX('WINBUGS data'!$F$17:$ZZ$65,MATCH($C8,'WINBUGS data'!$F$17:$F$65,0),MATCH("t[,"&amp;F$4 &amp;"]",'WINBUGS data'!$F$16:$ZZ$16,0)),"")</f>
        <v>1</v>
      </c>
      <c r="G8" s="31">
        <f>IFERROR(INDEX('WINBUGS data'!$F$17:$ZZ$65,MATCH($C8,'WINBUGS data'!$F$17:$F$65,0),MATCH("t[,"&amp;G$4 &amp;"]",'WINBUGS data'!$F$16:$ZZ$16,0)),"")</f>
        <v>4</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NA</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3,10</v>
      </c>
      <c r="F9" s="31">
        <f>IFERROR(INDEX('WINBUGS data'!$F$17:$ZZ$65,MATCH($C9,'WINBUGS data'!$F$17:$F$65,0),MATCH("t[,"&amp;F$4 &amp;"]",'WINBUGS data'!$F$16:$ZZ$16,0)),"")</f>
        <v>3</v>
      </c>
      <c r="G9" s="31">
        <f>IFERROR(INDEX('WINBUGS data'!$F$17:$ZZ$65,MATCH($C9,'WINBUGS data'!$F$17:$F$65,0),MATCH("t[,"&amp;G$4 &amp;"]",'WINBUGS data'!$F$16:$ZZ$16,0)),"")</f>
        <v>10</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NA</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3,4</v>
      </c>
      <c r="F10" s="31">
        <f>IFERROR(INDEX('WINBUGS data'!$F$17:$ZZ$65,MATCH($C10,'WINBUGS data'!$F$17:$F$65,0),MATCH("t[,"&amp;F$4 &amp;"]",'WINBUGS data'!$F$16:$ZZ$16,0)),"")</f>
        <v>3</v>
      </c>
      <c r="G10" s="31">
        <f>IFERROR(INDEX('WINBUGS data'!$F$17:$ZZ$65,MATCH($C10,'WINBUGS data'!$F$17:$F$65,0),MATCH("t[,"&amp;G$4 &amp;"]",'WINBUGS data'!$F$16:$ZZ$16,0)),"")</f>
        <v>4</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NA</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2,3</v>
      </c>
      <c r="F11" s="31">
        <f>IFERROR(INDEX('WINBUGS data'!$F$17:$ZZ$65,MATCH($C11,'WINBUGS data'!$F$17:$F$65,0),MATCH("t[,"&amp;F$4 &amp;"]",'WINBUGS data'!$F$16:$ZZ$16,0)),"")</f>
        <v>2</v>
      </c>
      <c r="G11" s="31">
        <f>IFERROR(INDEX('WINBUGS data'!$F$17:$ZZ$65,MATCH($C11,'WINBUGS data'!$F$17:$F$65,0),MATCH("t[,"&amp;G$4 &amp;"]",'WINBUGS data'!$F$16:$ZZ$16,0)),"")</f>
        <v>3</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NA</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2,3</v>
      </c>
      <c r="F12" s="31">
        <f>IFERROR(INDEX('WINBUGS data'!$F$17:$ZZ$65,MATCH($C12,'WINBUGS data'!$F$17:$F$65,0),MATCH("t[,"&amp;F$4 &amp;"]",'WINBUGS data'!$F$16:$ZZ$16,0)),"")</f>
        <v>2</v>
      </c>
      <c r="G12" s="31">
        <f>IFERROR(INDEX('WINBUGS data'!$F$17:$ZZ$65,MATCH($C12,'WINBUGS data'!$F$17:$F$65,0),MATCH("t[,"&amp;G$4 &amp;"]",'WINBUGS data'!$F$16:$ZZ$16,0)),"")</f>
        <v>3</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NA</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3,10</v>
      </c>
      <c r="F13" s="31">
        <f>IFERROR(INDEX('WINBUGS data'!$F$17:$ZZ$65,MATCH($C13,'WINBUGS data'!$F$17:$F$65,0),MATCH("t[,"&amp;F$4 &amp;"]",'WINBUGS data'!$F$16:$ZZ$16,0)),"")</f>
        <v>3</v>
      </c>
      <c r="G13" s="31">
        <f>IFERROR(INDEX('WINBUGS data'!$F$17:$ZZ$65,MATCH($C13,'WINBUGS data'!$F$17:$F$65,0),MATCH("t[,"&amp;G$4 &amp;"]",'WINBUGS data'!$F$16:$ZZ$16,0)),"")</f>
        <v>10</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NA</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2,3</v>
      </c>
      <c r="F14" s="31">
        <f>IFERROR(INDEX('WINBUGS data'!$F$17:$ZZ$65,MATCH($C14,'WINBUGS data'!$F$17:$F$65,0),MATCH("t[,"&amp;F$4 &amp;"]",'WINBUGS data'!$F$16:$ZZ$16,0)),"")</f>
        <v>2</v>
      </c>
      <c r="G14" s="31">
        <f>IFERROR(INDEX('WINBUGS data'!$F$17:$ZZ$65,MATCH($C14,'WINBUGS data'!$F$17:$F$65,0),MATCH("t[,"&amp;G$4 &amp;"]",'WINBUGS data'!$F$16:$ZZ$16,0)),"")</f>
        <v>3</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NA</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1,3</v>
      </c>
      <c r="F15" s="31">
        <f>IFERROR(INDEX('WINBUGS data'!$F$17:$ZZ$65,MATCH($C15,'WINBUGS data'!$F$17:$F$65,0),MATCH("t[,"&amp;F$4 &amp;"]",'WINBUGS data'!$F$16:$ZZ$16,0)),"")</f>
        <v>1</v>
      </c>
      <c r="G15" s="31">
        <f>IFERROR(INDEX('WINBUGS data'!$F$17:$ZZ$65,MATCH($C15,'WINBUGS data'!$F$17:$F$65,0),MATCH("t[,"&amp;G$4 &amp;"]",'WINBUGS data'!$F$16:$ZZ$16,0)),"")</f>
        <v>3</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NA</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1,8</v>
      </c>
      <c r="F16" s="31">
        <f>IFERROR(INDEX('WINBUGS data'!$F$17:$ZZ$65,MATCH($C16,'WINBUGS data'!$F$17:$F$65,0),MATCH("t[,"&amp;F$4 &amp;"]",'WINBUGS data'!$F$16:$ZZ$16,0)),"")</f>
        <v>1</v>
      </c>
      <c r="G16" s="31">
        <f>IFERROR(INDEX('WINBUGS data'!$F$17:$ZZ$65,MATCH($C16,'WINBUGS data'!$F$17:$F$65,0),MATCH("t[,"&amp;G$4 &amp;"]",'WINBUGS data'!$F$16:$ZZ$16,0)),"")</f>
        <v>8</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NA</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1,10</v>
      </c>
      <c r="F17" s="31">
        <f>IFERROR(INDEX('WINBUGS data'!$F$17:$ZZ$65,MATCH($C17,'WINBUGS data'!$F$17:$F$65,0),MATCH("t[,"&amp;F$4 &amp;"]",'WINBUGS data'!$F$16:$ZZ$16,0)),"")</f>
        <v>1</v>
      </c>
      <c r="G17" s="31">
        <f>IFERROR(INDEX('WINBUGS data'!$F$17:$ZZ$65,MATCH($C17,'WINBUGS data'!$F$17:$F$65,0),MATCH("t[,"&amp;G$4 &amp;"]",'WINBUGS data'!$F$16:$ZZ$16,0)),"")</f>
        <v>10</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NA</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1,8</v>
      </c>
      <c r="F18" s="31">
        <f>IFERROR(INDEX('WINBUGS data'!$F$17:$ZZ$65,MATCH($C18,'WINBUGS data'!$F$17:$F$65,0),MATCH("t[,"&amp;F$4 &amp;"]",'WINBUGS data'!$F$16:$ZZ$16,0)),"")</f>
        <v>1</v>
      </c>
      <c r="G18" s="31">
        <f>IFERROR(INDEX('WINBUGS data'!$F$17:$ZZ$65,MATCH($C18,'WINBUGS data'!$F$17:$F$65,0),MATCH("t[,"&amp;G$4 &amp;"]",'WINBUGS data'!$F$16:$ZZ$16,0)),"")</f>
        <v>8</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NA</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2,8</v>
      </c>
      <c r="F19" s="31">
        <f>IFERROR(INDEX('WINBUGS data'!$F$17:$ZZ$65,MATCH($C19,'WINBUGS data'!$F$17:$F$65,0),MATCH("t[,"&amp;F$4 &amp;"]",'WINBUGS data'!$F$16:$ZZ$16,0)),"")</f>
        <v>2</v>
      </c>
      <c r="G19" s="31">
        <f>IFERROR(INDEX('WINBUGS data'!$F$17:$ZZ$65,MATCH($C19,'WINBUGS data'!$F$17:$F$65,0),MATCH("t[,"&amp;G$4 &amp;"]",'WINBUGS data'!$F$16:$ZZ$16,0)),"")</f>
        <v>8</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NA</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2,5</v>
      </c>
      <c r="F20" s="31">
        <f>IFERROR(INDEX('WINBUGS data'!$F$17:$ZZ$65,MATCH($C20,'WINBUGS data'!$F$17:$F$65,0),MATCH("t[,"&amp;F$4 &amp;"]",'WINBUGS data'!$F$16:$ZZ$16,0)),"")</f>
        <v>2</v>
      </c>
      <c r="G20" s="31">
        <f>IFERROR(INDEX('WINBUGS data'!$F$17:$ZZ$65,MATCH($C20,'WINBUGS data'!$F$17:$F$65,0),MATCH("t[,"&amp;G$4 &amp;"]",'WINBUGS data'!$F$16:$ZZ$16,0)),"")</f>
        <v>5</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NA</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3,9</v>
      </c>
      <c r="F21" s="31">
        <f>IFERROR(INDEX('WINBUGS data'!$F$17:$ZZ$65,MATCH($C21,'WINBUGS data'!$F$17:$F$65,0),MATCH("t[,"&amp;F$4 &amp;"]",'WINBUGS data'!$F$16:$ZZ$16,0)),"")</f>
        <v>3</v>
      </c>
      <c r="G21" s="31">
        <f>IFERROR(INDEX('WINBUGS data'!$F$17:$ZZ$65,MATCH($C21,'WINBUGS data'!$F$17:$F$65,0),MATCH("t[,"&amp;G$4 &amp;"]",'WINBUGS data'!$F$16:$ZZ$16,0)),"")</f>
        <v>9</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NA</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1,10</v>
      </c>
      <c r="F22" s="31">
        <f>IFERROR(INDEX('WINBUGS data'!$F$17:$ZZ$65,MATCH($C22,'WINBUGS data'!$F$17:$F$65,0),MATCH("t[,"&amp;F$4 &amp;"]",'WINBUGS data'!$F$16:$ZZ$16,0)),"")</f>
        <v>1</v>
      </c>
      <c r="G22" s="31">
        <f>IFERROR(INDEX('WINBUGS data'!$F$17:$ZZ$65,MATCH($C22,'WINBUGS data'!$F$17:$F$65,0),MATCH("t[,"&amp;G$4 &amp;"]",'WINBUGS data'!$F$16:$ZZ$16,0)),"")</f>
        <v>10</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NA</v>
      </c>
      <c r="O22" s="31" t="str">
        <f>IFERROR(INDEX('WINBUGS data'!$F$17:$ZZ$65,MATCH($C22,'WINBUGS data'!$F$17:$F$65,0),MATCH("t[,"&amp;O$4 &amp;"]",'WINBUGS data'!$F$16:$ZZ$16,0)),"")</f>
        <v>NA</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1,10</v>
      </c>
      <c r="F23" s="31">
        <f>IFERROR(INDEX('WINBUGS data'!$F$17:$ZZ$65,MATCH($C23,'WINBUGS data'!$F$17:$F$65,0),MATCH("t[,"&amp;F$4 &amp;"]",'WINBUGS data'!$F$16:$ZZ$16,0)),"")</f>
        <v>1</v>
      </c>
      <c r="G23" s="31">
        <f>IFERROR(INDEX('WINBUGS data'!$F$17:$ZZ$65,MATCH($C23,'WINBUGS data'!$F$17:$F$65,0),MATCH("t[,"&amp;G$4 &amp;"]",'WINBUGS data'!$F$16:$ZZ$16,0)),"")</f>
        <v>10</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NA</v>
      </c>
      <c r="O23" s="31" t="str">
        <f>IFERROR(INDEX('WINBUGS data'!$F$17:$ZZ$65,MATCH($C23,'WINBUGS data'!$F$17:$F$65,0),MATCH("t[,"&amp;O$4 &amp;"]",'WINBUGS data'!$F$16:$ZZ$16,0)),"")</f>
        <v>NA</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1,2</v>
      </c>
      <c r="F24" s="31">
        <f>IFERROR(INDEX('WINBUGS data'!$F$17:$ZZ$65,MATCH($C24,'WINBUGS data'!$F$17:$F$65,0),MATCH("t[,"&amp;F$4 &amp;"]",'WINBUGS data'!$F$16:$ZZ$16,0)),"")</f>
        <v>1</v>
      </c>
      <c r="G24" s="31">
        <f>IFERROR(INDEX('WINBUGS data'!$F$17:$ZZ$65,MATCH($C24,'WINBUGS data'!$F$17:$F$65,0),MATCH("t[,"&amp;G$4 &amp;"]",'WINBUGS data'!$F$16:$ZZ$16,0)),"")</f>
        <v>2</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NA</v>
      </c>
      <c r="O24" s="31" t="str">
        <f>IFERROR(INDEX('WINBUGS data'!$F$17:$ZZ$65,MATCH($C24,'WINBUGS data'!$F$17:$F$65,0),MATCH("t[,"&amp;O$4 &amp;"]",'WINBUGS data'!$F$16:$ZZ$16,0)),"")</f>
        <v>NA</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2,7</v>
      </c>
      <c r="F25" s="31">
        <f>IFERROR(INDEX('WINBUGS data'!$F$17:$ZZ$65,MATCH($C25,'WINBUGS data'!$F$17:$F$65,0),MATCH("t[,"&amp;F$4 &amp;"]",'WINBUGS data'!$F$16:$ZZ$16,0)),"")</f>
        <v>2</v>
      </c>
      <c r="G25" s="31">
        <f>IFERROR(INDEX('WINBUGS data'!$F$17:$ZZ$65,MATCH($C25,'WINBUGS data'!$F$17:$F$65,0),MATCH("t[,"&amp;G$4 &amp;"]",'WINBUGS data'!$F$16:$ZZ$16,0)),"")</f>
        <v>7</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NA</v>
      </c>
      <c r="O25" s="31" t="str">
        <f>IFERROR(INDEX('WINBUGS data'!$F$17:$ZZ$65,MATCH($C25,'WINBUGS data'!$F$17:$F$65,0),MATCH("t[,"&amp;O$4 &amp;"]",'WINBUGS data'!$F$16:$ZZ$16,0)),"")</f>
        <v>NA</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f>IF('WINBUGS data'!F38&lt;&gt;"",'WINBUGS data'!F38,"")</f>
        <v>22</v>
      </c>
      <c r="D26" s="31">
        <f>IFERROR(INDEX('WINBUGS data'!$F$17:$ZZ$65,MATCH(C26,'WINBUGS data'!$F$17:$F$65,0),MATCH("na[]",'WINBUGS data'!$F$16:$ZZ$16,0)),"")</f>
        <v>2</v>
      </c>
      <c r="E26" s="31" t="str">
        <f t="shared" si="0"/>
        <v>1,2</v>
      </c>
      <c r="F26" s="31">
        <f>IFERROR(INDEX('WINBUGS data'!$F$17:$ZZ$65,MATCH($C26,'WINBUGS data'!$F$17:$F$65,0),MATCH("t[,"&amp;F$4 &amp;"]",'WINBUGS data'!$F$16:$ZZ$16,0)),"")</f>
        <v>1</v>
      </c>
      <c r="G26" s="31">
        <f>IFERROR(INDEX('WINBUGS data'!$F$17:$ZZ$65,MATCH($C26,'WINBUGS data'!$F$17:$F$65,0),MATCH("t[,"&amp;G$4 &amp;"]",'WINBUGS data'!$F$16:$ZZ$16,0)),"")</f>
        <v>2</v>
      </c>
      <c r="H26" s="31" t="str">
        <f>IFERROR(INDEX('WINBUGS data'!$F$17:$ZZ$65,MATCH($C26,'WINBUGS data'!$F$17:$F$65,0),MATCH("t[,"&amp;H$4 &amp;"]",'WINBUGS data'!$F$16:$ZZ$16,0)),"")</f>
        <v>NA</v>
      </c>
      <c r="I26" s="31" t="str">
        <f>IFERROR(INDEX('WINBUGS data'!$F$17:$ZZ$65,MATCH($C26,'WINBUGS data'!$F$17:$F$65,0),MATCH("t[,"&amp;I$4 &amp;"]",'WINBUGS data'!$F$16:$ZZ$16,0)),"")</f>
        <v>NA</v>
      </c>
      <c r="J26" s="31" t="str">
        <f>IFERROR(INDEX('WINBUGS data'!$F$17:$ZZ$65,MATCH($C26,'WINBUGS data'!$F$17:$F$65,0),MATCH("t[,"&amp;J$4 &amp;"]",'WINBUGS data'!$F$16:$ZZ$16,0)),"")</f>
        <v>NA</v>
      </c>
      <c r="K26" s="31" t="str">
        <f>IFERROR(INDEX('WINBUGS data'!$F$17:$ZZ$65,MATCH($C26,'WINBUGS data'!$F$17:$F$65,0),MATCH("t[,"&amp;K$4 &amp;"]",'WINBUGS data'!$F$16:$ZZ$16,0)),"")</f>
        <v>NA</v>
      </c>
      <c r="L26" s="31" t="str">
        <f>IFERROR(INDEX('WINBUGS data'!$F$17:$ZZ$65,MATCH($C26,'WINBUGS data'!$F$17:$F$65,0),MATCH("t[,"&amp;L$4 &amp;"]",'WINBUGS data'!$F$16:$ZZ$16,0)),"")</f>
        <v>NA</v>
      </c>
      <c r="M26" s="31" t="str">
        <f>IFERROR(INDEX('WINBUGS data'!$F$17:$ZZ$65,MATCH($C26,'WINBUGS data'!$F$17:$F$65,0),MATCH("t[,"&amp;M$4 &amp;"]",'WINBUGS data'!$F$16:$ZZ$16,0)),"")</f>
        <v>NA</v>
      </c>
      <c r="N26" s="31" t="str">
        <f>IFERROR(INDEX('WINBUGS data'!$F$17:$ZZ$65,MATCH($C26,'WINBUGS data'!$F$17:$F$65,0),MATCH("t[,"&amp;N$4 &amp;"]",'WINBUGS data'!$F$16:$ZZ$16,0)),"")</f>
        <v>NA</v>
      </c>
      <c r="O26" s="31" t="str">
        <f>IFERROR(INDEX('WINBUGS data'!$F$17:$ZZ$65,MATCH($C26,'WINBUGS data'!$F$17:$F$65,0),MATCH("t[,"&amp;O$4 &amp;"]",'WINBUGS data'!$F$16:$ZZ$16,0)),"")</f>
        <v>NA</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f>IF('WINBUGS data'!F39&lt;&gt;"",'WINBUGS data'!F39,"")</f>
        <v>23</v>
      </c>
      <c r="D27" s="31">
        <f>IFERROR(INDEX('WINBUGS data'!$F$17:$ZZ$65,MATCH(C27,'WINBUGS data'!$F$17:$F$65,0),MATCH("na[]",'WINBUGS data'!$F$16:$ZZ$16,0)),"")</f>
        <v>2</v>
      </c>
      <c r="E27" s="31" t="str">
        <f t="shared" si="0"/>
        <v>3,4</v>
      </c>
      <c r="F27" s="31">
        <f>IFERROR(INDEX('WINBUGS data'!$F$17:$ZZ$65,MATCH($C27,'WINBUGS data'!$F$17:$F$65,0),MATCH("t[,"&amp;F$4 &amp;"]",'WINBUGS data'!$F$16:$ZZ$16,0)),"")</f>
        <v>3</v>
      </c>
      <c r="G27" s="31">
        <f>IFERROR(INDEX('WINBUGS data'!$F$17:$ZZ$65,MATCH($C27,'WINBUGS data'!$F$17:$F$65,0),MATCH("t[,"&amp;G$4 &amp;"]",'WINBUGS data'!$F$16:$ZZ$16,0)),"")</f>
        <v>4</v>
      </c>
      <c r="H27" s="31" t="str">
        <f>IFERROR(INDEX('WINBUGS data'!$F$17:$ZZ$65,MATCH($C27,'WINBUGS data'!$F$17:$F$65,0),MATCH("t[,"&amp;H$4 &amp;"]",'WINBUGS data'!$F$16:$ZZ$16,0)),"")</f>
        <v>NA</v>
      </c>
      <c r="I27" s="31" t="str">
        <f>IFERROR(INDEX('WINBUGS data'!$F$17:$ZZ$65,MATCH($C27,'WINBUGS data'!$F$17:$F$65,0),MATCH("t[,"&amp;I$4 &amp;"]",'WINBUGS data'!$F$16:$ZZ$16,0)),"")</f>
        <v>NA</v>
      </c>
      <c r="J27" s="31" t="str">
        <f>IFERROR(INDEX('WINBUGS data'!$F$17:$ZZ$65,MATCH($C27,'WINBUGS data'!$F$17:$F$65,0),MATCH("t[,"&amp;J$4 &amp;"]",'WINBUGS data'!$F$16:$ZZ$16,0)),"")</f>
        <v>NA</v>
      </c>
      <c r="K27" s="31" t="str">
        <f>IFERROR(INDEX('WINBUGS data'!$F$17:$ZZ$65,MATCH($C27,'WINBUGS data'!$F$17:$F$65,0),MATCH("t[,"&amp;K$4 &amp;"]",'WINBUGS data'!$F$16:$ZZ$16,0)),"")</f>
        <v>NA</v>
      </c>
      <c r="L27" s="31" t="str">
        <f>IFERROR(INDEX('WINBUGS data'!$F$17:$ZZ$65,MATCH($C27,'WINBUGS data'!$F$17:$F$65,0),MATCH("t[,"&amp;L$4 &amp;"]",'WINBUGS data'!$F$16:$ZZ$16,0)),"")</f>
        <v>NA</v>
      </c>
      <c r="M27" s="31" t="str">
        <f>IFERROR(INDEX('WINBUGS data'!$F$17:$ZZ$65,MATCH($C27,'WINBUGS data'!$F$17:$F$65,0),MATCH("t[,"&amp;M$4 &amp;"]",'WINBUGS data'!$F$16:$ZZ$16,0)),"")</f>
        <v>NA</v>
      </c>
      <c r="N27" s="31" t="str">
        <f>IFERROR(INDEX('WINBUGS data'!$F$17:$ZZ$65,MATCH($C27,'WINBUGS data'!$F$17:$F$65,0),MATCH("t[,"&amp;N$4 &amp;"]",'WINBUGS data'!$F$16:$ZZ$16,0)),"")</f>
        <v>NA</v>
      </c>
      <c r="O27" s="31" t="str">
        <f>IFERROR(INDEX('WINBUGS data'!$F$17:$ZZ$65,MATCH($C27,'WINBUGS data'!$F$17:$F$65,0),MATCH("t[,"&amp;O$4 &amp;"]",'WINBUGS data'!$F$16:$ZZ$16,0)),"")</f>
        <v>NA</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f>IF('WINBUGS data'!F40&lt;&gt;"",'WINBUGS data'!F40,"")</f>
        <v>24</v>
      </c>
      <c r="D28" s="31">
        <f>IFERROR(INDEX('WINBUGS data'!$F$17:$ZZ$65,MATCH(C28,'WINBUGS data'!$F$17:$F$65,0),MATCH("na[]",'WINBUGS data'!$F$16:$ZZ$16,0)),"")</f>
        <v>2</v>
      </c>
      <c r="E28" s="31" t="str">
        <f t="shared" si="0"/>
        <v>1,2</v>
      </c>
      <c r="F28" s="31">
        <f>IFERROR(INDEX('WINBUGS data'!$F$17:$ZZ$65,MATCH($C28,'WINBUGS data'!$F$17:$F$65,0),MATCH("t[,"&amp;F$4 &amp;"]",'WINBUGS data'!$F$16:$ZZ$16,0)),"")</f>
        <v>1</v>
      </c>
      <c r="G28" s="31">
        <f>IFERROR(INDEX('WINBUGS data'!$F$17:$ZZ$65,MATCH($C28,'WINBUGS data'!$F$17:$F$65,0),MATCH("t[,"&amp;G$4 &amp;"]",'WINBUGS data'!$F$16:$ZZ$16,0)),"")</f>
        <v>2</v>
      </c>
      <c r="H28" s="31" t="str">
        <f>IFERROR(INDEX('WINBUGS data'!$F$17:$ZZ$65,MATCH($C28,'WINBUGS data'!$F$17:$F$65,0),MATCH("t[,"&amp;H$4 &amp;"]",'WINBUGS data'!$F$16:$ZZ$16,0)),"")</f>
        <v>NA</v>
      </c>
      <c r="I28" s="31" t="str">
        <f>IFERROR(INDEX('WINBUGS data'!$F$17:$ZZ$65,MATCH($C28,'WINBUGS data'!$F$17:$F$65,0),MATCH("t[,"&amp;I$4 &amp;"]",'WINBUGS data'!$F$16:$ZZ$16,0)),"")</f>
        <v>NA</v>
      </c>
      <c r="J28" s="31" t="str">
        <f>IFERROR(INDEX('WINBUGS data'!$F$17:$ZZ$65,MATCH($C28,'WINBUGS data'!$F$17:$F$65,0),MATCH("t[,"&amp;J$4 &amp;"]",'WINBUGS data'!$F$16:$ZZ$16,0)),"")</f>
        <v>NA</v>
      </c>
      <c r="K28" s="31" t="str">
        <f>IFERROR(INDEX('WINBUGS data'!$F$17:$ZZ$65,MATCH($C28,'WINBUGS data'!$F$17:$F$65,0),MATCH("t[,"&amp;K$4 &amp;"]",'WINBUGS data'!$F$16:$ZZ$16,0)),"")</f>
        <v>NA</v>
      </c>
      <c r="L28" s="31" t="str">
        <f>IFERROR(INDEX('WINBUGS data'!$F$17:$ZZ$65,MATCH($C28,'WINBUGS data'!$F$17:$F$65,0),MATCH("t[,"&amp;L$4 &amp;"]",'WINBUGS data'!$F$16:$ZZ$16,0)),"")</f>
        <v>NA</v>
      </c>
      <c r="M28" s="31" t="str">
        <f>IFERROR(INDEX('WINBUGS data'!$F$17:$ZZ$65,MATCH($C28,'WINBUGS data'!$F$17:$F$65,0),MATCH("t[,"&amp;M$4 &amp;"]",'WINBUGS data'!$F$16:$ZZ$16,0)),"")</f>
        <v>NA</v>
      </c>
      <c r="N28" s="31" t="str">
        <f>IFERROR(INDEX('WINBUGS data'!$F$17:$ZZ$65,MATCH($C28,'WINBUGS data'!$F$17:$F$65,0),MATCH("t[,"&amp;N$4 &amp;"]",'WINBUGS data'!$F$16:$ZZ$16,0)),"")</f>
        <v>NA</v>
      </c>
      <c r="O28" s="31" t="str">
        <f>IFERROR(INDEX('WINBUGS data'!$F$17:$ZZ$65,MATCH($C28,'WINBUGS data'!$F$17:$F$65,0),MATCH("t[,"&amp;O$4 &amp;"]",'WINBUGS data'!$F$16:$ZZ$16,0)),"")</f>
        <v>NA</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f>IF('WINBUGS data'!F41&lt;&gt;"",'WINBUGS data'!F41,"")</f>
        <v>25</v>
      </c>
      <c r="D29" s="31">
        <f>IFERROR(INDEX('WINBUGS data'!$F$17:$ZZ$65,MATCH(C29,'WINBUGS data'!$F$17:$F$65,0),MATCH("na[]",'WINBUGS data'!$F$16:$ZZ$16,0)),"")</f>
        <v>2</v>
      </c>
      <c r="E29" s="31" t="str">
        <f t="shared" si="0"/>
        <v>1,2</v>
      </c>
      <c r="F29" s="31">
        <f>IFERROR(INDEX('WINBUGS data'!$F$17:$ZZ$65,MATCH($C29,'WINBUGS data'!$F$17:$F$65,0),MATCH("t[,"&amp;F$4 &amp;"]",'WINBUGS data'!$F$16:$ZZ$16,0)),"")</f>
        <v>1</v>
      </c>
      <c r="G29" s="31">
        <f>IFERROR(INDEX('WINBUGS data'!$F$17:$ZZ$65,MATCH($C29,'WINBUGS data'!$F$17:$F$65,0),MATCH("t[,"&amp;G$4 &amp;"]",'WINBUGS data'!$F$16:$ZZ$16,0)),"")</f>
        <v>2</v>
      </c>
      <c r="H29" s="31" t="str">
        <f>IFERROR(INDEX('WINBUGS data'!$F$17:$ZZ$65,MATCH($C29,'WINBUGS data'!$F$17:$F$65,0),MATCH("t[,"&amp;H$4 &amp;"]",'WINBUGS data'!$F$16:$ZZ$16,0)),"")</f>
        <v>NA</v>
      </c>
      <c r="I29" s="31" t="str">
        <f>IFERROR(INDEX('WINBUGS data'!$F$17:$ZZ$65,MATCH($C29,'WINBUGS data'!$F$17:$F$65,0),MATCH("t[,"&amp;I$4 &amp;"]",'WINBUGS data'!$F$16:$ZZ$16,0)),"")</f>
        <v>NA</v>
      </c>
      <c r="J29" s="31" t="str">
        <f>IFERROR(INDEX('WINBUGS data'!$F$17:$ZZ$65,MATCH($C29,'WINBUGS data'!$F$17:$F$65,0),MATCH("t[,"&amp;J$4 &amp;"]",'WINBUGS data'!$F$16:$ZZ$16,0)),"")</f>
        <v>NA</v>
      </c>
      <c r="K29" s="31" t="str">
        <f>IFERROR(INDEX('WINBUGS data'!$F$17:$ZZ$65,MATCH($C29,'WINBUGS data'!$F$17:$F$65,0),MATCH("t[,"&amp;K$4 &amp;"]",'WINBUGS data'!$F$16:$ZZ$16,0)),"")</f>
        <v>NA</v>
      </c>
      <c r="L29" s="31" t="str">
        <f>IFERROR(INDEX('WINBUGS data'!$F$17:$ZZ$65,MATCH($C29,'WINBUGS data'!$F$17:$F$65,0),MATCH("t[,"&amp;L$4 &amp;"]",'WINBUGS data'!$F$16:$ZZ$16,0)),"")</f>
        <v>NA</v>
      </c>
      <c r="M29" s="31" t="str">
        <f>IFERROR(INDEX('WINBUGS data'!$F$17:$ZZ$65,MATCH($C29,'WINBUGS data'!$F$17:$F$65,0),MATCH("t[,"&amp;M$4 &amp;"]",'WINBUGS data'!$F$16:$ZZ$16,0)),"")</f>
        <v>NA</v>
      </c>
      <c r="N29" s="31" t="str">
        <f>IFERROR(INDEX('WINBUGS data'!$F$17:$ZZ$65,MATCH($C29,'WINBUGS data'!$F$17:$F$65,0),MATCH("t[,"&amp;N$4 &amp;"]",'WINBUGS data'!$F$16:$ZZ$16,0)),"")</f>
        <v>NA</v>
      </c>
      <c r="O29" s="31" t="str">
        <f>IFERROR(INDEX('WINBUGS data'!$F$17:$ZZ$65,MATCH($C29,'WINBUGS data'!$F$17:$F$65,0),MATCH("t[,"&amp;O$4 &amp;"]",'WINBUGS data'!$F$16:$ZZ$16,0)),"")</f>
        <v>NA</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f>IF('WINBUGS data'!F42&lt;&gt;"",'WINBUGS data'!F42,"")</f>
        <v>26</v>
      </c>
      <c r="D30" s="31">
        <f>IFERROR(INDEX('WINBUGS data'!$F$17:$ZZ$65,MATCH(C30,'WINBUGS data'!$F$17:$F$65,0),MATCH("na[]",'WINBUGS data'!$F$16:$ZZ$16,0)),"")</f>
        <v>2</v>
      </c>
      <c r="E30" s="31" t="str">
        <f t="shared" si="0"/>
        <v>1,2</v>
      </c>
      <c r="F30" s="31">
        <f>IFERROR(INDEX('WINBUGS data'!$F$17:$ZZ$65,MATCH($C30,'WINBUGS data'!$F$17:$F$65,0),MATCH("t[,"&amp;F$4 &amp;"]",'WINBUGS data'!$F$16:$ZZ$16,0)),"")</f>
        <v>1</v>
      </c>
      <c r="G30" s="31">
        <f>IFERROR(INDEX('WINBUGS data'!$F$17:$ZZ$65,MATCH($C30,'WINBUGS data'!$F$17:$F$65,0),MATCH("t[,"&amp;G$4 &amp;"]",'WINBUGS data'!$F$16:$ZZ$16,0)),"")</f>
        <v>2</v>
      </c>
      <c r="H30" s="31" t="str">
        <f>IFERROR(INDEX('WINBUGS data'!$F$17:$ZZ$65,MATCH($C30,'WINBUGS data'!$F$17:$F$65,0),MATCH("t[,"&amp;H$4 &amp;"]",'WINBUGS data'!$F$16:$ZZ$16,0)),"")</f>
        <v>NA</v>
      </c>
      <c r="I30" s="31" t="str">
        <f>IFERROR(INDEX('WINBUGS data'!$F$17:$ZZ$65,MATCH($C30,'WINBUGS data'!$F$17:$F$65,0),MATCH("t[,"&amp;I$4 &amp;"]",'WINBUGS data'!$F$16:$ZZ$16,0)),"")</f>
        <v>NA</v>
      </c>
      <c r="J30" s="31" t="str">
        <f>IFERROR(INDEX('WINBUGS data'!$F$17:$ZZ$65,MATCH($C30,'WINBUGS data'!$F$17:$F$65,0),MATCH("t[,"&amp;J$4 &amp;"]",'WINBUGS data'!$F$16:$ZZ$16,0)),"")</f>
        <v>NA</v>
      </c>
      <c r="K30" s="31" t="str">
        <f>IFERROR(INDEX('WINBUGS data'!$F$17:$ZZ$65,MATCH($C30,'WINBUGS data'!$F$17:$F$65,0),MATCH("t[,"&amp;K$4 &amp;"]",'WINBUGS data'!$F$16:$ZZ$16,0)),"")</f>
        <v>NA</v>
      </c>
      <c r="L30" s="31" t="str">
        <f>IFERROR(INDEX('WINBUGS data'!$F$17:$ZZ$65,MATCH($C30,'WINBUGS data'!$F$17:$F$65,0),MATCH("t[,"&amp;L$4 &amp;"]",'WINBUGS data'!$F$16:$ZZ$16,0)),"")</f>
        <v>NA</v>
      </c>
      <c r="M30" s="31" t="str">
        <f>IFERROR(INDEX('WINBUGS data'!$F$17:$ZZ$65,MATCH($C30,'WINBUGS data'!$F$17:$F$65,0),MATCH("t[,"&amp;M$4 &amp;"]",'WINBUGS data'!$F$16:$ZZ$16,0)),"")</f>
        <v>NA</v>
      </c>
      <c r="N30" s="31" t="str">
        <f>IFERROR(INDEX('WINBUGS data'!$F$17:$ZZ$65,MATCH($C30,'WINBUGS data'!$F$17:$F$65,0),MATCH("t[,"&amp;N$4 &amp;"]",'WINBUGS data'!$F$16:$ZZ$16,0)),"")</f>
        <v>NA</v>
      </c>
      <c r="O30" s="31" t="str">
        <f>IFERROR(INDEX('WINBUGS data'!$F$17:$ZZ$65,MATCH($C30,'WINBUGS data'!$F$17:$F$65,0),MATCH("t[,"&amp;O$4 &amp;"]",'WINBUGS data'!$F$16:$ZZ$16,0)),"")</f>
        <v>NA</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f>IF('WINBUGS data'!F43&lt;&gt;"",'WINBUGS data'!F43,"")</f>
        <v>27</v>
      </c>
      <c r="D31" s="31">
        <f>IFERROR(INDEX('WINBUGS data'!$F$17:$ZZ$65,MATCH(C31,'WINBUGS data'!$F$17:$F$65,0),MATCH("na[]",'WINBUGS data'!$F$16:$ZZ$16,0)),"")</f>
        <v>2</v>
      </c>
      <c r="E31" s="31" t="str">
        <f t="shared" si="0"/>
        <v>2,3</v>
      </c>
      <c r="F31" s="31">
        <f>IFERROR(INDEX('WINBUGS data'!$F$17:$ZZ$65,MATCH($C31,'WINBUGS data'!$F$17:$F$65,0),MATCH("t[,"&amp;F$4 &amp;"]",'WINBUGS data'!$F$16:$ZZ$16,0)),"")</f>
        <v>2</v>
      </c>
      <c r="G31" s="31">
        <f>IFERROR(INDEX('WINBUGS data'!$F$17:$ZZ$65,MATCH($C31,'WINBUGS data'!$F$17:$F$65,0),MATCH("t[,"&amp;G$4 &amp;"]",'WINBUGS data'!$F$16:$ZZ$16,0)),"")</f>
        <v>3</v>
      </c>
      <c r="H31" s="31" t="str">
        <f>IFERROR(INDEX('WINBUGS data'!$F$17:$ZZ$65,MATCH($C31,'WINBUGS data'!$F$17:$F$65,0),MATCH("t[,"&amp;H$4 &amp;"]",'WINBUGS data'!$F$16:$ZZ$16,0)),"")</f>
        <v>NA</v>
      </c>
      <c r="I31" s="31" t="str">
        <f>IFERROR(INDEX('WINBUGS data'!$F$17:$ZZ$65,MATCH($C31,'WINBUGS data'!$F$17:$F$65,0),MATCH("t[,"&amp;I$4 &amp;"]",'WINBUGS data'!$F$16:$ZZ$16,0)),"")</f>
        <v>NA</v>
      </c>
      <c r="J31" s="31" t="str">
        <f>IFERROR(INDEX('WINBUGS data'!$F$17:$ZZ$65,MATCH($C31,'WINBUGS data'!$F$17:$F$65,0),MATCH("t[,"&amp;J$4 &amp;"]",'WINBUGS data'!$F$16:$ZZ$16,0)),"")</f>
        <v>NA</v>
      </c>
      <c r="K31" s="31" t="str">
        <f>IFERROR(INDEX('WINBUGS data'!$F$17:$ZZ$65,MATCH($C31,'WINBUGS data'!$F$17:$F$65,0),MATCH("t[,"&amp;K$4 &amp;"]",'WINBUGS data'!$F$16:$ZZ$16,0)),"")</f>
        <v>NA</v>
      </c>
      <c r="L31" s="31" t="str">
        <f>IFERROR(INDEX('WINBUGS data'!$F$17:$ZZ$65,MATCH($C31,'WINBUGS data'!$F$17:$F$65,0),MATCH("t[,"&amp;L$4 &amp;"]",'WINBUGS data'!$F$16:$ZZ$16,0)),"")</f>
        <v>NA</v>
      </c>
      <c r="M31" s="31" t="str">
        <f>IFERROR(INDEX('WINBUGS data'!$F$17:$ZZ$65,MATCH($C31,'WINBUGS data'!$F$17:$F$65,0),MATCH("t[,"&amp;M$4 &amp;"]",'WINBUGS data'!$F$16:$ZZ$16,0)),"")</f>
        <v>NA</v>
      </c>
      <c r="N31" s="31" t="str">
        <f>IFERROR(INDEX('WINBUGS data'!$F$17:$ZZ$65,MATCH($C31,'WINBUGS data'!$F$17:$F$65,0),MATCH("t[,"&amp;N$4 &amp;"]",'WINBUGS data'!$F$16:$ZZ$16,0)),"")</f>
        <v>NA</v>
      </c>
      <c r="O31" s="31" t="str">
        <f>IFERROR(INDEX('WINBUGS data'!$F$17:$ZZ$65,MATCH($C31,'WINBUGS data'!$F$17:$F$65,0),MATCH("t[,"&amp;O$4 &amp;"]",'WINBUGS data'!$F$16:$ZZ$16,0)),"")</f>
        <v>NA</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f>IF('WINBUGS data'!F44&lt;&gt;"",'WINBUGS data'!F44,"")</f>
        <v>28</v>
      </c>
      <c r="D32" s="31">
        <f>IFERROR(INDEX('WINBUGS data'!$F$17:$ZZ$65,MATCH(C32,'WINBUGS data'!$F$17:$F$65,0),MATCH("na[]",'WINBUGS data'!$F$16:$ZZ$16,0)),"")</f>
        <v>2</v>
      </c>
      <c r="E32" s="31" t="str">
        <f t="shared" si="0"/>
        <v>3,9</v>
      </c>
      <c r="F32" s="31">
        <f>IFERROR(INDEX('WINBUGS data'!$F$17:$ZZ$65,MATCH($C32,'WINBUGS data'!$F$17:$F$65,0),MATCH("t[,"&amp;F$4 &amp;"]",'WINBUGS data'!$F$16:$ZZ$16,0)),"")</f>
        <v>3</v>
      </c>
      <c r="G32" s="31">
        <f>IFERROR(INDEX('WINBUGS data'!$F$17:$ZZ$65,MATCH($C32,'WINBUGS data'!$F$17:$F$65,0),MATCH("t[,"&amp;G$4 &amp;"]",'WINBUGS data'!$F$16:$ZZ$16,0)),"")</f>
        <v>9</v>
      </c>
      <c r="H32" s="31" t="str">
        <f>IFERROR(INDEX('WINBUGS data'!$F$17:$ZZ$65,MATCH($C32,'WINBUGS data'!$F$17:$F$65,0),MATCH("t[,"&amp;H$4 &amp;"]",'WINBUGS data'!$F$16:$ZZ$16,0)),"")</f>
        <v>NA</v>
      </c>
      <c r="I32" s="31" t="str">
        <f>IFERROR(INDEX('WINBUGS data'!$F$17:$ZZ$65,MATCH($C32,'WINBUGS data'!$F$17:$F$65,0),MATCH("t[,"&amp;I$4 &amp;"]",'WINBUGS data'!$F$16:$ZZ$16,0)),"")</f>
        <v>NA</v>
      </c>
      <c r="J32" s="31" t="str">
        <f>IFERROR(INDEX('WINBUGS data'!$F$17:$ZZ$65,MATCH($C32,'WINBUGS data'!$F$17:$F$65,0),MATCH("t[,"&amp;J$4 &amp;"]",'WINBUGS data'!$F$16:$ZZ$16,0)),"")</f>
        <v>NA</v>
      </c>
      <c r="K32" s="31" t="str">
        <f>IFERROR(INDEX('WINBUGS data'!$F$17:$ZZ$65,MATCH($C32,'WINBUGS data'!$F$17:$F$65,0),MATCH("t[,"&amp;K$4 &amp;"]",'WINBUGS data'!$F$16:$ZZ$16,0)),"")</f>
        <v>NA</v>
      </c>
      <c r="L32" s="31" t="str">
        <f>IFERROR(INDEX('WINBUGS data'!$F$17:$ZZ$65,MATCH($C32,'WINBUGS data'!$F$17:$F$65,0),MATCH("t[,"&amp;L$4 &amp;"]",'WINBUGS data'!$F$16:$ZZ$16,0)),"")</f>
        <v>NA</v>
      </c>
      <c r="M32" s="31" t="str">
        <f>IFERROR(INDEX('WINBUGS data'!$F$17:$ZZ$65,MATCH($C32,'WINBUGS data'!$F$17:$F$65,0),MATCH("t[,"&amp;M$4 &amp;"]",'WINBUGS data'!$F$16:$ZZ$16,0)),"")</f>
        <v>NA</v>
      </c>
      <c r="N32" s="31" t="str">
        <f>IFERROR(INDEX('WINBUGS data'!$F$17:$ZZ$65,MATCH($C32,'WINBUGS data'!$F$17:$F$65,0),MATCH("t[,"&amp;N$4 &amp;"]",'WINBUGS data'!$F$16:$ZZ$16,0)),"")</f>
        <v>NA</v>
      </c>
      <c r="O32" s="31" t="str">
        <f>IFERROR(INDEX('WINBUGS data'!$F$17:$ZZ$65,MATCH($C32,'WINBUGS data'!$F$17:$F$65,0),MATCH("t[,"&amp;O$4 &amp;"]",'WINBUGS data'!$F$16:$ZZ$16,0)),"")</f>
        <v>NA</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f>IF('WINBUGS data'!F45&lt;&gt;"",'WINBUGS data'!F45,"")</f>
        <v>29</v>
      </c>
      <c r="D33" s="31">
        <f>IFERROR(INDEX('WINBUGS data'!$F$17:$ZZ$65,MATCH(C33,'WINBUGS data'!$F$17:$F$65,0),MATCH("na[]",'WINBUGS data'!$F$16:$ZZ$16,0)),"")</f>
        <v>2</v>
      </c>
      <c r="E33" s="31" t="str">
        <f t="shared" si="0"/>
        <v>3,6</v>
      </c>
      <c r="F33" s="31">
        <f>IFERROR(INDEX('WINBUGS data'!$F$17:$ZZ$65,MATCH($C33,'WINBUGS data'!$F$17:$F$65,0),MATCH("t[,"&amp;F$4 &amp;"]",'WINBUGS data'!$F$16:$ZZ$16,0)),"")</f>
        <v>3</v>
      </c>
      <c r="G33" s="31">
        <f>IFERROR(INDEX('WINBUGS data'!$F$17:$ZZ$65,MATCH($C33,'WINBUGS data'!$F$17:$F$65,0),MATCH("t[,"&amp;G$4 &amp;"]",'WINBUGS data'!$F$16:$ZZ$16,0)),"")</f>
        <v>6</v>
      </c>
      <c r="H33" s="31" t="str">
        <f>IFERROR(INDEX('WINBUGS data'!$F$17:$ZZ$65,MATCH($C33,'WINBUGS data'!$F$17:$F$65,0),MATCH("t[,"&amp;H$4 &amp;"]",'WINBUGS data'!$F$16:$ZZ$16,0)),"")</f>
        <v>NA</v>
      </c>
      <c r="I33" s="31" t="str">
        <f>IFERROR(INDEX('WINBUGS data'!$F$17:$ZZ$65,MATCH($C33,'WINBUGS data'!$F$17:$F$65,0),MATCH("t[,"&amp;I$4 &amp;"]",'WINBUGS data'!$F$16:$ZZ$16,0)),"")</f>
        <v>NA</v>
      </c>
      <c r="J33" s="31" t="str">
        <f>IFERROR(INDEX('WINBUGS data'!$F$17:$ZZ$65,MATCH($C33,'WINBUGS data'!$F$17:$F$65,0),MATCH("t[,"&amp;J$4 &amp;"]",'WINBUGS data'!$F$16:$ZZ$16,0)),"")</f>
        <v>NA</v>
      </c>
      <c r="K33" s="31" t="str">
        <f>IFERROR(INDEX('WINBUGS data'!$F$17:$ZZ$65,MATCH($C33,'WINBUGS data'!$F$17:$F$65,0),MATCH("t[,"&amp;K$4 &amp;"]",'WINBUGS data'!$F$16:$ZZ$16,0)),"")</f>
        <v>NA</v>
      </c>
      <c r="L33" s="31" t="str">
        <f>IFERROR(INDEX('WINBUGS data'!$F$17:$ZZ$65,MATCH($C33,'WINBUGS data'!$F$17:$F$65,0),MATCH("t[,"&amp;L$4 &amp;"]",'WINBUGS data'!$F$16:$ZZ$16,0)),"")</f>
        <v>NA</v>
      </c>
      <c r="M33" s="31" t="str">
        <f>IFERROR(INDEX('WINBUGS data'!$F$17:$ZZ$65,MATCH($C33,'WINBUGS data'!$F$17:$F$65,0),MATCH("t[,"&amp;M$4 &amp;"]",'WINBUGS data'!$F$16:$ZZ$16,0)),"")</f>
        <v>NA</v>
      </c>
      <c r="N33" s="31" t="str">
        <f>IFERROR(INDEX('WINBUGS data'!$F$17:$ZZ$65,MATCH($C33,'WINBUGS data'!$F$17:$F$65,0),MATCH("t[,"&amp;N$4 &amp;"]",'WINBUGS data'!$F$16:$ZZ$16,0)),"")</f>
        <v>NA</v>
      </c>
      <c r="O33" s="31" t="str">
        <f>IFERROR(INDEX('WINBUGS data'!$F$17:$ZZ$65,MATCH($C33,'WINBUGS data'!$F$17:$F$65,0),MATCH("t[,"&amp;O$4 &amp;"]",'WINBUGS data'!$F$16:$ZZ$16,0)),"")</f>
        <v>NA</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f>IF('WINBUGS data'!F46&lt;&gt;"",'WINBUGS data'!F46,"")</f>
        <v>30</v>
      </c>
      <c r="D34" s="31">
        <f>IFERROR(INDEX('WINBUGS data'!$F$17:$ZZ$65,MATCH(C34,'WINBUGS data'!$F$17:$F$65,0),MATCH("na[]",'WINBUGS data'!$F$16:$ZZ$16,0)),"")</f>
        <v>2</v>
      </c>
      <c r="E34" s="31" t="str">
        <f t="shared" si="0"/>
        <v>3,10</v>
      </c>
      <c r="F34" s="31">
        <f>IFERROR(INDEX('WINBUGS data'!$F$17:$ZZ$65,MATCH($C34,'WINBUGS data'!$F$17:$F$65,0),MATCH("t[,"&amp;F$4 &amp;"]",'WINBUGS data'!$F$16:$ZZ$16,0)),"")</f>
        <v>3</v>
      </c>
      <c r="G34" s="31">
        <f>IFERROR(INDEX('WINBUGS data'!$F$17:$ZZ$65,MATCH($C34,'WINBUGS data'!$F$17:$F$65,0),MATCH("t[,"&amp;G$4 &amp;"]",'WINBUGS data'!$F$16:$ZZ$16,0)),"")</f>
        <v>10</v>
      </c>
      <c r="H34" s="31" t="str">
        <f>IFERROR(INDEX('WINBUGS data'!$F$17:$ZZ$65,MATCH($C34,'WINBUGS data'!$F$17:$F$65,0),MATCH("t[,"&amp;H$4 &amp;"]",'WINBUGS data'!$F$16:$ZZ$16,0)),"")</f>
        <v>NA</v>
      </c>
      <c r="I34" s="31" t="str">
        <f>IFERROR(INDEX('WINBUGS data'!$F$17:$ZZ$65,MATCH($C34,'WINBUGS data'!$F$17:$F$65,0),MATCH("t[,"&amp;I$4 &amp;"]",'WINBUGS data'!$F$16:$ZZ$16,0)),"")</f>
        <v>NA</v>
      </c>
      <c r="J34" s="31" t="str">
        <f>IFERROR(INDEX('WINBUGS data'!$F$17:$ZZ$65,MATCH($C34,'WINBUGS data'!$F$17:$F$65,0),MATCH("t[,"&amp;J$4 &amp;"]",'WINBUGS data'!$F$16:$ZZ$16,0)),"")</f>
        <v>NA</v>
      </c>
      <c r="K34" s="31" t="str">
        <f>IFERROR(INDEX('WINBUGS data'!$F$17:$ZZ$65,MATCH($C34,'WINBUGS data'!$F$17:$F$65,0),MATCH("t[,"&amp;K$4 &amp;"]",'WINBUGS data'!$F$16:$ZZ$16,0)),"")</f>
        <v>NA</v>
      </c>
      <c r="L34" s="31" t="str">
        <f>IFERROR(INDEX('WINBUGS data'!$F$17:$ZZ$65,MATCH($C34,'WINBUGS data'!$F$17:$F$65,0),MATCH("t[,"&amp;L$4 &amp;"]",'WINBUGS data'!$F$16:$ZZ$16,0)),"")</f>
        <v>NA</v>
      </c>
      <c r="M34" s="31" t="str">
        <f>IFERROR(INDEX('WINBUGS data'!$F$17:$ZZ$65,MATCH($C34,'WINBUGS data'!$F$17:$F$65,0),MATCH("t[,"&amp;M$4 &amp;"]",'WINBUGS data'!$F$16:$ZZ$16,0)),"")</f>
        <v>NA</v>
      </c>
      <c r="N34" s="31" t="str">
        <f>IFERROR(INDEX('WINBUGS data'!$F$17:$ZZ$65,MATCH($C34,'WINBUGS data'!$F$17:$F$65,0),MATCH("t[,"&amp;N$4 &amp;"]",'WINBUGS data'!$F$16:$ZZ$16,0)),"")</f>
        <v>NA</v>
      </c>
      <c r="O34" s="31" t="str">
        <f>IFERROR(INDEX('WINBUGS data'!$F$17:$ZZ$65,MATCH($C34,'WINBUGS data'!$F$17:$F$65,0),MATCH("t[,"&amp;O$4 &amp;"]",'WINBUGS data'!$F$16:$ZZ$16,0)),"")</f>
        <v>NA</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f>IF('WINBUGS data'!F47&lt;&gt;"",'WINBUGS data'!F47,"")</f>
        <v>31</v>
      </c>
      <c r="D35" s="31">
        <f>IFERROR(INDEX('WINBUGS data'!$F$17:$ZZ$65,MATCH(C35,'WINBUGS data'!$F$17:$F$65,0),MATCH("na[]",'WINBUGS data'!$F$16:$ZZ$16,0)),"")</f>
        <v>2</v>
      </c>
      <c r="E35" s="31" t="str">
        <f t="shared" si="0"/>
        <v>1,2</v>
      </c>
      <c r="F35" s="31">
        <f>IFERROR(INDEX('WINBUGS data'!$F$17:$ZZ$65,MATCH($C35,'WINBUGS data'!$F$17:$F$65,0),MATCH("t[,"&amp;F$4 &amp;"]",'WINBUGS data'!$F$16:$ZZ$16,0)),"")</f>
        <v>1</v>
      </c>
      <c r="G35" s="31">
        <f>IFERROR(INDEX('WINBUGS data'!$F$17:$ZZ$65,MATCH($C35,'WINBUGS data'!$F$17:$F$65,0),MATCH("t[,"&amp;G$4 &amp;"]",'WINBUGS data'!$F$16:$ZZ$16,0)),"")</f>
        <v>2</v>
      </c>
      <c r="H35" s="31" t="str">
        <f>IFERROR(INDEX('WINBUGS data'!$F$17:$ZZ$65,MATCH($C35,'WINBUGS data'!$F$17:$F$65,0),MATCH("t[,"&amp;H$4 &amp;"]",'WINBUGS data'!$F$16:$ZZ$16,0)),"")</f>
        <v>NA</v>
      </c>
      <c r="I35" s="31" t="str">
        <f>IFERROR(INDEX('WINBUGS data'!$F$17:$ZZ$65,MATCH($C35,'WINBUGS data'!$F$17:$F$65,0),MATCH("t[,"&amp;I$4 &amp;"]",'WINBUGS data'!$F$16:$ZZ$16,0)),"")</f>
        <v>NA</v>
      </c>
      <c r="J35" s="31" t="str">
        <f>IFERROR(INDEX('WINBUGS data'!$F$17:$ZZ$65,MATCH($C35,'WINBUGS data'!$F$17:$F$65,0),MATCH("t[,"&amp;J$4 &amp;"]",'WINBUGS data'!$F$16:$ZZ$16,0)),"")</f>
        <v>NA</v>
      </c>
      <c r="K35" s="31" t="str">
        <f>IFERROR(INDEX('WINBUGS data'!$F$17:$ZZ$65,MATCH($C35,'WINBUGS data'!$F$17:$F$65,0),MATCH("t[,"&amp;K$4 &amp;"]",'WINBUGS data'!$F$16:$ZZ$16,0)),"")</f>
        <v>NA</v>
      </c>
      <c r="L35" s="31" t="str">
        <f>IFERROR(INDEX('WINBUGS data'!$F$17:$ZZ$65,MATCH($C35,'WINBUGS data'!$F$17:$F$65,0),MATCH("t[,"&amp;L$4 &amp;"]",'WINBUGS data'!$F$16:$ZZ$16,0)),"")</f>
        <v>NA</v>
      </c>
      <c r="M35" s="31" t="str">
        <f>IFERROR(INDEX('WINBUGS data'!$F$17:$ZZ$65,MATCH($C35,'WINBUGS data'!$F$17:$F$65,0),MATCH("t[,"&amp;M$4 &amp;"]",'WINBUGS data'!$F$16:$ZZ$16,0)),"")</f>
        <v>NA</v>
      </c>
      <c r="N35" s="31" t="str">
        <f>IFERROR(INDEX('WINBUGS data'!$F$17:$ZZ$65,MATCH($C35,'WINBUGS data'!$F$17:$F$65,0),MATCH("t[,"&amp;N$4 &amp;"]",'WINBUGS data'!$F$16:$ZZ$16,0)),"")</f>
        <v>NA</v>
      </c>
      <c r="O35" s="31" t="str">
        <f>IFERROR(INDEX('WINBUGS data'!$F$17:$ZZ$65,MATCH($C35,'WINBUGS data'!$F$17:$F$65,0),MATCH("t[,"&amp;O$4 &amp;"]",'WINBUGS data'!$F$16:$ZZ$16,0)),"")</f>
        <v>NA</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f>IF('WINBUGS data'!F48&lt;&gt;"",'WINBUGS data'!F48,"")</f>
        <v>32</v>
      </c>
      <c r="D36" s="31">
        <f>IFERROR(INDEX('WINBUGS data'!$F$17:$ZZ$65,MATCH(C36,'WINBUGS data'!$F$17:$F$65,0),MATCH("na[]",'WINBUGS data'!$F$16:$ZZ$16,0)),"")</f>
        <v>2</v>
      </c>
      <c r="E36" s="31" t="str">
        <f t="shared" si="0"/>
        <v>1,2</v>
      </c>
      <c r="F36" s="31">
        <f>IFERROR(INDEX('WINBUGS data'!$F$17:$ZZ$65,MATCH($C36,'WINBUGS data'!$F$17:$F$65,0),MATCH("t[,"&amp;F$4 &amp;"]",'WINBUGS data'!$F$16:$ZZ$16,0)),"")</f>
        <v>1</v>
      </c>
      <c r="G36" s="31">
        <f>IFERROR(INDEX('WINBUGS data'!$F$17:$ZZ$65,MATCH($C36,'WINBUGS data'!$F$17:$F$65,0),MATCH("t[,"&amp;G$4 &amp;"]",'WINBUGS data'!$F$16:$ZZ$16,0)),"")</f>
        <v>2</v>
      </c>
      <c r="H36" s="31" t="str">
        <f>IFERROR(INDEX('WINBUGS data'!$F$17:$ZZ$65,MATCH($C36,'WINBUGS data'!$F$17:$F$65,0),MATCH("t[,"&amp;H$4 &amp;"]",'WINBUGS data'!$F$16:$ZZ$16,0)),"")</f>
        <v>NA</v>
      </c>
      <c r="I36" s="31" t="str">
        <f>IFERROR(INDEX('WINBUGS data'!$F$17:$ZZ$65,MATCH($C36,'WINBUGS data'!$F$17:$F$65,0),MATCH("t[,"&amp;I$4 &amp;"]",'WINBUGS data'!$F$16:$ZZ$16,0)),"")</f>
        <v>NA</v>
      </c>
      <c r="J36" s="31" t="str">
        <f>IFERROR(INDEX('WINBUGS data'!$F$17:$ZZ$65,MATCH($C36,'WINBUGS data'!$F$17:$F$65,0),MATCH("t[,"&amp;J$4 &amp;"]",'WINBUGS data'!$F$16:$ZZ$16,0)),"")</f>
        <v>NA</v>
      </c>
      <c r="K36" s="31" t="str">
        <f>IFERROR(INDEX('WINBUGS data'!$F$17:$ZZ$65,MATCH($C36,'WINBUGS data'!$F$17:$F$65,0),MATCH("t[,"&amp;K$4 &amp;"]",'WINBUGS data'!$F$16:$ZZ$16,0)),"")</f>
        <v>NA</v>
      </c>
      <c r="L36" s="31" t="str">
        <f>IFERROR(INDEX('WINBUGS data'!$F$17:$ZZ$65,MATCH($C36,'WINBUGS data'!$F$17:$F$65,0),MATCH("t[,"&amp;L$4 &amp;"]",'WINBUGS data'!$F$16:$ZZ$16,0)),"")</f>
        <v>NA</v>
      </c>
      <c r="M36" s="31" t="str">
        <f>IFERROR(INDEX('WINBUGS data'!$F$17:$ZZ$65,MATCH($C36,'WINBUGS data'!$F$17:$F$65,0),MATCH("t[,"&amp;M$4 &amp;"]",'WINBUGS data'!$F$16:$ZZ$16,0)),"")</f>
        <v>NA</v>
      </c>
      <c r="N36" s="31" t="str">
        <f>IFERROR(INDEX('WINBUGS data'!$F$17:$ZZ$65,MATCH($C36,'WINBUGS data'!$F$17:$F$65,0),MATCH("t[,"&amp;N$4 &amp;"]",'WINBUGS data'!$F$16:$ZZ$16,0)),"")</f>
        <v>NA</v>
      </c>
      <c r="O36" s="31" t="str">
        <f>IFERROR(INDEX('WINBUGS data'!$F$17:$ZZ$65,MATCH($C36,'WINBUGS data'!$F$17:$F$65,0),MATCH("t[,"&amp;O$4 &amp;"]",'WINBUGS data'!$F$16:$ZZ$16,0)),"")</f>
        <v>NA</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f>IF('WINBUGS data'!F49&lt;&gt;"",'WINBUGS data'!F49,"")</f>
        <v>33</v>
      </c>
      <c r="D37" s="31">
        <f>IFERROR(INDEX('WINBUGS data'!$F$17:$ZZ$65,MATCH(C37,'WINBUGS data'!$F$17:$F$65,0),MATCH("na[]",'WINBUGS data'!$F$16:$ZZ$16,0)),"")</f>
        <v>2</v>
      </c>
      <c r="E37" s="31" t="str">
        <f t="shared" si="0"/>
        <v>1,3</v>
      </c>
      <c r="F37" s="31">
        <f>IFERROR(INDEX('WINBUGS data'!$F$17:$ZZ$65,MATCH($C37,'WINBUGS data'!$F$17:$F$65,0),MATCH("t[,"&amp;F$4 &amp;"]",'WINBUGS data'!$F$16:$ZZ$16,0)),"")</f>
        <v>1</v>
      </c>
      <c r="G37" s="31">
        <f>IFERROR(INDEX('WINBUGS data'!$F$17:$ZZ$65,MATCH($C37,'WINBUGS data'!$F$17:$F$65,0),MATCH("t[,"&amp;G$4 &amp;"]",'WINBUGS data'!$F$16:$ZZ$16,0)),"")</f>
        <v>3</v>
      </c>
      <c r="H37" s="31" t="str">
        <f>IFERROR(INDEX('WINBUGS data'!$F$17:$ZZ$65,MATCH($C37,'WINBUGS data'!$F$17:$F$65,0),MATCH("t[,"&amp;H$4 &amp;"]",'WINBUGS data'!$F$16:$ZZ$16,0)),"")</f>
        <v>NA</v>
      </c>
      <c r="I37" s="31" t="str">
        <f>IFERROR(INDEX('WINBUGS data'!$F$17:$ZZ$65,MATCH($C37,'WINBUGS data'!$F$17:$F$65,0),MATCH("t[,"&amp;I$4 &amp;"]",'WINBUGS data'!$F$16:$ZZ$16,0)),"")</f>
        <v>NA</v>
      </c>
      <c r="J37" s="31" t="str">
        <f>IFERROR(INDEX('WINBUGS data'!$F$17:$ZZ$65,MATCH($C37,'WINBUGS data'!$F$17:$F$65,0),MATCH("t[,"&amp;J$4 &amp;"]",'WINBUGS data'!$F$16:$ZZ$16,0)),"")</f>
        <v>NA</v>
      </c>
      <c r="K37" s="31" t="str">
        <f>IFERROR(INDEX('WINBUGS data'!$F$17:$ZZ$65,MATCH($C37,'WINBUGS data'!$F$17:$F$65,0),MATCH("t[,"&amp;K$4 &amp;"]",'WINBUGS data'!$F$16:$ZZ$16,0)),"")</f>
        <v>NA</v>
      </c>
      <c r="L37" s="31" t="str">
        <f>IFERROR(INDEX('WINBUGS data'!$F$17:$ZZ$65,MATCH($C37,'WINBUGS data'!$F$17:$F$65,0),MATCH("t[,"&amp;L$4 &amp;"]",'WINBUGS data'!$F$16:$ZZ$16,0)),"")</f>
        <v>NA</v>
      </c>
      <c r="M37" s="31" t="str">
        <f>IFERROR(INDEX('WINBUGS data'!$F$17:$ZZ$65,MATCH($C37,'WINBUGS data'!$F$17:$F$65,0),MATCH("t[,"&amp;M$4 &amp;"]",'WINBUGS data'!$F$16:$ZZ$16,0)),"")</f>
        <v>NA</v>
      </c>
      <c r="N37" s="31" t="str">
        <f>IFERROR(INDEX('WINBUGS data'!$F$17:$ZZ$65,MATCH($C37,'WINBUGS data'!$F$17:$F$65,0),MATCH("t[,"&amp;N$4 &amp;"]",'WINBUGS data'!$F$16:$ZZ$16,0)),"")</f>
        <v>NA</v>
      </c>
      <c r="O37" s="31" t="str">
        <f>IFERROR(INDEX('WINBUGS data'!$F$17:$ZZ$65,MATCH($C37,'WINBUGS data'!$F$17:$F$65,0),MATCH("t[,"&amp;O$4 &amp;"]",'WINBUGS data'!$F$16:$ZZ$16,0)),"")</f>
        <v>NA</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f>IF('WINBUGS data'!F50&lt;&gt;"",'WINBUGS data'!F50,"")</f>
        <v>34</v>
      </c>
      <c r="D38" s="31">
        <f>IFERROR(INDEX('WINBUGS data'!$F$17:$ZZ$65,MATCH(C38,'WINBUGS data'!$F$17:$F$65,0),MATCH("na[]",'WINBUGS data'!$F$16:$ZZ$16,0)),"")</f>
        <v>2</v>
      </c>
      <c r="E38" s="31" t="str">
        <f t="shared" si="0"/>
        <v>1,2</v>
      </c>
      <c r="F38" s="31">
        <f>IFERROR(INDEX('WINBUGS data'!$F$17:$ZZ$65,MATCH($C38,'WINBUGS data'!$F$17:$F$65,0),MATCH("t[,"&amp;F$4 &amp;"]",'WINBUGS data'!$F$16:$ZZ$16,0)),"")</f>
        <v>1</v>
      </c>
      <c r="G38" s="31">
        <f>IFERROR(INDEX('WINBUGS data'!$F$17:$ZZ$65,MATCH($C38,'WINBUGS data'!$F$17:$F$65,0),MATCH("t[,"&amp;G$4 &amp;"]",'WINBUGS data'!$F$16:$ZZ$16,0)),"")</f>
        <v>2</v>
      </c>
      <c r="H38" s="31" t="str">
        <f>IFERROR(INDEX('WINBUGS data'!$F$17:$ZZ$65,MATCH($C38,'WINBUGS data'!$F$17:$F$65,0),MATCH("t[,"&amp;H$4 &amp;"]",'WINBUGS data'!$F$16:$ZZ$16,0)),"")</f>
        <v>NA</v>
      </c>
      <c r="I38" s="31" t="str">
        <f>IFERROR(INDEX('WINBUGS data'!$F$17:$ZZ$65,MATCH($C38,'WINBUGS data'!$F$17:$F$65,0),MATCH("t[,"&amp;I$4 &amp;"]",'WINBUGS data'!$F$16:$ZZ$16,0)),"")</f>
        <v>NA</v>
      </c>
      <c r="J38" s="31" t="str">
        <f>IFERROR(INDEX('WINBUGS data'!$F$17:$ZZ$65,MATCH($C38,'WINBUGS data'!$F$17:$F$65,0),MATCH("t[,"&amp;J$4 &amp;"]",'WINBUGS data'!$F$16:$ZZ$16,0)),"")</f>
        <v>NA</v>
      </c>
      <c r="K38" s="31" t="str">
        <f>IFERROR(INDEX('WINBUGS data'!$F$17:$ZZ$65,MATCH($C38,'WINBUGS data'!$F$17:$F$65,0),MATCH("t[,"&amp;K$4 &amp;"]",'WINBUGS data'!$F$16:$ZZ$16,0)),"")</f>
        <v>NA</v>
      </c>
      <c r="L38" s="31" t="str">
        <f>IFERROR(INDEX('WINBUGS data'!$F$17:$ZZ$65,MATCH($C38,'WINBUGS data'!$F$17:$F$65,0),MATCH("t[,"&amp;L$4 &amp;"]",'WINBUGS data'!$F$16:$ZZ$16,0)),"")</f>
        <v>NA</v>
      </c>
      <c r="M38" s="31" t="str">
        <f>IFERROR(INDEX('WINBUGS data'!$F$17:$ZZ$65,MATCH($C38,'WINBUGS data'!$F$17:$F$65,0),MATCH("t[,"&amp;M$4 &amp;"]",'WINBUGS data'!$F$16:$ZZ$16,0)),"")</f>
        <v>NA</v>
      </c>
      <c r="N38" s="31" t="str">
        <f>IFERROR(INDEX('WINBUGS data'!$F$17:$ZZ$65,MATCH($C38,'WINBUGS data'!$F$17:$F$65,0),MATCH("t[,"&amp;N$4 &amp;"]",'WINBUGS data'!$F$16:$ZZ$16,0)),"")</f>
        <v>NA</v>
      </c>
      <c r="O38" s="31" t="str">
        <f>IFERROR(INDEX('WINBUGS data'!$F$17:$ZZ$65,MATCH($C38,'WINBUGS data'!$F$17:$F$65,0),MATCH("t[,"&amp;O$4 &amp;"]",'WINBUGS data'!$F$16:$ZZ$16,0)),"")</f>
        <v>NA</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f>IF('WINBUGS data'!F51&lt;&gt;"",'WINBUGS data'!F51,"")</f>
        <v>35</v>
      </c>
      <c r="D39" s="31">
        <f>IFERROR(INDEX('WINBUGS data'!$F$17:$ZZ$65,MATCH(C39,'WINBUGS data'!$F$17:$F$65,0),MATCH("na[]",'WINBUGS data'!$F$16:$ZZ$16,0)),"")</f>
        <v>2</v>
      </c>
      <c r="E39" s="31" t="str">
        <f t="shared" si="0"/>
        <v>3,9</v>
      </c>
      <c r="F39" s="31">
        <f>IFERROR(INDEX('WINBUGS data'!$F$17:$ZZ$65,MATCH($C39,'WINBUGS data'!$F$17:$F$65,0),MATCH("t[,"&amp;F$4 &amp;"]",'WINBUGS data'!$F$16:$ZZ$16,0)),"")</f>
        <v>3</v>
      </c>
      <c r="G39" s="31">
        <f>IFERROR(INDEX('WINBUGS data'!$F$17:$ZZ$65,MATCH($C39,'WINBUGS data'!$F$17:$F$65,0),MATCH("t[,"&amp;G$4 &amp;"]",'WINBUGS data'!$F$16:$ZZ$16,0)),"")</f>
        <v>9</v>
      </c>
      <c r="H39" s="31" t="str">
        <f>IFERROR(INDEX('WINBUGS data'!$F$17:$ZZ$65,MATCH($C39,'WINBUGS data'!$F$17:$F$65,0),MATCH("t[,"&amp;H$4 &amp;"]",'WINBUGS data'!$F$16:$ZZ$16,0)),"")</f>
        <v>NA</v>
      </c>
      <c r="I39" s="31" t="str">
        <f>IFERROR(INDEX('WINBUGS data'!$F$17:$ZZ$65,MATCH($C39,'WINBUGS data'!$F$17:$F$65,0),MATCH("t[,"&amp;I$4 &amp;"]",'WINBUGS data'!$F$16:$ZZ$16,0)),"")</f>
        <v>NA</v>
      </c>
      <c r="J39" s="31" t="str">
        <f>IFERROR(INDEX('WINBUGS data'!$F$17:$ZZ$65,MATCH($C39,'WINBUGS data'!$F$17:$F$65,0),MATCH("t[,"&amp;J$4 &amp;"]",'WINBUGS data'!$F$16:$ZZ$16,0)),"")</f>
        <v>NA</v>
      </c>
      <c r="K39" s="31" t="str">
        <f>IFERROR(INDEX('WINBUGS data'!$F$17:$ZZ$65,MATCH($C39,'WINBUGS data'!$F$17:$F$65,0),MATCH("t[,"&amp;K$4 &amp;"]",'WINBUGS data'!$F$16:$ZZ$16,0)),"")</f>
        <v>NA</v>
      </c>
      <c r="L39" s="31" t="str">
        <f>IFERROR(INDEX('WINBUGS data'!$F$17:$ZZ$65,MATCH($C39,'WINBUGS data'!$F$17:$F$65,0),MATCH("t[,"&amp;L$4 &amp;"]",'WINBUGS data'!$F$16:$ZZ$16,0)),"")</f>
        <v>NA</v>
      </c>
      <c r="M39" s="31" t="str">
        <f>IFERROR(INDEX('WINBUGS data'!$F$17:$ZZ$65,MATCH($C39,'WINBUGS data'!$F$17:$F$65,0),MATCH("t[,"&amp;M$4 &amp;"]",'WINBUGS data'!$F$16:$ZZ$16,0)),"")</f>
        <v>NA</v>
      </c>
      <c r="N39" s="31" t="str">
        <f>IFERROR(INDEX('WINBUGS data'!$F$17:$ZZ$65,MATCH($C39,'WINBUGS data'!$F$17:$F$65,0),MATCH("t[,"&amp;N$4 &amp;"]",'WINBUGS data'!$F$16:$ZZ$16,0)),"")</f>
        <v>NA</v>
      </c>
      <c r="O39" s="31" t="str">
        <f>IFERROR(INDEX('WINBUGS data'!$F$17:$ZZ$65,MATCH($C39,'WINBUGS data'!$F$17:$F$65,0),MATCH("t[,"&amp;O$4 &amp;"]",'WINBUGS data'!$F$16:$ZZ$16,0)),"")</f>
        <v>NA</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f>IF('WINBUGS data'!F52&lt;&gt;"",'WINBUGS data'!F52,"")</f>
        <v>36</v>
      </c>
      <c r="D40" s="31">
        <f>IFERROR(INDEX('WINBUGS data'!$F$17:$ZZ$65,MATCH(C40,'WINBUGS data'!$F$17:$F$65,0),MATCH("na[]",'WINBUGS data'!$F$16:$ZZ$16,0)),"")</f>
        <v>2</v>
      </c>
      <c r="E40" s="31" t="str">
        <f t="shared" si="0"/>
        <v>3,6</v>
      </c>
      <c r="F40" s="31">
        <f>IFERROR(INDEX('WINBUGS data'!$F$17:$ZZ$65,MATCH($C40,'WINBUGS data'!$F$17:$F$65,0),MATCH("t[,"&amp;F$4 &amp;"]",'WINBUGS data'!$F$16:$ZZ$16,0)),"")</f>
        <v>3</v>
      </c>
      <c r="G40" s="31">
        <f>IFERROR(INDEX('WINBUGS data'!$F$17:$ZZ$65,MATCH($C40,'WINBUGS data'!$F$17:$F$65,0),MATCH("t[,"&amp;G$4 &amp;"]",'WINBUGS data'!$F$16:$ZZ$16,0)),"")</f>
        <v>6</v>
      </c>
      <c r="H40" s="31" t="str">
        <f>IFERROR(INDEX('WINBUGS data'!$F$17:$ZZ$65,MATCH($C40,'WINBUGS data'!$F$17:$F$65,0),MATCH("t[,"&amp;H$4 &amp;"]",'WINBUGS data'!$F$16:$ZZ$16,0)),"")</f>
        <v>NA</v>
      </c>
      <c r="I40" s="31" t="str">
        <f>IFERROR(INDEX('WINBUGS data'!$F$17:$ZZ$65,MATCH($C40,'WINBUGS data'!$F$17:$F$65,0),MATCH("t[,"&amp;I$4 &amp;"]",'WINBUGS data'!$F$16:$ZZ$16,0)),"")</f>
        <v>NA</v>
      </c>
      <c r="J40" s="31" t="str">
        <f>IFERROR(INDEX('WINBUGS data'!$F$17:$ZZ$65,MATCH($C40,'WINBUGS data'!$F$17:$F$65,0),MATCH("t[,"&amp;J$4 &amp;"]",'WINBUGS data'!$F$16:$ZZ$16,0)),"")</f>
        <v>NA</v>
      </c>
      <c r="K40" s="31" t="str">
        <f>IFERROR(INDEX('WINBUGS data'!$F$17:$ZZ$65,MATCH($C40,'WINBUGS data'!$F$17:$F$65,0),MATCH("t[,"&amp;K$4 &amp;"]",'WINBUGS data'!$F$16:$ZZ$16,0)),"")</f>
        <v>NA</v>
      </c>
      <c r="L40" s="31" t="str">
        <f>IFERROR(INDEX('WINBUGS data'!$F$17:$ZZ$65,MATCH($C40,'WINBUGS data'!$F$17:$F$65,0),MATCH("t[,"&amp;L$4 &amp;"]",'WINBUGS data'!$F$16:$ZZ$16,0)),"")</f>
        <v>NA</v>
      </c>
      <c r="M40" s="31" t="str">
        <f>IFERROR(INDEX('WINBUGS data'!$F$17:$ZZ$65,MATCH($C40,'WINBUGS data'!$F$17:$F$65,0),MATCH("t[,"&amp;M$4 &amp;"]",'WINBUGS data'!$F$16:$ZZ$16,0)),"")</f>
        <v>NA</v>
      </c>
      <c r="N40" s="31" t="str">
        <f>IFERROR(INDEX('WINBUGS data'!$F$17:$ZZ$65,MATCH($C40,'WINBUGS data'!$F$17:$F$65,0),MATCH("t[,"&amp;N$4 &amp;"]",'WINBUGS data'!$F$16:$ZZ$16,0)),"")</f>
        <v>NA</v>
      </c>
      <c r="O40" s="31" t="str">
        <f>IFERROR(INDEX('WINBUGS data'!$F$17:$ZZ$65,MATCH($C40,'WINBUGS data'!$F$17:$F$65,0),MATCH("t[,"&amp;O$4 &amp;"]",'WINBUGS data'!$F$16:$ZZ$16,0)),"")</f>
        <v>NA</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f>IF('WINBUGS data'!F53&lt;&gt;"",'WINBUGS data'!F53,"")</f>
        <v>37</v>
      </c>
      <c r="D41" s="31">
        <f>IFERROR(INDEX('WINBUGS data'!$F$17:$ZZ$65,MATCH(C41,'WINBUGS data'!$F$17:$F$65,0),MATCH("na[]",'WINBUGS data'!$F$16:$ZZ$16,0)),"")</f>
        <v>2</v>
      </c>
      <c r="E41" s="31" t="str">
        <f t="shared" si="0"/>
        <v>1,2</v>
      </c>
      <c r="F41" s="31">
        <f>IFERROR(INDEX('WINBUGS data'!$F$17:$ZZ$65,MATCH($C41,'WINBUGS data'!$F$17:$F$65,0),MATCH("t[,"&amp;F$4 &amp;"]",'WINBUGS data'!$F$16:$ZZ$16,0)),"")</f>
        <v>1</v>
      </c>
      <c r="G41" s="31">
        <f>IFERROR(INDEX('WINBUGS data'!$F$17:$ZZ$65,MATCH($C41,'WINBUGS data'!$F$17:$F$65,0),MATCH("t[,"&amp;G$4 &amp;"]",'WINBUGS data'!$F$16:$ZZ$16,0)),"")</f>
        <v>2</v>
      </c>
      <c r="H41" s="31" t="str">
        <f>IFERROR(INDEX('WINBUGS data'!$F$17:$ZZ$65,MATCH($C41,'WINBUGS data'!$F$17:$F$65,0),MATCH("t[,"&amp;H$4 &amp;"]",'WINBUGS data'!$F$16:$ZZ$16,0)),"")</f>
        <v>NA</v>
      </c>
      <c r="I41" s="31" t="str">
        <f>IFERROR(INDEX('WINBUGS data'!$F$17:$ZZ$65,MATCH($C41,'WINBUGS data'!$F$17:$F$65,0),MATCH("t[,"&amp;I$4 &amp;"]",'WINBUGS data'!$F$16:$ZZ$16,0)),"")</f>
        <v>NA</v>
      </c>
      <c r="J41" s="31" t="str">
        <f>IFERROR(INDEX('WINBUGS data'!$F$17:$ZZ$65,MATCH($C41,'WINBUGS data'!$F$17:$F$65,0),MATCH("t[,"&amp;J$4 &amp;"]",'WINBUGS data'!$F$16:$ZZ$16,0)),"")</f>
        <v>NA</v>
      </c>
      <c r="K41" s="31" t="str">
        <f>IFERROR(INDEX('WINBUGS data'!$F$17:$ZZ$65,MATCH($C41,'WINBUGS data'!$F$17:$F$65,0),MATCH("t[,"&amp;K$4 &amp;"]",'WINBUGS data'!$F$16:$ZZ$16,0)),"")</f>
        <v>NA</v>
      </c>
      <c r="L41" s="31" t="str">
        <f>IFERROR(INDEX('WINBUGS data'!$F$17:$ZZ$65,MATCH($C41,'WINBUGS data'!$F$17:$F$65,0),MATCH("t[,"&amp;L$4 &amp;"]",'WINBUGS data'!$F$16:$ZZ$16,0)),"")</f>
        <v>NA</v>
      </c>
      <c r="M41" s="31" t="str">
        <f>IFERROR(INDEX('WINBUGS data'!$F$17:$ZZ$65,MATCH($C41,'WINBUGS data'!$F$17:$F$65,0),MATCH("t[,"&amp;M$4 &amp;"]",'WINBUGS data'!$F$16:$ZZ$16,0)),"")</f>
        <v>NA</v>
      </c>
      <c r="N41" s="31" t="str">
        <f>IFERROR(INDEX('WINBUGS data'!$F$17:$ZZ$65,MATCH($C41,'WINBUGS data'!$F$17:$F$65,0),MATCH("t[,"&amp;N$4 &amp;"]",'WINBUGS data'!$F$16:$ZZ$16,0)),"")</f>
        <v>NA</v>
      </c>
      <c r="O41" s="31" t="str">
        <f>IFERROR(INDEX('WINBUGS data'!$F$17:$ZZ$65,MATCH($C41,'WINBUGS data'!$F$17:$F$65,0),MATCH("t[,"&amp;O$4 &amp;"]",'WINBUGS data'!$F$16:$ZZ$16,0)),"")</f>
        <v>NA</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f>IF('WINBUGS data'!F54&lt;&gt;"",'WINBUGS data'!F54,"")</f>
        <v>38</v>
      </c>
      <c r="D42" s="31">
        <f>IFERROR(INDEX('WINBUGS data'!$F$17:$ZZ$65,MATCH(C42,'WINBUGS data'!$F$17:$F$65,0),MATCH("na[]",'WINBUGS data'!$F$16:$ZZ$16,0)),"")</f>
        <v>2</v>
      </c>
      <c r="E42" s="31" t="str">
        <f t="shared" si="0"/>
        <v>3,10</v>
      </c>
      <c r="F42" s="31">
        <f>IFERROR(INDEX('WINBUGS data'!$F$17:$ZZ$65,MATCH($C42,'WINBUGS data'!$F$17:$F$65,0),MATCH("t[,"&amp;F$4 &amp;"]",'WINBUGS data'!$F$16:$ZZ$16,0)),"")</f>
        <v>3</v>
      </c>
      <c r="G42" s="31">
        <f>IFERROR(INDEX('WINBUGS data'!$F$17:$ZZ$65,MATCH($C42,'WINBUGS data'!$F$17:$F$65,0),MATCH("t[,"&amp;G$4 &amp;"]",'WINBUGS data'!$F$16:$ZZ$16,0)),"")</f>
        <v>10</v>
      </c>
      <c r="H42" s="31" t="str">
        <f>IFERROR(INDEX('WINBUGS data'!$F$17:$ZZ$65,MATCH($C42,'WINBUGS data'!$F$17:$F$65,0),MATCH("t[,"&amp;H$4 &amp;"]",'WINBUGS data'!$F$16:$ZZ$16,0)),"")</f>
        <v>NA</v>
      </c>
      <c r="I42" s="31" t="str">
        <f>IFERROR(INDEX('WINBUGS data'!$F$17:$ZZ$65,MATCH($C42,'WINBUGS data'!$F$17:$F$65,0),MATCH("t[,"&amp;I$4 &amp;"]",'WINBUGS data'!$F$16:$ZZ$16,0)),"")</f>
        <v>NA</v>
      </c>
      <c r="J42" s="31" t="str">
        <f>IFERROR(INDEX('WINBUGS data'!$F$17:$ZZ$65,MATCH($C42,'WINBUGS data'!$F$17:$F$65,0),MATCH("t[,"&amp;J$4 &amp;"]",'WINBUGS data'!$F$16:$ZZ$16,0)),"")</f>
        <v>NA</v>
      </c>
      <c r="K42" s="31" t="str">
        <f>IFERROR(INDEX('WINBUGS data'!$F$17:$ZZ$65,MATCH($C42,'WINBUGS data'!$F$17:$F$65,0),MATCH("t[,"&amp;K$4 &amp;"]",'WINBUGS data'!$F$16:$ZZ$16,0)),"")</f>
        <v>NA</v>
      </c>
      <c r="L42" s="31" t="str">
        <f>IFERROR(INDEX('WINBUGS data'!$F$17:$ZZ$65,MATCH($C42,'WINBUGS data'!$F$17:$F$65,0),MATCH("t[,"&amp;L$4 &amp;"]",'WINBUGS data'!$F$16:$ZZ$16,0)),"")</f>
        <v>NA</v>
      </c>
      <c r="M42" s="31" t="str">
        <f>IFERROR(INDEX('WINBUGS data'!$F$17:$ZZ$65,MATCH($C42,'WINBUGS data'!$F$17:$F$65,0),MATCH("t[,"&amp;M$4 &amp;"]",'WINBUGS data'!$F$16:$ZZ$16,0)),"")</f>
        <v>NA</v>
      </c>
      <c r="N42" s="31" t="str">
        <f>IFERROR(INDEX('WINBUGS data'!$F$17:$ZZ$65,MATCH($C42,'WINBUGS data'!$F$17:$F$65,0),MATCH("t[,"&amp;N$4 &amp;"]",'WINBUGS data'!$F$16:$ZZ$16,0)),"")</f>
        <v>NA</v>
      </c>
      <c r="O42" s="31" t="str">
        <f>IFERROR(INDEX('WINBUGS data'!$F$17:$ZZ$65,MATCH($C42,'WINBUGS data'!$F$17:$F$65,0),MATCH("t[,"&amp;O$4 &amp;"]",'WINBUGS data'!$F$16:$ZZ$16,0)),"")</f>
        <v>NA</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f>IF('WINBUGS data'!F55&lt;&gt;"",'WINBUGS data'!F55,"")</f>
        <v>39</v>
      </c>
      <c r="D43" s="31">
        <f>IFERROR(INDEX('WINBUGS data'!$F$17:$ZZ$65,MATCH(C43,'WINBUGS data'!$F$17:$F$65,0),MATCH("na[]",'WINBUGS data'!$F$16:$ZZ$16,0)),"")</f>
        <v>2</v>
      </c>
      <c r="E43" s="31" t="str">
        <f t="shared" si="0"/>
        <v>1,10</v>
      </c>
      <c r="F43" s="31">
        <f>IFERROR(INDEX('WINBUGS data'!$F$17:$ZZ$65,MATCH($C43,'WINBUGS data'!$F$17:$F$65,0),MATCH("t[,"&amp;F$4 &amp;"]",'WINBUGS data'!$F$16:$ZZ$16,0)),"")</f>
        <v>1</v>
      </c>
      <c r="G43" s="31">
        <f>IFERROR(INDEX('WINBUGS data'!$F$17:$ZZ$65,MATCH($C43,'WINBUGS data'!$F$17:$F$65,0),MATCH("t[,"&amp;G$4 &amp;"]",'WINBUGS data'!$F$16:$ZZ$16,0)),"")</f>
        <v>10</v>
      </c>
      <c r="H43" s="31" t="str">
        <f>IFERROR(INDEX('WINBUGS data'!$F$17:$ZZ$65,MATCH($C43,'WINBUGS data'!$F$17:$F$65,0),MATCH("t[,"&amp;H$4 &amp;"]",'WINBUGS data'!$F$16:$ZZ$16,0)),"")</f>
        <v>NA</v>
      </c>
      <c r="I43" s="31" t="str">
        <f>IFERROR(INDEX('WINBUGS data'!$F$17:$ZZ$65,MATCH($C43,'WINBUGS data'!$F$17:$F$65,0),MATCH("t[,"&amp;I$4 &amp;"]",'WINBUGS data'!$F$16:$ZZ$16,0)),"")</f>
        <v>NA</v>
      </c>
      <c r="J43" s="31" t="str">
        <f>IFERROR(INDEX('WINBUGS data'!$F$17:$ZZ$65,MATCH($C43,'WINBUGS data'!$F$17:$F$65,0),MATCH("t[,"&amp;J$4 &amp;"]",'WINBUGS data'!$F$16:$ZZ$16,0)),"")</f>
        <v>NA</v>
      </c>
      <c r="K43" s="31" t="str">
        <f>IFERROR(INDEX('WINBUGS data'!$F$17:$ZZ$65,MATCH($C43,'WINBUGS data'!$F$17:$F$65,0),MATCH("t[,"&amp;K$4 &amp;"]",'WINBUGS data'!$F$16:$ZZ$16,0)),"")</f>
        <v>NA</v>
      </c>
      <c r="L43" s="31" t="str">
        <f>IFERROR(INDEX('WINBUGS data'!$F$17:$ZZ$65,MATCH($C43,'WINBUGS data'!$F$17:$F$65,0),MATCH("t[,"&amp;L$4 &amp;"]",'WINBUGS data'!$F$16:$ZZ$16,0)),"")</f>
        <v>NA</v>
      </c>
      <c r="M43" s="31" t="str">
        <f>IFERROR(INDEX('WINBUGS data'!$F$17:$ZZ$65,MATCH($C43,'WINBUGS data'!$F$17:$F$65,0),MATCH("t[,"&amp;M$4 &amp;"]",'WINBUGS data'!$F$16:$ZZ$16,0)),"")</f>
        <v>NA</v>
      </c>
      <c r="N43" s="31" t="str">
        <f>IFERROR(INDEX('WINBUGS data'!$F$17:$ZZ$65,MATCH($C43,'WINBUGS data'!$F$17:$F$65,0),MATCH("t[,"&amp;N$4 &amp;"]",'WINBUGS data'!$F$16:$ZZ$16,0)),"")</f>
        <v>NA</v>
      </c>
      <c r="O43" s="31" t="str">
        <f>IFERROR(INDEX('WINBUGS data'!$F$17:$ZZ$65,MATCH($C43,'WINBUGS data'!$F$17:$F$65,0),MATCH("t[,"&amp;O$4 &amp;"]",'WINBUGS data'!$F$16:$ZZ$16,0)),"")</f>
        <v>NA</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f>IF('WINBUGS data'!F56&lt;&gt;"",'WINBUGS data'!F56,"")</f>
        <v>40</v>
      </c>
      <c r="D44" s="31">
        <f>IFERROR(INDEX('WINBUGS data'!$F$17:$ZZ$65,MATCH(C44,'WINBUGS data'!$F$17:$F$65,0),MATCH("na[]",'WINBUGS data'!$F$16:$ZZ$16,0)),"")</f>
        <v>2</v>
      </c>
      <c r="E44" s="31" t="str">
        <f t="shared" si="0"/>
        <v>1,2</v>
      </c>
      <c r="F44" s="31">
        <f>IFERROR(INDEX('WINBUGS data'!$F$17:$ZZ$65,MATCH($C44,'WINBUGS data'!$F$17:$F$65,0),MATCH("t[,"&amp;F$4 &amp;"]",'WINBUGS data'!$F$16:$ZZ$16,0)),"")</f>
        <v>1</v>
      </c>
      <c r="G44" s="31">
        <f>IFERROR(INDEX('WINBUGS data'!$F$17:$ZZ$65,MATCH($C44,'WINBUGS data'!$F$17:$F$65,0),MATCH("t[,"&amp;G$4 &amp;"]",'WINBUGS data'!$F$16:$ZZ$16,0)),"")</f>
        <v>2</v>
      </c>
      <c r="H44" s="31" t="str">
        <f>IFERROR(INDEX('WINBUGS data'!$F$17:$ZZ$65,MATCH($C44,'WINBUGS data'!$F$17:$F$65,0),MATCH("t[,"&amp;H$4 &amp;"]",'WINBUGS data'!$F$16:$ZZ$16,0)),"")</f>
        <v>NA</v>
      </c>
      <c r="I44" s="31" t="str">
        <f>IFERROR(INDEX('WINBUGS data'!$F$17:$ZZ$65,MATCH($C44,'WINBUGS data'!$F$17:$F$65,0),MATCH("t[,"&amp;I$4 &amp;"]",'WINBUGS data'!$F$16:$ZZ$16,0)),"")</f>
        <v>NA</v>
      </c>
      <c r="J44" s="31" t="str">
        <f>IFERROR(INDEX('WINBUGS data'!$F$17:$ZZ$65,MATCH($C44,'WINBUGS data'!$F$17:$F$65,0),MATCH("t[,"&amp;J$4 &amp;"]",'WINBUGS data'!$F$16:$ZZ$16,0)),"")</f>
        <v>NA</v>
      </c>
      <c r="K44" s="31" t="str">
        <f>IFERROR(INDEX('WINBUGS data'!$F$17:$ZZ$65,MATCH($C44,'WINBUGS data'!$F$17:$F$65,0),MATCH("t[,"&amp;K$4 &amp;"]",'WINBUGS data'!$F$16:$ZZ$16,0)),"")</f>
        <v>NA</v>
      </c>
      <c r="L44" s="31" t="str">
        <f>IFERROR(INDEX('WINBUGS data'!$F$17:$ZZ$65,MATCH($C44,'WINBUGS data'!$F$17:$F$65,0),MATCH("t[,"&amp;L$4 &amp;"]",'WINBUGS data'!$F$16:$ZZ$16,0)),"")</f>
        <v>NA</v>
      </c>
      <c r="M44" s="31" t="str">
        <f>IFERROR(INDEX('WINBUGS data'!$F$17:$ZZ$65,MATCH($C44,'WINBUGS data'!$F$17:$F$65,0),MATCH("t[,"&amp;M$4 &amp;"]",'WINBUGS data'!$F$16:$ZZ$16,0)),"")</f>
        <v>NA</v>
      </c>
      <c r="N44" s="31" t="str">
        <f>IFERROR(INDEX('WINBUGS data'!$F$17:$ZZ$65,MATCH($C44,'WINBUGS data'!$F$17:$F$65,0),MATCH("t[,"&amp;N$4 &amp;"]",'WINBUGS data'!$F$16:$ZZ$16,0)),"")</f>
        <v>NA</v>
      </c>
      <c r="O44" s="31" t="str">
        <f>IFERROR(INDEX('WINBUGS data'!$F$17:$ZZ$65,MATCH($C44,'WINBUGS data'!$F$17:$F$65,0),MATCH("t[,"&amp;O$4 &amp;"]",'WINBUGS data'!$F$16:$ZZ$16,0)),"")</f>
        <v>NA</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f>IF('WINBUGS data'!F57&lt;&gt;"",'WINBUGS data'!F57,"")</f>
        <v>41</v>
      </c>
      <c r="D45" s="31">
        <f>IFERROR(INDEX('WINBUGS data'!$F$17:$ZZ$65,MATCH(C45,'WINBUGS data'!$F$17:$F$65,0),MATCH("na[]",'WINBUGS data'!$F$16:$ZZ$16,0)),"")</f>
        <v>2</v>
      </c>
      <c r="E45" s="31" t="str">
        <f t="shared" si="0"/>
        <v>1,2</v>
      </c>
      <c r="F45" s="31">
        <f>IFERROR(INDEX('WINBUGS data'!$F$17:$ZZ$65,MATCH($C45,'WINBUGS data'!$F$17:$F$65,0),MATCH("t[,"&amp;F$4 &amp;"]",'WINBUGS data'!$F$16:$ZZ$16,0)),"")</f>
        <v>1</v>
      </c>
      <c r="G45" s="31">
        <f>IFERROR(INDEX('WINBUGS data'!$F$17:$ZZ$65,MATCH($C45,'WINBUGS data'!$F$17:$F$65,0),MATCH("t[,"&amp;G$4 &amp;"]",'WINBUGS data'!$F$16:$ZZ$16,0)),"")</f>
        <v>2</v>
      </c>
      <c r="H45" s="31" t="str">
        <f>IFERROR(INDEX('WINBUGS data'!$F$17:$ZZ$65,MATCH($C45,'WINBUGS data'!$F$17:$F$65,0),MATCH("t[,"&amp;H$4 &amp;"]",'WINBUGS data'!$F$16:$ZZ$16,0)),"")</f>
        <v>NA</v>
      </c>
      <c r="I45" s="31" t="str">
        <f>IFERROR(INDEX('WINBUGS data'!$F$17:$ZZ$65,MATCH($C45,'WINBUGS data'!$F$17:$F$65,0),MATCH("t[,"&amp;I$4 &amp;"]",'WINBUGS data'!$F$16:$ZZ$16,0)),"")</f>
        <v>NA</v>
      </c>
      <c r="J45" s="31" t="str">
        <f>IFERROR(INDEX('WINBUGS data'!$F$17:$ZZ$65,MATCH($C45,'WINBUGS data'!$F$17:$F$65,0),MATCH("t[,"&amp;J$4 &amp;"]",'WINBUGS data'!$F$16:$ZZ$16,0)),"")</f>
        <v>NA</v>
      </c>
      <c r="K45" s="31" t="str">
        <f>IFERROR(INDEX('WINBUGS data'!$F$17:$ZZ$65,MATCH($C45,'WINBUGS data'!$F$17:$F$65,0),MATCH("t[,"&amp;K$4 &amp;"]",'WINBUGS data'!$F$16:$ZZ$16,0)),"")</f>
        <v>NA</v>
      </c>
      <c r="L45" s="31" t="str">
        <f>IFERROR(INDEX('WINBUGS data'!$F$17:$ZZ$65,MATCH($C45,'WINBUGS data'!$F$17:$F$65,0),MATCH("t[,"&amp;L$4 &amp;"]",'WINBUGS data'!$F$16:$ZZ$16,0)),"")</f>
        <v>NA</v>
      </c>
      <c r="M45" s="31" t="str">
        <f>IFERROR(INDEX('WINBUGS data'!$F$17:$ZZ$65,MATCH($C45,'WINBUGS data'!$F$17:$F$65,0),MATCH("t[,"&amp;M$4 &amp;"]",'WINBUGS data'!$F$16:$ZZ$16,0)),"")</f>
        <v>NA</v>
      </c>
      <c r="N45" s="31" t="str">
        <f>IFERROR(INDEX('WINBUGS data'!$F$17:$ZZ$65,MATCH($C45,'WINBUGS data'!$F$17:$F$65,0),MATCH("t[,"&amp;N$4 &amp;"]",'WINBUGS data'!$F$16:$ZZ$16,0)),"")</f>
        <v>NA</v>
      </c>
      <c r="O45" s="31" t="str">
        <f>IFERROR(INDEX('WINBUGS data'!$F$17:$ZZ$65,MATCH($C45,'WINBUGS data'!$F$17:$F$65,0),MATCH("t[,"&amp;O$4 &amp;"]",'WINBUGS data'!$F$16:$ZZ$16,0)),"")</f>
        <v>NA</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f>IF('WINBUGS data'!F58&lt;&gt;"",'WINBUGS data'!F58,"")</f>
        <v>42</v>
      </c>
      <c r="D46" s="31">
        <f>IFERROR(INDEX('WINBUGS data'!$F$17:$ZZ$65,MATCH(C46,'WINBUGS data'!$F$17:$F$65,0),MATCH("na[]",'WINBUGS data'!$F$16:$ZZ$16,0)),"")</f>
        <v>2</v>
      </c>
      <c r="E46" s="31" t="str">
        <f t="shared" si="0"/>
        <v>3,9</v>
      </c>
      <c r="F46" s="31">
        <f>IFERROR(INDEX('WINBUGS data'!$F$17:$ZZ$65,MATCH($C46,'WINBUGS data'!$F$17:$F$65,0),MATCH("t[,"&amp;F$4 &amp;"]",'WINBUGS data'!$F$16:$ZZ$16,0)),"")</f>
        <v>3</v>
      </c>
      <c r="G46" s="31">
        <f>IFERROR(INDEX('WINBUGS data'!$F$17:$ZZ$65,MATCH($C46,'WINBUGS data'!$F$17:$F$65,0),MATCH("t[,"&amp;G$4 &amp;"]",'WINBUGS data'!$F$16:$ZZ$16,0)),"")</f>
        <v>9</v>
      </c>
      <c r="H46" s="31" t="str">
        <f>IFERROR(INDEX('WINBUGS data'!$F$17:$ZZ$65,MATCH($C46,'WINBUGS data'!$F$17:$F$65,0),MATCH("t[,"&amp;H$4 &amp;"]",'WINBUGS data'!$F$16:$ZZ$16,0)),"")</f>
        <v>NA</v>
      </c>
      <c r="I46" s="31" t="str">
        <f>IFERROR(INDEX('WINBUGS data'!$F$17:$ZZ$65,MATCH($C46,'WINBUGS data'!$F$17:$F$65,0),MATCH("t[,"&amp;I$4 &amp;"]",'WINBUGS data'!$F$16:$ZZ$16,0)),"")</f>
        <v>NA</v>
      </c>
      <c r="J46" s="31" t="str">
        <f>IFERROR(INDEX('WINBUGS data'!$F$17:$ZZ$65,MATCH($C46,'WINBUGS data'!$F$17:$F$65,0),MATCH("t[,"&amp;J$4 &amp;"]",'WINBUGS data'!$F$16:$ZZ$16,0)),"")</f>
        <v>NA</v>
      </c>
      <c r="K46" s="31" t="str">
        <f>IFERROR(INDEX('WINBUGS data'!$F$17:$ZZ$65,MATCH($C46,'WINBUGS data'!$F$17:$F$65,0),MATCH("t[,"&amp;K$4 &amp;"]",'WINBUGS data'!$F$16:$ZZ$16,0)),"")</f>
        <v>NA</v>
      </c>
      <c r="L46" s="31" t="str">
        <f>IFERROR(INDEX('WINBUGS data'!$F$17:$ZZ$65,MATCH($C46,'WINBUGS data'!$F$17:$F$65,0),MATCH("t[,"&amp;L$4 &amp;"]",'WINBUGS data'!$F$16:$ZZ$16,0)),"")</f>
        <v>NA</v>
      </c>
      <c r="M46" s="31" t="str">
        <f>IFERROR(INDEX('WINBUGS data'!$F$17:$ZZ$65,MATCH($C46,'WINBUGS data'!$F$17:$F$65,0),MATCH("t[,"&amp;M$4 &amp;"]",'WINBUGS data'!$F$16:$ZZ$16,0)),"")</f>
        <v>NA</v>
      </c>
      <c r="N46" s="31" t="str">
        <f>IFERROR(INDEX('WINBUGS data'!$F$17:$ZZ$65,MATCH($C46,'WINBUGS data'!$F$17:$F$65,0),MATCH("t[,"&amp;N$4 &amp;"]",'WINBUGS data'!$F$16:$ZZ$16,0)),"")</f>
        <v>NA</v>
      </c>
      <c r="O46" s="31" t="str">
        <f>IFERROR(INDEX('WINBUGS data'!$F$17:$ZZ$65,MATCH($C46,'WINBUGS data'!$F$17:$F$65,0),MATCH("t[,"&amp;O$4 &amp;"]",'WINBUGS data'!$F$16:$ZZ$16,0)),"")</f>
        <v>NA</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f>IF('WINBUGS data'!F59&lt;&gt;"",'WINBUGS data'!F59,"")</f>
        <v>43</v>
      </c>
      <c r="D47" s="31">
        <f>IFERROR(INDEX('WINBUGS data'!$F$17:$ZZ$65,MATCH(C47,'WINBUGS data'!$F$17:$F$65,0),MATCH("na[]",'WINBUGS data'!$F$16:$ZZ$16,0)),"")</f>
        <v>2</v>
      </c>
      <c r="E47" s="31" t="str">
        <f t="shared" si="0"/>
        <v>1,3</v>
      </c>
      <c r="F47" s="31">
        <f>IFERROR(INDEX('WINBUGS data'!$F$17:$ZZ$65,MATCH($C47,'WINBUGS data'!$F$17:$F$65,0),MATCH("t[,"&amp;F$4 &amp;"]",'WINBUGS data'!$F$16:$ZZ$16,0)),"")</f>
        <v>1</v>
      </c>
      <c r="G47" s="31">
        <f>IFERROR(INDEX('WINBUGS data'!$F$17:$ZZ$65,MATCH($C47,'WINBUGS data'!$F$17:$F$65,0),MATCH("t[,"&amp;G$4 &amp;"]",'WINBUGS data'!$F$16:$ZZ$16,0)),"")</f>
        <v>3</v>
      </c>
      <c r="H47" s="31" t="str">
        <f>IFERROR(INDEX('WINBUGS data'!$F$17:$ZZ$65,MATCH($C47,'WINBUGS data'!$F$17:$F$65,0),MATCH("t[,"&amp;H$4 &amp;"]",'WINBUGS data'!$F$16:$ZZ$16,0)),"")</f>
        <v>NA</v>
      </c>
      <c r="I47" s="31" t="str">
        <f>IFERROR(INDEX('WINBUGS data'!$F$17:$ZZ$65,MATCH($C47,'WINBUGS data'!$F$17:$F$65,0),MATCH("t[,"&amp;I$4 &amp;"]",'WINBUGS data'!$F$16:$ZZ$16,0)),"")</f>
        <v>NA</v>
      </c>
      <c r="J47" s="31" t="str">
        <f>IFERROR(INDEX('WINBUGS data'!$F$17:$ZZ$65,MATCH($C47,'WINBUGS data'!$F$17:$F$65,0),MATCH("t[,"&amp;J$4 &amp;"]",'WINBUGS data'!$F$16:$ZZ$16,0)),"")</f>
        <v>NA</v>
      </c>
      <c r="K47" s="31" t="str">
        <f>IFERROR(INDEX('WINBUGS data'!$F$17:$ZZ$65,MATCH($C47,'WINBUGS data'!$F$17:$F$65,0),MATCH("t[,"&amp;K$4 &amp;"]",'WINBUGS data'!$F$16:$ZZ$16,0)),"")</f>
        <v>NA</v>
      </c>
      <c r="L47" s="31" t="str">
        <f>IFERROR(INDEX('WINBUGS data'!$F$17:$ZZ$65,MATCH($C47,'WINBUGS data'!$F$17:$F$65,0),MATCH("t[,"&amp;L$4 &amp;"]",'WINBUGS data'!$F$16:$ZZ$16,0)),"")</f>
        <v>NA</v>
      </c>
      <c r="M47" s="31" t="str">
        <f>IFERROR(INDEX('WINBUGS data'!$F$17:$ZZ$65,MATCH($C47,'WINBUGS data'!$F$17:$F$65,0),MATCH("t[,"&amp;M$4 &amp;"]",'WINBUGS data'!$F$16:$ZZ$16,0)),"")</f>
        <v>NA</v>
      </c>
      <c r="N47" s="31" t="str">
        <f>IFERROR(INDEX('WINBUGS data'!$F$17:$ZZ$65,MATCH($C47,'WINBUGS data'!$F$17:$F$65,0),MATCH("t[,"&amp;N$4 &amp;"]",'WINBUGS data'!$F$16:$ZZ$16,0)),"")</f>
        <v>NA</v>
      </c>
      <c r="O47" s="31" t="str">
        <f>IFERROR(INDEX('WINBUGS data'!$F$17:$ZZ$65,MATCH($C47,'WINBUGS data'!$F$17:$F$65,0),MATCH("t[,"&amp;O$4 &amp;"]",'WINBUGS data'!$F$16:$ZZ$16,0)),"")</f>
        <v>NA</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f>IF('WINBUGS data'!F60&lt;&gt;"",'WINBUGS data'!F60,"")</f>
        <v>44</v>
      </c>
      <c r="D48" s="31">
        <f>IFERROR(INDEX('WINBUGS data'!$F$17:$ZZ$65,MATCH(C48,'WINBUGS data'!$F$17:$F$65,0),MATCH("na[]",'WINBUGS data'!$F$16:$ZZ$16,0)),"")</f>
        <v>2</v>
      </c>
      <c r="E48" s="31" t="str">
        <f t="shared" si="0"/>
        <v>1,2</v>
      </c>
      <c r="F48" s="31">
        <f>IFERROR(INDEX('WINBUGS data'!$F$17:$ZZ$65,MATCH($C48,'WINBUGS data'!$F$17:$F$65,0),MATCH("t[,"&amp;F$4 &amp;"]",'WINBUGS data'!$F$16:$ZZ$16,0)),"")</f>
        <v>1</v>
      </c>
      <c r="G48" s="31">
        <f>IFERROR(INDEX('WINBUGS data'!$F$17:$ZZ$65,MATCH($C48,'WINBUGS data'!$F$17:$F$65,0),MATCH("t[,"&amp;G$4 &amp;"]",'WINBUGS data'!$F$16:$ZZ$16,0)),"")</f>
        <v>2</v>
      </c>
      <c r="H48" s="31" t="str">
        <f>IFERROR(INDEX('WINBUGS data'!$F$17:$ZZ$65,MATCH($C48,'WINBUGS data'!$F$17:$F$65,0),MATCH("t[,"&amp;H$4 &amp;"]",'WINBUGS data'!$F$16:$ZZ$16,0)),"")</f>
        <v>NA</v>
      </c>
      <c r="I48" s="31" t="str">
        <f>IFERROR(INDEX('WINBUGS data'!$F$17:$ZZ$65,MATCH($C48,'WINBUGS data'!$F$17:$F$65,0),MATCH("t[,"&amp;I$4 &amp;"]",'WINBUGS data'!$F$16:$ZZ$16,0)),"")</f>
        <v>NA</v>
      </c>
      <c r="J48" s="31" t="str">
        <f>IFERROR(INDEX('WINBUGS data'!$F$17:$ZZ$65,MATCH($C48,'WINBUGS data'!$F$17:$F$65,0),MATCH("t[,"&amp;J$4 &amp;"]",'WINBUGS data'!$F$16:$ZZ$16,0)),"")</f>
        <v>NA</v>
      </c>
      <c r="K48" s="31" t="str">
        <f>IFERROR(INDEX('WINBUGS data'!$F$17:$ZZ$65,MATCH($C48,'WINBUGS data'!$F$17:$F$65,0),MATCH("t[,"&amp;K$4 &amp;"]",'WINBUGS data'!$F$16:$ZZ$16,0)),"")</f>
        <v>NA</v>
      </c>
      <c r="L48" s="31" t="str">
        <f>IFERROR(INDEX('WINBUGS data'!$F$17:$ZZ$65,MATCH($C48,'WINBUGS data'!$F$17:$F$65,0),MATCH("t[,"&amp;L$4 &amp;"]",'WINBUGS data'!$F$16:$ZZ$16,0)),"")</f>
        <v>NA</v>
      </c>
      <c r="M48" s="31" t="str">
        <f>IFERROR(INDEX('WINBUGS data'!$F$17:$ZZ$65,MATCH($C48,'WINBUGS data'!$F$17:$F$65,0),MATCH("t[,"&amp;M$4 &amp;"]",'WINBUGS data'!$F$16:$ZZ$16,0)),"")</f>
        <v>NA</v>
      </c>
      <c r="N48" s="31" t="str">
        <f>IFERROR(INDEX('WINBUGS data'!$F$17:$ZZ$65,MATCH($C48,'WINBUGS data'!$F$17:$F$65,0),MATCH("t[,"&amp;N$4 &amp;"]",'WINBUGS data'!$F$16:$ZZ$16,0)),"")</f>
        <v>NA</v>
      </c>
      <c r="O48" s="31" t="str">
        <f>IFERROR(INDEX('WINBUGS data'!$F$17:$ZZ$65,MATCH($C48,'WINBUGS data'!$F$17:$F$65,0),MATCH("t[,"&amp;O$4 &amp;"]",'WINBUGS data'!$F$16:$ZZ$16,0)),"")</f>
        <v>NA</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f>IF('WINBUGS data'!F61&lt;&gt;"",'WINBUGS data'!F61,"")</f>
        <v>45</v>
      </c>
      <c r="D49" s="31">
        <f>IFERROR(INDEX('WINBUGS data'!$F$17:$ZZ$65,MATCH(C49,'WINBUGS data'!$F$17:$F$65,0),MATCH("na[]",'WINBUGS data'!$F$16:$ZZ$16,0)),"")</f>
        <v>2</v>
      </c>
      <c r="E49" s="31" t="str">
        <f t="shared" si="0"/>
        <v>4,6</v>
      </c>
      <c r="F49" s="31">
        <f>IFERROR(INDEX('WINBUGS data'!$F$17:$ZZ$65,MATCH($C49,'WINBUGS data'!$F$17:$F$65,0),MATCH("t[,"&amp;F$4 &amp;"]",'WINBUGS data'!$F$16:$ZZ$16,0)),"")</f>
        <v>4</v>
      </c>
      <c r="G49" s="31">
        <f>IFERROR(INDEX('WINBUGS data'!$F$17:$ZZ$65,MATCH($C49,'WINBUGS data'!$F$17:$F$65,0),MATCH("t[,"&amp;G$4 &amp;"]",'WINBUGS data'!$F$16:$ZZ$16,0)),"")</f>
        <v>6</v>
      </c>
      <c r="H49" s="31" t="str">
        <f>IFERROR(INDEX('WINBUGS data'!$F$17:$ZZ$65,MATCH($C49,'WINBUGS data'!$F$17:$F$65,0),MATCH("t[,"&amp;H$4 &amp;"]",'WINBUGS data'!$F$16:$ZZ$16,0)),"")</f>
        <v>NA</v>
      </c>
      <c r="I49" s="31" t="str">
        <f>IFERROR(INDEX('WINBUGS data'!$F$17:$ZZ$65,MATCH($C49,'WINBUGS data'!$F$17:$F$65,0),MATCH("t[,"&amp;I$4 &amp;"]",'WINBUGS data'!$F$16:$ZZ$16,0)),"")</f>
        <v>NA</v>
      </c>
      <c r="J49" s="31" t="str">
        <f>IFERROR(INDEX('WINBUGS data'!$F$17:$ZZ$65,MATCH($C49,'WINBUGS data'!$F$17:$F$65,0),MATCH("t[,"&amp;J$4 &amp;"]",'WINBUGS data'!$F$16:$ZZ$16,0)),"")</f>
        <v>NA</v>
      </c>
      <c r="K49" s="31" t="str">
        <f>IFERROR(INDEX('WINBUGS data'!$F$17:$ZZ$65,MATCH($C49,'WINBUGS data'!$F$17:$F$65,0),MATCH("t[,"&amp;K$4 &amp;"]",'WINBUGS data'!$F$16:$ZZ$16,0)),"")</f>
        <v>NA</v>
      </c>
      <c r="L49" s="31" t="str">
        <f>IFERROR(INDEX('WINBUGS data'!$F$17:$ZZ$65,MATCH($C49,'WINBUGS data'!$F$17:$F$65,0),MATCH("t[,"&amp;L$4 &amp;"]",'WINBUGS data'!$F$16:$ZZ$16,0)),"")</f>
        <v>NA</v>
      </c>
      <c r="M49" s="31" t="str">
        <f>IFERROR(INDEX('WINBUGS data'!$F$17:$ZZ$65,MATCH($C49,'WINBUGS data'!$F$17:$F$65,0),MATCH("t[,"&amp;M$4 &amp;"]",'WINBUGS data'!$F$16:$ZZ$16,0)),"")</f>
        <v>NA</v>
      </c>
      <c r="N49" s="31" t="str">
        <f>IFERROR(INDEX('WINBUGS data'!$F$17:$ZZ$65,MATCH($C49,'WINBUGS data'!$F$17:$F$65,0),MATCH("t[,"&amp;N$4 &amp;"]",'WINBUGS data'!$F$16:$ZZ$16,0)),"")</f>
        <v>NA</v>
      </c>
      <c r="O49" s="31" t="str">
        <f>IFERROR(INDEX('WINBUGS data'!$F$17:$ZZ$65,MATCH($C49,'WINBUGS data'!$F$17:$F$65,0),MATCH("t[,"&amp;O$4 &amp;"]",'WINBUGS data'!$F$16:$ZZ$16,0)),"")</f>
        <v>NA</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f>IF('WINBUGS data'!F62&lt;&gt;"",'WINBUGS data'!F62,"")</f>
        <v>46</v>
      </c>
      <c r="D50" s="31">
        <f>IFERROR(INDEX('WINBUGS data'!$F$17:$ZZ$65,MATCH(C50,'WINBUGS data'!$F$17:$F$65,0),MATCH("na[]",'WINBUGS data'!$F$16:$ZZ$16,0)),"")</f>
        <v>2</v>
      </c>
      <c r="E50" s="31" t="str">
        <f t="shared" si="0"/>
        <v>3,4</v>
      </c>
      <c r="F50" s="31">
        <f>IFERROR(INDEX('WINBUGS data'!$F$17:$ZZ$65,MATCH($C50,'WINBUGS data'!$F$17:$F$65,0),MATCH("t[,"&amp;F$4 &amp;"]",'WINBUGS data'!$F$16:$ZZ$16,0)),"")</f>
        <v>3</v>
      </c>
      <c r="G50" s="31">
        <f>IFERROR(INDEX('WINBUGS data'!$F$17:$ZZ$65,MATCH($C50,'WINBUGS data'!$F$17:$F$65,0),MATCH("t[,"&amp;G$4 &amp;"]",'WINBUGS data'!$F$16:$ZZ$16,0)),"")</f>
        <v>4</v>
      </c>
      <c r="H50" s="31" t="str">
        <f>IFERROR(INDEX('WINBUGS data'!$F$17:$ZZ$65,MATCH($C50,'WINBUGS data'!$F$17:$F$65,0),MATCH("t[,"&amp;H$4 &amp;"]",'WINBUGS data'!$F$16:$ZZ$16,0)),"")</f>
        <v>NA</v>
      </c>
      <c r="I50" s="31" t="str">
        <f>IFERROR(INDEX('WINBUGS data'!$F$17:$ZZ$65,MATCH($C50,'WINBUGS data'!$F$17:$F$65,0),MATCH("t[,"&amp;I$4 &amp;"]",'WINBUGS data'!$F$16:$ZZ$16,0)),"")</f>
        <v>NA</v>
      </c>
      <c r="J50" s="31" t="str">
        <f>IFERROR(INDEX('WINBUGS data'!$F$17:$ZZ$65,MATCH($C50,'WINBUGS data'!$F$17:$F$65,0),MATCH("t[,"&amp;J$4 &amp;"]",'WINBUGS data'!$F$16:$ZZ$16,0)),"")</f>
        <v>NA</v>
      </c>
      <c r="K50" s="31" t="str">
        <f>IFERROR(INDEX('WINBUGS data'!$F$17:$ZZ$65,MATCH($C50,'WINBUGS data'!$F$17:$F$65,0),MATCH("t[,"&amp;K$4 &amp;"]",'WINBUGS data'!$F$16:$ZZ$16,0)),"")</f>
        <v>NA</v>
      </c>
      <c r="L50" s="31" t="str">
        <f>IFERROR(INDEX('WINBUGS data'!$F$17:$ZZ$65,MATCH($C50,'WINBUGS data'!$F$17:$F$65,0),MATCH("t[,"&amp;L$4 &amp;"]",'WINBUGS data'!$F$16:$ZZ$16,0)),"")</f>
        <v>NA</v>
      </c>
      <c r="M50" s="31" t="str">
        <f>IFERROR(INDEX('WINBUGS data'!$F$17:$ZZ$65,MATCH($C50,'WINBUGS data'!$F$17:$F$65,0),MATCH("t[,"&amp;M$4 &amp;"]",'WINBUGS data'!$F$16:$ZZ$16,0)),"")</f>
        <v>NA</v>
      </c>
      <c r="N50" s="31" t="str">
        <f>IFERROR(INDEX('WINBUGS data'!$F$17:$ZZ$65,MATCH($C50,'WINBUGS data'!$F$17:$F$65,0),MATCH("t[,"&amp;N$4 &amp;"]",'WINBUGS data'!$F$16:$ZZ$16,0)),"")</f>
        <v>NA</v>
      </c>
      <c r="O50" s="31" t="str">
        <f>IFERROR(INDEX('WINBUGS data'!$F$17:$ZZ$65,MATCH($C50,'WINBUGS data'!$F$17:$F$65,0),MATCH("t[,"&amp;O$4 &amp;"]",'WINBUGS data'!$F$16:$ZZ$16,0)),"")</f>
        <v>NA</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f>IF('WINBUGS data'!F63&lt;&gt;"",'WINBUGS data'!F63,"")</f>
        <v>47</v>
      </c>
      <c r="D51" s="31">
        <f>IFERROR(INDEX('WINBUGS data'!$F$17:$ZZ$65,MATCH(C51,'WINBUGS data'!$F$17:$F$65,0),MATCH("na[]",'WINBUGS data'!$F$16:$ZZ$16,0)),"")</f>
        <v>2</v>
      </c>
      <c r="E51" s="31" t="str">
        <f t="shared" si="0"/>
        <v>9,10</v>
      </c>
      <c r="F51" s="31">
        <f>IFERROR(INDEX('WINBUGS data'!$F$17:$ZZ$65,MATCH($C51,'WINBUGS data'!$F$17:$F$65,0),MATCH("t[,"&amp;F$4 &amp;"]",'WINBUGS data'!$F$16:$ZZ$16,0)),"")</f>
        <v>9</v>
      </c>
      <c r="G51" s="31">
        <f>IFERROR(INDEX('WINBUGS data'!$F$17:$ZZ$65,MATCH($C51,'WINBUGS data'!$F$17:$F$65,0),MATCH("t[,"&amp;G$4 &amp;"]",'WINBUGS data'!$F$16:$ZZ$16,0)),"")</f>
        <v>10</v>
      </c>
      <c r="H51" s="31" t="str">
        <f>IFERROR(INDEX('WINBUGS data'!$F$17:$ZZ$65,MATCH($C51,'WINBUGS data'!$F$17:$F$65,0),MATCH("t[,"&amp;H$4 &amp;"]",'WINBUGS data'!$F$16:$ZZ$16,0)),"")</f>
        <v>NA</v>
      </c>
      <c r="I51" s="31" t="str">
        <f>IFERROR(INDEX('WINBUGS data'!$F$17:$ZZ$65,MATCH($C51,'WINBUGS data'!$F$17:$F$65,0),MATCH("t[,"&amp;I$4 &amp;"]",'WINBUGS data'!$F$16:$ZZ$16,0)),"")</f>
        <v>NA</v>
      </c>
      <c r="J51" s="31" t="str">
        <f>IFERROR(INDEX('WINBUGS data'!$F$17:$ZZ$65,MATCH($C51,'WINBUGS data'!$F$17:$F$65,0),MATCH("t[,"&amp;J$4 &amp;"]",'WINBUGS data'!$F$16:$ZZ$16,0)),"")</f>
        <v>NA</v>
      </c>
      <c r="K51" s="31" t="str">
        <f>IFERROR(INDEX('WINBUGS data'!$F$17:$ZZ$65,MATCH($C51,'WINBUGS data'!$F$17:$F$65,0),MATCH("t[,"&amp;K$4 &amp;"]",'WINBUGS data'!$F$16:$ZZ$16,0)),"")</f>
        <v>NA</v>
      </c>
      <c r="L51" s="31" t="str">
        <f>IFERROR(INDEX('WINBUGS data'!$F$17:$ZZ$65,MATCH($C51,'WINBUGS data'!$F$17:$F$65,0),MATCH("t[,"&amp;L$4 &amp;"]",'WINBUGS data'!$F$16:$ZZ$16,0)),"")</f>
        <v>NA</v>
      </c>
      <c r="M51" s="31" t="str">
        <f>IFERROR(INDEX('WINBUGS data'!$F$17:$ZZ$65,MATCH($C51,'WINBUGS data'!$F$17:$F$65,0),MATCH("t[,"&amp;M$4 &amp;"]",'WINBUGS data'!$F$16:$ZZ$16,0)),"")</f>
        <v>NA</v>
      </c>
      <c r="N51" s="31" t="str">
        <f>IFERROR(INDEX('WINBUGS data'!$F$17:$ZZ$65,MATCH($C51,'WINBUGS data'!$F$17:$F$65,0),MATCH("t[,"&amp;N$4 &amp;"]",'WINBUGS data'!$F$16:$ZZ$16,0)),"")</f>
        <v>NA</v>
      </c>
      <c r="O51" s="31" t="str">
        <f>IFERROR(INDEX('WINBUGS data'!$F$17:$ZZ$65,MATCH($C51,'WINBUGS data'!$F$17:$F$65,0),MATCH("t[,"&amp;O$4 &amp;"]",'WINBUGS data'!$F$16:$ZZ$16,0)),"")</f>
        <v>NA</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f>IF('WINBUGS data'!F62&lt;&gt;"",'WINBUGS data'!F62,"")</f>
        <v>46</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f>IF('WINBUGS data'!F63&lt;&gt;"",'WINBUGS data'!F63,"")</f>
        <v>47</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L64"/>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8" ht="87" customHeight="1" thickBot="1" x14ac:dyDescent="0.3">
      <c r="J1" s="22" t="s">
        <v>121</v>
      </c>
    </row>
    <row r="2" spans="2:38" ht="19.5" thickBot="1" x14ac:dyDescent="0.35">
      <c r="B2" s="256" t="s">
        <v>13</v>
      </c>
      <c r="C2" s="257"/>
      <c r="H2" s="9" t="s">
        <v>263</v>
      </c>
      <c r="I2" s="10"/>
      <c r="J2" s="10"/>
      <c r="K2" s="10"/>
      <c r="L2" s="10"/>
      <c r="M2" s="10"/>
      <c r="N2" s="10"/>
      <c r="O2" s="10"/>
      <c r="P2" s="10"/>
      <c r="Q2" s="10"/>
      <c r="R2" s="10"/>
      <c r="S2" s="10"/>
      <c r="T2" s="10"/>
    </row>
    <row r="3" spans="2:38" ht="15.75" thickBot="1" x14ac:dyDescent="0.3">
      <c r="B3" s="4" t="s">
        <v>8</v>
      </c>
      <c r="C3" s="3" t="s">
        <v>7</v>
      </c>
      <c r="H3" t="s">
        <v>402</v>
      </c>
    </row>
    <row r="4" spans="2:38" x14ac:dyDescent="0.25">
      <c r="B4" s="5" t="str">
        <f>IF('DATA Input'!E5="","",'DATA Input'!E5)</f>
        <v>INDOIV</v>
      </c>
      <c r="C4" s="1">
        <f>IF(B4="","",1)</f>
        <v>1</v>
      </c>
      <c r="H4" t="s">
        <v>403</v>
      </c>
    </row>
    <row r="5" spans="2:38" x14ac:dyDescent="0.25">
      <c r="B5" s="5" t="str">
        <f>IF('DATA Input'!G5="","",'DATA Input'!G5)</f>
        <v>IBUIV</v>
      </c>
      <c r="C5" s="1">
        <f>IF(B5="","",C4+1)</f>
        <v>2</v>
      </c>
      <c r="H5" t="s">
        <v>404</v>
      </c>
    </row>
    <row r="6" spans="2:38" ht="15.75" x14ac:dyDescent="0.25">
      <c r="B6" s="5" t="str">
        <f>IF('DATA Input'!I5="","",'DATA Input'!I5)</f>
        <v>IBUPO</v>
      </c>
      <c r="C6" s="1">
        <f t="shared" ref="C6:C18" si="0">IF(B6="","",C5+1)</f>
        <v>3</v>
      </c>
      <c r="H6" s="9" t="s">
        <v>264</v>
      </c>
      <c r="I6" s="10"/>
      <c r="J6" s="10"/>
      <c r="K6" s="10"/>
      <c r="L6" s="10"/>
      <c r="M6" s="10"/>
      <c r="N6" s="10"/>
      <c r="O6" s="10"/>
      <c r="P6" s="10"/>
      <c r="Q6" s="10"/>
      <c r="R6" s="10"/>
      <c r="S6" s="10"/>
      <c r="T6" s="10"/>
    </row>
    <row r="7" spans="2:38" x14ac:dyDescent="0.25">
      <c r="B7" s="5" t="str">
        <f>IF('DATA Input'!K$5="","",'DATA Input'!K$5)</f>
        <v>PARAPO</v>
      </c>
      <c r="C7" s="1">
        <f t="shared" si="0"/>
        <v>4</v>
      </c>
      <c r="H7" t="s">
        <v>405</v>
      </c>
    </row>
    <row r="8" spans="2:38" x14ac:dyDescent="0.25">
      <c r="B8" s="5" t="str">
        <f>IF('DATA Input'!M$5="","",'DATA Input'!M$5)</f>
        <v>IBUIVHIGHDOSE</v>
      </c>
      <c r="C8" s="1">
        <f t="shared" si="0"/>
        <v>5</v>
      </c>
      <c r="H8" t="s">
        <v>406</v>
      </c>
    </row>
    <row r="9" spans="2:38" x14ac:dyDescent="0.25">
      <c r="B9" s="5" t="str">
        <f>IF('DATA Input'!O$5="","",'DATA Input'!O$5)</f>
        <v>IBUPOHIGHDOSE</v>
      </c>
      <c r="C9" s="1">
        <f t="shared" si="0"/>
        <v>6</v>
      </c>
      <c r="H9" t="s">
        <v>407</v>
      </c>
    </row>
    <row r="10" spans="2:38" ht="15.75" x14ac:dyDescent="0.25">
      <c r="B10" s="5" t="str">
        <f>IF('DATA Input'!Q$5="","",'DATA Input'!Q$5)</f>
        <v>IBUIVCONT</v>
      </c>
      <c r="C10" s="1">
        <f t="shared" si="0"/>
        <v>7</v>
      </c>
      <c r="H10" s="9" t="s">
        <v>265</v>
      </c>
      <c r="I10" s="10"/>
      <c r="J10" s="10"/>
      <c r="K10" s="10"/>
      <c r="L10" s="10"/>
      <c r="M10" s="10"/>
      <c r="N10" s="10"/>
      <c r="O10" s="10"/>
      <c r="P10" s="10"/>
      <c r="Q10" s="10"/>
      <c r="R10" s="10"/>
      <c r="S10" s="10"/>
      <c r="T10" s="10"/>
    </row>
    <row r="11" spans="2:38" x14ac:dyDescent="0.25">
      <c r="B11" s="5" t="str">
        <f>IF('DATA Input'!S$5="","",'DATA Input'!S$5)</f>
        <v>INDOIVCONT</v>
      </c>
      <c r="C11" s="1">
        <f t="shared" si="0"/>
        <v>8</v>
      </c>
      <c r="H11" t="s">
        <v>408</v>
      </c>
    </row>
    <row r="12" spans="2:38" x14ac:dyDescent="0.25">
      <c r="B12" s="5" t="str">
        <f>IF('DATA Input'!U$5="","",'DATA Input'!U$5)</f>
        <v>INDOTHERS</v>
      </c>
      <c r="C12" s="1">
        <f t="shared" si="0"/>
        <v>9</v>
      </c>
      <c r="F12" s="172" t="s">
        <v>268</v>
      </c>
      <c r="G12" s="146"/>
      <c r="H12" s="54" t="s">
        <v>409</v>
      </c>
      <c r="I12" s="19"/>
      <c r="J12" s="19"/>
      <c r="K12" s="19"/>
      <c r="L12" s="19"/>
      <c r="M12" s="19"/>
      <c r="N12" s="19"/>
      <c r="O12" s="19"/>
      <c r="P12" s="19"/>
      <c r="Q12" s="19"/>
      <c r="R12" s="19"/>
      <c r="S12" s="19"/>
      <c r="T12" s="19"/>
      <c r="U12" s="19"/>
      <c r="V12" s="19"/>
      <c r="W12" s="19"/>
      <c r="X12" s="19"/>
    </row>
    <row r="13" spans="2:38" x14ac:dyDescent="0.25">
      <c r="B13" s="5" t="str">
        <f>IF('DATA Input'!W$5="","",'DATA Input'!W$5)</f>
        <v>PLAC_NORX</v>
      </c>
      <c r="C13" s="1">
        <f t="shared" si="0"/>
        <v>10</v>
      </c>
      <c r="F13" s="8"/>
      <c r="G13" s="16"/>
      <c r="H13" s="54" t="s">
        <v>410</v>
      </c>
      <c r="I13" s="19"/>
      <c r="J13" s="19"/>
      <c r="K13" s="19"/>
      <c r="L13" s="19"/>
      <c r="M13" s="19"/>
      <c r="N13" s="19"/>
      <c r="O13" s="19"/>
      <c r="P13" s="19"/>
      <c r="Q13" s="19"/>
      <c r="R13" s="19"/>
      <c r="S13" s="19"/>
      <c r="T13" s="19"/>
      <c r="U13" s="19"/>
      <c r="V13" s="19"/>
      <c r="W13" s="19"/>
      <c r="X13" s="19"/>
    </row>
    <row r="14" spans="2:38" x14ac:dyDescent="0.25">
      <c r="B14" s="5" t="str">
        <f>IF('DATA Input'!Y$5="","",'DATA Input'!Y$5)</f>
        <v/>
      </c>
      <c r="C14" s="1" t="str">
        <f t="shared" si="0"/>
        <v/>
      </c>
      <c r="F14" s="8"/>
      <c r="G14" s="16"/>
      <c r="H14" s="147" t="s">
        <v>128</v>
      </c>
      <c r="I14" s="147"/>
      <c r="J14" s="147"/>
      <c r="K14" s="147"/>
      <c r="L14" s="147"/>
      <c r="M14" s="147"/>
      <c r="N14" s="147"/>
      <c r="O14" s="147"/>
      <c r="P14" s="147"/>
      <c r="Q14" s="147"/>
      <c r="R14" s="147"/>
      <c r="S14" s="147"/>
      <c r="T14" s="147"/>
      <c r="U14" s="147"/>
      <c r="V14" s="147"/>
      <c r="W14" s="147"/>
      <c r="X14" s="19"/>
    </row>
    <row r="15" spans="2:38" x14ac:dyDescent="0.25">
      <c r="B15" s="5" t="str">
        <f>IF('DATA Input'!AA$5="","",'DATA Input'!AA$5)</f>
        <v/>
      </c>
      <c r="C15" s="1" t="str">
        <f t="shared" si="0"/>
        <v/>
      </c>
      <c r="F15" s="8"/>
      <c r="G15" s="16"/>
      <c r="H15" s="148" t="s">
        <v>385</v>
      </c>
      <c r="I15" s="19"/>
      <c r="J15" s="19"/>
      <c r="K15" s="19"/>
      <c r="L15" s="19"/>
      <c r="M15" s="19"/>
      <c r="N15" s="19"/>
      <c r="O15" s="19"/>
      <c r="P15" s="19"/>
      <c r="Q15" s="19"/>
      <c r="R15" s="19"/>
      <c r="S15" s="19"/>
      <c r="T15" s="19"/>
      <c r="U15" s="19"/>
      <c r="V15" s="19"/>
      <c r="W15" s="19"/>
      <c r="X15" s="19"/>
    </row>
    <row r="16" spans="2:38" x14ac:dyDescent="0.25">
      <c r="B16" s="5" t="str">
        <f>IF('DATA Input'!AC$5="","",'DATA Input'!AC$5)</f>
        <v/>
      </c>
      <c r="C16" s="1" t="str">
        <f t="shared" si="0"/>
        <v/>
      </c>
      <c r="F16" s="220" t="s">
        <v>266</v>
      </c>
      <c r="G16" s="220" t="s">
        <v>10</v>
      </c>
      <c r="H16" s="16" t="s">
        <v>0</v>
      </c>
      <c r="I16" s="16" t="s">
        <v>1</v>
      </c>
      <c r="J16" s="16" t="s">
        <v>2</v>
      </c>
      <c r="K16" s="16" t="s">
        <v>3</v>
      </c>
      <c r="L16" s="16" t="s">
        <v>42</v>
      </c>
      <c r="M16" s="16" t="s">
        <v>43</v>
      </c>
      <c r="N16" s="16" t="s">
        <v>44</v>
      </c>
      <c r="O16" s="16" t="s">
        <v>45</v>
      </c>
      <c r="P16" s="16" t="s">
        <v>251</v>
      </c>
      <c r="Q16" s="16" t="s">
        <v>252</v>
      </c>
      <c r="R16" s="16" t="s">
        <v>361</v>
      </c>
      <c r="S16" s="16" t="s">
        <v>362</v>
      </c>
      <c r="T16" s="16" t="s">
        <v>363</v>
      </c>
      <c r="U16" s="16" t="s">
        <v>364</v>
      </c>
      <c r="V16" s="16" t="s">
        <v>365</v>
      </c>
      <c r="W16" s="16" t="s">
        <v>366</v>
      </c>
      <c r="X16" s="19" t="s">
        <v>367</v>
      </c>
      <c r="Y16" t="s">
        <v>368</v>
      </c>
      <c r="Z16" t="s">
        <v>369</v>
      </c>
      <c r="AA16" t="s">
        <v>370</v>
      </c>
      <c r="AB16" t="s">
        <v>4</v>
      </c>
      <c r="AC16" t="s">
        <v>5</v>
      </c>
      <c r="AD16" t="s">
        <v>46</v>
      </c>
      <c r="AE16" t="s">
        <v>47</v>
      </c>
      <c r="AF16" t="s">
        <v>253</v>
      </c>
      <c r="AG16" t="s">
        <v>371</v>
      </c>
      <c r="AH16" t="s">
        <v>372</v>
      </c>
      <c r="AI16" t="s">
        <v>373</v>
      </c>
      <c r="AJ16" t="s">
        <v>374</v>
      </c>
      <c r="AK16" t="s">
        <v>375</v>
      </c>
      <c r="AL16" t="s">
        <v>6</v>
      </c>
    </row>
    <row r="17" spans="2:38" x14ac:dyDescent="0.25">
      <c r="B17" s="5" t="str">
        <f>IF('DATA Input'!AE$5="","",'DATA Input'!AE$5)</f>
        <v/>
      </c>
      <c r="C17" s="1" t="str">
        <f t="shared" si="0"/>
        <v/>
      </c>
      <c r="F17" s="16">
        <v>1</v>
      </c>
      <c r="G17" s="104">
        <v>1</v>
      </c>
      <c r="H17" s="144">
        <v>7</v>
      </c>
      <c r="I17" s="144">
        <v>9</v>
      </c>
      <c r="J17" s="144">
        <v>10</v>
      </c>
      <c r="K17" s="144">
        <v>12</v>
      </c>
      <c r="L17" s="144" t="s">
        <v>376</v>
      </c>
      <c r="M17" s="144">
        <v>1</v>
      </c>
      <c r="N17" s="19" t="s">
        <v>376</v>
      </c>
      <c r="O17" s="19">
        <v>1</v>
      </c>
      <c r="P17" s="19" t="s">
        <v>376</v>
      </c>
      <c r="Q17" s="19">
        <v>1</v>
      </c>
      <c r="R17" s="19" t="s">
        <v>376</v>
      </c>
      <c r="S17" s="19">
        <v>1</v>
      </c>
      <c r="T17" s="19" t="s">
        <v>376</v>
      </c>
      <c r="U17" s="19">
        <v>1</v>
      </c>
      <c r="V17" s="19" t="s">
        <v>376</v>
      </c>
      <c r="W17" s="19">
        <v>1</v>
      </c>
      <c r="X17" s="19" t="s">
        <v>376</v>
      </c>
      <c r="Y17">
        <v>1</v>
      </c>
      <c r="Z17" t="s">
        <v>376</v>
      </c>
      <c r="AA17">
        <v>1</v>
      </c>
      <c r="AB17">
        <v>1</v>
      </c>
      <c r="AC17">
        <v>3</v>
      </c>
      <c r="AD17" t="s">
        <v>376</v>
      </c>
      <c r="AE17" t="s">
        <v>376</v>
      </c>
      <c r="AF17" t="s">
        <v>376</v>
      </c>
      <c r="AG17" t="s">
        <v>376</v>
      </c>
      <c r="AH17" t="s">
        <v>376</v>
      </c>
      <c r="AI17" t="s">
        <v>376</v>
      </c>
      <c r="AJ17" t="s">
        <v>376</v>
      </c>
      <c r="AK17" t="s">
        <v>376</v>
      </c>
      <c r="AL17">
        <v>2</v>
      </c>
    </row>
    <row r="18" spans="2:38" ht="15.75" thickBot="1" x14ac:dyDescent="0.3">
      <c r="B18" s="6" t="str">
        <f>IF('DATA Input'!AG$5="","",'DATA Input'!AG$5)</f>
        <v/>
      </c>
      <c r="C18" s="2" t="str">
        <f t="shared" si="0"/>
        <v/>
      </c>
      <c r="F18" s="16">
        <v>2</v>
      </c>
      <c r="G18" s="104">
        <v>2</v>
      </c>
      <c r="H18" s="19">
        <v>47</v>
      </c>
      <c r="I18" s="19">
        <v>68</v>
      </c>
      <c r="J18" s="19">
        <v>32</v>
      </c>
      <c r="K18" s="19">
        <v>68</v>
      </c>
      <c r="L18" s="19" t="s">
        <v>376</v>
      </c>
      <c r="M18" s="19">
        <v>1</v>
      </c>
      <c r="N18" s="19" t="s">
        <v>376</v>
      </c>
      <c r="O18" s="19">
        <v>1</v>
      </c>
      <c r="P18" s="19" t="s">
        <v>376</v>
      </c>
      <c r="Q18" s="19">
        <v>1</v>
      </c>
      <c r="R18" s="19" t="s">
        <v>376</v>
      </c>
      <c r="S18" s="19">
        <v>1</v>
      </c>
      <c r="T18" s="19" t="s">
        <v>376</v>
      </c>
      <c r="U18" s="19">
        <v>1</v>
      </c>
      <c r="V18" s="19" t="s">
        <v>376</v>
      </c>
      <c r="W18" s="19">
        <v>1</v>
      </c>
      <c r="X18" s="19" t="s">
        <v>376</v>
      </c>
      <c r="Y18">
        <v>1</v>
      </c>
      <c r="Z18" t="s">
        <v>376</v>
      </c>
      <c r="AA18">
        <v>1</v>
      </c>
      <c r="AB18">
        <v>2</v>
      </c>
      <c r="AC18">
        <v>10</v>
      </c>
      <c r="AD18" t="s">
        <v>376</v>
      </c>
      <c r="AE18" t="s">
        <v>376</v>
      </c>
      <c r="AF18" t="s">
        <v>376</v>
      </c>
      <c r="AG18" t="s">
        <v>376</v>
      </c>
      <c r="AH18" t="s">
        <v>376</v>
      </c>
      <c r="AI18" t="s">
        <v>376</v>
      </c>
      <c r="AJ18" t="s">
        <v>376</v>
      </c>
      <c r="AK18" t="s">
        <v>376</v>
      </c>
      <c r="AL18">
        <v>2</v>
      </c>
    </row>
    <row r="19" spans="2:38" x14ac:dyDescent="0.25">
      <c r="F19" s="16">
        <v>3</v>
      </c>
      <c r="G19" s="104" t="s">
        <v>383</v>
      </c>
      <c r="H19" s="19">
        <v>285</v>
      </c>
      <c r="I19" s="19">
        <v>399</v>
      </c>
      <c r="J19" s="19">
        <v>270</v>
      </c>
      <c r="K19" s="19">
        <v>403</v>
      </c>
      <c r="L19" s="19" t="s">
        <v>376</v>
      </c>
      <c r="M19" s="19">
        <v>1</v>
      </c>
      <c r="N19" s="19" t="s">
        <v>376</v>
      </c>
      <c r="O19" s="19">
        <v>1</v>
      </c>
      <c r="P19" s="19" t="s">
        <v>376</v>
      </c>
      <c r="Q19" s="19">
        <v>1</v>
      </c>
      <c r="R19" s="19" t="s">
        <v>376</v>
      </c>
      <c r="S19" s="19">
        <v>1</v>
      </c>
      <c r="T19" s="19" t="s">
        <v>376</v>
      </c>
      <c r="U19" s="19">
        <v>1</v>
      </c>
      <c r="V19" s="19" t="s">
        <v>376</v>
      </c>
      <c r="W19" s="19">
        <v>1</v>
      </c>
      <c r="X19" s="19" t="s">
        <v>376</v>
      </c>
      <c r="Y19">
        <v>1</v>
      </c>
      <c r="Z19" t="s">
        <v>376</v>
      </c>
      <c r="AA19">
        <v>1</v>
      </c>
      <c r="AB19">
        <v>1</v>
      </c>
      <c r="AC19">
        <v>9</v>
      </c>
      <c r="AD19" t="s">
        <v>376</v>
      </c>
      <c r="AE19" t="s">
        <v>376</v>
      </c>
      <c r="AF19" t="s">
        <v>376</v>
      </c>
      <c r="AG19" t="s">
        <v>376</v>
      </c>
      <c r="AH19" t="s">
        <v>376</v>
      </c>
      <c r="AI19" t="s">
        <v>376</v>
      </c>
      <c r="AJ19" t="s">
        <v>376</v>
      </c>
      <c r="AK19" t="s">
        <v>376</v>
      </c>
      <c r="AL19">
        <v>2</v>
      </c>
    </row>
    <row r="20" spans="2:38" x14ac:dyDescent="0.25">
      <c r="F20" s="16">
        <v>4</v>
      </c>
      <c r="G20" s="104">
        <v>4</v>
      </c>
      <c r="H20" s="19">
        <v>35</v>
      </c>
      <c r="I20" s="19">
        <v>37</v>
      </c>
      <c r="J20" s="19">
        <v>35</v>
      </c>
      <c r="K20" s="19">
        <v>36</v>
      </c>
      <c r="L20" s="19" t="s">
        <v>376</v>
      </c>
      <c r="M20" s="19">
        <v>1</v>
      </c>
      <c r="N20" s="19" t="s">
        <v>376</v>
      </c>
      <c r="O20" s="19">
        <v>1</v>
      </c>
      <c r="P20" s="19" t="s">
        <v>376</v>
      </c>
      <c r="Q20" s="19">
        <v>1</v>
      </c>
      <c r="R20" s="19" t="s">
        <v>376</v>
      </c>
      <c r="S20" s="19">
        <v>1</v>
      </c>
      <c r="T20" s="19" t="s">
        <v>376</v>
      </c>
      <c r="U20" s="19">
        <v>1</v>
      </c>
      <c r="V20" s="19" t="s">
        <v>376</v>
      </c>
      <c r="W20" s="19">
        <v>1</v>
      </c>
      <c r="X20" s="19" t="s">
        <v>376</v>
      </c>
      <c r="Y20">
        <v>1</v>
      </c>
      <c r="Z20" t="s">
        <v>376</v>
      </c>
      <c r="AA20">
        <v>1</v>
      </c>
      <c r="AB20">
        <v>1</v>
      </c>
      <c r="AC20">
        <v>4</v>
      </c>
      <c r="AD20" t="s">
        <v>376</v>
      </c>
      <c r="AE20" t="s">
        <v>376</v>
      </c>
      <c r="AF20" t="s">
        <v>376</v>
      </c>
      <c r="AG20" t="s">
        <v>376</v>
      </c>
      <c r="AH20" t="s">
        <v>376</v>
      </c>
      <c r="AI20" t="s">
        <v>376</v>
      </c>
      <c r="AJ20" t="s">
        <v>376</v>
      </c>
      <c r="AK20" t="s">
        <v>376</v>
      </c>
      <c r="AL20">
        <v>2</v>
      </c>
    </row>
    <row r="21" spans="2:38" x14ac:dyDescent="0.25">
      <c r="F21" s="16">
        <v>5</v>
      </c>
      <c r="G21" s="104">
        <v>5</v>
      </c>
      <c r="H21" s="19">
        <v>34</v>
      </c>
      <c r="I21" s="19">
        <v>35</v>
      </c>
      <c r="J21" s="19">
        <v>29</v>
      </c>
      <c r="K21" s="19">
        <v>37</v>
      </c>
      <c r="L21" s="19" t="s">
        <v>376</v>
      </c>
      <c r="M21" s="19">
        <v>1</v>
      </c>
      <c r="N21" s="19" t="s">
        <v>376</v>
      </c>
      <c r="O21" s="19">
        <v>1</v>
      </c>
      <c r="P21" s="19" t="s">
        <v>376</v>
      </c>
      <c r="Q21" s="19">
        <v>1</v>
      </c>
      <c r="R21" s="19" t="s">
        <v>376</v>
      </c>
      <c r="S21" s="19">
        <v>1</v>
      </c>
      <c r="T21" s="19" t="s">
        <v>376</v>
      </c>
      <c r="U21" s="19">
        <v>1</v>
      </c>
      <c r="V21" s="19" t="s">
        <v>376</v>
      </c>
      <c r="W21" s="19">
        <v>1</v>
      </c>
      <c r="X21" s="19" t="s">
        <v>376</v>
      </c>
      <c r="Y21">
        <v>1</v>
      </c>
      <c r="Z21" t="s">
        <v>376</v>
      </c>
      <c r="AA21">
        <v>1</v>
      </c>
      <c r="AB21">
        <v>3</v>
      </c>
      <c r="AC21">
        <v>10</v>
      </c>
      <c r="AD21" t="s">
        <v>376</v>
      </c>
      <c r="AE21" t="s">
        <v>376</v>
      </c>
      <c r="AF21" t="s">
        <v>376</v>
      </c>
      <c r="AG21" t="s">
        <v>376</v>
      </c>
      <c r="AH21" t="s">
        <v>376</v>
      </c>
      <c r="AI21" t="s">
        <v>376</v>
      </c>
      <c r="AJ21" t="s">
        <v>376</v>
      </c>
      <c r="AK21" t="s">
        <v>376</v>
      </c>
      <c r="AL21">
        <v>2</v>
      </c>
    </row>
    <row r="22" spans="2:38" x14ac:dyDescent="0.25">
      <c r="F22" s="16">
        <v>6</v>
      </c>
      <c r="G22" s="104">
        <v>7</v>
      </c>
      <c r="H22" s="19">
        <v>38</v>
      </c>
      <c r="I22" s="19">
        <v>80</v>
      </c>
      <c r="J22" s="19">
        <v>45</v>
      </c>
      <c r="K22" s="19">
        <v>80</v>
      </c>
      <c r="L22" s="19" t="s">
        <v>376</v>
      </c>
      <c r="M22" s="19">
        <v>1</v>
      </c>
      <c r="N22" s="19" t="s">
        <v>376</v>
      </c>
      <c r="O22" s="19">
        <v>1</v>
      </c>
      <c r="P22" s="19" t="s">
        <v>376</v>
      </c>
      <c r="Q22" s="19">
        <v>1</v>
      </c>
      <c r="R22" s="19" t="s">
        <v>376</v>
      </c>
      <c r="S22" s="19">
        <v>1</v>
      </c>
      <c r="T22" s="19" t="s">
        <v>376</v>
      </c>
      <c r="U22" s="19">
        <v>1</v>
      </c>
      <c r="V22" s="19" t="s">
        <v>376</v>
      </c>
      <c r="W22" s="19">
        <v>1</v>
      </c>
      <c r="X22" s="19" t="s">
        <v>376</v>
      </c>
      <c r="Y22">
        <v>1</v>
      </c>
      <c r="Z22" t="s">
        <v>376</v>
      </c>
      <c r="AA22">
        <v>1</v>
      </c>
      <c r="AB22">
        <v>3</v>
      </c>
      <c r="AC22">
        <v>4</v>
      </c>
      <c r="AD22" t="s">
        <v>376</v>
      </c>
      <c r="AE22" t="s">
        <v>376</v>
      </c>
      <c r="AF22" t="s">
        <v>376</v>
      </c>
      <c r="AG22" t="s">
        <v>376</v>
      </c>
      <c r="AH22" t="s">
        <v>376</v>
      </c>
      <c r="AI22" t="s">
        <v>376</v>
      </c>
      <c r="AJ22" t="s">
        <v>376</v>
      </c>
      <c r="AK22" t="s">
        <v>376</v>
      </c>
      <c r="AL22">
        <v>2</v>
      </c>
    </row>
    <row r="23" spans="2:38" x14ac:dyDescent="0.25">
      <c r="F23" s="16">
        <v>7</v>
      </c>
      <c r="G23" s="104">
        <v>8</v>
      </c>
      <c r="H23" s="19">
        <v>21</v>
      </c>
      <c r="I23" s="19">
        <v>34</v>
      </c>
      <c r="J23" s="19">
        <v>30</v>
      </c>
      <c r="K23" s="19">
        <v>36</v>
      </c>
      <c r="L23" s="19" t="s">
        <v>376</v>
      </c>
      <c r="M23" s="19">
        <v>1</v>
      </c>
      <c r="N23" s="19" t="s">
        <v>376</v>
      </c>
      <c r="O23" s="19">
        <v>1</v>
      </c>
      <c r="P23" s="19" t="s">
        <v>376</v>
      </c>
      <c r="Q23" s="19">
        <v>1</v>
      </c>
      <c r="R23" s="19" t="s">
        <v>376</v>
      </c>
      <c r="S23" s="19">
        <v>1</v>
      </c>
      <c r="T23" s="19" t="s">
        <v>376</v>
      </c>
      <c r="U23" s="19">
        <v>1</v>
      </c>
      <c r="V23" s="19" t="s">
        <v>376</v>
      </c>
      <c r="W23" s="19">
        <v>1</v>
      </c>
      <c r="X23" s="19" t="s">
        <v>376</v>
      </c>
      <c r="Y23">
        <v>1</v>
      </c>
      <c r="Z23" t="s">
        <v>376</v>
      </c>
      <c r="AA23">
        <v>1</v>
      </c>
      <c r="AB23">
        <v>2</v>
      </c>
      <c r="AC23">
        <v>3</v>
      </c>
      <c r="AD23" t="s">
        <v>376</v>
      </c>
      <c r="AE23" t="s">
        <v>376</v>
      </c>
      <c r="AF23" t="s">
        <v>376</v>
      </c>
      <c r="AG23" t="s">
        <v>376</v>
      </c>
      <c r="AH23" t="s">
        <v>376</v>
      </c>
      <c r="AI23" t="s">
        <v>376</v>
      </c>
      <c r="AJ23" t="s">
        <v>376</v>
      </c>
      <c r="AK23" t="s">
        <v>376</v>
      </c>
      <c r="AL23">
        <v>2</v>
      </c>
    </row>
    <row r="24" spans="2:38" x14ac:dyDescent="0.25">
      <c r="F24" s="16">
        <v>8</v>
      </c>
      <c r="G24" s="104">
        <v>9</v>
      </c>
      <c r="H24" s="19">
        <v>31</v>
      </c>
      <c r="I24" s="19">
        <v>50</v>
      </c>
      <c r="J24" s="19">
        <v>46</v>
      </c>
      <c r="K24" s="19">
        <v>52</v>
      </c>
      <c r="L24" s="19" t="s">
        <v>376</v>
      </c>
      <c r="M24" s="19">
        <v>1</v>
      </c>
      <c r="N24" s="19" t="s">
        <v>376</v>
      </c>
      <c r="O24" s="19">
        <v>1</v>
      </c>
      <c r="P24" s="19" t="s">
        <v>376</v>
      </c>
      <c r="Q24" s="19">
        <v>1</v>
      </c>
      <c r="R24" s="19" t="s">
        <v>376</v>
      </c>
      <c r="S24" s="19">
        <v>1</v>
      </c>
      <c r="T24" s="19" t="s">
        <v>376</v>
      </c>
      <c r="U24" s="19">
        <v>1</v>
      </c>
      <c r="V24" s="19" t="s">
        <v>376</v>
      </c>
      <c r="W24" s="19">
        <v>1</v>
      </c>
      <c r="X24" s="19" t="s">
        <v>376</v>
      </c>
      <c r="Y24">
        <v>1</v>
      </c>
      <c r="Z24" t="s">
        <v>376</v>
      </c>
      <c r="AA24">
        <v>1</v>
      </c>
      <c r="AB24">
        <v>2</v>
      </c>
      <c r="AC24">
        <v>3</v>
      </c>
      <c r="AD24" t="s">
        <v>376</v>
      </c>
      <c r="AE24" t="s">
        <v>376</v>
      </c>
      <c r="AF24" t="s">
        <v>376</v>
      </c>
      <c r="AG24" t="s">
        <v>376</v>
      </c>
      <c r="AH24" t="s">
        <v>376</v>
      </c>
      <c r="AI24" t="s">
        <v>376</v>
      </c>
      <c r="AJ24" t="s">
        <v>376</v>
      </c>
      <c r="AK24" t="s">
        <v>376</v>
      </c>
      <c r="AL24">
        <v>2</v>
      </c>
    </row>
    <row r="25" spans="2:38" x14ac:dyDescent="0.25">
      <c r="F25" s="16">
        <v>9</v>
      </c>
      <c r="G25" s="104">
        <v>10</v>
      </c>
      <c r="H25" s="19">
        <v>31</v>
      </c>
      <c r="I25" s="19">
        <v>33</v>
      </c>
      <c r="J25" s="19">
        <v>10</v>
      </c>
      <c r="K25" s="19">
        <v>33</v>
      </c>
      <c r="L25" s="19" t="s">
        <v>376</v>
      </c>
      <c r="M25" s="19">
        <v>1</v>
      </c>
      <c r="N25" s="19" t="s">
        <v>376</v>
      </c>
      <c r="O25" s="19">
        <v>1</v>
      </c>
      <c r="P25" s="19" t="s">
        <v>376</v>
      </c>
      <c r="Q25" s="19">
        <v>1</v>
      </c>
      <c r="R25" s="19" t="s">
        <v>376</v>
      </c>
      <c r="S25" s="19">
        <v>1</v>
      </c>
      <c r="T25" s="19" t="s">
        <v>376</v>
      </c>
      <c r="U25" s="19">
        <v>1</v>
      </c>
      <c r="V25" s="19" t="s">
        <v>376</v>
      </c>
      <c r="W25" s="19">
        <v>1</v>
      </c>
      <c r="X25" s="19" t="s">
        <v>376</v>
      </c>
      <c r="Y25">
        <v>1</v>
      </c>
      <c r="Z25" t="s">
        <v>376</v>
      </c>
      <c r="AA25">
        <v>1</v>
      </c>
      <c r="AB25">
        <v>3</v>
      </c>
      <c r="AC25">
        <v>10</v>
      </c>
      <c r="AD25" t="s">
        <v>376</v>
      </c>
      <c r="AE25" t="s">
        <v>376</v>
      </c>
      <c r="AF25" t="s">
        <v>376</v>
      </c>
      <c r="AG25" t="s">
        <v>376</v>
      </c>
      <c r="AH25" t="s">
        <v>376</v>
      </c>
      <c r="AI25" t="s">
        <v>376</v>
      </c>
      <c r="AJ25" t="s">
        <v>376</v>
      </c>
      <c r="AK25" t="s">
        <v>376</v>
      </c>
      <c r="AL25">
        <v>2</v>
      </c>
    </row>
    <row r="26" spans="2:38" x14ac:dyDescent="0.25">
      <c r="F26" s="16">
        <v>10</v>
      </c>
      <c r="G26" s="104">
        <v>11</v>
      </c>
      <c r="H26" s="19">
        <v>20</v>
      </c>
      <c r="I26" s="19">
        <v>32</v>
      </c>
      <c r="J26" s="19">
        <v>27</v>
      </c>
      <c r="K26" s="19">
        <v>32</v>
      </c>
      <c r="L26" s="19" t="s">
        <v>376</v>
      </c>
      <c r="M26" s="19">
        <v>1</v>
      </c>
      <c r="N26" s="19" t="s">
        <v>376</v>
      </c>
      <c r="O26" s="19">
        <v>1</v>
      </c>
      <c r="P26" s="19" t="s">
        <v>376</v>
      </c>
      <c r="Q26" s="19">
        <v>1</v>
      </c>
      <c r="R26" s="19" t="s">
        <v>376</v>
      </c>
      <c r="S26" s="19">
        <v>1</v>
      </c>
      <c r="T26" s="19" t="s">
        <v>376</v>
      </c>
      <c r="U26" s="19">
        <v>1</v>
      </c>
      <c r="V26" s="19" t="s">
        <v>376</v>
      </c>
      <c r="W26" s="19">
        <v>1</v>
      </c>
      <c r="X26" s="19" t="s">
        <v>376</v>
      </c>
      <c r="Y26">
        <v>1</v>
      </c>
      <c r="Z26" t="s">
        <v>376</v>
      </c>
      <c r="AA26">
        <v>1</v>
      </c>
      <c r="AB26">
        <v>2</v>
      </c>
      <c r="AC26">
        <v>3</v>
      </c>
      <c r="AD26" t="s">
        <v>376</v>
      </c>
      <c r="AE26" t="s">
        <v>376</v>
      </c>
      <c r="AF26" t="s">
        <v>376</v>
      </c>
      <c r="AG26" t="s">
        <v>376</v>
      </c>
      <c r="AH26" t="s">
        <v>376</v>
      </c>
      <c r="AI26" t="s">
        <v>376</v>
      </c>
      <c r="AJ26" t="s">
        <v>376</v>
      </c>
      <c r="AK26" t="s">
        <v>376</v>
      </c>
      <c r="AL26">
        <v>2</v>
      </c>
    </row>
    <row r="27" spans="2:38" x14ac:dyDescent="0.25">
      <c r="F27" s="16">
        <v>11</v>
      </c>
      <c r="G27" s="104">
        <v>13</v>
      </c>
      <c r="H27" s="19">
        <v>10</v>
      </c>
      <c r="I27" s="16">
        <v>15</v>
      </c>
      <c r="J27" s="16">
        <v>7</v>
      </c>
      <c r="K27" s="16">
        <v>15</v>
      </c>
      <c r="L27" s="16" t="s">
        <v>376</v>
      </c>
      <c r="M27" s="16">
        <v>1</v>
      </c>
      <c r="N27" s="16" t="s">
        <v>376</v>
      </c>
      <c r="O27" s="16">
        <v>1</v>
      </c>
      <c r="P27" s="16" t="s">
        <v>376</v>
      </c>
      <c r="Q27" s="16">
        <v>1</v>
      </c>
      <c r="R27" s="16" t="s">
        <v>376</v>
      </c>
      <c r="S27" s="16">
        <v>1</v>
      </c>
      <c r="T27" s="16" t="s">
        <v>376</v>
      </c>
      <c r="U27" s="16">
        <v>1</v>
      </c>
      <c r="V27" s="16" t="s">
        <v>376</v>
      </c>
      <c r="W27" s="16">
        <v>1</v>
      </c>
      <c r="X27" s="16" t="s">
        <v>376</v>
      </c>
      <c r="Y27">
        <v>1</v>
      </c>
      <c r="Z27" t="s">
        <v>376</v>
      </c>
      <c r="AA27">
        <v>1</v>
      </c>
      <c r="AB27">
        <v>1</v>
      </c>
      <c r="AC27">
        <v>3</v>
      </c>
      <c r="AD27" t="s">
        <v>376</v>
      </c>
      <c r="AE27" t="s">
        <v>376</v>
      </c>
      <c r="AF27" t="s">
        <v>376</v>
      </c>
      <c r="AG27" t="s">
        <v>376</v>
      </c>
      <c r="AH27" t="s">
        <v>376</v>
      </c>
      <c r="AI27" t="s">
        <v>376</v>
      </c>
      <c r="AJ27" t="s">
        <v>376</v>
      </c>
      <c r="AK27" t="s">
        <v>376</v>
      </c>
      <c r="AL27">
        <v>2</v>
      </c>
    </row>
    <row r="28" spans="2:38" x14ac:dyDescent="0.25">
      <c r="F28" s="16">
        <v>12</v>
      </c>
      <c r="G28" s="104">
        <v>14</v>
      </c>
      <c r="H28" s="16">
        <v>11</v>
      </c>
      <c r="I28" s="16">
        <v>14</v>
      </c>
      <c r="J28" s="16">
        <v>10</v>
      </c>
      <c r="K28" s="16">
        <v>18</v>
      </c>
      <c r="L28" s="16" t="s">
        <v>376</v>
      </c>
      <c r="M28" s="16">
        <v>1</v>
      </c>
      <c r="N28" s="16" t="s">
        <v>376</v>
      </c>
      <c r="O28" s="16">
        <v>1</v>
      </c>
      <c r="P28" s="16" t="s">
        <v>376</v>
      </c>
      <c r="Q28" s="16">
        <v>1</v>
      </c>
      <c r="R28" s="16" t="s">
        <v>376</v>
      </c>
      <c r="S28" s="16">
        <v>1</v>
      </c>
      <c r="T28" s="16" t="s">
        <v>376</v>
      </c>
      <c r="U28" s="16">
        <v>1</v>
      </c>
      <c r="V28" s="16" t="s">
        <v>376</v>
      </c>
      <c r="W28" s="16">
        <v>1</v>
      </c>
      <c r="X28" s="16" t="s">
        <v>376</v>
      </c>
      <c r="Y28">
        <v>1</v>
      </c>
      <c r="Z28" t="s">
        <v>376</v>
      </c>
      <c r="AA28">
        <v>1</v>
      </c>
      <c r="AB28">
        <v>1</v>
      </c>
      <c r="AC28">
        <v>8</v>
      </c>
      <c r="AD28" t="s">
        <v>376</v>
      </c>
      <c r="AE28" t="s">
        <v>376</v>
      </c>
      <c r="AF28" t="s">
        <v>376</v>
      </c>
      <c r="AG28" t="s">
        <v>376</v>
      </c>
      <c r="AH28" t="s">
        <v>376</v>
      </c>
      <c r="AI28" t="s">
        <v>376</v>
      </c>
      <c r="AJ28" t="s">
        <v>376</v>
      </c>
      <c r="AK28" t="s">
        <v>376</v>
      </c>
      <c r="AL28">
        <v>2</v>
      </c>
    </row>
    <row r="29" spans="2:38" x14ac:dyDescent="0.25">
      <c r="F29" s="16">
        <v>13</v>
      </c>
      <c r="G29" s="104">
        <v>15</v>
      </c>
      <c r="H29" s="16">
        <v>18</v>
      </c>
      <c r="I29" s="16">
        <v>20</v>
      </c>
      <c r="J29" s="16">
        <v>14</v>
      </c>
      <c r="K29" s="16">
        <v>19</v>
      </c>
      <c r="L29" s="16" t="s">
        <v>376</v>
      </c>
      <c r="M29" s="16">
        <v>1</v>
      </c>
      <c r="N29" s="16" t="s">
        <v>376</v>
      </c>
      <c r="O29" s="16">
        <v>1</v>
      </c>
      <c r="P29" s="16" t="s">
        <v>376</v>
      </c>
      <c r="Q29" s="16">
        <v>1</v>
      </c>
      <c r="R29" s="16" t="s">
        <v>376</v>
      </c>
      <c r="S29" s="16">
        <v>1</v>
      </c>
      <c r="T29" s="16" t="s">
        <v>376</v>
      </c>
      <c r="U29" s="16">
        <v>1</v>
      </c>
      <c r="V29" s="16" t="s">
        <v>376</v>
      </c>
      <c r="W29" s="16">
        <v>1</v>
      </c>
      <c r="X29" s="16" t="s">
        <v>376</v>
      </c>
      <c r="Y29">
        <v>1</v>
      </c>
      <c r="Z29" t="s">
        <v>376</v>
      </c>
      <c r="AA29">
        <v>1</v>
      </c>
      <c r="AB29">
        <v>1</v>
      </c>
      <c r="AC29">
        <v>10</v>
      </c>
      <c r="AD29" t="s">
        <v>376</v>
      </c>
      <c r="AE29" t="s">
        <v>376</v>
      </c>
      <c r="AF29" t="s">
        <v>376</v>
      </c>
      <c r="AG29" t="s">
        <v>376</v>
      </c>
      <c r="AH29" t="s">
        <v>376</v>
      </c>
      <c r="AI29" t="s">
        <v>376</v>
      </c>
      <c r="AJ29" t="s">
        <v>376</v>
      </c>
      <c r="AK29" t="s">
        <v>376</v>
      </c>
      <c r="AL29">
        <v>2</v>
      </c>
    </row>
    <row r="30" spans="2:38" x14ac:dyDescent="0.25">
      <c r="F30" s="16">
        <v>14</v>
      </c>
      <c r="G30" s="104">
        <v>16</v>
      </c>
      <c r="H30" s="16">
        <v>8</v>
      </c>
      <c r="I30" s="16">
        <v>9</v>
      </c>
      <c r="J30" s="16">
        <v>8</v>
      </c>
      <c r="K30" s="16">
        <v>9</v>
      </c>
      <c r="L30" s="16" t="s">
        <v>376</v>
      </c>
      <c r="M30" s="16">
        <v>1</v>
      </c>
      <c r="N30" s="16" t="s">
        <v>376</v>
      </c>
      <c r="O30" s="16">
        <v>1</v>
      </c>
      <c r="P30" s="16" t="s">
        <v>376</v>
      </c>
      <c r="Q30" s="16">
        <v>1</v>
      </c>
      <c r="R30" s="16" t="s">
        <v>376</v>
      </c>
      <c r="S30" s="16">
        <v>1</v>
      </c>
      <c r="T30" s="16" t="s">
        <v>376</v>
      </c>
      <c r="U30" s="16">
        <v>1</v>
      </c>
      <c r="V30" s="16" t="s">
        <v>376</v>
      </c>
      <c r="W30" s="16">
        <v>1</v>
      </c>
      <c r="X30" s="16" t="s">
        <v>376</v>
      </c>
      <c r="Y30">
        <v>1</v>
      </c>
      <c r="Z30" t="s">
        <v>376</v>
      </c>
      <c r="AA30">
        <v>1</v>
      </c>
      <c r="AB30">
        <v>1</v>
      </c>
      <c r="AC30">
        <v>8</v>
      </c>
      <c r="AD30" t="s">
        <v>376</v>
      </c>
      <c r="AE30" t="s">
        <v>376</v>
      </c>
      <c r="AF30" t="s">
        <v>376</v>
      </c>
      <c r="AG30" t="s">
        <v>376</v>
      </c>
      <c r="AH30" t="s">
        <v>376</v>
      </c>
      <c r="AI30" t="s">
        <v>376</v>
      </c>
      <c r="AJ30" t="s">
        <v>376</v>
      </c>
      <c r="AK30" t="s">
        <v>376</v>
      </c>
      <c r="AL30">
        <v>2</v>
      </c>
    </row>
    <row r="31" spans="2:38" x14ac:dyDescent="0.25">
      <c r="F31" s="16">
        <v>15</v>
      </c>
      <c r="G31" s="104">
        <v>17</v>
      </c>
      <c r="H31" s="16">
        <v>19</v>
      </c>
      <c r="I31" s="16">
        <v>32</v>
      </c>
      <c r="J31" s="16">
        <v>23</v>
      </c>
      <c r="K31" s="16">
        <v>31</v>
      </c>
      <c r="L31" s="16" t="s">
        <v>376</v>
      </c>
      <c r="M31" s="16">
        <v>1</v>
      </c>
      <c r="N31" s="16" t="s">
        <v>376</v>
      </c>
      <c r="O31" s="16">
        <v>1</v>
      </c>
      <c r="P31" s="16" t="s">
        <v>376</v>
      </c>
      <c r="Q31" s="16">
        <v>1</v>
      </c>
      <c r="R31" s="16" t="s">
        <v>376</v>
      </c>
      <c r="S31" s="16">
        <v>1</v>
      </c>
      <c r="T31" s="16" t="s">
        <v>376</v>
      </c>
      <c r="U31" s="16">
        <v>1</v>
      </c>
      <c r="V31" s="16" t="s">
        <v>376</v>
      </c>
      <c r="W31" s="16">
        <v>1</v>
      </c>
      <c r="X31" s="16" t="s">
        <v>376</v>
      </c>
      <c r="Y31">
        <v>1</v>
      </c>
      <c r="Z31" t="s">
        <v>376</v>
      </c>
      <c r="AA31">
        <v>1</v>
      </c>
      <c r="AB31">
        <v>2</v>
      </c>
      <c r="AC31">
        <v>8</v>
      </c>
      <c r="AD31" t="s">
        <v>376</v>
      </c>
      <c r="AE31" t="s">
        <v>376</v>
      </c>
      <c r="AF31" t="s">
        <v>376</v>
      </c>
      <c r="AG31" t="s">
        <v>376</v>
      </c>
      <c r="AH31" t="s">
        <v>376</v>
      </c>
      <c r="AI31" t="s">
        <v>376</v>
      </c>
      <c r="AJ31" t="s">
        <v>376</v>
      </c>
      <c r="AK31" t="s">
        <v>376</v>
      </c>
      <c r="AL31">
        <v>2</v>
      </c>
    </row>
    <row r="32" spans="2:38" x14ac:dyDescent="0.25">
      <c r="F32" s="16">
        <v>16</v>
      </c>
      <c r="G32" s="104">
        <v>18</v>
      </c>
      <c r="H32" s="16">
        <v>22</v>
      </c>
      <c r="I32" s="16">
        <v>35</v>
      </c>
      <c r="J32" s="16">
        <v>30</v>
      </c>
      <c r="K32" s="16">
        <v>35</v>
      </c>
      <c r="L32" s="16" t="s">
        <v>376</v>
      </c>
      <c r="M32" s="16">
        <v>1</v>
      </c>
      <c r="N32" s="16" t="s">
        <v>376</v>
      </c>
      <c r="O32" s="16">
        <v>1</v>
      </c>
      <c r="P32" s="16" t="s">
        <v>376</v>
      </c>
      <c r="Q32" s="16">
        <v>1</v>
      </c>
      <c r="R32" s="16" t="s">
        <v>376</v>
      </c>
      <c r="S32" s="16">
        <v>1</v>
      </c>
      <c r="T32" s="16" t="s">
        <v>376</v>
      </c>
      <c r="U32" s="16">
        <v>1</v>
      </c>
      <c r="V32" s="16" t="s">
        <v>376</v>
      </c>
      <c r="W32" s="16">
        <v>1</v>
      </c>
      <c r="X32" s="16" t="s">
        <v>376</v>
      </c>
      <c r="Y32">
        <v>1</v>
      </c>
      <c r="Z32" t="s">
        <v>376</v>
      </c>
      <c r="AA32">
        <v>1</v>
      </c>
      <c r="AB32">
        <v>2</v>
      </c>
      <c r="AC32">
        <v>5</v>
      </c>
      <c r="AD32" t="s">
        <v>376</v>
      </c>
      <c r="AE32" t="s">
        <v>376</v>
      </c>
      <c r="AF32" t="s">
        <v>376</v>
      </c>
      <c r="AG32" t="s">
        <v>376</v>
      </c>
      <c r="AH32" t="s">
        <v>376</v>
      </c>
      <c r="AI32" t="s">
        <v>376</v>
      </c>
      <c r="AJ32" t="s">
        <v>376</v>
      </c>
      <c r="AK32" t="s">
        <v>376</v>
      </c>
      <c r="AL32">
        <v>2</v>
      </c>
    </row>
    <row r="33" spans="6:38" x14ac:dyDescent="0.25">
      <c r="F33" s="16">
        <v>17</v>
      </c>
      <c r="G33" s="104">
        <v>19</v>
      </c>
      <c r="H33" s="16">
        <v>18</v>
      </c>
      <c r="I33" s="16">
        <v>18</v>
      </c>
      <c r="J33" s="16">
        <v>15</v>
      </c>
      <c r="K33" s="16">
        <v>18</v>
      </c>
      <c r="L33" s="16" t="s">
        <v>376</v>
      </c>
      <c r="M33" s="16">
        <v>1</v>
      </c>
      <c r="N33" s="16" t="s">
        <v>376</v>
      </c>
      <c r="O33" s="16">
        <v>1</v>
      </c>
      <c r="P33" s="16" t="s">
        <v>376</v>
      </c>
      <c r="Q33" s="16">
        <v>1</v>
      </c>
      <c r="R33" s="16" t="s">
        <v>376</v>
      </c>
      <c r="S33" s="16">
        <v>1</v>
      </c>
      <c r="T33" s="16" t="s">
        <v>376</v>
      </c>
      <c r="U33" s="16">
        <v>1</v>
      </c>
      <c r="V33" s="16" t="s">
        <v>376</v>
      </c>
      <c r="W33" s="16">
        <v>1</v>
      </c>
      <c r="X33" s="16" t="s">
        <v>376</v>
      </c>
      <c r="Y33">
        <v>1</v>
      </c>
      <c r="Z33" t="s">
        <v>376</v>
      </c>
      <c r="AA33">
        <v>1</v>
      </c>
      <c r="AB33">
        <v>3</v>
      </c>
      <c r="AC33">
        <v>9</v>
      </c>
      <c r="AD33" t="s">
        <v>376</v>
      </c>
      <c r="AE33" t="s">
        <v>376</v>
      </c>
      <c r="AF33" t="s">
        <v>376</v>
      </c>
      <c r="AG33" t="s">
        <v>376</v>
      </c>
      <c r="AH33" t="s">
        <v>376</v>
      </c>
      <c r="AI33" t="s">
        <v>376</v>
      </c>
      <c r="AJ33" t="s">
        <v>376</v>
      </c>
      <c r="AK33" t="s">
        <v>376</v>
      </c>
      <c r="AL33">
        <v>2</v>
      </c>
    </row>
    <row r="34" spans="6:38" x14ac:dyDescent="0.25">
      <c r="F34" s="16">
        <v>18</v>
      </c>
      <c r="G34" s="104">
        <v>20</v>
      </c>
      <c r="H34" s="16">
        <v>107</v>
      </c>
      <c r="I34" s="16">
        <v>135</v>
      </c>
      <c r="J34" s="16">
        <v>95</v>
      </c>
      <c r="K34" s="16">
        <v>270</v>
      </c>
      <c r="L34" s="16" t="s">
        <v>376</v>
      </c>
      <c r="M34" s="16">
        <v>1</v>
      </c>
      <c r="N34" s="16" t="s">
        <v>376</v>
      </c>
      <c r="O34" s="16">
        <v>1</v>
      </c>
      <c r="P34" s="16" t="s">
        <v>376</v>
      </c>
      <c r="Q34" s="16">
        <v>1</v>
      </c>
      <c r="R34" s="16" t="s">
        <v>376</v>
      </c>
      <c r="S34" s="16">
        <v>1</v>
      </c>
      <c r="T34" s="16" t="s">
        <v>376</v>
      </c>
      <c r="U34" s="16">
        <v>1</v>
      </c>
      <c r="V34" s="16" t="s">
        <v>376</v>
      </c>
      <c r="W34" s="16">
        <v>1</v>
      </c>
      <c r="X34" s="16" t="s">
        <v>376</v>
      </c>
      <c r="Y34">
        <v>1</v>
      </c>
      <c r="Z34" t="s">
        <v>376</v>
      </c>
      <c r="AA34">
        <v>1</v>
      </c>
      <c r="AB34">
        <v>1</v>
      </c>
      <c r="AC34">
        <v>10</v>
      </c>
      <c r="AD34" t="s">
        <v>376</v>
      </c>
      <c r="AE34" t="s">
        <v>376</v>
      </c>
      <c r="AF34" t="s">
        <v>376</v>
      </c>
      <c r="AG34" t="s">
        <v>376</v>
      </c>
      <c r="AH34" t="s">
        <v>376</v>
      </c>
      <c r="AI34" t="s">
        <v>376</v>
      </c>
      <c r="AJ34" t="s">
        <v>376</v>
      </c>
      <c r="AK34" t="s">
        <v>376</v>
      </c>
      <c r="AL34">
        <v>2</v>
      </c>
    </row>
    <row r="35" spans="6:38" x14ac:dyDescent="0.25">
      <c r="F35" s="16">
        <v>19</v>
      </c>
      <c r="G35" s="104">
        <v>23</v>
      </c>
      <c r="H35" s="16">
        <v>7</v>
      </c>
      <c r="I35" s="16">
        <v>12</v>
      </c>
      <c r="J35" s="16">
        <v>2</v>
      </c>
      <c r="K35" s="16">
        <v>15</v>
      </c>
      <c r="L35" s="16" t="s">
        <v>376</v>
      </c>
      <c r="M35" s="16">
        <v>1</v>
      </c>
      <c r="N35" s="16" t="s">
        <v>376</v>
      </c>
      <c r="O35" s="16">
        <v>1</v>
      </c>
      <c r="P35" s="16" t="s">
        <v>376</v>
      </c>
      <c r="Q35" s="16">
        <v>1</v>
      </c>
      <c r="R35" s="16" t="s">
        <v>376</v>
      </c>
      <c r="S35" s="16">
        <v>1</v>
      </c>
      <c r="T35" s="16" t="s">
        <v>376</v>
      </c>
      <c r="U35" s="16">
        <v>1</v>
      </c>
      <c r="V35" s="16" t="s">
        <v>376</v>
      </c>
      <c r="W35" s="16">
        <v>1</v>
      </c>
      <c r="X35" s="16" t="s">
        <v>376</v>
      </c>
      <c r="Y35">
        <v>1</v>
      </c>
      <c r="Z35" t="s">
        <v>376</v>
      </c>
      <c r="AA35">
        <v>1</v>
      </c>
      <c r="AB35">
        <v>1</v>
      </c>
      <c r="AC35">
        <v>10</v>
      </c>
      <c r="AD35" t="s">
        <v>376</v>
      </c>
      <c r="AE35" t="s">
        <v>376</v>
      </c>
      <c r="AF35" t="s">
        <v>376</v>
      </c>
      <c r="AG35" t="s">
        <v>376</v>
      </c>
      <c r="AH35" t="s">
        <v>376</v>
      </c>
      <c r="AI35" t="s">
        <v>376</v>
      </c>
      <c r="AJ35" t="s">
        <v>376</v>
      </c>
      <c r="AK35" t="s">
        <v>376</v>
      </c>
      <c r="AL35">
        <v>2</v>
      </c>
    </row>
    <row r="36" spans="6:38" x14ac:dyDescent="0.25">
      <c r="F36" s="16">
        <v>20</v>
      </c>
      <c r="G36" s="104">
        <v>24</v>
      </c>
      <c r="H36" s="16">
        <v>56</v>
      </c>
      <c r="I36" s="16">
        <v>81</v>
      </c>
      <c r="J36" s="16">
        <v>69</v>
      </c>
      <c r="K36" s="16">
        <v>94</v>
      </c>
      <c r="L36" s="16" t="s">
        <v>376</v>
      </c>
      <c r="M36" s="16">
        <v>1</v>
      </c>
      <c r="N36" s="16" t="s">
        <v>376</v>
      </c>
      <c r="O36" s="16">
        <v>1</v>
      </c>
      <c r="P36" s="16" t="s">
        <v>376</v>
      </c>
      <c r="Q36" s="16">
        <v>1</v>
      </c>
      <c r="R36" s="16" t="s">
        <v>376</v>
      </c>
      <c r="S36" s="16">
        <v>1</v>
      </c>
      <c r="T36" s="16" t="s">
        <v>376</v>
      </c>
      <c r="U36" s="16">
        <v>1</v>
      </c>
      <c r="V36" s="16" t="s">
        <v>376</v>
      </c>
      <c r="W36" s="16">
        <v>1</v>
      </c>
      <c r="X36" s="16" t="s">
        <v>376</v>
      </c>
      <c r="Y36">
        <v>1</v>
      </c>
      <c r="Z36" t="s">
        <v>376</v>
      </c>
      <c r="AA36">
        <v>1</v>
      </c>
      <c r="AB36">
        <v>1</v>
      </c>
      <c r="AC36">
        <v>2</v>
      </c>
      <c r="AD36" t="s">
        <v>376</v>
      </c>
      <c r="AE36" t="s">
        <v>376</v>
      </c>
      <c r="AF36" t="s">
        <v>376</v>
      </c>
      <c r="AG36" t="s">
        <v>376</v>
      </c>
      <c r="AH36" t="s">
        <v>376</v>
      </c>
      <c r="AI36" t="s">
        <v>376</v>
      </c>
      <c r="AJ36" t="s">
        <v>376</v>
      </c>
      <c r="AK36" t="s">
        <v>376</v>
      </c>
      <c r="AL36">
        <v>2</v>
      </c>
    </row>
    <row r="37" spans="6:38" x14ac:dyDescent="0.25">
      <c r="F37" s="16">
        <v>21</v>
      </c>
      <c r="G37" s="104">
        <v>25</v>
      </c>
      <c r="H37" s="16">
        <v>32</v>
      </c>
      <c r="I37" s="16">
        <v>56</v>
      </c>
      <c r="J37" s="16">
        <v>27</v>
      </c>
      <c r="K37" s="16">
        <v>55</v>
      </c>
      <c r="L37" s="16" t="s">
        <v>376</v>
      </c>
      <c r="M37" s="16">
        <v>1</v>
      </c>
      <c r="N37" s="16" t="s">
        <v>376</v>
      </c>
      <c r="O37" s="16">
        <v>1</v>
      </c>
      <c r="P37" s="16" t="s">
        <v>376</v>
      </c>
      <c r="Q37" s="16">
        <v>1</v>
      </c>
      <c r="R37" s="16" t="s">
        <v>376</v>
      </c>
      <c r="S37" s="16">
        <v>1</v>
      </c>
      <c r="T37" s="16" t="s">
        <v>376</v>
      </c>
      <c r="U37" s="16">
        <v>1</v>
      </c>
      <c r="V37" s="16" t="s">
        <v>376</v>
      </c>
      <c r="W37" s="16">
        <v>1</v>
      </c>
      <c r="X37" s="16" t="s">
        <v>376</v>
      </c>
      <c r="Y37">
        <v>1</v>
      </c>
      <c r="Z37" t="s">
        <v>376</v>
      </c>
      <c r="AA37">
        <v>1</v>
      </c>
      <c r="AB37">
        <v>2</v>
      </c>
      <c r="AC37">
        <v>7</v>
      </c>
      <c r="AD37" t="s">
        <v>376</v>
      </c>
      <c r="AE37" t="s">
        <v>376</v>
      </c>
      <c r="AF37" t="s">
        <v>376</v>
      </c>
      <c r="AG37" t="s">
        <v>376</v>
      </c>
      <c r="AH37" t="s">
        <v>376</v>
      </c>
      <c r="AI37" t="s">
        <v>376</v>
      </c>
      <c r="AJ37" t="s">
        <v>376</v>
      </c>
      <c r="AK37" t="s">
        <v>376</v>
      </c>
      <c r="AL37">
        <v>2</v>
      </c>
    </row>
    <row r="38" spans="6:38" x14ac:dyDescent="0.25">
      <c r="F38" s="16">
        <v>22</v>
      </c>
      <c r="G38" s="104">
        <v>28</v>
      </c>
      <c r="H38" s="16">
        <v>6</v>
      </c>
      <c r="I38" s="16">
        <v>8</v>
      </c>
      <c r="J38" s="16">
        <v>5</v>
      </c>
      <c r="K38" s="16">
        <v>8</v>
      </c>
      <c r="L38" s="16" t="s">
        <v>376</v>
      </c>
      <c r="M38" s="16">
        <v>1</v>
      </c>
      <c r="N38" s="16" t="s">
        <v>376</v>
      </c>
      <c r="O38" s="16">
        <v>1</v>
      </c>
      <c r="P38" s="16" t="s">
        <v>376</v>
      </c>
      <c r="Q38" s="16">
        <v>1</v>
      </c>
      <c r="R38" s="16" t="s">
        <v>376</v>
      </c>
      <c r="S38" s="16">
        <v>1</v>
      </c>
      <c r="T38" s="16" t="s">
        <v>376</v>
      </c>
      <c r="U38" s="16">
        <v>1</v>
      </c>
      <c r="V38" s="16" t="s">
        <v>376</v>
      </c>
      <c r="W38" s="16">
        <v>1</v>
      </c>
      <c r="X38" s="16" t="s">
        <v>376</v>
      </c>
      <c r="Y38">
        <v>1</v>
      </c>
      <c r="Z38" t="s">
        <v>376</v>
      </c>
      <c r="AA38">
        <v>1</v>
      </c>
      <c r="AB38">
        <v>1</v>
      </c>
      <c r="AC38">
        <v>2</v>
      </c>
      <c r="AD38" t="s">
        <v>376</v>
      </c>
      <c r="AE38" t="s">
        <v>376</v>
      </c>
      <c r="AF38" t="s">
        <v>376</v>
      </c>
      <c r="AG38" t="s">
        <v>376</v>
      </c>
      <c r="AH38" t="s">
        <v>376</v>
      </c>
      <c r="AI38" t="s">
        <v>376</v>
      </c>
      <c r="AJ38" t="s">
        <v>376</v>
      </c>
      <c r="AK38" t="s">
        <v>376</v>
      </c>
      <c r="AL38">
        <v>2</v>
      </c>
    </row>
    <row r="39" spans="6:38" x14ac:dyDescent="0.25">
      <c r="F39" s="16">
        <v>23</v>
      </c>
      <c r="G39" s="104">
        <v>32</v>
      </c>
      <c r="H39" s="16">
        <v>31</v>
      </c>
      <c r="I39" s="16">
        <v>40</v>
      </c>
      <c r="J39" s="16">
        <v>29</v>
      </c>
      <c r="K39" s="16">
        <v>40</v>
      </c>
      <c r="L39" s="16" t="s">
        <v>376</v>
      </c>
      <c r="M39" s="16">
        <v>1</v>
      </c>
      <c r="N39" s="16" t="s">
        <v>376</v>
      </c>
      <c r="O39" s="16">
        <v>1</v>
      </c>
      <c r="P39" s="16" t="s">
        <v>376</v>
      </c>
      <c r="Q39" s="16">
        <v>1</v>
      </c>
      <c r="R39" s="16" t="s">
        <v>376</v>
      </c>
      <c r="S39" s="16">
        <v>1</v>
      </c>
      <c r="T39" s="16" t="s">
        <v>376</v>
      </c>
      <c r="U39" s="16">
        <v>1</v>
      </c>
      <c r="V39" s="16" t="s">
        <v>376</v>
      </c>
      <c r="W39" s="16">
        <v>1</v>
      </c>
      <c r="X39" s="16" t="s">
        <v>376</v>
      </c>
      <c r="Y39">
        <v>1</v>
      </c>
      <c r="Z39" t="s">
        <v>376</v>
      </c>
      <c r="AA39">
        <v>1</v>
      </c>
      <c r="AB39">
        <v>3</v>
      </c>
      <c r="AC39">
        <v>4</v>
      </c>
      <c r="AD39" t="s">
        <v>376</v>
      </c>
      <c r="AE39" t="s">
        <v>376</v>
      </c>
      <c r="AF39" t="s">
        <v>376</v>
      </c>
      <c r="AG39" t="s">
        <v>376</v>
      </c>
      <c r="AH39" t="s">
        <v>376</v>
      </c>
      <c r="AI39" t="s">
        <v>376</v>
      </c>
      <c r="AJ39" t="s">
        <v>376</v>
      </c>
      <c r="AK39" t="s">
        <v>376</v>
      </c>
      <c r="AL39">
        <v>2</v>
      </c>
    </row>
    <row r="40" spans="6:38" x14ac:dyDescent="0.25">
      <c r="F40" s="16">
        <v>24</v>
      </c>
      <c r="G40" s="104">
        <v>35</v>
      </c>
      <c r="H40" s="16">
        <v>15</v>
      </c>
      <c r="I40" s="16">
        <v>20</v>
      </c>
      <c r="J40" s="16">
        <v>16</v>
      </c>
      <c r="K40" s="16">
        <v>20</v>
      </c>
      <c r="L40" s="16" t="s">
        <v>376</v>
      </c>
      <c r="M40" s="16">
        <v>1</v>
      </c>
      <c r="N40" s="16" t="s">
        <v>376</v>
      </c>
      <c r="O40" s="16">
        <v>1</v>
      </c>
      <c r="P40" s="16" t="s">
        <v>376</v>
      </c>
      <c r="Q40" s="16">
        <v>1</v>
      </c>
      <c r="R40" s="16" t="s">
        <v>376</v>
      </c>
      <c r="S40" s="16">
        <v>1</v>
      </c>
      <c r="T40" s="16" t="s">
        <v>376</v>
      </c>
      <c r="U40" s="16">
        <v>1</v>
      </c>
      <c r="V40" s="16" t="s">
        <v>376</v>
      </c>
      <c r="W40" s="16">
        <v>1</v>
      </c>
      <c r="X40" t="s">
        <v>376</v>
      </c>
      <c r="Y40">
        <v>1</v>
      </c>
      <c r="Z40" t="s">
        <v>376</v>
      </c>
      <c r="AA40">
        <v>1</v>
      </c>
      <c r="AB40">
        <v>1</v>
      </c>
      <c r="AC40">
        <v>2</v>
      </c>
      <c r="AD40" t="s">
        <v>376</v>
      </c>
      <c r="AE40" t="s">
        <v>376</v>
      </c>
      <c r="AF40" t="s">
        <v>376</v>
      </c>
      <c r="AG40" t="s">
        <v>376</v>
      </c>
      <c r="AH40" t="s">
        <v>376</v>
      </c>
      <c r="AI40" t="s">
        <v>376</v>
      </c>
      <c r="AJ40" t="s">
        <v>376</v>
      </c>
      <c r="AK40" t="s">
        <v>376</v>
      </c>
      <c r="AL40">
        <v>2</v>
      </c>
    </row>
    <row r="41" spans="6:38" x14ac:dyDescent="0.25">
      <c r="F41" s="16">
        <v>25</v>
      </c>
      <c r="G41" s="104">
        <v>37</v>
      </c>
      <c r="H41" s="16">
        <v>14</v>
      </c>
      <c r="I41" s="16">
        <v>15</v>
      </c>
      <c r="J41" s="16">
        <v>14</v>
      </c>
      <c r="K41" s="16">
        <v>18</v>
      </c>
      <c r="L41" s="16" t="s">
        <v>376</v>
      </c>
      <c r="M41" s="16">
        <v>1</v>
      </c>
      <c r="N41" s="16" t="s">
        <v>376</v>
      </c>
      <c r="O41" s="16">
        <v>1</v>
      </c>
      <c r="P41" s="16" t="s">
        <v>376</v>
      </c>
      <c r="Q41" s="16">
        <v>1</v>
      </c>
      <c r="R41" s="16" t="s">
        <v>376</v>
      </c>
      <c r="S41" s="16">
        <v>1</v>
      </c>
      <c r="T41" s="16" t="s">
        <v>376</v>
      </c>
      <c r="U41" s="16">
        <v>1</v>
      </c>
      <c r="V41" s="16" t="s">
        <v>376</v>
      </c>
      <c r="W41" s="16">
        <v>1</v>
      </c>
      <c r="X41" t="s">
        <v>376</v>
      </c>
      <c r="Y41">
        <v>1</v>
      </c>
      <c r="Z41" t="s">
        <v>376</v>
      </c>
      <c r="AA41">
        <v>1</v>
      </c>
      <c r="AB41">
        <v>1</v>
      </c>
      <c r="AC41">
        <v>2</v>
      </c>
      <c r="AD41" t="s">
        <v>376</v>
      </c>
      <c r="AE41" t="s">
        <v>376</v>
      </c>
      <c r="AF41" t="s">
        <v>376</v>
      </c>
      <c r="AG41" t="s">
        <v>376</v>
      </c>
      <c r="AH41" t="s">
        <v>376</v>
      </c>
      <c r="AI41" t="s">
        <v>376</v>
      </c>
      <c r="AJ41" t="s">
        <v>376</v>
      </c>
      <c r="AK41" t="s">
        <v>376</v>
      </c>
      <c r="AL41">
        <v>2</v>
      </c>
    </row>
    <row r="42" spans="6:38" x14ac:dyDescent="0.25">
      <c r="F42" s="16">
        <v>26</v>
      </c>
      <c r="G42" s="104">
        <v>38</v>
      </c>
      <c r="H42" s="16">
        <v>7</v>
      </c>
      <c r="I42" s="16">
        <v>8</v>
      </c>
      <c r="J42" s="16">
        <v>7</v>
      </c>
      <c r="K42" s="16">
        <v>9</v>
      </c>
      <c r="L42" s="16" t="s">
        <v>376</v>
      </c>
      <c r="M42" s="16">
        <v>1</v>
      </c>
      <c r="N42" s="16" t="s">
        <v>376</v>
      </c>
      <c r="O42" s="16">
        <v>1</v>
      </c>
      <c r="P42" s="16" t="s">
        <v>376</v>
      </c>
      <c r="Q42" s="16">
        <v>1</v>
      </c>
      <c r="R42" s="16" t="s">
        <v>376</v>
      </c>
      <c r="S42" s="16">
        <v>1</v>
      </c>
      <c r="T42" s="16" t="s">
        <v>376</v>
      </c>
      <c r="U42" s="16">
        <v>1</v>
      </c>
      <c r="V42" s="16" t="s">
        <v>376</v>
      </c>
      <c r="W42" s="16">
        <v>1</v>
      </c>
      <c r="X42" t="s">
        <v>376</v>
      </c>
      <c r="Y42">
        <v>1</v>
      </c>
      <c r="Z42" t="s">
        <v>376</v>
      </c>
      <c r="AA42">
        <v>1</v>
      </c>
      <c r="AB42">
        <v>1</v>
      </c>
      <c r="AC42">
        <v>2</v>
      </c>
      <c r="AD42" t="s">
        <v>376</v>
      </c>
      <c r="AE42" t="s">
        <v>376</v>
      </c>
      <c r="AF42" t="s">
        <v>376</v>
      </c>
      <c r="AG42" t="s">
        <v>376</v>
      </c>
      <c r="AH42" t="s">
        <v>376</v>
      </c>
      <c r="AI42" t="s">
        <v>376</v>
      </c>
      <c r="AJ42" t="s">
        <v>376</v>
      </c>
      <c r="AK42" t="s">
        <v>376</v>
      </c>
      <c r="AL42">
        <v>2</v>
      </c>
    </row>
    <row r="43" spans="6:38" x14ac:dyDescent="0.25">
      <c r="F43" s="16">
        <v>27</v>
      </c>
      <c r="G43" s="104">
        <v>39</v>
      </c>
      <c r="H43" s="16">
        <v>23</v>
      </c>
      <c r="I43" s="16">
        <v>32</v>
      </c>
      <c r="J43" s="16">
        <v>30</v>
      </c>
      <c r="K43" s="16">
        <v>36</v>
      </c>
      <c r="L43" s="16" t="s">
        <v>376</v>
      </c>
      <c r="M43" s="16">
        <v>1</v>
      </c>
      <c r="N43" s="16" t="s">
        <v>376</v>
      </c>
      <c r="O43" s="16">
        <v>1</v>
      </c>
      <c r="P43" s="16" t="s">
        <v>376</v>
      </c>
      <c r="Q43" s="16">
        <v>1</v>
      </c>
      <c r="R43" s="16" t="s">
        <v>376</v>
      </c>
      <c r="S43" s="16">
        <v>1</v>
      </c>
      <c r="T43" s="16" t="s">
        <v>376</v>
      </c>
      <c r="U43" s="16">
        <v>1</v>
      </c>
      <c r="V43" s="16" t="s">
        <v>376</v>
      </c>
      <c r="W43" s="16">
        <v>1</v>
      </c>
      <c r="X43" t="s">
        <v>376</v>
      </c>
      <c r="Y43">
        <v>1</v>
      </c>
      <c r="Z43" t="s">
        <v>376</v>
      </c>
      <c r="AA43">
        <v>1</v>
      </c>
      <c r="AB43">
        <v>2</v>
      </c>
      <c r="AC43">
        <v>3</v>
      </c>
      <c r="AD43" t="s">
        <v>376</v>
      </c>
      <c r="AE43" t="s">
        <v>376</v>
      </c>
      <c r="AF43" t="s">
        <v>376</v>
      </c>
      <c r="AG43" t="s">
        <v>376</v>
      </c>
      <c r="AH43" t="s">
        <v>376</v>
      </c>
      <c r="AI43" t="s">
        <v>376</v>
      </c>
      <c r="AJ43" t="s">
        <v>376</v>
      </c>
      <c r="AK43" t="s">
        <v>376</v>
      </c>
      <c r="AL43">
        <v>2</v>
      </c>
    </row>
    <row r="44" spans="6:38" x14ac:dyDescent="0.25">
      <c r="F44" s="16">
        <v>28</v>
      </c>
      <c r="G44" s="104">
        <v>40</v>
      </c>
      <c r="H44" s="16">
        <v>8</v>
      </c>
      <c r="I44" s="16">
        <v>10</v>
      </c>
      <c r="J44" s="16">
        <v>7</v>
      </c>
      <c r="K44" s="16">
        <v>10</v>
      </c>
      <c r="L44" s="16" t="s">
        <v>376</v>
      </c>
      <c r="M44" s="16">
        <v>1</v>
      </c>
      <c r="N44" s="16" t="s">
        <v>376</v>
      </c>
      <c r="O44" s="16">
        <v>1</v>
      </c>
      <c r="P44" s="16" t="s">
        <v>376</v>
      </c>
      <c r="Q44" s="16">
        <v>1</v>
      </c>
      <c r="R44" s="16" t="s">
        <v>376</v>
      </c>
      <c r="S44" s="16">
        <v>1</v>
      </c>
      <c r="T44" s="16" t="s">
        <v>376</v>
      </c>
      <c r="U44" s="16">
        <v>1</v>
      </c>
      <c r="V44" s="16" t="s">
        <v>376</v>
      </c>
      <c r="W44" s="16">
        <v>1</v>
      </c>
      <c r="X44" t="s">
        <v>376</v>
      </c>
      <c r="Y44">
        <v>1</v>
      </c>
      <c r="Z44" t="s">
        <v>376</v>
      </c>
      <c r="AA44">
        <v>1</v>
      </c>
      <c r="AB44">
        <v>3</v>
      </c>
      <c r="AC44">
        <v>9</v>
      </c>
      <c r="AD44" t="s">
        <v>376</v>
      </c>
      <c r="AE44" t="s">
        <v>376</v>
      </c>
      <c r="AF44" t="s">
        <v>376</v>
      </c>
      <c r="AG44" t="s">
        <v>376</v>
      </c>
      <c r="AH44" t="s">
        <v>376</v>
      </c>
      <c r="AI44" t="s">
        <v>376</v>
      </c>
      <c r="AJ44" t="s">
        <v>376</v>
      </c>
      <c r="AK44" t="s">
        <v>376</v>
      </c>
      <c r="AL44">
        <v>2</v>
      </c>
    </row>
    <row r="45" spans="6:38" x14ac:dyDescent="0.25">
      <c r="F45" s="16">
        <v>29</v>
      </c>
      <c r="G45" s="104">
        <v>41</v>
      </c>
      <c r="H45" s="16">
        <v>11</v>
      </c>
      <c r="I45" s="16">
        <v>30</v>
      </c>
      <c r="J45" s="16">
        <v>21</v>
      </c>
      <c r="K45" s="16">
        <v>30</v>
      </c>
      <c r="L45" s="16" t="s">
        <v>376</v>
      </c>
      <c r="M45" s="16">
        <v>1</v>
      </c>
      <c r="N45" s="16" t="s">
        <v>376</v>
      </c>
      <c r="O45" s="16">
        <v>1</v>
      </c>
      <c r="P45" s="16" t="s">
        <v>376</v>
      </c>
      <c r="Q45" s="16">
        <v>1</v>
      </c>
      <c r="R45" s="16" t="s">
        <v>376</v>
      </c>
      <c r="S45" s="16">
        <v>1</v>
      </c>
      <c r="T45" s="16" t="s">
        <v>376</v>
      </c>
      <c r="U45" s="16">
        <v>1</v>
      </c>
      <c r="V45" s="16" t="s">
        <v>376</v>
      </c>
      <c r="W45" s="16">
        <v>1</v>
      </c>
      <c r="X45" t="s">
        <v>376</v>
      </c>
      <c r="Y45">
        <v>1</v>
      </c>
      <c r="Z45" t="s">
        <v>376</v>
      </c>
      <c r="AA45">
        <v>1</v>
      </c>
      <c r="AB45">
        <v>3</v>
      </c>
      <c r="AC45">
        <v>6</v>
      </c>
      <c r="AD45" t="s">
        <v>376</v>
      </c>
      <c r="AE45" t="s">
        <v>376</v>
      </c>
      <c r="AF45" t="s">
        <v>376</v>
      </c>
      <c r="AG45" t="s">
        <v>376</v>
      </c>
      <c r="AH45" t="s">
        <v>376</v>
      </c>
      <c r="AI45" t="s">
        <v>376</v>
      </c>
      <c r="AJ45" t="s">
        <v>376</v>
      </c>
      <c r="AK45" t="s">
        <v>376</v>
      </c>
      <c r="AL45">
        <v>2</v>
      </c>
    </row>
    <row r="46" spans="6:38" x14ac:dyDescent="0.25">
      <c r="F46" s="16">
        <v>30</v>
      </c>
      <c r="G46" s="104">
        <v>46</v>
      </c>
      <c r="H46">
        <v>25</v>
      </c>
      <c r="I46">
        <v>31</v>
      </c>
      <c r="J46">
        <v>18</v>
      </c>
      <c r="K46">
        <v>31</v>
      </c>
      <c r="L46" t="s">
        <v>376</v>
      </c>
      <c r="M46">
        <v>1</v>
      </c>
      <c r="N46" t="s">
        <v>376</v>
      </c>
      <c r="O46">
        <v>1</v>
      </c>
      <c r="P46" t="s">
        <v>376</v>
      </c>
      <c r="Q46">
        <v>1</v>
      </c>
      <c r="R46" t="s">
        <v>376</v>
      </c>
      <c r="S46">
        <v>1</v>
      </c>
      <c r="T46" t="s">
        <v>376</v>
      </c>
      <c r="U46">
        <v>1</v>
      </c>
      <c r="V46" t="s">
        <v>376</v>
      </c>
      <c r="W46">
        <v>1</v>
      </c>
      <c r="X46" t="s">
        <v>376</v>
      </c>
      <c r="Y46">
        <v>1</v>
      </c>
      <c r="Z46" t="s">
        <v>376</v>
      </c>
      <c r="AA46">
        <v>1</v>
      </c>
      <c r="AB46">
        <v>3</v>
      </c>
      <c r="AC46">
        <v>10</v>
      </c>
      <c r="AD46" t="s">
        <v>376</v>
      </c>
      <c r="AE46" t="s">
        <v>376</v>
      </c>
      <c r="AF46" t="s">
        <v>376</v>
      </c>
      <c r="AG46" t="s">
        <v>376</v>
      </c>
      <c r="AH46" t="s">
        <v>376</v>
      </c>
      <c r="AI46" t="s">
        <v>376</v>
      </c>
      <c r="AJ46" t="s">
        <v>376</v>
      </c>
      <c r="AK46" t="s">
        <v>376</v>
      </c>
      <c r="AL46">
        <v>2</v>
      </c>
    </row>
    <row r="47" spans="6:38" x14ac:dyDescent="0.25">
      <c r="F47" s="16">
        <v>31</v>
      </c>
      <c r="G47" s="104">
        <v>49</v>
      </c>
      <c r="H47">
        <v>45</v>
      </c>
      <c r="I47">
        <v>59</v>
      </c>
      <c r="J47">
        <v>45</v>
      </c>
      <c r="K47">
        <v>60</v>
      </c>
      <c r="L47" t="s">
        <v>376</v>
      </c>
      <c r="M47">
        <v>1</v>
      </c>
      <c r="N47" t="s">
        <v>376</v>
      </c>
      <c r="O47">
        <v>1</v>
      </c>
      <c r="P47" t="s">
        <v>376</v>
      </c>
      <c r="Q47">
        <v>1</v>
      </c>
      <c r="R47" t="s">
        <v>376</v>
      </c>
      <c r="S47">
        <v>1</v>
      </c>
      <c r="T47" t="s">
        <v>376</v>
      </c>
      <c r="U47">
        <v>1</v>
      </c>
      <c r="V47" t="s">
        <v>376</v>
      </c>
      <c r="W47">
        <v>1</v>
      </c>
      <c r="X47" t="s">
        <v>376</v>
      </c>
      <c r="Y47">
        <v>1</v>
      </c>
      <c r="Z47" t="s">
        <v>376</v>
      </c>
      <c r="AA47">
        <v>1</v>
      </c>
      <c r="AB47">
        <v>1</v>
      </c>
      <c r="AC47">
        <v>2</v>
      </c>
      <c r="AD47" t="s">
        <v>376</v>
      </c>
      <c r="AE47" t="s">
        <v>376</v>
      </c>
      <c r="AF47" t="s">
        <v>376</v>
      </c>
      <c r="AG47" t="s">
        <v>376</v>
      </c>
      <c r="AH47" t="s">
        <v>376</v>
      </c>
      <c r="AI47" t="s">
        <v>376</v>
      </c>
      <c r="AJ47" t="s">
        <v>376</v>
      </c>
      <c r="AK47" t="s">
        <v>376</v>
      </c>
      <c r="AL47">
        <v>2</v>
      </c>
    </row>
    <row r="48" spans="6:38" x14ac:dyDescent="0.25">
      <c r="F48" s="16">
        <v>32</v>
      </c>
      <c r="G48" s="104">
        <v>50</v>
      </c>
      <c r="H48">
        <v>25</v>
      </c>
      <c r="I48">
        <v>31</v>
      </c>
      <c r="J48">
        <v>27</v>
      </c>
      <c r="K48">
        <v>32</v>
      </c>
      <c r="L48" t="s">
        <v>376</v>
      </c>
      <c r="M48">
        <v>1</v>
      </c>
      <c r="N48" t="s">
        <v>376</v>
      </c>
      <c r="O48">
        <v>1</v>
      </c>
      <c r="P48" t="s">
        <v>376</v>
      </c>
      <c r="Q48">
        <v>1</v>
      </c>
      <c r="R48" t="s">
        <v>376</v>
      </c>
      <c r="S48">
        <v>1</v>
      </c>
      <c r="T48" t="s">
        <v>376</v>
      </c>
      <c r="U48">
        <v>1</v>
      </c>
      <c r="V48" t="s">
        <v>376</v>
      </c>
      <c r="W48">
        <v>1</v>
      </c>
      <c r="X48" t="s">
        <v>376</v>
      </c>
      <c r="Y48">
        <v>1</v>
      </c>
      <c r="Z48" t="s">
        <v>376</v>
      </c>
      <c r="AA48">
        <v>1</v>
      </c>
      <c r="AB48">
        <v>1</v>
      </c>
      <c r="AC48">
        <v>2</v>
      </c>
      <c r="AD48" t="s">
        <v>376</v>
      </c>
      <c r="AE48" t="s">
        <v>376</v>
      </c>
      <c r="AF48" t="s">
        <v>376</v>
      </c>
      <c r="AG48" t="s">
        <v>376</v>
      </c>
      <c r="AH48" t="s">
        <v>376</v>
      </c>
      <c r="AI48" t="s">
        <v>376</v>
      </c>
      <c r="AJ48" t="s">
        <v>376</v>
      </c>
      <c r="AK48" t="s">
        <v>376</v>
      </c>
      <c r="AL48">
        <v>2</v>
      </c>
    </row>
    <row r="49" spans="6:38" x14ac:dyDescent="0.25">
      <c r="F49" s="16">
        <v>33</v>
      </c>
      <c r="G49" s="104">
        <v>51</v>
      </c>
      <c r="H49">
        <v>8</v>
      </c>
      <c r="I49">
        <v>9</v>
      </c>
      <c r="J49">
        <v>7</v>
      </c>
      <c r="K49">
        <v>9</v>
      </c>
      <c r="L49" t="s">
        <v>376</v>
      </c>
      <c r="M49">
        <v>1</v>
      </c>
      <c r="N49" t="s">
        <v>376</v>
      </c>
      <c r="O49">
        <v>1</v>
      </c>
      <c r="P49" t="s">
        <v>376</v>
      </c>
      <c r="Q49">
        <v>1</v>
      </c>
      <c r="R49" t="s">
        <v>376</v>
      </c>
      <c r="S49">
        <v>1</v>
      </c>
      <c r="T49" t="s">
        <v>376</v>
      </c>
      <c r="U49">
        <v>1</v>
      </c>
      <c r="V49" t="s">
        <v>376</v>
      </c>
      <c r="W49">
        <v>1</v>
      </c>
      <c r="X49" t="s">
        <v>376</v>
      </c>
      <c r="Y49">
        <v>1</v>
      </c>
      <c r="Z49" t="s">
        <v>376</v>
      </c>
      <c r="AA49">
        <v>1</v>
      </c>
      <c r="AB49">
        <v>1</v>
      </c>
      <c r="AC49">
        <v>3</v>
      </c>
      <c r="AD49" t="s">
        <v>376</v>
      </c>
      <c r="AE49" t="s">
        <v>376</v>
      </c>
      <c r="AF49" t="s">
        <v>376</v>
      </c>
      <c r="AG49" t="s">
        <v>376</v>
      </c>
      <c r="AH49" t="s">
        <v>376</v>
      </c>
      <c r="AI49" t="s">
        <v>376</v>
      </c>
      <c r="AJ49" t="s">
        <v>376</v>
      </c>
      <c r="AK49" t="s">
        <v>376</v>
      </c>
      <c r="AL49">
        <v>2</v>
      </c>
    </row>
    <row r="50" spans="6:38" x14ac:dyDescent="0.25">
      <c r="F50" s="16">
        <v>34</v>
      </c>
      <c r="G50" s="104">
        <v>53</v>
      </c>
      <c r="H50">
        <v>49</v>
      </c>
      <c r="I50">
        <v>74</v>
      </c>
      <c r="J50">
        <v>52</v>
      </c>
      <c r="K50">
        <v>74</v>
      </c>
      <c r="L50" t="s">
        <v>376</v>
      </c>
      <c r="M50">
        <v>1</v>
      </c>
      <c r="N50" t="s">
        <v>376</v>
      </c>
      <c r="O50">
        <v>1</v>
      </c>
      <c r="P50" t="s">
        <v>376</v>
      </c>
      <c r="Q50">
        <v>1</v>
      </c>
      <c r="R50" t="s">
        <v>376</v>
      </c>
      <c r="S50">
        <v>1</v>
      </c>
      <c r="T50" t="s">
        <v>376</v>
      </c>
      <c r="U50">
        <v>1</v>
      </c>
      <c r="V50" t="s">
        <v>376</v>
      </c>
      <c r="W50">
        <v>1</v>
      </c>
      <c r="X50" t="s">
        <v>376</v>
      </c>
      <c r="Y50">
        <v>1</v>
      </c>
      <c r="Z50" t="s">
        <v>376</v>
      </c>
      <c r="AA50">
        <v>1</v>
      </c>
      <c r="AB50">
        <v>1</v>
      </c>
      <c r="AC50">
        <v>2</v>
      </c>
      <c r="AD50" t="s">
        <v>376</v>
      </c>
      <c r="AE50" t="s">
        <v>376</v>
      </c>
      <c r="AF50" t="s">
        <v>376</v>
      </c>
      <c r="AG50" t="s">
        <v>376</v>
      </c>
      <c r="AH50" t="s">
        <v>376</v>
      </c>
      <c r="AI50" t="s">
        <v>376</v>
      </c>
      <c r="AJ50" t="s">
        <v>376</v>
      </c>
      <c r="AK50" t="s">
        <v>376</v>
      </c>
      <c r="AL50">
        <v>2</v>
      </c>
    </row>
    <row r="51" spans="6:38" x14ac:dyDescent="0.25">
      <c r="F51" s="16">
        <v>35</v>
      </c>
      <c r="G51" s="104">
        <v>54</v>
      </c>
      <c r="H51">
        <v>29</v>
      </c>
      <c r="I51">
        <v>48</v>
      </c>
      <c r="J51">
        <v>23</v>
      </c>
      <c r="K51">
        <v>35</v>
      </c>
      <c r="L51" t="s">
        <v>376</v>
      </c>
      <c r="M51">
        <v>1</v>
      </c>
      <c r="N51" t="s">
        <v>376</v>
      </c>
      <c r="O51">
        <v>1</v>
      </c>
      <c r="P51" t="s">
        <v>376</v>
      </c>
      <c r="Q51">
        <v>1</v>
      </c>
      <c r="R51" t="s">
        <v>376</v>
      </c>
      <c r="S51">
        <v>1</v>
      </c>
      <c r="T51" t="s">
        <v>376</v>
      </c>
      <c r="U51">
        <v>1</v>
      </c>
      <c r="V51" t="s">
        <v>376</v>
      </c>
      <c r="W51">
        <v>1</v>
      </c>
      <c r="X51" t="s">
        <v>376</v>
      </c>
      <c r="Y51">
        <v>1</v>
      </c>
      <c r="Z51" t="s">
        <v>376</v>
      </c>
      <c r="AA51">
        <v>1</v>
      </c>
      <c r="AB51">
        <v>3</v>
      </c>
      <c r="AC51">
        <v>9</v>
      </c>
      <c r="AD51" t="s">
        <v>376</v>
      </c>
      <c r="AE51" t="s">
        <v>376</v>
      </c>
      <c r="AF51" t="s">
        <v>376</v>
      </c>
      <c r="AG51" t="s">
        <v>376</v>
      </c>
      <c r="AH51" t="s">
        <v>376</v>
      </c>
      <c r="AI51" t="s">
        <v>376</v>
      </c>
      <c r="AJ51" t="s">
        <v>376</v>
      </c>
      <c r="AK51" t="s">
        <v>376</v>
      </c>
      <c r="AL51">
        <v>2</v>
      </c>
    </row>
    <row r="52" spans="6:38" x14ac:dyDescent="0.25">
      <c r="F52" s="16">
        <v>36</v>
      </c>
      <c r="G52" s="104">
        <v>56</v>
      </c>
      <c r="H52">
        <v>20</v>
      </c>
      <c r="I52">
        <v>30</v>
      </c>
      <c r="J52">
        <v>24</v>
      </c>
      <c r="K52">
        <v>30</v>
      </c>
      <c r="L52" t="s">
        <v>376</v>
      </c>
      <c r="M52">
        <v>1</v>
      </c>
      <c r="N52" t="s">
        <v>376</v>
      </c>
      <c r="O52">
        <v>1</v>
      </c>
      <c r="P52" t="s">
        <v>376</v>
      </c>
      <c r="Q52">
        <v>1</v>
      </c>
      <c r="R52" t="s">
        <v>376</v>
      </c>
      <c r="S52">
        <v>1</v>
      </c>
      <c r="T52" t="s">
        <v>376</v>
      </c>
      <c r="U52">
        <v>1</v>
      </c>
      <c r="V52" t="s">
        <v>376</v>
      </c>
      <c r="W52">
        <v>1</v>
      </c>
      <c r="X52" t="s">
        <v>376</v>
      </c>
      <c r="Y52">
        <v>1</v>
      </c>
      <c r="Z52" t="s">
        <v>376</v>
      </c>
      <c r="AA52">
        <v>1</v>
      </c>
      <c r="AB52">
        <v>3</v>
      </c>
      <c r="AC52">
        <v>6</v>
      </c>
      <c r="AD52" t="s">
        <v>376</v>
      </c>
      <c r="AE52" t="s">
        <v>376</v>
      </c>
      <c r="AF52" t="s">
        <v>376</v>
      </c>
      <c r="AG52" t="s">
        <v>376</v>
      </c>
      <c r="AH52" t="s">
        <v>376</v>
      </c>
      <c r="AI52" t="s">
        <v>376</v>
      </c>
      <c r="AJ52" t="s">
        <v>376</v>
      </c>
      <c r="AK52" t="s">
        <v>376</v>
      </c>
      <c r="AL52">
        <v>2</v>
      </c>
    </row>
    <row r="53" spans="6:38" x14ac:dyDescent="0.25">
      <c r="F53" s="16">
        <v>37</v>
      </c>
      <c r="G53" s="104">
        <v>57</v>
      </c>
      <c r="H53">
        <v>21</v>
      </c>
      <c r="I53">
        <v>24</v>
      </c>
      <c r="J53">
        <v>16</v>
      </c>
      <c r="K53">
        <v>22</v>
      </c>
      <c r="L53" t="s">
        <v>376</v>
      </c>
      <c r="M53">
        <v>1</v>
      </c>
      <c r="N53" t="s">
        <v>376</v>
      </c>
      <c r="O53">
        <v>1</v>
      </c>
      <c r="P53" t="s">
        <v>376</v>
      </c>
      <c r="Q53">
        <v>1</v>
      </c>
      <c r="R53" t="s">
        <v>376</v>
      </c>
      <c r="S53">
        <v>1</v>
      </c>
      <c r="T53" t="s">
        <v>376</v>
      </c>
      <c r="U53">
        <v>1</v>
      </c>
      <c r="V53" t="s">
        <v>376</v>
      </c>
      <c r="W53">
        <v>1</v>
      </c>
      <c r="X53" t="s">
        <v>376</v>
      </c>
      <c r="Y53">
        <v>1</v>
      </c>
      <c r="Z53" t="s">
        <v>376</v>
      </c>
      <c r="AA53">
        <v>1</v>
      </c>
      <c r="AB53">
        <v>1</v>
      </c>
      <c r="AC53">
        <v>2</v>
      </c>
      <c r="AD53" t="s">
        <v>376</v>
      </c>
      <c r="AE53" t="s">
        <v>376</v>
      </c>
      <c r="AF53" t="s">
        <v>376</v>
      </c>
      <c r="AG53" t="s">
        <v>376</v>
      </c>
      <c r="AH53" t="s">
        <v>376</v>
      </c>
      <c r="AI53" t="s">
        <v>376</v>
      </c>
      <c r="AJ53" t="s">
        <v>376</v>
      </c>
      <c r="AK53" t="s">
        <v>376</v>
      </c>
      <c r="AL53">
        <v>2</v>
      </c>
    </row>
    <row r="54" spans="6:38" x14ac:dyDescent="0.25">
      <c r="F54" s="16">
        <v>38</v>
      </c>
      <c r="G54" s="104">
        <v>60</v>
      </c>
      <c r="H54">
        <v>27</v>
      </c>
      <c r="I54">
        <v>32</v>
      </c>
      <c r="J54">
        <v>13</v>
      </c>
      <c r="K54">
        <v>32</v>
      </c>
      <c r="L54" t="s">
        <v>376</v>
      </c>
      <c r="M54">
        <v>1</v>
      </c>
      <c r="N54" t="s">
        <v>376</v>
      </c>
      <c r="O54">
        <v>1</v>
      </c>
      <c r="P54" t="s">
        <v>376</v>
      </c>
      <c r="Q54">
        <v>1</v>
      </c>
      <c r="R54" t="s">
        <v>376</v>
      </c>
      <c r="S54">
        <v>1</v>
      </c>
      <c r="T54" t="s">
        <v>376</v>
      </c>
      <c r="U54">
        <v>1</v>
      </c>
      <c r="V54" t="s">
        <v>376</v>
      </c>
      <c r="W54">
        <v>1</v>
      </c>
      <c r="X54" t="s">
        <v>376</v>
      </c>
      <c r="Y54">
        <v>1</v>
      </c>
      <c r="Z54" t="s">
        <v>376</v>
      </c>
      <c r="AA54">
        <v>1</v>
      </c>
      <c r="AB54">
        <v>3</v>
      </c>
      <c r="AC54">
        <v>10</v>
      </c>
      <c r="AD54" t="s">
        <v>376</v>
      </c>
      <c r="AE54" t="s">
        <v>376</v>
      </c>
      <c r="AF54" t="s">
        <v>376</v>
      </c>
      <c r="AG54" t="s">
        <v>376</v>
      </c>
      <c r="AH54" t="s">
        <v>376</v>
      </c>
      <c r="AI54" t="s">
        <v>376</v>
      </c>
      <c r="AJ54" t="s">
        <v>376</v>
      </c>
      <c r="AK54" t="s">
        <v>376</v>
      </c>
      <c r="AL54">
        <v>2</v>
      </c>
    </row>
    <row r="55" spans="6:38" x14ac:dyDescent="0.25">
      <c r="F55" s="16">
        <v>39</v>
      </c>
      <c r="G55" s="104">
        <v>61</v>
      </c>
      <c r="H55">
        <v>8</v>
      </c>
      <c r="I55">
        <v>12</v>
      </c>
      <c r="J55">
        <v>1</v>
      </c>
      <c r="K55">
        <v>12</v>
      </c>
      <c r="L55" t="s">
        <v>376</v>
      </c>
      <c r="M55">
        <v>1</v>
      </c>
      <c r="N55" t="s">
        <v>376</v>
      </c>
      <c r="O55">
        <v>1</v>
      </c>
      <c r="P55" t="s">
        <v>376</v>
      </c>
      <c r="Q55">
        <v>1</v>
      </c>
      <c r="R55" t="s">
        <v>376</v>
      </c>
      <c r="S55">
        <v>1</v>
      </c>
      <c r="T55" t="s">
        <v>376</v>
      </c>
      <c r="U55">
        <v>1</v>
      </c>
      <c r="V55" t="s">
        <v>376</v>
      </c>
      <c r="W55">
        <v>1</v>
      </c>
      <c r="X55" t="s">
        <v>376</v>
      </c>
      <c r="Y55">
        <v>1</v>
      </c>
      <c r="Z55" t="s">
        <v>376</v>
      </c>
      <c r="AA55">
        <v>1</v>
      </c>
      <c r="AB55">
        <v>1</v>
      </c>
      <c r="AC55">
        <v>10</v>
      </c>
      <c r="AD55" t="s">
        <v>376</v>
      </c>
      <c r="AE55" t="s">
        <v>376</v>
      </c>
      <c r="AF55" t="s">
        <v>376</v>
      </c>
      <c r="AG55" t="s">
        <v>376</v>
      </c>
      <c r="AH55" t="s">
        <v>376</v>
      </c>
      <c r="AI55" t="s">
        <v>376</v>
      </c>
      <c r="AJ55" t="s">
        <v>376</v>
      </c>
      <c r="AK55" t="s">
        <v>376</v>
      </c>
      <c r="AL55">
        <v>2</v>
      </c>
    </row>
    <row r="56" spans="6:38" x14ac:dyDescent="0.25">
      <c r="F56" s="16">
        <v>40</v>
      </c>
      <c r="G56" s="104">
        <v>62</v>
      </c>
      <c r="H56">
        <v>21</v>
      </c>
      <c r="I56">
        <v>24</v>
      </c>
      <c r="J56">
        <v>19</v>
      </c>
      <c r="K56">
        <v>23</v>
      </c>
      <c r="L56" t="s">
        <v>376</v>
      </c>
      <c r="M56">
        <v>1</v>
      </c>
      <c r="N56" t="s">
        <v>376</v>
      </c>
      <c r="O56">
        <v>1</v>
      </c>
      <c r="P56" t="s">
        <v>376</v>
      </c>
      <c r="Q56">
        <v>1</v>
      </c>
      <c r="R56" t="s">
        <v>376</v>
      </c>
      <c r="S56">
        <v>1</v>
      </c>
      <c r="T56" t="s">
        <v>376</v>
      </c>
      <c r="U56">
        <v>1</v>
      </c>
      <c r="V56" t="s">
        <v>376</v>
      </c>
      <c r="W56">
        <v>1</v>
      </c>
      <c r="X56" t="s">
        <v>376</v>
      </c>
      <c r="Y56">
        <v>1</v>
      </c>
      <c r="Z56" t="s">
        <v>376</v>
      </c>
      <c r="AA56">
        <v>1</v>
      </c>
      <c r="AB56">
        <v>1</v>
      </c>
      <c r="AC56">
        <v>2</v>
      </c>
      <c r="AD56" t="s">
        <v>376</v>
      </c>
      <c r="AE56" t="s">
        <v>376</v>
      </c>
      <c r="AF56" t="s">
        <v>376</v>
      </c>
      <c r="AG56" t="s">
        <v>376</v>
      </c>
      <c r="AH56" t="s">
        <v>376</v>
      </c>
      <c r="AI56" t="s">
        <v>376</v>
      </c>
      <c r="AJ56" t="s">
        <v>376</v>
      </c>
      <c r="AK56" t="s">
        <v>376</v>
      </c>
      <c r="AL56">
        <v>2</v>
      </c>
    </row>
    <row r="57" spans="6:38" x14ac:dyDescent="0.25">
      <c r="F57" s="16">
        <v>41</v>
      </c>
      <c r="G57" s="104">
        <v>63</v>
      </c>
      <c r="H57">
        <v>15</v>
      </c>
      <c r="I57">
        <v>19</v>
      </c>
      <c r="J57">
        <v>11</v>
      </c>
      <c r="K57">
        <v>16</v>
      </c>
      <c r="L57" t="s">
        <v>376</v>
      </c>
      <c r="M57">
        <v>1</v>
      </c>
      <c r="N57" t="s">
        <v>376</v>
      </c>
      <c r="O57">
        <v>1</v>
      </c>
      <c r="P57" t="s">
        <v>376</v>
      </c>
      <c r="Q57">
        <v>1</v>
      </c>
      <c r="R57" t="s">
        <v>376</v>
      </c>
      <c r="S57">
        <v>1</v>
      </c>
      <c r="T57" t="s">
        <v>376</v>
      </c>
      <c r="U57">
        <v>1</v>
      </c>
      <c r="V57" t="s">
        <v>376</v>
      </c>
      <c r="W57">
        <v>1</v>
      </c>
      <c r="X57" t="s">
        <v>376</v>
      </c>
      <c r="Y57">
        <v>1</v>
      </c>
      <c r="Z57" t="s">
        <v>376</v>
      </c>
      <c r="AA57">
        <v>1</v>
      </c>
      <c r="AB57">
        <v>1</v>
      </c>
      <c r="AC57">
        <v>2</v>
      </c>
      <c r="AD57" t="s">
        <v>376</v>
      </c>
      <c r="AE57" t="s">
        <v>376</v>
      </c>
      <c r="AF57" t="s">
        <v>376</v>
      </c>
      <c r="AG57" t="s">
        <v>376</v>
      </c>
      <c r="AH57" t="s">
        <v>376</v>
      </c>
      <c r="AI57" t="s">
        <v>376</v>
      </c>
      <c r="AJ57" t="s">
        <v>376</v>
      </c>
      <c r="AK57" t="s">
        <v>376</v>
      </c>
      <c r="AL57">
        <v>2</v>
      </c>
    </row>
    <row r="58" spans="6:38" x14ac:dyDescent="0.25">
      <c r="F58" s="16">
        <v>42</v>
      </c>
      <c r="G58" s="104">
        <v>64</v>
      </c>
      <c r="H58">
        <v>10</v>
      </c>
      <c r="I58">
        <v>12</v>
      </c>
      <c r="J58">
        <v>8</v>
      </c>
      <c r="K58">
        <v>11</v>
      </c>
      <c r="L58" t="s">
        <v>376</v>
      </c>
      <c r="M58">
        <v>1</v>
      </c>
      <c r="N58" t="s">
        <v>376</v>
      </c>
      <c r="O58">
        <v>1</v>
      </c>
      <c r="P58" t="s">
        <v>376</v>
      </c>
      <c r="Q58">
        <v>1</v>
      </c>
      <c r="R58" t="s">
        <v>376</v>
      </c>
      <c r="S58">
        <v>1</v>
      </c>
      <c r="T58" t="s">
        <v>376</v>
      </c>
      <c r="U58">
        <v>1</v>
      </c>
      <c r="V58" t="s">
        <v>376</v>
      </c>
      <c r="W58">
        <v>1</v>
      </c>
      <c r="X58" t="s">
        <v>376</v>
      </c>
      <c r="Y58">
        <v>1</v>
      </c>
      <c r="Z58" t="s">
        <v>376</v>
      </c>
      <c r="AA58">
        <v>1</v>
      </c>
      <c r="AB58">
        <v>3</v>
      </c>
      <c r="AC58">
        <v>9</v>
      </c>
      <c r="AD58" t="s">
        <v>376</v>
      </c>
      <c r="AE58" t="s">
        <v>376</v>
      </c>
      <c r="AF58" t="s">
        <v>376</v>
      </c>
      <c r="AG58" t="s">
        <v>376</v>
      </c>
      <c r="AH58" t="s">
        <v>376</v>
      </c>
      <c r="AI58" t="s">
        <v>376</v>
      </c>
      <c r="AJ58" t="s">
        <v>376</v>
      </c>
      <c r="AK58" t="s">
        <v>376</v>
      </c>
      <c r="AL58">
        <v>2</v>
      </c>
    </row>
    <row r="59" spans="6:38" x14ac:dyDescent="0.25">
      <c r="F59">
        <v>43</v>
      </c>
      <c r="G59" s="104">
        <v>65</v>
      </c>
      <c r="H59">
        <v>16</v>
      </c>
      <c r="I59">
        <v>18</v>
      </c>
      <c r="J59">
        <v>14</v>
      </c>
      <c r="K59">
        <v>16</v>
      </c>
      <c r="L59" t="s">
        <v>376</v>
      </c>
      <c r="M59">
        <v>1</v>
      </c>
      <c r="N59" t="s">
        <v>376</v>
      </c>
      <c r="O59">
        <v>1</v>
      </c>
      <c r="P59" t="s">
        <v>376</v>
      </c>
      <c r="Q59">
        <v>1</v>
      </c>
      <c r="R59" t="s">
        <v>376</v>
      </c>
      <c r="S59">
        <v>1</v>
      </c>
      <c r="T59" t="s">
        <v>376</v>
      </c>
      <c r="U59">
        <v>1</v>
      </c>
      <c r="V59" t="s">
        <v>376</v>
      </c>
      <c r="W59">
        <v>1</v>
      </c>
      <c r="X59" t="s">
        <v>376</v>
      </c>
      <c r="Y59">
        <v>1</v>
      </c>
      <c r="Z59" t="s">
        <v>376</v>
      </c>
      <c r="AA59">
        <v>1</v>
      </c>
      <c r="AB59">
        <v>1</v>
      </c>
      <c r="AC59">
        <v>3</v>
      </c>
      <c r="AD59" t="s">
        <v>376</v>
      </c>
      <c r="AE59" t="s">
        <v>376</v>
      </c>
      <c r="AF59" t="s">
        <v>376</v>
      </c>
      <c r="AG59" t="s">
        <v>376</v>
      </c>
      <c r="AH59" t="s">
        <v>376</v>
      </c>
      <c r="AI59" t="s">
        <v>376</v>
      </c>
      <c r="AJ59" t="s">
        <v>376</v>
      </c>
      <c r="AK59" t="s">
        <v>376</v>
      </c>
      <c r="AL59">
        <v>2</v>
      </c>
    </row>
    <row r="60" spans="6:38" x14ac:dyDescent="0.25">
      <c r="F60">
        <v>44</v>
      </c>
      <c r="G60" s="104">
        <v>66</v>
      </c>
      <c r="H60">
        <v>55</v>
      </c>
      <c r="I60">
        <v>73</v>
      </c>
      <c r="J60">
        <v>46</v>
      </c>
      <c r="K60">
        <v>71</v>
      </c>
      <c r="L60" t="s">
        <v>376</v>
      </c>
      <c r="M60">
        <v>1</v>
      </c>
      <c r="N60" t="s">
        <v>376</v>
      </c>
      <c r="O60">
        <v>1</v>
      </c>
      <c r="P60" t="s">
        <v>376</v>
      </c>
      <c r="Q60">
        <v>1</v>
      </c>
      <c r="R60" t="s">
        <v>376</v>
      </c>
      <c r="S60">
        <v>1</v>
      </c>
      <c r="T60" t="s">
        <v>376</v>
      </c>
      <c r="U60">
        <v>1</v>
      </c>
      <c r="V60" t="s">
        <v>376</v>
      </c>
      <c r="W60">
        <v>1</v>
      </c>
      <c r="X60" t="s">
        <v>376</v>
      </c>
      <c r="Y60">
        <v>1</v>
      </c>
      <c r="Z60" t="s">
        <v>376</v>
      </c>
      <c r="AA60">
        <v>1</v>
      </c>
      <c r="AB60">
        <v>1</v>
      </c>
      <c r="AC60">
        <v>2</v>
      </c>
      <c r="AD60" t="s">
        <v>376</v>
      </c>
      <c r="AE60" t="s">
        <v>376</v>
      </c>
      <c r="AF60" t="s">
        <v>376</v>
      </c>
      <c r="AG60" t="s">
        <v>376</v>
      </c>
      <c r="AH60" t="s">
        <v>376</v>
      </c>
      <c r="AI60" t="s">
        <v>376</v>
      </c>
      <c r="AJ60" t="s">
        <v>376</v>
      </c>
      <c r="AK60" t="s">
        <v>376</v>
      </c>
      <c r="AL60">
        <v>2</v>
      </c>
    </row>
    <row r="61" spans="6:38" x14ac:dyDescent="0.25">
      <c r="F61">
        <v>45</v>
      </c>
      <c r="G61" s="104">
        <v>67</v>
      </c>
      <c r="H61">
        <v>55</v>
      </c>
      <c r="I61">
        <v>67</v>
      </c>
      <c r="J61">
        <v>45</v>
      </c>
      <c r="K61">
        <v>62</v>
      </c>
      <c r="L61" t="s">
        <v>376</v>
      </c>
      <c r="M61">
        <v>1</v>
      </c>
      <c r="N61" t="s">
        <v>376</v>
      </c>
      <c r="O61">
        <v>1</v>
      </c>
      <c r="P61" t="s">
        <v>376</v>
      </c>
      <c r="Q61">
        <v>1</v>
      </c>
      <c r="R61" t="s">
        <v>376</v>
      </c>
      <c r="S61">
        <v>1</v>
      </c>
      <c r="T61" t="s">
        <v>376</v>
      </c>
      <c r="U61">
        <v>1</v>
      </c>
      <c r="V61" t="s">
        <v>376</v>
      </c>
      <c r="W61">
        <v>1</v>
      </c>
      <c r="X61" t="s">
        <v>376</v>
      </c>
      <c r="Y61">
        <v>1</v>
      </c>
      <c r="Z61" t="s">
        <v>376</v>
      </c>
      <c r="AA61">
        <v>1</v>
      </c>
      <c r="AB61">
        <v>4</v>
      </c>
      <c r="AC61">
        <v>6</v>
      </c>
      <c r="AD61" t="s">
        <v>376</v>
      </c>
      <c r="AE61" t="s">
        <v>376</v>
      </c>
      <c r="AF61" t="s">
        <v>376</v>
      </c>
      <c r="AG61" t="s">
        <v>376</v>
      </c>
      <c r="AH61" t="s">
        <v>376</v>
      </c>
      <c r="AI61" t="s">
        <v>376</v>
      </c>
      <c r="AJ61" t="s">
        <v>376</v>
      </c>
      <c r="AK61" t="s">
        <v>376</v>
      </c>
      <c r="AL61">
        <v>2</v>
      </c>
    </row>
    <row r="62" spans="6:38" x14ac:dyDescent="0.25">
      <c r="F62">
        <v>46</v>
      </c>
      <c r="G62" s="104">
        <v>68</v>
      </c>
      <c r="H62">
        <v>33</v>
      </c>
      <c r="I62">
        <v>43</v>
      </c>
      <c r="J62">
        <v>31</v>
      </c>
      <c r="K62">
        <v>44</v>
      </c>
      <c r="L62" t="s">
        <v>376</v>
      </c>
      <c r="M62">
        <v>1</v>
      </c>
      <c r="N62" t="s">
        <v>376</v>
      </c>
      <c r="O62">
        <v>1</v>
      </c>
      <c r="P62" t="s">
        <v>376</v>
      </c>
      <c r="Q62">
        <v>1</v>
      </c>
      <c r="R62" t="s">
        <v>376</v>
      </c>
      <c r="S62">
        <v>1</v>
      </c>
      <c r="T62" t="s">
        <v>376</v>
      </c>
      <c r="U62">
        <v>1</v>
      </c>
      <c r="V62" t="s">
        <v>376</v>
      </c>
      <c r="W62">
        <v>1</v>
      </c>
      <c r="X62" t="s">
        <v>376</v>
      </c>
      <c r="Y62">
        <v>1</v>
      </c>
      <c r="Z62" t="s">
        <v>376</v>
      </c>
      <c r="AA62">
        <v>1</v>
      </c>
      <c r="AB62">
        <v>3</v>
      </c>
      <c r="AC62">
        <v>4</v>
      </c>
      <c r="AD62" t="s">
        <v>376</v>
      </c>
      <c r="AE62" t="s">
        <v>376</v>
      </c>
      <c r="AF62" t="s">
        <v>376</v>
      </c>
      <c r="AG62" t="s">
        <v>376</v>
      </c>
      <c r="AH62" t="s">
        <v>376</v>
      </c>
      <c r="AI62" t="s">
        <v>376</v>
      </c>
      <c r="AJ62" t="s">
        <v>376</v>
      </c>
      <c r="AK62" t="s">
        <v>376</v>
      </c>
      <c r="AL62">
        <v>2</v>
      </c>
    </row>
    <row r="63" spans="6:38" x14ac:dyDescent="0.25">
      <c r="F63">
        <v>47</v>
      </c>
      <c r="G63" t="s">
        <v>384</v>
      </c>
      <c r="H63">
        <v>57</v>
      </c>
      <c r="I63">
        <v>84</v>
      </c>
      <c r="J63">
        <v>13</v>
      </c>
      <c r="K63">
        <v>80</v>
      </c>
      <c r="L63" t="s">
        <v>376</v>
      </c>
      <c r="M63">
        <v>1</v>
      </c>
      <c r="N63" t="s">
        <v>376</v>
      </c>
      <c r="O63">
        <v>1</v>
      </c>
      <c r="P63" t="s">
        <v>376</v>
      </c>
      <c r="Q63">
        <v>1</v>
      </c>
      <c r="R63" t="s">
        <v>376</v>
      </c>
      <c r="S63">
        <v>1</v>
      </c>
      <c r="T63" t="s">
        <v>376</v>
      </c>
      <c r="U63">
        <v>1</v>
      </c>
      <c r="V63" t="s">
        <v>376</v>
      </c>
      <c r="W63">
        <v>1</v>
      </c>
      <c r="X63" t="s">
        <v>376</v>
      </c>
      <c r="Y63">
        <v>1</v>
      </c>
      <c r="Z63" t="s">
        <v>376</v>
      </c>
      <c r="AA63">
        <v>1</v>
      </c>
      <c r="AB63">
        <v>9</v>
      </c>
      <c r="AC63">
        <v>10</v>
      </c>
      <c r="AD63" t="s">
        <v>376</v>
      </c>
      <c r="AE63" t="s">
        <v>376</v>
      </c>
      <c r="AF63" t="s">
        <v>376</v>
      </c>
      <c r="AG63" t="s">
        <v>376</v>
      </c>
      <c r="AH63" t="s">
        <v>376</v>
      </c>
      <c r="AI63" t="s">
        <v>376</v>
      </c>
      <c r="AJ63" t="s">
        <v>376</v>
      </c>
      <c r="AK63" t="s">
        <v>376</v>
      </c>
      <c r="AL63">
        <v>2</v>
      </c>
    </row>
    <row r="64" spans="6:38" x14ac:dyDescent="0.25">
      <c r="H64" t="s">
        <v>377</v>
      </c>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6" t="s">
        <v>13</v>
      </c>
      <c r="C2" s="257"/>
      <c r="H2" s="9" t="s">
        <v>127</v>
      </c>
      <c r="I2" s="10"/>
      <c r="J2" s="10"/>
      <c r="K2" s="10"/>
      <c r="L2" s="10"/>
      <c r="M2" s="10"/>
      <c r="N2" s="10"/>
      <c r="O2" s="10"/>
      <c r="P2" s="10"/>
      <c r="Q2" s="10"/>
      <c r="R2" s="10"/>
      <c r="S2" s="10"/>
      <c r="T2" s="10"/>
    </row>
    <row r="3" spans="2:26" ht="15.75" thickBot="1" x14ac:dyDescent="0.3">
      <c r="B3" s="4" t="s">
        <v>8</v>
      </c>
      <c r="C3" s="3" t="s">
        <v>7</v>
      </c>
      <c r="H3" t="s">
        <v>944</v>
      </c>
    </row>
    <row r="4" spans="2:26" x14ac:dyDescent="0.25">
      <c r="B4" s="5" t="str">
        <f>IF('DATA Input'!E5="","",'DATA Input'!E5)</f>
        <v>INDOIV</v>
      </c>
      <c r="C4" s="1">
        <f>IF(B4="","",1)</f>
        <v>1</v>
      </c>
      <c r="H4" t="s">
        <v>945</v>
      </c>
    </row>
    <row r="5" spans="2:26" x14ac:dyDescent="0.25">
      <c r="B5" s="5" t="str">
        <f>IF('DATA Input'!G5="","",'DATA Input'!G5)</f>
        <v>IBUIV</v>
      </c>
      <c r="C5" s="1">
        <f>IF(B5="","",C4+1)</f>
        <v>2</v>
      </c>
      <c r="H5" t="s">
        <v>946</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839</v>
      </c>
    </row>
    <row r="8" spans="2:26" x14ac:dyDescent="0.25">
      <c r="B8" s="5" t="str">
        <f>IF('DATA Input'!M$5="","",'DATA Input'!M$5)</f>
        <v>IBUIVHIGHDOSE</v>
      </c>
      <c r="C8" s="1">
        <f t="shared" si="0"/>
        <v>5</v>
      </c>
      <c r="H8" t="s">
        <v>840</v>
      </c>
    </row>
    <row r="9" spans="2:26" x14ac:dyDescent="0.25">
      <c r="B9" s="5" t="str">
        <f>IF('DATA Input'!O$5="","",'DATA Input'!O$5)</f>
        <v>IBUPOHIGHDOSE</v>
      </c>
      <c r="C9" s="1">
        <f t="shared" si="0"/>
        <v>6</v>
      </c>
      <c r="H9" t="s">
        <v>841</v>
      </c>
    </row>
    <row r="10" spans="2:26" x14ac:dyDescent="0.25">
      <c r="B10" s="5" t="str">
        <f>IF('DATA Input'!Q$5="","",'DATA Input'!Q$5)</f>
        <v>IBUIVCONT</v>
      </c>
      <c r="C10" s="1">
        <f t="shared" si="0"/>
        <v>7</v>
      </c>
      <c r="H10" s="258" t="s">
        <v>128</v>
      </c>
      <c r="I10" s="258"/>
      <c r="J10" s="258"/>
      <c r="K10" s="258"/>
      <c r="L10" s="258"/>
      <c r="M10" s="258"/>
      <c r="N10" s="258"/>
      <c r="O10" s="258"/>
      <c r="P10" s="258"/>
      <c r="Q10" s="258"/>
      <c r="R10" s="258"/>
      <c r="S10" s="258"/>
      <c r="T10" s="258"/>
      <c r="U10" s="258"/>
      <c r="V10" s="258"/>
      <c r="W10" s="258"/>
    </row>
    <row r="11" spans="2:26" x14ac:dyDescent="0.25">
      <c r="B11" s="5" t="str">
        <f>IF('DATA Input'!S$5="","",'DATA Input'!S$5)</f>
        <v>INDOIVCONT</v>
      </c>
      <c r="C11" s="1">
        <f t="shared" si="0"/>
        <v>8</v>
      </c>
      <c r="H11" t="s">
        <v>385</v>
      </c>
    </row>
    <row r="12" spans="2:26" x14ac:dyDescent="0.25">
      <c r="B12" s="5" t="str">
        <f>IF('DATA Input'!U$5="","",'DATA Input'!U$5)</f>
        <v>INDOTHERS</v>
      </c>
      <c r="C12" s="1">
        <f t="shared" si="0"/>
        <v>9</v>
      </c>
      <c r="F12" s="51"/>
      <c r="G12" s="7"/>
      <c r="H12" s="16"/>
      <c r="I12" s="16"/>
      <c r="J12" s="16"/>
      <c r="K12" s="16"/>
      <c r="L12" s="16"/>
      <c r="M12" s="16"/>
      <c r="N12" s="16"/>
      <c r="O12" s="16"/>
      <c r="P12" s="16"/>
      <c r="Q12" s="16"/>
    </row>
    <row r="13" spans="2:26" x14ac:dyDescent="0.25">
      <c r="B13" s="5" t="str">
        <f>IF('DATA Input'!W$5="","",'DATA Input'!W$5)</f>
        <v>PLAC_NORX</v>
      </c>
      <c r="C13" s="1">
        <f t="shared" si="0"/>
        <v>10</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tabSelected="1" workbookViewId="0">
      <selection activeCell="K43" sqref="K43"/>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280</v>
      </c>
    </row>
    <row r="6" spans="4:5" ht="15.75" thickBot="1" x14ac:dyDescent="0.3">
      <c r="D6" s="207" t="s">
        <v>274</v>
      </c>
      <c r="E6" s="208" t="s">
        <v>275</v>
      </c>
    </row>
    <row r="7" spans="4:5" x14ac:dyDescent="0.25">
      <c r="D7" s="205" t="s">
        <v>287</v>
      </c>
      <c r="E7" s="206">
        <f>num_treatments</f>
        <v>10</v>
      </c>
    </row>
    <row r="8" spans="4:5" x14ac:dyDescent="0.25">
      <c r="D8" s="179" t="s">
        <v>14</v>
      </c>
      <c r="E8" s="181">
        <f>num_studies</f>
        <v>47</v>
      </c>
    </row>
    <row r="9" spans="4:5" x14ac:dyDescent="0.25">
      <c r="D9" s="179" t="s">
        <v>288</v>
      </c>
      <c r="E9" s="182">
        <f>max_total</f>
        <v>4256</v>
      </c>
    </row>
    <row r="10" spans="4:5" x14ac:dyDescent="0.25">
      <c r="D10" s="179" t="s">
        <v>289</v>
      </c>
      <c r="E10" s="182">
        <f>SUM('DATA Input'!E7:E55,'DATA Input'!G7:G56,'DATA Input'!I7:I56,'DATA Input'!K7:K56,'DATA Input'!M7:M56,'DATA Input'!O7:O56,'DATA Input'!Q7:Q56,'DATA Input'!S7:S56,'DATA Input'!U7:U56,'DATA Input'!W7:W56,'DATA Input'!Y7:Y56,'DATA Input'!AA7:AA56,'DATA Input'!AC7:AC56,'DATA Input'!AE7:AE56,'DATA Input'!AG7:AG56)</f>
        <v>2867</v>
      </c>
    </row>
    <row r="11" spans="4:5" x14ac:dyDescent="0.25">
      <c r="D11" s="179" t="s">
        <v>290</v>
      </c>
      <c r="E11" s="181">
        <f>COMBIN(E7,2)</f>
        <v>45</v>
      </c>
    </row>
    <row r="12" spans="4:5" x14ac:dyDescent="0.25">
      <c r="D12" s="179" t="s">
        <v>291</v>
      </c>
      <c r="E12" s="181">
        <f>Unique_connections(list)</f>
        <v>17</v>
      </c>
    </row>
    <row r="13" spans="4:5" x14ac:dyDescent="0.25">
      <c r="D13" s="179" t="s">
        <v>292</v>
      </c>
      <c r="E13" s="181">
        <f ca="1">COUNTIF(OFFSET('WINBUGS data'!G17:G66,0,MATCH("na[]",'WINBUGS data'!H16:BE16,0)),"2")</f>
        <v>47</v>
      </c>
    </row>
    <row r="14" spans="4:5" x14ac:dyDescent="0.25">
      <c r="D14" s="179" t="s">
        <v>293</v>
      </c>
      <c r="E14" s="181">
        <f ca="1">COUNTIF(OFFSET('WINBUGS data'!G17:G66,0,MATCH("na[]",'WINBUGS data'!H16:BE16,0)),"&gt;2")</f>
        <v>0</v>
      </c>
    </row>
    <row r="15" spans="4:5" x14ac:dyDescent="0.25">
      <c r="D15" s="179" t="s">
        <v>296</v>
      </c>
      <c r="E15" s="181">
        <f>No_zero('DATA Input'!E7:AH56)</f>
        <v>47</v>
      </c>
    </row>
    <row r="16" spans="4:5" x14ac:dyDescent="0.25">
      <c r="D16" s="179" t="s">
        <v>294</v>
      </c>
      <c r="E16" s="181">
        <f>num_studies-E15</f>
        <v>0</v>
      </c>
    </row>
    <row r="17" spans="4:11" ht="15.75" thickBot="1" x14ac:dyDescent="0.3">
      <c r="D17" s="180" t="s">
        <v>295</v>
      </c>
      <c r="E17" s="183">
        <f>All_zero('DATA Input'!E7:AH56)</f>
        <v>0</v>
      </c>
    </row>
    <row r="18" spans="4:11" x14ac:dyDescent="0.25">
      <c r="D18" s="177"/>
    </row>
    <row r="19" spans="4:11" hidden="1" x14ac:dyDescent="0.25">
      <c r="D19" s="177"/>
    </row>
    <row r="20" spans="4:11" x14ac:dyDescent="0.25">
      <c r="D20" s="177"/>
    </row>
    <row r="21" spans="4:11" ht="16.5" thickBot="1" x14ac:dyDescent="0.3">
      <c r="D21" s="259" t="s">
        <v>286</v>
      </c>
      <c r="E21" s="259"/>
      <c r="F21" s="259"/>
    </row>
    <row r="22" spans="4:11" ht="8.25" hidden="1" customHeight="1" thickBot="1" x14ac:dyDescent="0.3">
      <c r="D22" s="194" t="s">
        <v>277</v>
      </c>
      <c r="E22" s="194"/>
      <c r="F22" s="194"/>
      <c r="G22" s="194"/>
      <c r="H22" s="194"/>
      <c r="I22" s="194"/>
      <c r="J22" s="194"/>
      <c r="K22" s="47"/>
    </row>
    <row r="23" spans="4:11" ht="15.75" thickBot="1" x14ac:dyDescent="0.3">
      <c r="D23" s="212" t="s">
        <v>277</v>
      </c>
      <c r="E23" s="213" t="s">
        <v>283</v>
      </c>
      <c r="F23" s="213" t="s">
        <v>278</v>
      </c>
      <c r="G23" s="213" t="s">
        <v>279</v>
      </c>
      <c r="H23" s="213" t="s">
        <v>284</v>
      </c>
      <c r="I23" s="213" t="s">
        <v>281</v>
      </c>
      <c r="J23" s="208" t="s">
        <v>282</v>
      </c>
    </row>
    <row r="24" spans="4:11" x14ac:dyDescent="0.25">
      <c r="D24" s="205" t="str">
        <f>IF('DATA Input'!$E$5="","",'DATA Input'!$E$5)</f>
        <v>INDOIV</v>
      </c>
      <c r="E24" s="209">
        <f>COUNTIF('DATA Input'!$F$7:$F$56,"&lt;&gt;")</f>
        <v>24</v>
      </c>
      <c r="F24" s="209">
        <f>SUM('DATA Input'!$E$7:$E$56)</f>
        <v>849</v>
      </c>
      <c r="G24" s="209">
        <f>SUM('DATA Input'!$F$7:$F$56)</f>
        <v>1125</v>
      </c>
      <c r="H24" s="210">
        <f>F24/G24</f>
        <v>0.75466666666666671</v>
      </c>
      <c r="I24" s="210">
        <f>MinRate(1,'DATA Input'!$E$7:$AH$56)</f>
        <v>0.58333331346511841</v>
      </c>
      <c r="J24" s="211">
        <f>MaxRate(1,'DATA Input'!$E$7:$AH$56)</f>
        <v>0.94594591856002808</v>
      </c>
    </row>
    <row r="25" spans="4:11" x14ac:dyDescent="0.25">
      <c r="D25" s="179" t="str">
        <f>IF('DATA Input'!$G$5="","",'DATA Input'!$G$5)</f>
        <v>IBUIV</v>
      </c>
      <c r="E25" s="185">
        <f>COUNTIF('DATA Input'!$H$7:$H$56,"&lt;&gt;")</f>
        <v>20</v>
      </c>
      <c r="F25" s="184">
        <f>SUM('DATA Input'!$G$7:$G$56)</f>
        <v>542</v>
      </c>
      <c r="G25" s="185">
        <f>SUM('DATA Input'!$H$7:$H$56)</f>
        <v>786</v>
      </c>
      <c r="H25" s="188">
        <f t="shared" ref="H25:H38" si="0">F25/G25</f>
        <v>0.68956743002544529</v>
      </c>
      <c r="I25" s="188">
        <f>MinRate(2,'DATA Input'!$E$7:$AH$56)</f>
        <v>0.57142859697341919</v>
      </c>
      <c r="J25" s="190">
        <f>MaxRate(2,'DATA Input'!$E$7:$AH$56)</f>
        <v>0.84375</v>
      </c>
    </row>
    <row r="26" spans="4:11" x14ac:dyDescent="0.25">
      <c r="D26" s="179" t="str">
        <f>IF('DATA Input'!$I$5="","",'DATA Input'!$I$5)</f>
        <v>IBUPO</v>
      </c>
      <c r="E26" s="185">
        <f>COUNTIF('DATA Input'!$J$7:$J$56,"&lt;&gt;")</f>
        <v>21</v>
      </c>
      <c r="F26" s="184">
        <f>SUM('DATA Input'!$I$7:$I$56)</f>
        <v>486</v>
      </c>
      <c r="G26" s="185">
        <f>SUM('DATA Input'!$J$7:$J$56)</f>
        <v>650</v>
      </c>
      <c r="H26" s="188">
        <f t="shared" si="0"/>
        <v>0.74769230769230766</v>
      </c>
      <c r="I26" s="188">
        <f>MinRate(3,'DATA Input'!$E$7:$AH$56)</f>
        <v>0.36666667461395264</v>
      </c>
      <c r="J26" s="190">
        <f>MaxRate(3,'DATA Input'!$E$7:$AH$56)</f>
        <v>1</v>
      </c>
    </row>
    <row r="27" spans="4:11" x14ac:dyDescent="0.25">
      <c r="D27" s="179" t="str">
        <f>IF('DATA Input'!$K$5="","",'DATA Input'!$K$5)</f>
        <v>PARAPO</v>
      </c>
      <c r="E27" s="184">
        <f>COUNTIF('DATA Input'!$L$7:$L$56,"&lt;&gt;")</f>
        <v>5</v>
      </c>
      <c r="F27" s="184">
        <f>SUM('DATA Input'!$K$7:$K$56)</f>
        <v>195</v>
      </c>
      <c r="G27" s="184">
        <f>SUM('DATA Input'!$L$7:$L$56)</f>
        <v>267</v>
      </c>
      <c r="H27" s="188">
        <f t="shared" si="0"/>
        <v>0.7303370786516854</v>
      </c>
      <c r="I27" s="188">
        <f>MinRate(4,'DATA Input'!$E$7:$AH$56)</f>
        <v>0.5625</v>
      </c>
      <c r="J27" s="190">
        <f>MaxRate(4,'DATA Input'!$E$7:$AH$56)</f>
        <v>0.97222220897674561</v>
      </c>
    </row>
    <row r="28" spans="4:11" x14ac:dyDescent="0.25">
      <c r="D28" s="179" t="str">
        <f>IF('DATA Input'!$M$5="","",'DATA Input'!$M$5)</f>
        <v>IBUIVHIGHDOSE</v>
      </c>
      <c r="E28" s="184">
        <f>COUNTIF('DATA Input'!$N$7:$N$56,"&lt;&gt;")</f>
        <v>1</v>
      </c>
      <c r="F28" s="184">
        <f>SUM('DATA Input'!$M$7:$M$56)</f>
        <v>30</v>
      </c>
      <c r="G28" s="184">
        <f>SUM('DATA Input'!$N$7:$N$56)</f>
        <v>35</v>
      </c>
      <c r="H28" s="188">
        <f t="shared" si="0"/>
        <v>0.8571428571428571</v>
      </c>
      <c r="I28" s="188">
        <f>MinRate(5,'DATA Input'!$E$7:$AH$56)</f>
        <v>0.8571428656578064</v>
      </c>
      <c r="J28" s="190">
        <f>MaxRate(5,'DATA Input'!$E$7:$AH$56)</f>
        <v>0.8571428656578064</v>
      </c>
    </row>
    <row r="29" spans="4:11" x14ac:dyDescent="0.25">
      <c r="D29" s="179" t="str">
        <f>IF('DATA Input'!$O$5="","",'DATA Input'!$O$5)</f>
        <v>IBUPOHIGHDOSE</v>
      </c>
      <c r="E29" s="184">
        <f>COUNTIF('DATA Input'!$P$7:$P$56,"&lt;&gt;")</f>
        <v>3</v>
      </c>
      <c r="F29" s="184">
        <f>SUM('DATA Input'!$O$7:$O$56)</f>
        <v>90</v>
      </c>
      <c r="G29" s="184">
        <f>SUM('DATA Input'!$P$7:$P$56)</f>
        <v>122</v>
      </c>
      <c r="H29" s="188">
        <f t="shared" si="0"/>
        <v>0.73770491803278693</v>
      </c>
      <c r="I29" s="188">
        <f>MinRate(6,'DATA Input'!$E$7:$AH$56)</f>
        <v>0.69999998807907104</v>
      </c>
      <c r="J29" s="190">
        <f>MaxRate(6,'DATA Input'!$E$7:$AH$56)</f>
        <v>0.80000001192092896</v>
      </c>
    </row>
    <row r="30" spans="4:11" x14ac:dyDescent="0.25">
      <c r="D30" s="179" t="str">
        <f>IF('DATA Input'!$Q$5="","",'DATA Input'!$Q$5)</f>
        <v>IBUIVCONT</v>
      </c>
      <c r="E30" s="184">
        <f>COUNTIF('DATA Input'!$R$7:$R$56,"&lt;&gt;")</f>
        <v>1</v>
      </c>
      <c r="F30" s="184">
        <f>SUM('DATA Input'!$Q$7:$Q$56)</f>
        <v>27</v>
      </c>
      <c r="G30" s="184">
        <f>SUM('DATA Input'!$R$7:$R$56)</f>
        <v>55</v>
      </c>
      <c r="H30" s="188">
        <f t="shared" si="0"/>
        <v>0.49090909090909091</v>
      </c>
      <c r="I30" s="188">
        <f>MinRate(7,'DATA Input'!$E$7:$AH$56)</f>
        <v>0.49090909957885742</v>
      </c>
      <c r="J30" s="190">
        <f>MaxRate(7,'DATA Input'!$E$7:$AH$56)</f>
        <v>0.49090909957885742</v>
      </c>
    </row>
    <row r="31" spans="4:11" x14ac:dyDescent="0.25">
      <c r="D31" s="179" t="str">
        <f>IF('DATA Input'!$S$5="","",'DATA Input'!$S$5)</f>
        <v>INDOIVCONT</v>
      </c>
      <c r="E31" s="184">
        <f>COUNTIF('DATA Input'!$T$7:$T$56,"&lt;&gt;")</f>
        <v>3</v>
      </c>
      <c r="F31" s="184">
        <f>SUM('DATA Input'!$S$7:$S$56)</f>
        <v>41</v>
      </c>
      <c r="G31" s="184">
        <f>SUM('DATA Input'!$T$7:$T$56)</f>
        <v>58</v>
      </c>
      <c r="H31" s="188">
        <f t="shared" si="0"/>
        <v>0.7068965517241379</v>
      </c>
      <c r="I31" s="188">
        <f>MinRate(8,'DATA Input'!$E$7:$AH$56)</f>
        <v>0.55555558204650879</v>
      </c>
      <c r="J31" s="190">
        <f>MaxRate(8,'DATA Input'!$E$7:$AH$56)</f>
        <v>0.8888888955116272</v>
      </c>
    </row>
    <row r="32" spans="4:11" x14ac:dyDescent="0.25">
      <c r="D32" s="179" t="str">
        <f>IF('DATA Input'!$U$5="","",'DATA Input'!$U$5)</f>
        <v>INDOTHERS</v>
      </c>
      <c r="E32" s="184">
        <f>COUNTIF('DATA Input'!$V$7:$V$56,"&lt;&gt;")</f>
        <v>6</v>
      </c>
      <c r="F32" s="184">
        <f>SUM('DATA Input'!$U$7:$U$56)</f>
        <v>380</v>
      </c>
      <c r="G32" s="184">
        <f>SUM('DATA Input'!$V$7:$V$56)</f>
        <v>561</v>
      </c>
      <c r="H32" s="188">
        <f t="shared" si="0"/>
        <v>0.67736185383244207</v>
      </c>
      <c r="I32" s="188">
        <f>MinRate(9,'DATA Input'!$E$7:$AH$56)</f>
        <v>0.65714287757873535</v>
      </c>
      <c r="J32" s="190">
        <f>MaxRate(9,'DATA Input'!$E$7:$AH$56)</f>
        <v>0.83333331346511841</v>
      </c>
    </row>
    <row r="33" spans="4:10" ht="15.75" thickBot="1" x14ac:dyDescent="0.3">
      <c r="D33" s="179" t="str">
        <f>IF('DATA Input'!$W$5="","",'DATA Input'!$W$5)</f>
        <v>PLAC_NORX</v>
      </c>
      <c r="E33" s="184">
        <f>COUNTIF('DATA Input'!$X$7:$X$56,"&lt;&gt;")</f>
        <v>10</v>
      </c>
      <c r="F33" s="184">
        <f>SUM('DATA Input'!$W$7:$W$56)</f>
        <v>227</v>
      </c>
      <c r="G33" s="184">
        <f>SUM('DATA Input'!$X$7:$X$56)</f>
        <v>597</v>
      </c>
      <c r="H33" s="188">
        <f t="shared" si="0"/>
        <v>0.38023450586264657</v>
      </c>
      <c r="I33" s="188">
        <f>MinRate(10,'DATA Input'!$E$7:$AH$56)</f>
        <v>8.3333335816860199E-2</v>
      </c>
      <c r="J33" s="190">
        <f>MaxRate(10,'DATA Input'!$E$7:$AH$56)</f>
        <v>0.78378379344940186</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59" t="s">
        <v>285</v>
      </c>
      <c r="E41" s="259"/>
      <c r="F41" s="259"/>
    </row>
    <row r="42" spans="4:10" ht="15.75" thickBot="1" x14ac:dyDescent="0.3">
      <c r="D42" s="214" t="s">
        <v>276</v>
      </c>
      <c r="E42" s="213" t="s">
        <v>283</v>
      </c>
      <c r="F42" s="213" t="s">
        <v>279</v>
      </c>
      <c r="G42" s="208" t="s">
        <v>278</v>
      </c>
    </row>
    <row r="43" spans="4:10" x14ac:dyDescent="0.25">
      <c r="D43" s="216" t="s">
        <v>378</v>
      </c>
      <c r="E43" s="195">
        <v>4</v>
      </c>
      <c r="F43" s="196">
        <v>103</v>
      </c>
      <c r="G43" s="197">
        <v>79</v>
      </c>
    </row>
    <row r="44" spans="4:10" x14ac:dyDescent="0.25">
      <c r="D44" s="179" t="s">
        <v>379</v>
      </c>
      <c r="E44" s="184">
        <v>1</v>
      </c>
      <c r="F44" s="185">
        <v>136</v>
      </c>
      <c r="G44" s="182">
        <v>79</v>
      </c>
    </row>
    <row r="45" spans="4:10" x14ac:dyDescent="0.25">
      <c r="D45" s="179" t="s">
        <v>380</v>
      </c>
      <c r="E45" s="184">
        <v>1</v>
      </c>
      <c r="F45" s="185">
        <v>802</v>
      </c>
      <c r="G45" s="182">
        <v>555</v>
      </c>
    </row>
    <row r="46" spans="4:10" x14ac:dyDescent="0.25">
      <c r="D46" s="179" t="s">
        <v>381</v>
      </c>
      <c r="E46" s="184">
        <v>1</v>
      </c>
      <c r="F46" s="185">
        <v>73</v>
      </c>
      <c r="G46" s="182">
        <v>70</v>
      </c>
    </row>
    <row r="47" spans="4:10" x14ac:dyDescent="0.25">
      <c r="D47" s="179" t="s">
        <v>382</v>
      </c>
      <c r="E47" s="184">
        <v>4</v>
      </c>
      <c r="F47" s="185">
        <v>264</v>
      </c>
      <c r="G47" s="182">
        <v>187</v>
      </c>
    </row>
    <row r="48" spans="4:10" x14ac:dyDescent="0.25">
      <c r="D48" s="179" t="s">
        <v>386</v>
      </c>
      <c r="E48" s="184">
        <v>3</v>
      </c>
      <c r="F48" s="185">
        <v>327</v>
      </c>
      <c r="G48" s="182">
        <v>207</v>
      </c>
    </row>
    <row r="49" spans="4:7" x14ac:dyDescent="0.25">
      <c r="D49" s="179" t="s">
        <v>387</v>
      </c>
      <c r="E49" s="184">
        <v>4</v>
      </c>
      <c r="F49" s="185">
        <v>304</v>
      </c>
      <c r="G49" s="182">
        <v>228</v>
      </c>
    </row>
    <row r="50" spans="4:7" x14ac:dyDescent="0.25">
      <c r="D50" s="178" t="s">
        <v>388</v>
      </c>
      <c r="E50" s="184">
        <v>2</v>
      </c>
      <c r="F50" s="185">
        <v>50</v>
      </c>
      <c r="G50" s="182">
        <v>37</v>
      </c>
    </row>
    <row r="51" spans="4:7" x14ac:dyDescent="0.25">
      <c r="D51" s="217" t="s">
        <v>389</v>
      </c>
      <c r="E51" s="198">
        <v>4</v>
      </c>
      <c r="F51" s="200">
        <v>495</v>
      </c>
      <c r="G51" s="201">
        <v>252</v>
      </c>
    </row>
    <row r="52" spans="4:7" x14ac:dyDescent="0.25">
      <c r="D52" s="217" t="s">
        <v>390</v>
      </c>
      <c r="E52" s="198">
        <v>1</v>
      </c>
      <c r="F52" s="200">
        <v>63</v>
      </c>
      <c r="G52" s="201">
        <v>42</v>
      </c>
    </row>
    <row r="53" spans="4:7" x14ac:dyDescent="0.25">
      <c r="D53" s="217" t="s">
        <v>391</v>
      </c>
      <c r="E53" s="198">
        <v>1</v>
      </c>
      <c r="F53" s="200">
        <v>70</v>
      </c>
      <c r="G53" s="201">
        <v>52</v>
      </c>
    </row>
    <row r="54" spans="4:7" x14ac:dyDescent="0.25">
      <c r="D54" s="217" t="s">
        <v>392</v>
      </c>
      <c r="E54" s="198">
        <v>4</v>
      </c>
      <c r="F54" s="200">
        <v>162</v>
      </c>
      <c r="G54" s="201">
        <v>118</v>
      </c>
    </row>
    <row r="55" spans="4:7" x14ac:dyDescent="0.25">
      <c r="D55" s="217" t="s">
        <v>393</v>
      </c>
      <c r="E55" s="198">
        <v>12</v>
      </c>
      <c r="F55" s="200">
        <v>883</v>
      </c>
      <c r="G55" s="201">
        <v>656</v>
      </c>
    </row>
    <row r="56" spans="4:7" x14ac:dyDescent="0.25">
      <c r="D56" s="217" t="s">
        <v>394</v>
      </c>
      <c r="E56" s="198">
        <v>1</v>
      </c>
      <c r="F56" s="200">
        <v>111</v>
      </c>
      <c r="G56" s="201">
        <v>59</v>
      </c>
    </row>
    <row r="57" spans="4:7" x14ac:dyDescent="0.25">
      <c r="D57" s="217" t="s">
        <v>395</v>
      </c>
      <c r="E57" s="198">
        <v>2</v>
      </c>
      <c r="F57" s="200">
        <v>120</v>
      </c>
      <c r="G57" s="201">
        <v>76</v>
      </c>
    </row>
    <row r="58" spans="4:7" x14ac:dyDescent="0.25">
      <c r="D58" s="217" t="s">
        <v>941</v>
      </c>
      <c r="E58" s="198">
        <v>1</v>
      </c>
      <c r="F58" s="200">
        <v>129</v>
      </c>
      <c r="G58" s="201">
        <v>100</v>
      </c>
    </row>
    <row r="59" spans="4:7" ht="15.75" thickBot="1" x14ac:dyDescent="0.3">
      <c r="D59" s="217" t="s">
        <v>396</v>
      </c>
      <c r="E59" s="198">
        <v>1</v>
      </c>
      <c r="F59" s="200">
        <v>164</v>
      </c>
      <c r="G59" s="201">
        <v>70</v>
      </c>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zoomScale="55" zoomScaleNormal="55" workbookViewId="0">
      <selection activeCell="P1" sqref="P1:AV97"/>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53" t="s">
        <v>13</v>
      </c>
      <c r="C23" s="255"/>
    </row>
    <row r="24" spans="2:3" ht="15.75" thickBot="1" x14ac:dyDescent="0.3">
      <c r="B24" s="99" t="s">
        <v>8</v>
      </c>
      <c r="C24" s="95" t="s">
        <v>234</v>
      </c>
    </row>
    <row r="25" spans="2:3" x14ac:dyDescent="0.25">
      <c r="B25" s="100" t="str">
        <f>'WINBUGS data'!B4</f>
        <v>INDOIV</v>
      </c>
      <c r="C25" s="96" t="s">
        <v>298</v>
      </c>
    </row>
    <row r="26" spans="2:3" x14ac:dyDescent="0.25">
      <c r="B26" s="101" t="str">
        <f>'WINBUGS data'!B5</f>
        <v>IBUIV</v>
      </c>
      <c r="C26" s="97" t="s">
        <v>299</v>
      </c>
    </row>
    <row r="27" spans="2:3" x14ac:dyDescent="0.25">
      <c r="B27" s="101" t="str">
        <f>'WINBUGS data'!B6</f>
        <v>IBUPO</v>
      </c>
      <c r="C27" s="97" t="s">
        <v>300</v>
      </c>
    </row>
    <row r="28" spans="2:3" x14ac:dyDescent="0.25">
      <c r="B28" s="101" t="str">
        <f>'WINBUGS data'!B7</f>
        <v>PARAPO</v>
      </c>
      <c r="C28" s="97" t="s">
        <v>301</v>
      </c>
    </row>
    <row r="29" spans="2:3" x14ac:dyDescent="0.25">
      <c r="B29" s="101" t="str">
        <f>'WINBUGS data'!B8</f>
        <v>IBUIVHIGHDOSE</v>
      </c>
      <c r="C29" s="97" t="s">
        <v>302</v>
      </c>
    </row>
    <row r="30" spans="2:3" x14ac:dyDescent="0.25">
      <c r="B30" s="101" t="str">
        <f>'WINBUGS data'!B9</f>
        <v>IBUPOHIGHDOSE</v>
      </c>
      <c r="C30" s="97" t="s">
        <v>303</v>
      </c>
    </row>
    <row r="31" spans="2:3" x14ac:dyDescent="0.25">
      <c r="B31" s="101" t="str">
        <f>'WINBUGS data'!B10</f>
        <v>IBUIVCONT</v>
      </c>
      <c r="C31" s="97" t="s">
        <v>304</v>
      </c>
    </row>
    <row r="32" spans="2:3" x14ac:dyDescent="0.25">
      <c r="B32" s="101" t="str">
        <f>'WINBUGS data'!B11</f>
        <v>INDOIVCONT</v>
      </c>
      <c r="C32" s="97" t="s">
        <v>305</v>
      </c>
    </row>
    <row r="33" spans="2:3" x14ac:dyDescent="0.25">
      <c r="B33" s="101" t="str">
        <f>'WINBUGS data'!B12</f>
        <v>INDOTHERS</v>
      </c>
      <c r="C33" s="97" t="s">
        <v>306</v>
      </c>
    </row>
    <row r="34" spans="2:3" x14ac:dyDescent="0.25">
      <c r="B34" s="101" t="str">
        <f>'WINBUGS data'!B13</f>
        <v>PLAC_NORX</v>
      </c>
      <c r="C34" s="97" t="s">
        <v>307</v>
      </c>
    </row>
    <row r="35" spans="2:3" x14ac:dyDescent="0.25">
      <c r="B35" s="101" t="str">
        <f>'WINBUGS data'!B14</f>
        <v/>
      </c>
      <c r="C35" s="97" t="s">
        <v>308</v>
      </c>
    </row>
    <row r="36" spans="2:3" x14ac:dyDescent="0.25">
      <c r="B36" s="101" t="str">
        <f>'WINBUGS data'!B15</f>
        <v/>
      </c>
      <c r="C36" s="97" t="s">
        <v>309</v>
      </c>
    </row>
    <row r="37" spans="2:3" x14ac:dyDescent="0.25">
      <c r="B37" s="101" t="str">
        <f>'WINBUGS data'!B16</f>
        <v/>
      </c>
      <c r="C37" s="97" t="s">
        <v>310</v>
      </c>
    </row>
    <row r="38" spans="2:3" x14ac:dyDescent="0.25">
      <c r="B38" s="101" t="str">
        <f>'WINBUGS data'!B17</f>
        <v/>
      </c>
      <c r="C38" s="97" t="s">
        <v>311</v>
      </c>
    </row>
    <row r="39" spans="2:3" ht="15.75" thickBot="1" x14ac:dyDescent="0.3">
      <c r="B39" s="102" t="str">
        <f>'WINBUGS data'!B18</f>
        <v/>
      </c>
      <c r="C39" s="98" t="s">
        <v>312</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1" zoomScaleNormal="100" workbookViewId="0">
      <selection activeCell="W106" sqref="W106"/>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0" t="s">
        <v>233</v>
      </c>
      <c r="C5" s="82" t="s">
        <v>217</v>
      </c>
      <c r="D5" s="90" t="s">
        <v>226</v>
      </c>
      <c r="U5" s="11"/>
      <c r="Y5" t="s">
        <v>220</v>
      </c>
      <c r="Z5" t="str">
        <f ca="1">'Random Effects  (Informative)'!A1</f>
        <v>Random Effects  (Informative)</v>
      </c>
    </row>
    <row r="6" spans="1:26" ht="15.75" thickBot="1" x14ac:dyDescent="0.3">
      <c r="A6" s="92"/>
      <c r="B6" s="261"/>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zoomScale="80" zoomScaleNormal="80" workbookViewId="0">
      <selection activeCell="C3" sqref="C3"/>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&gt;1 Means the Treatment in Top Left is Better</v>
      </c>
    </row>
    <row r="3" spans="2:26" ht="15.75" thickBot="1" x14ac:dyDescent="0.3">
      <c r="B3" s="67" t="s">
        <v>225</v>
      </c>
      <c r="C3" s="84" t="s">
        <v>226</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356</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896</v>
      </c>
      <c r="G6" s="223" t="s">
        <v>355</v>
      </c>
      <c r="H6" s="70"/>
      <c r="I6" s="70"/>
      <c r="J6" s="70"/>
      <c r="K6" s="70"/>
      <c r="L6" s="70"/>
      <c r="M6" s="70"/>
      <c r="N6" s="70"/>
      <c r="O6" s="70"/>
      <c r="P6" s="70"/>
      <c r="Q6" s="70"/>
      <c r="R6" s="70"/>
      <c r="S6" s="70"/>
      <c r="Y6" t="s">
        <v>831</v>
      </c>
    </row>
    <row r="7" spans="2:26" ht="39.950000000000003" customHeight="1" thickBot="1" x14ac:dyDescent="0.3">
      <c r="E7" s="69"/>
      <c r="F7" s="225" t="s">
        <v>897</v>
      </c>
      <c r="G7" s="224" t="s">
        <v>905</v>
      </c>
      <c r="H7" s="223" t="s">
        <v>354</v>
      </c>
      <c r="I7" s="70"/>
      <c r="J7" s="70"/>
      <c r="K7" s="70"/>
      <c r="L7" s="70"/>
      <c r="M7" s="70"/>
      <c r="N7" s="70"/>
      <c r="O7" s="70"/>
      <c r="P7" s="70"/>
      <c r="Q7" s="70"/>
      <c r="R7" s="70"/>
      <c r="S7" s="70"/>
    </row>
    <row r="8" spans="2:26" ht="39.950000000000003" customHeight="1" thickBot="1" x14ac:dyDescent="0.3">
      <c r="E8" s="69"/>
      <c r="F8" s="225" t="s">
        <v>898</v>
      </c>
      <c r="G8" s="221" t="s">
        <v>906</v>
      </c>
      <c r="H8" s="224" t="s">
        <v>913</v>
      </c>
      <c r="I8" s="223" t="s">
        <v>353</v>
      </c>
      <c r="J8" s="70"/>
      <c r="K8" s="70"/>
      <c r="L8" s="70"/>
      <c r="M8" s="70"/>
      <c r="N8" s="70"/>
      <c r="O8" s="70"/>
      <c r="P8" s="70"/>
      <c r="Q8" s="70"/>
      <c r="R8" s="70"/>
      <c r="S8" s="70"/>
    </row>
    <row r="9" spans="2:26" ht="39.950000000000003" customHeight="1" thickBot="1" x14ac:dyDescent="0.3">
      <c r="E9" s="69"/>
      <c r="F9" s="225" t="s">
        <v>899</v>
      </c>
      <c r="G9" s="221" t="s">
        <v>907</v>
      </c>
      <c r="H9" s="221" t="s">
        <v>914</v>
      </c>
      <c r="I9" s="224" t="s">
        <v>920</v>
      </c>
      <c r="J9" s="223" t="s">
        <v>359</v>
      </c>
      <c r="K9" s="70"/>
      <c r="L9" s="70"/>
      <c r="M9" s="70"/>
      <c r="N9" s="70"/>
      <c r="O9" s="70"/>
      <c r="P9" s="70"/>
      <c r="Q9" s="70"/>
      <c r="R9" s="70"/>
      <c r="S9" s="70"/>
    </row>
    <row r="10" spans="2:26" ht="39.950000000000003" customHeight="1" thickBot="1" x14ac:dyDescent="0.3">
      <c r="E10" s="69"/>
      <c r="F10" s="225" t="s">
        <v>900</v>
      </c>
      <c r="G10" s="221" t="s">
        <v>908</v>
      </c>
      <c r="H10" s="221" t="s">
        <v>915</v>
      </c>
      <c r="I10" s="221" t="s">
        <v>921</v>
      </c>
      <c r="J10" s="224" t="s">
        <v>926</v>
      </c>
      <c r="K10" s="223" t="s">
        <v>351</v>
      </c>
      <c r="L10" s="70"/>
      <c r="M10" s="70"/>
      <c r="N10" s="70"/>
      <c r="O10" s="70"/>
      <c r="P10" s="70"/>
      <c r="Q10" s="70"/>
      <c r="R10" s="70"/>
      <c r="S10" s="70"/>
    </row>
    <row r="11" spans="2:26" ht="39.950000000000003" customHeight="1" thickBot="1" x14ac:dyDescent="0.3">
      <c r="E11" s="69"/>
      <c r="F11" s="225" t="s">
        <v>901</v>
      </c>
      <c r="G11" s="221" t="s">
        <v>909</v>
      </c>
      <c r="H11" s="221" t="s">
        <v>916</v>
      </c>
      <c r="I11" s="221" t="s">
        <v>922</v>
      </c>
      <c r="J11" s="221" t="s">
        <v>927</v>
      </c>
      <c r="K11" s="224" t="s">
        <v>931</v>
      </c>
      <c r="L11" s="223" t="s">
        <v>358</v>
      </c>
      <c r="M11" s="70"/>
      <c r="N11" s="70"/>
      <c r="O11" s="70"/>
      <c r="P11" s="70"/>
      <c r="Q11" s="70"/>
      <c r="R11" s="70"/>
      <c r="S11" s="70"/>
    </row>
    <row r="12" spans="2:26" ht="39.950000000000003" customHeight="1" thickBot="1" x14ac:dyDescent="0.3">
      <c r="E12" s="69"/>
      <c r="F12" s="225" t="s">
        <v>902</v>
      </c>
      <c r="G12" s="221" t="s">
        <v>910</v>
      </c>
      <c r="H12" s="221" t="s">
        <v>917</v>
      </c>
      <c r="I12" s="221" t="s">
        <v>923</v>
      </c>
      <c r="J12" s="221" t="s">
        <v>928</v>
      </c>
      <c r="K12" s="221" t="s">
        <v>932</v>
      </c>
      <c r="L12" s="224" t="s">
        <v>935</v>
      </c>
      <c r="M12" s="223" t="s">
        <v>352</v>
      </c>
      <c r="N12" s="70"/>
      <c r="O12" s="70"/>
      <c r="P12" s="70"/>
      <c r="Q12" s="70"/>
      <c r="R12" s="70"/>
      <c r="S12" s="70"/>
    </row>
    <row r="13" spans="2:26" ht="39.950000000000003" customHeight="1" thickBot="1" x14ac:dyDescent="0.3">
      <c r="E13" s="69"/>
      <c r="F13" s="225" t="s">
        <v>903</v>
      </c>
      <c r="G13" s="221" t="s">
        <v>911</v>
      </c>
      <c r="H13" s="221" t="s">
        <v>918</v>
      </c>
      <c r="I13" s="221" t="s">
        <v>924</v>
      </c>
      <c r="J13" s="221" t="s">
        <v>929</v>
      </c>
      <c r="K13" s="221" t="s">
        <v>933</v>
      </c>
      <c r="L13" s="221" t="s">
        <v>936</v>
      </c>
      <c r="M13" s="224" t="s">
        <v>938</v>
      </c>
      <c r="N13" s="223" t="s">
        <v>357</v>
      </c>
      <c r="O13" s="70"/>
      <c r="P13" s="70"/>
      <c r="Q13" s="70"/>
      <c r="R13" s="70"/>
      <c r="S13" s="70"/>
    </row>
    <row r="14" spans="2:26" ht="39.950000000000003" customHeight="1" thickBot="1" x14ac:dyDescent="0.3">
      <c r="E14" s="69"/>
      <c r="F14" s="226" t="s">
        <v>904</v>
      </c>
      <c r="G14" s="222" t="s">
        <v>912</v>
      </c>
      <c r="H14" s="222" t="s">
        <v>919</v>
      </c>
      <c r="I14" s="222" t="s">
        <v>925</v>
      </c>
      <c r="J14" s="222" t="s">
        <v>930</v>
      </c>
      <c r="K14" s="222" t="s">
        <v>934</v>
      </c>
      <c r="L14" s="222" t="s">
        <v>937</v>
      </c>
      <c r="M14" s="222" t="s">
        <v>939</v>
      </c>
      <c r="N14" s="228" t="s">
        <v>940</v>
      </c>
      <c r="O14" s="223" t="s">
        <v>360</v>
      </c>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workbookViewId="0">
      <selection activeCell="C14" sqref="C14:D24"/>
    </sheetView>
  </sheetViews>
  <sheetFormatPr defaultRowHeight="15" x14ac:dyDescent="0.25"/>
  <cols>
    <col min="2" max="2" width="11.85546875" customWidth="1"/>
    <col min="3" max="3" width="33" customWidth="1"/>
    <col min="13" max="27" width="9.140625" customWidth="1"/>
  </cols>
  <sheetData>
    <row r="2" spans="2:30" hidden="1" x14ac:dyDescent="0.25">
      <c r="B2" t="s">
        <v>895</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226</v>
      </c>
    </row>
    <row r="8" spans="2:30" ht="15.75" thickBot="1" x14ac:dyDescent="0.3">
      <c r="B8" s="67" t="s">
        <v>260</v>
      </c>
      <c r="C8" s="84" t="s">
        <v>258</v>
      </c>
    </row>
    <row r="9" spans="2:30" ht="15.75" hidden="1" thickBot="1" x14ac:dyDescent="0.3">
      <c r="B9" s="67" t="s">
        <v>208</v>
      </c>
      <c r="C9" s="84" t="s">
        <v>356</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356</v>
      </c>
      <c r="D15" s="107">
        <v>0.88880000000000003</v>
      </c>
    </row>
    <row r="16" spans="2:30" x14ac:dyDescent="0.25">
      <c r="C16" s="108" t="s">
        <v>355</v>
      </c>
      <c r="D16" s="109">
        <v>0.82499999999999996</v>
      </c>
    </row>
    <row r="17" spans="2:5" x14ac:dyDescent="0.25">
      <c r="C17" s="108" t="s">
        <v>354</v>
      </c>
      <c r="D17" s="109">
        <v>0.81</v>
      </c>
    </row>
    <row r="18" spans="2:5" x14ac:dyDescent="0.25">
      <c r="C18" s="108" t="s">
        <v>353</v>
      </c>
      <c r="D18" s="109">
        <v>0.68230000000000002</v>
      </c>
    </row>
    <row r="19" spans="2:5" x14ac:dyDescent="0.25">
      <c r="C19" s="108" t="s">
        <v>359</v>
      </c>
      <c r="D19" s="109">
        <v>0.48909999999999998</v>
      </c>
    </row>
    <row r="20" spans="2:5" x14ac:dyDescent="0.25">
      <c r="C20" s="108" t="s">
        <v>351</v>
      </c>
      <c r="D20" s="109">
        <v>0.47710000000000002</v>
      </c>
    </row>
    <row r="21" spans="2:5" x14ac:dyDescent="0.25">
      <c r="C21" s="108" t="s">
        <v>358</v>
      </c>
      <c r="D21" s="109">
        <v>0.38850000000000001</v>
      </c>
    </row>
    <row r="22" spans="2:5" x14ac:dyDescent="0.25">
      <c r="C22" s="108" t="s">
        <v>352</v>
      </c>
      <c r="D22" s="109">
        <v>0.24129999999999999</v>
      </c>
    </row>
    <row r="23" spans="2:5" x14ac:dyDescent="0.25">
      <c r="C23" s="108" t="s">
        <v>357</v>
      </c>
      <c r="D23" s="109">
        <v>0.19409999999999999</v>
      </c>
    </row>
    <row r="24" spans="2:5" x14ac:dyDescent="0.25">
      <c r="C24" s="108" t="s">
        <v>360</v>
      </c>
      <c r="D24" s="109">
        <v>3.6570000000000001E-3</v>
      </c>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3" t="s">
        <v>37</v>
      </c>
      <c r="E4" s="264"/>
      <c r="F4" s="264"/>
      <c r="G4" s="264"/>
      <c r="H4" s="265"/>
      <c r="I4" s="263" t="s">
        <v>226</v>
      </c>
      <c r="J4" s="264"/>
      <c r="K4" s="264"/>
      <c r="L4" s="264"/>
      <c r="M4" s="265"/>
      <c r="N4" s="40"/>
      <c r="O4" s="266" t="s">
        <v>212</v>
      </c>
      <c r="P4" s="267"/>
      <c r="Q4" s="267"/>
      <c r="R4" s="267"/>
      <c r="S4" s="267"/>
      <c r="T4" s="267"/>
      <c r="U4" s="267"/>
      <c r="V4" s="268"/>
    </row>
    <row r="5" spans="1:35" ht="15.75" thickBot="1" x14ac:dyDescent="0.3">
      <c r="D5" s="269" t="s">
        <v>209</v>
      </c>
      <c r="E5" s="270"/>
      <c r="F5" s="270" t="s">
        <v>210</v>
      </c>
      <c r="G5" s="270"/>
      <c r="H5" s="2" t="s">
        <v>211</v>
      </c>
      <c r="I5" s="269" t="s">
        <v>209</v>
      </c>
      <c r="J5" s="270"/>
      <c r="K5" s="270" t="s">
        <v>210</v>
      </c>
      <c r="L5" s="270"/>
      <c r="M5" s="2" t="s">
        <v>211</v>
      </c>
      <c r="O5" s="117" t="s">
        <v>207</v>
      </c>
      <c r="P5" s="118" t="s">
        <v>208</v>
      </c>
      <c r="Q5" s="46"/>
      <c r="R5" s="46" t="s">
        <v>10</v>
      </c>
      <c r="S5" s="119"/>
      <c r="T5" s="86" t="s">
        <v>213</v>
      </c>
      <c r="U5" s="86" t="s">
        <v>214</v>
      </c>
      <c r="V5" s="65">
        <v>1</v>
      </c>
      <c r="Z5" t="str">
        <f>R5</f>
        <v>Study Name</v>
      </c>
      <c r="AB5" s="262"/>
      <c r="AC5" s="262"/>
      <c r="AD5" s="262"/>
      <c r="AE5" s="262"/>
      <c r="AH5" s="19"/>
      <c r="AI5" s="19"/>
    </row>
    <row r="6" spans="1:35" x14ac:dyDescent="0.25">
      <c r="A6">
        <v>0</v>
      </c>
      <c r="B6">
        <v>0</v>
      </c>
      <c r="D6" s="26"/>
      <c r="E6" s="31"/>
      <c r="F6" s="31"/>
      <c r="G6" s="31"/>
      <c r="H6" s="1" t="str">
        <f>IF(D6="","",G6-E6)</f>
        <v/>
      </c>
      <c r="I6" s="26" t="s">
        <v>496</v>
      </c>
      <c r="J6" s="31">
        <v>0.95389999999999997</v>
      </c>
      <c r="K6" s="31" t="s">
        <v>496</v>
      </c>
      <c r="L6" s="31">
        <v>0.58299999999999996</v>
      </c>
      <c r="M6" s="1">
        <f>IF(I6="","",L6-J6)</f>
        <v>-0.37090000000000001</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t="s">
        <v>497</v>
      </c>
      <c r="J7" s="31">
        <v>0.79800000000000004</v>
      </c>
      <c r="K7" s="31" t="s">
        <v>497</v>
      </c>
      <c r="L7" s="31">
        <v>0.60919999999999996</v>
      </c>
      <c r="M7" s="1">
        <f t="shared" ref="M7:M70" si="5">IF(I7="","",L7-J7)</f>
        <v>-0.18880000000000008</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t="s">
        <v>498</v>
      </c>
      <c r="J8" s="31">
        <v>1.002</v>
      </c>
      <c r="K8" s="31" t="s">
        <v>498</v>
      </c>
      <c r="L8" s="31">
        <v>1.2450000000000001</v>
      </c>
      <c r="M8" s="1">
        <f t="shared" si="5"/>
        <v>0.2430000000000001</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t="s">
        <v>499</v>
      </c>
      <c r="J9" s="31">
        <v>0.99880000000000002</v>
      </c>
      <c r="K9" s="31" t="s">
        <v>499</v>
      </c>
      <c r="L9" s="31">
        <v>1.1659999999999999</v>
      </c>
      <c r="M9" s="1">
        <f t="shared" si="5"/>
        <v>0.1671999999999999</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t="s">
        <v>500</v>
      </c>
      <c r="J10" s="31">
        <v>1.0089999999999999</v>
      </c>
      <c r="K10" s="31" t="s">
        <v>500</v>
      </c>
      <c r="L10" s="31">
        <v>1.0169999999999999</v>
      </c>
      <c r="M10" s="1">
        <f t="shared" si="5"/>
        <v>8.0000000000000071E-3</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t="s">
        <v>501</v>
      </c>
      <c r="J11" s="31">
        <v>1.008</v>
      </c>
      <c r="K11" s="31" t="s">
        <v>501</v>
      </c>
      <c r="L11" s="31">
        <v>1.0309999999999999</v>
      </c>
      <c r="M11" s="1">
        <f t="shared" si="5"/>
        <v>2.2999999999999909E-2</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t="s">
        <v>502</v>
      </c>
      <c r="J12" s="31">
        <v>1.097</v>
      </c>
      <c r="K12" s="31" t="s">
        <v>502</v>
      </c>
      <c r="L12" s="31">
        <v>0.7601</v>
      </c>
      <c r="M12" s="1">
        <f t="shared" si="5"/>
        <v>-0.33689999999999998</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t="s">
        <v>503</v>
      </c>
      <c r="J13" s="31">
        <v>1.1539999999999999</v>
      </c>
      <c r="K13" s="31" t="s">
        <v>503</v>
      </c>
      <c r="L13" s="31">
        <v>0.46</v>
      </c>
      <c r="M13" s="1">
        <f t="shared" si="5"/>
        <v>-0.69399999999999995</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t="s">
        <v>504</v>
      </c>
      <c r="J14" s="31">
        <v>0.26869999999999999</v>
      </c>
      <c r="K14" s="31" t="s">
        <v>504</v>
      </c>
      <c r="L14" s="31">
        <v>0.27160000000000001</v>
      </c>
      <c r="M14" s="1">
        <f t="shared" si="5"/>
        <v>2.9000000000000137E-3</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t="s">
        <v>505</v>
      </c>
      <c r="J15" s="31">
        <v>0.90749999999999997</v>
      </c>
      <c r="K15" s="31" t="s">
        <v>505</v>
      </c>
      <c r="L15" s="31">
        <v>0.91149999999999998</v>
      </c>
      <c r="M15" s="1">
        <f t="shared" si="5"/>
        <v>4.0000000000000036E-3</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t="s">
        <v>506</v>
      </c>
      <c r="J16" s="31">
        <v>1.087</v>
      </c>
      <c r="K16" s="31" t="s">
        <v>506</v>
      </c>
      <c r="L16" s="31">
        <v>0.86170000000000002</v>
      </c>
      <c r="M16" s="1">
        <f t="shared" si="5"/>
        <v>-0.22529999999999994</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t="s">
        <v>507</v>
      </c>
      <c r="J17" s="31">
        <v>1.0860000000000001</v>
      </c>
      <c r="K17" s="31" t="s">
        <v>507</v>
      </c>
      <c r="L17" s="31">
        <v>0.86350000000000005</v>
      </c>
      <c r="M17" s="1">
        <f t="shared" si="5"/>
        <v>-0.22250000000000003</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t="s">
        <v>508</v>
      </c>
      <c r="J18" s="31">
        <v>0.76590000000000003</v>
      </c>
      <c r="K18" s="31" t="s">
        <v>508</v>
      </c>
      <c r="L18" s="31">
        <v>0.85809999999999997</v>
      </c>
      <c r="M18" s="1">
        <f t="shared" si="5"/>
        <v>9.2199999999999949E-2</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t="s">
        <v>509</v>
      </c>
      <c r="J19" s="31">
        <v>0.61850000000000005</v>
      </c>
      <c r="K19" s="31" t="s">
        <v>509</v>
      </c>
      <c r="L19" s="31">
        <v>0.70809999999999995</v>
      </c>
      <c r="M19" s="1">
        <f t="shared" si="5"/>
        <v>8.9599999999999902E-2</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t="s">
        <v>510</v>
      </c>
      <c r="J20" s="31">
        <v>0.97670000000000001</v>
      </c>
      <c r="K20" s="31" t="s">
        <v>510</v>
      </c>
      <c r="L20" s="31">
        <v>1.204</v>
      </c>
      <c r="M20" s="1">
        <f t="shared" si="5"/>
        <v>0.22729999999999995</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t="s">
        <v>511</v>
      </c>
      <c r="J21" s="31">
        <v>0.81710000000000005</v>
      </c>
      <c r="K21" s="31" t="s">
        <v>511</v>
      </c>
      <c r="L21" s="31">
        <v>1.1850000000000001</v>
      </c>
      <c r="M21" s="1">
        <f t="shared" si="5"/>
        <v>0.3679</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t="s">
        <v>512</v>
      </c>
      <c r="J22" s="31">
        <v>2.4209999999999998</v>
      </c>
      <c r="K22" s="31" t="s">
        <v>512</v>
      </c>
      <c r="L22" s="31">
        <v>1.748</v>
      </c>
      <c r="M22" s="1">
        <f t="shared" si="5"/>
        <v>-0.67299999999999982</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t="s">
        <v>513</v>
      </c>
      <c r="J23" s="31">
        <v>1.643</v>
      </c>
      <c r="K23" s="31" t="s">
        <v>513</v>
      </c>
      <c r="L23" s="31">
        <v>1.3180000000000001</v>
      </c>
      <c r="M23" s="1">
        <f t="shared" si="5"/>
        <v>-0.32499999999999996</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t="s">
        <v>514</v>
      </c>
      <c r="J24" s="31">
        <v>0.76929999999999998</v>
      </c>
      <c r="K24" s="31" t="s">
        <v>514</v>
      </c>
      <c r="L24" s="31">
        <v>0.86960000000000004</v>
      </c>
      <c r="M24" s="1">
        <f t="shared" si="5"/>
        <v>0.10030000000000006</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t="s">
        <v>515</v>
      </c>
      <c r="J25" s="31">
        <v>0.57620000000000005</v>
      </c>
      <c r="K25" s="31" t="s">
        <v>515</v>
      </c>
      <c r="L25" s="31">
        <v>0.69589999999999996</v>
      </c>
      <c r="M25" s="1">
        <f t="shared" si="5"/>
        <v>0.11969999999999992</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t="s">
        <v>516</v>
      </c>
      <c r="J26" s="39">
        <v>0.82730000000000004</v>
      </c>
      <c r="K26" s="39" t="s">
        <v>516</v>
      </c>
      <c r="L26" s="39">
        <v>1.448</v>
      </c>
      <c r="M26" s="52">
        <f t="shared" si="5"/>
        <v>0.62069999999999992</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t="s">
        <v>517</v>
      </c>
      <c r="J27" s="39">
        <v>0.86760000000000004</v>
      </c>
      <c r="K27" s="39" t="s">
        <v>517</v>
      </c>
      <c r="L27" s="39">
        <v>1.5129999999999999</v>
      </c>
      <c r="M27" s="52">
        <f t="shared" si="5"/>
        <v>0.64539999999999986</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t="s">
        <v>518</v>
      </c>
      <c r="J28" s="39">
        <v>0.90810000000000002</v>
      </c>
      <c r="K28" s="39" t="s">
        <v>518</v>
      </c>
      <c r="L28" s="39">
        <v>1.1100000000000001</v>
      </c>
      <c r="M28" s="52">
        <f t="shared" si="5"/>
        <v>0.20190000000000008</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t="s">
        <v>519</v>
      </c>
      <c r="J29" s="39">
        <v>1.002</v>
      </c>
      <c r="K29" s="39" t="s">
        <v>519</v>
      </c>
      <c r="L29" s="39">
        <v>1.196</v>
      </c>
      <c r="M29" s="52">
        <f t="shared" si="5"/>
        <v>0.19399999999999995</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t="s">
        <v>520</v>
      </c>
      <c r="J30" s="39">
        <v>0.92849999999999999</v>
      </c>
      <c r="K30" s="39" t="s">
        <v>520</v>
      </c>
      <c r="L30" s="39">
        <v>0.83</v>
      </c>
      <c r="M30" s="52">
        <f t="shared" si="5"/>
        <v>-9.8500000000000032E-2</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t="s">
        <v>521</v>
      </c>
      <c r="J31" s="39">
        <v>0.91239999999999999</v>
      </c>
      <c r="K31" s="39" t="s">
        <v>521</v>
      </c>
      <c r="L31" s="39">
        <v>0.87590000000000001</v>
      </c>
      <c r="M31" s="52">
        <f t="shared" si="5"/>
        <v>-3.6499999999999977E-2</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t="s">
        <v>522</v>
      </c>
      <c r="J32" s="39">
        <v>0.94689999999999996</v>
      </c>
      <c r="K32" s="39" t="s">
        <v>522</v>
      </c>
      <c r="L32" s="39">
        <v>0.64729999999999999</v>
      </c>
      <c r="M32" s="52">
        <f t="shared" si="5"/>
        <v>-0.29959999999999998</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t="s">
        <v>523</v>
      </c>
      <c r="J33" s="39">
        <v>0.73580000000000001</v>
      </c>
      <c r="K33" s="39" t="s">
        <v>523</v>
      </c>
      <c r="L33" s="39">
        <v>0.61950000000000005</v>
      </c>
      <c r="M33" s="52">
        <f t="shared" si="5"/>
        <v>-0.11629999999999996</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t="s">
        <v>524</v>
      </c>
      <c r="J34" s="39">
        <v>1.0209999999999999</v>
      </c>
      <c r="K34" s="39" t="s">
        <v>524</v>
      </c>
      <c r="L34" s="39">
        <v>1.073</v>
      </c>
      <c r="M34" s="52">
        <f t="shared" si="5"/>
        <v>5.2000000000000046E-2</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t="s">
        <v>525</v>
      </c>
      <c r="J35" s="39">
        <v>1.028</v>
      </c>
      <c r="K35" s="39" t="s">
        <v>525</v>
      </c>
      <c r="L35" s="39">
        <v>0.99990000000000001</v>
      </c>
      <c r="M35" s="52">
        <f t="shared" si="5"/>
        <v>-2.8100000000000014E-2</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t="s">
        <v>526</v>
      </c>
      <c r="J36" s="39">
        <v>1.012</v>
      </c>
      <c r="K36" s="39" t="s">
        <v>526</v>
      </c>
      <c r="L36" s="39">
        <v>1.0109999999999999</v>
      </c>
      <c r="M36" s="52">
        <f t="shared" si="5"/>
        <v>-1.0000000000001119E-3</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t="s">
        <v>527</v>
      </c>
      <c r="J37" s="39">
        <v>1.046</v>
      </c>
      <c r="K37" s="39" t="s">
        <v>527</v>
      </c>
      <c r="L37" s="39">
        <v>1.026</v>
      </c>
      <c r="M37" s="52">
        <f t="shared" si="5"/>
        <v>-2.0000000000000018E-2</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t="s">
        <v>528</v>
      </c>
      <c r="J38" s="39">
        <v>2.6579999999999999</v>
      </c>
      <c r="K38" s="39" t="s">
        <v>528</v>
      </c>
      <c r="L38" s="39">
        <v>2.4529999999999998</v>
      </c>
      <c r="M38" s="52">
        <f t="shared" si="5"/>
        <v>-0.20500000000000007</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t="s">
        <v>529</v>
      </c>
      <c r="J39" s="39">
        <v>1.9650000000000001</v>
      </c>
      <c r="K39" s="39" t="s">
        <v>529</v>
      </c>
      <c r="L39" s="39">
        <v>1.798</v>
      </c>
      <c r="M39" s="52">
        <f t="shared" si="5"/>
        <v>-0.16700000000000004</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t="s">
        <v>530</v>
      </c>
      <c r="J40" s="39">
        <v>0.92849999999999999</v>
      </c>
      <c r="K40" s="39" t="s">
        <v>530</v>
      </c>
      <c r="L40" s="39">
        <v>0.83809999999999996</v>
      </c>
      <c r="M40" s="52">
        <f t="shared" si="5"/>
        <v>-9.0400000000000036E-2</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t="s">
        <v>531</v>
      </c>
      <c r="J41" s="39">
        <v>0.96960000000000002</v>
      </c>
      <c r="K41" s="39" t="s">
        <v>531</v>
      </c>
      <c r="L41" s="39">
        <v>0.93969999999999998</v>
      </c>
      <c r="M41" s="52">
        <f t="shared" si="5"/>
        <v>-2.9900000000000038E-2</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t="s">
        <v>532</v>
      </c>
      <c r="J42" s="39">
        <v>0.70620000000000005</v>
      </c>
      <c r="K42" s="39" t="s">
        <v>532</v>
      </c>
      <c r="L42" s="39">
        <v>0.72789999999999999</v>
      </c>
      <c r="M42" s="52">
        <f t="shared" si="5"/>
        <v>2.1699999999999942E-2</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t="s">
        <v>533</v>
      </c>
      <c r="J43" s="39">
        <v>0.49890000000000001</v>
      </c>
      <c r="K43" s="39" t="s">
        <v>533</v>
      </c>
      <c r="L43" s="39">
        <v>0.53480000000000005</v>
      </c>
      <c r="M43" s="52">
        <f t="shared" si="5"/>
        <v>3.5900000000000043E-2</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t="s">
        <v>534</v>
      </c>
      <c r="J44" s="39">
        <v>1.0529999999999999</v>
      </c>
      <c r="K44" s="39" t="s">
        <v>534</v>
      </c>
      <c r="L44" s="39">
        <v>1.363</v>
      </c>
      <c r="M44" s="52">
        <f t="shared" si="5"/>
        <v>0.31000000000000005</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t="s">
        <v>535</v>
      </c>
      <c r="J45" s="39">
        <v>0.97940000000000005</v>
      </c>
      <c r="K45" s="39" t="s">
        <v>535</v>
      </c>
      <c r="L45" s="39">
        <v>1.21</v>
      </c>
      <c r="M45" s="52">
        <f t="shared" si="5"/>
        <v>0.23059999999999992</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t="s">
        <v>536</v>
      </c>
      <c r="J46" s="39">
        <v>0.99850000000000005</v>
      </c>
      <c r="K46" s="39" t="s">
        <v>536</v>
      </c>
      <c r="L46" s="39">
        <v>1.0089999999999999</v>
      </c>
      <c r="M46" s="52">
        <f t="shared" si="5"/>
        <v>1.0499999999999843E-2</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t="s">
        <v>537</v>
      </c>
      <c r="J47" s="39">
        <v>1.0049999999999999</v>
      </c>
      <c r="K47" s="39" t="s">
        <v>537</v>
      </c>
      <c r="L47" s="39">
        <v>0.99880000000000002</v>
      </c>
      <c r="M47" s="52">
        <f t="shared" si="5"/>
        <v>-6.1999999999998723E-3</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t="s">
        <v>538</v>
      </c>
      <c r="J48" s="39">
        <v>0.57499999999999996</v>
      </c>
      <c r="K48" s="39" t="s">
        <v>538</v>
      </c>
      <c r="L48" s="39">
        <v>0.5403</v>
      </c>
      <c r="M48" s="52">
        <f t="shared" si="5"/>
        <v>-3.4699999999999953E-2</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t="s">
        <v>539</v>
      </c>
      <c r="J49" s="39">
        <v>0.68530000000000002</v>
      </c>
      <c r="K49" s="39" t="s">
        <v>539</v>
      </c>
      <c r="L49" s="39">
        <v>0.64629999999999999</v>
      </c>
      <c r="M49" s="52">
        <f t="shared" si="5"/>
        <v>-3.9000000000000035E-2</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t="s">
        <v>540</v>
      </c>
      <c r="J50" s="39">
        <v>0.76539999999999997</v>
      </c>
      <c r="K50" s="39" t="s">
        <v>540</v>
      </c>
      <c r="L50" s="39">
        <v>0.95350000000000001</v>
      </c>
      <c r="M50" s="52">
        <f t="shared" si="5"/>
        <v>0.18810000000000004</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t="s">
        <v>541</v>
      </c>
      <c r="J51" s="39">
        <v>0.83720000000000006</v>
      </c>
      <c r="K51" s="39" t="s">
        <v>541</v>
      </c>
      <c r="L51" s="39">
        <v>1.0589999999999999</v>
      </c>
      <c r="M51" s="52">
        <f t="shared" si="5"/>
        <v>0.22179999999999989</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t="s">
        <v>542</v>
      </c>
      <c r="J52" s="39">
        <v>0.75509999999999999</v>
      </c>
      <c r="K52" s="39" t="s">
        <v>542</v>
      </c>
      <c r="L52" s="39">
        <v>1.004</v>
      </c>
      <c r="M52" s="52">
        <f t="shared" si="5"/>
        <v>0.24890000000000001</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t="s">
        <v>543</v>
      </c>
      <c r="J53" s="39">
        <v>0.66790000000000005</v>
      </c>
      <c r="K53" s="39" t="s">
        <v>543</v>
      </c>
      <c r="L53" s="39">
        <v>0.8589</v>
      </c>
      <c r="M53" s="52">
        <f t="shared" si="5"/>
        <v>0.19099999999999995</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t="s">
        <v>544</v>
      </c>
      <c r="J54" s="39">
        <v>1.046</v>
      </c>
      <c r="K54" s="39" t="s">
        <v>544</v>
      </c>
      <c r="L54" s="39">
        <v>0.70850000000000002</v>
      </c>
      <c r="M54" s="52">
        <f t="shared" si="5"/>
        <v>-0.33750000000000002</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t="s">
        <v>545</v>
      </c>
      <c r="J55" s="39">
        <v>1.254</v>
      </c>
      <c r="K55" s="39" t="s">
        <v>545</v>
      </c>
      <c r="L55" s="39">
        <v>1.0309999999999999</v>
      </c>
      <c r="M55" s="52">
        <f t="shared" si="5"/>
        <v>-0.22300000000000009</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t="s">
        <v>546</v>
      </c>
      <c r="J56" s="39">
        <v>0.50600000000000001</v>
      </c>
      <c r="K56" s="39" t="s">
        <v>546</v>
      </c>
      <c r="L56" s="39">
        <v>0.45340000000000003</v>
      </c>
      <c r="M56" s="52">
        <f t="shared" si="5"/>
        <v>-5.259999999999998E-2</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t="s">
        <v>547</v>
      </c>
      <c r="J57" s="39">
        <v>0.77010000000000001</v>
      </c>
      <c r="K57" s="39" t="s">
        <v>547</v>
      </c>
      <c r="L57" s="39">
        <v>0.72960000000000003</v>
      </c>
      <c r="M57" s="52">
        <f t="shared" si="5"/>
        <v>-4.049999999999998E-2</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t="s">
        <v>548</v>
      </c>
      <c r="J58" s="39">
        <v>0.90559999999999996</v>
      </c>
      <c r="K58" s="39" t="s">
        <v>548</v>
      </c>
      <c r="L58" s="39">
        <v>0.73970000000000002</v>
      </c>
      <c r="M58" s="52">
        <f t="shared" si="5"/>
        <v>-0.16589999999999994</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t="s">
        <v>549</v>
      </c>
      <c r="J59" s="39">
        <v>0.99809999999999999</v>
      </c>
      <c r="K59" s="39" t="s">
        <v>549</v>
      </c>
      <c r="L59" s="39">
        <v>0.66790000000000005</v>
      </c>
      <c r="M59" s="52">
        <f t="shared" si="5"/>
        <v>-0.33019999999999994</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t="s">
        <v>550</v>
      </c>
      <c r="J60" s="39">
        <v>0.57620000000000005</v>
      </c>
      <c r="K60" s="39" t="s">
        <v>550</v>
      </c>
      <c r="L60" s="39">
        <v>0.55869999999999997</v>
      </c>
      <c r="M60" s="52">
        <f t="shared" si="5"/>
        <v>-1.7500000000000071E-2</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t="s">
        <v>551</v>
      </c>
      <c r="J61" s="39">
        <v>0.70879999999999999</v>
      </c>
      <c r="K61" s="39" t="s">
        <v>551</v>
      </c>
      <c r="L61" s="39">
        <v>0.68910000000000005</v>
      </c>
      <c r="M61" s="52">
        <f t="shared" si="5"/>
        <v>-1.969999999999994E-2</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t="s">
        <v>552</v>
      </c>
      <c r="J62" s="39">
        <v>0.95069999999999999</v>
      </c>
      <c r="K62" s="39" t="s">
        <v>552</v>
      </c>
      <c r="L62" s="39">
        <v>1.417</v>
      </c>
      <c r="M62" s="52">
        <f t="shared" si="5"/>
        <v>0.46630000000000005</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t="s">
        <v>553</v>
      </c>
      <c r="J63" s="39">
        <v>0.93</v>
      </c>
      <c r="K63" s="39" t="s">
        <v>553</v>
      </c>
      <c r="L63" s="39">
        <v>1.4239999999999999</v>
      </c>
      <c r="M63" s="52">
        <f t="shared" si="5"/>
        <v>0.49399999999999988</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t="s">
        <v>554</v>
      </c>
      <c r="J64" s="39">
        <v>2.4729999999999999</v>
      </c>
      <c r="K64" s="39" t="s">
        <v>554</v>
      </c>
      <c r="L64" s="39">
        <v>2.1469999999999998</v>
      </c>
      <c r="M64" s="52">
        <f t="shared" si="5"/>
        <v>-0.32600000000000007</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t="s">
        <v>555</v>
      </c>
      <c r="J65" s="39">
        <v>1.5940000000000001</v>
      </c>
      <c r="K65" s="39" t="s">
        <v>555</v>
      </c>
      <c r="L65" s="39">
        <v>1.4570000000000001</v>
      </c>
      <c r="M65" s="52">
        <f t="shared" si="5"/>
        <v>-0.13700000000000001</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t="s">
        <v>556</v>
      </c>
      <c r="J66" s="39">
        <v>0.66810000000000003</v>
      </c>
      <c r="K66" s="39" t="s">
        <v>556</v>
      </c>
      <c r="L66" s="39">
        <v>0.89880000000000004</v>
      </c>
      <c r="M66" s="52">
        <f t="shared" si="5"/>
        <v>0.23070000000000002</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t="s">
        <v>557</v>
      </c>
      <c r="J67" s="39">
        <v>0.67610000000000003</v>
      </c>
      <c r="K67" s="39" t="s">
        <v>557</v>
      </c>
      <c r="L67" s="39">
        <v>0.8478</v>
      </c>
      <c r="M67" s="52">
        <f t="shared" si="5"/>
        <v>0.17169999999999996</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t="s">
        <v>558</v>
      </c>
      <c r="J68" s="39">
        <v>0.79320000000000002</v>
      </c>
      <c r="K68" s="39" t="s">
        <v>558</v>
      </c>
      <c r="L68" s="39">
        <v>1.0680000000000001</v>
      </c>
      <c r="M68" s="52">
        <f t="shared" si="5"/>
        <v>0.27480000000000004</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t="s">
        <v>559</v>
      </c>
      <c r="J69" s="39">
        <v>0.6865</v>
      </c>
      <c r="K69" s="39" t="s">
        <v>559</v>
      </c>
      <c r="L69" s="39">
        <v>0.89319999999999999</v>
      </c>
      <c r="M69" s="52">
        <f t="shared" si="5"/>
        <v>0.20669999999999999</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t="s">
        <v>560</v>
      </c>
      <c r="J70" s="39">
        <v>0.52029999999999998</v>
      </c>
      <c r="K70" s="39" t="s">
        <v>560</v>
      </c>
      <c r="L70" s="39">
        <v>0.79490000000000005</v>
      </c>
      <c r="M70" s="52">
        <f t="shared" si="5"/>
        <v>0.27460000000000007</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t="s">
        <v>561</v>
      </c>
      <c r="J71" s="39">
        <v>0.78569999999999995</v>
      </c>
      <c r="K71" s="39" t="s">
        <v>561</v>
      </c>
      <c r="L71" s="39">
        <v>1.105</v>
      </c>
      <c r="M71" s="52">
        <f t="shared" ref="M71:M105" si="12">IF(I71="","",L71-J71)</f>
        <v>0.31930000000000003</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t="s">
        <v>562</v>
      </c>
      <c r="J72" s="39">
        <v>0.98160000000000003</v>
      </c>
      <c r="K72" s="39" t="s">
        <v>562</v>
      </c>
      <c r="L72" s="39">
        <v>1.268</v>
      </c>
      <c r="M72" s="52">
        <f t="shared" si="12"/>
        <v>0.28639999999999999</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t="s">
        <v>563</v>
      </c>
      <c r="J73" s="39">
        <v>0.92589999999999995</v>
      </c>
      <c r="K73" s="39" t="s">
        <v>563</v>
      </c>
      <c r="L73" s="39">
        <v>1.19</v>
      </c>
      <c r="M73" s="52">
        <f t="shared" si="12"/>
        <v>0.2641</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t="s">
        <v>564</v>
      </c>
      <c r="J74" s="39">
        <v>1.2629999999999999</v>
      </c>
      <c r="K74" s="39" t="s">
        <v>564</v>
      </c>
      <c r="L74" s="39">
        <v>1.1160000000000001</v>
      </c>
      <c r="M74" s="52">
        <f t="shared" si="12"/>
        <v>-0.1469999999999998</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t="s">
        <v>565</v>
      </c>
      <c r="J75" s="39">
        <v>1.2589999999999999</v>
      </c>
      <c r="K75" s="39" t="s">
        <v>565</v>
      </c>
      <c r="L75" s="39">
        <v>1.087</v>
      </c>
      <c r="M75" s="52">
        <f t="shared" si="12"/>
        <v>-0.17199999999999993</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t="s">
        <v>566</v>
      </c>
      <c r="J76" s="39">
        <v>0.9335</v>
      </c>
      <c r="K76" s="39" t="s">
        <v>566</v>
      </c>
      <c r="L76" s="39">
        <v>0.83630000000000004</v>
      </c>
      <c r="M76" s="52">
        <f t="shared" si="12"/>
        <v>-9.7199999999999953E-2</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t="s">
        <v>567</v>
      </c>
      <c r="J77" s="39">
        <v>1.0129999999999999</v>
      </c>
      <c r="K77" s="39" t="s">
        <v>567</v>
      </c>
      <c r="L77" s="39">
        <v>0.72860000000000003</v>
      </c>
      <c r="M77" s="52">
        <f t="shared" si="12"/>
        <v>-0.28439999999999988</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t="s">
        <v>568</v>
      </c>
      <c r="J78" s="39">
        <v>0.97670000000000001</v>
      </c>
      <c r="K78" s="39" t="s">
        <v>568</v>
      </c>
      <c r="L78" s="39">
        <v>0.68010000000000004</v>
      </c>
      <c r="M78" s="52">
        <f t="shared" si="12"/>
        <v>-0.29659999999999997</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t="s">
        <v>569</v>
      </c>
      <c r="J79" s="39">
        <v>1.159</v>
      </c>
      <c r="K79" s="39" t="s">
        <v>569</v>
      </c>
      <c r="L79" s="39">
        <v>0.87990000000000002</v>
      </c>
      <c r="M79" s="52">
        <f t="shared" si="12"/>
        <v>-0.27910000000000001</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t="s">
        <v>570</v>
      </c>
      <c r="J80" s="39">
        <v>0.64570000000000005</v>
      </c>
      <c r="K80" s="39" t="s">
        <v>570</v>
      </c>
      <c r="L80" s="39">
        <v>0.65210000000000001</v>
      </c>
      <c r="M80" s="52">
        <f t="shared" si="12"/>
        <v>6.3999999999999613E-3</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t="s">
        <v>571</v>
      </c>
      <c r="J81" s="39">
        <v>0.81</v>
      </c>
      <c r="K81" s="39" t="s">
        <v>571</v>
      </c>
      <c r="L81" s="39">
        <v>0.81930000000000003</v>
      </c>
      <c r="M81" s="52">
        <f t="shared" si="12"/>
        <v>9.299999999999975E-3</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t="s">
        <v>572</v>
      </c>
      <c r="J82" s="39">
        <v>1.0189999999999999</v>
      </c>
      <c r="K82" s="39" t="s">
        <v>572</v>
      </c>
      <c r="L82" s="39">
        <v>1.028</v>
      </c>
      <c r="M82" s="52">
        <f t="shared" si="12"/>
        <v>9.000000000000119E-3</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t="s">
        <v>573</v>
      </c>
      <c r="J83" s="39">
        <v>0.97850000000000004</v>
      </c>
      <c r="K83" s="39" t="s">
        <v>573</v>
      </c>
      <c r="L83" s="39">
        <v>0.98229999999999995</v>
      </c>
      <c r="M83" s="52">
        <f t="shared" si="12"/>
        <v>3.7999999999999146E-3</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t="s">
        <v>574</v>
      </c>
      <c r="J84" s="39">
        <v>0.55359999999999998</v>
      </c>
      <c r="K84" s="39" t="s">
        <v>574</v>
      </c>
      <c r="L84" s="39">
        <v>0.57350000000000001</v>
      </c>
      <c r="M84" s="52">
        <f t="shared" si="12"/>
        <v>1.9900000000000029E-2</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t="s">
        <v>575</v>
      </c>
      <c r="J85" s="39">
        <v>0.66579999999999995</v>
      </c>
      <c r="K85" s="39" t="s">
        <v>575</v>
      </c>
      <c r="L85" s="39">
        <v>0.65990000000000004</v>
      </c>
      <c r="M85" s="52">
        <f t="shared" si="12"/>
        <v>-5.8999999999999053E-3</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t="s">
        <v>576</v>
      </c>
      <c r="J86" s="39">
        <v>0.65190000000000003</v>
      </c>
      <c r="K86" s="39" t="s">
        <v>576</v>
      </c>
      <c r="L86" s="39">
        <v>0.61019999999999996</v>
      </c>
      <c r="M86" s="52">
        <f t="shared" si="12"/>
        <v>-4.170000000000007E-2</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t="s">
        <v>577</v>
      </c>
      <c r="J87" s="39">
        <v>0.71550000000000002</v>
      </c>
      <c r="K87" s="39" t="s">
        <v>577</v>
      </c>
      <c r="L87" s="39">
        <v>0.65139999999999998</v>
      </c>
      <c r="M87" s="52">
        <f t="shared" si="12"/>
        <v>-6.4100000000000046E-2</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t="s">
        <v>578</v>
      </c>
      <c r="J88" s="39">
        <v>0.59379999999999999</v>
      </c>
      <c r="K88" s="39" t="s">
        <v>578</v>
      </c>
      <c r="L88" s="39">
        <v>0.57940000000000003</v>
      </c>
      <c r="M88" s="52">
        <f t="shared" si="12"/>
        <v>-1.4399999999999968E-2</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t="s">
        <v>579</v>
      </c>
      <c r="J89" s="39">
        <v>0.7389</v>
      </c>
      <c r="K89" s="39" t="s">
        <v>579</v>
      </c>
      <c r="L89" s="39">
        <v>0.71289999999999998</v>
      </c>
      <c r="M89" s="52">
        <f t="shared" si="12"/>
        <v>-2.6000000000000023E-2</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t="s">
        <v>580</v>
      </c>
      <c r="J90" s="39">
        <v>0.72709999999999997</v>
      </c>
      <c r="K90" s="39" t="s">
        <v>580</v>
      </c>
      <c r="L90" s="39">
        <v>0.66080000000000005</v>
      </c>
      <c r="M90" s="52">
        <f t="shared" si="12"/>
        <v>-6.6299999999999915E-2</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t="s">
        <v>581</v>
      </c>
      <c r="J91" s="39">
        <v>0.6583</v>
      </c>
      <c r="K91" s="39" t="s">
        <v>581</v>
      </c>
      <c r="L91" s="39">
        <v>0.71840000000000004</v>
      </c>
      <c r="M91" s="52">
        <f t="shared" si="12"/>
        <v>6.0100000000000042E-2</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t="s">
        <v>582</v>
      </c>
      <c r="J92" s="39">
        <v>0.98160000000000003</v>
      </c>
      <c r="K92" s="39" t="s">
        <v>582</v>
      </c>
      <c r="L92" s="39">
        <v>0.76060000000000005</v>
      </c>
      <c r="M92" s="52">
        <f t="shared" si="12"/>
        <v>-0.22099999999999997</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t="s">
        <v>583</v>
      </c>
      <c r="J93" s="39">
        <v>1.0429999999999999</v>
      </c>
      <c r="K93" s="39" t="s">
        <v>583</v>
      </c>
      <c r="L93" s="39">
        <v>0.79949999999999999</v>
      </c>
      <c r="M93" s="52">
        <f t="shared" si="12"/>
        <v>-0.24349999999999994</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t="s">
        <v>584</v>
      </c>
      <c r="J94" s="39">
        <v>1.0329999999999999</v>
      </c>
      <c r="K94" s="39" t="s">
        <v>584</v>
      </c>
      <c r="L94" s="39">
        <v>1.353</v>
      </c>
      <c r="M94" s="52">
        <f t="shared" si="12"/>
        <v>0.32000000000000006</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t="s">
        <v>585</v>
      </c>
      <c r="J95" s="39">
        <v>1.018</v>
      </c>
      <c r="K95" s="39" t="s">
        <v>585</v>
      </c>
      <c r="L95" s="39">
        <v>1.548</v>
      </c>
      <c r="M95" s="52">
        <f t="shared" si="12"/>
        <v>0.53</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t="s">
        <v>586</v>
      </c>
      <c r="J96" s="39">
        <v>0.84519999999999995</v>
      </c>
      <c r="K96" s="39" t="s">
        <v>586</v>
      </c>
      <c r="L96" s="39">
        <v>1.0369999999999999</v>
      </c>
      <c r="M96" s="52">
        <f t="shared" si="12"/>
        <v>0.19179999999999997</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t="s">
        <v>587</v>
      </c>
      <c r="J97" s="39">
        <v>0.93920000000000003</v>
      </c>
      <c r="K97" s="39" t="s">
        <v>587</v>
      </c>
      <c r="L97" s="39">
        <v>1.1579999999999999</v>
      </c>
      <c r="M97" s="52">
        <f t="shared" si="12"/>
        <v>0.21879999999999988</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t="s">
        <v>588</v>
      </c>
      <c r="J98" s="39">
        <v>0.98960000000000004</v>
      </c>
      <c r="K98" s="39" t="s">
        <v>588</v>
      </c>
      <c r="L98" s="39">
        <v>1.0309999999999999</v>
      </c>
      <c r="M98" s="52">
        <f t="shared" si="12"/>
        <v>4.1399999999999881E-2</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t="s">
        <v>589</v>
      </c>
      <c r="J99" s="39">
        <v>0.98550000000000004</v>
      </c>
      <c r="K99" s="39" t="s">
        <v>589</v>
      </c>
      <c r="L99" s="39">
        <v>1.008</v>
      </c>
      <c r="M99" s="52">
        <f t="shared" si="12"/>
        <v>2.2499999999999964E-2</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topLeftCell="H4" zoomScale="110" zoomScaleNormal="110" workbookViewId="0">
      <selection activeCell="U29" sqref="U29"/>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1" t="s">
        <v>246</v>
      </c>
      <c r="F3" s="272"/>
      <c r="G3" s="273"/>
      <c r="J3" s="271" t="s">
        <v>247</v>
      </c>
      <c r="K3" s="272"/>
      <c r="L3" s="273"/>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
      </c>
      <c r="E5" s="122" t="str">
        <f>IF('Fixed Effects'!O5="","",'Fixed Effects'!O5)</f>
        <v/>
      </c>
      <c r="F5" s="123" t="str">
        <f>IF('Fixed Effects'!Q5="","",'Fixed Effects'!Q5)</f>
        <v/>
      </c>
      <c r="G5" s="124"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7" t="str">
        <f ca="1">IF(INDIRECT(CONCATENATE("'",'Inconsistency Data'!$I$4,"'!N5"))="","",INDIRECT(CONCATENATE("'",'Inconsistency Data'!$I$4,"'!N5")))</f>
        <v>OR[1,2]</v>
      </c>
      <c r="J5" s="122" t="str">
        <f ca="1">IF(INDIRECT(CONCATENATE("'",'Inconsistency Data'!$I$4,"'!O5"))="","",INDIRECT(CONCATENATE("'",'Inconsistency Data'!$I$4,"'!O5")))</f>
        <v>IBUIV versus INDOIV</v>
      </c>
      <c r="K5" s="123">
        <f ca="1">IF(INDIRECT(CONCATENATE("'",'Inconsistency Data'!$I$4,"'!Q5"))="","",INDIRECT(CONCATENATE("'",'Inconsistency Data'!$I$4,"'!Q5")))</f>
        <v>0.64180000000000004</v>
      </c>
      <c r="L5" s="124"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5" t="str">
        <f>IF('Fixed Effects'!N6="","",'Fixed Effects'!N6)</f>
        <v/>
      </c>
      <c r="E6" s="126" t="str">
        <f>IF('Fixed Effects'!O6="","",'Fixed Effects'!O6)</f>
        <v/>
      </c>
      <c r="F6" s="127" t="str">
        <f>IF('Fixed Effects'!Q6="","",'Fixed Effects'!Q6)</f>
        <v/>
      </c>
      <c r="G6" s="128"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8" t="str">
        <f ca="1">IF(INDIRECT(CONCATENATE("'",'Inconsistency Data'!$I$4,"'!N6"))="","",INDIRECT(CONCATENATE("'",'Inconsistency Data'!$I$4,"'!N6")))</f>
        <v>OR[1,3]</v>
      </c>
      <c r="J6" s="126" t="str">
        <f ca="1">IF(INDIRECT(CONCATENATE("'",'Inconsistency Data'!$I$4,"'!O6"))="","",INDIRECT(CONCATENATE("'",'Inconsistency Data'!$I$4,"'!O6")))</f>
        <v>IBUPO versus INDOIV</v>
      </c>
      <c r="K6" s="127">
        <f ca="1">IF(INDIRECT(CONCATENATE("'",'Inconsistency Data'!$I$4,"'!Q6"))="","",INDIRECT(CONCATENATE("'",'Inconsistency Data'!$I$4,"'!Q6")))</f>
        <v>1.4510000000000001</v>
      </c>
      <c r="L6" s="128"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5" t="str">
        <f>IF('Fixed Effects'!N7="","",'Fixed Effects'!N7)</f>
        <v/>
      </c>
      <c r="E7" s="126" t="str">
        <f>IF('Fixed Effects'!O7="","",'Fixed Effects'!O7)</f>
        <v/>
      </c>
      <c r="F7" s="127" t="str">
        <f>IF('Fixed Effects'!Q7="","",'Fixed Effects'!Q7)</f>
        <v/>
      </c>
      <c r="G7" s="128"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8" t="str">
        <f ca="1">IF(INDIRECT(CONCATENATE("'",'Inconsistency Data'!$I$4,"'!N7"))="","",INDIRECT(CONCATENATE("'",'Inconsistency Data'!$I$4,"'!N7")))</f>
        <v>OR[1,4]</v>
      </c>
      <c r="J7" s="126" t="str">
        <f ca="1">IF(INDIRECT(CONCATENATE("'",'Inconsistency Data'!$I$4,"'!O7"))="","",INDIRECT(CONCATENATE("'",'Inconsistency Data'!$I$4,"'!O7")))</f>
        <v>PARAPO versus INDOIV</v>
      </c>
      <c r="K7" s="127">
        <f ca="1">IF(INDIRECT(CONCATENATE("'",'Inconsistency Data'!$I$4,"'!Q7"))="","",INDIRECT(CONCATENATE("'",'Inconsistency Data'!$I$4,"'!Q7")))</f>
        <v>1.92</v>
      </c>
      <c r="L7" s="128"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5" t="str">
        <f>IF('Fixed Effects'!N8="","",'Fixed Effects'!N8)</f>
        <v/>
      </c>
      <c r="E8" s="126" t="str">
        <f>IF('Fixed Effects'!O8="","",'Fixed Effects'!O8)</f>
        <v/>
      </c>
      <c r="F8" s="127" t="str">
        <f>IF('Fixed Effects'!Q8="","",'Fixed Effects'!Q8)</f>
        <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8" t="str">
        <f ca="1">IF(INDIRECT(CONCATENATE("'",'Inconsistency Data'!$I$4,"'!N8"))="","",INDIRECT(CONCATENATE("'",'Inconsistency Data'!$I$4,"'!N8")))</f>
        <v>OR[1,5]</v>
      </c>
      <c r="J8" s="126" t="str">
        <f ca="1">IF(INDIRECT(CONCATENATE("'",'Inconsistency Data'!$I$4,"'!O8"))="","",INDIRECT(CONCATENATE("'",'Inconsistency Data'!$I$4,"'!O8")))</f>
        <v>IBUIVHIGHDOSE versus INDOIV</v>
      </c>
      <c r="K8" s="127">
        <f ca="1">IF(INDIRECT(CONCATENATE("'",'Inconsistency Data'!$I$4,"'!Q8"))="","",INDIRECT(CONCATENATE("'",'Inconsistency Data'!$I$4,"'!Q8")))</f>
        <v>2.3940000000000001</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5" t="str">
        <f>IF('Fixed Effects'!N9="","",'Fixed Effects'!N9)</f>
        <v/>
      </c>
      <c r="E9" s="126" t="str">
        <f>IF('Fixed Effects'!O9="","",'Fixed Effects'!O9)</f>
        <v/>
      </c>
      <c r="F9" s="127" t="str">
        <f>IF('Fixed Effects'!Q9="","",'Fixed Effects'!Q9)</f>
        <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8" t="str">
        <f ca="1">IF(INDIRECT(CONCATENATE("'",'Inconsistency Data'!$I$4,"'!N9"))="","",INDIRECT(CONCATENATE("'",'Inconsistency Data'!$I$4,"'!N9")))</f>
        <v>OR[1,6]</v>
      </c>
      <c r="J9" s="126" t="str">
        <f ca="1">IF(INDIRECT(CONCATENATE("'",'Inconsistency Data'!$I$4,"'!O9"))="","",INDIRECT(CONCATENATE("'",'Inconsistency Data'!$I$4,"'!O9")))</f>
        <v>IBUPOHIGHDOSE versus INDOIV</v>
      </c>
      <c r="K9" s="127">
        <f ca="1">IF(INDIRECT(CONCATENATE("'",'Inconsistency Data'!$I$4,"'!Q9"))="","",INDIRECT(CONCATENATE("'",'Inconsistency Data'!$I$4,"'!Q9")))</f>
        <v>2.4180000000000001</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5" t="str">
        <f>IF('Fixed Effects'!N10="","",'Fixed Effects'!N10)</f>
        <v/>
      </c>
      <c r="E10" s="126" t="str">
        <f>IF('Fixed Effects'!O10="","",'Fixed Effects'!O10)</f>
        <v/>
      </c>
      <c r="F10" s="127" t="str">
        <f>IF('Fixed Effects'!Q10="","",'Fixed Effects'!Q10)</f>
        <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8" t="str">
        <f ca="1">IF(INDIRECT(CONCATENATE("'",'Inconsistency Data'!$I$4,"'!N10"))="","",INDIRECT(CONCATENATE("'",'Inconsistency Data'!$I$4,"'!N10")))</f>
        <v>OR[1,7]</v>
      </c>
      <c r="J10" s="126" t="str">
        <f ca="1">IF(INDIRECT(CONCATENATE("'",'Inconsistency Data'!$I$4,"'!O10"))="","",INDIRECT(CONCATENATE("'",'Inconsistency Data'!$I$4,"'!O10")))</f>
        <v>IBUIVCONT versus INDOIV</v>
      </c>
      <c r="K10" s="127">
        <f ca="1">IF(INDIRECT(CONCATENATE("'",'Inconsistency Data'!$I$4,"'!Q10"))="","",INDIRECT(CONCATENATE("'",'Inconsistency Data'!$I$4,"'!Q10")))</f>
        <v>0.4612</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4"/>
    </row>
    <row r="11" spans="4:22" x14ac:dyDescent="0.25">
      <c r="D11" s="125" t="str">
        <f>IF('Fixed Effects'!N11="","",'Fixed Effects'!N11)</f>
        <v/>
      </c>
      <c r="E11" s="126" t="str">
        <f>IF('Fixed Effects'!O11="","",'Fixed Effects'!O11)</f>
        <v/>
      </c>
      <c r="F11" s="127" t="str">
        <f>IF('Fixed Effects'!Q11="","",'Fixed Effects'!Q11)</f>
        <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8" t="str">
        <f ca="1">IF(INDIRECT(CONCATENATE("'",'Inconsistency Data'!$I$4,"'!N11"))="","",INDIRECT(CONCATENATE("'",'Inconsistency Data'!$I$4,"'!N11")))</f>
        <v>OR[1,8]</v>
      </c>
      <c r="J11" s="126" t="str">
        <f ca="1">IF(INDIRECT(CONCATENATE("'",'Inconsistency Data'!$I$4,"'!O11"))="","",INDIRECT(CONCATENATE("'",'Inconsistency Data'!$I$4,"'!O11")))</f>
        <v>INDOIVCONT versus INDOIV</v>
      </c>
      <c r="K11" s="127">
        <f ca="1">IF(INDIRECT(CONCATENATE("'",'Inconsistency Data'!$I$4,"'!Q11"))="","",INDIRECT(CONCATENATE("'",'Inconsistency Data'!$I$4,"'!Q11")))</f>
        <v>0.80200000000000005</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4"/>
    </row>
    <row r="12" spans="4:22" x14ac:dyDescent="0.25">
      <c r="D12" s="125" t="str">
        <f>IF('Fixed Effects'!N12="","",'Fixed Effects'!N12)</f>
        <v/>
      </c>
      <c r="E12" s="126" t="str">
        <f>IF('Fixed Effects'!O12="","",'Fixed Effects'!O12)</f>
        <v/>
      </c>
      <c r="F12" s="127" t="str">
        <f>IF('Fixed Effects'!Q12="","",'Fixed Effects'!Q12)</f>
        <v/>
      </c>
      <c r="G12" s="128"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8" t="str">
        <f ca="1">IF(INDIRECT(CONCATENATE("'",'Inconsistency Data'!$I$4,"'!N12"))="","",INDIRECT(CONCATENATE("'",'Inconsistency Data'!$I$4,"'!N12")))</f>
        <v>OR[1,9]</v>
      </c>
      <c r="J12" s="126" t="str">
        <f ca="1">IF(INDIRECT(CONCATENATE("'",'Inconsistency Data'!$I$4,"'!O12"))="","",INDIRECT(CONCATENATE("'",'Inconsistency Data'!$I$4,"'!O12")))</f>
        <v>INDOTHERS versus INDOIV</v>
      </c>
      <c r="K12" s="127">
        <f ca="1">IF(INDIRECT(CONCATENATE("'",'Inconsistency Data'!$I$4,"'!Q12"))="","",INDIRECT(CONCATENATE("'",'Inconsistency Data'!$I$4,"'!Q12")))</f>
        <v>1.0229999999999999</v>
      </c>
      <c r="L12" s="128"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5" t="str">
        <f>IF('Fixed Effects'!N13="","",'Fixed Effects'!N13)</f>
        <v/>
      </c>
      <c r="E13" s="126" t="str">
        <f>IF('Fixed Effects'!O13="","",'Fixed Effects'!O13)</f>
        <v/>
      </c>
      <c r="F13" s="127" t="str">
        <f>IF('Fixed Effects'!Q13="","",'Fixed Effects'!Q13)</f>
        <v/>
      </c>
      <c r="G13" s="128"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8" t="str">
        <f ca="1">IF(INDIRECT(CONCATENATE("'",'Inconsistency Data'!$I$4,"'!N13"))="","",INDIRECT(CONCATENATE("'",'Inconsistency Data'!$I$4,"'!N13")))</f>
        <v>OR[1,10]</v>
      </c>
      <c r="J13" s="126" t="str">
        <f ca="1">IF(INDIRECT(CONCATENATE("'",'Inconsistency Data'!$I$4,"'!O13"))="","",INDIRECT(CONCATENATE("'",'Inconsistency Data'!$I$4,"'!O13")))</f>
        <v>PLAC_NORX versus INDOIV</v>
      </c>
      <c r="K13" s="127">
        <f ca="1">IF(INDIRECT(CONCATENATE("'",'Inconsistency Data'!$I$4,"'!Q13"))="","",INDIRECT(CONCATENATE("'",'Inconsistency Data'!$I$4,"'!Q13")))</f>
        <v>0.14399999999999999</v>
      </c>
      <c r="L13" s="128"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5" t="str">
        <f>IF('Fixed Effects'!N14="","",'Fixed Effects'!N14)</f>
        <v/>
      </c>
      <c r="E14" s="126" t="str">
        <f>IF('Fixed Effects'!O14="","",'Fixed Effects'!O14)</f>
        <v/>
      </c>
      <c r="F14" s="127" t="str">
        <f>IF('Fixed Effects'!Q14="","",'Fixed Effects'!Q14)</f>
        <v/>
      </c>
      <c r="G14" s="128"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8" t="str">
        <f ca="1">IF(INDIRECT(CONCATENATE("'",'Inconsistency Data'!$I$4,"'!N14"))="","",INDIRECT(CONCATENATE("'",'Inconsistency Data'!$I$4,"'!N14")))</f>
        <v>OR[2,3]</v>
      </c>
      <c r="J14" s="126" t="str">
        <f ca="1">IF(INDIRECT(CONCATENATE("'",'Inconsistency Data'!$I$4,"'!O14"))="","",INDIRECT(CONCATENATE("'",'Inconsistency Data'!$I$4,"'!O14")))</f>
        <v>IBUPO versus IBUIV</v>
      </c>
      <c r="K14" s="127">
        <f ca="1">IF(INDIRECT(CONCATENATE("'",'Inconsistency Data'!$I$4,"'!Q14"))="","",INDIRECT(CONCATENATE("'",'Inconsistency Data'!$I$4,"'!Q14")))</f>
        <v>2.2589999999999999</v>
      </c>
      <c r="L14" s="128"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5" t="str">
        <f>IF('Fixed Effects'!N15="","",'Fixed Effects'!N15)</f>
        <v/>
      </c>
      <c r="E15" s="126" t="str">
        <f>IF('Fixed Effects'!O15="","",'Fixed Effects'!O15)</f>
        <v/>
      </c>
      <c r="F15" s="127" t="str">
        <f>IF('Fixed Effects'!Q15="","",'Fixed Effects'!Q15)</f>
        <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8" t="str">
        <f ca="1">IF(INDIRECT(CONCATENATE("'",'Inconsistency Data'!$I$4,"'!N15"))="","",INDIRECT(CONCATENATE("'",'Inconsistency Data'!$I$4,"'!N15")))</f>
        <v>OR[2,4]</v>
      </c>
      <c r="J15" s="126" t="str">
        <f ca="1">IF(INDIRECT(CONCATENATE("'",'Inconsistency Data'!$I$4,"'!O15"))="","",INDIRECT(CONCATENATE("'",'Inconsistency Data'!$I$4,"'!O15")))</f>
        <v>PARAPO versus IBUIV</v>
      </c>
      <c r="K15" s="127">
        <f ca="1">IF(INDIRECT(CONCATENATE("'",'Inconsistency Data'!$I$4,"'!Q15"))="","",INDIRECT(CONCATENATE("'",'Inconsistency Data'!$I$4,"'!Q15")))</f>
        <v>2.9889999999999999</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5" t="str">
        <f>IF('Fixed Effects'!N16="","",'Fixed Effects'!N16)</f>
        <v/>
      </c>
      <c r="E16" s="126" t="str">
        <f>IF('Fixed Effects'!O16="","",'Fixed Effects'!O16)</f>
        <v/>
      </c>
      <c r="F16" s="127" t="str">
        <f>IF('Fixed Effects'!Q16="","",'Fixed Effects'!Q16)</f>
        <v/>
      </c>
      <c r="G16" s="128"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8" t="str">
        <f ca="1">IF(INDIRECT(CONCATENATE("'",'Inconsistency Data'!$I$4,"'!N16"))="","",INDIRECT(CONCATENATE("'",'Inconsistency Data'!$I$4,"'!N16")))</f>
        <v>OR[2,5]</v>
      </c>
      <c r="J16" s="126" t="str">
        <f ca="1">IF(INDIRECT(CONCATENATE("'",'Inconsistency Data'!$I$4,"'!O16"))="","",INDIRECT(CONCATENATE("'",'Inconsistency Data'!$I$4,"'!O16")))</f>
        <v>IBUIVHIGHDOSE versus IBUIV</v>
      </c>
      <c r="K16" s="127">
        <f ca="1">IF(INDIRECT(CONCATENATE("'",'Inconsistency Data'!$I$4,"'!Q16"))="","",INDIRECT(CONCATENATE("'",'Inconsistency Data'!$I$4,"'!Q16")))</f>
        <v>3.7309999999999999</v>
      </c>
      <c r="L16" s="128"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5" t="str">
        <f>IF('Fixed Effects'!N17="","",'Fixed Effects'!N17)</f>
        <v/>
      </c>
      <c r="E17" s="126" t="str">
        <f>IF('Fixed Effects'!O17="","",'Fixed Effects'!O17)</f>
        <v/>
      </c>
      <c r="F17" s="127" t="str">
        <f>IF('Fixed Effects'!Q17="","",'Fixed Effects'!Q17)</f>
        <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8" t="str">
        <f ca="1">IF(INDIRECT(CONCATENATE("'",'Inconsistency Data'!$I$4,"'!N17"))="","",INDIRECT(CONCATENATE("'",'Inconsistency Data'!$I$4,"'!N17")))</f>
        <v>OR[2,6]</v>
      </c>
      <c r="J17" s="126" t="str">
        <f ca="1">IF(INDIRECT(CONCATENATE("'",'Inconsistency Data'!$I$4,"'!O17"))="","",INDIRECT(CONCATENATE("'",'Inconsistency Data'!$I$4,"'!O17")))</f>
        <v>IBUPOHIGHDOSE versus IBUIV</v>
      </c>
      <c r="K17" s="127">
        <f ca="1">IF(INDIRECT(CONCATENATE("'",'Inconsistency Data'!$I$4,"'!Q17"))="","",INDIRECT(CONCATENATE("'",'Inconsistency Data'!$I$4,"'!Q17")))</f>
        <v>3.774</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5" t="str">
        <f>IF('Fixed Effects'!N18="","",'Fixed Effects'!N18)</f>
        <v/>
      </c>
      <c r="E18" s="126" t="str">
        <f>IF('Fixed Effects'!O18="","",'Fixed Effects'!O18)</f>
        <v/>
      </c>
      <c r="F18" s="127" t="str">
        <f>IF('Fixed Effects'!Q18="","",'Fixed Effects'!Q18)</f>
        <v/>
      </c>
      <c r="G18" s="128"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8" t="str">
        <f ca="1">IF(INDIRECT(CONCATENATE("'",'Inconsistency Data'!$I$4,"'!N18"))="","",INDIRECT(CONCATENATE("'",'Inconsistency Data'!$I$4,"'!N18")))</f>
        <v>OR[2,7]</v>
      </c>
      <c r="J18" s="126" t="str">
        <f ca="1">IF(INDIRECT(CONCATENATE("'",'Inconsistency Data'!$I$4,"'!O18"))="","",INDIRECT(CONCATENATE("'",'Inconsistency Data'!$I$4,"'!O18")))</f>
        <v>IBUIVCONT versus IBUIV</v>
      </c>
      <c r="K18" s="127">
        <f ca="1">IF(INDIRECT(CONCATENATE("'",'Inconsistency Data'!$I$4,"'!Q18"))="","",INDIRECT(CONCATENATE("'",'Inconsistency Data'!$I$4,"'!Q18")))</f>
        <v>0.72140000000000004</v>
      </c>
      <c r="L18" s="128"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5" t="str">
        <f>IF('Fixed Effects'!N19="","",'Fixed Effects'!N19)</f>
        <v/>
      </c>
      <c r="E19" s="126" t="str">
        <f>IF('Fixed Effects'!O19="","",'Fixed Effects'!O19)</f>
        <v/>
      </c>
      <c r="F19" s="127" t="str">
        <f>IF('Fixed Effects'!Q19="","",'Fixed Effects'!Q19)</f>
        <v/>
      </c>
      <c r="G19" s="128"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8" t="str">
        <f ca="1">IF(INDIRECT(CONCATENATE("'",'Inconsistency Data'!$I$4,"'!N19"))="","",INDIRECT(CONCATENATE("'",'Inconsistency Data'!$I$4,"'!N19")))</f>
        <v>OR[2,8]</v>
      </c>
      <c r="J19" s="126" t="str">
        <f ca="1">IF(INDIRECT(CONCATENATE("'",'Inconsistency Data'!$I$4,"'!O19"))="","",INDIRECT(CONCATENATE("'",'Inconsistency Data'!$I$4,"'!O19")))</f>
        <v>INDOIVCONT versus IBUIV</v>
      </c>
      <c r="K19" s="127">
        <f ca="1">IF(INDIRECT(CONCATENATE("'",'Inconsistency Data'!$I$4,"'!Q19"))="","",INDIRECT(CONCATENATE("'",'Inconsistency Data'!$I$4,"'!Q19")))</f>
        <v>1.2509999999999999</v>
      </c>
      <c r="L19" s="128"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5" t="str">
        <f>IF('Fixed Effects'!N20="","",'Fixed Effects'!N20)</f>
        <v/>
      </c>
      <c r="E20" s="126" t="str">
        <f>IF('Fixed Effects'!O20="","",'Fixed Effects'!O20)</f>
        <v/>
      </c>
      <c r="F20" s="127" t="str">
        <f>IF('Fixed Effects'!Q20="","",'Fixed Effects'!Q20)</f>
        <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8" t="str">
        <f ca="1">IF(INDIRECT(CONCATENATE("'",'Inconsistency Data'!$I$4,"'!N20"))="","",INDIRECT(CONCATENATE("'",'Inconsistency Data'!$I$4,"'!N20")))</f>
        <v>OR[2,9]</v>
      </c>
      <c r="J20" s="126" t="str">
        <f ca="1">IF(INDIRECT(CONCATENATE("'",'Inconsistency Data'!$I$4,"'!O20"))="","",INDIRECT(CONCATENATE("'",'Inconsistency Data'!$I$4,"'!O20")))</f>
        <v>INDOTHERS versus IBUIV</v>
      </c>
      <c r="K20" s="127">
        <f ca="1">IF(INDIRECT(CONCATENATE("'",'Inconsistency Data'!$I$4,"'!Q20"))="","",INDIRECT(CONCATENATE("'",'Inconsistency Data'!$I$4,"'!Q20")))</f>
        <v>1.595</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5" t="str">
        <f>IF('Fixed Effects'!N21="","",'Fixed Effects'!N21)</f>
        <v/>
      </c>
      <c r="E21" s="126" t="str">
        <f>IF('Fixed Effects'!O21="","",'Fixed Effects'!O21)</f>
        <v/>
      </c>
      <c r="F21" s="127" t="str">
        <f>IF('Fixed Effects'!Q21="","",'Fixed Effects'!Q21)</f>
        <v/>
      </c>
      <c r="G21" s="128"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8" t="str">
        <f ca="1">IF(INDIRECT(CONCATENATE("'",'Inconsistency Data'!$I$4,"'!N21"))="","",INDIRECT(CONCATENATE("'",'Inconsistency Data'!$I$4,"'!N21")))</f>
        <v>OR[2,10]</v>
      </c>
      <c r="J21" s="126" t="str">
        <f ca="1">IF(INDIRECT(CONCATENATE("'",'Inconsistency Data'!$I$4,"'!O21"))="","",INDIRECT(CONCATENATE("'",'Inconsistency Data'!$I$4,"'!O21")))</f>
        <v>PLAC_NORX versus IBUIV</v>
      </c>
      <c r="K21" s="127">
        <f ca="1">IF(INDIRECT(CONCATENATE("'",'Inconsistency Data'!$I$4,"'!Q21"))="","",INDIRECT(CONCATENATE("'",'Inconsistency Data'!$I$4,"'!Q21")))</f>
        <v>0.22450000000000001</v>
      </c>
      <c r="L21" s="128"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5" t="str">
        <f>IF('Fixed Effects'!N22="","",'Fixed Effects'!N22)</f>
        <v/>
      </c>
      <c r="E22" s="126" t="str">
        <f>IF('Fixed Effects'!O22="","",'Fixed Effects'!O22)</f>
        <v/>
      </c>
      <c r="F22" s="127" t="str">
        <f>IF('Fixed Effects'!Q22="","",'Fixed Effects'!Q22)</f>
        <v/>
      </c>
      <c r="G22" s="128"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8" t="str">
        <f ca="1">IF(INDIRECT(CONCATENATE("'",'Inconsistency Data'!$I$4,"'!N22"))="","",INDIRECT(CONCATENATE("'",'Inconsistency Data'!$I$4,"'!N22")))</f>
        <v>OR[3,4]</v>
      </c>
      <c r="J22" s="126" t="str">
        <f ca="1">IF(INDIRECT(CONCATENATE("'",'Inconsistency Data'!$I$4,"'!O22"))="","",INDIRECT(CONCATENATE("'",'Inconsistency Data'!$I$4,"'!O22")))</f>
        <v>PARAPO versus IBUPO</v>
      </c>
      <c r="K22" s="127">
        <f ca="1">IF(INDIRECT(CONCATENATE("'",'Inconsistency Data'!$I$4,"'!Q22"))="","",INDIRECT(CONCATENATE("'",'Inconsistency Data'!$I$4,"'!Q22")))</f>
        <v>1.3260000000000001</v>
      </c>
      <c r="L22" s="128"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5" t="str">
        <f>IF('Fixed Effects'!N23="","",'Fixed Effects'!N23)</f>
        <v/>
      </c>
      <c r="E23" s="126" t="str">
        <f>IF('Fixed Effects'!O23="","",'Fixed Effects'!O23)</f>
        <v/>
      </c>
      <c r="F23" s="127" t="str">
        <f>IF('Fixed Effects'!Q23="","",'Fixed Effects'!Q23)</f>
        <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8" t="str">
        <f ca="1">IF(INDIRECT(CONCATENATE("'",'Inconsistency Data'!$I$4,"'!N23"))="","",INDIRECT(CONCATENATE("'",'Inconsistency Data'!$I$4,"'!N23")))</f>
        <v>OR[3,5]</v>
      </c>
      <c r="J23" s="126" t="str">
        <f ca="1">IF(INDIRECT(CONCATENATE("'",'Inconsistency Data'!$I$4,"'!O23"))="","",INDIRECT(CONCATENATE("'",'Inconsistency Data'!$I$4,"'!O23")))</f>
        <v>IBUIVHIGHDOSE versus IBUPO</v>
      </c>
      <c r="K23" s="127">
        <f ca="1">IF(INDIRECT(CONCATENATE("'",'Inconsistency Data'!$I$4,"'!Q23"))="","",INDIRECT(CONCATENATE("'",'Inconsistency Data'!$I$4,"'!Q23")))</f>
        <v>1.651</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5" t="str">
        <f>IF('Fixed Effects'!N24="","",'Fixed Effects'!N24)</f>
        <v/>
      </c>
      <c r="E24" s="126" t="str">
        <f>IF('Fixed Effects'!O24="","",'Fixed Effects'!O24)</f>
        <v/>
      </c>
      <c r="F24" s="127" t="str">
        <f>IF('Fixed Effects'!Q24="","",'Fixed Effects'!Q24)</f>
        <v/>
      </c>
      <c r="G24" s="128"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8" t="str">
        <f ca="1">IF(INDIRECT(CONCATENATE("'",'Inconsistency Data'!$I$4,"'!N24"))="","",INDIRECT(CONCATENATE("'",'Inconsistency Data'!$I$4,"'!N24")))</f>
        <v>OR[3,6]</v>
      </c>
      <c r="J24" s="126" t="str">
        <f ca="1">IF(INDIRECT(CONCATENATE("'",'Inconsistency Data'!$I$4,"'!O24"))="","",INDIRECT(CONCATENATE("'",'Inconsistency Data'!$I$4,"'!O24")))</f>
        <v>IBUPOHIGHDOSE versus IBUPO</v>
      </c>
      <c r="K24" s="127">
        <f ca="1">IF(INDIRECT(CONCATENATE("'",'Inconsistency Data'!$I$4,"'!Q24"))="","",INDIRECT(CONCATENATE("'",'Inconsistency Data'!$I$4,"'!Q24")))</f>
        <v>1.6719999999999999</v>
      </c>
      <c r="L24" s="128"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5" t="str">
        <f>IF('Fixed Effects'!N25="","",'Fixed Effects'!N25)</f>
        <v/>
      </c>
      <c r="E25" s="126" t="str">
        <f>IF('Fixed Effects'!O25="","",'Fixed Effects'!O25)</f>
        <v/>
      </c>
      <c r="F25" s="127" t="str">
        <f>IF('Fixed Effects'!Q25="","",'Fixed Effects'!Q25)</f>
        <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8" t="str">
        <f ca="1">IF(INDIRECT(CONCATENATE("'",'Inconsistency Data'!$I$4,"'!N25"))="","",INDIRECT(CONCATENATE("'",'Inconsistency Data'!$I$4,"'!N25")))</f>
        <v>OR[3,7]</v>
      </c>
      <c r="J25" s="126" t="str">
        <f ca="1">IF(INDIRECT(CONCATENATE("'",'Inconsistency Data'!$I$4,"'!O25"))="","",INDIRECT(CONCATENATE("'",'Inconsistency Data'!$I$4,"'!O25")))</f>
        <v>IBUIVCONT versus IBUPO</v>
      </c>
      <c r="K25" s="127">
        <f ca="1">IF(INDIRECT(CONCATENATE("'",'Inconsistency Data'!$I$4,"'!Q25"))="","",INDIRECT(CONCATENATE("'",'Inconsistency Data'!$I$4,"'!Q25")))</f>
        <v>0.31879999999999997</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5" t="str">
        <f>IF('Fixed Effects'!N26="","",'Fixed Effects'!N26)</f>
        <v/>
      </c>
      <c r="E26" s="126" t="str">
        <f>IF('Fixed Effects'!O26="","",'Fixed Effects'!O26)</f>
        <v/>
      </c>
      <c r="F26" s="127" t="str">
        <f>IF('Fixed Effects'!Q26="","",'Fixed Effects'!Q26)</f>
        <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8" t="str">
        <f ca="1">IF(INDIRECT(CONCATENATE("'",'Inconsistency Data'!$I$4,"'!N26"))="","",INDIRECT(CONCATENATE("'",'Inconsistency Data'!$I$4,"'!N26")))</f>
        <v>OR[3,8]</v>
      </c>
      <c r="J26" s="126" t="str">
        <f ca="1">IF(INDIRECT(CONCATENATE("'",'Inconsistency Data'!$I$4,"'!O26"))="","",INDIRECT(CONCATENATE("'",'Inconsistency Data'!$I$4,"'!O26")))</f>
        <v>INDOIVCONT versus IBUPO</v>
      </c>
      <c r="K26" s="127">
        <f ca="1">IF(INDIRECT(CONCATENATE("'",'Inconsistency Data'!$I$4,"'!Q26"))="","",INDIRECT(CONCATENATE("'",'Inconsistency Data'!$I$4,"'!Q26")))</f>
        <v>0.55469999999999997</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5" t="str">
        <f>IF('Fixed Effects'!N27="","",'Fixed Effects'!N27)</f>
        <v/>
      </c>
      <c r="E27" s="126" t="str">
        <f>IF('Fixed Effects'!O27="","",'Fixed Effects'!O27)</f>
        <v/>
      </c>
      <c r="F27" s="127" t="str">
        <f>IF('Fixed Effects'!Q27="","",'Fixed Effects'!Q27)</f>
        <v/>
      </c>
      <c r="G27" s="128"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8" t="str">
        <f ca="1">IF(INDIRECT(CONCATENATE("'",'Inconsistency Data'!$I$4,"'!N27"))="","",INDIRECT(CONCATENATE("'",'Inconsistency Data'!$I$4,"'!N27")))</f>
        <v>OR[3,9]</v>
      </c>
      <c r="J27" s="126" t="str">
        <f ca="1">IF(INDIRECT(CONCATENATE("'",'Inconsistency Data'!$I$4,"'!O27"))="","",INDIRECT(CONCATENATE("'",'Inconsistency Data'!$I$4,"'!O27")))</f>
        <v>INDOTHERS versus IBUPO</v>
      </c>
      <c r="K27" s="127">
        <f ca="1">IF(INDIRECT(CONCATENATE("'",'Inconsistency Data'!$I$4,"'!Q27"))="","",INDIRECT(CONCATENATE("'",'Inconsistency Data'!$I$4,"'!Q27")))</f>
        <v>0.70630000000000004</v>
      </c>
      <c r="L27" s="128"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5" t="str">
        <f>IF('Fixed Effects'!N28="","",'Fixed Effects'!N28)</f>
        <v/>
      </c>
      <c r="E28" s="126" t="str">
        <f>IF('Fixed Effects'!O28="","",'Fixed Effects'!O28)</f>
        <v/>
      </c>
      <c r="F28" s="127" t="str">
        <f>IF('Fixed Effects'!Q28="","",'Fixed Effects'!Q28)</f>
        <v/>
      </c>
      <c r="G28" s="128"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8" t="str">
        <f ca="1">IF(INDIRECT(CONCATENATE("'",'Inconsistency Data'!$I$4,"'!N28"))="","",INDIRECT(CONCATENATE("'",'Inconsistency Data'!$I$4,"'!N28")))</f>
        <v>OR[3,10]</v>
      </c>
      <c r="J28" s="126" t="str">
        <f ca="1">IF(INDIRECT(CONCATENATE("'",'Inconsistency Data'!$I$4,"'!O28"))="","",INDIRECT(CONCATENATE("'",'Inconsistency Data'!$I$4,"'!O28")))</f>
        <v>PLAC_NORX versus IBUPO</v>
      </c>
      <c r="K28" s="127">
        <f ca="1">IF(INDIRECT(CONCATENATE("'",'Inconsistency Data'!$I$4,"'!Q28"))="","",INDIRECT(CONCATENATE("'",'Inconsistency Data'!$I$4,"'!Q28")))</f>
        <v>9.9390000000000006E-2</v>
      </c>
      <c r="L28" s="128"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5" t="str">
        <f>IF('Fixed Effects'!N29="","",'Fixed Effects'!N29)</f>
        <v/>
      </c>
      <c r="E29" s="126" t="str">
        <f>IF('Fixed Effects'!O29="","",'Fixed Effects'!O29)</f>
        <v/>
      </c>
      <c r="F29" s="127" t="str">
        <f>IF('Fixed Effects'!Q29="","",'Fixed Effects'!Q29)</f>
        <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8" t="str">
        <f ca="1">IF(INDIRECT(CONCATENATE("'",'Inconsistency Data'!$I$4,"'!N29"))="","",INDIRECT(CONCATENATE("'",'Inconsistency Data'!$I$4,"'!N29")))</f>
        <v>OR[4,5]</v>
      </c>
      <c r="J29" s="126" t="str">
        <f ca="1">IF(INDIRECT(CONCATENATE("'",'Inconsistency Data'!$I$4,"'!O29"))="","",INDIRECT(CONCATENATE("'",'Inconsistency Data'!$I$4,"'!O29")))</f>
        <v>IBUIVHIGHDOSE versus PARAPO</v>
      </c>
      <c r="K29" s="127">
        <f ca="1">IF(INDIRECT(CONCATENATE("'",'Inconsistency Data'!$I$4,"'!Q29"))="","",INDIRECT(CONCATENATE("'",'Inconsistency Data'!$I$4,"'!Q29")))</f>
        <v>1.246</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5" t="str">
        <f>IF('Fixed Effects'!N30="","",'Fixed Effects'!N30)</f>
        <v/>
      </c>
      <c r="E30" s="126" t="str">
        <f>IF('Fixed Effects'!O30="","",'Fixed Effects'!O30)</f>
        <v/>
      </c>
      <c r="F30" s="127" t="str">
        <f>IF('Fixed Effects'!Q30="","",'Fixed Effects'!Q30)</f>
        <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8" t="str">
        <f ca="1">IF(INDIRECT(CONCATENATE("'",'Inconsistency Data'!$I$4,"'!N30"))="","",INDIRECT(CONCATENATE("'",'Inconsistency Data'!$I$4,"'!N30")))</f>
        <v>OR[4,6]</v>
      </c>
      <c r="J30" s="126" t="str">
        <f ca="1">IF(INDIRECT(CONCATENATE("'",'Inconsistency Data'!$I$4,"'!O30"))="","",INDIRECT(CONCATENATE("'",'Inconsistency Data'!$I$4,"'!O30")))</f>
        <v>IBUPOHIGHDOSE versus PARAPO</v>
      </c>
      <c r="K30" s="127">
        <f ca="1">IF(INDIRECT(CONCATENATE("'",'Inconsistency Data'!$I$4,"'!Q30"))="","",INDIRECT(CONCATENATE("'",'Inconsistency Data'!$I$4,"'!Q30")))</f>
        <v>1.2609999999999999</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5" t="str">
        <f>IF('Fixed Effects'!N31="","",'Fixed Effects'!N31)</f>
        <v/>
      </c>
      <c r="E31" s="126" t="str">
        <f>IF('Fixed Effects'!O31="","",'Fixed Effects'!O31)</f>
        <v/>
      </c>
      <c r="F31" s="127" t="str">
        <f>IF('Fixed Effects'!Q31="","",'Fixed Effects'!Q31)</f>
        <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8" t="str">
        <f ca="1">IF(INDIRECT(CONCATENATE("'",'Inconsistency Data'!$I$4,"'!N31"))="","",INDIRECT(CONCATENATE("'",'Inconsistency Data'!$I$4,"'!N31")))</f>
        <v>OR[4,7]</v>
      </c>
      <c r="J31" s="126" t="str">
        <f ca="1">IF(INDIRECT(CONCATENATE("'",'Inconsistency Data'!$I$4,"'!O31"))="","",INDIRECT(CONCATENATE("'",'Inconsistency Data'!$I$4,"'!O31")))</f>
        <v>IBUIVCONT versus PARAPO</v>
      </c>
      <c r="K31" s="127">
        <f ca="1">IF(INDIRECT(CONCATENATE("'",'Inconsistency Data'!$I$4,"'!Q31"))="","",INDIRECT(CONCATENATE("'",'Inconsistency Data'!$I$4,"'!Q31")))</f>
        <v>0.24030000000000001</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5" t="str">
        <f>IF('Fixed Effects'!N32="","",'Fixed Effects'!N32)</f>
        <v/>
      </c>
      <c r="E32" s="126" t="str">
        <f>IF('Fixed Effects'!O32="","",'Fixed Effects'!O32)</f>
        <v/>
      </c>
      <c r="F32" s="127" t="str">
        <f>IF('Fixed Effects'!Q32="","",'Fixed Effects'!Q32)</f>
        <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8" t="str">
        <f ca="1">IF(INDIRECT(CONCATENATE("'",'Inconsistency Data'!$I$4,"'!N32"))="","",INDIRECT(CONCATENATE("'",'Inconsistency Data'!$I$4,"'!N32")))</f>
        <v>OR[4,8]</v>
      </c>
      <c r="J32" s="126" t="str">
        <f ca="1">IF(INDIRECT(CONCATENATE("'",'Inconsistency Data'!$I$4,"'!O32"))="","",INDIRECT(CONCATENATE("'",'Inconsistency Data'!$I$4,"'!O32")))</f>
        <v>INDOIVCONT versus PARAPO</v>
      </c>
      <c r="K32" s="127">
        <f ca="1">IF(INDIRECT(CONCATENATE("'",'Inconsistency Data'!$I$4,"'!Q32"))="","",INDIRECT(CONCATENATE("'",'Inconsistency Data'!$I$4,"'!Q32")))</f>
        <v>0.42</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5" t="str">
        <f>IF('Fixed Effects'!N33="","",'Fixed Effects'!N33)</f>
        <v/>
      </c>
      <c r="E33" s="126" t="str">
        <f>IF('Fixed Effects'!O33="","",'Fixed Effects'!O33)</f>
        <v/>
      </c>
      <c r="F33" s="127" t="str">
        <f>IF('Fixed Effects'!Q33="","",'Fixed Effects'!Q33)</f>
        <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8" t="str">
        <f ca="1">IF(INDIRECT(CONCATENATE("'",'Inconsistency Data'!$I$4,"'!N33"))="","",INDIRECT(CONCATENATE("'",'Inconsistency Data'!$I$4,"'!N33")))</f>
        <v>OR[4,9]</v>
      </c>
      <c r="J33" s="126" t="str">
        <f ca="1">IF(INDIRECT(CONCATENATE("'",'Inconsistency Data'!$I$4,"'!O33"))="","",INDIRECT(CONCATENATE("'",'Inconsistency Data'!$I$4,"'!O33")))</f>
        <v>INDOTHERS versus PARAPO</v>
      </c>
      <c r="K33" s="127">
        <f ca="1">IF(INDIRECT(CONCATENATE("'",'Inconsistency Data'!$I$4,"'!Q33"))="","",INDIRECT(CONCATENATE("'",'Inconsistency Data'!$I$4,"'!Q33")))</f>
        <v>0.53320000000000001</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5" t="str">
        <f>IF('Fixed Effects'!N34="","",'Fixed Effects'!N34)</f>
        <v/>
      </c>
      <c r="E34" s="126" t="str">
        <f>IF('Fixed Effects'!O34="","",'Fixed Effects'!O34)</f>
        <v/>
      </c>
      <c r="F34" s="127" t="str">
        <f>IF('Fixed Effects'!Q34="","",'Fixed Effects'!Q34)</f>
        <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8" t="str">
        <f ca="1">IF(INDIRECT(CONCATENATE("'",'Inconsistency Data'!$I$4,"'!N34"))="","",INDIRECT(CONCATENATE("'",'Inconsistency Data'!$I$4,"'!N34")))</f>
        <v>OR[4,10]</v>
      </c>
      <c r="J34" s="126" t="str">
        <f ca="1">IF(INDIRECT(CONCATENATE("'",'Inconsistency Data'!$I$4,"'!O34"))="","",INDIRECT(CONCATENATE("'",'Inconsistency Data'!$I$4,"'!O34")))</f>
        <v>PLAC_NORX versus PARAPO</v>
      </c>
      <c r="K34" s="127">
        <f ca="1">IF(INDIRECT(CONCATENATE("'",'Inconsistency Data'!$I$4,"'!Q34"))="","",INDIRECT(CONCATENATE("'",'Inconsistency Data'!$I$4,"'!Q34")))</f>
        <v>7.5009999999999993E-2</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5" t="str">
        <f>IF('Fixed Effects'!N35="","",'Fixed Effects'!N35)</f>
        <v/>
      </c>
      <c r="E35" s="126" t="str">
        <f>IF('Fixed Effects'!O35="","",'Fixed Effects'!O35)</f>
        <v/>
      </c>
      <c r="F35" s="127" t="str">
        <f>IF('Fixed Effects'!Q35="","",'Fixed Effects'!Q35)</f>
        <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8" t="str">
        <f ca="1">IF(INDIRECT(CONCATENATE("'",'Inconsistency Data'!$I$4,"'!N35"))="","",INDIRECT(CONCATENATE("'",'Inconsistency Data'!$I$4,"'!N35")))</f>
        <v>OR[5,6]</v>
      </c>
      <c r="J35" s="126" t="str">
        <f ca="1">IF(INDIRECT(CONCATENATE("'",'Inconsistency Data'!$I$4,"'!O35"))="","",INDIRECT(CONCATENATE("'",'Inconsistency Data'!$I$4,"'!O35")))</f>
        <v>IBUPOHIGHDOSE versus IBUIVHIGHDOSE</v>
      </c>
      <c r="K35" s="127">
        <f ca="1">IF(INDIRECT(CONCATENATE("'",'Inconsistency Data'!$I$4,"'!Q35"))="","",INDIRECT(CONCATENATE("'",'Inconsistency Data'!$I$4,"'!Q35")))</f>
        <v>1.016</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5" t="str">
        <f>IF('Fixed Effects'!N36="","",'Fixed Effects'!N36)</f>
        <v/>
      </c>
      <c r="E36" s="126" t="str">
        <f>IF('Fixed Effects'!O36="","",'Fixed Effects'!O36)</f>
        <v/>
      </c>
      <c r="F36" s="127" t="str">
        <f>IF('Fixed Effects'!Q36="","",'Fixed Effects'!Q36)</f>
        <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8" t="str">
        <f ca="1">IF(INDIRECT(CONCATENATE("'",'Inconsistency Data'!$I$4,"'!N36"))="","",INDIRECT(CONCATENATE("'",'Inconsistency Data'!$I$4,"'!N36")))</f>
        <v>OR[5,7]</v>
      </c>
      <c r="J36" s="126" t="str">
        <f ca="1">IF(INDIRECT(CONCATENATE("'",'Inconsistency Data'!$I$4,"'!O36"))="","",INDIRECT(CONCATENATE("'",'Inconsistency Data'!$I$4,"'!O36")))</f>
        <v>IBUIVCONT versus IBUIVHIGHDOSE</v>
      </c>
      <c r="K36" s="127">
        <f ca="1">IF(INDIRECT(CONCATENATE("'",'Inconsistency Data'!$I$4,"'!Q36"))="","",INDIRECT(CONCATENATE("'",'Inconsistency Data'!$I$4,"'!Q36")))</f>
        <v>0.19259999999999999</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5" t="str">
        <f>IF('Fixed Effects'!N37="","",'Fixed Effects'!N37)</f>
        <v/>
      </c>
      <c r="E37" s="126" t="str">
        <f>IF('Fixed Effects'!O37="","",'Fixed Effects'!O37)</f>
        <v/>
      </c>
      <c r="F37" s="127" t="str">
        <f>IF('Fixed Effects'!Q37="","",'Fixed Effects'!Q37)</f>
        <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8" t="str">
        <f ca="1">IF(INDIRECT(CONCATENATE("'",'Inconsistency Data'!$I$4,"'!N37"))="","",INDIRECT(CONCATENATE("'",'Inconsistency Data'!$I$4,"'!N37")))</f>
        <v>OR[5,8]</v>
      </c>
      <c r="J37" s="126" t="str">
        <f ca="1">IF(INDIRECT(CONCATENATE("'",'Inconsistency Data'!$I$4,"'!O37"))="","",INDIRECT(CONCATENATE("'",'Inconsistency Data'!$I$4,"'!O37")))</f>
        <v>INDOIVCONT versus IBUIVHIGHDOSE</v>
      </c>
      <c r="K37" s="127">
        <f ca="1">IF(INDIRECT(CONCATENATE("'",'Inconsistency Data'!$I$4,"'!Q37"))="","",INDIRECT(CONCATENATE("'",'Inconsistency Data'!$I$4,"'!Q37")))</f>
        <v>0.33339999999999997</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5" t="str">
        <f>IF('Fixed Effects'!N38="","",'Fixed Effects'!N38)</f>
        <v/>
      </c>
      <c r="E38" s="126" t="str">
        <f>IF('Fixed Effects'!O38="","",'Fixed Effects'!O38)</f>
        <v/>
      </c>
      <c r="F38" s="127" t="str">
        <f>IF('Fixed Effects'!Q38="","",'Fixed Effects'!Q38)</f>
        <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8" t="str">
        <f ca="1">IF(INDIRECT(CONCATENATE("'",'Inconsistency Data'!$I$4,"'!N38"))="","",INDIRECT(CONCATENATE("'",'Inconsistency Data'!$I$4,"'!N38")))</f>
        <v>OR[5,9]</v>
      </c>
      <c r="J38" s="126" t="str">
        <f ca="1">IF(INDIRECT(CONCATENATE("'",'Inconsistency Data'!$I$4,"'!O38"))="","",INDIRECT(CONCATENATE("'",'Inconsistency Data'!$I$4,"'!O38")))</f>
        <v>INDOTHERS versus IBUIVHIGHDOSE</v>
      </c>
      <c r="K38" s="127">
        <f ca="1">IF(INDIRECT(CONCATENATE("'",'Inconsistency Data'!$I$4,"'!Q38"))="","",INDIRECT(CONCATENATE("'",'Inconsistency Data'!$I$4,"'!Q38")))</f>
        <v>0.42930000000000001</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5" t="str">
        <f>IF('Fixed Effects'!N39="","",'Fixed Effects'!N39)</f>
        <v/>
      </c>
      <c r="E39" s="126" t="str">
        <f>IF('Fixed Effects'!O39="","",'Fixed Effects'!O39)</f>
        <v/>
      </c>
      <c r="F39" s="127" t="str">
        <f>IF('Fixed Effects'!Q39="","",'Fixed Effects'!Q39)</f>
        <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8" t="str">
        <f ca="1">IF(INDIRECT(CONCATENATE("'",'Inconsistency Data'!$I$4,"'!N39"))="","",INDIRECT(CONCATENATE("'",'Inconsistency Data'!$I$4,"'!N39")))</f>
        <v>OR[5,10]</v>
      </c>
      <c r="J39" s="126" t="str">
        <f ca="1">IF(INDIRECT(CONCATENATE("'",'Inconsistency Data'!$I$4,"'!O39"))="","",INDIRECT(CONCATENATE("'",'Inconsistency Data'!$I$4,"'!O39")))</f>
        <v>PLAC_NORX versus IBUIVHIGHDOSE</v>
      </c>
      <c r="K39" s="127">
        <f ca="1">IF(INDIRECT(CONCATENATE("'",'Inconsistency Data'!$I$4,"'!Q39"))="","",INDIRECT(CONCATENATE("'",'Inconsistency Data'!$I$4,"'!Q39")))</f>
        <v>6.021E-2</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5" t="str">
        <f>IF('Fixed Effects'!N40="","",'Fixed Effects'!N40)</f>
        <v/>
      </c>
      <c r="E40" s="126" t="str">
        <f>IF('Fixed Effects'!O40="","",'Fixed Effects'!O40)</f>
        <v/>
      </c>
      <c r="F40" s="127" t="str">
        <f>IF('Fixed Effects'!Q40="","",'Fixed Effects'!Q40)</f>
        <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8" t="str">
        <f ca="1">IF(INDIRECT(CONCATENATE("'",'Inconsistency Data'!$I$4,"'!N40"))="","",INDIRECT(CONCATENATE("'",'Inconsistency Data'!$I$4,"'!N40")))</f>
        <v>OR[6,7]</v>
      </c>
      <c r="J40" s="126" t="str">
        <f ca="1">IF(INDIRECT(CONCATENATE("'",'Inconsistency Data'!$I$4,"'!O40"))="","",INDIRECT(CONCATENATE("'",'Inconsistency Data'!$I$4,"'!O40")))</f>
        <v>IBUIVCONT versus IBUPOHIGHDOSE</v>
      </c>
      <c r="K40" s="127">
        <f ca="1">IF(INDIRECT(CONCATENATE("'",'Inconsistency Data'!$I$4,"'!Q40"))="","",INDIRECT(CONCATENATE("'",'Inconsistency Data'!$I$4,"'!Q40")))</f>
        <v>0.19040000000000001</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5" t="str">
        <f>IF('Fixed Effects'!N41="","",'Fixed Effects'!N41)</f>
        <v/>
      </c>
      <c r="E41" s="126" t="str">
        <f>IF('Fixed Effects'!O41="","",'Fixed Effects'!O41)</f>
        <v/>
      </c>
      <c r="F41" s="127" t="str">
        <f>IF('Fixed Effects'!Q41="","",'Fixed Effects'!Q41)</f>
        <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8" t="str">
        <f ca="1">IF(INDIRECT(CONCATENATE("'",'Inconsistency Data'!$I$4,"'!N41"))="","",INDIRECT(CONCATENATE("'",'Inconsistency Data'!$I$4,"'!N41")))</f>
        <v>OR[6,8]</v>
      </c>
      <c r="J41" s="126" t="str">
        <f ca="1">IF(INDIRECT(CONCATENATE("'",'Inconsistency Data'!$I$4,"'!O41"))="","",INDIRECT(CONCATENATE("'",'Inconsistency Data'!$I$4,"'!O41")))</f>
        <v>INDOIVCONT versus IBUPOHIGHDOSE</v>
      </c>
      <c r="K41" s="127">
        <f ca="1">IF(INDIRECT(CONCATENATE("'",'Inconsistency Data'!$I$4,"'!Q41"))="","",INDIRECT(CONCATENATE("'",'Inconsistency Data'!$I$4,"'!Q41")))</f>
        <v>0.33119999999999999</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5" t="str">
        <f>IF('Fixed Effects'!N42="","",'Fixed Effects'!N42)</f>
        <v/>
      </c>
      <c r="E42" s="126" t="str">
        <f>IF('Fixed Effects'!O42="","",'Fixed Effects'!O42)</f>
        <v/>
      </c>
      <c r="F42" s="127" t="str">
        <f>IF('Fixed Effects'!Q42="","",'Fixed Effects'!Q42)</f>
        <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8" t="str">
        <f ca="1">IF(INDIRECT(CONCATENATE("'",'Inconsistency Data'!$I$4,"'!N42"))="","",INDIRECT(CONCATENATE("'",'Inconsistency Data'!$I$4,"'!N42")))</f>
        <v>OR[6,9]</v>
      </c>
      <c r="J42" s="126" t="str">
        <f ca="1">IF(INDIRECT(CONCATENATE("'",'Inconsistency Data'!$I$4,"'!O42"))="","",INDIRECT(CONCATENATE("'",'Inconsistency Data'!$I$4,"'!O42")))</f>
        <v>INDOTHERS versus IBUPOHIGHDOSE</v>
      </c>
      <c r="K42" s="127">
        <f ca="1">IF(INDIRECT(CONCATENATE("'",'Inconsistency Data'!$I$4,"'!Q42"))="","",INDIRECT(CONCATENATE("'",'Inconsistency Data'!$I$4,"'!Q42")))</f>
        <v>0.42499999999999999</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5" t="str">
        <f>IF('Fixed Effects'!N43="","",'Fixed Effects'!N43)</f>
        <v/>
      </c>
      <c r="E43" s="126" t="str">
        <f>IF('Fixed Effects'!O43="","",'Fixed Effects'!O43)</f>
        <v/>
      </c>
      <c r="F43" s="127" t="str">
        <f>IF('Fixed Effects'!Q43="","",'Fixed Effects'!Q43)</f>
        <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8" t="str">
        <f ca="1">IF(INDIRECT(CONCATENATE("'",'Inconsistency Data'!$I$4,"'!N43"))="","",INDIRECT(CONCATENATE("'",'Inconsistency Data'!$I$4,"'!N43")))</f>
        <v>OR[6,10]</v>
      </c>
      <c r="J43" s="126" t="str">
        <f ca="1">IF(INDIRECT(CONCATENATE("'",'Inconsistency Data'!$I$4,"'!O43"))="","",INDIRECT(CONCATENATE("'",'Inconsistency Data'!$I$4,"'!O43")))</f>
        <v>PLAC_NORX versus IBUPOHIGHDOSE</v>
      </c>
      <c r="K43" s="127">
        <f ca="1">IF(INDIRECT(CONCATENATE("'",'Inconsistency Data'!$I$4,"'!Q43"))="","",INDIRECT(CONCATENATE("'",'Inconsistency Data'!$I$4,"'!Q43")))</f>
        <v>5.9479999999999998E-2</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5" t="str">
        <f>IF('Fixed Effects'!N44="","",'Fixed Effects'!N44)</f>
        <v/>
      </c>
      <c r="E44" s="126" t="str">
        <f>IF('Fixed Effects'!O44="","",'Fixed Effects'!O44)</f>
        <v/>
      </c>
      <c r="F44" s="127" t="str">
        <f>IF('Fixed Effects'!Q44="","",'Fixed Effects'!Q44)</f>
        <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8" t="str">
        <f ca="1">IF(INDIRECT(CONCATENATE("'",'Inconsistency Data'!$I$4,"'!N44"))="","",INDIRECT(CONCATENATE("'",'Inconsistency Data'!$I$4,"'!N44")))</f>
        <v>OR[7,8]</v>
      </c>
      <c r="J44" s="126" t="str">
        <f ca="1">IF(INDIRECT(CONCATENATE("'",'Inconsistency Data'!$I$4,"'!O44"))="","",INDIRECT(CONCATENATE("'",'Inconsistency Data'!$I$4,"'!O44")))</f>
        <v>INDOIVCONT versus IBUIVCONT</v>
      </c>
      <c r="K44" s="127">
        <f ca="1">IF(INDIRECT(CONCATENATE("'",'Inconsistency Data'!$I$4,"'!Q44"))="","",INDIRECT(CONCATENATE("'",'Inconsistency Data'!$I$4,"'!Q44")))</f>
        <v>1.742</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5" t="str">
        <f>IF('Fixed Effects'!N45="","",'Fixed Effects'!N45)</f>
        <v/>
      </c>
      <c r="E45" s="126" t="str">
        <f>IF('Fixed Effects'!O45="","",'Fixed Effects'!O45)</f>
        <v/>
      </c>
      <c r="F45" s="127" t="str">
        <f>IF('Fixed Effects'!Q45="","",'Fixed Effects'!Q45)</f>
        <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8" t="str">
        <f ca="1">IF(INDIRECT(CONCATENATE("'",'Inconsistency Data'!$I$4,"'!N45"))="","",INDIRECT(CONCATENATE("'",'Inconsistency Data'!$I$4,"'!N45")))</f>
        <v>OR[7,9]</v>
      </c>
      <c r="J45" s="126" t="str">
        <f ca="1">IF(INDIRECT(CONCATENATE("'",'Inconsistency Data'!$I$4,"'!O45"))="","",INDIRECT(CONCATENATE("'",'Inconsistency Data'!$I$4,"'!O45")))</f>
        <v>INDOTHERS versus IBUIVCONT</v>
      </c>
      <c r="K45" s="127">
        <f ca="1">IF(INDIRECT(CONCATENATE("'",'Inconsistency Data'!$I$4,"'!Q45"))="","",INDIRECT(CONCATENATE("'",'Inconsistency Data'!$I$4,"'!Q45")))</f>
        <v>2.214</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5" t="str">
        <f>IF('Fixed Effects'!N46="","",'Fixed Effects'!N46)</f>
        <v/>
      </c>
      <c r="E46" s="126" t="str">
        <f>IF('Fixed Effects'!O46="","",'Fixed Effects'!O46)</f>
        <v/>
      </c>
      <c r="F46" s="127" t="str">
        <f>IF('Fixed Effects'!Q46="","",'Fixed Effects'!Q46)</f>
        <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8" t="str">
        <f ca="1">IF(INDIRECT(CONCATENATE("'",'Inconsistency Data'!$I$4,"'!N46"))="","",INDIRECT(CONCATENATE("'",'Inconsistency Data'!$I$4,"'!N46")))</f>
        <v>OR[7,10]</v>
      </c>
      <c r="J46" s="126" t="str">
        <f ca="1">IF(INDIRECT(CONCATENATE("'",'Inconsistency Data'!$I$4,"'!O46"))="","",INDIRECT(CONCATENATE("'",'Inconsistency Data'!$I$4,"'!O46")))</f>
        <v>PLAC_NORX versus IBUIVCONT</v>
      </c>
      <c r="K46" s="127">
        <f ca="1">IF(INDIRECT(CONCATENATE("'",'Inconsistency Data'!$I$4,"'!Q46"))="","",INDIRECT(CONCATENATE("'",'Inconsistency Data'!$I$4,"'!Q46")))</f>
        <v>0.31240000000000001</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5" t="str">
        <f>IF('Fixed Effects'!N47="","",'Fixed Effects'!N47)</f>
        <v/>
      </c>
      <c r="E47" s="126" t="str">
        <f>IF('Fixed Effects'!O47="","",'Fixed Effects'!O47)</f>
        <v/>
      </c>
      <c r="F47" s="127" t="str">
        <f>IF('Fixed Effects'!Q47="","",'Fixed Effects'!Q47)</f>
        <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8" t="str">
        <f ca="1">IF(INDIRECT(CONCATENATE("'",'Inconsistency Data'!$I$4,"'!N47"))="","",INDIRECT(CONCATENATE("'",'Inconsistency Data'!$I$4,"'!N47")))</f>
        <v>OR[8,9]</v>
      </c>
      <c r="J47" s="126" t="str">
        <f ca="1">IF(INDIRECT(CONCATENATE("'",'Inconsistency Data'!$I$4,"'!O47"))="","",INDIRECT(CONCATENATE("'",'Inconsistency Data'!$I$4,"'!O47")))</f>
        <v>INDOTHERS versus INDOIVCONT</v>
      </c>
      <c r="K47" s="127">
        <f ca="1">IF(INDIRECT(CONCATENATE("'",'Inconsistency Data'!$I$4,"'!Q47"))="","",INDIRECT(CONCATENATE("'",'Inconsistency Data'!$I$4,"'!Q47")))</f>
        <v>1.2749999999999999</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5" t="str">
        <f>IF('Fixed Effects'!N48="","",'Fixed Effects'!N48)</f>
        <v/>
      </c>
      <c r="E48" s="126" t="str">
        <f>IF('Fixed Effects'!O48="","",'Fixed Effects'!O48)</f>
        <v/>
      </c>
      <c r="F48" s="127" t="str">
        <f>IF('Fixed Effects'!Q48="","",'Fixed Effects'!Q48)</f>
        <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8" t="str">
        <f ca="1">IF(INDIRECT(CONCATENATE("'",'Inconsistency Data'!$I$4,"'!N48"))="","",INDIRECT(CONCATENATE("'",'Inconsistency Data'!$I$4,"'!N48")))</f>
        <v>OR[8,10]</v>
      </c>
      <c r="J48" s="126" t="str">
        <f ca="1">IF(INDIRECT(CONCATENATE("'",'Inconsistency Data'!$I$4,"'!O48"))="","",INDIRECT(CONCATENATE("'",'Inconsistency Data'!$I$4,"'!O48")))</f>
        <v>PLAC_NORX versus INDOIVCONT</v>
      </c>
      <c r="K48" s="127">
        <f ca="1">IF(INDIRECT(CONCATENATE("'",'Inconsistency Data'!$I$4,"'!Q48"))="","",INDIRECT(CONCATENATE("'",'Inconsistency Data'!$I$4,"'!Q48")))</f>
        <v>0.1794</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5" t="str">
        <f>IF('Fixed Effects'!N49="","",'Fixed Effects'!N49)</f>
        <v/>
      </c>
      <c r="E49" s="126" t="str">
        <f>IF('Fixed Effects'!O49="","",'Fixed Effects'!O49)</f>
        <v/>
      </c>
      <c r="F49" s="127" t="str">
        <f>IF('Fixed Effects'!Q49="","",'Fixed Effects'!Q49)</f>
        <v/>
      </c>
      <c r="G49" s="128"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8" t="str">
        <f ca="1">IF(INDIRECT(CONCATENATE("'",'Inconsistency Data'!$I$4,"'!N49"))="","",INDIRECT(CONCATENATE("'",'Inconsistency Data'!$I$4,"'!N49")))</f>
        <v>OR[9,10]</v>
      </c>
      <c r="J49" s="126" t="str">
        <f ca="1">IF(INDIRECT(CONCATENATE("'",'Inconsistency Data'!$I$4,"'!O49"))="","",INDIRECT(CONCATENATE("'",'Inconsistency Data'!$I$4,"'!O49")))</f>
        <v>PLAC_NORX versus INDOTHERS</v>
      </c>
      <c r="K49" s="127">
        <f ca="1">IF(INDIRECT(CONCATENATE("'",'Inconsistency Data'!$I$4,"'!Q49"))="","",INDIRECT(CONCATENATE("'",'Inconsistency Data'!$I$4,"'!Q49")))</f>
        <v>0.14080000000000001</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A1"/>
  <sheetViews>
    <sheetView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1:H348"/>
  <sheetViews>
    <sheetView showGridLines="0" topLeftCell="A30" workbookViewId="0">
      <selection activeCell="B34" sqref="B34:D43"/>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4" spans="6:8" hidden="1" x14ac:dyDescent="0.25"/>
    <row r="25" spans="6:8" hidden="1" x14ac:dyDescent="0.25"/>
    <row r="26" spans="6:8" hidden="1" x14ac:dyDescent="0.25"/>
    <row r="27" spans="6:8" hidden="1" x14ac:dyDescent="0.25"/>
    <row r="28" spans="6:8" hidden="1" x14ac:dyDescent="0.25"/>
    <row r="29" spans="6:8" hidden="1" x14ac:dyDescent="0.25"/>
    <row r="32" spans="6:8" x14ac:dyDescent="0.25">
      <c r="F32" s="12"/>
      <c r="H32" s="12"/>
    </row>
    <row r="33" spans="5:5" x14ac:dyDescent="0.25">
      <c r="E33" s="13"/>
    </row>
    <row r="40" spans="5:5" x14ac:dyDescent="0.25">
      <c r="E40" s="13"/>
    </row>
    <row r="41" spans="5:5" x14ac:dyDescent="0.25">
      <c r="E41" s="13"/>
    </row>
    <row r="49" spans="5:5" x14ac:dyDescent="0.25">
      <c r="E49" s="13"/>
    </row>
    <row r="53" spans="5:5" x14ac:dyDescent="0.25">
      <c r="E53" s="13"/>
    </row>
    <row r="55" spans="5:5" x14ac:dyDescent="0.25">
      <c r="E55" s="13"/>
    </row>
    <row r="56" spans="5:5" x14ac:dyDescent="0.25">
      <c r="E56" s="13"/>
    </row>
    <row r="59" spans="5:5" x14ac:dyDescent="0.25">
      <c r="E59" s="13"/>
    </row>
    <row r="62" spans="5:5" x14ac:dyDescent="0.25">
      <c r="E62" s="13"/>
    </row>
    <row r="64" spans="5:5" x14ac:dyDescent="0.25">
      <c r="E64" s="13"/>
    </row>
    <row r="67" spans="5:5" x14ac:dyDescent="0.25">
      <c r="E67" s="13"/>
    </row>
    <row r="68" spans="5:5" x14ac:dyDescent="0.25">
      <c r="E68" s="13"/>
    </row>
    <row r="69" spans="5:5" x14ac:dyDescent="0.25">
      <c r="E69" s="13"/>
    </row>
    <row r="70" spans="5:5" x14ac:dyDescent="0.25">
      <c r="E70" s="13"/>
    </row>
    <row r="71" spans="5:5" x14ac:dyDescent="0.25">
      <c r="E71" s="13"/>
    </row>
    <row r="74" spans="5:5" x14ac:dyDescent="0.25">
      <c r="E74" s="13"/>
    </row>
    <row r="76" spans="5:5" x14ac:dyDescent="0.25">
      <c r="E76" s="13"/>
    </row>
    <row r="77" spans="5:5" x14ac:dyDescent="0.25">
      <c r="E77" s="13"/>
    </row>
    <row r="78" spans="5:5" x14ac:dyDescent="0.25">
      <c r="E78" s="13"/>
    </row>
    <row r="79" spans="5:5" x14ac:dyDescent="0.25">
      <c r="E79" s="13"/>
    </row>
    <row r="80" spans="5:5" x14ac:dyDescent="0.25">
      <c r="E80" s="13"/>
    </row>
    <row r="81" spans="3:5" x14ac:dyDescent="0.25">
      <c r="E81" s="13"/>
    </row>
    <row r="82" spans="3:5" x14ac:dyDescent="0.25">
      <c r="E82" s="13"/>
    </row>
    <row r="83" spans="3:5" x14ac:dyDescent="0.25">
      <c r="E83" s="13"/>
    </row>
    <row r="84" spans="3:5" x14ac:dyDescent="0.25">
      <c r="E84" s="13"/>
    </row>
    <row r="85" spans="3:5" x14ac:dyDescent="0.25">
      <c r="E85" s="13"/>
    </row>
    <row r="86" spans="3:5" x14ac:dyDescent="0.25">
      <c r="E86" s="13"/>
    </row>
    <row r="87" spans="3:5" x14ac:dyDescent="0.25">
      <c r="C87" s="13"/>
      <c r="E87" s="13"/>
    </row>
    <row r="88" spans="3:5" x14ac:dyDescent="0.25">
      <c r="E88" s="13"/>
    </row>
    <row r="89" spans="3:5" x14ac:dyDescent="0.25">
      <c r="E89" s="13"/>
    </row>
    <row r="90" spans="3:5" x14ac:dyDescent="0.25">
      <c r="C90" s="13"/>
      <c r="E90" s="13"/>
    </row>
    <row r="91" spans="3:5" x14ac:dyDescent="0.25">
      <c r="E91" s="13"/>
    </row>
    <row r="94" spans="3:5" x14ac:dyDescent="0.25">
      <c r="C94" s="13"/>
      <c r="E94" s="13"/>
    </row>
    <row r="95" spans="3:5" x14ac:dyDescent="0.25">
      <c r="E95" s="13"/>
    </row>
    <row r="96" spans="3:5" x14ac:dyDescent="0.25">
      <c r="E96" s="13"/>
    </row>
    <row r="97" spans="5:6" x14ac:dyDescent="0.25">
      <c r="E97" s="13"/>
    </row>
    <row r="98" spans="5:6" x14ac:dyDescent="0.25">
      <c r="F98" s="13"/>
    </row>
    <row r="99" spans="5:6" x14ac:dyDescent="0.25">
      <c r="F99" s="13"/>
    </row>
    <row r="104" spans="5:6" x14ac:dyDescent="0.25">
      <c r="F104" s="13"/>
    </row>
    <row r="105" spans="5:6" x14ac:dyDescent="0.25">
      <c r="F105" s="13"/>
    </row>
    <row r="106" spans="5:6" x14ac:dyDescent="0.25">
      <c r="E106" s="13"/>
      <c r="F106" s="13"/>
    </row>
    <row r="107" spans="5:6" x14ac:dyDescent="0.25">
      <c r="F107" s="13"/>
    </row>
    <row r="108" spans="5:6" x14ac:dyDescent="0.25">
      <c r="F108" s="13"/>
    </row>
    <row r="109" spans="5:6" x14ac:dyDescent="0.25">
      <c r="F109" s="13"/>
    </row>
    <row r="110" spans="5:6" x14ac:dyDescent="0.25">
      <c r="F110" s="13"/>
    </row>
    <row r="111" spans="5:6" x14ac:dyDescent="0.25">
      <c r="F111" s="13"/>
    </row>
    <row r="116" spans="6:6" x14ac:dyDescent="0.25">
      <c r="F116" s="13"/>
    </row>
    <row r="117" spans="6:6" x14ac:dyDescent="0.25">
      <c r="F117" s="13"/>
    </row>
    <row r="123" spans="6:6" x14ac:dyDescent="0.25">
      <c r="F123" s="13"/>
    </row>
    <row r="124" spans="6:6" x14ac:dyDescent="0.25">
      <c r="F124" s="13"/>
    </row>
    <row r="125" spans="6:6" x14ac:dyDescent="0.25">
      <c r="F125" s="13"/>
    </row>
    <row r="132" spans="6:6" x14ac:dyDescent="0.25">
      <c r="F132" s="13"/>
    </row>
    <row r="133" spans="6:6" x14ac:dyDescent="0.25">
      <c r="F133" s="13"/>
    </row>
    <row r="134" spans="6:6" x14ac:dyDescent="0.25">
      <c r="F134" s="13"/>
    </row>
    <row r="135" spans="6:6" x14ac:dyDescent="0.25">
      <c r="F135" s="13"/>
    </row>
    <row r="138" spans="6:6" x14ac:dyDescent="0.25">
      <c r="F138" s="13"/>
    </row>
    <row r="140" spans="6:6" x14ac:dyDescent="0.25">
      <c r="F140" s="13"/>
    </row>
    <row r="141" spans="6:6" x14ac:dyDescent="0.25">
      <c r="F141" s="13"/>
    </row>
    <row r="142" spans="6:6" x14ac:dyDescent="0.25">
      <c r="F142" s="13"/>
    </row>
    <row r="148" spans="6:6" x14ac:dyDescent="0.25">
      <c r="F148" s="13"/>
    </row>
    <row r="149" spans="6:6" x14ac:dyDescent="0.25">
      <c r="F149"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9" spans="6:6" x14ac:dyDescent="0.25">
      <c r="F159" s="13"/>
    </row>
    <row r="162" spans="6:6" x14ac:dyDescent="0.25">
      <c r="F162" s="13"/>
    </row>
    <row r="168" spans="6:6" x14ac:dyDescent="0.25">
      <c r="F168" s="13"/>
    </row>
    <row r="170" spans="6:6" x14ac:dyDescent="0.25">
      <c r="F170" s="13"/>
    </row>
    <row r="171" spans="6:6" x14ac:dyDescent="0.25">
      <c r="F171" s="13"/>
    </row>
    <row r="172" spans="6:6" x14ac:dyDescent="0.25">
      <c r="F172" s="13"/>
    </row>
    <row r="173" spans="6:6" x14ac:dyDescent="0.25">
      <c r="F173" s="13"/>
    </row>
    <row r="176" spans="6:6" x14ac:dyDescent="0.25">
      <c r="F176" s="13"/>
    </row>
    <row r="177" spans="5:6" x14ac:dyDescent="0.25">
      <c r="F177" s="13"/>
    </row>
    <row r="178" spans="5:6" x14ac:dyDescent="0.25">
      <c r="F178" s="13"/>
    </row>
    <row r="179" spans="5:6" x14ac:dyDescent="0.25">
      <c r="F179" s="13"/>
    </row>
    <row r="180" spans="5:6" x14ac:dyDescent="0.25">
      <c r="F180" s="13"/>
    </row>
    <row r="181" spans="5:6" x14ac:dyDescent="0.25">
      <c r="F181" s="13"/>
    </row>
    <row r="182" spans="5:6" x14ac:dyDescent="0.25">
      <c r="F182" s="13"/>
    </row>
    <row r="183" spans="5:6" x14ac:dyDescent="0.25">
      <c r="F183" s="13"/>
    </row>
    <row r="184" spans="5:6" x14ac:dyDescent="0.25">
      <c r="F184" s="13"/>
    </row>
    <row r="185" spans="5:6" x14ac:dyDescent="0.25">
      <c r="F185" s="13"/>
    </row>
    <row r="192" spans="5:6" x14ac:dyDescent="0.25">
      <c r="E192" s="13"/>
    </row>
    <row r="193" spans="3:5" x14ac:dyDescent="0.25">
      <c r="C193" s="13"/>
      <c r="E193" s="13"/>
    </row>
    <row r="194" spans="3:5" x14ac:dyDescent="0.25">
      <c r="E194" s="13"/>
    </row>
    <row r="195" spans="3:5" x14ac:dyDescent="0.25">
      <c r="E195" s="13"/>
    </row>
    <row r="199" spans="3:5" x14ac:dyDescent="0.25">
      <c r="E199" s="13"/>
    </row>
    <row r="200" spans="3:5" x14ac:dyDescent="0.25">
      <c r="C200" s="13"/>
      <c r="E200" s="13"/>
    </row>
    <row r="201" spans="3:5" x14ac:dyDescent="0.25">
      <c r="E201" s="13"/>
    </row>
    <row r="202" spans="3:5" x14ac:dyDescent="0.25">
      <c r="E202" s="13"/>
    </row>
    <row r="203" spans="3:5" x14ac:dyDescent="0.25">
      <c r="E203" s="13"/>
    </row>
    <row r="204" spans="3:5" x14ac:dyDescent="0.25">
      <c r="E204" s="13"/>
    </row>
    <row r="205" spans="3:5" x14ac:dyDescent="0.25">
      <c r="E205" s="13"/>
    </row>
    <row r="206" spans="3:5" x14ac:dyDescent="0.25">
      <c r="C206" s="13"/>
      <c r="E206" s="13"/>
    </row>
    <row r="207" spans="3:5" x14ac:dyDescent="0.25">
      <c r="E207" s="13"/>
    </row>
    <row r="211" spans="3:5" x14ac:dyDescent="0.25">
      <c r="E211" s="13"/>
    </row>
    <row r="212" spans="3:5" x14ac:dyDescent="0.25">
      <c r="C212" s="13"/>
      <c r="E212" s="13"/>
    </row>
    <row r="213" spans="3:5" x14ac:dyDescent="0.25">
      <c r="E213" s="13"/>
    </row>
    <row r="217" spans="3:5" x14ac:dyDescent="0.25">
      <c r="E217" s="13"/>
    </row>
    <row r="218" spans="3:5" x14ac:dyDescent="0.25">
      <c r="E218" s="13"/>
    </row>
    <row r="219" spans="3:5" x14ac:dyDescent="0.25">
      <c r="C219" s="13"/>
      <c r="E219" s="13"/>
    </row>
    <row r="220" spans="3:5" x14ac:dyDescent="0.25">
      <c r="C220" s="13"/>
      <c r="E220" s="13"/>
    </row>
    <row r="221" spans="3:5" x14ac:dyDescent="0.25">
      <c r="E221" s="13"/>
    </row>
    <row r="222" spans="3:5" x14ac:dyDescent="0.25">
      <c r="E222" s="13"/>
    </row>
    <row r="226" spans="3:5" x14ac:dyDescent="0.25">
      <c r="E226" s="13"/>
    </row>
    <row r="227" spans="3:5" x14ac:dyDescent="0.25">
      <c r="E227" s="13"/>
    </row>
    <row r="228" spans="3:5" x14ac:dyDescent="0.25">
      <c r="E228" s="13"/>
    </row>
    <row r="229" spans="3:5" x14ac:dyDescent="0.25">
      <c r="C229" s="13"/>
      <c r="E229" s="13"/>
    </row>
    <row r="230" spans="3:5" x14ac:dyDescent="0.25">
      <c r="C230" s="13"/>
      <c r="E230" s="13"/>
    </row>
    <row r="231" spans="3:5" x14ac:dyDescent="0.25">
      <c r="E231" s="13"/>
    </row>
    <row r="236" spans="3:5" x14ac:dyDescent="0.25">
      <c r="E236" s="13"/>
    </row>
    <row r="237" spans="3:5" x14ac:dyDescent="0.25">
      <c r="E237" s="13"/>
    </row>
    <row r="238" spans="3:5" x14ac:dyDescent="0.25">
      <c r="E238" s="13"/>
    </row>
    <row r="239" spans="3:5" x14ac:dyDescent="0.25">
      <c r="E239" s="13"/>
    </row>
    <row r="240" spans="3:5" x14ac:dyDescent="0.25">
      <c r="E240" s="13"/>
    </row>
    <row r="241" spans="3:5" x14ac:dyDescent="0.25">
      <c r="E241" s="13"/>
    </row>
    <row r="244" spans="3:5" x14ac:dyDescent="0.25">
      <c r="E244" s="13"/>
    </row>
    <row r="245" spans="3:5" x14ac:dyDescent="0.25">
      <c r="E245" s="13"/>
    </row>
    <row r="246" spans="3:5" x14ac:dyDescent="0.25">
      <c r="C246" s="13"/>
      <c r="E246" s="13"/>
    </row>
    <row r="247" spans="3:5" x14ac:dyDescent="0.25">
      <c r="C247" s="13"/>
      <c r="E247" s="13"/>
    </row>
    <row r="248" spans="3:5" x14ac:dyDescent="0.25">
      <c r="C248" s="13"/>
      <c r="E248" s="13"/>
    </row>
    <row r="249" spans="3:5" x14ac:dyDescent="0.25">
      <c r="C249" s="13"/>
      <c r="E249" s="13"/>
    </row>
    <row r="250" spans="3:5" x14ac:dyDescent="0.25">
      <c r="E250" s="13"/>
    </row>
    <row r="251" spans="3:5" x14ac:dyDescent="0.25">
      <c r="E251" s="13"/>
    </row>
    <row r="252" spans="3:5" x14ac:dyDescent="0.25">
      <c r="C252" s="13"/>
      <c r="E252" s="13"/>
    </row>
    <row r="253" spans="3:5" x14ac:dyDescent="0.25">
      <c r="C253" s="13"/>
      <c r="E253" s="13"/>
    </row>
    <row r="254" spans="3:5" x14ac:dyDescent="0.25">
      <c r="E254" s="13"/>
    </row>
    <row r="255" spans="3:5" x14ac:dyDescent="0.25">
      <c r="E255" s="13"/>
    </row>
    <row r="256" spans="3:5" x14ac:dyDescent="0.25">
      <c r="E256" s="13"/>
    </row>
    <row r="257" spans="3:5" x14ac:dyDescent="0.25">
      <c r="E257" s="13"/>
    </row>
    <row r="258" spans="3:5" x14ac:dyDescent="0.25">
      <c r="E258" s="13"/>
    </row>
    <row r="261" spans="3:5" x14ac:dyDescent="0.25">
      <c r="E261" s="13"/>
    </row>
    <row r="262" spans="3:5" x14ac:dyDescent="0.25">
      <c r="E262" s="13"/>
    </row>
    <row r="263" spans="3:5" x14ac:dyDescent="0.25">
      <c r="E263" s="13"/>
    </row>
    <row r="264" spans="3:5" x14ac:dyDescent="0.25">
      <c r="E264" s="13"/>
    </row>
    <row r="265" spans="3:5" x14ac:dyDescent="0.25">
      <c r="E265" s="13"/>
    </row>
    <row r="267" spans="3:5" x14ac:dyDescent="0.25">
      <c r="E267" s="13"/>
    </row>
    <row r="271" spans="3:5" x14ac:dyDescent="0.25">
      <c r="C271" s="13"/>
      <c r="E271" s="13"/>
    </row>
    <row r="272" spans="3:5" x14ac:dyDescent="0.25">
      <c r="E272" s="13"/>
    </row>
    <row r="273" spans="3:5" x14ac:dyDescent="0.25">
      <c r="C273" s="13"/>
      <c r="E273" s="13"/>
    </row>
    <row r="274" spans="3:5" x14ac:dyDescent="0.25">
      <c r="E274" s="13"/>
    </row>
    <row r="275" spans="3:5" x14ac:dyDescent="0.25">
      <c r="E275" s="13"/>
    </row>
    <row r="279" spans="3:5" x14ac:dyDescent="0.25">
      <c r="E279" s="13"/>
    </row>
    <row r="280" spans="3:5" x14ac:dyDescent="0.25">
      <c r="E280" s="13"/>
    </row>
    <row r="281" spans="3:5" x14ac:dyDescent="0.25">
      <c r="E281" s="13"/>
    </row>
    <row r="282" spans="3:5" x14ac:dyDescent="0.25">
      <c r="E282" s="13"/>
    </row>
    <row r="283" spans="3:5" x14ac:dyDescent="0.25">
      <c r="E283" s="13"/>
    </row>
    <row r="284" spans="3:5" x14ac:dyDescent="0.25">
      <c r="E284" s="13"/>
    </row>
    <row r="285" spans="3:5" x14ac:dyDescent="0.25">
      <c r="E285" s="13"/>
    </row>
    <row r="286" spans="3:5" x14ac:dyDescent="0.25">
      <c r="E286" s="13"/>
    </row>
    <row r="287" spans="3:5" x14ac:dyDescent="0.25">
      <c r="E287" s="13"/>
    </row>
    <row r="288" spans="3:5" x14ac:dyDescent="0.25">
      <c r="E288" s="13"/>
    </row>
    <row r="289" spans="3:5" x14ac:dyDescent="0.25">
      <c r="C289" s="13"/>
      <c r="E289" s="13"/>
    </row>
    <row r="290" spans="3:5" x14ac:dyDescent="0.25">
      <c r="E290" s="13"/>
    </row>
    <row r="291" spans="3:5" x14ac:dyDescent="0.25">
      <c r="E291" s="13"/>
    </row>
    <row r="348" spans="5:5" x14ac:dyDescent="0.25">
      <c r="E348" s="13"/>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J367"/>
  <sheetViews>
    <sheetView showGridLines="0" topLeftCell="A31" workbookViewId="0">
      <selection activeCell="Q325" sqref="Q325"/>
    </sheetView>
  </sheetViews>
  <sheetFormatPr defaultRowHeight="15" x14ac:dyDescent="0.25"/>
  <sheetData>
    <row r="1" spans="1:1" hidden="1" x14ac:dyDescent="0.25">
      <c r="A1" t="s">
        <v>397</v>
      </c>
    </row>
    <row r="2" spans="1:1" hidden="1" x14ac:dyDescent="0.25">
      <c r="A2" t="s">
        <v>891</v>
      </c>
    </row>
    <row r="3" spans="1:1" hidden="1" x14ac:dyDescent="0.25">
      <c r="A3" t="s">
        <v>411</v>
      </c>
    </row>
    <row r="4" spans="1:1" hidden="1" x14ac:dyDescent="0.25">
      <c r="A4" t="s">
        <v>412</v>
      </c>
    </row>
    <row r="5" spans="1:1" hidden="1" x14ac:dyDescent="0.25">
      <c r="A5" t="s">
        <v>413</v>
      </c>
    </row>
    <row r="6" spans="1:1" hidden="1" x14ac:dyDescent="0.25">
      <c r="A6" t="s">
        <v>414</v>
      </c>
    </row>
    <row r="7" spans="1:1" hidden="1" x14ac:dyDescent="0.25">
      <c r="A7" t="s">
        <v>413</v>
      </c>
    </row>
    <row r="8" spans="1:1" hidden="1" x14ac:dyDescent="0.25">
      <c r="A8" t="s">
        <v>21</v>
      </c>
    </row>
    <row r="9" spans="1:1" hidden="1" x14ac:dyDescent="0.25">
      <c r="A9" t="s">
        <v>415</v>
      </c>
    </row>
    <row r="10" spans="1:1" hidden="1" x14ac:dyDescent="0.25">
      <c r="A10" t="s">
        <v>892</v>
      </c>
    </row>
    <row r="11" spans="1:1" hidden="1" x14ac:dyDescent="0.25">
      <c r="A11" t="s">
        <v>834</v>
      </c>
    </row>
    <row r="12" spans="1:1" hidden="1" x14ac:dyDescent="0.25">
      <c r="A12" t="s">
        <v>893</v>
      </c>
    </row>
    <row r="13" spans="1:1" hidden="1" x14ac:dyDescent="0.25">
      <c r="A13" t="s">
        <v>834</v>
      </c>
    </row>
    <row r="14" spans="1:1" hidden="1" x14ac:dyDescent="0.25">
      <c r="A14" t="s">
        <v>894</v>
      </c>
    </row>
    <row r="15" spans="1:1" hidden="1" x14ac:dyDescent="0.25">
      <c r="A15" t="s">
        <v>834</v>
      </c>
    </row>
    <row r="16" spans="1:1" hidden="1" x14ac:dyDescent="0.25">
      <c r="A16" t="s">
        <v>23</v>
      </c>
    </row>
    <row r="17" spans="1:1" hidden="1" x14ac:dyDescent="0.25">
      <c r="A17" t="s">
        <v>837</v>
      </c>
    </row>
    <row r="18" spans="1:1" hidden="1" x14ac:dyDescent="0.25">
      <c r="A18" t="s">
        <v>400</v>
      </c>
    </row>
    <row r="19" spans="1:1" hidden="1" x14ac:dyDescent="0.25">
      <c r="A19" t="s">
        <v>416</v>
      </c>
    </row>
    <row r="20" spans="1:1" hidden="1" x14ac:dyDescent="0.25">
      <c r="A20" t="s">
        <v>417</v>
      </c>
    </row>
    <row r="21" spans="1:1" hidden="1" x14ac:dyDescent="0.25">
      <c r="A21" t="s">
        <v>418</v>
      </c>
    </row>
    <row r="22" spans="1:1" hidden="1" x14ac:dyDescent="0.25">
      <c r="A22" t="s">
        <v>419</v>
      </c>
    </row>
    <row r="23" spans="1:1" hidden="1" x14ac:dyDescent="0.25">
      <c r="A23" t="s">
        <v>420</v>
      </c>
    </row>
    <row r="24" spans="1:1" hidden="1" x14ac:dyDescent="0.25">
      <c r="A24" t="s">
        <v>421</v>
      </c>
    </row>
    <row r="25" spans="1:1" hidden="1" x14ac:dyDescent="0.25">
      <c r="A25" t="s">
        <v>422</v>
      </c>
    </row>
    <row r="26" spans="1:1" hidden="1" x14ac:dyDescent="0.25">
      <c r="A26" t="s">
        <v>197</v>
      </c>
    </row>
    <row r="27" spans="1:1" hidden="1" x14ac:dyDescent="0.25">
      <c r="A27" t="s">
        <v>199</v>
      </c>
    </row>
    <row r="28" spans="1:1" hidden="1" x14ac:dyDescent="0.25">
      <c r="A28" t="s">
        <v>261</v>
      </c>
    </row>
    <row r="29" spans="1:1" hidden="1" x14ac:dyDescent="0.25">
      <c r="A29" t="s">
        <v>400</v>
      </c>
    </row>
    <row r="30" spans="1:1" hidden="1" x14ac:dyDescent="0.25">
      <c r="A30" t="s">
        <v>401</v>
      </c>
    </row>
    <row r="32" spans="1:1" x14ac:dyDescent="0.25">
      <c r="A32" t="s">
        <v>423</v>
      </c>
    </row>
    <row r="33" spans="2:10" x14ac:dyDescent="0.25">
      <c r="B33" t="s">
        <v>424</v>
      </c>
      <c r="C33" t="s">
        <v>425</v>
      </c>
      <c r="D33" t="s">
        <v>426</v>
      </c>
      <c r="E33" t="s">
        <v>427</v>
      </c>
      <c r="F33" s="12">
        <v>2.5000000000000001E-2</v>
      </c>
      <c r="G33" t="s">
        <v>428</v>
      </c>
      <c r="H33" s="12">
        <v>0.97499999999999998</v>
      </c>
      <c r="I33" t="s">
        <v>429</v>
      </c>
      <c r="J33" t="s">
        <v>430</v>
      </c>
    </row>
    <row r="34" spans="2:10" x14ac:dyDescent="0.25">
      <c r="B34" t="s">
        <v>431</v>
      </c>
      <c r="C34">
        <v>0.65</v>
      </c>
      <c r="D34">
        <v>0.1202</v>
      </c>
      <c r="E34">
        <v>1.147E-3</v>
      </c>
      <c r="F34">
        <v>0.43919999999999998</v>
      </c>
      <c r="G34">
        <v>0.64180000000000004</v>
      </c>
      <c r="H34">
        <v>0.91120000000000001</v>
      </c>
      <c r="I34">
        <v>40001</v>
      </c>
      <c r="J34">
        <v>120000</v>
      </c>
    </row>
    <row r="35" spans="2:10" x14ac:dyDescent="0.25">
      <c r="B35" t="s">
        <v>432</v>
      </c>
      <c r="C35">
        <v>1.492</v>
      </c>
      <c r="D35">
        <v>0.37730000000000002</v>
      </c>
      <c r="E35">
        <v>3.8189999999999999E-3</v>
      </c>
      <c r="F35">
        <v>0.88019999999999998</v>
      </c>
      <c r="G35">
        <v>1.4510000000000001</v>
      </c>
      <c r="H35">
        <v>2.3540000000000001</v>
      </c>
      <c r="I35">
        <v>40001</v>
      </c>
      <c r="J35">
        <v>120000</v>
      </c>
    </row>
    <row r="36" spans="2:10" x14ac:dyDescent="0.25">
      <c r="B36" t="s">
        <v>433</v>
      </c>
      <c r="C36">
        <v>2.0579999999999998</v>
      </c>
      <c r="D36">
        <v>0.81599999999999995</v>
      </c>
      <c r="E36">
        <v>6.9210000000000001E-3</v>
      </c>
      <c r="F36">
        <v>0.89649999999999996</v>
      </c>
      <c r="G36">
        <v>1.92</v>
      </c>
      <c r="H36">
        <v>4.0469999999999997</v>
      </c>
      <c r="I36">
        <v>40001</v>
      </c>
      <c r="J36">
        <v>120000</v>
      </c>
    </row>
    <row r="37" spans="2:10" x14ac:dyDescent="0.25">
      <c r="B37" t="s">
        <v>434</v>
      </c>
      <c r="C37">
        <v>3.2480000000000002</v>
      </c>
      <c r="D37">
        <v>3.1440000000000001</v>
      </c>
      <c r="E37">
        <v>2.4070000000000001E-2</v>
      </c>
      <c r="F37">
        <v>0.56359999999999999</v>
      </c>
      <c r="G37">
        <v>2.3940000000000001</v>
      </c>
      <c r="H37">
        <v>11.14</v>
      </c>
      <c r="I37">
        <v>40001</v>
      </c>
      <c r="J37">
        <v>120000</v>
      </c>
    </row>
    <row r="38" spans="2:10" x14ac:dyDescent="0.25">
      <c r="B38" t="s">
        <v>435</v>
      </c>
      <c r="C38">
        <v>2.7120000000000002</v>
      </c>
      <c r="D38">
        <v>1.3740000000000001</v>
      </c>
      <c r="E38">
        <v>1.1429999999999999E-2</v>
      </c>
      <c r="F38">
        <v>0.9849</v>
      </c>
      <c r="G38">
        <v>2.4180000000000001</v>
      </c>
      <c r="H38">
        <v>6.1189999999999998</v>
      </c>
      <c r="I38">
        <v>40001</v>
      </c>
      <c r="J38">
        <v>120000</v>
      </c>
    </row>
    <row r="39" spans="2:10" x14ac:dyDescent="0.25">
      <c r="B39" t="s">
        <v>436</v>
      </c>
      <c r="C39">
        <v>0.54679999999999995</v>
      </c>
      <c r="D39">
        <v>0.3669</v>
      </c>
      <c r="E39">
        <v>2.3939999999999999E-3</v>
      </c>
      <c r="F39">
        <v>0.1426</v>
      </c>
      <c r="G39">
        <v>0.4612</v>
      </c>
      <c r="H39">
        <v>1.454</v>
      </c>
      <c r="I39">
        <v>40001</v>
      </c>
      <c r="J39">
        <v>120000</v>
      </c>
    </row>
    <row r="40" spans="2:10" x14ac:dyDescent="0.25">
      <c r="B40" t="s">
        <v>437</v>
      </c>
      <c r="C40">
        <v>0.91579999999999995</v>
      </c>
      <c r="D40">
        <v>0.51100000000000001</v>
      </c>
      <c r="E40">
        <v>6.0400000000000002E-3</v>
      </c>
      <c r="F40">
        <v>0.2797</v>
      </c>
      <c r="G40">
        <v>0.80200000000000005</v>
      </c>
      <c r="H40">
        <v>2.222</v>
      </c>
      <c r="I40">
        <v>40001</v>
      </c>
      <c r="J40">
        <v>120000</v>
      </c>
    </row>
    <row r="41" spans="2:10" x14ac:dyDescent="0.25">
      <c r="B41" t="s">
        <v>438</v>
      </c>
      <c r="C41">
        <v>1.07</v>
      </c>
      <c r="D41">
        <v>0.32890000000000003</v>
      </c>
      <c r="E41">
        <v>2.1800000000000001E-3</v>
      </c>
      <c r="F41">
        <v>0.56079999999999997</v>
      </c>
      <c r="G41">
        <v>1.0229999999999999</v>
      </c>
      <c r="H41">
        <v>1.8540000000000001</v>
      </c>
      <c r="I41">
        <v>40001</v>
      </c>
      <c r="J41">
        <v>120000</v>
      </c>
    </row>
    <row r="42" spans="2:10" x14ac:dyDescent="0.25">
      <c r="B42" t="s">
        <v>439</v>
      </c>
      <c r="C42">
        <v>0.1482</v>
      </c>
      <c r="D42">
        <v>3.807E-2</v>
      </c>
      <c r="E42" s="13">
        <v>3.1569999999999998E-4</v>
      </c>
      <c r="F42">
        <v>8.5779999999999995E-2</v>
      </c>
      <c r="G42">
        <v>0.14399999999999999</v>
      </c>
      <c r="H42">
        <v>0.23519999999999999</v>
      </c>
      <c r="I42">
        <v>40001</v>
      </c>
      <c r="J42">
        <v>120000</v>
      </c>
    </row>
    <row r="43" spans="2:10" x14ac:dyDescent="0.25">
      <c r="B43" t="s">
        <v>440</v>
      </c>
      <c r="C43">
        <v>2.335</v>
      </c>
      <c r="D43">
        <v>0.59230000000000005</v>
      </c>
      <c r="E43">
        <v>5.4660000000000004E-3</v>
      </c>
      <c r="F43">
        <v>1.401</v>
      </c>
      <c r="G43">
        <v>2.2589999999999999</v>
      </c>
      <c r="H43">
        <v>3.7029999999999998</v>
      </c>
      <c r="I43">
        <v>40001</v>
      </c>
      <c r="J43">
        <v>120000</v>
      </c>
    </row>
    <row r="44" spans="2:10" x14ac:dyDescent="0.25">
      <c r="B44" t="s">
        <v>441</v>
      </c>
      <c r="C44">
        <v>3.222</v>
      </c>
      <c r="D44">
        <v>1.2929999999999999</v>
      </c>
      <c r="E44">
        <v>1.0279999999999999E-2</v>
      </c>
      <c r="F44">
        <v>1.41</v>
      </c>
      <c r="G44">
        <v>2.9889999999999999</v>
      </c>
      <c r="H44">
        <v>6.37</v>
      </c>
      <c r="I44">
        <v>40001</v>
      </c>
      <c r="J44">
        <v>120000</v>
      </c>
    </row>
    <row r="45" spans="2:10" x14ac:dyDescent="0.25">
      <c r="B45" t="s">
        <v>442</v>
      </c>
      <c r="C45">
        <v>5.008</v>
      </c>
      <c r="D45">
        <v>4.7069999999999999</v>
      </c>
      <c r="E45">
        <v>3.5729999999999998E-2</v>
      </c>
      <c r="F45">
        <v>0.92659999999999998</v>
      </c>
      <c r="G45">
        <v>3.7309999999999999</v>
      </c>
      <c r="H45">
        <v>16.829999999999998</v>
      </c>
      <c r="I45">
        <v>40001</v>
      </c>
      <c r="J45">
        <v>120000</v>
      </c>
    </row>
    <row r="46" spans="2:10" x14ac:dyDescent="0.25">
      <c r="B46" t="s">
        <v>443</v>
      </c>
      <c r="C46">
        <v>4.2519999999999998</v>
      </c>
      <c r="D46">
        <v>2.2010000000000001</v>
      </c>
      <c r="E46">
        <v>1.8350000000000002E-2</v>
      </c>
      <c r="F46">
        <v>1.54</v>
      </c>
      <c r="G46">
        <v>3.774</v>
      </c>
      <c r="H46">
        <v>9.7230000000000008</v>
      </c>
      <c r="I46">
        <v>40001</v>
      </c>
      <c r="J46">
        <v>120000</v>
      </c>
    </row>
    <row r="47" spans="2:10" x14ac:dyDescent="0.25">
      <c r="B47" t="s">
        <v>444</v>
      </c>
      <c r="C47">
        <v>0.84179999999999999</v>
      </c>
      <c r="D47">
        <v>0.53949999999999998</v>
      </c>
      <c r="E47">
        <v>3.2429999999999998E-3</v>
      </c>
      <c r="F47">
        <v>0.23930000000000001</v>
      </c>
      <c r="G47">
        <v>0.72140000000000004</v>
      </c>
      <c r="H47">
        <v>2.1640000000000001</v>
      </c>
      <c r="I47">
        <v>40001</v>
      </c>
      <c r="J47">
        <v>120000</v>
      </c>
    </row>
    <row r="48" spans="2:10" x14ac:dyDescent="0.25">
      <c r="B48" t="s">
        <v>445</v>
      </c>
      <c r="C48">
        <v>1.4279999999999999</v>
      </c>
      <c r="D48">
        <v>0.79149999999999998</v>
      </c>
      <c r="E48">
        <v>8.4729999999999996E-3</v>
      </c>
      <c r="F48">
        <v>0.44900000000000001</v>
      </c>
      <c r="G48">
        <v>1.2509999999999999</v>
      </c>
      <c r="H48">
        <v>3.42</v>
      </c>
      <c r="I48">
        <v>40001</v>
      </c>
      <c r="J48">
        <v>120000</v>
      </c>
    </row>
    <row r="49" spans="2:10" x14ac:dyDescent="0.25">
      <c r="B49" t="s">
        <v>446</v>
      </c>
      <c r="C49">
        <v>1.6879999999999999</v>
      </c>
      <c r="D49">
        <v>0.57250000000000001</v>
      </c>
      <c r="E49">
        <v>4.3499999999999997E-3</v>
      </c>
      <c r="F49">
        <v>0.85299999999999998</v>
      </c>
      <c r="G49">
        <v>1.595</v>
      </c>
      <c r="H49">
        <v>3.0760000000000001</v>
      </c>
      <c r="I49">
        <v>40001</v>
      </c>
      <c r="J49">
        <v>120000</v>
      </c>
    </row>
    <row r="50" spans="2:10" x14ac:dyDescent="0.25">
      <c r="B50" t="s">
        <v>447</v>
      </c>
      <c r="C50">
        <v>0.23300000000000001</v>
      </c>
      <c r="D50">
        <v>6.454E-2</v>
      </c>
      <c r="E50" s="13">
        <v>5.4739999999999997E-4</v>
      </c>
      <c r="F50">
        <v>0.13170000000000001</v>
      </c>
      <c r="G50">
        <v>0.22450000000000001</v>
      </c>
      <c r="H50">
        <v>0.38369999999999999</v>
      </c>
      <c r="I50">
        <v>40001</v>
      </c>
      <c r="J50">
        <v>120000</v>
      </c>
    </row>
    <row r="51" spans="2:10" x14ac:dyDescent="0.25">
      <c r="B51" t="s">
        <v>448</v>
      </c>
      <c r="C51">
        <v>1.3839999999999999</v>
      </c>
      <c r="D51">
        <v>0.42730000000000001</v>
      </c>
      <c r="E51">
        <v>2.9529999999999999E-3</v>
      </c>
      <c r="F51">
        <v>0.72509999999999997</v>
      </c>
      <c r="G51">
        <v>1.3260000000000001</v>
      </c>
      <c r="H51">
        <v>2.391</v>
      </c>
      <c r="I51">
        <v>40001</v>
      </c>
      <c r="J51">
        <v>120000</v>
      </c>
    </row>
    <row r="52" spans="2:10" x14ac:dyDescent="0.25">
      <c r="B52" t="s">
        <v>449</v>
      </c>
      <c r="C52">
        <v>2.2799999999999998</v>
      </c>
      <c r="D52">
        <v>2.3010000000000002</v>
      </c>
      <c r="E52">
        <v>1.721E-2</v>
      </c>
      <c r="F52">
        <v>0.37519999999999998</v>
      </c>
      <c r="G52">
        <v>1.651</v>
      </c>
      <c r="H52">
        <v>7.9779999999999998</v>
      </c>
      <c r="I52">
        <v>40001</v>
      </c>
      <c r="J52">
        <v>120000</v>
      </c>
    </row>
    <row r="53" spans="2:10" x14ac:dyDescent="0.25">
      <c r="B53" t="s">
        <v>450</v>
      </c>
      <c r="C53">
        <v>1.82</v>
      </c>
      <c r="D53">
        <v>0.7782</v>
      </c>
      <c r="E53">
        <v>6.313E-3</v>
      </c>
      <c r="F53">
        <v>0.77900000000000003</v>
      </c>
      <c r="G53">
        <v>1.6719999999999999</v>
      </c>
      <c r="H53">
        <v>3.7309999999999999</v>
      </c>
      <c r="I53">
        <v>40001</v>
      </c>
      <c r="J53">
        <v>120000</v>
      </c>
    </row>
    <row r="54" spans="2:10" x14ac:dyDescent="0.25">
      <c r="B54" t="s">
        <v>451</v>
      </c>
      <c r="C54">
        <v>0.38329999999999997</v>
      </c>
      <c r="D54">
        <v>0.27160000000000001</v>
      </c>
      <c r="E54">
        <v>1.7329999999999999E-3</v>
      </c>
      <c r="F54">
        <v>9.4810000000000005E-2</v>
      </c>
      <c r="G54">
        <v>0.31879999999999997</v>
      </c>
      <c r="H54">
        <v>1.054</v>
      </c>
      <c r="I54">
        <v>40001</v>
      </c>
      <c r="J54">
        <v>120000</v>
      </c>
    </row>
    <row r="55" spans="2:10" x14ac:dyDescent="0.25">
      <c r="B55" t="s">
        <v>452</v>
      </c>
      <c r="C55">
        <v>0.6462</v>
      </c>
      <c r="D55">
        <v>0.39250000000000002</v>
      </c>
      <c r="E55">
        <v>4.2589999999999998E-3</v>
      </c>
      <c r="F55">
        <v>0.17899999999999999</v>
      </c>
      <c r="G55">
        <v>0.55469999999999997</v>
      </c>
      <c r="H55">
        <v>1.641</v>
      </c>
      <c r="I55">
        <v>40001</v>
      </c>
      <c r="J55">
        <v>120000</v>
      </c>
    </row>
    <row r="56" spans="2:10" x14ac:dyDescent="0.25">
      <c r="B56" t="s">
        <v>453</v>
      </c>
      <c r="C56">
        <v>0.74180000000000001</v>
      </c>
      <c r="D56">
        <v>0.23649999999999999</v>
      </c>
      <c r="E56">
        <v>2.0349999999999999E-3</v>
      </c>
      <c r="F56">
        <v>0.38500000000000001</v>
      </c>
      <c r="G56">
        <v>0.70630000000000004</v>
      </c>
      <c r="H56">
        <v>1.3069999999999999</v>
      </c>
      <c r="I56">
        <v>40001</v>
      </c>
      <c r="J56">
        <v>120000</v>
      </c>
    </row>
    <row r="57" spans="2:10" x14ac:dyDescent="0.25">
      <c r="B57" t="s">
        <v>454</v>
      </c>
      <c r="C57">
        <v>0.10299999999999999</v>
      </c>
      <c r="D57">
        <v>2.86E-2</v>
      </c>
      <c r="E57" s="13">
        <v>2.8049999999999999E-4</v>
      </c>
      <c r="F57">
        <v>5.74E-2</v>
      </c>
      <c r="G57">
        <v>9.9390000000000006E-2</v>
      </c>
      <c r="H57">
        <v>0.16880000000000001</v>
      </c>
      <c r="I57">
        <v>40001</v>
      </c>
      <c r="J57">
        <v>120000</v>
      </c>
    </row>
    <row r="58" spans="2:10" x14ac:dyDescent="0.25">
      <c r="B58" t="s">
        <v>455</v>
      </c>
      <c r="C58">
        <v>1.8</v>
      </c>
      <c r="D58">
        <v>1.9970000000000001</v>
      </c>
      <c r="E58">
        <v>1.436E-2</v>
      </c>
      <c r="F58">
        <v>0.25700000000000001</v>
      </c>
      <c r="G58">
        <v>1.246</v>
      </c>
      <c r="H58">
        <v>6.6950000000000003</v>
      </c>
      <c r="I58">
        <v>40001</v>
      </c>
      <c r="J58">
        <v>120000</v>
      </c>
    </row>
    <row r="59" spans="2:10" x14ac:dyDescent="0.25">
      <c r="B59" t="s">
        <v>456</v>
      </c>
      <c r="C59">
        <v>1.3859999999999999</v>
      </c>
      <c r="D59">
        <v>0.622</v>
      </c>
      <c r="E59">
        <v>4.5779999999999996E-3</v>
      </c>
      <c r="F59">
        <v>0.56950000000000001</v>
      </c>
      <c r="G59">
        <v>1.2609999999999999</v>
      </c>
      <c r="H59">
        <v>2.9289999999999998</v>
      </c>
      <c r="I59">
        <v>40001</v>
      </c>
      <c r="J59">
        <v>120000</v>
      </c>
    </row>
    <row r="60" spans="2:10" x14ac:dyDescent="0.25">
      <c r="B60" t="s">
        <v>457</v>
      </c>
      <c r="C60">
        <v>0.30299999999999999</v>
      </c>
      <c r="D60">
        <v>0.24640000000000001</v>
      </c>
      <c r="E60">
        <v>1.555E-3</v>
      </c>
      <c r="F60">
        <v>6.2460000000000002E-2</v>
      </c>
      <c r="G60">
        <v>0.24030000000000001</v>
      </c>
      <c r="H60">
        <v>0.91379999999999995</v>
      </c>
      <c r="I60">
        <v>40001</v>
      </c>
      <c r="J60">
        <v>120000</v>
      </c>
    </row>
    <row r="61" spans="2:10" x14ac:dyDescent="0.25">
      <c r="B61" t="s">
        <v>458</v>
      </c>
      <c r="C61">
        <v>0.50870000000000004</v>
      </c>
      <c r="D61">
        <v>0.35670000000000002</v>
      </c>
      <c r="E61">
        <v>3.5990000000000002E-3</v>
      </c>
      <c r="F61">
        <v>0.1186</v>
      </c>
      <c r="G61">
        <v>0.42</v>
      </c>
      <c r="H61">
        <v>1.413</v>
      </c>
      <c r="I61">
        <v>40001</v>
      </c>
      <c r="J61">
        <v>120000</v>
      </c>
    </row>
    <row r="62" spans="2:10" x14ac:dyDescent="0.25">
      <c r="B62" t="s">
        <v>459</v>
      </c>
      <c r="C62">
        <v>0.58560000000000001</v>
      </c>
      <c r="D62">
        <v>0.26629999999999998</v>
      </c>
      <c r="E62">
        <v>1.9970000000000001E-3</v>
      </c>
      <c r="F62">
        <v>0.23039999999999999</v>
      </c>
      <c r="G62">
        <v>0.53320000000000001</v>
      </c>
      <c r="H62">
        <v>1.2450000000000001</v>
      </c>
      <c r="I62">
        <v>40001</v>
      </c>
      <c r="J62">
        <v>120000</v>
      </c>
    </row>
    <row r="63" spans="2:10" x14ac:dyDescent="0.25">
      <c r="B63" t="s">
        <v>460</v>
      </c>
      <c r="C63">
        <v>8.1240000000000007E-2</v>
      </c>
      <c r="D63">
        <v>3.4169999999999999E-2</v>
      </c>
      <c r="E63" s="13">
        <v>2.7329999999999998E-4</v>
      </c>
      <c r="F63">
        <v>3.3820000000000003E-2</v>
      </c>
      <c r="G63">
        <v>7.5009999999999993E-2</v>
      </c>
      <c r="H63">
        <v>0.1646</v>
      </c>
      <c r="I63">
        <v>40001</v>
      </c>
      <c r="J63">
        <v>120000</v>
      </c>
    </row>
    <row r="64" spans="2:10" x14ac:dyDescent="0.25">
      <c r="B64" t="s">
        <v>461</v>
      </c>
      <c r="C64">
        <v>1.468</v>
      </c>
      <c r="D64">
        <v>1.6539999999999999</v>
      </c>
      <c r="E64">
        <v>1.166E-2</v>
      </c>
      <c r="F64">
        <v>0.1784</v>
      </c>
      <c r="G64">
        <v>1.016</v>
      </c>
      <c r="H64">
        <v>5.4649999999999999</v>
      </c>
      <c r="I64">
        <v>40001</v>
      </c>
      <c r="J64">
        <v>120000</v>
      </c>
    </row>
    <row r="65" spans="2:10" x14ac:dyDescent="0.25">
      <c r="B65" t="s">
        <v>462</v>
      </c>
      <c r="C65">
        <v>0.29099999999999998</v>
      </c>
      <c r="D65">
        <v>0.35599999999999998</v>
      </c>
      <c r="E65">
        <v>2.3869999999999998E-3</v>
      </c>
      <c r="F65">
        <v>2.9899999999999999E-2</v>
      </c>
      <c r="G65">
        <v>0.19259999999999999</v>
      </c>
      <c r="H65">
        <v>1.1299999999999999</v>
      </c>
      <c r="I65">
        <v>40001</v>
      </c>
      <c r="J65">
        <v>120000</v>
      </c>
    </row>
    <row r="66" spans="2:10" x14ac:dyDescent="0.25">
      <c r="B66" t="s">
        <v>463</v>
      </c>
      <c r="C66">
        <v>0.49480000000000002</v>
      </c>
      <c r="D66">
        <v>0.56699999999999995</v>
      </c>
      <c r="E66">
        <v>5.2310000000000004E-3</v>
      </c>
      <c r="F66">
        <v>5.4550000000000001E-2</v>
      </c>
      <c r="G66">
        <v>0.33339999999999997</v>
      </c>
      <c r="H66">
        <v>1.871</v>
      </c>
      <c r="I66">
        <v>40001</v>
      </c>
      <c r="J66">
        <v>120000</v>
      </c>
    </row>
    <row r="67" spans="2:10" x14ac:dyDescent="0.25">
      <c r="B67" t="s">
        <v>464</v>
      </c>
      <c r="C67">
        <v>0.58179999999999998</v>
      </c>
      <c r="D67">
        <v>0.57489999999999997</v>
      </c>
      <c r="E67">
        <v>4.0810000000000004E-3</v>
      </c>
      <c r="F67">
        <v>8.4360000000000004E-2</v>
      </c>
      <c r="G67">
        <v>0.42930000000000001</v>
      </c>
      <c r="H67">
        <v>1.9850000000000001</v>
      </c>
      <c r="I67">
        <v>40001</v>
      </c>
      <c r="J67">
        <v>120000</v>
      </c>
    </row>
    <row r="68" spans="2:10" x14ac:dyDescent="0.25">
      <c r="B68" t="s">
        <v>465</v>
      </c>
      <c r="C68">
        <v>8.0250000000000002E-2</v>
      </c>
      <c r="D68">
        <v>7.4469999999999995E-2</v>
      </c>
      <c r="E68" s="13">
        <v>5.4580000000000004E-4</v>
      </c>
      <c r="F68">
        <v>1.2200000000000001E-2</v>
      </c>
      <c r="G68">
        <v>6.021E-2</v>
      </c>
      <c r="H68">
        <v>0.26900000000000002</v>
      </c>
      <c r="I68">
        <v>40001</v>
      </c>
      <c r="J68">
        <v>120000</v>
      </c>
    </row>
    <row r="69" spans="2:10" x14ac:dyDescent="0.25">
      <c r="B69" t="s">
        <v>466</v>
      </c>
      <c r="C69">
        <v>0.24629999999999999</v>
      </c>
      <c r="D69">
        <v>0.21490000000000001</v>
      </c>
      <c r="E69">
        <v>1.464E-3</v>
      </c>
      <c r="F69">
        <v>4.3950000000000003E-2</v>
      </c>
      <c r="G69">
        <v>0.19040000000000001</v>
      </c>
      <c r="H69">
        <v>0.77890000000000004</v>
      </c>
      <c r="I69">
        <v>40001</v>
      </c>
      <c r="J69">
        <v>120000</v>
      </c>
    </row>
    <row r="70" spans="2:10" x14ac:dyDescent="0.25">
      <c r="B70" t="s">
        <v>467</v>
      </c>
      <c r="C70">
        <v>0.41689999999999999</v>
      </c>
      <c r="D70">
        <v>0.32840000000000003</v>
      </c>
      <c r="E70">
        <v>3.6280000000000001E-3</v>
      </c>
      <c r="F70">
        <v>8.2799999999999999E-2</v>
      </c>
      <c r="G70">
        <v>0.33119999999999999</v>
      </c>
      <c r="H70">
        <v>1.246</v>
      </c>
      <c r="I70">
        <v>40001</v>
      </c>
      <c r="J70">
        <v>120000</v>
      </c>
    </row>
    <row r="71" spans="2:10" x14ac:dyDescent="0.25">
      <c r="B71" t="s">
        <v>468</v>
      </c>
      <c r="C71">
        <v>0.4768</v>
      </c>
      <c r="D71">
        <v>0.25650000000000001</v>
      </c>
      <c r="E71">
        <v>1.9949999999999998E-3</v>
      </c>
      <c r="F71">
        <v>0.15429999999999999</v>
      </c>
      <c r="G71">
        <v>0.42499999999999999</v>
      </c>
      <c r="H71">
        <v>1.1160000000000001</v>
      </c>
      <c r="I71">
        <v>40001</v>
      </c>
      <c r="J71">
        <v>120000</v>
      </c>
    </row>
    <row r="72" spans="2:10" x14ac:dyDescent="0.25">
      <c r="B72" t="s">
        <v>469</v>
      </c>
      <c r="C72">
        <v>6.6250000000000003E-2</v>
      </c>
      <c r="D72">
        <v>3.3669999999999999E-2</v>
      </c>
      <c r="E72" s="13">
        <v>2.8259999999999998E-4</v>
      </c>
      <c r="F72">
        <v>2.2409999999999999E-2</v>
      </c>
      <c r="G72">
        <v>5.9479999999999998E-2</v>
      </c>
      <c r="H72">
        <v>0.15010000000000001</v>
      </c>
      <c r="I72">
        <v>40001</v>
      </c>
      <c r="J72">
        <v>120000</v>
      </c>
    </row>
    <row r="73" spans="2:10" x14ac:dyDescent="0.25">
      <c r="B73" t="s">
        <v>470</v>
      </c>
      <c r="C73">
        <v>2.3239999999999998</v>
      </c>
      <c r="D73">
        <v>2.1520000000000001</v>
      </c>
      <c r="E73">
        <v>1.5789999999999998E-2</v>
      </c>
      <c r="F73">
        <v>0.38640000000000002</v>
      </c>
      <c r="G73">
        <v>1.742</v>
      </c>
      <c r="H73">
        <v>7.7460000000000004</v>
      </c>
      <c r="I73">
        <v>40001</v>
      </c>
      <c r="J73">
        <v>120000</v>
      </c>
    </row>
    <row r="74" spans="2:10" x14ac:dyDescent="0.25">
      <c r="B74" t="s">
        <v>471</v>
      </c>
      <c r="C74">
        <v>2.7509999999999999</v>
      </c>
      <c r="D74">
        <v>2.1269999999999998</v>
      </c>
      <c r="E74">
        <v>1.3769999999999999E-2</v>
      </c>
      <c r="F74">
        <v>0.62609999999999999</v>
      </c>
      <c r="G74">
        <v>2.214</v>
      </c>
      <c r="H74">
        <v>8.032</v>
      </c>
      <c r="I74">
        <v>40001</v>
      </c>
      <c r="J74">
        <v>120000</v>
      </c>
    </row>
    <row r="75" spans="2:10" x14ac:dyDescent="0.25">
      <c r="B75" t="s">
        <v>472</v>
      </c>
      <c r="C75">
        <v>0.37940000000000002</v>
      </c>
      <c r="D75">
        <v>0.27800000000000002</v>
      </c>
      <c r="E75">
        <v>1.861E-3</v>
      </c>
      <c r="F75">
        <v>9.2160000000000006E-2</v>
      </c>
      <c r="G75">
        <v>0.31240000000000001</v>
      </c>
      <c r="H75">
        <v>1.0629999999999999</v>
      </c>
      <c r="I75">
        <v>40001</v>
      </c>
      <c r="J75">
        <v>120000</v>
      </c>
    </row>
    <row r="76" spans="2:10" x14ac:dyDescent="0.25">
      <c r="B76" t="s">
        <v>473</v>
      </c>
      <c r="C76">
        <v>1.532</v>
      </c>
      <c r="D76">
        <v>1.0369999999999999</v>
      </c>
      <c r="E76">
        <v>1.005E-2</v>
      </c>
      <c r="F76">
        <v>0.40450000000000003</v>
      </c>
      <c r="G76">
        <v>1.2749999999999999</v>
      </c>
      <c r="H76">
        <v>4.2229999999999999</v>
      </c>
      <c r="I76">
        <v>40001</v>
      </c>
      <c r="J76">
        <v>120000</v>
      </c>
    </row>
    <row r="77" spans="2:10" x14ac:dyDescent="0.25">
      <c r="B77" t="s">
        <v>474</v>
      </c>
      <c r="C77">
        <v>0.2117</v>
      </c>
      <c r="D77">
        <v>0.13469999999999999</v>
      </c>
      <c r="E77">
        <v>1.3940000000000001E-3</v>
      </c>
      <c r="F77">
        <v>5.8680000000000003E-2</v>
      </c>
      <c r="G77">
        <v>0.1794</v>
      </c>
      <c r="H77">
        <v>0.55920000000000003</v>
      </c>
      <c r="I77">
        <v>40001</v>
      </c>
      <c r="J77">
        <v>120000</v>
      </c>
    </row>
    <row r="78" spans="2:10" x14ac:dyDescent="0.25">
      <c r="B78" t="s">
        <v>475</v>
      </c>
      <c r="C78">
        <v>0.14779999999999999</v>
      </c>
      <c r="D78">
        <v>4.9579999999999999E-2</v>
      </c>
      <c r="E78" s="13">
        <v>3.7070000000000001E-4</v>
      </c>
      <c r="F78">
        <v>7.3330000000000006E-2</v>
      </c>
      <c r="G78">
        <v>0.14080000000000001</v>
      </c>
      <c r="H78">
        <v>0.26519999999999999</v>
      </c>
      <c r="I78">
        <v>40001</v>
      </c>
      <c r="J78">
        <v>120000</v>
      </c>
    </row>
    <row r="79" spans="2:10" x14ac:dyDescent="0.25">
      <c r="B79" t="s">
        <v>476</v>
      </c>
      <c r="C79">
        <v>0.47710000000000002</v>
      </c>
      <c r="D79">
        <v>0.1115</v>
      </c>
      <c r="E79" s="13">
        <v>8.696E-4</v>
      </c>
      <c r="F79">
        <v>0.33329999999999999</v>
      </c>
      <c r="G79">
        <v>0.44440000000000002</v>
      </c>
      <c r="H79">
        <v>0.66669999999999996</v>
      </c>
      <c r="I79">
        <v>40001</v>
      </c>
      <c r="J79">
        <v>120000</v>
      </c>
    </row>
    <row r="80" spans="2:10" x14ac:dyDescent="0.25">
      <c r="B80" t="s">
        <v>477</v>
      </c>
      <c r="C80">
        <v>0.24129999999999999</v>
      </c>
      <c r="D80">
        <v>8.1570000000000004E-2</v>
      </c>
      <c r="E80" s="13">
        <v>6.4059999999999996E-4</v>
      </c>
      <c r="F80">
        <v>0.1111</v>
      </c>
      <c r="G80">
        <v>0.22220000000000001</v>
      </c>
      <c r="H80">
        <v>0.44440000000000002</v>
      </c>
      <c r="I80">
        <v>40001</v>
      </c>
      <c r="J80">
        <v>120000</v>
      </c>
    </row>
    <row r="81" spans="2:10" x14ac:dyDescent="0.25">
      <c r="B81" t="s">
        <v>478</v>
      </c>
      <c r="C81">
        <v>0.68230000000000002</v>
      </c>
      <c r="D81">
        <v>0.1075</v>
      </c>
      <c r="E81" s="13">
        <v>7.5920000000000002E-4</v>
      </c>
      <c r="F81">
        <v>0.44440000000000002</v>
      </c>
      <c r="G81">
        <v>0.66669999999999996</v>
      </c>
      <c r="H81">
        <v>0.88890000000000002</v>
      </c>
      <c r="I81">
        <v>40001</v>
      </c>
      <c r="J81">
        <v>120000</v>
      </c>
    </row>
    <row r="82" spans="2:10" x14ac:dyDescent="0.25">
      <c r="B82" t="s">
        <v>479</v>
      </c>
      <c r="C82">
        <v>0.81</v>
      </c>
      <c r="D82">
        <v>0.1326</v>
      </c>
      <c r="E82" s="13">
        <v>9.0209999999999997E-4</v>
      </c>
      <c r="F82">
        <v>0.44440000000000002</v>
      </c>
      <c r="G82">
        <v>0.77780000000000005</v>
      </c>
      <c r="H82">
        <v>1</v>
      </c>
      <c r="I82">
        <v>40001</v>
      </c>
      <c r="J82">
        <v>120000</v>
      </c>
    </row>
    <row r="83" spans="2:10" x14ac:dyDescent="0.25">
      <c r="B83" t="s">
        <v>480</v>
      </c>
      <c r="C83">
        <v>0.82499999999999996</v>
      </c>
      <c r="D83">
        <v>0.22159999999999999</v>
      </c>
      <c r="E83">
        <v>1.885E-3</v>
      </c>
      <c r="F83">
        <v>0.22220000000000001</v>
      </c>
      <c r="G83">
        <v>0.88890000000000002</v>
      </c>
      <c r="H83">
        <v>1</v>
      </c>
      <c r="I83">
        <v>40001</v>
      </c>
      <c r="J83">
        <v>120000</v>
      </c>
    </row>
    <row r="84" spans="2:10" x14ac:dyDescent="0.25">
      <c r="B84" t="s">
        <v>481</v>
      </c>
      <c r="C84">
        <v>0.88880000000000003</v>
      </c>
      <c r="D84">
        <v>0.129</v>
      </c>
      <c r="E84" s="13">
        <v>9.7860000000000004E-4</v>
      </c>
      <c r="F84">
        <v>0.55559999999999998</v>
      </c>
      <c r="G84">
        <v>0.88890000000000002</v>
      </c>
      <c r="H84">
        <v>1</v>
      </c>
      <c r="I84">
        <v>40001</v>
      </c>
      <c r="J84">
        <v>120000</v>
      </c>
    </row>
    <row r="85" spans="2:10" x14ac:dyDescent="0.25">
      <c r="B85" t="s">
        <v>482</v>
      </c>
      <c r="C85">
        <v>0.19409999999999999</v>
      </c>
      <c r="D85">
        <v>0.1578</v>
      </c>
      <c r="E85" s="13">
        <v>9.6630000000000001E-4</v>
      </c>
      <c r="F85">
        <v>0</v>
      </c>
      <c r="G85">
        <v>0.1111</v>
      </c>
      <c r="H85">
        <v>0.66669999999999996</v>
      </c>
      <c r="I85">
        <v>40001</v>
      </c>
      <c r="J85">
        <v>120000</v>
      </c>
    </row>
    <row r="86" spans="2:10" x14ac:dyDescent="0.25">
      <c r="B86" t="s">
        <v>483</v>
      </c>
      <c r="C86">
        <v>0.38850000000000001</v>
      </c>
      <c r="D86">
        <v>0.22109999999999999</v>
      </c>
      <c r="E86">
        <v>2.6689999999999999E-3</v>
      </c>
      <c r="F86">
        <v>0.1111</v>
      </c>
      <c r="G86">
        <v>0.33329999999999999</v>
      </c>
      <c r="H86">
        <v>0.88890000000000002</v>
      </c>
      <c r="I86">
        <v>40001</v>
      </c>
      <c r="J86">
        <v>120000</v>
      </c>
    </row>
    <row r="87" spans="2:10" x14ac:dyDescent="0.25">
      <c r="B87" t="s">
        <v>484</v>
      </c>
      <c r="C87">
        <v>0.48909999999999998</v>
      </c>
      <c r="D87">
        <v>0.15579999999999999</v>
      </c>
      <c r="E87">
        <v>1.106E-3</v>
      </c>
      <c r="F87">
        <v>0.22220000000000001</v>
      </c>
      <c r="G87">
        <v>0.44440000000000002</v>
      </c>
      <c r="H87">
        <v>0.77780000000000005</v>
      </c>
      <c r="I87">
        <v>40001</v>
      </c>
      <c r="J87">
        <v>120000</v>
      </c>
    </row>
    <row r="88" spans="2:10" x14ac:dyDescent="0.25">
      <c r="B88" t="s">
        <v>485</v>
      </c>
      <c r="C88">
        <v>3.6570000000000001E-3</v>
      </c>
      <c r="D88">
        <v>1.9990000000000001E-2</v>
      </c>
      <c r="E88" s="13">
        <v>9.4720000000000001E-5</v>
      </c>
      <c r="F88">
        <v>0</v>
      </c>
      <c r="G88">
        <v>0</v>
      </c>
      <c r="H88">
        <v>0.1111</v>
      </c>
      <c r="I88">
        <v>40001</v>
      </c>
      <c r="J88">
        <v>120000</v>
      </c>
    </row>
    <row r="89" spans="2:10" x14ac:dyDescent="0.25">
      <c r="B89" t="s">
        <v>486</v>
      </c>
      <c r="C89" s="13">
        <v>5.4169999999999999E-4</v>
      </c>
      <c r="D89">
        <v>2.3269999999999999E-2</v>
      </c>
      <c r="E89" s="13">
        <v>7.47E-5</v>
      </c>
      <c r="F89">
        <v>0</v>
      </c>
      <c r="G89">
        <v>0</v>
      </c>
      <c r="H89">
        <v>0</v>
      </c>
      <c r="I89">
        <v>40001</v>
      </c>
      <c r="J89">
        <v>120000</v>
      </c>
    </row>
    <row r="90" spans="2:10" x14ac:dyDescent="0.25">
      <c r="B90" t="s">
        <v>487</v>
      </c>
      <c r="C90">
        <v>0</v>
      </c>
      <c r="D90">
        <v>0</v>
      </c>
      <c r="E90" s="13">
        <v>1.6670000000000001E-13</v>
      </c>
      <c r="F90">
        <v>0</v>
      </c>
      <c r="G90">
        <v>0</v>
      </c>
      <c r="H90">
        <v>0</v>
      </c>
      <c r="I90">
        <v>40001</v>
      </c>
      <c r="J90">
        <v>120000</v>
      </c>
    </row>
    <row r="91" spans="2:10" x14ac:dyDescent="0.25">
      <c r="B91" t="s">
        <v>488</v>
      </c>
      <c r="C91">
        <v>6.5079999999999999E-3</v>
      </c>
      <c r="D91">
        <v>8.0409999999999995E-2</v>
      </c>
      <c r="E91" s="13">
        <v>3.0150000000000001E-4</v>
      </c>
      <c r="F91">
        <v>0</v>
      </c>
      <c r="G91">
        <v>0</v>
      </c>
      <c r="H91">
        <v>0</v>
      </c>
      <c r="I91">
        <v>40001</v>
      </c>
      <c r="J91">
        <v>120000</v>
      </c>
    </row>
    <row r="92" spans="2:10" x14ac:dyDescent="0.25">
      <c r="B92" t="s">
        <v>489</v>
      </c>
      <c r="C92">
        <v>0.1193</v>
      </c>
      <c r="D92">
        <v>0.3241</v>
      </c>
      <c r="E92">
        <v>1.952E-3</v>
      </c>
      <c r="F92">
        <v>0</v>
      </c>
      <c r="G92">
        <v>0</v>
      </c>
      <c r="H92">
        <v>1</v>
      </c>
      <c r="I92">
        <v>40001</v>
      </c>
      <c r="J92">
        <v>120000</v>
      </c>
    </row>
    <row r="93" spans="2:10" x14ac:dyDescent="0.25">
      <c r="B93" t="s">
        <v>490</v>
      </c>
      <c r="C93">
        <v>0.45279999999999998</v>
      </c>
      <c r="D93">
        <v>0.49780000000000002</v>
      </c>
      <c r="E93">
        <v>3.9589999999999998E-3</v>
      </c>
      <c r="F93">
        <v>0</v>
      </c>
      <c r="G93">
        <v>0</v>
      </c>
      <c r="H93">
        <v>1</v>
      </c>
      <c r="I93">
        <v>40001</v>
      </c>
      <c r="J93">
        <v>120000</v>
      </c>
    </row>
    <row r="94" spans="2:10" x14ac:dyDescent="0.25">
      <c r="B94" t="s">
        <v>491</v>
      </c>
      <c r="C94">
        <v>0.3982</v>
      </c>
      <c r="D94">
        <v>0.48949999999999999</v>
      </c>
      <c r="E94">
        <v>3.5820000000000001E-3</v>
      </c>
      <c r="F94">
        <v>0</v>
      </c>
      <c r="G94">
        <v>0</v>
      </c>
      <c r="H94">
        <v>1</v>
      </c>
      <c r="I94">
        <v>40001</v>
      </c>
      <c r="J94">
        <v>120000</v>
      </c>
    </row>
    <row r="95" spans="2:10" x14ac:dyDescent="0.25">
      <c r="B95" t="s">
        <v>492</v>
      </c>
      <c r="C95">
        <v>2.1329999999999999E-3</v>
      </c>
      <c r="D95">
        <v>4.614E-2</v>
      </c>
      <c r="E95" s="13">
        <v>1.4249999999999999E-4</v>
      </c>
      <c r="F95">
        <v>0</v>
      </c>
      <c r="G95">
        <v>0</v>
      </c>
      <c r="H95">
        <v>0</v>
      </c>
      <c r="I95">
        <v>40001</v>
      </c>
      <c r="J95">
        <v>120000</v>
      </c>
    </row>
    <row r="96" spans="2:10" x14ac:dyDescent="0.25">
      <c r="B96" t="s">
        <v>493</v>
      </c>
      <c r="C96">
        <v>1.6490000000000001E-2</v>
      </c>
      <c r="D96">
        <v>0.12740000000000001</v>
      </c>
      <c r="E96">
        <v>2.5439999999999998E-3</v>
      </c>
      <c r="F96">
        <v>0</v>
      </c>
      <c r="G96">
        <v>0</v>
      </c>
      <c r="H96">
        <v>0</v>
      </c>
      <c r="I96">
        <v>40001</v>
      </c>
      <c r="J96">
        <v>120000</v>
      </c>
    </row>
    <row r="97" spans="2:10" x14ac:dyDescent="0.25">
      <c r="B97" t="s">
        <v>494</v>
      </c>
      <c r="C97">
        <v>4.1000000000000003E-3</v>
      </c>
      <c r="D97">
        <v>6.3899999999999998E-2</v>
      </c>
      <c r="E97" s="13">
        <v>2.3609999999999999E-4</v>
      </c>
      <c r="F97">
        <v>0</v>
      </c>
      <c r="G97">
        <v>0</v>
      </c>
      <c r="H97">
        <v>0</v>
      </c>
      <c r="I97">
        <v>40001</v>
      </c>
      <c r="J97">
        <v>120000</v>
      </c>
    </row>
    <row r="98" spans="2:10" x14ac:dyDescent="0.25">
      <c r="B98" t="s">
        <v>495</v>
      </c>
      <c r="C98">
        <v>0</v>
      </c>
      <c r="D98">
        <v>0</v>
      </c>
      <c r="E98" s="13">
        <v>1.6670000000000001E-13</v>
      </c>
      <c r="F98">
        <v>0</v>
      </c>
      <c r="G98">
        <v>0</v>
      </c>
      <c r="H98">
        <v>0</v>
      </c>
      <c r="I98">
        <v>40001</v>
      </c>
      <c r="J98">
        <v>120000</v>
      </c>
    </row>
    <row r="99" spans="2:10" x14ac:dyDescent="0.25">
      <c r="B99" t="s">
        <v>496</v>
      </c>
      <c r="C99">
        <v>0.58299999999999996</v>
      </c>
      <c r="D99">
        <v>0.81969999999999998</v>
      </c>
      <c r="E99">
        <v>2.477E-3</v>
      </c>
      <c r="F99" s="13">
        <v>6.1749999999999999E-4</v>
      </c>
      <c r="G99">
        <v>0.26790000000000003</v>
      </c>
      <c r="H99">
        <v>2.92</v>
      </c>
      <c r="I99">
        <v>40001</v>
      </c>
      <c r="J99">
        <v>120000</v>
      </c>
    </row>
    <row r="100" spans="2:10" x14ac:dyDescent="0.25">
      <c r="B100" t="s">
        <v>497</v>
      </c>
      <c r="C100">
        <v>0.60919999999999996</v>
      </c>
      <c r="D100">
        <v>0.85719999999999996</v>
      </c>
      <c r="E100">
        <v>2.5709999999999999E-3</v>
      </c>
      <c r="F100" s="13">
        <v>5.9639999999999997E-4</v>
      </c>
      <c r="G100">
        <v>0.28029999999999999</v>
      </c>
      <c r="H100">
        <v>3.0339999999999998</v>
      </c>
      <c r="I100">
        <v>40001</v>
      </c>
      <c r="J100">
        <v>120000</v>
      </c>
    </row>
    <row r="101" spans="2:10" x14ac:dyDescent="0.25">
      <c r="B101" t="s">
        <v>498</v>
      </c>
      <c r="C101">
        <v>1.2450000000000001</v>
      </c>
      <c r="D101">
        <v>1.629</v>
      </c>
      <c r="E101">
        <v>1.0580000000000001E-2</v>
      </c>
      <c r="F101">
        <v>1.3500000000000001E-3</v>
      </c>
      <c r="G101">
        <v>0.62029999999999996</v>
      </c>
      <c r="H101">
        <v>5.8380000000000001</v>
      </c>
      <c r="I101">
        <v>40001</v>
      </c>
      <c r="J101">
        <v>120000</v>
      </c>
    </row>
    <row r="102" spans="2:10" x14ac:dyDescent="0.25">
      <c r="B102" t="s">
        <v>499</v>
      </c>
      <c r="C102">
        <v>1.1659999999999999</v>
      </c>
      <c r="D102">
        <v>1.579</v>
      </c>
      <c r="E102">
        <v>7.8750000000000001E-3</v>
      </c>
      <c r="F102">
        <v>1.263E-3</v>
      </c>
      <c r="G102">
        <v>0.55659999999999998</v>
      </c>
      <c r="H102">
        <v>5.6189999999999998</v>
      </c>
      <c r="I102">
        <v>40001</v>
      </c>
      <c r="J102">
        <v>120000</v>
      </c>
    </row>
    <row r="103" spans="2:10" x14ac:dyDescent="0.25">
      <c r="B103" t="s">
        <v>500</v>
      </c>
      <c r="C103">
        <v>1.0169999999999999</v>
      </c>
      <c r="D103">
        <v>1.4370000000000001</v>
      </c>
      <c r="E103">
        <v>6.3169999999999997E-3</v>
      </c>
      <c r="F103" s="13">
        <v>9.8510000000000004E-4</v>
      </c>
      <c r="G103">
        <v>0.46160000000000001</v>
      </c>
      <c r="H103">
        <v>5.101</v>
      </c>
      <c r="I103">
        <v>40001</v>
      </c>
      <c r="J103">
        <v>120000</v>
      </c>
    </row>
    <row r="104" spans="2:10" x14ac:dyDescent="0.25">
      <c r="B104" t="s">
        <v>501</v>
      </c>
      <c r="C104">
        <v>1.0309999999999999</v>
      </c>
      <c r="D104">
        <v>1.46</v>
      </c>
      <c r="E104">
        <v>4.9410000000000001E-3</v>
      </c>
      <c r="F104">
        <v>1E-3</v>
      </c>
      <c r="G104">
        <v>0.47089999999999999</v>
      </c>
      <c r="H104">
        <v>5.2009999999999996</v>
      </c>
      <c r="I104">
        <v>40001</v>
      </c>
      <c r="J104">
        <v>120000</v>
      </c>
    </row>
    <row r="105" spans="2:10" x14ac:dyDescent="0.25">
      <c r="B105" t="s">
        <v>502</v>
      </c>
      <c r="C105">
        <v>0.7601</v>
      </c>
      <c r="D105">
        <v>1.0620000000000001</v>
      </c>
      <c r="E105">
        <v>3.0929999999999998E-3</v>
      </c>
      <c r="F105" s="13">
        <v>7.2679999999999999E-4</v>
      </c>
      <c r="G105">
        <v>0.35160000000000002</v>
      </c>
      <c r="H105">
        <v>3.782</v>
      </c>
      <c r="I105">
        <v>40001</v>
      </c>
      <c r="J105">
        <v>120000</v>
      </c>
    </row>
    <row r="106" spans="2:10" x14ac:dyDescent="0.25">
      <c r="B106" t="s">
        <v>503</v>
      </c>
      <c r="C106">
        <v>0.46</v>
      </c>
      <c r="D106">
        <v>0.65110000000000001</v>
      </c>
      <c r="E106">
        <v>2.055E-3</v>
      </c>
      <c r="F106" s="13">
        <v>4.7919999999999999E-4</v>
      </c>
      <c r="G106">
        <v>0.21110000000000001</v>
      </c>
      <c r="H106">
        <v>2.2879999999999998</v>
      </c>
      <c r="I106">
        <v>40001</v>
      </c>
      <c r="J106">
        <v>120000</v>
      </c>
    </row>
    <row r="107" spans="2:10" x14ac:dyDescent="0.25">
      <c r="B107" t="s">
        <v>504</v>
      </c>
      <c r="C107">
        <v>0.27160000000000001</v>
      </c>
      <c r="D107">
        <v>0.39439999999999997</v>
      </c>
      <c r="E107">
        <v>1.8190000000000001E-3</v>
      </c>
      <c r="F107" s="13">
        <v>2.7270000000000001E-4</v>
      </c>
      <c r="G107">
        <v>0.1235</v>
      </c>
      <c r="H107">
        <v>1.355</v>
      </c>
      <c r="I107">
        <v>40001</v>
      </c>
      <c r="J107">
        <v>120000</v>
      </c>
    </row>
    <row r="108" spans="2:10" x14ac:dyDescent="0.25">
      <c r="B108" t="s">
        <v>505</v>
      </c>
      <c r="C108">
        <v>0.91149999999999998</v>
      </c>
      <c r="D108">
        <v>1.292</v>
      </c>
      <c r="E108">
        <v>3.8189999999999999E-3</v>
      </c>
      <c r="F108" s="13">
        <v>9.4430000000000002E-4</v>
      </c>
      <c r="G108">
        <v>0.41389999999999999</v>
      </c>
      <c r="H108">
        <v>4.577</v>
      </c>
      <c r="I108">
        <v>40001</v>
      </c>
      <c r="J108">
        <v>120000</v>
      </c>
    </row>
    <row r="109" spans="2:10" x14ac:dyDescent="0.25">
      <c r="B109" t="s">
        <v>506</v>
      </c>
      <c r="C109">
        <v>0.86170000000000002</v>
      </c>
      <c r="D109">
        <v>1.2250000000000001</v>
      </c>
      <c r="E109">
        <v>4.4400000000000004E-3</v>
      </c>
      <c r="F109" s="13">
        <v>8.4590000000000002E-4</v>
      </c>
      <c r="G109">
        <v>0.39169999999999999</v>
      </c>
      <c r="H109">
        <v>4.3760000000000003</v>
      </c>
      <c r="I109">
        <v>40001</v>
      </c>
      <c r="J109">
        <v>120000</v>
      </c>
    </row>
    <row r="110" spans="2:10" x14ac:dyDescent="0.25">
      <c r="B110" t="s">
        <v>507</v>
      </c>
      <c r="C110">
        <v>0.86350000000000005</v>
      </c>
      <c r="D110">
        <v>1.2210000000000001</v>
      </c>
      <c r="E110">
        <v>3.7659999999999998E-3</v>
      </c>
      <c r="F110" s="13">
        <v>8.3029999999999996E-4</v>
      </c>
      <c r="G110">
        <v>0.3947</v>
      </c>
      <c r="H110">
        <v>4.3330000000000002</v>
      </c>
      <c r="I110">
        <v>40001</v>
      </c>
      <c r="J110">
        <v>120000</v>
      </c>
    </row>
    <row r="111" spans="2:10" x14ac:dyDescent="0.25">
      <c r="B111" t="s">
        <v>508</v>
      </c>
      <c r="C111">
        <v>0.85809999999999997</v>
      </c>
      <c r="D111">
        <v>1.202</v>
      </c>
      <c r="E111">
        <v>3.9560000000000003E-3</v>
      </c>
      <c r="F111" s="13">
        <v>8.1419999999999995E-4</v>
      </c>
      <c r="G111">
        <v>0.39589999999999997</v>
      </c>
      <c r="H111">
        <v>4.2789999999999999</v>
      </c>
      <c r="I111">
        <v>40001</v>
      </c>
      <c r="J111">
        <v>120000</v>
      </c>
    </row>
    <row r="112" spans="2:10" x14ac:dyDescent="0.25">
      <c r="B112" t="s">
        <v>509</v>
      </c>
      <c r="C112">
        <v>0.70809999999999995</v>
      </c>
      <c r="D112">
        <v>1.014</v>
      </c>
      <c r="E112">
        <v>3.4910000000000002E-3</v>
      </c>
      <c r="F112" s="13">
        <v>6.6379999999999998E-4</v>
      </c>
      <c r="G112">
        <v>0.31719999999999998</v>
      </c>
      <c r="H112">
        <v>3.6150000000000002</v>
      </c>
      <c r="I112">
        <v>40001</v>
      </c>
      <c r="J112">
        <v>120000</v>
      </c>
    </row>
    <row r="113" spans="2:10" x14ac:dyDescent="0.25">
      <c r="B113" t="s">
        <v>510</v>
      </c>
      <c r="C113">
        <v>1.204</v>
      </c>
      <c r="D113">
        <v>1.6120000000000001</v>
      </c>
      <c r="E113">
        <v>6.9709999999999998E-3</v>
      </c>
      <c r="F113">
        <v>1.263E-3</v>
      </c>
      <c r="G113">
        <v>0.58499999999999996</v>
      </c>
      <c r="H113">
        <v>5.7729999999999997</v>
      </c>
      <c r="I113">
        <v>40001</v>
      </c>
      <c r="J113">
        <v>120000</v>
      </c>
    </row>
    <row r="114" spans="2:10" x14ac:dyDescent="0.25">
      <c r="B114" t="s">
        <v>511</v>
      </c>
      <c r="C114">
        <v>1.1850000000000001</v>
      </c>
      <c r="D114">
        <v>1.502</v>
      </c>
      <c r="E114">
        <v>7.5469999999999999E-3</v>
      </c>
      <c r="F114">
        <v>1.4610000000000001E-3</v>
      </c>
      <c r="G114">
        <v>0.62370000000000003</v>
      </c>
      <c r="H114">
        <v>5.3639999999999999</v>
      </c>
      <c r="I114">
        <v>40001</v>
      </c>
      <c r="J114">
        <v>120000</v>
      </c>
    </row>
    <row r="115" spans="2:10" x14ac:dyDescent="0.25">
      <c r="B115" t="s">
        <v>512</v>
      </c>
      <c r="C115">
        <v>1.748</v>
      </c>
      <c r="D115">
        <v>1.7470000000000001</v>
      </c>
      <c r="E115">
        <v>1.1809999999999999E-2</v>
      </c>
      <c r="F115">
        <v>6.228E-3</v>
      </c>
      <c r="G115">
        <v>1.242</v>
      </c>
      <c r="H115">
        <v>6.351</v>
      </c>
      <c r="I115">
        <v>40001</v>
      </c>
      <c r="J115">
        <v>120000</v>
      </c>
    </row>
    <row r="116" spans="2:10" x14ac:dyDescent="0.25">
      <c r="B116" t="s">
        <v>513</v>
      </c>
      <c r="C116">
        <v>1.3180000000000001</v>
      </c>
      <c r="D116">
        <v>1.7210000000000001</v>
      </c>
      <c r="E116">
        <v>5.8300000000000001E-3</v>
      </c>
      <c r="F116">
        <v>1.5120000000000001E-3</v>
      </c>
      <c r="G116">
        <v>0.66469999999999996</v>
      </c>
      <c r="H116">
        <v>6.1390000000000002</v>
      </c>
      <c r="I116">
        <v>40001</v>
      </c>
      <c r="J116">
        <v>120000</v>
      </c>
    </row>
    <row r="117" spans="2:10" x14ac:dyDescent="0.25">
      <c r="B117" t="s">
        <v>514</v>
      </c>
      <c r="C117">
        <v>0.86960000000000004</v>
      </c>
      <c r="D117">
        <v>1.2230000000000001</v>
      </c>
      <c r="E117">
        <v>4.0499999999999998E-3</v>
      </c>
      <c r="F117" s="13">
        <v>9.1600000000000004E-4</v>
      </c>
      <c r="G117">
        <v>0.39729999999999999</v>
      </c>
      <c r="H117">
        <v>4.335</v>
      </c>
      <c r="I117">
        <v>40001</v>
      </c>
      <c r="J117">
        <v>120000</v>
      </c>
    </row>
    <row r="118" spans="2:10" x14ac:dyDescent="0.25">
      <c r="B118" t="s">
        <v>515</v>
      </c>
      <c r="C118">
        <v>0.69589999999999996</v>
      </c>
      <c r="D118">
        <v>0.99009999999999998</v>
      </c>
      <c r="E118">
        <v>3.3969999999999998E-3</v>
      </c>
      <c r="F118" s="13">
        <v>6.5269999999999998E-4</v>
      </c>
      <c r="G118">
        <v>0.31359999999999999</v>
      </c>
      <c r="H118">
        <v>3.508</v>
      </c>
      <c r="I118">
        <v>40001</v>
      </c>
      <c r="J118">
        <v>120000</v>
      </c>
    </row>
    <row r="119" spans="2:10" x14ac:dyDescent="0.25">
      <c r="B119" t="s">
        <v>516</v>
      </c>
      <c r="C119">
        <v>1.448</v>
      </c>
      <c r="D119">
        <v>1.698</v>
      </c>
      <c r="E119">
        <v>7.7910000000000002E-3</v>
      </c>
      <c r="F119">
        <v>2.2330000000000002E-3</v>
      </c>
      <c r="G119">
        <v>0.84960000000000002</v>
      </c>
      <c r="H119">
        <v>6.0910000000000002</v>
      </c>
      <c r="I119">
        <v>40001</v>
      </c>
      <c r="J119">
        <v>120000</v>
      </c>
    </row>
    <row r="120" spans="2:10" x14ac:dyDescent="0.25">
      <c r="B120" t="s">
        <v>517</v>
      </c>
      <c r="C120">
        <v>1.5129999999999999</v>
      </c>
      <c r="D120">
        <v>1.76</v>
      </c>
      <c r="E120">
        <v>7.0949999999999997E-3</v>
      </c>
      <c r="F120">
        <v>2.323E-3</v>
      </c>
      <c r="G120">
        <v>0.89459999999999995</v>
      </c>
      <c r="H120">
        <v>6.3129999999999997</v>
      </c>
      <c r="I120">
        <v>40001</v>
      </c>
      <c r="J120">
        <v>120000</v>
      </c>
    </row>
    <row r="121" spans="2:10" x14ac:dyDescent="0.25">
      <c r="B121" t="s">
        <v>518</v>
      </c>
      <c r="C121">
        <v>1.1100000000000001</v>
      </c>
      <c r="D121">
        <v>1.4770000000000001</v>
      </c>
      <c r="E121">
        <v>1.098E-2</v>
      </c>
      <c r="F121">
        <v>1.199E-3</v>
      </c>
      <c r="G121">
        <v>0.54020000000000001</v>
      </c>
      <c r="H121">
        <v>5.25</v>
      </c>
      <c r="I121">
        <v>40001</v>
      </c>
      <c r="J121">
        <v>120000</v>
      </c>
    </row>
    <row r="122" spans="2:10" x14ac:dyDescent="0.25">
      <c r="B122" t="s">
        <v>519</v>
      </c>
      <c r="C122">
        <v>1.196</v>
      </c>
      <c r="D122">
        <v>1.605</v>
      </c>
      <c r="E122">
        <v>8.7460000000000003E-3</v>
      </c>
      <c r="F122">
        <v>1.34E-3</v>
      </c>
      <c r="G122">
        <v>0.57599999999999996</v>
      </c>
      <c r="H122">
        <v>5.7510000000000003</v>
      </c>
      <c r="I122">
        <v>40001</v>
      </c>
      <c r="J122">
        <v>120000</v>
      </c>
    </row>
    <row r="123" spans="2:10" x14ac:dyDescent="0.25">
      <c r="B123" t="s">
        <v>520</v>
      </c>
      <c r="C123">
        <v>0.83</v>
      </c>
      <c r="D123">
        <v>0.94989999999999997</v>
      </c>
      <c r="E123">
        <v>4.2379999999999996E-3</v>
      </c>
      <c r="F123">
        <v>1.2700000000000001E-3</v>
      </c>
      <c r="G123">
        <v>0.49569999999999997</v>
      </c>
      <c r="H123">
        <v>3.395</v>
      </c>
      <c r="I123">
        <v>40001</v>
      </c>
      <c r="J123">
        <v>120000</v>
      </c>
    </row>
    <row r="124" spans="2:10" x14ac:dyDescent="0.25">
      <c r="B124" t="s">
        <v>521</v>
      </c>
      <c r="C124">
        <v>0.87590000000000001</v>
      </c>
      <c r="D124">
        <v>1.2290000000000001</v>
      </c>
      <c r="E124">
        <v>3.5929999999999998E-3</v>
      </c>
      <c r="F124" s="13">
        <v>9.3950000000000001E-4</v>
      </c>
      <c r="G124">
        <v>0.4007</v>
      </c>
      <c r="H124">
        <v>4.3789999999999996</v>
      </c>
      <c r="I124">
        <v>40001</v>
      </c>
      <c r="J124">
        <v>120000</v>
      </c>
    </row>
    <row r="125" spans="2:10" x14ac:dyDescent="0.25">
      <c r="B125" t="s">
        <v>522</v>
      </c>
      <c r="C125">
        <v>0.64729999999999999</v>
      </c>
      <c r="D125">
        <v>0.87780000000000002</v>
      </c>
      <c r="E125">
        <v>2.8509999999999998E-3</v>
      </c>
      <c r="F125" s="13">
        <v>6.8849999999999998E-4</v>
      </c>
      <c r="G125">
        <v>0.3085</v>
      </c>
      <c r="H125">
        <v>3.1360000000000001</v>
      </c>
      <c r="I125">
        <v>40001</v>
      </c>
      <c r="J125">
        <v>120000</v>
      </c>
    </row>
    <row r="126" spans="2:10" x14ac:dyDescent="0.25">
      <c r="B126" t="s">
        <v>523</v>
      </c>
      <c r="C126">
        <v>0.61950000000000005</v>
      </c>
      <c r="D126">
        <v>0.8679</v>
      </c>
      <c r="E126">
        <v>2.568E-3</v>
      </c>
      <c r="F126" s="13">
        <v>6.2679999999999995E-4</v>
      </c>
      <c r="G126">
        <v>0.28510000000000002</v>
      </c>
      <c r="H126">
        <v>3.0840000000000001</v>
      </c>
      <c r="I126">
        <v>40001</v>
      </c>
      <c r="J126">
        <v>120000</v>
      </c>
    </row>
    <row r="127" spans="2:10" x14ac:dyDescent="0.25">
      <c r="B127" t="s">
        <v>524</v>
      </c>
      <c r="C127">
        <v>1.073</v>
      </c>
      <c r="D127">
        <v>1.4890000000000001</v>
      </c>
      <c r="E127">
        <v>8.3090000000000004E-3</v>
      </c>
      <c r="F127">
        <v>1.0070000000000001E-3</v>
      </c>
      <c r="G127">
        <v>0.49809999999999999</v>
      </c>
      <c r="H127">
        <v>5.2910000000000004</v>
      </c>
      <c r="I127">
        <v>40001</v>
      </c>
      <c r="J127">
        <v>120000</v>
      </c>
    </row>
    <row r="128" spans="2:10" x14ac:dyDescent="0.25">
      <c r="B128" t="s">
        <v>525</v>
      </c>
      <c r="C128">
        <v>0.99990000000000001</v>
      </c>
      <c r="D128">
        <v>1.4079999999999999</v>
      </c>
      <c r="E128">
        <v>6.7470000000000004E-3</v>
      </c>
      <c r="F128">
        <v>1.01E-3</v>
      </c>
      <c r="G128">
        <v>0.4592</v>
      </c>
      <c r="H128">
        <v>4.9669999999999996</v>
      </c>
      <c r="I128">
        <v>40001</v>
      </c>
      <c r="J128">
        <v>120000</v>
      </c>
    </row>
    <row r="129" spans="2:10" x14ac:dyDescent="0.25">
      <c r="B129" t="s">
        <v>526</v>
      </c>
      <c r="C129">
        <v>1.0109999999999999</v>
      </c>
      <c r="D129">
        <v>1.4330000000000001</v>
      </c>
      <c r="E129">
        <v>5.6820000000000004E-3</v>
      </c>
      <c r="F129">
        <v>1.0009999999999999E-3</v>
      </c>
      <c r="G129">
        <v>0.45979999999999999</v>
      </c>
      <c r="H129">
        <v>5.0919999999999996</v>
      </c>
      <c r="I129">
        <v>40001</v>
      </c>
      <c r="J129">
        <v>120000</v>
      </c>
    </row>
    <row r="130" spans="2:10" x14ac:dyDescent="0.25">
      <c r="B130" t="s">
        <v>527</v>
      </c>
      <c r="C130">
        <v>1.026</v>
      </c>
      <c r="D130">
        <v>1.458</v>
      </c>
      <c r="E130">
        <v>7.0229999999999997E-3</v>
      </c>
      <c r="F130" s="13">
        <v>9.3599999999999998E-4</v>
      </c>
      <c r="G130">
        <v>0.46610000000000001</v>
      </c>
      <c r="H130">
        <v>5.1849999999999996</v>
      </c>
      <c r="I130">
        <v>40001</v>
      </c>
      <c r="J130">
        <v>120000</v>
      </c>
    </row>
    <row r="131" spans="2:10" x14ac:dyDescent="0.25">
      <c r="B131" t="s">
        <v>528</v>
      </c>
      <c r="C131">
        <v>2.4529999999999998</v>
      </c>
      <c r="D131">
        <v>1.615</v>
      </c>
      <c r="E131">
        <v>6.6400000000000001E-3</v>
      </c>
      <c r="F131">
        <v>0.4204</v>
      </c>
      <c r="G131">
        <v>2.093</v>
      </c>
      <c r="H131">
        <v>6.5519999999999996</v>
      </c>
      <c r="I131">
        <v>40001</v>
      </c>
      <c r="J131">
        <v>120000</v>
      </c>
    </row>
    <row r="132" spans="2:10" x14ac:dyDescent="0.25">
      <c r="B132" t="s">
        <v>529</v>
      </c>
      <c r="C132">
        <v>1.798</v>
      </c>
      <c r="D132">
        <v>2.109</v>
      </c>
      <c r="E132">
        <v>6.698E-3</v>
      </c>
      <c r="F132">
        <v>2.7030000000000001E-3</v>
      </c>
      <c r="G132">
        <v>1.056</v>
      </c>
      <c r="H132">
        <v>7.5410000000000004</v>
      </c>
      <c r="I132">
        <v>40001</v>
      </c>
      <c r="J132">
        <v>120000</v>
      </c>
    </row>
    <row r="133" spans="2:10" x14ac:dyDescent="0.25">
      <c r="B133" t="s">
        <v>530</v>
      </c>
      <c r="C133">
        <v>0.83809999999999996</v>
      </c>
      <c r="D133">
        <v>1.19</v>
      </c>
      <c r="E133">
        <v>6.3039999999999997E-3</v>
      </c>
      <c r="F133" s="13">
        <v>8.0139999999999996E-4</v>
      </c>
      <c r="G133">
        <v>0.38040000000000002</v>
      </c>
      <c r="H133">
        <v>4.2160000000000002</v>
      </c>
      <c r="I133">
        <v>40001</v>
      </c>
      <c r="J133">
        <v>120000</v>
      </c>
    </row>
    <row r="134" spans="2:10" x14ac:dyDescent="0.25">
      <c r="B134" t="s">
        <v>531</v>
      </c>
      <c r="C134">
        <v>0.93969999999999998</v>
      </c>
      <c r="D134">
        <v>1.33</v>
      </c>
      <c r="E134">
        <v>4.0020000000000003E-3</v>
      </c>
      <c r="F134" s="13">
        <v>8.8800000000000001E-4</v>
      </c>
      <c r="G134">
        <v>0.42930000000000001</v>
      </c>
      <c r="H134">
        <v>4.7370000000000001</v>
      </c>
      <c r="I134">
        <v>40001</v>
      </c>
      <c r="J134">
        <v>120000</v>
      </c>
    </row>
    <row r="135" spans="2:10" x14ac:dyDescent="0.25">
      <c r="B135" t="s">
        <v>532</v>
      </c>
      <c r="C135">
        <v>0.72789999999999999</v>
      </c>
      <c r="D135">
        <v>1.046</v>
      </c>
      <c r="E135">
        <v>3.4719999999999998E-3</v>
      </c>
      <c r="F135" s="13">
        <v>6.7560000000000005E-4</v>
      </c>
      <c r="G135">
        <v>0.3256</v>
      </c>
      <c r="H135">
        <v>3.6890000000000001</v>
      </c>
      <c r="I135">
        <v>40001</v>
      </c>
      <c r="J135">
        <v>120000</v>
      </c>
    </row>
    <row r="136" spans="2:10" x14ac:dyDescent="0.25">
      <c r="B136" t="s">
        <v>533</v>
      </c>
      <c r="C136">
        <v>0.53480000000000005</v>
      </c>
      <c r="D136">
        <v>0.79579999999999995</v>
      </c>
      <c r="E136">
        <v>2.6459999999999999E-3</v>
      </c>
      <c r="F136" s="13">
        <v>4.9180000000000003E-4</v>
      </c>
      <c r="G136">
        <v>0.23449999999999999</v>
      </c>
      <c r="H136">
        <v>2.7879999999999998</v>
      </c>
      <c r="I136">
        <v>40001</v>
      </c>
      <c r="J136">
        <v>120000</v>
      </c>
    </row>
    <row r="137" spans="2:10" x14ac:dyDescent="0.25">
      <c r="B137" t="s">
        <v>534</v>
      </c>
      <c r="C137">
        <v>1.363</v>
      </c>
      <c r="D137">
        <v>1.73</v>
      </c>
      <c r="E137">
        <v>1.0540000000000001E-2</v>
      </c>
      <c r="F137">
        <v>1.6410000000000001E-3</v>
      </c>
      <c r="G137">
        <v>0.71060000000000001</v>
      </c>
      <c r="H137">
        <v>6.2140000000000004</v>
      </c>
      <c r="I137">
        <v>40001</v>
      </c>
      <c r="J137">
        <v>120000</v>
      </c>
    </row>
    <row r="138" spans="2:10" x14ac:dyDescent="0.25">
      <c r="B138" t="s">
        <v>535</v>
      </c>
      <c r="C138">
        <v>1.21</v>
      </c>
      <c r="D138">
        <v>1.605</v>
      </c>
      <c r="E138">
        <v>7.0629999999999998E-3</v>
      </c>
      <c r="F138">
        <v>1.276E-3</v>
      </c>
      <c r="G138">
        <v>0.59440000000000004</v>
      </c>
      <c r="H138">
        <v>5.7130000000000001</v>
      </c>
      <c r="I138">
        <v>40001</v>
      </c>
      <c r="J138">
        <v>120000</v>
      </c>
    </row>
    <row r="139" spans="2:10" x14ac:dyDescent="0.25">
      <c r="B139" t="s">
        <v>536</v>
      </c>
      <c r="C139">
        <v>1.0089999999999999</v>
      </c>
      <c r="D139">
        <v>1.425</v>
      </c>
      <c r="E139">
        <v>6.2659999999999999E-3</v>
      </c>
      <c r="F139" s="13">
        <v>9.4749999999999999E-4</v>
      </c>
      <c r="G139">
        <v>0.46239999999999998</v>
      </c>
      <c r="H139">
        <v>5.0659999999999998</v>
      </c>
      <c r="I139">
        <v>40001</v>
      </c>
      <c r="J139">
        <v>120000</v>
      </c>
    </row>
    <row r="140" spans="2:10" x14ac:dyDescent="0.25">
      <c r="B140" t="s">
        <v>537</v>
      </c>
      <c r="C140">
        <v>0.99880000000000002</v>
      </c>
      <c r="D140">
        <v>1.413</v>
      </c>
      <c r="E140">
        <v>4.6940000000000003E-3</v>
      </c>
      <c r="F140">
        <v>1.0039999999999999E-3</v>
      </c>
      <c r="G140">
        <v>0.45910000000000001</v>
      </c>
      <c r="H140">
        <v>5.03</v>
      </c>
      <c r="I140">
        <v>40001</v>
      </c>
      <c r="J140">
        <v>120000</v>
      </c>
    </row>
    <row r="141" spans="2:10" x14ac:dyDescent="0.25">
      <c r="B141" t="s">
        <v>538</v>
      </c>
      <c r="C141">
        <v>0.5403</v>
      </c>
      <c r="D141">
        <v>0.76519999999999999</v>
      </c>
      <c r="E141">
        <v>2.2829999999999999E-3</v>
      </c>
      <c r="F141" s="13">
        <v>5.2859999999999995E-4</v>
      </c>
      <c r="G141">
        <v>0.2485</v>
      </c>
      <c r="H141">
        <v>2.722</v>
      </c>
      <c r="I141">
        <v>40001</v>
      </c>
      <c r="J141">
        <v>120000</v>
      </c>
    </row>
    <row r="142" spans="2:10" x14ac:dyDescent="0.25">
      <c r="B142" t="s">
        <v>539</v>
      </c>
      <c r="C142">
        <v>0.64629999999999999</v>
      </c>
      <c r="D142">
        <v>0.90549999999999997</v>
      </c>
      <c r="E142">
        <v>2.6970000000000002E-3</v>
      </c>
      <c r="F142" s="13">
        <v>6.3000000000000003E-4</v>
      </c>
      <c r="G142">
        <v>0.2954</v>
      </c>
      <c r="H142">
        <v>3.2440000000000002</v>
      </c>
      <c r="I142">
        <v>40001</v>
      </c>
      <c r="J142">
        <v>120000</v>
      </c>
    </row>
    <row r="143" spans="2:10" x14ac:dyDescent="0.25">
      <c r="B143" t="s">
        <v>540</v>
      </c>
      <c r="C143">
        <v>0.95350000000000001</v>
      </c>
      <c r="D143">
        <v>1.3149999999999999</v>
      </c>
      <c r="E143">
        <v>5.3020000000000003E-3</v>
      </c>
      <c r="F143" s="13">
        <v>9.5589999999999998E-4</v>
      </c>
      <c r="G143">
        <v>0.44640000000000002</v>
      </c>
      <c r="H143">
        <v>4.7069999999999999</v>
      </c>
      <c r="I143">
        <v>40001</v>
      </c>
      <c r="J143">
        <v>120000</v>
      </c>
    </row>
    <row r="144" spans="2:10" x14ac:dyDescent="0.25">
      <c r="B144" t="s">
        <v>541</v>
      </c>
      <c r="C144">
        <v>1.0589999999999999</v>
      </c>
      <c r="D144">
        <v>1.405</v>
      </c>
      <c r="E144">
        <v>4.9020000000000001E-3</v>
      </c>
      <c r="F144">
        <v>1.1150000000000001E-3</v>
      </c>
      <c r="G144">
        <v>0.52270000000000005</v>
      </c>
      <c r="H144">
        <v>5.0540000000000003</v>
      </c>
      <c r="I144">
        <v>40001</v>
      </c>
      <c r="J144">
        <v>120000</v>
      </c>
    </row>
    <row r="145" spans="2:10" x14ac:dyDescent="0.25">
      <c r="B145" t="s">
        <v>542</v>
      </c>
      <c r="C145">
        <v>1.004</v>
      </c>
      <c r="D145">
        <v>1.2829999999999999</v>
      </c>
      <c r="E145">
        <v>4.5030000000000001E-3</v>
      </c>
      <c r="F145">
        <v>1.1709999999999999E-3</v>
      </c>
      <c r="G145">
        <v>0.52039999999999997</v>
      </c>
      <c r="H145">
        <v>4.6100000000000003</v>
      </c>
      <c r="I145">
        <v>40001</v>
      </c>
      <c r="J145">
        <v>120000</v>
      </c>
    </row>
    <row r="146" spans="2:10" x14ac:dyDescent="0.25">
      <c r="B146" t="s">
        <v>543</v>
      </c>
      <c r="C146">
        <v>0.8589</v>
      </c>
      <c r="D146">
        <v>1.1870000000000001</v>
      </c>
      <c r="E146">
        <v>3.457E-3</v>
      </c>
      <c r="F146" s="13">
        <v>8.6720000000000005E-4</v>
      </c>
      <c r="G146">
        <v>0.40039999999999998</v>
      </c>
      <c r="H146">
        <v>4.2450000000000001</v>
      </c>
      <c r="I146">
        <v>40001</v>
      </c>
      <c r="J146">
        <v>120000</v>
      </c>
    </row>
    <row r="147" spans="2:10" x14ac:dyDescent="0.25">
      <c r="B147" t="s">
        <v>544</v>
      </c>
      <c r="C147">
        <v>0.70850000000000002</v>
      </c>
      <c r="D147">
        <v>0.94779999999999998</v>
      </c>
      <c r="E147">
        <v>3.614E-3</v>
      </c>
      <c r="F147" s="13">
        <v>7.9160000000000005E-4</v>
      </c>
      <c r="G147">
        <v>0.3488</v>
      </c>
      <c r="H147">
        <v>3.387</v>
      </c>
      <c r="I147">
        <v>40001</v>
      </c>
      <c r="J147">
        <v>120000</v>
      </c>
    </row>
    <row r="148" spans="2:10" x14ac:dyDescent="0.25">
      <c r="B148" t="s">
        <v>545</v>
      </c>
      <c r="C148">
        <v>1.0309999999999999</v>
      </c>
      <c r="D148">
        <v>1.399</v>
      </c>
      <c r="E148">
        <v>3.8939999999999999E-3</v>
      </c>
      <c r="F148">
        <v>1.0660000000000001E-3</v>
      </c>
      <c r="G148">
        <v>0.48980000000000001</v>
      </c>
      <c r="H148">
        <v>5.0229999999999997</v>
      </c>
      <c r="I148">
        <v>40001</v>
      </c>
      <c r="J148">
        <v>120000</v>
      </c>
    </row>
    <row r="149" spans="2:10" x14ac:dyDescent="0.25">
      <c r="B149" t="s">
        <v>546</v>
      </c>
      <c r="C149">
        <v>0.45340000000000003</v>
      </c>
      <c r="D149">
        <v>0.64929999999999999</v>
      </c>
      <c r="E149">
        <v>1.9369999999999999E-3</v>
      </c>
      <c r="F149" s="13">
        <v>4.4930000000000002E-4</v>
      </c>
      <c r="G149">
        <v>0.2049</v>
      </c>
      <c r="H149">
        <v>2.2909999999999999</v>
      </c>
      <c r="I149">
        <v>40001</v>
      </c>
      <c r="J149">
        <v>120000</v>
      </c>
    </row>
    <row r="150" spans="2:10" x14ac:dyDescent="0.25">
      <c r="B150" t="s">
        <v>547</v>
      </c>
      <c r="C150">
        <v>0.72960000000000003</v>
      </c>
      <c r="D150">
        <v>1.024</v>
      </c>
      <c r="E150">
        <v>2.9940000000000001E-3</v>
      </c>
      <c r="F150" s="13">
        <v>7.1920000000000003E-4</v>
      </c>
      <c r="G150">
        <v>0.33189999999999997</v>
      </c>
      <c r="H150">
        <v>3.6709999999999998</v>
      </c>
      <c r="I150">
        <v>40001</v>
      </c>
      <c r="J150">
        <v>120000</v>
      </c>
    </row>
    <row r="151" spans="2:10" x14ac:dyDescent="0.25">
      <c r="B151" t="s">
        <v>548</v>
      </c>
      <c r="C151">
        <v>0.73970000000000002</v>
      </c>
      <c r="D151">
        <v>1.0469999999999999</v>
      </c>
      <c r="E151">
        <v>3.4499999999999999E-3</v>
      </c>
      <c r="F151" s="13">
        <v>7.4209999999999999E-4</v>
      </c>
      <c r="G151">
        <v>0.3357</v>
      </c>
      <c r="H151">
        <v>3.7330000000000001</v>
      </c>
      <c r="I151">
        <v>40001</v>
      </c>
      <c r="J151">
        <v>120000</v>
      </c>
    </row>
    <row r="152" spans="2:10" x14ac:dyDescent="0.25">
      <c r="B152" t="s">
        <v>549</v>
      </c>
      <c r="C152">
        <v>0.66790000000000005</v>
      </c>
      <c r="D152">
        <v>0.93810000000000004</v>
      </c>
      <c r="E152">
        <v>3.209E-3</v>
      </c>
      <c r="F152" s="13">
        <v>6.5439999999999997E-4</v>
      </c>
      <c r="G152">
        <v>0.30530000000000002</v>
      </c>
      <c r="H152">
        <v>3.3279999999999998</v>
      </c>
      <c r="I152">
        <v>40001</v>
      </c>
      <c r="J152">
        <v>120000</v>
      </c>
    </row>
    <row r="153" spans="2:10" x14ac:dyDescent="0.25">
      <c r="B153" t="s">
        <v>550</v>
      </c>
      <c r="C153">
        <v>0.55869999999999997</v>
      </c>
      <c r="D153">
        <v>0.79990000000000006</v>
      </c>
      <c r="E153">
        <v>2.6940000000000002E-3</v>
      </c>
      <c r="F153" s="13">
        <v>5.0989999999999998E-4</v>
      </c>
      <c r="G153">
        <v>0.25180000000000002</v>
      </c>
      <c r="H153">
        <v>2.8069999999999999</v>
      </c>
      <c r="I153">
        <v>40001</v>
      </c>
      <c r="J153">
        <v>120000</v>
      </c>
    </row>
    <row r="154" spans="2:10" x14ac:dyDescent="0.25">
      <c r="B154" t="s">
        <v>551</v>
      </c>
      <c r="C154">
        <v>0.68910000000000005</v>
      </c>
      <c r="D154">
        <v>0.96799999999999997</v>
      </c>
      <c r="E154">
        <v>2.8149999999999998E-3</v>
      </c>
      <c r="F154" s="13">
        <v>7.1770000000000004E-4</v>
      </c>
      <c r="G154">
        <v>0.31569999999999998</v>
      </c>
      <c r="H154">
        <v>3.4510000000000001</v>
      </c>
      <c r="I154">
        <v>40001</v>
      </c>
      <c r="J154">
        <v>120000</v>
      </c>
    </row>
    <row r="155" spans="2:10" x14ac:dyDescent="0.25">
      <c r="B155" t="s">
        <v>552</v>
      </c>
      <c r="C155">
        <v>1.417</v>
      </c>
      <c r="D155">
        <v>1.81</v>
      </c>
      <c r="E155">
        <v>1.1860000000000001E-2</v>
      </c>
      <c r="F155">
        <v>1.7049999999999999E-3</v>
      </c>
      <c r="G155">
        <v>0.74170000000000003</v>
      </c>
      <c r="H155">
        <v>6.4130000000000003</v>
      </c>
      <c r="I155">
        <v>40001</v>
      </c>
      <c r="J155">
        <v>120000</v>
      </c>
    </row>
    <row r="156" spans="2:10" x14ac:dyDescent="0.25">
      <c r="B156" t="s">
        <v>553</v>
      </c>
      <c r="C156">
        <v>1.4239999999999999</v>
      </c>
      <c r="D156">
        <v>1.796</v>
      </c>
      <c r="E156">
        <v>1.055E-2</v>
      </c>
      <c r="F156">
        <v>1.7539999999999999E-3</v>
      </c>
      <c r="G156">
        <v>0.75039999999999996</v>
      </c>
      <c r="H156">
        <v>6.4580000000000002</v>
      </c>
      <c r="I156">
        <v>40001</v>
      </c>
      <c r="J156">
        <v>120000</v>
      </c>
    </row>
    <row r="157" spans="2:10" x14ac:dyDescent="0.25">
      <c r="B157" t="s">
        <v>554</v>
      </c>
      <c r="C157">
        <v>2.1469999999999998</v>
      </c>
      <c r="D157">
        <v>2.0659999999999998</v>
      </c>
      <c r="E157">
        <v>1.4919999999999999E-2</v>
      </c>
      <c r="F157">
        <v>6.9119999999999997E-3</v>
      </c>
      <c r="G157">
        <v>1.5760000000000001</v>
      </c>
      <c r="H157">
        <v>7.4169999999999998</v>
      </c>
      <c r="I157">
        <v>40001</v>
      </c>
      <c r="J157">
        <v>120000</v>
      </c>
    </row>
    <row r="158" spans="2:10" x14ac:dyDescent="0.25">
      <c r="B158" t="s">
        <v>555</v>
      </c>
      <c r="C158">
        <v>1.4570000000000001</v>
      </c>
      <c r="D158">
        <v>1.8440000000000001</v>
      </c>
      <c r="E158">
        <v>6.8780000000000004E-3</v>
      </c>
      <c r="F158">
        <v>1.851E-3</v>
      </c>
      <c r="G158">
        <v>0.7631</v>
      </c>
      <c r="H158">
        <v>6.6109999999999998</v>
      </c>
      <c r="I158">
        <v>40001</v>
      </c>
      <c r="J158">
        <v>120000</v>
      </c>
    </row>
    <row r="159" spans="2:10" x14ac:dyDescent="0.25">
      <c r="B159" t="s">
        <v>556</v>
      </c>
      <c r="C159">
        <v>0.89880000000000004</v>
      </c>
      <c r="D159">
        <v>1.2310000000000001</v>
      </c>
      <c r="E159">
        <v>4.8849999999999996E-3</v>
      </c>
      <c r="F159" s="13">
        <v>9.7260000000000001E-4</v>
      </c>
      <c r="G159">
        <v>0.42630000000000001</v>
      </c>
      <c r="H159">
        <v>4.3929999999999998</v>
      </c>
      <c r="I159">
        <v>40001</v>
      </c>
      <c r="J159">
        <v>120000</v>
      </c>
    </row>
    <row r="160" spans="2:10" x14ac:dyDescent="0.25">
      <c r="B160" t="s">
        <v>557</v>
      </c>
      <c r="C160">
        <v>0.8478</v>
      </c>
      <c r="D160">
        <v>1.194</v>
      </c>
      <c r="E160">
        <v>3.7780000000000001E-3</v>
      </c>
      <c r="F160" s="13">
        <v>7.3729999999999998E-4</v>
      </c>
      <c r="G160">
        <v>0.3886</v>
      </c>
      <c r="H160">
        <v>4.24</v>
      </c>
      <c r="I160">
        <v>40001</v>
      </c>
      <c r="J160">
        <v>120000</v>
      </c>
    </row>
    <row r="161" spans="2:10" x14ac:dyDescent="0.25">
      <c r="B161" t="s">
        <v>558</v>
      </c>
      <c r="C161">
        <v>1.0680000000000001</v>
      </c>
      <c r="D161">
        <v>1.35</v>
      </c>
      <c r="E161">
        <v>5.1320000000000003E-3</v>
      </c>
      <c r="F161">
        <v>1.3010000000000001E-3</v>
      </c>
      <c r="G161">
        <v>0.55840000000000001</v>
      </c>
      <c r="H161">
        <v>4.8129999999999997</v>
      </c>
      <c r="I161">
        <v>40001</v>
      </c>
      <c r="J161">
        <v>120000</v>
      </c>
    </row>
    <row r="162" spans="2:10" x14ac:dyDescent="0.25">
      <c r="B162" t="s">
        <v>559</v>
      </c>
      <c r="C162">
        <v>0.89319999999999999</v>
      </c>
      <c r="D162">
        <v>1.232</v>
      </c>
      <c r="E162">
        <v>3.6189999999999998E-3</v>
      </c>
      <c r="F162" s="13">
        <v>9.588E-4</v>
      </c>
      <c r="G162">
        <v>0.42180000000000001</v>
      </c>
      <c r="H162">
        <v>4.3869999999999996</v>
      </c>
      <c r="I162">
        <v>40001</v>
      </c>
      <c r="J162">
        <v>120000</v>
      </c>
    </row>
    <row r="163" spans="2:10" x14ac:dyDescent="0.25">
      <c r="B163" t="s">
        <v>560</v>
      </c>
      <c r="C163">
        <v>0.79490000000000005</v>
      </c>
      <c r="D163">
        <v>1.103</v>
      </c>
      <c r="E163">
        <v>3.4650000000000002E-3</v>
      </c>
      <c r="F163" s="13">
        <v>8.4809999999999996E-4</v>
      </c>
      <c r="G163">
        <v>0.36570000000000003</v>
      </c>
      <c r="H163">
        <v>3.9420000000000002</v>
      </c>
      <c r="I163">
        <v>40001</v>
      </c>
      <c r="J163">
        <v>120000</v>
      </c>
    </row>
    <row r="164" spans="2:10" x14ac:dyDescent="0.25">
      <c r="B164" t="s">
        <v>561</v>
      </c>
      <c r="C164">
        <v>1.105</v>
      </c>
      <c r="D164">
        <v>1.361</v>
      </c>
      <c r="E164">
        <v>4.2079999999999999E-3</v>
      </c>
      <c r="F164">
        <v>1.4630000000000001E-3</v>
      </c>
      <c r="G164">
        <v>0.60170000000000001</v>
      </c>
      <c r="H164">
        <v>4.8540000000000001</v>
      </c>
      <c r="I164">
        <v>40001</v>
      </c>
      <c r="J164">
        <v>120000</v>
      </c>
    </row>
    <row r="165" spans="2:10" x14ac:dyDescent="0.25">
      <c r="B165" t="s">
        <v>562</v>
      </c>
      <c r="C165">
        <v>1.268</v>
      </c>
      <c r="D165">
        <v>1.649</v>
      </c>
      <c r="E165">
        <v>8.3239999999999998E-3</v>
      </c>
      <c r="F165">
        <v>1.4959999999999999E-3</v>
      </c>
      <c r="G165">
        <v>0.64129999999999998</v>
      </c>
      <c r="H165">
        <v>5.9240000000000004</v>
      </c>
      <c r="I165">
        <v>40001</v>
      </c>
      <c r="J165">
        <v>120000</v>
      </c>
    </row>
    <row r="166" spans="2:10" x14ac:dyDescent="0.25">
      <c r="B166" t="s">
        <v>563</v>
      </c>
      <c r="C166">
        <v>1.19</v>
      </c>
      <c r="D166">
        <v>1.575</v>
      </c>
      <c r="E166">
        <v>6.8089999999999999E-3</v>
      </c>
      <c r="F166">
        <v>1.3079999999999999E-3</v>
      </c>
      <c r="G166">
        <v>0.58609999999999995</v>
      </c>
      <c r="H166">
        <v>5.6710000000000003</v>
      </c>
      <c r="I166">
        <v>40001</v>
      </c>
      <c r="J166">
        <v>120000</v>
      </c>
    </row>
    <row r="167" spans="2:10" x14ac:dyDescent="0.25">
      <c r="B167" t="s">
        <v>564</v>
      </c>
      <c r="C167">
        <v>1.1160000000000001</v>
      </c>
      <c r="D167">
        <v>1.5029999999999999</v>
      </c>
      <c r="E167">
        <v>6.8170000000000001E-3</v>
      </c>
      <c r="F167">
        <v>1.209E-3</v>
      </c>
      <c r="G167">
        <v>0.53480000000000005</v>
      </c>
      <c r="H167">
        <v>5.3550000000000004</v>
      </c>
      <c r="I167">
        <v>40001</v>
      </c>
      <c r="J167">
        <v>120000</v>
      </c>
    </row>
    <row r="168" spans="2:10" x14ac:dyDescent="0.25">
      <c r="B168" t="s">
        <v>565</v>
      </c>
      <c r="C168">
        <v>1.087</v>
      </c>
      <c r="D168">
        <v>1.4470000000000001</v>
      </c>
      <c r="E168">
        <v>7.326E-3</v>
      </c>
      <c r="F168">
        <v>1.1310000000000001E-3</v>
      </c>
      <c r="G168">
        <v>0.52949999999999997</v>
      </c>
      <c r="H168">
        <v>5.1529999999999996</v>
      </c>
      <c r="I168">
        <v>40001</v>
      </c>
      <c r="J168">
        <v>120000</v>
      </c>
    </row>
    <row r="169" spans="2:10" x14ac:dyDescent="0.25">
      <c r="B169" t="s">
        <v>566</v>
      </c>
      <c r="C169">
        <v>0.83630000000000004</v>
      </c>
      <c r="D169">
        <v>1.17</v>
      </c>
      <c r="E169">
        <v>4.2960000000000003E-3</v>
      </c>
      <c r="F169" s="13">
        <v>8.2799999999999996E-4</v>
      </c>
      <c r="G169">
        <v>0.38629999999999998</v>
      </c>
      <c r="H169">
        <v>4.1959999999999997</v>
      </c>
      <c r="I169">
        <v>40001</v>
      </c>
      <c r="J169">
        <v>120000</v>
      </c>
    </row>
    <row r="170" spans="2:10" x14ac:dyDescent="0.25">
      <c r="B170" t="s">
        <v>567</v>
      </c>
      <c r="C170">
        <v>0.72860000000000003</v>
      </c>
      <c r="D170">
        <v>1.032</v>
      </c>
      <c r="E170">
        <v>3.408E-3</v>
      </c>
      <c r="F170" s="13">
        <v>7.0910000000000005E-4</v>
      </c>
      <c r="G170">
        <v>0.3301</v>
      </c>
      <c r="H170">
        <v>3.661</v>
      </c>
      <c r="I170">
        <v>40001</v>
      </c>
      <c r="J170">
        <v>120000</v>
      </c>
    </row>
    <row r="171" spans="2:10" x14ac:dyDescent="0.25">
      <c r="B171" t="s">
        <v>568</v>
      </c>
      <c r="C171">
        <v>0.68010000000000004</v>
      </c>
      <c r="D171">
        <v>0.95979999999999999</v>
      </c>
      <c r="E171">
        <v>3.2750000000000001E-3</v>
      </c>
      <c r="F171" s="13">
        <v>6.7650000000000002E-4</v>
      </c>
      <c r="G171">
        <v>0.31209999999999999</v>
      </c>
      <c r="H171">
        <v>3.42</v>
      </c>
      <c r="I171">
        <v>40001</v>
      </c>
      <c r="J171">
        <v>120000</v>
      </c>
    </row>
    <row r="172" spans="2:10" x14ac:dyDescent="0.25">
      <c r="B172" t="s">
        <v>569</v>
      </c>
      <c r="C172">
        <v>0.87990000000000002</v>
      </c>
      <c r="D172">
        <v>1.208</v>
      </c>
      <c r="E172">
        <v>3.6930000000000001E-3</v>
      </c>
      <c r="F172" s="13">
        <v>8.7640000000000005E-4</v>
      </c>
      <c r="G172">
        <v>0.4093</v>
      </c>
      <c r="H172">
        <v>4.3289999999999997</v>
      </c>
      <c r="I172">
        <v>40001</v>
      </c>
      <c r="J172">
        <v>120000</v>
      </c>
    </row>
    <row r="173" spans="2:10" x14ac:dyDescent="0.25">
      <c r="B173" t="s">
        <v>570</v>
      </c>
      <c r="C173">
        <v>0.65210000000000001</v>
      </c>
      <c r="D173">
        <v>0.90090000000000003</v>
      </c>
      <c r="E173">
        <v>4.0109999999999998E-3</v>
      </c>
      <c r="F173" s="13">
        <v>6.3159999999999996E-4</v>
      </c>
      <c r="G173">
        <v>0.30620000000000003</v>
      </c>
      <c r="H173">
        <v>3.2010000000000001</v>
      </c>
      <c r="I173">
        <v>40001</v>
      </c>
      <c r="J173">
        <v>120000</v>
      </c>
    </row>
    <row r="174" spans="2:10" x14ac:dyDescent="0.25">
      <c r="B174" t="s">
        <v>571</v>
      </c>
      <c r="C174">
        <v>0.81930000000000003</v>
      </c>
      <c r="D174">
        <v>1.1499999999999999</v>
      </c>
      <c r="E174">
        <v>3.509E-3</v>
      </c>
      <c r="F174" s="13">
        <v>8.2810000000000002E-4</v>
      </c>
      <c r="G174">
        <v>0.37790000000000001</v>
      </c>
      <c r="H174">
        <v>4.0709999999999997</v>
      </c>
      <c r="I174">
        <v>40001</v>
      </c>
      <c r="J174">
        <v>120000</v>
      </c>
    </row>
    <row r="175" spans="2:10" x14ac:dyDescent="0.25">
      <c r="B175" t="s">
        <v>572</v>
      </c>
      <c r="C175">
        <v>1.028</v>
      </c>
      <c r="D175">
        <v>1.4279999999999999</v>
      </c>
      <c r="E175">
        <v>4.5960000000000003E-3</v>
      </c>
      <c r="F175">
        <v>1.0189999999999999E-3</v>
      </c>
      <c r="G175">
        <v>0.47299999999999998</v>
      </c>
      <c r="H175">
        <v>5.101</v>
      </c>
      <c r="I175">
        <v>40001</v>
      </c>
      <c r="J175">
        <v>120000</v>
      </c>
    </row>
    <row r="176" spans="2:10" x14ac:dyDescent="0.25">
      <c r="B176" t="s">
        <v>573</v>
      </c>
      <c r="C176">
        <v>0.98229999999999995</v>
      </c>
      <c r="D176">
        <v>1.2150000000000001</v>
      </c>
      <c r="E176">
        <v>4.104E-3</v>
      </c>
      <c r="F176">
        <v>1.3699999999999999E-3</v>
      </c>
      <c r="G176">
        <v>0.54530000000000001</v>
      </c>
      <c r="H176">
        <v>4.351</v>
      </c>
      <c r="I176">
        <v>40001</v>
      </c>
      <c r="J176">
        <v>120000</v>
      </c>
    </row>
    <row r="177" spans="2:10" x14ac:dyDescent="0.25">
      <c r="B177" t="s">
        <v>574</v>
      </c>
      <c r="C177">
        <v>0.57350000000000001</v>
      </c>
      <c r="D177">
        <v>0.80600000000000005</v>
      </c>
      <c r="E177">
        <v>2.6080000000000001E-3</v>
      </c>
      <c r="F177" s="13">
        <v>5.7790000000000001E-4</v>
      </c>
      <c r="G177">
        <v>0.26290000000000002</v>
      </c>
      <c r="H177">
        <v>2.839</v>
      </c>
      <c r="I177">
        <v>40001</v>
      </c>
      <c r="J177">
        <v>120000</v>
      </c>
    </row>
    <row r="178" spans="2:10" x14ac:dyDescent="0.25">
      <c r="B178" t="s">
        <v>575</v>
      </c>
      <c r="C178">
        <v>0.65990000000000004</v>
      </c>
      <c r="D178">
        <v>0.93259999999999998</v>
      </c>
      <c r="E178">
        <v>2.8180000000000002E-3</v>
      </c>
      <c r="F178" s="13">
        <v>6.6010000000000005E-4</v>
      </c>
      <c r="G178">
        <v>0.30009999999999998</v>
      </c>
      <c r="H178">
        <v>3.3159999999999998</v>
      </c>
      <c r="I178">
        <v>40001</v>
      </c>
      <c r="J178">
        <v>120000</v>
      </c>
    </row>
    <row r="179" spans="2:10" x14ac:dyDescent="0.25">
      <c r="B179" t="s">
        <v>576</v>
      </c>
      <c r="C179">
        <v>0.61019999999999996</v>
      </c>
      <c r="D179">
        <v>0.86729999999999996</v>
      </c>
      <c r="E179">
        <v>2.7490000000000001E-3</v>
      </c>
      <c r="F179" s="13">
        <v>5.7919999999999998E-4</v>
      </c>
      <c r="G179">
        <v>0.27610000000000001</v>
      </c>
      <c r="H179">
        <v>3.0640000000000001</v>
      </c>
      <c r="I179">
        <v>40001</v>
      </c>
      <c r="J179">
        <v>120000</v>
      </c>
    </row>
    <row r="180" spans="2:10" x14ac:dyDescent="0.25">
      <c r="B180" t="s">
        <v>577</v>
      </c>
      <c r="C180">
        <v>0.65139999999999998</v>
      </c>
      <c r="D180">
        <v>0.9103</v>
      </c>
      <c r="E180">
        <v>2.7499999999999998E-3</v>
      </c>
      <c r="F180" s="13">
        <v>6.3270000000000004E-4</v>
      </c>
      <c r="G180">
        <v>0.30009999999999998</v>
      </c>
      <c r="H180">
        <v>3.226</v>
      </c>
      <c r="I180">
        <v>40001</v>
      </c>
      <c r="J180">
        <v>120000</v>
      </c>
    </row>
    <row r="181" spans="2:10" x14ac:dyDescent="0.25">
      <c r="B181" t="s">
        <v>578</v>
      </c>
      <c r="C181">
        <v>0.57940000000000003</v>
      </c>
      <c r="D181">
        <v>0.83250000000000002</v>
      </c>
      <c r="E181">
        <v>2.7669999999999999E-3</v>
      </c>
      <c r="F181" s="13">
        <v>5.5679999999999998E-4</v>
      </c>
      <c r="G181">
        <v>0.2606</v>
      </c>
      <c r="H181">
        <v>2.9220000000000002</v>
      </c>
      <c r="I181">
        <v>40001</v>
      </c>
      <c r="J181">
        <v>120000</v>
      </c>
    </row>
    <row r="182" spans="2:10" x14ac:dyDescent="0.25">
      <c r="B182" t="s">
        <v>579</v>
      </c>
      <c r="C182">
        <v>0.71289999999999998</v>
      </c>
      <c r="D182">
        <v>0.99790000000000001</v>
      </c>
      <c r="E182">
        <v>2.9529999999999999E-3</v>
      </c>
      <c r="F182" s="13">
        <v>6.9160000000000001E-4</v>
      </c>
      <c r="G182">
        <v>0.33019999999999999</v>
      </c>
      <c r="H182">
        <v>3.5419999999999998</v>
      </c>
      <c r="I182">
        <v>40001</v>
      </c>
      <c r="J182">
        <v>120000</v>
      </c>
    </row>
    <row r="183" spans="2:10" x14ac:dyDescent="0.25">
      <c r="B183" t="s">
        <v>580</v>
      </c>
      <c r="C183">
        <v>0.66080000000000005</v>
      </c>
      <c r="D183">
        <v>0.94479999999999997</v>
      </c>
      <c r="E183">
        <v>2.7899999999999999E-3</v>
      </c>
      <c r="F183" s="13">
        <v>6.5200000000000002E-4</v>
      </c>
      <c r="G183">
        <v>0.3</v>
      </c>
      <c r="H183">
        <v>3.32</v>
      </c>
      <c r="I183">
        <v>40001</v>
      </c>
      <c r="J183">
        <v>120000</v>
      </c>
    </row>
    <row r="184" spans="2:10" x14ac:dyDescent="0.25">
      <c r="B184" t="s">
        <v>581</v>
      </c>
      <c r="C184">
        <v>0.71840000000000004</v>
      </c>
      <c r="D184">
        <v>0.96279999999999999</v>
      </c>
      <c r="E184">
        <v>2.983E-3</v>
      </c>
      <c r="F184" s="13">
        <v>8.0650000000000003E-4</v>
      </c>
      <c r="G184">
        <v>0.34639999999999999</v>
      </c>
      <c r="H184">
        <v>3.4119999999999999</v>
      </c>
      <c r="I184">
        <v>40001</v>
      </c>
      <c r="J184">
        <v>120000</v>
      </c>
    </row>
    <row r="185" spans="2:10" x14ac:dyDescent="0.25">
      <c r="B185" t="s">
        <v>582</v>
      </c>
      <c r="C185">
        <v>0.76060000000000005</v>
      </c>
      <c r="D185">
        <v>1.089</v>
      </c>
      <c r="E185">
        <v>4.3530000000000001E-3</v>
      </c>
      <c r="F185" s="13">
        <v>7.5319999999999998E-4</v>
      </c>
      <c r="G185">
        <v>0.34399999999999997</v>
      </c>
      <c r="H185">
        <v>3.839</v>
      </c>
      <c r="I185">
        <v>40001</v>
      </c>
      <c r="J185">
        <v>120000</v>
      </c>
    </row>
    <row r="186" spans="2:10" x14ac:dyDescent="0.25">
      <c r="B186" t="s">
        <v>583</v>
      </c>
      <c r="C186">
        <v>0.79949999999999999</v>
      </c>
      <c r="D186">
        <v>1.1319999999999999</v>
      </c>
      <c r="E186">
        <v>3.4390000000000002E-3</v>
      </c>
      <c r="F186" s="13">
        <v>8.1030000000000002E-4</v>
      </c>
      <c r="G186">
        <v>0.36370000000000002</v>
      </c>
      <c r="H186">
        <v>4.0359999999999996</v>
      </c>
      <c r="I186">
        <v>40001</v>
      </c>
      <c r="J186">
        <v>120000</v>
      </c>
    </row>
    <row r="187" spans="2:10" x14ac:dyDescent="0.25">
      <c r="B187" t="s">
        <v>584</v>
      </c>
      <c r="C187">
        <v>1.353</v>
      </c>
      <c r="D187">
        <v>1.782</v>
      </c>
      <c r="E187">
        <v>9.7169999999999999E-3</v>
      </c>
      <c r="F187">
        <v>1.6180000000000001E-3</v>
      </c>
      <c r="G187">
        <v>0.6694</v>
      </c>
      <c r="H187">
        <v>6.3680000000000003</v>
      </c>
      <c r="I187">
        <v>40001</v>
      </c>
      <c r="J187">
        <v>120000</v>
      </c>
    </row>
    <row r="188" spans="2:10" x14ac:dyDescent="0.25">
      <c r="B188" t="s">
        <v>585</v>
      </c>
      <c r="C188">
        <v>1.548</v>
      </c>
      <c r="D188">
        <v>1.9750000000000001</v>
      </c>
      <c r="E188">
        <v>9.7590000000000003E-3</v>
      </c>
      <c r="F188">
        <v>1.7849999999999999E-3</v>
      </c>
      <c r="G188">
        <v>0.79749999999999999</v>
      </c>
      <c r="H188">
        <v>7.09</v>
      </c>
      <c r="I188">
        <v>40001</v>
      </c>
      <c r="J188">
        <v>120000</v>
      </c>
    </row>
    <row r="189" spans="2:10" x14ac:dyDescent="0.25">
      <c r="B189" t="s">
        <v>586</v>
      </c>
      <c r="C189">
        <v>1.0369999999999999</v>
      </c>
      <c r="D189">
        <v>1.405</v>
      </c>
      <c r="E189">
        <v>6.2839999999999997E-3</v>
      </c>
      <c r="F189">
        <v>1.129E-3</v>
      </c>
      <c r="G189">
        <v>0.49469999999999997</v>
      </c>
      <c r="H189">
        <v>5.0330000000000004</v>
      </c>
      <c r="I189">
        <v>40001</v>
      </c>
      <c r="J189">
        <v>120000</v>
      </c>
    </row>
    <row r="190" spans="2:10" x14ac:dyDescent="0.25">
      <c r="B190" t="s">
        <v>587</v>
      </c>
      <c r="C190">
        <v>1.1579999999999999</v>
      </c>
      <c r="D190">
        <v>1.524</v>
      </c>
      <c r="E190">
        <v>5.6109999999999997E-3</v>
      </c>
      <c r="F190">
        <v>1.242E-3</v>
      </c>
      <c r="G190">
        <v>0.5776</v>
      </c>
      <c r="H190">
        <v>5.4580000000000002</v>
      </c>
      <c r="I190">
        <v>40001</v>
      </c>
      <c r="J190">
        <v>120000</v>
      </c>
    </row>
    <row r="191" spans="2:10" x14ac:dyDescent="0.25">
      <c r="B191" t="s">
        <v>588</v>
      </c>
      <c r="C191">
        <v>1.0309999999999999</v>
      </c>
      <c r="D191">
        <v>1.4410000000000001</v>
      </c>
      <c r="E191">
        <v>6.2509999999999996E-3</v>
      </c>
      <c r="F191">
        <v>1.0380000000000001E-3</v>
      </c>
      <c r="G191">
        <v>0.47860000000000003</v>
      </c>
      <c r="H191">
        <v>5.1280000000000001</v>
      </c>
      <c r="I191">
        <v>40001</v>
      </c>
      <c r="J191">
        <v>120000</v>
      </c>
    </row>
    <row r="192" spans="2:10" x14ac:dyDescent="0.25">
      <c r="B192" t="s">
        <v>589</v>
      </c>
      <c r="C192">
        <v>1.008</v>
      </c>
      <c r="D192">
        <v>1.389</v>
      </c>
      <c r="E192">
        <v>6.8630000000000002E-3</v>
      </c>
      <c r="F192" s="13">
        <v>9.9099999999999991E-4</v>
      </c>
      <c r="G192">
        <v>0.47139999999999999</v>
      </c>
      <c r="H192">
        <v>4.9729999999999999</v>
      </c>
      <c r="I192">
        <v>40001</v>
      </c>
      <c r="J192">
        <v>120000</v>
      </c>
    </row>
    <row r="193" spans="2:10" x14ac:dyDescent="0.25">
      <c r="B193" t="s">
        <v>590</v>
      </c>
      <c r="C193" s="13">
        <v>5.4169999999999999E-4</v>
      </c>
      <c r="D193">
        <v>2.3269999999999999E-2</v>
      </c>
      <c r="E193" s="13">
        <v>7.47E-5</v>
      </c>
      <c r="F193">
        <v>0</v>
      </c>
      <c r="G193">
        <v>0</v>
      </c>
      <c r="H193">
        <v>0</v>
      </c>
      <c r="I193">
        <v>40001</v>
      </c>
      <c r="J193">
        <v>120000</v>
      </c>
    </row>
    <row r="194" spans="2:10" x14ac:dyDescent="0.25">
      <c r="B194" t="s">
        <v>591</v>
      </c>
      <c r="C194">
        <v>4.6249999999999998E-3</v>
      </c>
      <c r="D194">
        <v>6.7849999999999994E-2</v>
      </c>
      <c r="E194" s="13">
        <v>2.678E-4</v>
      </c>
      <c r="F194">
        <v>0</v>
      </c>
      <c r="G194">
        <v>0</v>
      </c>
      <c r="H194">
        <v>0</v>
      </c>
      <c r="I194">
        <v>40001</v>
      </c>
      <c r="J194">
        <v>120000</v>
      </c>
    </row>
    <row r="195" spans="2:10" x14ac:dyDescent="0.25">
      <c r="B195" t="s">
        <v>592</v>
      </c>
      <c r="C195">
        <v>1.771E-2</v>
      </c>
      <c r="D195">
        <v>0.13189999999999999</v>
      </c>
      <c r="E195" s="13">
        <v>6.0809999999999998E-4</v>
      </c>
      <c r="F195">
        <v>0</v>
      </c>
      <c r="G195">
        <v>0</v>
      </c>
      <c r="H195">
        <v>0</v>
      </c>
      <c r="I195">
        <v>40001</v>
      </c>
      <c r="J195">
        <v>120000</v>
      </c>
    </row>
    <row r="196" spans="2:10" x14ac:dyDescent="0.25">
      <c r="B196" t="s">
        <v>593</v>
      </c>
      <c r="C196">
        <v>7.3880000000000001E-2</v>
      </c>
      <c r="D196">
        <v>0.2616</v>
      </c>
      <c r="E196">
        <v>1.5169999999999999E-3</v>
      </c>
      <c r="F196">
        <v>0</v>
      </c>
      <c r="G196">
        <v>0</v>
      </c>
      <c r="H196">
        <v>1</v>
      </c>
      <c r="I196">
        <v>40001</v>
      </c>
      <c r="J196">
        <v>120000</v>
      </c>
    </row>
    <row r="197" spans="2:10" x14ac:dyDescent="0.25">
      <c r="B197" t="s">
        <v>594</v>
      </c>
      <c r="C197">
        <v>0.29020000000000001</v>
      </c>
      <c r="D197">
        <v>0.45379999999999998</v>
      </c>
      <c r="E197">
        <v>2.7269999999999998E-3</v>
      </c>
      <c r="F197">
        <v>0</v>
      </c>
      <c r="G197">
        <v>0</v>
      </c>
      <c r="H197">
        <v>1</v>
      </c>
      <c r="I197">
        <v>40001</v>
      </c>
      <c r="J197">
        <v>120000</v>
      </c>
    </row>
    <row r="198" spans="2:10" x14ac:dyDescent="0.25">
      <c r="B198" t="s">
        <v>595</v>
      </c>
      <c r="C198">
        <v>0.41549999999999998</v>
      </c>
      <c r="D198">
        <v>0.49280000000000002</v>
      </c>
      <c r="E198">
        <v>2.8170000000000001E-3</v>
      </c>
      <c r="F198">
        <v>0</v>
      </c>
      <c r="G198">
        <v>0</v>
      </c>
      <c r="H198">
        <v>1</v>
      </c>
      <c r="I198">
        <v>40001</v>
      </c>
      <c r="J198">
        <v>120000</v>
      </c>
    </row>
    <row r="199" spans="2:10" x14ac:dyDescent="0.25">
      <c r="B199" t="s">
        <v>596</v>
      </c>
      <c r="C199">
        <v>0.1779</v>
      </c>
      <c r="D199">
        <v>0.38240000000000002</v>
      </c>
      <c r="E199">
        <v>2.5230000000000001E-3</v>
      </c>
      <c r="F199">
        <v>0</v>
      </c>
      <c r="G199">
        <v>0</v>
      </c>
      <c r="H199">
        <v>1</v>
      </c>
      <c r="I199">
        <v>40001</v>
      </c>
      <c r="J199">
        <v>120000</v>
      </c>
    </row>
    <row r="200" spans="2:10" x14ac:dyDescent="0.25">
      <c r="B200" t="s">
        <v>597</v>
      </c>
      <c r="C200">
        <v>1.8780000000000002E-2</v>
      </c>
      <c r="D200">
        <v>0.1358</v>
      </c>
      <c r="E200" s="13">
        <v>5.9349999999999995E-4</v>
      </c>
      <c r="F200">
        <v>0</v>
      </c>
      <c r="G200">
        <v>0</v>
      </c>
      <c r="H200">
        <v>0</v>
      </c>
      <c r="I200">
        <v>40001</v>
      </c>
      <c r="J200">
        <v>120000</v>
      </c>
    </row>
    <row r="201" spans="2:10" x14ac:dyDescent="0.25">
      <c r="B201" t="s">
        <v>598</v>
      </c>
      <c r="C201" s="13">
        <v>9.167E-4</v>
      </c>
      <c r="D201">
        <v>3.0259999999999999E-2</v>
      </c>
      <c r="E201" s="13">
        <v>1.016E-4</v>
      </c>
      <c r="F201">
        <v>0</v>
      </c>
      <c r="G201">
        <v>0</v>
      </c>
      <c r="H201">
        <v>0</v>
      </c>
      <c r="I201">
        <v>40001</v>
      </c>
      <c r="J201">
        <v>120000</v>
      </c>
    </row>
    <row r="202" spans="2:10" x14ac:dyDescent="0.25">
      <c r="B202" t="s">
        <v>599</v>
      </c>
      <c r="C202">
        <v>0</v>
      </c>
      <c r="D202">
        <v>0</v>
      </c>
      <c r="E202" s="13">
        <v>1.6670000000000001E-13</v>
      </c>
      <c r="F202">
        <v>0</v>
      </c>
      <c r="G202">
        <v>0</v>
      </c>
      <c r="H202">
        <v>0</v>
      </c>
      <c r="I202">
        <v>40001</v>
      </c>
      <c r="J202">
        <v>120000</v>
      </c>
    </row>
    <row r="203" spans="2:10" x14ac:dyDescent="0.25">
      <c r="B203" t="s">
        <v>600</v>
      </c>
      <c r="C203">
        <v>0</v>
      </c>
      <c r="D203">
        <v>0</v>
      </c>
      <c r="E203" s="13">
        <v>1.6670000000000001E-13</v>
      </c>
      <c r="F203">
        <v>0</v>
      </c>
      <c r="G203">
        <v>0</v>
      </c>
      <c r="H203">
        <v>0</v>
      </c>
      <c r="I203">
        <v>40001</v>
      </c>
      <c r="J203">
        <v>120000</v>
      </c>
    </row>
    <row r="204" spans="2:10" x14ac:dyDescent="0.25">
      <c r="B204" t="s">
        <v>601</v>
      </c>
      <c r="C204" s="13">
        <v>8.3329999999999997E-6</v>
      </c>
      <c r="D204">
        <v>2.8869999999999998E-3</v>
      </c>
      <c r="E204" s="13">
        <v>8.3469999999999999E-6</v>
      </c>
      <c r="F204">
        <v>0</v>
      </c>
      <c r="G204">
        <v>0</v>
      </c>
      <c r="H204">
        <v>0</v>
      </c>
      <c r="I204">
        <v>40001</v>
      </c>
      <c r="J204">
        <v>120000</v>
      </c>
    </row>
    <row r="205" spans="2:10" x14ac:dyDescent="0.25">
      <c r="B205" t="s">
        <v>602</v>
      </c>
      <c r="C205" s="13">
        <v>1.6670000000000001E-5</v>
      </c>
      <c r="D205">
        <v>4.0819999999999997E-3</v>
      </c>
      <c r="E205" s="13">
        <v>1.1790000000000001E-5</v>
      </c>
      <c r="F205">
        <v>0</v>
      </c>
      <c r="G205">
        <v>0</v>
      </c>
      <c r="H205">
        <v>0</v>
      </c>
      <c r="I205">
        <v>40001</v>
      </c>
      <c r="J205">
        <v>120000</v>
      </c>
    </row>
    <row r="206" spans="2:10" x14ac:dyDescent="0.25">
      <c r="B206" t="s">
        <v>603</v>
      </c>
      <c r="C206" s="13">
        <v>2.3330000000000001E-4</v>
      </c>
      <c r="D206">
        <v>1.5270000000000001E-2</v>
      </c>
      <c r="E206" s="13">
        <v>4.4749999999999997E-5</v>
      </c>
      <c r="F206">
        <v>0</v>
      </c>
      <c r="G206">
        <v>0</v>
      </c>
      <c r="H206">
        <v>0</v>
      </c>
      <c r="I206">
        <v>40001</v>
      </c>
      <c r="J206">
        <v>120000</v>
      </c>
    </row>
    <row r="207" spans="2:10" x14ac:dyDescent="0.25">
      <c r="B207" t="s">
        <v>604</v>
      </c>
      <c r="C207">
        <v>2.333E-3</v>
      </c>
      <c r="D207">
        <v>4.8250000000000001E-2</v>
      </c>
      <c r="E207" s="13">
        <v>1.707E-4</v>
      </c>
      <c r="F207">
        <v>0</v>
      </c>
      <c r="G207">
        <v>0</v>
      </c>
      <c r="H207">
        <v>0</v>
      </c>
      <c r="I207">
        <v>40001</v>
      </c>
      <c r="J207">
        <v>120000</v>
      </c>
    </row>
    <row r="208" spans="2:10" x14ac:dyDescent="0.25">
      <c r="B208" t="s">
        <v>605</v>
      </c>
      <c r="C208">
        <v>2.852E-2</v>
      </c>
      <c r="D208">
        <v>0.16639999999999999</v>
      </c>
      <c r="E208" s="13">
        <v>6.9320000000000004E-4</v>
      </c>
      <c r="F208">
        <v>0</v>
      </c>
      <c r="G208">
        <v>0</v>
      </c>
      <c r="H208">
        <v>1</v>
      </c>
      <c r="I208">
        <v>40001</v>
      </c>
      <c r="J208">
        <v>120000</v>
      </c>
    </row>
    <row r="209" spans="2:10" x14ac:dyDescent="0.25">
      <c r="B209" t="s">
        <v>606</v>
      </c>
      <c r="C209">
        <v>0.26779999999999998</v>
      </c>
      <c r="D209">
        <v>0.44280000000000003</v>
      </c>
      <c r="E209">
        <v>3.3029999999999999E-3</v>
      </c>
      <c r="F209">
        <v>0</v>
      </c>
      <c r="G209">
        <v>0</v>
      </c>
      <c r="H209">
        <v>1</v>
      </c>
      <c r="I209">
        <v>40001</v>
      </c>
      <c r="J209">
        <v>120000</v>
      </c>
    </row>
    <row r="210" spans="2:10" x14ac:dyDescent="0.25">
      <c r="B210" t="s">
        <v>607</v>
      </c>
      <c r="C210">
        <v>0.53990000000000005</v>
      </c>
      <c r="D210">
        <v>0.49840000000000001</v>
      </c>
      <c r="E210">
        <v>2.996E-3</v>
      </c>
      <c r="F210">
        <v>0</v>
      </c>
      <c r="G210">
        <v>1</v>
      </c>
      <c r="H210">
        <v>1</v>
      </c>
      <c r="I210">
        <v>40001</v>
      </c>
      <c r="J210">
        <v>120000</v>
      </c>
    </row>
    <row r="211" spans="2:10" x14ac:dyDescent="0.25">
      <c r="B211" t="s">
        <v>608</v>
      </c>
      <c r="C211">
        <v>0.16120000000000001</v>
      </c>
      <c r="D211">
        <v>0.36770000000000003</v>
      </c>
      <c r="E211">
        <v>2.5469999999999998E-3</v>
      </c>
      <c r="F211">
        <v>0</v>
      </c>
      <c r="G211">
        <v>0</v>
      </c>
      <c r="H211">
        <v>1</v>
      </c>
      <c r="I211">
        <v>40001</v>
      </c>
      <c r="J211">
        <v>120000</v>
      </c>
    </row>
    <row r="212" spans="2:10" x14ac:dyDescent="0.25">
      <c r="B212" t="s">
        <v>609</v>
      </c>
      <c r="C212">
        <v>0</v>
      </c>
      <c r="D212">
        <v>0</v>
      </c>
      <c r="E212" s="13">
        <v>1.6670000000000001E-13</v>
      </c>
      <c r="F212">
        <v>0</v>
      </c>
      <c r="G212">
        <v>0</v>
      </c>
      <c r="H212">
        <v>0</v>
      </c>
      <c r="I212">
        <v>40001</v>
      </c>
      <c r="J212">
        <v>120000</v>
      </c>
    </row>
    <row r="213" spans="2:10" x14ac:dyDescent="0.25">
      <c r="B213" t="s">
        <v>610</v>
      </c>
      <c r="C213">
        <v>6.5079999999999999E-3</v>
      </c>
      <c r="D213">
        <v>8.0409999999999995E-2</v>
      </c>
      <c r="E213" s="13">
        <v>3.0150000000000001E-4</v>
      </c>
      <c r="F213">
        <v>0</v>
      </c>
      <c r="G213">
        <v>0</v>
      </c>
      <c r="H213">
        <v>0</v>
      </c>
      <c r="I213">
        <v>40001</v>
      </c>
      <c r="J213">
        <v>120000</v>
      </c>
    </row>
    <row r="214" spans="2:10" x14ac:dyDescent="0.25">
      <c r="B214" t="s">
        <v>611</v>
      </c>
      <c r="C214">
        <v>5.772E-2</v>
      </c>
      <c r="D214">
        <v>0.23319999999999999</v>
      </c>
      <c r="E214">
        <v>1.1100000000000001E-3</v>
      </c>
      <c r="F214">
        <v>0</v>
      </c>
      <c r="G214">
        <v>0</v>
      </c>
      <c r="H214">
        <v>1</v>
      </c>
      <c r="I214">
        <v>40001</v>
      </c>
      <c r="J214">
        <v>120000</v>
      </c>
    </row>
    <row r="215" spans="2:10" x14ac:dyDescent="0.25">
      <c r="B215" t="s">
        <v>612</v>
      </c>
      <c r="C215">
        <v>0.26340000000000002</v>
      </c>
      <c r="D215">
        <v>0.4405</v>
      </c>
      <c r="E215">
        <v>2.7130000000000001E-3</v>
      </c>
      <c r="F215">
        <v>0</v>
      </c>
      <c r="G215">
        <v>0</v>
      </c>
      <c r="H215">
        <v>1</v>
      </c>
      <c r="I215">
        <v>40001</v>
      </c>
      <c r="J215">
        <v>120000</v>
      </c>
    </row>
    <row r="216" spans="2:10" x14ac:dyDescent="0.25">
      <c r="B216" t="s">
        <v>613</v>
      </c>
      <c r="C216">
        <v>0.47589999999999999</v>
      </c>
      <c r="D216">
        <v>0.49940000000000001</v>
      </c>
      <c r="E216">
        <v>3.4020000000000001E-3</v>
      </c>
      <c r="F216">
        <v>0</v>
      </c>
      <c r="G216">
        <v>0</v>
      </c>
      <c r="H216">
        <v>1</v>
      </c>
      <c r="I216">
        <v>40001</v>
      </c>
      <c r="J216">
        <v>120000</v>
      </c>
    </row>
    <row r="217" spans="2:10" x14ac:dyDescent="0.25">
      <c r="B217" t="s">
        <v>614</v>
      </c>
      <c r="C217">
        <v>0.14729999999999999</v>
      </c>
      <c r="D217">
        <v>0.35439999999999999</v>
      </c>
      <c r="E217">
        <v>2.0100000000000001E-3</v>
      </c>
      <c r="F217">
        <v>0</v>
      </c>
      <c r="G217">
        <v>0</v>
      </c>
      <c r="H217">
        <v>1</v>
      </c>
      <c r="I217">
        <v>40001</v>
      </c>
      <c r="J217">
        <v>120000</v>
      </c>
    </row>
    <row r="218" spans="2:10" x14ac:dyDescent="0.25">
      <c r="B218" t="s">
        <v>615</v>
      </c>
      <c r="C218">
        <v>3.8600000000000002E-2</v>
      </c>
      <c r="D218">
        <v>0.19259999999999999</v>
      </c>
      <c r="E218">
        <v>1E-3</v>
      </c>
      <c r="F218">
        <v>0</v>
      </c>
      <c r="G218">
        <v>0</v>
      </c>
      <c r="H218">
        <v>1</v>
      </c>
      <c r="I218">
        <v>40001</v>
      </c>
      <c r="J218">
        <v>120000</v>
      </c>
    </row>
    <row r="219" spans="2:10" x14ac:dyDescent="0.25">
      <c r="B219" t="s">
        <v>616</v>
      </c>
      <c r="C219">
        <v>9.6749999999999996E-3</v>
      </c>
      <c r="D219">
        <v>9.7879999999999995E-2</v>
      </c>
      <c r="E219" s="13">
        <v>4.438E-4</v>
      </c>
      <c r="F219">
        <v>0</v>
      </c>
      <c r="G219">
        <v>0</v>
      </c>
      <c r="H219">
        <v>0</v>
      </c>
      <c r="I219">
        <v>40001</v>
      </c>
      <c r="J219">
        <v>120000</v>
      </c>
    </row>
    <row r="220" spans="2:10" x14ac:dyDescent="0.25">
      <c r="B220" t="s">
        <v>617</v>
      </c>
      <c r="C220" s="13">
        <v>8.6669999999999998E-4</v>
      </c>
      <c r="D220">
        <v>2.9430000000000001E-2</v>
      </c>
      <c r="E220" s="13">
        <v>9.6700000000000006E-5</v>
      </c>
      <c r="F220">
        <v>0</v>
      </c>
      <c r="G220">
        <v>0</v>
      </c>
      <c r="H220">
        <v>0</v>
      </c>
      <c r="I220">
        <v>40001</v>
      </c>
      <c r="J220">
        <v>120000</v>
      </c>
    </row>
    <row r="221" spans="2:10" x14ac:dyDescent="0.25">
      <c r="B221" t="s">
        <v>618</v>
      </c>
      <c r="C221" s="13">
        <v>4.1669999999999999E-5</v>
      </c>
      <c r="D221">
        <v>6.4549999999999998E-3</v>
      </c>
      <c r="E221" s="13">
        <v>1.8600000000000001E-5</v>
      </c>
      <c r="F221">
        <v>0</v>
      </c>
      <c r="G221">
        <v>0</v>
      </c>
      <c r="H221">
        <v>0</v>
      </c>
      <c r="I221">
        <v>40001</v>
      </c>
      <c r="J221">
        <v>120000</v>
      </c>
    </row>
    <row r="222" spans="2:10" x14ac:dyDescent="0.25">
      <c r="B222" t="s">
        <v>619</v>
      </c>
      <c r="C222">
        <v>0</v>
      </c>
      <c r="D222">
        <v>0</v>
      </c>
      <c r="E222" s="13">
        <v>1.6670000000000001E-13</v>
      </c>
      <c r="F222">
        <v>0</v>
      </c>
      <c r="G222">
        <v>0</v>
      </c>
      <c r="H222">
        <v>0</v>
      </c>
      <c r="I222">
        <v>40001</v>
      </c>
      <c r="J222">
        <v>120000</v>
      </c>
    </row>
    <row r="223" spans="2:10" x14ac:dyDescent="0.25">
      <c r="B223" t="s">
        <v>620</v>
      </c>
      <c r="C223">
        <v>0.1193</v>
      </c>
      <c r="D223">
        <v>0.3241</v>
      </c>
      <c r="E223">
        <v>1.952E-3</v>
      </c>
      <c r="F223">
        <v>0</v>
      </c>
      <c r="G223">
        <v>0</v>
      </c>
      <c r="H223">
        <v>1</v>
      </c>
      <c r="I223">
        <v>40001</v>
      </c>
      <c r="J223">
        <v>120000</v>
      </c>
    </row>
    <row r="224" spans="2:10" x14ac:dyDescent="0.25">
      <c r="B224" t="s">
        <v>621</v>
      </c>
      <c r="C224">
        <v>0.3538</v>
      </c>
      <c r="D224">
        <v>0.47820000000000001</v>
      </c>
      <c r="E224">
        <v>3.0609999999999999E-3</v>
      </c>
      <c r="F224">
        <v>0</v>
      </c>
      <c r="G224">
        <v>0</v>
      </c>
      <c r="H224">
        <v>1</v>
      </c>
      <c r="I224">
        <v>40001</v>
      </c>
      <c r="J224">
        <v>120000</v>
      </c>
    </row>
    <row r="225" spans="2:10" x14ac:dyDescent="0.25">
      <c r="B225" t="s">
        <v>622</v>
      </c>
      <c r="C225">
        <v>0.34689999999999999</v>
      </c>
      <c r="D225">
        <v>0.47599999999999998</v>
      </c>
      <c r="E225">
        <v>2.8349999999999998E-3</v>
      </c>
      <c r="F225">
        <v>0</v>
      </c>
      <c r="G225">
        <v>0</v>
      </c>
      <c r="H225">
        <v>1</v>
      </c>
      <c r="I225">
        <v>40001</v>
      </c>
      <c r="J225">
        <v>120000</v>
      </c>
    </row>
    <row r="226" spans="2:10" x14ac:dyDescent="0.25">
      <c r="B226" t="s">
        <v>623</v>
      </c>
      <c r="C226">
        <v>0.1047</v>
      </c>
      <c r="D226">
        <v>0.30620000000000003</v>
      </c>
      <c r="E226">
        <v>1.4779999999999999E-3</v>
      </c>
      <c r="F226">
        <v>0</v>
      </c>
      <c r="G226">
        <v>0</v>
      </c>
      <c r="H226">
        <v>1</v>
      </c>
      <c r="I226">
        <v>40001</v>
      </c>
      <c r="J226">
        <v>120000</v>
      </c>
    </row>
    <row r="227" spans="2:10" x14ac:dyDescent="0.25">
      <c r="B227" t="s">
        <v>624</v>
      </c>
      <c r="C227">
        <v>4.3360000000000003E-2</v>
      </c>
      <c r="D227">
        <v>0.20369999999999999</v>
      </c>
      <c r="E227" s="13">
        <v>8.4869999999999998E-4</v>
      </c>
      <c r="F227">
        <v>0</v>
      </c>
      <c r="G227">
        <v>0</v>
      </c>
      <c r="H227">
        <v>1</v>
      </c>
      <c r="I227">
        <v>40001</v>
      </c>
      <c r="J227">
        <v>120000</v>
      </c>
    </row>
    <row r="228" spans="2:10" x14ac:dyDescent="0.25">
      <c r="B228" t="s">
        <v>625</v>
      </c>
      <c r="C228">
        <v>2.053E-2</v>
      </c>
      <c r="D228">
        <v>0.14180000000000001</v>
      </c>
      <c r="E228" s="13">
        <v>5.5539999999999995E-4</v>
      </c>
      <c r="F228">
        <v>0</v>
      </c>
      <c r="G228">
        <v>0</v>
      </c>
      <c r="H228">
        <v>0</v>
      </c>
      <c r="I228">
        <v>40001</v>
      </c>
      <c r="J228">
        <v>120000</v>
      </c>
    </row>
    <row r="229" spans="2:10" x14ac:dyDescent="0.25">
      <c r="B229" t="s">
        <v>626</v>
      </c>
      <c r="C229">
        <v>8.6420000000000004E-3</v>
      </c>
      <c r="D229">
        <v>9.2560000000000003E-2</v>
      </c>
      <c r="E229" s="13">
        <v>3.4880000000000002E-4</v>
      </c>
      <c r="F229">
        <v>0</v>
      </c>
      <c r="G229">
        <v>0</v>
      </c>
      <c r="H229">
        <v>0</v>
      </c>
      <c r="I229">
        <v>40001</v>
      </c>
      <c r="J229">
        <v>120000</v>
      </c>
    </row>
    <row r="230" spans="2:10" x14ac:dyDescent="0.25">
      <c r="B230" t="s">
        <v>627</v>
      </c>
      <c r="C230">
        <v>2.2669999999999999E-3</v>
      </c>
      <c r="D230">
        <v>4.7559999999999998E-2</v>
      </c>
      <c r="E230" s="13">
        <v>1.6000000000000001E-4</v>
      </c>
      <c r="F230">
        <v>0</v>
      </c>
      <c r="G230">
        <v>0</v>
      </c>
      <c r="H230">
        <v>0</v>
      </c>
      <c r="I230">
        <v>40001</v>
      </c>
      <c r="J230">
        <v>120000</v>
      </c>
    </row>
    <row r="231" spans="2:10" x14ac:dyDescent="0.25">
      <c r="B231" t="s">
        <v>628</v>
      </c>
      <c r="C231" s="13">
        <v>5.2499999999999997E-4</v>
      </c>
      <c r="D231">
        <v>2.291E-2</v>
      </c>
      <c r="E231" s="13">
        <v>7.4900000000000005E-5</v>
      </c>
      <c r="F231">
        <v>0</v>
      </c>
      <c r="G231">
        <v>0</v>
      </c>
      <c r="H231">
        <v>0</v>
      </c>
      <c r="I231">
        <v>40001</v>
      </c>
      <c r="J231">
        <v>120000</v>
      </c>
    </row>
    <row r="232" spans="2:10" x14ac:dyDescent="0.25">
      <c r="B232" t="s">
        <v>629</v>
      </c>
      <c r="C232">
        <v>0</v>
      </c>
      <c r="D232">
        <v>0</v>
      </c>
      <c r="E232" s="13">
        <v>1.6670000000000001E-13</v>
      </c>
      <c r="F232">
        <v>0</v>
      </c>
      <c r="G232">
        <v>0</v>
      </c>
      <c r="H232">
        <v>0</v>
      </c>
      <c r="I232">
        <v>40001</v>
      </c>
      <c r="J232">
        <v>120000</v>
      </c>
    </row>
    <row r="233" spans="2:10" x14ac:dyDescent="0.25">
      <c r="B233" t="s">
        <v>630</v>
      </c>
      <c r="C233">
        <v>0.45279999999999998</v>
      </c>
      <c r="D233">
        <v>0.49780000000000002</v>
      </c>
      <c r="E233">
        <v>3.9589999999999998E-3</v>
      </c>
      <c r="F233">
        <v>0</v>
      </c>
      <c r="G233">
        <v>0</v>
      </c>
      <c r="H233">
        <v>1</v>
      </c>
      <c r="I233">
        <v>40001</v>
      </c>
      <c r="J233">
        <v>120000</v>
      </c>
    </row>
    <row r="234" spans="2:10" x14ac:dyDescent="0.25">
      <c r="B234" t="s">
        <v>631</v>
      </c>
      <c r="C234">
        <v>0.16309999999999999</v>
      </c>
      <c r="D234">
        <v>0.3695</v>
      </c>
      <c r="E234">
        <v>1.5590000000000001E-3</v>
      </c>
      <c r="F234">
        <v>0</v>
      </c>
      <c r="G234">
        <v>0</v>
      </c>
      <c r="H234">
        <v>1</v>
      </c>
      <c r="I234">
        <v>40001</v>
      </c>
      <c r="J234">
        <v>120000</v>
      </c>
    </row>
    <row r="235" spans="2:10" x14ac:dyDescent="0.25">
      <c r="B235" t="s">
        <v>632</v>
      </c>
      <c r="C235">
        <v>0.1258</v>
      </c>
      <c r="D235">
        <v>0.33160000000000001</v>
      </c>
      <c r="E235">
        <v>1.704E-3</v>
      </c>
      <c r="F235">
        <v>0</v>
      </c>
      <c r="G235">
        <v>0</v>
      </c>
      <c r="H235">
        <v>1</v>
      </c>
      <c r="I235">
        <v>40001</v>
      </c>
      <c r="J235">
        <v>120000</v>
      </c>
    </row>
    <row r="236" spans="2:10" x14ac:dyDescent="0.25">
      <c r="B236" t="s">
        <v>633</v>
      </c>
      <c r="C236">
        <v>9.1520000000000004E-2</v>
      </c>
      <c r="D236">
        <v>0.2883</v>
      </c>
      <c r="E236">
        <v>1.5299999999999999E-3</v>
      </c>
      <c r="F236">
        <v>0</v>
      </c>
      <c r="G236">
        <v>0</v>
      </c>
      <c r="H236">
        <v>1</v>
      </c>
      <c r="I236">
        <v>40001</v>
      </c>
      <c r="J236">
        <v>120000</v>
      </c>
    </row>
    <row r="237" spans="2:10" x14ac:dyDescent="0.25">
      <c r="B237" t="s">
        <v>634</v>
      </c>
      <c r="C237">
        <v>5.6160000000000002E-2</v>
      </c>
      <c r="D237">
        <v>0.23019999999999999</v>
      </c>
      <c r="E237">
        <v>2.4819999999999998E-3</v>
      </c>
      <c r="F237">
        <v>0</v>
      </c>
      <c r="G237">
        <v>0</v>
      </c>
      <c r="H237">
        <v>1</v>
      </c>
      <c r="I237">
        <v>40001</v>
      </c>
      <c r="J237">
        <v>120000</v>
      </c>
    </row>
    <row r="238" spans="2:10" x14ac:dyDescent="0.25">
      <c r="B238" t="s">
        <v>635</v>
      </c>
      <c r="C238">
        <v>4.5379999999999997E-2</v>
      </c>
      <c r="D238">
        <v>0.20810000000000001</v>
      </c>
      <c r="E238">
        <v>1.2849999999999999E-3</v>
      </c>
      <c r="F238">
        <v>0</v>
      </c>
      <c r="G238">
        <v>0</v>
      </c>
      <c r="H238">
        <v>1</v>
      </c>
      <c r="I238">
        <v>40001</v>
      </c>
      <c r="J238">
        <v>120000</v>
      </c>
    </row>
    <row r="239" spans="2:10" x14ac:dyDescent="0.25">
      <c r="B239" t="s">
        <v>636</v>
      </c>
      <c r="C239">
        <v>3.3919999999999999E-2</v>
      </c>
      <c r="D239">
        <v>0.18099999999999999</v>
      </c>
      <c r="E239" s="13">
        <v>7.9750000000000003E-4</v>
      </c>
      <c r="F239">
        <v>0</v>
      </c>
      <c r="G239">
        <v>0</v>
      </c>
      <c r="H239">
        <v>1</v>
      </c>
      <c r="I239">
        <v>40001</v>
      </c>
      <c r="J239">
        <v>120000</v>
      </c>
    </row>
    <row r="240" spans="2:10" x14ac:dyDescent="0.25">
      <c r="B240" t="s">
        <v>637</v>
      </c>
      <c r="C240">
        <v>1.9449999999999999E-2</v>
      </c>
      <c r="D240">
        <v>0.1381</v>
      </c>
      <c r="E240" s="13">
        <v>5.7899999999999998E-4</v>
      </c>
      <c r="F240">
        <v>0</v>
      </c>
      <c r="G240">
        <v>0</v>
      </c>
      <c r="H240">
        <v>0</v>
      </c>
      <c r="I240">
        <v>40001</v>
      </c>
      <c r="J240">
        <v>120000</v>
      </c>
    </row>
    <row r="241" spans="2:10" x14ac:dyDescent="0.25">
      <c r="B241" t="s">
        <v>638</v>
      </c>
      <c r="C241">
        <v>1.162E-2</v>
      </c>
      <c r="D241">
        <v>0.1072</v>
      </c>
      <c r="E241" s="13">
        <v>4.8000000000000001E-4</v>
      </c>
      <c r="F241">
        <v>0</v>
      </c>
      <c r="G241">
        <v>0</v>
      </c>
      <c r="H241">
        <v>0</v>
      </c>
      <c r="I241">
        <v>40001</v>
      </c>
      <c r="J241">
        <v>120000</v>
      </c>
    </row>
    <row r="242" spans="2:10" x14ac:dyDescent="0.25">
      <c r="B242" t="s">
        <v>639</v>
      </c>
      <c r="C242" s="13">
        <v>2.1670000000000001E-4</v>
      </c>
      <c r="D242">
        <v>1.472E-2</v>
      </c>
      <c r="E242" s="13">
        <v>4.6419999999999999E-5</v>
      </c>
      <c r="F242">
        <v>0</v>
      </c>
      <c r="G242">
        <v>0</v>
      </c>
      <c r="H242">
        <v>0</v>
      </c>
      <c r="I242">
        <v>40001</v>
      </c>
      <c r="J242">
        <v>120000</v>
      </c>
    </row>
    <row r="243" spans="2:10" x14ac:dyDescent="0.25">
      <c r="B243" t="s">
        <v>640</v>
      </c>
      <c r="C243">
        <v>0.3982</v>
      </c>
      <c r="D243">
        <v>0.48949999999999999</v>
      </c>
      <c r="E243">
        <v>3.5820000000000001E-3</v>
      </c>
      <c r="F243">
        <v>0</v>
      </c>
      <c r="G243">
        <v>0</v>
      </c>
      <c r="H243">
        <v>1</v>
      </c>
      <c r="I243">
        <v>40001</v>
      </c>
      <c r="J243">
        <v>120000</v>
      </c>
    </row>
    <row r="244" spans="2:10" x14ac:dyDescent="0.25">
      <c r="B244" t="s">
        <v>641</v>
      </c>
      <c r="C244">
        <v>0.36530000000000001</v>
      </c>
      <c r="D244">
        <v>0.48149999999999998</v>
      </c>
      <c r="E244">
        <v>2.7290000000000001E-3</v>
      </c>
      <c r="F244">
        <v>0</v>
      </c>
      <c r="G244">
        <v>0</v>
      </c>
      <c r="H244">
        <v>1</v>
      </c>
      <c r="I244">
        <v>40001</v>
      </c>
      <c r="J244">
        <v>120000</v>
      </c>
    </row>
    <row r="245" spans="2:10" x14ac:dyDescent="0.25">
      <c r="B245" t="s">
        <v>642</v>
      </c>
      <c r="C245">
        <v>0.14530000000000001</v>
      </c>
      <c r="D245">
        <v>0.35239999999999999</v>
      </c>
      <c r="E245">
        <v>2.699E-3</v>
      </c>
      <c r="F245">
        <v>0</v>
      </c>
      <c r="G245">
        <v>0</v>
      </c>
      <c r="H245">
        <v>1</v>
      </c>
      <c r="I245">
        <v>40001</v>
      </c>
      <c r="J245">
        <v>120000</v>
      </c>
    </row>
    <row r="246" spans="2:10" x14ac:dyDescent="0.25">
      <c r="B246" t="s">
        <v>643</v>
      </c>
      <c r="C246">
        <v>5.008E-2</v>
      </c>
      <c r="D246">
        <v>0.21809999999999999</v>
      </c>
      <c r="E246">
        <v>1.013E-3</v>
      </c>
      <c r="F246">
        <v>0</v>
      </c>
      <c r="G246">
        <v>0</v>
      </c>
      <c r="H246">
        <v>1</v>
      </c>
      <c r="I246">
        <v>40001</v>
      </c>
      <c r="J246">
        <v>120000</v>
      </c>
    </row>
    <row r="247" spans="2:10" x14ac:dyDescent="0.25">
      <c r="B247" t="s">
        <v>644</v>
      </c>
      <c r="C247">
        <v>2.1559999999999999E-2</v>
      </c>
      <c r="D247">
        <v>0.1452</v>
      </c>
      <c r="E247" s="13">
        <v>5.9880000000000003E-4</v>
      </c>
      <c r="F247">
        <v>0</v>
      </c>
      <c r="G247">
        <v>0</v>
      </c>
      <c r="H247">
        <v>0</v>
      </c>
      <c r="I247">
        <v>40001</v>
      </c>
      <c r="J247">
        <v>120000</v>
      </c>
    </row>
    <row r="248" spans="2:10" x14ac:dyDescent="0.25">
      <c r="B248" t="s">
        <v>645</v>
      </c>
      <c r="C248">
        <v>1.218E-2</v>
      </c>
      <c r="D248">
        <v>0.10970000000000001</v>
      </c>
      <c r="E248" s="13">
        <v>4.8129999999999999E-4</v>
      </c>
      <c r="F248">
        <v>0</v>
      </c>
      <c r="G248">
        <v>0</v>
      </c>
      <c r="H248">
        <v>0</v>
      </c>
      <c r="I248">
        <v>40001</v>
      </c>
      <c r="J248">
        <v>120000</v>
      </c>
    </row>
    <row r="249" spans="2:10" x14ac:dyDescent="0.25">
      <c r="B249" t="s">
        <v>646</v>
      </c>
      <c r="C249">
        <v>5.3420000000000004E-3</v>
      </c>
      <c r="D249">
        <v>7.2889999999999996E-2</v>
      </c>
      <c r="E249" s="13">
        <v>3.054E-4</v>
      </c>
      <c r="F249">
        <v>0</v>
      </c>
      <c r="G249">
        <v>0</v>
      </c>
      <c r="H249">
        <v>0</v>
      </c>
      <c r="I249">
        <v>40001</v>
      </c>
      <c r="J249">
        <v>120000</v>
      </c>
    </row>
    <row r="250" spans="2:10" x14ac:dyDescent="0.25">
      <c r="B250" t="s">
        <v>647</v>
      </c>
      <c r="C250">
        <v>1.508E-3</v>
      </c>
      <c r="D250">
        <v>3.8809999999999997E-2</v>
      </c>
      <c r="E250" s="13">
        <v>1.3009999999999999E-4</v>
      </c>
      <c r="F250">
        <v>0</v>
      </c>
      <c r="G250">
        <v>0</v>
      </c>
      <c r="H250">
        <v>0</v>
      </c>
      <c r="I250">
        <v>40001</v>
      </c>
      <c r="J250">
        <v>120000</v>
      </c>
    </row>
    <row r="251" spans="2:10" x14ac:dyDescent="0.25">
      <c r="B251" t="s">
        <v>648</v>
      </c>
      <c r="C251" s="13">
        <v>5.7499999999999999E-4</v>
      </c>
      <c r="D251">
        <v>2.3970000000000002E-2</v>
      </c>
      <c r="E251" s="13">
        <v>8.2310000000000003E-5</v>
      </c>
      <c r="F251">
        <v>0</v>
      </c>
      <c r="G251">
        <v>0</v>
      </c>
      <c r="H251">
        <v>0</v>
      </c>
      <c r="I251">
        <v>40001</v>
      </c>
      <c r="J251">
        <v>120000</v>
      </c>
    </row>
    <row r="252" spans="2:10" x14ac:dyDescent="0.25">
      <c r="B252" t="s">
        <v>649</v>
      </c>
      <c r="C252">
        <v>0</v>
      </c>
      <c r="D252">
        <v>0</v>
      </c>
      <c r="E252" s="13">
        <v>1.6670000000000001E-13</v>
      </c>
      <c r="F252">
        <v>0</v>
      </c>
      <c r="G252">
        <v>0</v>
      </c>
      <c r="H252">
        <v>0</v>
      </c>
      <c r="I252">
        <v>40001</v>
      </c>
      <c r="J252">
        <v>120000</v>
      </c>
    </row>
    <row r="253" spans="2:10" x14ac:dyDescent="0.25">
      <c r="B253" t="s">
        <v>650</v>
      </c>
      <c r="C253">
        <v>2.1329999999999999E-3</v>
      </c>
      <c r="D253">
        <v>4.614E-2</v>
      </c>
      <c r="E253" s="13">
        <v>1.4249999999999999E-4</v>
      </c>
      <c r="F253">
        <v>0</v>
      </c>
      <c r="G253">
        <v>0</v>
      </c>
      <c r="H253">
        <v>0</v>
      </c>
      <c r="I253">
        <v>40001</v>
      </c>
      <c r="J253">
        <v>120000</v>
      </c>
    </row>
    <row r="254" spans="2:10" x14ac:dyDescent="0.25">
      <c r="B254" t="s">
        <v>651</v>
      </c>
      <c r="C254">
        <v>6.0080000000000003E-3</v>
      </c>
      <c r="D254">
        <v>7.7280000000000001E-2</v>
      </c>
      <c r="E254" s="13">
        <v>2.5920000000000001E-4</v>
      </c>
      <c r="F254">
        <v>0</v>
      </c>
      <c r="G254">
        <v>0</v>
      </c>
      <c r="H254">
        <v>0</v>
      </c>
      <c r="I254">
        <v>40001</v>
      </c>
      <c r="J254">
        <v>120000</v>
      </c>
    </row>
    <row r="255" spans="2:10" x14ac:dyDescent="0.25">
      <c r="B255" t="s">
        <v>652</v>
      </c>
      <c r="C255">
        <v>9.6249999999999999E-3</v>
      </c>
      <c r="D255">
        <v>9.7629999999999995E-2</v>
      </c>
      <c r="E255" s="13">
        <v>3.4840000000000001E-4</v>
      </c>
      <c r="F255">
        <v>0</v>
      </c>
      <c r="G255">
        <v>0</v>
      </c>
      <c r="H255">
        <v>0</v>
      </c>
      <c r="I255">
        <v>40001</v>
      </c>
      <c r="J255">
        <v>120000</v>
      </c>
    </row>
    <row r="256" spans="2:10" x14ac:dyDescent="0.25">
      <c r="B256" t="s">
        <v>653</v>
      </c>
      <c r="C256">
        <v>1.559E-2</v>
      </c>
      <c r="D256">
        <v>0.1239</v>
      </c>
      <c r="E256" s="13">
        <v>4.9580000000000002E-4</v>
      </c>
      <c r="F256">
        <v>0</v>
      </c>
      <c r="G256">
        <v>0</v>
      </c>
      <c r="H256">
        <v>0</v>
      </c>
      <c r="I256">
        <v>40001</v>
      </c>
      <c r="J256">
        <v>120000</v>
      </c>
    </row>
    <row r="257" spans="2:10" x14ac:dyDescent="0.25">
      <c r="B257" t="s">
        <v>654</v>
      </c>
      <c r="C257">
        <v>3.0179999999999998E-2</v>
      </c>
      <c r="D257">
        <v>0.1711</v>
      </c>
      <c r="E257" s="13">
        <v>6.6859999999999999E-4</v>
      </c>
      <c r="F257">
        <v>0</v>
      </c>
      <c r="G257">
        <v>0</v>
      </c>
      <c r="H257">
        <v>1</v>
      </c>
      <c r="I257">
        <v>40001</v>
      </c>
      <c r="J257">
        <v>120000</v>
      </c>
    </row>
    <row r="258" spans="2:10" x14ac:dyDescent="0.25">
      <c r="B258" t="s">
        <v>655</v>
      </c>
      <c r="C258">
        <v>4.2529999999999998E-2</v>
      </c>
      <c r="D258">
        <v>0.20180000000000001</v>
      </c>
      <c r="E258" s="13">
        <v>8.2859999999999997E-4</v>
      </c>
      <c r="F258">
        <v>0</v>
      </c>
      <c r="G258">
        <v>0</v>
      </c>
      <c r="H258">
        <v>1</v>
      </c>
      <c r="I258">
        <v>40001</v>
      </c>
      <c r="J258">
        <v>120000</v>
      </c>
    </row>
    <row r="259" spans="2:10" x14ac:dyDescent="0.25">
      <c r="B259" t="s">
        <v>656</v>
      </c>
      <c r="C259">
        <v>8.7809999999999999E-2</v>
      </c>
      <c r="D259">
        <v>0.28299999999999997</v>
      </c>
      <c r="E259">
        <v>1.2080000000000001E-3</v>
      </c>
      <c r="F259">
        <v>0</v>
      </c>
      <c r="G259">
        <v>0</v>
      </c>
      <c r="H259">
        <v>1</v>
      </c>
      <c r="I259">
        <v>40001</v>
      </c>
      <c r="J259">
        <v>120000</v>
      </c>
    </row>
    <row r="260" spans="2:10" x14ac:dyDescent="0.25">
      <c r="B260" t="s">
        <v>657</v>
      </c>
      <c r="C260">
        <v>0.15870000000000001</v>
      </c>
      <c r="D260">
        <v>0.3654</v>
      </c>
      <c r="E260">
        <v>2.1540000000000001E-3</v>
      </c>
      <c r="F260">
        <v>0</v>
      </c>
      <c r="G260">
        <v>0</v>
      </c>
      <c r="H260">
        <v>1</v>
      </c>
      <c r="I260">
        <v>40001</v>
      </c>
      <c r="J260">
        <v>120000</v>
      </c>
    </row>
    <row r="261" spans="2:10" x14ac:dyDescent="0.25">
      <c r="B261" t="s">
        <v>658</v>
      </c>
      <c r="C261">
        <v>0.61680000000000001</v>
      </c>
      <c r="D261">
        <v>0.48620000000000002</v>
      </c>
      <c r="E261">
        <v>3.1319999999999998E-3</v>
      </c>
      <c r="F261">
        <v>0</v>
      </c>
      <c r="G261">
        <v>1</v>
      </c>
      <c r="H261">
        <v>1</v>
      </c>
      <c r="I261">
        <v>40001</v>
      </c>
      <c r="J261">
        <v>120000</v>
      </c>
    </row>
    <row r="262" spans="2:10" x14ac:dyDescent="0.25">
      <c r="B262" t="s">
        <v>659</v>
      </c>
      <c r="C262">
        <v>3.0669999999999999E-2</v>
      </c>
      <c r="D262">
        <v>0.1724</v>
      </c>
      <c r="E262" s="13">
        <v>7.9120000000000004E-4</v>
      </c>
      <c r="F262">
        <v>0</v>
      </c>
      <c r="G262">
        <v>0</v>
      </c>
      <c r="H262">
        <v>1</v>
      </c>
      <c r="I262">
        <v>40001</v>
      </c>
      <c r="J262">
        <v>120000</v>
      </c>
    </row>
    <row r="263" spans="2:10" x14ac:dyDescent="0.25">
      <c r="B263" t="s">
        <v>660</v>
      </c>
      <c r="C263">
        <v>1.6490000000000001E-2</v>
      </c>
      <c r="D263">
        <v>0.12740000000000001</v>
      </c>
      <c r="E263">
        <v>2.5439999999999998E-3</v>
      </c>
      <c r="F263">
        <v>0</v>
      </c>
      <c r="G263">
        <v>0</v>
      </c>
      <c r="H263">
        <v>0</v>
      </c>
      <c r="I263">
        <v>40001</v>
      </c>
      <c r="J263">
        <v>120000</v>
      </c>
    </row>
    <row r="264" spans="2:10" x14ac:dyDescent="0.25">
      <c r="B264" t="s">
        <v>661</v>
      </c>
      <c r="C264">
        <v>3.116E-2</v>
      </c>
      <c r="D264">
        <v>0.17369999999999999</v>
      </c>
      <c r="E264" s="13">
        <v>9.7919999999999995E-4</v>
      </c>
      <c r="F264">
        <v>0</v>
      </c>
      <c r="G264">
        <v>0</v>
      </c>
      <c r="H264">
        <v>1</v>
      </c>
      <c r="I264">
        <v>40001</v>
      </c>
      <c r="J264">
        <v>120000</v>
      </c>
    </row>
    <row r="265" spans="2:10" x14ac:dyDescent="0.25">
      <c r="B265" t="s">
        <v>662</v>
      </c>
      <c r="C265">
        <v>4.6089999999999999E-2</v>
      </c>
      <c r="D265">
        <v>0.2097</v>
      </c>
      <c r="E265">
        <v>1.039E-3</v>
      </c>
      <c r="F265">
        <v>0</v>
      </c>
      <c r="G265">
        <v>0</v>
      </c>
      <c r="H265">
        <v>1</v>
      </c>
      <c r="I265">
        <v>40001</v>
      </c>
      <c r="J265">
        <v>120000</v>
      </c>
    </row>
    <row r="266" spans="2:10" x14ac:dyDescent="0.25">
      <c r="B266" t="s">
        <v>663</v>
      </c>
      <c r="C266">
        <v>7.1179999999999993E-2</v>
      </c>
      <c r="D266">
        <v>0.2571</v>
      </c>
      <c r="E266">
        <v>1.382E-3</v>
      </c>
      <c r="F266">
        <v>0</v>
      </c>
      <c r="G266">
        <v>0</v>
      </c>
      <c r="H266">
        <v>1</v>
      </c>
      <c r="I266">
        <v>40001</v>
      </c>
      <c r="J266">
        <v>120000</v>
      </c>
    </row>
    <row r="267" spans="2:10" x14ac:dyDescent="0.25">
      <c r="B267" t="s">
        <v>664</v>
      </c>
      <c r="C267">
        <v>0.1201</v>
      </c>
      <c r="D267">
        <v>0.3251</v>
      </c>
      <c r="E267">
        <v>1.9550000000000001E-3</v>
      </c>
      <c r="F267">
        <v>0</v>
      </c>
      <c r="G267">
        <v>0</v>
      </c>
      <c r="H267">
        <v>1</v>
      </c>
      <c r="I267">
        <v>40001</v>
      </c>
      <c r="J267">
        <v>120000</v>
      </c>
    </row>
    <row r="268" spans="2:10" x14ac:dyDescent="0.25">
      <c r="B268" t="s">
        <v>665</v>
      </c>
      <c r="C268">
        <v>0.126</v>
      </c>
      <c r="D268">
        <v>0.33189999999999997</v>
      </c>
      <c r="E268">
        <v>1.4270000000000001E-3</v>
      </c>
      <c r="F268">
        <v>0</v>
      </c>
      <c r="G268">
        <v>0</v>
      </c>
      <c r="H268">
        <v>1</v>
      </c>
      <c r="I268">
        <v>40001</v>
      </c>
      <c r="J268">
        <v>120000</v>
      </c>
    </row>
    <row r="269" spans="2:10" x14ac:dyDescent="0.25">
      <c r="B269" t="s">
        <v>666</v>
      </c>
      <c r="C269">
        <v>0.22869999999999999</v>
      </c>
      <c r="D269">
        <v>0.42</v>
      </c>
      <c r="E269">
        <v>2.2989999999999998E-3</v>
      </c>
      <c r="F269">
        <v>0</v>
      </c>
      <c r="G269">
        <v>0</v>
      </c>
      <c r="H269">
        <v>1</v>
      </c>
      <c r="I269">
        <v>40001</v>
      </c>
      <c r="J269">
        <v>120000</v>
      </c>
    </row>
    <row r="270" spans="2:10" x14ac:dyDescent="0.25">
      <c r="B270" t="s">
        <v>667</v>
      </c>
      <c r="C270">
        <v>0.2</v>
      </c>
      <c r="D270">
        <v>0.4</v>
      </c>
      <c r="E270">
        <v>2.4599999999999999E-3</v>
      </c>
      <c r="F270">
        <v>0</v>
      </c>
      <c r="G270">
        <v>0</v>
      </c>
      <c r="H270">
        <v>1</v>
      </c>
      <c r="I270">
        <v>40001</v>
      </c>
      <c r="J270">
        <v>120000</v>
      </c>
    </row>
    <row r="271" spans="2:10" x14ac:dyDescent="0.25">
      <c r="B271" t="s">
        <v>668</v>
      </c>
      <c r="C271">
        <v>0.15840000000000001</v>
      </c>
      <c r="D271">
        <v>0.36509999999999998</v>
      </c>
      <c r="E271">
        <v>2.686E-3</v>
      </c>
      <c r="F271">
        <v>0</v>
      </c>
      <c r="G271">
        <v>0</v>
      </c>
      <c r="H271">
        <v>1</v>
      </c>
      <c r="I271">
        <v>40001</v>
      </c>
      <c r="J271">
        <v>120000</v>
      </c>
    </row>
    <row r="272" spans="2:10" x14ac:dyDescent="0.25">
      <c r="B272" t="s">
        <v>669</v>
      </c>
      <c r="C272">
        <v>1.7669999999999999E-3</v>
      </c>
      <c r="D272">
        <v>4.199E-2</v>
      </c>
      <c r="E272" s="13">
        <v>1.6479999999999999E-4</v>
      </c>
      <c r="F272">
        <v>0</v>
      </c>
      <c r="G272">
        <v>0</v>
      </c>
      <c r="H272">
        <v>0</v>
      </c>
      <c r="I272">
        <v>40001</v>
      </c>
      <c r="J272">
        <v>120000</v>
      </c>
    </row>
    <row r="273" spans="2:10" x14ac:dyDescent="0.25">
      <c r="B273" t="s">
        <v>670</v>
      </c>
      <c r="C273">
        <v>4.1000000000000003E-3</v>
      </c>
      <c r="D273">
        <v>6.3899999999999998E-2</v>
      </c>
      <c r="E273" s="13">
        <v>2.3609999999999999E-4</v>
      </c>
      <c r="F273">
        <v>0</v>
      </c>
      <c r="G273">
        <v>0</v>
      </c>
      <c r="H273">
        <v>0</v>
      </c>
      <c r="I273">
        <v>40001</v>
      </c>
      <c r="J273">
        <v>120000</v>
      </c>
    </row>
    <row r="274" spans="2:10" x14ac:dyDescent="0.25">
      <c r="B274" t="s">
        <v>671</v>
      </c>
      <c r="C274">
        <v>1.8249999999999999E-2</v>
      </c>
      <c r="D274">
        <v>0.13389999999999999</v>
      </c>
      <c r="E274" s="13">
        <v>5.687E-4</v>
      </c>
      <c r="F274">
        <v>0</v>
      </c>
      <c r="G274">
        <v>0</v>
      </c>
      <c r="H274">
        <v>0</v>
      </c>
      <c r="I274">
        <v>40001</v>
      </c>
      <c r="J274">
        <v>120000</v>
      </c>
    </row>
    <row r="275" spans="2:10" x14ac:dyDescent="0.25">
      <c r="B275" t="s">
        <v>672</v>
      </c>
      <c r="C275">
        <v>4.5170000000000002E-2</v>
      </c>
      <c r="D275">
        <v>0.2077</v>
      </c>
      <c r="E275" s="13">
        <v>9.2100000000000005E-4</v>
      </c>
      <c r="F275">
        <v>0</v>
      </c>
      <c r="G275">
        <v>0</v>
      </c>
      <c r="H275">
        <v>1</v>
      </c>
      <c r="I275">
        <v>40001</v>
      </c>
      <c r="J275">
        <v>120000</v>
      </c>
    </row>
    <row r="276" spans="2:10" x14ac:dyDescent="0.25">
      <c r="B276" t="s">
        <v>673</v>
      </c>
      <c r="C276">
        <v>0.1169</v>
      </c>
      <c r="D276">
        <v>0.32129999999999997</v>
      </c>
      <c r="E276">
        <v>1.5770000000000001E-3</v>
      </c>
      <c r="F276">
        <v>0</v>
      </c>
      <c r="G276">
        <v>0</v>
      </c>
      <c r="H276">
        <v>1</v>
      </c>
      <c r="I276">
        <v>40001</v>
      </c>
      <c r="J276">
        <v>120000</v>
      </c>
    </row>
    <row r="277" spans="2:10" x14ac:dyDescent="0.25">
      <c r="B277" t="s">
        <v>674</v>
      </c>
      <c r="C277">
        <v>0.2888</v>
      </c>
      <c r="D277">
        <v>0.45319999999999999</v>
      </c>
      <c r="E277">
        <v>2.6540000000000001E-3</v>
      </c>
      <c r="F277">
        <v>0</v>
      </c>
      <c r="G277">
        <v>0</v>
      </c>
      <c r="H277">
        <v>1</v>
      </c>
      <c r="I277">
        <v>40001</v>
      </c>
      <c r="J277">
        <v>120000</v>
      </c>
    </row>
    <row r="278" spans="2:10" x14ac:dyDescent="0.25">
      <c r="B278" t="s">
        <v>675</v>
      </c>
      <c r="C278">
        <v>0.27079999999999999</v>
      </c>
      <c r="D278">
        <v>0.44440000000000002</v>
      </c>
      <c r="E278">
        <v>2.3770000000000002E-3</v>
      </c>
      <c r="F278">
        <v>0</v>
      </c>
      <c r="G278">
        <v>0</v>
      </c>
      <c r="H278">
        <v>1</v>
      </c>
      <c r="I278">
        <v>40001</v>
      </c>
      <c r="J278">
        <v>120000</v>
      </c>
    </row>
    <row r="279" spans="2:10" x14ac:dyDescent="0.25">
      <c r="B279" t="s">
        <v>676</v>
      </c>
      <c r="C279">
        <v>0.1802</v>
      </c>
      <c r="D279">
        <v>0.38429999999999997</v>
      </c>
      <c r="E279">
        <v>2.9849999999999998E-3</v>
      </c>
      <c r="F279">
        <v>0</v>
      </c>
      <c r="G279">
        <v>0</v>
      </c>
      <c r="H279">
        <v>1</v>
      </c>
      <c r="I279">
        <v>40001</v>
      </c>
      <c r="J279">
        <v>120000</v>
      </c>
    </row>
    <row r="280" spans="2:10" x14ac:dyDescent="0.25">
      <c r="B280" t="s">
        <v>677</v>
      </c>
      <c r="C280">
        <v>5.8259999999999999E-2</v>
      </c>
      <c r="D280">
        <v>0.23419999999999999</v>
      </c>
      <c r="E280">
        <v>1.1689999999999999E-3</v>
      </c>
      <c r="F280">
        <v>0</v>
      </c>
      <c r="G280">
        <v>0</v>
      </c>
      <c r="H280">
        <v>1</v>
      </c>
      <c r="I280">
        <v>40001</v>
      </c>
      <c r="J280">
        <v>120000</v>
      </c>
    </row>
    <row r="281" spans="2:10" x14ac:dyDescent="0.25">
      <c r="B281" t="s">
        <v>678</v>
      </c>
      <c r="C281">
        <v>1.754E-2</v>
      </c>
      <c r="D281">
        <v>0.1313</v>
      </c>
      <c r="E281" s="13">
        <v>5.2930000000000002E-4</v>
      </c>
      <c r="F281">
        <v>0</v>
      </c>
      <c r="G281">
        <v>0</v>
      </c>
      <c r="H281">
        <v>0</v>
      </c>
      <c r="I281">
        <v>40001</v>
      </c>
      <c r="J281">
        <v>120000</v>
      </c>
    </row>
    <row r="282" spans="2:10" x14ac:dyDescent="0.25">
      <c r="B282" t="s">
        <v>679</v>
      </c>
      <c r="C282">
        <v>0</v>
      </c>
      <c r="D282">
        <v>0</v>
      </c>
      <c r="E282" s="13">
        <v>1.6670000000000001E-13</v>
      </c>
      <c r="F282">
        <v>0</v>
      </c>
      <c r="G282">
        <v>0</v>
      </c>
      <c r="H282">
        <v>0</v>
      </c>
      <c r="I282">
        <v>40001</v>
      </c>
      <c r="J282">
        <v>120000</v>
      </c>
    </row>
    <row r="283" spans="2:10" x14ac:dyDescent="0.25">
      <c r="B283" t="s">
        <v>680</v>
      </c>
      <c r="C283">
        <v>0</v>
      </c>
      <c r="D283">
        <v>0</v>
      </c>
      <c r="E283" s="13">
        <v>1.6670000000000001E-13</v>
      </c>
      <c r="F283">
        <v>0</v>
      </c>
      <c r="G283">
        <v>0</v>
      </c>
      <c r="H283">
        <v>0</v>
      </c>
      <c r="I283">
        <v>40001</v>
      </c>
      <c r="J283">
        <v>120000</v>
      </c>
    </row>
    <row r="284" spans="2:10" x14ac:dyDescent="0.25">
      <c r="B284" t="s">
        <v>681</v>
      </c>
      <c r="C284">
        <v>0</v>
      </c>
      <c r="D284">
        <v>0</v>
      </c>
      <c r="E284" s="13">
        <v>1.6670000000000001E-13</v>
      </c>
      <c r="F284">
        <v>0</v>
      </c>
      <c r="G284">
        <v>0</v>
      </c>
      <c r="H284">
        <v>0</v>
      </c>
      <c r="I284">
        <v>40001</v>
      </c>
      <c r="J284">
        <v>120000</v>
      </c>
    </row>
    <row r="285" spans="2:10" x14ac:dyDescent="0.25">
      <c r="B285" t="s">
        <v>682</v>
      </c>
      <c r="C285">
        <v>0</v>
      </c>
      <c r="D285">
        <v>0</v>
      </c>
      <c r="E285" s="13">
        <v>1.6670000000000001E-13</v>
      </c>
      <c r="F285">
        <v>0</v>
      </c>
      <c r="G285">
        <v>0</v>
      </c>
      <c r="H285">
        <v>0</v>
      </c>
      <c r="I285">
        <v>40001</v>
      </c>
      <c r="J285">
        <v>120000</v>
      </c>
    </row>
    <row r="286" spans="2:10" x14ac:dyDescent="0.25">
      <c r="B286" t="s">
        <v>683</v>
      </c>
      <c r="C286">
        <v>0</v>
      </c>
      <c r="D286">
        <v>0</v>
      </c>
      <c r="E286" s="13">
        <v>1.6670000000000001E-13</v>
      </c>
      <c r="F286">
        <v>0</v>
      </c>
      <c r="G286">
        <v>0</v>
      </c>
      <c r="H286">
        <v>0</v>
      </c>
      <c r="I286">
        <v>40001</v>
      </c>
      <c r="J286">
        <v>120000</v>
      </c>
    </row>
    <row r="287" spans="2:10" x14ac:dyDescent="0.25">
      <c r="B287" t="s">
        <v>684</v>
      </c>
      <c r="C287">
        <v>0</v>
      </c>
      <c r="D287">
        <v>0</v>
      </c>
      <c r="E287" s="13">
        <v>1.6670000000000001E-13</v>
      </c>
      <c r="F287">
        <v>0</v>
      </c>
      <c r="G287">
        <v>0</v>
      </c>
      <c r="H287">
        <v>0</v>
      </c>
      <c r="I287">
        <v>40001</v>
      </c>
      <c r="J287">
        <v>120000</v>
      </c>
    </row>
    <row r="288" spans="2:10" x14ac:dyDescent="0.25">
      <c r="B288" t="s">
        <v>685</v>
      </c>
      <c r="C288">
        <v>0</v>
      </c>
      <c r="D288">
        <v>0</v>
      </c>
      <c r="E288" s="13">
        <v>1.6670000000000001E-13</v>
      </c>
      <c r="F288">
        <v>0</v>
      </c>
      <c r="G288">
        <v>0</v>
      </c>
      <c r="H288">
        <v>0</v>
      </c>
      <c r="I288">
        <v>40001</v>
      </c>
      <c r="J288">
        <v>120000</v>
      </c>
    </row>
    <row r="289" spans="2:10" x14ac:dyDescent="0.25">
      <c r="B289" t="s">
        <v>686</v>
      </c>
      <c r="C289">
        <v>0</v>
      </c>
      <c r="D289">
        <v>0</v>
      </c>
      <c r="E289" s="13">
        <v>1.6670000000000001E-13</v>
      </c>
      <c r="F289">
        <v>0</v>
      </c>
      <c r="G289">
        <v>0</v>
      </c>
      <c r="H289">
        <v>0</v>
      </c>
      <c r="I289">
        <v>40001</v>
      </c>
      <c r="J289">
        <v>120000</v>
      </c>
    </row>
    <row r="290" spans="2:10" x14ac:dyDescent="0.25">
      <c r="B290" t="s">
        <v>687</v>
      </c>
      <c r="C290" s="13">
        <v>2.6669999999999998E-4</v>
      </c>
      <c r="D290">
        <v>1.6330000000000001E-2</v>
      </c>
      <c r="E290" s="13">
        <v>5.3029999999999999E-5</v>
      </c>
      <c r="F290">
        <v>0</v>
      </c>
      <c r="G290">
        <v>0</v>
      </c>
      <c r="H290">
        <v>0</v>
      </c>
      <c r="I290">
        <v>40001</v>
      </c>
      <c r="J290">
        <v>120000</v>
      </c>
    </row>
    <row r="291" spans="2:10" x14ac:dyDescent="0.25">
      <c r="B291" t="s">
        <v>688</v>
      </c>
      <c r="C291">
        <v>3.2379999999999999E-2</v>
      </c>
      <c r="D291">
        <v>0.17699999999999999</v>
      </c>
      <c r="E291" s="13">
        <v>8.2799999999999996E-4</v>
      </c>
      <c r="F291">
        <v>0</v>
      </c>
      <c r="G291">
        <v>0</v>
      </c>
      <c r="H291">
        <v>1</v>
      </c>
      <c r="I291">
        <v>40001</v>
      </c>
      <c r="J291">
        <v>120000</v>
      </c>
    </row>
    <row r="292" spans="2:10" x14ac:dyDescent="0.25">
      <c r="B292" t="s">
        <v>689</v>
      </c>
      <c r="C292">
        <v>0.96740000000000004</v>
      </c>
      <c r="D292">
        <v>0.1777</v>
      </c>
      <c r="E292" s="13">
        <v>8.3869999999999995E-4</v>
      </c>
      <c r="F292">
        <v>0</v>
      </c>
      <c r="G292">
        <v>1</v>
      </c>
      <c r="H292">
        <v>1</v>
      </c>
      <c r="I292">
        <v>40001</v>
      </c>
      <c r="J292">
        <v>120000</v>
      </c>
    </row>
    <row r="293" spans="2:10" x14ac:dyDescent="0.25">
      <c r="B293" t="s">
        <v>690</v>
      </c>
      <c r="C293">
        <v>1.1919999999999999</v>
      </c>
      <c r="D293">
        <v>1.4990000000000001</v>
      </c>
      <c r="E293">
        <v>4.5750000000000001E-3</v>
      </c>
      <c r="F293">
        <v>1.7979999999999999E-2</v>
      </c>
      <c r="G293">
        <v>0.65329999999999999</v>
      </c>
      <c r="H293">
        <v>5.4130000000000003</v>
      </c>
      <c r="I293">
        <v>40001</v>
      </c>
      <c r="J293">
        <v>120000</v>
      </c>
    </row>
    <row r="294" spans="2:10" x14ac:dyDescent="0.25">
      <c r="B294" t="s">
        <v>691</v>
      </c>
      <c r="C294">
        <v>2.411</v>
      </c>
      <c r="D294">
        <v>2.161</v>
      </c>
      <c r="E294">
        <v>1.7139999999999999E-2</v>
      </c>
      <c r="F294">
        <v>7.1540000000000006E-2</v>
      </c>
      <c r="G294">
        <v>1.8160000000000001</v>
      </c>
      <c r="H294">
        <v>7.9359999999999999</v>
      </c>
      <c r="I294">
        <v>40001</v>
      </c>
      <c r="J294">
        <v>120000</v>
      </c>
    </row>
    <row r="295" spans="2:10" x14ac:dyDescent="0.25">
      <c r="B295" t="s">
        <v>692</v>
      </c>
      <c r="C295">
        <v>2.048</v>
      </c>
      <c r="D295">
        <v>2.0459999999999998</v>
      </c>
      <c r="E295">
        <v>9.7230000000000007E-3</v>
      </c>
      <c r="F295">
        <v>5.339E-2</v>
      </c>
      <c r="G295">
        <v>1.423</v>
      </c>
      <c r="H295">
        <v>7.58</v>
      </c>
      <c r="I295">
        <v>40001</v>
      </c>
      <c r="J295">
        <v>120000</v>
      </c>
    </row>
    <row r="296" spans="2:10" x14ac:dyDescent="0.25">
      <c r="B296" t="s">
        <v>693</v>
      </c>
      <c r="C296">
        <v>1.22</v>
      </c>
      <c r="D296">
        <v>1.5129999999999999</v>
      </c>
      <c r="E296">
        <v>4.5370000000000002E-3</v>
      </c>
      <c r="F296">
        <v>1.9400000000000001E-2</v>
      </c>
      <c r="G296">
        <v>0.68320000000000003</v>
      </c>
      <c r="H296">
        <v>5.5</v>
      </c>
      <c r="I296">
        <v>40001</v>
      </c>
      <c r="J296">
        <v>120000</v>
      </c>
    </row>
    <row r="297" spans="2:10" x14ac:dyDescent="0.25">
      <c r="B297" t="s">
        <v>694</v>
      </c>
      <c r="C297">
        <v>1.1830000000000001</v>
      </c>
      <c r="D297">
        <v>1.476</v>
      </c>
      <c r="E297">
        <v>4.6600000000000001E-3</v>
      </c>
      <c r="F297">
        <v>2.017E-2</v>
      </c>
      <c r="G297">
        <v>0.65839999999999999</v>
      </c>
      <c r="H297">
        <v>5.3650000000000002</v>
      </c>
      <c r="I297">
        <v>40001</v>
      </c>
      <c r="J297">
        <v>120000</v>
      </c>
    </row>
    <row r="298" spans="2:10" x14ac:dyDescent="0.25">
      <c r="B298" t="s">
        <v>695</v>
      </c>
      <c r="C298">
        <v>1.7250000000000001</v>
      </c>
      <c r="D298">
        <v>1.76</v>
      </c>
      <c r="E298">
        <v>6.7510000000000001E-3</v>
      </c>
      <c r="F298">
        <v>4.2169999999999999E-2</v>
      </c>
      <c r="G298">
        <v>1.1759999999999999</v>
      </c>
      <c r="H298">
        <v>6.5279999999999996</v>
      </c>
      <c r="I298">
        <v>40001</v>
      </c>
      <c r="J298">
        <v>120000</v>
      </c>
    </row>
    <row r="299" spans="2:10" x14ac:dyDescent="0.25">
      <c r="B299" t="s">
        <v>696</v>
      </c>
      <c r="C299">
        <v>1.5660000000000001</v>
      </c>
      <c r="D299">
        <v>1.621</v>
      </c>
      <c r="E299">
        <v>6.1520000000000004E-3</v>
      </c>
      <c r="F299">
        <v>3.9359999999999999E-2</v>
      </c>
      <c r="G299">
        <v>1.0629999999999999</v>
      </c>
      <c r="H299">
        <v>5.98</v>
      </c>
      <c r="I299">
        <v>40001</v>
      </c>
      <c r="J299">
        <v>120000</v>
      </c>
    </row>
    <row r="300" spans="2:10" x14ac:dyDescent="0.25">
      <c r="B300" t="s">
        <v>697</v>
      </c>
      <c r="C300">
        <v>2.3889999999999998</v>
      </c>
      <c r="D300">
        <v>2.02</v>
      </c>
      <c r="E300">
        <v>1.286E-2</v>
      </c>
      <c r="F300">
        <v>8.9020000000000002E-2</v>
      </c>
      <c r="G300">
        <v>1.8939999999999999</v>
      </c>
      <c r="H300">
        <v>7.5759999999999996</v>
      </c>
      <c r="I300">
        <v>40001</v>
      </c>
      <c r="J300">
        <v>120000</v>
      </c>
    </row>
    <row r="301" spans="2:10" x14ac:dyDescent="0.25">
      <c r="B301" t="s">
        <v>698</v>
      </c>
      <c r="C301">
        <v>3.0659999999999998</v>
      </c>
      <c r="D301">
        <v>2.1019999999999999</v>
      </c>
      <c r="E301">
        <v>1.533E-2</v>
      </c>
      <c r="F301">
        <v>0.24329999999999999</v>
      </c>
      <c r="G301">
        <v>2.673</v>
      </c>
      <c r="H301">
        <v>8.2420000000000009</v>
      </c>
      <c r="I301">
        <v>40001</v>
      </c>
      <c r="J301">
        <v>120000</v>
      </c>
    </row>
    <row r="302" spans="2:10" x14ac:dyDescent="0.25">
      <c r="B302" t="s">
        <v>699</v>
      </c>
      <c r="C302">
        <v>1.5660000000000001</v>
      </c>
      <c r="D302">
        <v>1.61</v>
      </c>
      <c r="E302">
        <v>5.9119999999999997E-3</v>
      </c>
      <c r="F302">
        <v>4.1980000000000003E-2</v>
      </c>
      <c r="G302">
        <v>1.0660000000000001</v>
      </c>
      <c r="H302">
        <v>5.899</v>
      </c>
      <c r="I302">
        <v>40001</v>
      </c>
      <c r="J302">
        <v>120000</v>
      </c>
    </row>
    <row r="303" spans="2:10" x14ac:dyDescent="0.25">
      <c r="B303" t="s">
        <v>700</v>
      </c>
      <c r="C303">
        <v>2.9609999999999999</v>
      </c>
      <c r="D303">
        <v>2.0030000000000001</v>
      </c>
      <c r="E303">
        <v>1.2540000000000001E-2</v>
      </c>
      <c r="F303">
        <v>0.25090000000000001</v>
      </c>
      <c r="G303">
        <v>2.6030000000000002</v>
      </c>
      <c r="H303">
        <v>7.9020000000000001</v>
      </c>
      <c r="I303">
        <v>40001</v>
      </c>
      <c r="J303">
        <v>120000</v>
      </c>
    </row>
    <row r="304" spans="2:10" x14ac:dyDescent="0.25">
      <c r="B304" t="s">
        <v>701</v>
      </c>
      <c r="C304">
        <v>2.3069999999999999</v>
      </c>
      <c r="D304">
        <v>2.0379999999999998</v>
      </c>
      <c r="E304">
        <v>1.8339999999999999E-2</v>
      </c>
      <c r="F304">
        <v>7.8520000000000006E-2</v>
      </c>
      <c r="G304">
        <v>1.7549999999999999</v>
      </c>
      <c r="H304">
        <v>7.577</v>
      </c>
      <c r="I304">
        <v>40001</v>
      </c>
      <c r="J304">
        <v>120000</v>
      </c>
    </row>
    <row r="305" spans="2:10" x14ac:dyDescent="0.25">
      <c r="B305" t="s">
        <v>702</v>
      </c>
      <c r="C305">
        <v>1.706</v>
      </c>
      <c r="D305">
        <v>1.5780000000000001</v>
      </c>
      <c r="E305">
        <v>6.0850000000000001E-3</v>
      </c>
      <c r="F305">
        <v>8.8440000000000005E-2</v>
      </c>
      <c r="G305">
        <v>1.2589999999999999</v>
      </c>
      <c r="H305">
        <v>5.9980000000000002</v>
      </c>
      <c r="I305">
        <v>40001</v>
      </c>
      <c r="J305">
        <v>120000</v>
      </c>
    </row>
    <row r="306" spans="2:10" x14ac:dyDescent="0.25">
      <c r="B306" t="s">
        <v>703</v>
      </c>
      <c r="C306">
        <v>1.2669999999999999</v>
      </c>
      <c r="D306">
        <v>1.542</v>
      </c>
      <c r="E306">
        <v>4.8539999999999998E-3</v>
      </c>
      <c r="F306">
        <v>2.2970000000000001E-2</v>
      </c>
      <c r="G306">
        <v>0.71889999999999998</v>
      </c>
      <c r="H306">
        <v>5.6260000000000003</v>
      </c>
      <c r="I306">
        <v>40001</v>
      </c>
      <c r="J306">
        <v>120000</v>
      </c>
    </row>
    <row r="307" spans="2:10" x14ac:dyDescent="0.25">
      <c r="B307" t="s">
        <v>704</v>
      </c>
      <c r="C307">
        <v>2.073</v>
      </c>
      <c r="D307">
        <v>2.0209999999999999</v>
      </c>
      <c r="E307">
        <v>1.3849999999999999E-2</v>
      </c>
      <c r="F307">
        <v>5.4789999999999998E-2</v>
      </c>
      <c r="G307">
        <v>1.462</v>
      </c>
      <c r="H307">
        <v>7.444</v>
      </c>
      <c r="I307">
        <v>40001</v>
      </c>
      <c r="J307">
        <v>120000</v>
      </c>
    </row>
    <row r="308" spans="2:10" x14ac:dyDescent="0.25">
      <c r="B308" t="s">
        <v>705</v>
      </c>
      <c r="C308">
        <v>2.0369999999999999</v>
      </c>
      <c r="D308">
        <v>2.0430000000000001</v>
      </c>
      <c r="E308">
        <v>1.0800000000000001E-2</v>
      </c>
      <c r="F308">
        <v>5.092E-2</v>
      </c>
      <c r="G308">
        <v>1.4139999999999999</v>
      </c>
      <c r="H308">
        <v>7.5389999999999997</v>
      </c>
      <c r="I308">
        <v>40001</v>
      </c>
      <c r="J308">
        <v>120000</v>
      </c>
    </row>
    <row r="309" spans="2:10" x14ac:dyDescent="0.25">
      <c r="B309" t="s">
        <v>706</v>
      </c>
      <c r="C309">
        <v>4.25</v>
      </c>
      <c r="D309">
        <v>1.8560000000000001</v>
      </c>
      <c r="E309">
        <v>8.6440000000000006E-3</v>
      </c>
      <c r="F309">
        <v>1.655</v>
      </c>
      <c r="G309">
        <v>3.9</v>
      </c>
      <c r="H309">
        <v>8.9450000000000003</v>
      </c>
      <c r="I309">
        <v>40001</v>
      </c>
      <c r="J309">
        <v>120000</v>
      </c>
    </row>
    <row r="310" spans="2:10" x14ac:dyDescent="0.25">
      <c r="B310" t="s">
        <v>707</v>
      </c>
      <c r="C310">
        <v>1.778</v>
      </c>
      <c r="D310">
        <v>1.802</v>
      </c>
      <c r="E310">
        <v>8.1880000000000008E-3</v>
      </c>
      <c r="F310">
        <v>4.4699999999999997E-2</v>
      </c>
      <c r="G310">
        <v>1.22</v>
      </c>
      <c r="H310">
        <v>6.5940000000000003</v>
      </c>
      <c r="I310">
        <v>40001</v>
      </c>
      <c r="J310">
        <v>120000</v>
      </c>
    </row>
    <row r="311" spans="2:10" x14ac:dyDescent="0.25">
      <c r="B311" t="s">
        <v>708</v>
      </c>
      <c r="C311">
        <v>1.2629999999999999</v>
      </c>
      <c r="D311">
        <v>1.486</v>
      </c>
      <c r="E311">
        <v>5.0769999999999999E-3</v>
      </c>
      <c r="F311">
        <v>2.5680000000000001E-2</v>
      </c>
      <c r="G311">
        <v>0.75409999999999999</v>
      </c>
      <c r="H311">
        <v>5.3819999999999997</v>
      </c>
      <c r="I311">
        <v>40001</v>
      </c>
      <c r="J311">
        <v>120000</v>
      </c>
    </row>
    <row r="312" spans="2:10" x14ac:dyDescent="0.25">
      <c r="B312" t="s">
        <v>709</v>
      </c>
      <c r="C312">
        <v>2.5739999999999998</v>
      </c>
      <c r="D312">
        <v>2.214</v>
      </c>
      <c r="E312">
        <v>1.5939999999999999E-2</v>
      </c>
      <c r="F312">
        <v>8.3129999999999996E-2</v>
      </c>
      <c r="G312">
        <v>2.0150000000000001</v>
      </c>
      <c r="H312">
        <v>8.2279999999999998</v>
      </c>
      <c r="I312">
        <v>40001</v>
      </c>
      <c r="J312">
        <v>120000</v>
      </c>
    </row>
    <row r="313" spans="2:10" x14ac:dyDescent="0.25">
      <c r="B313" t="s">
        <v>710</v>
      </c>
      <c r="C313">
        <v>2.008</v>
      </c>
      <c r="D313">
        <v>2.0019999999999998</v>
      </c>
      <c r="E313">
        <v>9.4920000000000004E-3</v>
      </c>
      <c r="F313">
        <v>5.1749999999999997E-2</v>
      </c>
      <c r="G313">
        <v>1.395</v>
      </c>
      <c r="H313">
        <v>7.4020000000000001</v>
      </c>
      <c r="I313">
        <v>40001</v>
      </c>
      <c r="J313">
        <v>120000</v>
      </c>
    </row>
    <row r="314" spans="2:10" x14ac:dyDescent="0.25">
      <c r="B314" t="s">
        <v>711</v>
      </c>
      <c r="C314">
        <v>1.1870000000000001</v>
      </c>
      <c r="D314">
        <v>1.48</v>
      </c>
      <c r="E314">
        <v>4.4260000000000002E-3</v>
      </c>
      <c r="F314">
        <v>1.9220000000000001E-2</v>
      </c>
      <c r="G314">
        <v>0.65339999999999998</v>
      </c>
      <c r="H314">
        <v>5.36</v>
      </c>
      <c r="I314">
        <v>40001</v>
      </c>
      <c r="J314">
        <v>120000</v>
      </c>
    </row>
    <row r="315" spans="2:10" x14ac:dyDescent="0.25">
      <c r="B315" t="s">
        <v>712</v>
      </c>
      <c r="C315">
        <v>2.0129999999999999</v>
      </c>
      <c r="D315">
        <v>1.835</v>
      </c>
      <c r="E315">
        <v>8.6060000000000008E-3</v>
      </c>
      <c r="F315">
        <v>6.2729999999999994E-2</v>
      </c>
      <c r="G315">
        <v>1.5109999999999999</v>
      </c>
      <c r="H315">
        <v>6.86</v>
      </c>
      <c r="I315">
        <v>40001</v>
      </c>
      <c r="J315">
        <v>120000</v>
      </c>
    </row>
    <row r="316" spans="2:10" x14ac:dyDescent="0.25">
      <c r="B316" t="s">
        <v>713</v>
      </c>
      <c r="C316">
        <v>1.863</v>
      </c>
      <c r="D316">
        <v>1.6519999999999999</v>
      </c>
      <c r="E316">
        <v>5.8669999999999998E-3</v>
      </c>
      <c r="F316">
        <v>9.3030000000000002E-2</v>
      </c>
      <c r="G316">
        <v>1.4159999999999999</v>
      </c>
      <c r="H316">
        <v>6.2889999999999997</v>
      </c>
      <c r="I316">
        <v>40001</v>
      </c>
      <c r="J316">
        <v>120000</v>
      </c>
    </row>
    <row r="317" spans="2:10" x14ac:dyDescent="0.25">
      <c r="B317" t="s">
        <v>714</v>
      </c>
      <c r="C317">
        <v>1.74</v>
      </c>
      <c r="D317">
        <v>1.571</v>
      </c>
      <c r="E317">
        <v>5.2760000000000003E-3</v>
      </c>
      <c r="F317">
        <v>0.1158</v>
      </c>
      <c r="G317">
        <v>1.2889999999999999</v>
      </c>
      <c r="H317">
        <v>6.0209999999999999</v>
      </c>
      <c r="I317">
        <v>40001</v>
      </c>
      <c r="J317">
        <v>120000</v>
      </c>
    </row>
    <row r="318" spans="2:10" x14ac:dyDescent="0.25">
      <c r="B318" t="s">
        <v>715</v>
      </c>
      <c r="C318">
        <v>1.1830000000000001</v>
      </c>
      <c r="D318">
        <v>1.5009999999999999</v>
      </c>
      <c r="E318">
        <v>4.4209999999999996E-3</v>
      </c>
      <c r="F318">
        <v>1.8689999999999998E-2</v>
      </c>
      <c r="G318">
        <v>0.63139999999999996</v>
      </c>
      <c r="H318">
        <v>5.4729999999999999</v>
      </c>
      <c r="I318">
        <v>40001</v>
      </c>
      <c r="J318">
        <v>120000</v>
      </c>
    </row>
    <row r="319" spans="2:10" x14ac:dyDescent="0.25">
      <c r="B319" t="s">
        <v>716</v>
      </c>
      <c r="C319">
        <v>1.4079999999999999</v>
      </c>
      <c r="D319">
        <v>1.5529999999999999</v>
      </c>
      <c r="E319">
        <v>5.6290000000000003E-3</v>
      </c>
      <c r="F319">
        <v>3.1609999999999999E-2</v>
      </c>
      <c r="G319">
        <v>0.89890000000000003</v>
      </c>
      <c r="H319">
        <v>5.6870000000000003</v>
      </c>
      <c r="I319">
        <v>40001</v>
      </c>
      <c r="J319">
        <v>120000</v>
      </c>
    </row>
    <row r="320" spans="2:10" x14ac:dyDescent="0.25">
      <c r="B320" t="s">
        <v>717</v>
      </c>
      <c r="C320">
        <v>1.248</v>
      </c>
      <c r="D320">
        <v>1.5049999999999999</v>
      </c>
      <c r="E320">
        <v>4.7889999999999999E-3</v>
      </c>
      <c r="F320">
        <v>2.264E-2</v>
      </c>
      <c r="G320">
        <v>0.72330000000000005</v>
      </c>
      <c r="H320">
        <v>5.4480000000000004</v>
      </c>
      <c r="I320">
        <v>40001</v>
      </c>
      <c r="J320">
        <v>120000</v>
      </c>
    </row>
    <row r="321" spans="2:10" x14ac:dyDescent="0.25">
      <c r="B321" t="s">
        <v>718</v>
      </c>
      <c r="C321">
        <v>2.8420000000000001</v>
      </c>
      <c r="D321">
        <v>2.3639999999999999</v>
      </c>
      <c r="E321">
        <v>2.112E-2</v>
      </c>
      <c r="F321">
        <v>0.10639999999999999</v>
      </c>
      <c r="G321">
        <v>2.2599999999999998</v>
      </c>
      <c r="H321">
        <v>8.8190000000000008</v>
      </c>
      <c r="I321">
        <v>40001</v>
      </c>
      <c r="J321">
        <v>120000</v>
      </c>
    </row>
    <row r="322" spans="2:10" x14ac:dyDescent="0.25">
      <c r="B322" t="s">
        <v>719</v>
      </c>
      <c r="C322">
        <v>3.6040000000000001</v>
      </c>
      <c r="D322">
        <v>2.359</v>
      </c>
      <c r="E322">
        <v>1.9230000000000001E-2</v>
      </c>
      <c r="F322">
        <v>0.2833</v>
      </c>
      <c r="G322">
        <v>3.226</v>
      </c>
      <c r="H322">
        <v>9.218</v>
      </c>
      <c r="I322">
        <v>40001</v>
      </c>
      <c r="J322">
        <v>120000</v>
      </c>
    </row>
    <row r="323" spans="2:10" x14ac:dyDescent="0.25">
      <c r="B323" t="s">
        <v>720</v>
      </c>
      <c r="C323">
        <v>1.7470000000000001</v>
      </c>
      <c r="D323">
        <v>1.7190000000000001</v>
      </c>
      <c r="E323">
        <v>7.1640000000000002E-3</v>
      </c>
      <c r="F323">
        <v>4.9799999999999997E-2</v>
      </c>
      <c r="G323">
        <v>1.236</v>
      </c>
      <c r="H323">
        <v>6.3540000000000001</v>
      </c>
      <c r="I323">
        <v>40001</v>
      </c>
      <c r="J323">
        <v>120000</v>
      </c>
    </row>
    <row r="324" spans="2:10" x14ac:dyDescent="0.25">
      <c r="B324" t="s">
        <v>721</v>
      </c>
      <c r="C324">
        <v>1.9610000000000001</v>
      </c>
      <c r="D324">
        <v>1.708</v>
      </c>
      <c r="E324">
        <v>6.607E-3</v>
      </c>
      <c r="F324">
        <v>9.1340000000000005E-2</v>
      </c>
      <c r="G324">
        <v>1.5229999999999999</v>
      </c>
      <c r="H324">
        <v>6.4509999999999996</v>
      </c>
      <c r="I324">
        <v>40001</v>
      </c>
      <c r="J324">
        <v>120000</v>
      </c>
    </row>
    <row r="325" spans="2:10" x14ac:dyDescent="0.25">
      <c r="B325" t="s">
        <v>722</v>
      </c>
      <c r="C325">
        <v>1.9</v>
      </c>
      <c r="D325">
        <v>1.603</v>
      </c>
      <c r="E325">
        <v>5.6629999999999996E-3</v>
      </c>
      <c r="F325">
        <v>0.18740000000000001</v>
      </c>
      <c r="G325">
        <v>1.458</v>
      </c>
      <c r="H325">
        <v>6.2160000000000002</v>
      </c>
      <c r="I325">
        <v>40001</v>
      </c>
      <c r="J325">
        <v>120000</v>
      </c>
    </row>
    <row r="326" spans="2:10" x14ac:dyDescent="0.25">
      <c r="B326" t="s">
        <v>723</v>
      </c>
      <c r="C326">
        <v>2.4569999999999999</v>
      </c>
      <c r="D326">
        <v>2.1269999999999998</v>
      </c>
      <c r="E326">
        <v>1.34E-2</v>
      </c>
      <c r="F326">
        <v>8.1610000000000002E-2</v>
      </c>
      <c r="G326">
        <v>1.909</v>
      </c>
      <c r="H326">
        <v>7.91</v>
      </c>
      <c r="I326">
        <v>40001</v>
      </c>
      <c r="J326">
        <v>120000</v>
      </c>
    </row>
    <row r="327" spans="2:10" x14ac:dyDescent="0.25">
      <c r="B327" t="s">
        <v>724</v>
      </c>
      <c r="C327">
        <v>2.2029999999999998</v>
      </c>
      <c r="D327">
        <v>1.9790000000000001</v>
      </c>
      <c r="E327">
        <v>1.273E-2</v>
      </c>
      <c r="F327">
        <v>6.8309999999999996E-2</v>
      </c>
      <c r="G327">
        <v>1.6679999999999999</v>
      </c>
      <c r="H327">
        <v>7.3570000000000002</v>
      </c>
      <c r="I327">
        <v>40001</v>
      </c>
      <c r="J327">
        <v>120000</v>
      </c>
    </row>
    <row r="328" spans="2:10" x14ac:dyDescent="0.25">
      <c r="B328" t="s">
        <v>725</v>
      </c>
      <c r="C328">
        <v>1.5649999999999999</v>
      </c>
      <c r="D328">
        <v>1.6240000000000001</v>
      </c>
      <c r="E328">
        <v>6.4580000000000002E-3</v>
      </c>
      <c r="F328">
        <v>3.8030000000000001E-2</v>
      </c>
      <c r="G328">
        <v>1.0549999999999999</v>
      </c>
      <c r="H328">
        <v>5.9749999999999996</v>
      </c>
      <c r="I328">
        <v>40001</v>
      </c>
      <c r="J328">
        <v>120000</v>
      </c>
    </row>
    <row r="329" spans="2:10" x14ac:dyDescent="0.25">
      <c r="B329" t="s">
        <v>726</v>
      </c>
      <c r="C329">
        <v>1.56</v>
      </c>
      <c r="D329">
        <v>1.5649999999999999</v>
      </c>
      <c r="E329">
        <v>5.372E-3</v>
      </c>
      <c r="F329">
        <v>5.3990000000000003E-2</v>
      </c>
      <c r="G329">
        <v>1.085</v>
      </c>
      <c r="H329">
        <v>5.81</v>
      </c>
      <c r="I329">
        <v>40001</v>
      </c>
      <c r="J329">
        <v>120000</v>
      </c>
    </row>
    <row r="330" spans="2:10" x14ac:dyDescent="0.25">
      <c r="B330" t="s">
        <v>727</v>
      </c>
      <c r="C330">
        <v>1.4710000000000001</v>
      </c>
      <c r="D330">
        <v>1.5680000000000001</v>
      </c>
      <c r="E330">
        <v>6.2420000000000002E-3</v>
      </c>
      <c r="F330">
        <v>3.6200000000000003E-2</v>
      </c>
      <c r="G330">
        <v>0.96940000000000004</v>
      </c>
      <c r="H330">
        <v>5.7389999999999999</v>
      </c>
      <c r="I330">
        <v>40001</v>
      </c>
      <c r="J330">
        <v>120000</v>
      </c>
    </row>
    <row r="331" spans="2:10" x14ac:dyDescent="0.25">
      <c r="B331" t="s">
        <v>728</v>
      </c>
      <c r="C331">
        <v>2.0099999999999998</v>
      </c>
      <c r="D331">
        <v>1.641</v>
      </c>
      <c r="E331">
        <v>6.3619999999999996E-3</v>
      </c>
      <c r="F331">
        <v>0.1605</v>
      </c>
      <c r="G331">
        <v>1.585</v>
      </c>
      <c r="H331">
        <v>6.3570000000000002</v>
      </c>
      <c r="I331">
        <v>40001</v>
      </c>
      <c r="J331">
        <v>120000</v>
      </c>
    </row>
    <row r="332" spans="2:10" x14ac:dyDescent="0.25">
      <c r="B332" t="s">
        <v>729</v>
      </c>
      <c r="C332">
        <v>1.2330000000000001</v>
      </c>
      <c r="D332">
        <v>1.4850000000000001</v>
      </c>
      <c r="E332">
        <v>4.7889999999999999E-3</v>
      </c>
      <c r="F332">
        <v>2.1739999999999999E-2</v>
      </c>
      <c r="G332">
        <v>0.7177</v>
      </c>
      <c r="H332">
        <v>5.3689999999999998</v>
      </c>
      <c r="I332">
        <v>40001</v>
      </c>
      <c r="J332">
        <v>120000</v>
      </c>
    </row>
    <row r="333" spans="2:10" x14ac:dyDescent="0.25">
      <c r="B333" t="s">
        <v>730</v>
      </c>
      <c r="C333">
        <v>1.262</v>
      </c>
      <c r="D333">
        <v>1.488</v>
      </c>
      <c r="E333">
        <v>4.7159999999999997E-3</v>
      </c>
      <c r="F333">
        <v>2.3120000000000002E-2</v>
      </c>
      <c r="G333">
        <v>0.75149999999999995</v>
      </c>
      <c r="H333">
        <v>5.3819999999999997</v>
      </c>
      <c r="I333">
        <v>40001</v>
      </c>
      <c r="J333">
        <v>120000</v>
      </c>
    </row>
    <row r="334" spans="2:10" x14ac:dyDescent="0.25">
      <c r="B334" t="s">
        <v>731</v>
      </c>
      <c r="C334">
        <v>1.292</v>
      </c>
      <c r="D334">
        <v>1.52</v>
      </c>
      <c r="E334">
        <v>4.8789999999999997E-3</v>
      </c>
      <c r="F334">
        <v>2.5530000000000001E-2</v>
      </c>
      <c r="G334">
        <v>0.77490000000000003</v>
      </c>
      <c r="H334">
        <v>5.4939999999999998</v>
      </c>
      <c r="I334">
        <v>40001</v>
      </c>
      <c r="J334">
        <v>120000</v>
      </c>
    </row>
    <row r="335" spans="2:10" x14ac:dyDescent="0.25">
      <c r="B335" t="s">
        <v>732</v>
      </c>
      <c r="C335">
        <v>1.379</v>
      </c>
      <c r="D335">
        <v>1.5409999999999999</v>
      </c>
      <c r="E335">
        <v>4.8019999999999998E-3</v>
      </c>
      <c r="F335">
        <v>4.0419999999999998E-2</v>
      </c>
      <c r="G335">
        <v>0.87150000000000005</v>
      </c>
      <c r="H335">
        <v>5.641</v>
      </c>
      <c r="I335">
        <v>40001</v>
      </c>
      <c r="J335">
        <v>120000</v>
      </c>
    </row>
    <row r="336" spans="2:10" x14ac:dyDescent="0.25">
      <c r="B336" t="s">
        <v>733</v>
      </c>
      <c r="C336">
        <v>1.56</v>
      </c>
      <c r="D336">
        <v>1.645</v>
      </c>
      <c r="E336">
        <v>6.3590000000000001E-3</v>
      </c>
      <c r="F336">
        <v>3.7100000000000001E-2</v>
      </c>
      <c r="G336">
        <v>1.036</v>
      </c>
      <c r="H336">
        <v>6.016</v>
      </c>
      <c r="I336">
        <v>40001</v>
      </c>
      <c r="J336">
        <v>120000</v>
      </c>
    </row>
    <row r="337" spans="1:10" x14ac:dyDescent="0.25">
      <c r="B337" t="s">
        <v>734</v>
      </c>
      <c r="C337">
        <v>2.9009999999999998</v>
      </c>
      <c r="D337">
        <v>2.5499999999999998</v>
      </c>
      <c r="E337">
        <v>1.787E-2</v>
      </c>
      <c r="F337">
        <v>9.035E-2</v>
      </c>
      <c r="G337">
        <v>2.222</v>
      </c>
      <c r="H337">
        <v>9.5250000000000004</v>
      </c>
      <c r="I337">
        <v>40001</v>
      </c>
      <c r="J337">
        <v>120000</v>
      </c>
    </row>
    <row r="338" spans="1:10" x14ac:dyDescent="0.25">
      <c r="B338" t="s">
        <v>735</v>
      </c>
      <c r="C338">
        <v>2.1949999999999998</v>
      </c>
      <c r="D338">
        <v>1.9510000000000001</v>
      </c>
      <c r="E338">
        <v>1.017E-2</v>
      </c>
      <c r="F338">
        <v>7.3730000000000004E-2</v>
      </c>
      <c r="G338">
        <v>1.679</v>
      </c>
      <c r="H338">
        <v>7.2460000000000004</v>
      </c>
      <c r="I338">
        <v>40001</v>
      </c>
      <c r="J338">
        <v>120000</v>
      </c>
    </row>
    <row r="339" spans="1:10" x14ac:dyDescent="0.25">
      <c r="B339" t="s">
        <v>736</v>
      </c>
      <c r="C339">
        <v>2.0390000000000001</v>
      </c>
      <c r="D339">
        <v>1.9510000000000001</v>
      </c>
      <c r="E339">
        <v>1.1679999999999999E-2</v>
      </c>
      <c r="F339">
        <v>5.6279999999999997E-2</v>
      </c>
      <c r="G339">
        <v>1.464</v>
      </c>
      <c r="H339">
        <v>7.2290000000000001</v>
      </c>
      <c r="I339">
        <v>40001</v>
      </c>
      <c r="J339">
        <v>120000</v>
      </c>
    </row>
    <row r="340" spans="1:10" x14ac:dyDescent="0.25">
      <c r="B340" t="s">
        <v>737</v>
      </c>
      <c r="C340">
        <v>5.7060000000000004</v>
      </c>
      <c r="D340">
        <v>1.004</v>
      </c>
      <c r="E340">
        <v>7.8259999999999996E-3</v>
      </c>
      <c r="F340">
        <v>4</v>
      </c>
      <c r="G340">
        <v>6</v>
      </c>
      <c r="H340">
        <v>7</v>
      </c>
      <c r="I340">
        <v>40001</v>
      </c>
      <c r="J340">
        <v>120000</v>
      </c>
    </row>
    <row r="341" spans="1:10" x14ac:dyDescent="0.25">
      <c r="B341" t="s">
        <v>738</v>
      </c>
      <c r="C341">
        <v>7.8280000000000003</v>
      </c>
      <c r="D341">
        <v>0.73419999999999996</v>
      </c>
      <c r="E341">
        <v>5.7660000000000003E-3</v>
      </c>
      <c r="F341">
        <v>6</v>
      </c>
      <c r="G341">
        <v>8</v>
      </c>
      <c r="H341">
        <v>9</v>
      </c>
      <c r="I341">
        <v>40001</v>
      </c>
      <c r="J341">
        <v>120000</v>
      </c>
    </row>
    <row r="342" spans="1:10" x14ac:dyDescent="0.25">
      <c r="B342" t="s">
        <v>739</v>
      </c>
      <c r="C342">
        <v>3.859</v>
      </c>
      <c r="D342">
        <v>0.96779999999999999</v>
      </c>
      <c r="E342">
        <v>6.8329999999999997E-3</v>
      </c>
      <c r="F342">
        <v>2</v>
      </c>
      <c r="G342">
        <v>4</v>
      </c>
      <c r="H342">
        <v>6</v>
      </c>
      <c r="I342">
        <v>40001</v>
      </c>
      <c r="J342">
        <v>120000</v>
      </c>
    </row>
    <row r="343" spans="1:10" x14ac:dyDescent="0.25">
      <c r="B343" t="s">
        <v>740</v>
      </c>
      <c r="C343">
        <v>2.71</v>
      </c>
      <c r="D343">
        <v>1.1930000000000001</v>
      </c>
      <c r="E343">
        <v>8.1189999999999995E-3</v>
      </c>
      <c r="F343">
        <v>1</v>
      </c>
      <c r="G343">
        <v>3</v>
      </c>
      <c r="H343">
        <v>6</v>
      </c>
      <c r="I343">
        <v>40001</v>
      </c>
      <c r="J343">
        <v>120000</v>
      </c>
    </row>
    <row r="344" spans="1:10" x14ac:dyDescent="0.25">
      <c r="B344" t="s">
        <v>741</v>
      </c>
      <c r="C344">
        <v>2.5750000000000002</v>
      </c>
      <c r="D344">
        <v>1.994</v>
      </c>
      <c r="E344">
        <v>1.6969999999999999E-2</v>
      </c>
      <c r="F344">
        <v>1</v>
      </c>
      <c r="G344">
        <v>2</v>
      </c>
      <c r="H344">
        <v>8</v>
      </c>
      <c r="I344">
        <v>40001</v>
      </c>
      <c r="J344">
        <v>120000</v>
      </c>
    </row>
    <row r="345" spans="1:10" x14ac:dyDescent="0.25">
      <c r="B345" t="s">
        <v>742</v>
      </c>
      <c r="C345">
        <v>2.0009999999999999</v>
      </c>
      <c r="D345">
        <v>1.161</v>
      </c>
      <c r="E345">
        <v>8.8070000000000006E-3</v>
      </c>
      <c r="F345">
        <v>1</v>
      </c>
      <c r="G345">
        <v>2</v>
      </c>
      <c r="H345">
        <v>5</v>
      </c>
      <c r="I345">
        <v>40001</v>
      </c>
      <c r="J345">
        <v>120000</v>
      </c>
    </row>
    <row r="346" spans="1:10" x14ac:dyDescent="0.25">
      <c r="B346" t="s">
        <v>743</v>
      </c>
      <c r="C346">
        <v>8.2530000000000001</v>
      </c>
      <c r="D346">
        <v>1.42</v>
      </c>
      <c r="E346">
        <v>8.6969999999999999E-3</v>
      </c>
      <c r="F346">
        <v>4</v>
      </c>
      <c r="G346">
        <v>9</v>
      </c>
      <c r="H346">
        <v>10</v>
      </c>
      <c r="I346">
        <v>40001</v>
      </c>
      <c r="J346">
        <v>120000</v>
      </c>
    </row>
    <row r="347" spans="1:10" x14ac:dyDescent="0.25">
      <c r="B347" t="s">
        <v>744</v>
      </c>
      <c r="C347">
        <v>6.5030000000000001</v>
      </c>
      <c r="D347">
        <v>1.99</v>
      </c>
      <c r="E347">
        <v>2.402E-2</v>
      </c>
      <c r="F347">
        <v>2</v>
      </c>
      <c r="G347">
        <v>7</v>
      </c>
      <c r="H347">
        <v>9</v>
      </c>
      <c r="I347">
        <v>40001</v>
      </c>
      <c r="J347">
        <v>120000</v>
      </c>
    </row>
    <row r="348" spans="1:10" x14ac:dyDescent="0.25">
      <c r="B348" t="s">
        <v>745</v>
      </c>
      <c r="C348">
        <v>5.5979999999999999</v>
      </c>
      <c r="D348">
        <v>1.4019999999999999</v>
      </c>
      <c r="E348">
        <v>9.9500000000000005E-3</v>
      </c>
      <c r="F348">
        <v>3</v>
      </c>
      <c r="G348">
        <v>6</v>
      </c>
      <c r="H348">
        <v>8</v>
      </c>
      <c r="I348">
        <v>40001</v>
      </c>
      <c r="J348">
        <v>120000</v>
      </c>
    </row>
    <row r="349" spans="1:10" x14ac:dyDescent="0.25">
      <c r="B349" t="s">
        <v>746</v>
      </c>
      <c r="C349">
        <v>9.9670000000000005</v>
      </c>
      <c r="D349">
        <v>0.1799</v>
      </c>
      <c r="E349" s="13">
        <v>8.5249999999999996E-4</v>
      </c>
      <c r="F349">
        <v>9</v>
      </c>
      <c r="G349">
        <v>10</v>
      </c>
      <c r="H349">
        <v>10</v>
      </c>
      <c r="I349">
        <v>40001</v>
      </c>
      <c r="J349">
        <v>120000</v>
      </c>
    </row>
    <row r="350" spans="1:10" x14ac:dyDescent="0.25">
      <c r="B350" t="s">
        <v>838</v>
      </c>
      <c r="C350">
        <v>0.37459999999999999</v>
      </c>
      <c r="D350">
        <v>0.14510000000000001</v>
      </c>
      <c r="E350">
        <v>2.63E-3</v>
      </c>
      <c r="F350">
        <v>0.1024</v>
      </c>
      <c r="G350">
        <v>0.36880000000000002</v>
      </c>
      <c r="H350">
        <v>0.68030000000000002</v>
      </c>
      <c r="I350">
        <v>40001</v>
      </c>
      <c r="J350">
        <v>120000</v>
      </c>
    </row>
    <row r="351" spans="1:10" x14ac:dyDescent="0.25">
      <c r="B351" t="s">
        <v>747</v>
      </c>
      <c r="C351">
        <v>90.41</v>
      </c>
      <c r="D351">
        <v>12.74</v>
      </c>
      <c r="E351">
        <v>0.10290000000000001</v>
      </c>
      <c r="F351">
        <v>66.900000000000006</v>
      </c>
      <c r="G351">
        <v>89.86</v>
      </c>
      <c r="H351">
        <v>116.8</v>
      </c>
      <c r="I351">
        <v>40001</v>
      </c>
      <c r="J351">
        <v>120000</v>
      </c>
    </row>
    <row r="352" spans="1:10" x14ac:dyDescent="0.25">
      <c r="A352" t="s">
        <v>748</v>
      </c>
    </row>
    <row r="354" spans="1:5" x14ac:dyDescent="0.25">
      <c r="A354" t="s">
        <v>749</v>
      </c>
    </row>
    <row r="355" spans="1:5" x14ac:dyDescent="0.25">
      <c r="A355" t="s">
        <v>750</v>
      </c>
    </row>
    <row r="356" spans="1:5" x14ac:dyDescent="0.25">
      <c r="B356" t="s">
        <v>751</v>
      </c>
      <c r="C356" t="s">
        <v>752</v>
      </c>
      <c r="D356" t="s">
        <v>753</v>
      </c>
      <c r="E356" t="s">
        <v>749</v>
      </c>
    </row>
    <row r="357" spans="1:5" x14ac:dyDescent="0.25">
      <c r="A357" t="s">
        <v>754</v>
      </c>
      <c r="B357">
        <v>413.92599999999999</v>
      </c>
      <c r="C357">
        <v>346.99</v>
      </c>
      <c r="D357">
        <v>66.936000000000007</v>
      </c>
      <c r="E357">
        <v>480.86200000000002</v>
      </c>
    </row>
    <row r="358" spans="1:5" x14ac:dyDescent="0.25">
      <c r="A358" t="s">
        <v>755</v>
      </c>
      <c r="B358">
        <v>413.92599999999999</v>
      </c>
      <c r="C358">
        <v>346.99</v>
      </c>
      <c r="D358">
        <v>66.936000000000007</v>
      </c>
      <c r="E358">
        <v>480.86200000000002</v>
      </c>
    </row>
    <row r="359" spans="1:5" x14ac:dyDescent="0.25">
      <c r="A359" t="s">
        <v>756</v>
      </c>
    </row>
    <row r="361" spans="1:5" x14ac:dyDescent="0.25">
      <c r="A361" t="s">
        <v>757</v>
      </c>
    </row>
    <row r="363" spans="1:5" x14ac:dyDescent="0.25">
      <c r="A363" t="s">
        <v>758</v>
      </c>
    </row>
    <row r="365" spans="1:5" x14ac:dyDescent="0.25">
      <c r="A365" t="s">
        <v>759</v>
      </c>
    </row>
    <row r="367" spans="1:5" x14ac:dyDescent="0.25">
      <c r="A367" t="s">
        <v>942</v>
      </c>
    </row>
  </sheetData>
  <dataConsolidate/>
  <pageMargins left="0.7" right="0.7" top="0.75" bottom="0.75" header="0.3" footer="0.3"/>
  <customProperties>
    <customPr name="SSCSheetTrackingNo" r:id="rId1"/>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367"/>
  <sheetViews>
    <sheetView showGridLines="0" topLeftCell="A313" workbookViewId="0">
      <selection activeCell="L16" sqref="L16"/>
    </sheetView>
  </sheetViews>
  <sheetFormatPr defaultRowHeight="15" x14ac:dyDescent="0.25"/>
  <sheetData>
    <row r="1" spans="1:1" hidden="1" x14ac:dyDescent="0.25">
      <c r="A1" t="s">
        <v>397</v>
      </c>
    </row>
    <row r="2" spans="1:1" hidden="1" x14ac:dyDescent="0.25">
      <c r="A2" t="s">
        <v>832</v>
      </c>
    </row>
    <row r="3" spans="1:1" hidden="1" x14ac:dyDescent="0.25">
      <c r="A3" t="s">
        <v>411</v>
      </c>
    </row>
    <row r="4" spans="1:1" hidden="1" x14ac:dyDescent="0.25">
      <c r="A4" t="s">
        <v>412</v>
      </c>
    </row>
    <row r="5" spans="1:1" hidden="1" x14ac:dyDescent="0.25">
      <c r="A5" t="s">
        <v>413</v>
      </c>
    </row>
    <row r="6" spans="1:1" hidden="1" x14ac:dyDescent="0.25">
      <c r="A6" t="s">
        <v>414</v>
      </c>
    </row>
    <row r="7" spans="1:1" hidden="1" x14ac:dyDescent="0.25">
      <c r="A7" t="s">
        <v>413</v>
      </c>
    </row>
    <row r="8" spans="1:1" hidden="1" x14ac:dyDescent="0.25">
      <c r="A8" t="s">
        <v>21</v>
      </c>
    </row>
    <row r="9" spans="1:1" hidden="1" x14ac:dyDescent="0.25">
      <c r="A9" t="s">
        <v>415</v>
      </c>
    </row>
    <row r="10" spans="1:1" hidden="1" x14ac:dyDescent="0.25">
      <c r="A10" t="s">
        <v>833</v>
      </c>
    </row>
    <row r="11" spans="1:1" hidden="1" x14ac:dyDescent="0.25">
      <c r="A11" t="s">
        <v>834</v>
      </c>
    </row>
    <row r="12" spans="1:1" hidden="1" x14ac:dyDescent="0.25">
      <c r="A12" t="s">
        <v>835</v>
      </c>
    </row>
    <row r="13" spans="1:1" hidden="1" x14ac:dyDescent="0.25">
      <c r="A13" t="s">
        <v>834</v>
      </c>
    </row>
    <row r="14" spans="1:1" hidden="1" x14ac:dyDescent="0.25">
      <c r="A14" t="s">
        <v>836</v>
      </c>
    </row>
    <row r="15" spans="1:1" hidden="1" x14ac:dyDescent="0.25">
      <c r="A15" t="s">
        <v>834</v>
      </c>
    </row>
    <row r="16" spans="1:1" hidden="1" x14ac:dyDescent="0.25">
      <c r="A16" t="s">
        <v>23</v>
      </c>
    </row>
    <row r="17" spans="1:1" hidden="1" x14ac:dyDescent="0.25">
      <c r="A17" t="s">
        <v>837</v>
      </c>
    </row>
    <row r="18" spans="1:1" hidden="1" x14ac:dyDescent="0.25">
      <c r="A18" t="s">
        <v>400</v>
      </c>
    </row>
    <row r="19" spans="1:1" hidden="1" x14ac:dyDescent="0.25">
      <c r="A19" t="s">
        <v>416</v>
      </c>
    </row>
    <row r="20" spans="1:1" hidden="1" x14ac:dyDescent="0.25">
      <c r="A20" t="s">
        <v>417</v>
      </c>
    </row>
    <row r="21" spans="1:1" hidden="1" x14ac:dyDescent="0.25">
      <c r="A21" t="s">
        <v>418</v>
      </c>
    </row>
    <row r="22" spans="1:1" hidden="1" x14ac:dyDescent="0.25">
      <c r="A22" t="s">
        <v>419</v>
      </c>
    </row>
    <row r="23" spans="1:1" hidden="1" x14ac:dyDescent="0.25">
      <c r="A23" t="s">
        <v>420</v>
      </c>
    </row>
    <row r="24" spans="1:1" hidden="1" x14ac:dyDescent="0.25">
      <c r="A24" t="s">
        <v>421</v>
      </c>
    </row>
    <row r="25" spans="1:1" hidden="1" x14ac:dyDescent="0.25">
      <c r="A25" t="s">
        <v>422</v>
      </c>
    </row>
    <row r="26" spans="1:1" hidden="1" x14ac:dyDescent="0.25">
      <c r="A26" t="s">
        <v>197</v>
      </c>
    </row>
    <row r="27" spans="1:1" hidden="1" x14ac:dyDescent="0.25">
      <c r="A27" t="s">
        <v>199</v>
      </c>
    </row>
    <row r="28" spans="1:1" hidden="1" x14ac:dyDescent="0.25">
      <c r="A28" t="s">
        <v>261</v>
      </c>
    </row>
    <row r="29" spans="1:1" hidden="1" x14ac:dyDescent="0.25">
      <c r="A29" t="s">
        <v>400</v>
      </c>
    </row>
    <row r="30" spans="1:1" hidden="1" x14ac:dyDescent="0.25">
      <c r="A30" t="s">
        <v>401</v>
      </c>
    </row>
    <row r="32" spans="1:1" x14ac:dyDescent="0.25">
      <c r="A32" t="s">
        <v>423</v>
      </c>
    </row>
    <row r="33" spans="2:10" x14ac:dyDescent="0.25">
      <c r="B33" t="s">
        <v>424</v>
      </c>
      <c r="C33" t="s">
        <v>425</v>
      </c>
      <c r="D33" t="s">
        <v>426</v>
      </c>
      <c r="E33" t="s">
        <v>427</v>
      </c>
      <c r="F33" s="12">
        <v>2.5000000000000001E-2</v>
      </c>
      <c r="G33" t="s">
        <v>428</v>
      </c>
      <c r="H33" s="12">
        <v>0.97499999999999998</v>
      </c>
      <c r="I33" t="s">
        <v>429</v>
      </c>
      <c r="J33" t="s">
        <v>430</v>
      </c>
    </row>
    <row r="34" spans="2:10" x14ac:dyDescent="0.25">
      <c r="B34" t="s">
        <v>431</v>
      </c>
      <c r="C34">
        <v>0.66149999999999998</v>
      </c>
      <c r="D34">
        <v>0.1048</v>
      </c>
      <c r="E34">
        <v>1.487E-3</v>
      </c>
      <c r="F34">
        <v>0.47799999999999998</v>
      </c>
      <c r="G34">
        <v>0.65380000000000005</v>
      </c>
      <c r="H34">
        <v>0.8871</v>
      </c>
      <c r="I34">
        <v>40001</v>
      </c>
      <c r="J34">
        <v>120000</v>
      </c>
    </row>
    <row r="35" spans="2:10" x14ac:dyDescent="0.25">
      <c r="B35" t="s">
        <v>432</v>
      </c>
      <c r="C35">
        <v>1.4830000000000001</v>
      </c>
      <c r="D35">
        <v>0.33260000000000001</v>
      </c>
      <c r="E35">
        <v>5.4669999999999996E-3</v>
      </c>
      <c r="F35">
        <v>0.9415</v>
      </c>
      <c r="G35">
        <v>1.4450000000000001</v>
      </c>
      <c r="H35">
        <v>2.2410000000000001</v>
      </c>
      <c r="I35">
        <v>40001</v>
      </c>
      <c r="J35">
        <v>120000</v>
      </c>
    </row>
    <row r="36" spans="2:10" x14ac:dyDescent="0.25">
      <c r="B36" t="s">
        <v>433</v>
      </c>
      <c r="C36">
        <v>2.0270000000000001</v>
      </c>
      <c r="D36">
        <v>0.6925</v>
      </c>
      <c r="E36">
        <v>9.7339999999999996E-3</v>
      </c>
      <c r="F36">
        <v>1.004</v>
      </c>
      <c r="G36">
        <v>1.917</v>
      </c>
      <c r="H36">
        <v>3.68</v>
      </c>
      <c r="I36">
        <v>40001</v>
      </c>
      <c r="J36">
        <v>120000</v>
      </c>
    </row>
    <row r="37" spans="2:10" x14ac:dyDescent="0.25">
      <c r="B37" t="s">
        <v>434</v>
      </c>
      <c r="C37">
        <v>3.1219999999999999</v>
      </c>
      <c r="D37">
        <v>2.6190000000000002</v>
      </c>
      <c r="E37">
        <v>3.6380000000000003E-2</v>
      </c>
      <c r="F37">
        <v>0.67600000000000005</v>
      </c>
      <c r="G37">
        <v>2.4060000000000001</v>
      </c>
      <c r="H37">
        <v>9.8559999999999999</v>
      </c>
      <c r="I37">
        <v>40001</v>
      </c>
      <c r="J37">
        <v>120000</v>
      </c>
    </row>
    <row r="38" spans="2:10" x14ac:dyDescent="0.25">
      <c r="B38" t="s">
        <v>435</v>
      </c>
      <c r="C38">
        <v>2.5670000000000002</v>
      </c>
      <c r="D38">
        <v>1.1080000000000001</v>
      </c>
      <c r="E38">
        <v>1.5640000000000001E-2</v>
      </c>
      <c r="F38">
        <v>1.081</v>
      </c>
      <c r="G38">
        <v>2.3490000000000002</v>
      </c>
      <c r="H38">
        <v>5.31</v>
      </c>
      <c r="I38">
        <v>40001</v>
      </c>
      <c r="J38">
        <v>120000</v>
      </c>
    </row>
    <row r="39" spans="2:10" x14ac:dyDescent="0.25">
      <c r="B39" t="s">
        <v>436</v>
      </c>
      <c r="C39">
        <v>0.52459999999999996</v>
      </c>
      <c r="D39">
        <v>0.26690000000000003</v>
      </c>
      <c r="E39">
        <v>2.8289999999999999E-3</v>
      </c>
      <c r="F39">
        <v>0.18179999999999999</v>
      </c>
      <c r="G39">
        <v>0.46829999999999999</v>
      </c>
      <c r="H39">
        <v>1.19</v>
      </c>
      <c r="I39">
        <v>40001</v>
      </c>
      <c r="J39">
        <v>120000</v>
      </c>
    </row>
    <row r="40" spans="2:10" x14ac:dyDescent="0.25">
      <c r="B40" t="s">
        <v>437</v>
      </c>
      <c r="C40">
        <v>0.93049999999999999</v>
      </c>
      <c r="D40">
        <v>0.47060000000000002</v>
      </c>
      <c r="E40">
        <v>7.8120000000000004E-3</v>
      </c>
      <c r="F40">
        <v>0.3221</v>
      </c>
      <c r="G40">
        <v>0.83160000000000001</v>
      </c>
      <c r="H40">
        <v>2.109</v>
      </c>
      <c r="I40">
        <v>40001</v>
      </c>
      <c r="J40">
        <v>120000</v>
      </c>
    </row>
    <row r="41" spans="2:10" x14ac:dyDescent="0.25">
      <c r="B41" t="s">
        <v>438</v>
      </c>
      <c r="C41">
        <v>1.02</v>
      </c>
      <c r="D41">
        <v>0.23139999999999999</v>
      </c>
      <c r="E41">
        <v>2.1559999999999999E-3</v>
      </c>
      <c r="F41">
        <v>0.6583</v>
      </c>
      <c r="G41">
        <v>0.98870000000000002</v>
      </c>
      <c r="H41">
        <v>1.5669999999999999</v>
      </c>
      <c r="I41">
        <v>40001</v>
      </c>
      <c r="J41">
        <v>120000</v>
      </c>
    </row>
    <row r="42" spans="2:10" x14ac:dyDescent="0.25">
      <c r="B42" t="s">
        <v>439</v>
      </c>
      <c r="C42">
        <v>0.14849999999999999</v>
      </c>
      <c r="D42">
        <v>3.0499999999999999E-2</v>
      </c>
      <c r="E42" s="13">
        <v>3.678E-4</v>
      </c>
      <c r="F42">
        <v>9.7309999999999994E-2</v>
      </c>
      <c r="G42">
        <v>0.1454</v>
      </c>
      <c r="H42">
        <v>0.21640000000000001</v>
      </c>
      <c r="I42">
        <v>40001</v>
      </c>
      <c r="J42">
        <v>120000</v>
      </c>
    </row>
    <row r="43" spans="2:10" x14ac:dyDescent="0.25">
      <c r="B43" t="s">
        <v>440</v>
      </c>
      <c r="C43">
        <v>2.2690000000000001</v>
      </c>
      <c r="D43">
        <v>0.504</v>
      </c>
      <c r="E43">
        <v>7.6959999999999997E-3</v>
      </c>
      <c r="F43">
        <v>1.4390000000000001</v>
      </c>
      <c r="G43">
        <v>2.2200000000000002</v>
      </c>
      <c r="H43">
        <v>3.4020000000000001</v>
      </c>
      <c r="I43">
        <v>40001</v>
      </c>
      <c r="J43">
        <v>120000</v>
      </c>
    </row>
    <row r="44" spans="2:10" x14ac:dyDescent="0.25">
      <c r="B44" t="s">
        <v>441</v>
      </c>
      <c r="C44">
        <v>3.105</v>
      </c>
      <c r="D44">
        <v>1.0680000000000001</v>
      </c>
      <c r="E44">
        <v>1.47E-2</v>
      </c>
      <c r="F44">
        <v>1.5249999999999999</v>
      </c>
      <c r="G44">
        <v>2.9340000000000002</v>
      </c>
      <c r="H44">
        <v>5.6150000000000002</v>
      </c>
      <c r="I44">
        <v>40001</v>
      </c>
      <c r="J44">
        <v>120000</v>
      </c>
    </row>
    <row r="45" spans="2:10" x14ac:dyDescent="0.25">
      <c r="B45" t="s">
        <v>442</v>
      </c>
      <c r="C45">
        <v>4.718</v>
      </c>
      <c r="D45">
        <v>3.8380000000000001</v>
      </c>
      <c r="E45">
        <v>5.1909999999999998E-2</v>
      </c>
      <c r="F45">
        <v>1.0860000000000001</v>
      </c>
      <c r="G45">
        <v>3.681</v>
      </c>
      <c r="H45">
        <v>14.59</v>
      </c>
      <c r="I45">
        <v>40001</v>
      </c>
      <c r="J45">
        <v>120000</v>
      </c>
    </row>
    <row r="46" spans="2:10" x14ac:dyDescent="0.25">
      <c r="B46" t="s">
        <v>443</v>
      </c>
      <c r="C46">
        <v>3.9340000000000002</v>
      </c>
      <c r="D46">
        <v>1.7090000000000001</v>
      </c>
      <c r="E46">
        <v>2.3869999999999999E-2</v>
      </c>
      <c r="F46">
        <v>1.639</v>
      </c>
      <c r="G46">
        <v>3.59</v>
      </c>
      <c r="H46">
        <v>8.1669999999999998</v>
      </c>
      <c r="I46">
        <v>40001</v>
      </c>
      <c r="J46">
        <v>120000</v>
      </c>
    </row>
    <row r="47" spans="2:10" x14ac:dyDescent="0.25">
      <c r="B47" t="s">
        <v>444</v>
      </c>
      <c r="C47">
        <v>0.79379999999999995</v>
      </c>
      <c r="D47">
        <v>0.38009999999999999</v>
      </c>
      <c r="E47">
        <v>3.7829999999999999E-3</v>
      </c>
      <c r="F47">
        <v>0.29360000000000003</v>
      </c>
      <c r="G47">
        <v>0.71870000000000001</v>
      </c>
      <c r="H47">
        <v>1.73</v>
      </c>
      <c r="I47">
        <v>40001</v>
      </c>
      <c r="J47">
        <v>120000</v>
      </c>
    </row>
    <row r="48" spans="2:10" x14ac:dyDescent="0.25">
      <c r="B48" t="s">
        <v>445</v>
      </c>
      <c r="C48">
        <v>1.42</v>
      </c>
      <c r="D48">
        <v>0.70750000000000002</v>
      </c>
      <c r="E48">
        <v>1.149E-2</v>
      </c>
      <c r="F48">
        <v>0.50309999999999999</v>
      </c>
      <c r="G48">
        <v>1.2729999999999999</v>
      </c>
      <c r="H48">
        <v>3.194</v>
      </c>
      <c r="I48">
        <v>40001</v>
      </c>
      <c r="J48">
        <v>120000</v>
      </c>
    </row>
    <row r="49" spans="2:10" x14ac:dyDescent="0.25">
      <c r="B49" t="s">
        <v>446</v>
      </c>
      <c r="C49">
        <v>1.5740000000000001</v>
      </c>
      <c r="D49">
        <v>0.41170000000000001</v>
      </c>
      <c r="E49">
        <v>4.6049999999999997E-3</v>
      </c>
      <c r="F49">
        <v>0.94589999999999996</v>
      </c>
      <c r="G49">
        <v>1.514</v>
      </c>
      <c r="H49">
        <v>2.56</v>
      </c>
      <c r="I49">
        <v>40001</v>
      </c>
      <c r="J49">
        <v>120000</v>
      </c>
    </row>
    <row r="50" spans="2:10" x14ac:dyDescent="0.25">
      <c r="B50" t="s">
        <v>447</v>
      </c>
      <c r="C50">
        <v>0.22819999999999999</v>
      </c>
      <c r="D50">
        <v>5.1580000000000001E-2</v>
      </c>
      <c r="E50" s="13">
        <v>6.4490000000000001E-4</v>
      </c>
      <c r="F50">
        <v>0.14380000000000001</v>
      </c>
      <c r="G50">
        <v>0.22259999999999999</v>
      </c>
      <c r="H50">
        <v>0.34439999999999998</v>
      </c>
      <c r="I50">
        <v>40001</v>
      </c>
      <c r="J50">
        <v>120000</v>
      </c>
    </row>
    <row r="51" spans="2:10" x14ac:dyDescent="0.25">
      <c r="B51" t="s">
        <v>448</v>
      </c>
      <c r="C51">
        <v>1.369</v>
      </c>
      <c r="D51">
        <v>0.3513</v>
      </c>
      <c r="E51">
        <v>4.1339999999999997E-3</v>
      </c>
      <c r="F51">
        <v>0.80620000000000003</v>
      </c>
      <c r="G51">
        <v>1.327</v>
      </c>
      <c r="H51">
        <v>2.17</v>
      </c>
      <c r="I51">
        <v>40001</v>
      </c>
      <c r="J51">
        <v>120000</v>
      </c>
    </row>
    <row r="52" spans="2:10" x14ac:dyDescent="0.25">
      <c r="B52" t="s">
        <v>449</v>
      </c>
      <c r="C52">
        <v>2.1800000000000002</v>
      </c>
      <c r="D52">
        <v>1.8839999999999999</v>
      </c>
      <c r="E52">
        <v>2.6159999999999999E-2</v>
      </c>
      <c r="F52">
        <v>0.45400000000000001</v>
      </c>
      <c r="G52">
        <v>1.6619999999999999</v>
      </c>
      <c r="H52">
        <v>7.0709999999999997</v>
      </c>
      <c r="I52">
        <v>40001</v>
      </c>
      <c r="J52">
        <v>120000</v>
      </c>
    </row>
    <row r="53" spans="2:10" x14ac:dyDescent="0.25">
      <c r="B53" t="s">
        <v>450</v>
      </c>
      <c r="C53">
        <v>1.7310000000000001</v>
      </c>
      <c r="D53">
        <v>0.62</v>
      </c>
      <c r="E53">
        <v>7.9170000000000004E-3</v>
      </c>
      <c r="F53">
        <v>0.84330000000000005</v>
      </c>
      <c r="G53">
        <v>1.625</v>
      </c>
      <c r="H53">
        <v>3.2349999999999999</v>
      </c>
      <c r="I53">
        <v>40001</v>
      </c>
      <c r="J53">
        <v>120000</v>
      </c>
    </row>
    <row r="54" spans="2:10" x14ac:dyDescent="0.25">
      <c r="B54" t="s">
        <v>451</v>
      </c>
      <c r="C54">
        <v>0.36680000000000001</v>
      </c>
      <c r="D54">
        <v>0.1966</v>
      </c>
      <c r="E54">
        <v>2.2179999999999999E-3</v>
      </c>
      <c r="F54">
        <v>0.1197</v>
      </c>
      <c r="G54">
        <v>0.32479999999999998</v>
      </c>
      <c r="H54">
        <v>0.86470000000000002</v>
      </c>
      <c r="I54">
        <v>40001</v>
      </c>
      <c r="J54">
        <v>120000</v>
      </c>
    </row>
    <row r="55" spans="2:10" x14ac:dyDescent="0.25">
      <c r="B55" t="s">
        <v>452</v>
      </c>
      <c r="C55">
        <v>0.65359999999999996</v>
      </c>
      <c r="D55">
        <v>0.3574</v>
      </c>
      <c r="E55">
        <v>5.9620000000000003E-3</v>
      </c>
      <c r="F55">
        <v>0.20960000000000001</v>
      </c>
      <c r="G55">
        <v>0.57520000000000004</v>
      </c>
      <c r="H55">
        <v>1.5640000000000001</v>
      </c>
      <c r="I55">
        <v>40001</v>
      </c>
      <c r="J55">
        <v>120000</v>
      </c>
    </row>
    <row r="56" spans="2:10" x14ac:dyDescent="0.25">
      <c r="B56" t="s">
        <v>453</v>
      </c>
      <c r="C56">
        <v>0.71109999999999995</v>
      </c>
      <c r="D56">
        <v>0.18640000000000001</v>
      </c>
      <c r="E56">
        <v>2.7060000000000001E-3</v>
      </c>
      <c r="F56">
        <v>0.42220000000000002</v>
      </c>
      <c r="G56">
        <v>0.68569999999999998</v>
      </c>
      <c r="H56">
        <v>1.1459999999999999</v>
      </c>
      <c r="I56">
        <v>40001</v>
      </c>
      <c r="J56">
        <v>120000</v>
      </c>
    </row>
    <row r="57" spans="2:10" x14ac:dyDescent="0.25">
      <c r="B57" t="s">
        <v>454</v>
      </c>
      <c r="C57">
        <v>0.10349999999999999</v>
      </c>
      <c r="D57">
        <v>2.5149999999999999E-2</v>
      </c>
      <c r="E57" s="13">
        <v>3.901E-4</v>
      </c>
      <c r="F57">
        <v>6.2179999999999999E-2</v>
      </c>
      <c r="G57">
        <v>0.1007</v>
      </c>
      <c r="H57">
        <v>0.1605</v>
      </c>
      <c r="I57">
        <v>40001</v>
      </c>
      <c r="J57">
        <v>120000</v>
      </c>
    </row>
    <row r="58" spans="2:10" x14ac:dyDescent="0.25">
      <c r="B58" t="s">
        <v>455</v>
      </c>
      <c r="C58">
        <v>1.7</v>
      </c>
      <c r="D58">
        <v>1.613</v>
      </c>
      <c r="E58">
        <v>2.1749999999999999E-2</v>
      </c>
      <c r="F58">
        <v>0.314</v>
      </c>
      <c r="G58">
        <v>1.254</v>
      </c>
      <c r="H58">
        <v>5.7670000000000003</v>
      </c>
      <c r="I58">
        <v>40001</v>
      </c>
      <c r="J58">
        <v>120000</v>
      </c>
    </row>
    <row r="59" spans="2:10" x14ac:dyDescent="0.25">
      <c r="B59" t="s">
        <v>456</v>
      </c>
      <c r="C59">
        <v>1.3109999999999999</v>
      </c>
      <c r="D59">
        <v>0.48659999999999998</v>
      </c>
      <c r="E59">
        <v>5.8190000000000004E-3</v>
      </c>
      <c r="F59">
        <v>0.61970000000000003</v>
      </c>
      <c r="G59">
        <v>1.228</v>
      </c>
      <c r="H59">
        <v>2.4830000000000001</v>
      </c>
      <c r="I59">
        <v>40001</v>
      </c>
      <c r="J59">
        <v>120000</v>
      </c>
    </row>
    <row r="60" spans="2:10" x14ac:dyDescent="0.25">
      <c r="B60" t="s">
        <v>457</v>
      </c>
      <c r="C60">
        <v>0.2858</v>
      </c>
      <c r="D60">
        <v>0.17649999999999999</v>
      </c>
      <c r="E60">
        <v>1.9910000000000001E-3</v>
      </c>
      <c r="F60">
        <v>8.022E-2</v>
      </c>
      <c r="G60">
        <v>0.24479999999999999</v>
      </c>
      <c r="H60">
        <v>0.73870000000000002</v>
      </c>
      <c r="I60">
        <v>40001</v>
      </c>
      <c r="J60">
        <v>120000</v>
      </c>
    </row>
    <row r="61" spans="2:10" x14ac:dyDescent="0.25">
      <c r="B61" t="s">
        <v>458</v>
      </c>
      <c r="C61">
        <v>0.50860000000000005</v>
      </c>
      <c r="D61">
        <v>0.31480000000000002</v>
      </c>
      <c r="E61">
        <v>4.9249999999999997E-3</v>
      </c>
      <c r="F61">
        <v>0.14180000000000001</v>
      </c>
      <c r="G61">
        <v>0.433</v>
      </c>
      <c r="H61">
        <v>1.3169999999999999</v>
      </c>
      <c r="I61">
        <v>40001</v>
      </c>
      <c r="J61">
        <v>120000</v>
      </c>
    </row>
    <row r="62" spans="2:10" x14ac:dyDescent="0.25">
      <c r="B62" t="s">
        <v>459</v>
      </c>
      <c r="C62">
        <v>0.55320000000000003</v>
      </c>
      <c r="D62">
        <v>0.20760000000000001</v>
      </c>
      <c r="E62">
        <v>2.7030000000000001E-3</v>
      </c>
      <c r="F62">
        <v>0.26019999999999999</v>
      </c>
      <c r="G62">
        <v>0.51819999999999999</v>
      </c>
      <c r="H62">
        <v>1.0529999999999999</v>
      </c>
      <c r="I62">
        <v>40001</v>
      </c>
      <c r="J62">
        <v>120000</v>
      </c>
    </row>
    <row r="63" spans="2:10" x14ac:dyDescent="0.25">
      <c r="B63" t="s">
        <v>460</v>
      </c>
      <c r="C63">
        <v>8.0490000000000006E-2</v>
      </c>
      <c r="D63">
        <v>2.8760000000000001E-2</v>
      </c>
      <c r="E63" s="13">
        <v>4.014E-4</v>
      </c>
      <c r="F63">
        <v>3.8080000000000003E-2</v>
      </c>
      <c r="G63">
        <v>7.5990000000000002E-2</v>
      </c>
      <c r="H63">
        <v>0.1482</v>
      </c>
      <c r="I63">
        <v>40001</v>
      </c>
      <c r="J63">
        <v>120000</v>
      </c>
    </row>
    <row r="64" spans="2:10" x14ac:dyDescent="0.25">
      <c r="B64" t="s">
        <v>461</v>
      </c>
      <c r="C64">
        <v>1.2889999999999999</v>
      </c>
      <c r="D64">
        <v>1.131</v>
      </c>
      <c r="E64">
        <v>1.456E-2</v>
      </c>
      <c r="F64">
        <v>0.2009</v>
      </c>
      <c r="G64">
        <v>0.97840000000000005</v>
      </c>
      <c r="H64">
        <v>4.242</v>
      </c>
      <c r="I64">
        <v>40001</v>
      </c>
      <c r="J64">
        <v>120000</v>
      </c>
    </row>
    <row r="65" spans="2:10" x14ac:dyDescent="0.25">
      <c r="B65" t="s">
        <v>462</v>
      </c>
      <c r="C65">
        <v>0.26169999999999999</v>
      </c>
      <c r="D65">
        <v>0.24360000000000001</v>
      </c>
      <c r="E65">
        <v>2.7920000000000002E-3</v>
      </c>
      <c r="F65">
        <v>3.8330000000000003E-2</v>
      </c>
      <c r="G65">
        <v>0.19270000000000001</v>
      </c>
      <c r="H65">
        <v>0.88859999999999995</v>
      </c>
      <c r="I65">
        <v>40001</v>
      </c>
      <c r="J65">
        <v>120000</v>
      </c>
    </row>
    <row r="66" spans="2:10" x14ac:dyDescent="0.25">
      <c r="B66" t="s">
        <v>463</v>
      </c>
      <c r="C66">
        <v>0.46820000000000001</v>
      </c>
      <c r="D66">
        <v>0.43540000000000001</v>
      </c>
      <c r="E66">
        <v>6.0460000000000002E-3</v>
      </c>
      <c r="F66">
        <v>6.4759999999999998E-2</v>
      </c>
      <c r="G66">
        <v>0.34320000000000001</v>
      </c>
      <c r="H66">
        <v>1.6040000000000001</v>
      </c>
      <c r="I66">
        <v>40001</v>
      </c>
      <c r="J66">
        <v>120000</v>
      </c>
    </row>
    <row r="67" spans="2:10" x14ac:dyDescent="0.25">
      <c r="B67" t="s">
        <v>464</v>
      </c>
      <c r="C67">
        <v>0.51819999999999999</v>
      </c>
      <c r="D67">
        <v>0.40620000000000001</v>
      </c>
      <c r="E67">
        <v>5.1599999999999997E-3</v>
      </c>
      <c r="F67">
        <v>9.6579999999999999E-2</v>
      </c>
      <c r="G67">
        <v>0.41270000000000001</v>
      </c>
      <c r="H67">
        <v>1.5740000000000001</v>
      </c>
      <c r="I67">
        <v>40001</v>
      </c>
      <c r="J67">
        <v>120000</v>
      </c>
    </row>
    <row r="68" spans="2:10" x14ac:dyDescent="0.25">
      <c r="B68" t="s">
        <v>465</v>
      </c>
      <c r="C68">
        <v>7.5060000000000002E-2</v>
      </c>
      <c r="D68">
        <v>5.688E-2</v>
      </c>
      <c r="E68" s="13">
        <v>7.4240000000000005E-4</v>
      </c>
      <c r="F68">
        <v>1.4200000000000001E-2</v>
      </c>
      <c r="G68">
        <v>6.0499999999999998E-2</v>
      </c>
      <c r="H68">
        <v>0.222</v>
      </c>
      <c r="I68">
        <v>40001</v>
      </c>
      <c r="J68">
        <v>120000</v>
      </c>
    </row>
    <row r="69" spans="2:10" x14ac:dyDescent="0.25">
      <c r="B69" t="s">
        <v>466</v>
      </c>
      <c r="C69">
        <v>0.2379</v>
      </c>
      <c r="D69">
        <v>0.15720000000000001</v>
      </c>
      <c r="E69">
        <v>1.83E-3</v>
      </c>
      <c r="F69">
        <v>5.8840000000000003E-2</v>
      </c>
      <c r="G69">
        <v>0.19969999999999999</v>
      </c>
      <c r="H69">
        <v>0.64300000000000002</v>
      </c>
      <c r="I69">
        <v>40001</v>
      </c>
      <c r="J69">
        <v>120000</v>
      </c>
    </row>
    <row r="70" spans="2:10" x14ac:dyDescent="0.25">
      <c r="B70" t="s">
        <v>467</v>
      </c>
      <c r="C70">
        <v>0.42349999999999999</v>
      </c>
      <c r="D70">
        <v>0.2838</v>
      </c>
      <c r="E70">
        <v>4.4120000000000001E-3</v>
      </c>
      <c r="F70">
        <v>0.1043</v>
      </c>
      <c r="G70">
        <v>0.35199999999999998</v>
      </c>
      <c r="H70">
        <v>1.171</v>
      </c>
      <c r="I70">
        <v>40001</v>
      </c>
      <c r="J70">
        <v>120000</v>
      </c>
    </row>
    <row r="71" spans="2:10" x14ac:dyDescent="0.25">
      <c r="B71" t="s">
        <v>468</v>
      </c>
      <c r="C71">
        <v>0.46110000000000001</v>
      </c>
      <c r="D71">
        <v>0.20419999999999999</v>
      </c>
      <c r="E71">
        <v>2.6740000000000002E-3</v>
      </c>
      <c r="F71">
        <v>0.183</v>
      </c>
      <c r="G71">
        <v>0.42309999999999998</v>
      </c>
      <c r="H71">
        <v>0.9647</v>
      </c>
      <c r="I71">
        <v>40001</v>
      </c>
      <c r="J71">
        <v>120000</v>
      </c>
    </row>
    <row r="72" spans="2:10" x14ac:dyDescent="0.25">
      <c r="B72" t="s">
        <v>469</v>
      </c>
      <c r="C72">
        <v>6.7140000000000005E-2</v>
      </c>
      <c r="D72">
        <v>2.894E-2</v>
      </c>
      <c r="E72" s="13">
        <v>4.058E-4</v>
      </c>
      <c r="F72">
        <v>2.6780000000000002E-2</v>
      </c>
      <c r="G72">
        <v>6.2039999999999998E-2</v>
      </c>
      <c r="H72">
        <v>0.13800000000000001</v>
      </c>
      <c r="I72">
        <v>40001</v>
      </c>
      <c r="J72">
        <v>120000</v>
      </c>
    </row>
    <row r="73" spans="2:10" x14ac:dyDescent="0.25">
      <c r="B73" t="s">
        <v>470</v>
      </c>
      <c r="C73">
        <v>2.1890000000000001</v>
      </c>
      <c r="D73">
        <v>1.595</v>
      </c>
      <c r="E73">
        <v>2.0719999999999999E-2</v>
      </c>
      <c r="F73">
        <v>0.48559999999999998</v>
      </c>
      <c r="G73">
        <v>1.7849999999999999</v>
      </c>
      <c r="H73">
        <v>6.2359999999999998</v>
      </c>
      <c r="I73">
        <v>40001</v>
      </c>
      <c r="J73">
        <v>120000</v>
      </c>
    </row>
    <row r="74" spans="2:10" x14ac:dyDescent="0.25">
      <c r="B74" t="s">
        <v>471</v>
      </c>
      <c r="C74">
        <v>2.4329999999999998</v>
      </c>
      <c r="D74">
        <v>1.403</v>
      </c>
      <c r="E74">
        <v>1.421E-2</v>
      </c>
      <c r="F74">
        <v>0.78720000000000001</v>
      </c>
      <c r="G74">
        <v>2.1160000000000001</v>
      </c>
      <c r="H74">
        <v>5.9859999999999998</v>
      </c>
      <c r="I74">
        <v>40001</v>
      </c>
      <c r="J74">
        <v>120000</v>
      </c>
    </row>
    <row r="75" spans="2:10" x14ac:dyDescent="0.25">
      <c r="B75" t="s">
        <v>472</v>
      </c>
      <c r="C75">
        <v>0.35249999999999998</v>
      </c>
      <c r="D75">
        <v>0.19320000000000001</v>
      </c>
      <c r="E75">
        <v>2.0019999999999999E-3</v>
      </c>
      <c r="F75">
        <v>0.11650000000000001</v>
      </c>
      <c r="G75">
        <v>0.30969999999999998</v>
      </c>
      <c r="H75">
        <v>0.83540000000000003</v>
      </c>
      <c r="I75">
        <v>40001</v>
      </c>
      <c r="J75">
        <v>120000</v>
      </c>
    </row>
    <row r="76" spans="2:10" x14ac:dyDescent="0.25">
      <c r="B76" t="s">
        <v>473</v>
      </c>
      <c r="C76">
        <v>1.379</v>
      </c>
      <c r="D76">
        <v>0.79369999999999996</v>
      </c>
      <c r="E76">
        <v>1.2160000000000001E-2</v>
      </c>
      <c r="F76">
        <v>0.43609999999999999</v>
      </c>
      <c r="G76">
        <v>1.1919999999999999</v>
      </c>
      <c r="H76">
        <v>3.4009999999999998</v>
      </c>
      <c r="I76">
        <v>40001</v>
      </c>
      <c r="J76">
        <v>120000</v>
      </c>
    </row>
    <row r="77" spans="2:10" x14ac:dyDescent="0.25">
      <c r="B77" t="s">
        <v>474</v>
      </c>
      <c r="C77">
        <v>0.19989999999999999</v>
      </c>
      <c r="D77">
        <v>0.1104</v>
      </c>
      <c r="E77">
        <v>1.7489999999999999E-3</v>
      </c>
      <c r="F77">
        <v>6.4089999999999994E-2</v>
      </c>
      <c r="G77">
        <v>0.17499999999999999</v>
      </c>
      <c r="H77">
        <v>0.48270000000000002</v>
      </c>
      <c r="I77">
        <v>40001</v>
      </c>
      <c r="J77">
        <v>120000</v>
      </c>
    </row>
    <row r="78" spans="2:10" x14ac:dyDescent="0.25">
      <c r="B78" t="s">
        <v>475</v>
      </c>
      <c r="C78">
        <v>0.1507</v>
      </c>
      <c r="D78">
        <v>3.8359999999999998E-2</v>
      </c>
      <c r="E78" s="13">
        <v>4.217E-4</v>
      </c>
      <c r="F78">
        <v>8.7609999999999993E-2</v>
      </c>
      <c r="G78">
        <v>0.14660000000000001</v>
      </c>
      <c r="H78">
        <v>0.23749999999999999</v>
      </c>
      <c r="I78">
        <v>40001</v>
      </c>
      <c r="J78">
        <v>120000</v>
      </c>
    </row>
    <row r="79" spans="2:10" x14ac:dyDescent="0.25">
      <c r="B79" t="s">
        <v>476</v>
      </c>
      <c r="C79">
        <v>0.47660000000000002</v>
      </c>
      <c r="D79">
        <v>0.10059999999999999</v>
      </c>
      <c r="E79">
        <v>1.17E-3</v>
      </c>
      <c r="F79">
        <v>0.33329999999999999</v>
      </c>
      <c r="G79">
        <v>0.44440000000000002</v>
      </c>
      <c r="H79">
        <v>0.66669999999999996</v>
      </c>
      <c r="I79">
        <v>40001</v>
      </c>
      <c r="J79">
        <v>120000</v>
      </c>
    </row>
    <row r="80" spans="2:10" x14ac:dyDescent="0.25">
      <c r="B80" t="s">
        <v>477</v>
      </c>
      <c r="C80">
        <v>0.2382</v>
      </c>
      <c r="D80">
        <v>7.4959999999999999E-2</v>
      </c>
      <c r="E80" s="13">
        <v>8.6589999999999996E-4</v>
      </c>
      <c r="F80">
        <v>0.1111</v>
      </c>
      <c r="G80">
        <v>0.22220000000000001</v>
      </c>
      <c r="H80">
        <v>0.33329999999999999</v>
      </c>
      <c r="I80">
        <v>40001</v>
      </c>
      <c r="J80">
        <v>120000</v>
      </c>
    </row>
    <row r="81" spans="2:10" x14ac:dyDescent="0.25">
      <c r="B81" t="s">
        <v>478</v>
      </c>
      <c r="C81">
        <v>0.68379999999999996</v>
      </c>
      <c r="D81">
        <v>9.5390000000000003E-2</v>
      </c>
      <c r="E81">
        <v>1.1349999999999999E-3</v>
      </c>
      <c r="F81">
        <v>0.44440000000000002</v>
      </c>
      <c r="G81">
        <v>0.66669999999999996</v>
      </c>
      <c r="H81">
        <v>0.88890000000000002</v>
      </c>
      <c r="I81">
        <v>40001</v>
      </c>
      <c r="J81">
        <v>120000</v>
      </c>
    </row>
    <row r="82" spans="2:10" x14ac:dyDescent="0.25">
      <c r="B82" t="s">
        <v>479</v>
      </c>
      <c r="C82">
        <v>0.82130000000000003</v>
      </c>
      <c r="D82">
        <v>0.1166</v>
      </c>
      <c r="E82">
        <v>1.2949999999999999E-3</v>
      </c>
      <c r="F82">
        <v>0.55559999999999998</v>
      </c>
      <c r="G82">
        <v>0.77780000000000005</v>
      </c>
      <c r="H82">
        <v>1</v>
      </c>
      <c r="I82">
        <v>40001</v>
      </c>
      <c r="J82">
        <v>120000</v>
      </c>
    </row>
    <row r="83" spans="2:10" x14ac:dyDescent="0.25">
      <c r="B83" t="s">
        <v>480</v>
      </c>
      <c r="C83">
        <v>0.8448</v>
      </c>
      <c r="D83">
        <v>0.2019</v>
      </c>
      <c r="E83">
        <v>2.699E-3</v>
      </c>
      <c r="F83">
        <v>0.33329999999999999</v>
      </c>
      <c r="G83">
        <v>0.88890000000000002</v>
      </c>
      <c r="H83">
        <v>1</v>
      </c>
      <c r="I83">
        <v>40001</v>
      </c>
      <c r="J83">
        <v>120000</v>
      </c>
    </row>
    <row r="84" spans="2:10" x14ac:dyDescent="0.25">
      <c r="B84" t="s">
        <v>481</v>
      </c>
      <c r="C84">
        <v>0.89470000000000005</v>
      </c>
      <c r="D84">
        <v>0.11550000000000001</v>
      </c>
      <c r="E84">
        <v>1.3630000000000001E-3</v>
      </c>
      <c r="F84">
        <v>0.55559999999999998</v>
      </c>
      <c r="G84">
        <v>0.88890000000000002</v>
      </c>
      <c r="H84">
        <v>1</v>
      </c>
      <c r="I84">
        <v>40001</v>
      </c>
      <c r="J84">
        <v>120000</v>
      </c>
    </row>
    <row r="85" spans="2:10" x14ac:dyDescent="0.25">
      <c r="B85" t="s">
        <v>482</v>
      </c>
      <c r="C85">
        <v>0.1744</v>
      </c>
      <c r="D85">
        <v>0.12520000000000001</v>
      </c>
      <c r="E85">
        <v>1.204E-3</v>
      </c>
      <c r="F85">
        <v>0.1111</v>
      </c>
      <c r="G85">
        <v>0.1111</v>
      </c>
      <c r="H85">
        <v>0.55559999999999998</v>
      </c>
      <c r="I85">
        <v>40001</v>
      </c>
      <c r="J85">
        <v>120000</v>
      </c>
    </row>
    <row r="86" spans="2:10" x14ac:dyDescent="0.25">
      <c r="B86" t="s">
        <v>483</v>
      </c>
      <c r="C86">
        <v>0.39539999999999997</v>
      </c>
      <c r="D86">
        <v>0.21410000000000001</v>
      </c>
      <c r="E86">
        <v>3.5019999999999999E-3</v>
      </c>
      <c r="F86">
        <v>0.1111</v>
      </c>
      <c r="G86">
        <v>0.33329999999999999</v>
      </c>
      <c r="H86">
        <v>0.88890000000000002</v>
      </c>
      <c r="I86">
        <v>40001</v>
      </c>
      <c r="J86">
        <v>120000</v>
      </c>
    </row>
    <row r="87" spans="2:10" x14ac:dyDescent="0.25">
      <c r="B87" t="s">
        <v>484</v>
      </c>
      <c r="C87">
        <v>0.46960000000000002</v>
      </c>
      <c r="D87">
        <v>0.13039999999999999</v>
      </c>
      <c r="E87">
        <v>1.3849999999999999E-3</v>
      </c>
      <c r="F87">
        <v>0.22220000000000001</v>
      </c>
      <c r="G87">
        <v>0.44440000000000002</v>
      </c>
      <c r="H87">
        <v>0.77780000000000005</v>
      </c>
      <c r="I87">
        <v>40001</v>
      </c>
      <c r="J87">
        <v>120000</v>
      </c>
    </row>
    <row r="88" spans="2:10" x14ac:dyDescent="0.25">
      <c r="B88" t="s">
        <v>485</v>
      </c>
      <c r="C88">
        <v>1.3110000000000001E-3</v>
      </c>
      <c r="D88">
        <v>1.204E-2</v>
      </c>
      <c r="E88" s="13">
        <v>7.0759999999999993E-5</v>
      </c>
      <c r="F88">
        <v>0</v>
      </c>
      <c r="G88">
        <v>0</v>
      </c>
      <c r="H88">
        <v>0</v>
      </c>
      <c r="I88">
        <v>40001</v>
      </c>
      <c r="J88">
        <v>120000</v>
      </c>
    </row>
    <row r="89" spans="2:10" x14ac:dyDescent="0.25">
      <c r="B89" t="s">
        <v>486</v>
      </c>
      <c r="C89" s="13">
        <v>2.1670000000000001E-4</v>
      </c>
      <c r="D89">
        <v>1.472E-2</v>
      </c>
      <c r="E89" s="13">
        <v>4.9329999999999997E-5</v>
      </c>
      <c r="F89">
        <v>0</v>
      </c>
      <c r="G89">
        <v>0</v>
      </c>
      <c r="H89">
        <v>0</v>
      </c>
      <c r="I89">
        <v>40001</v>
      </c>
      <c r="J89">
        <v>120000</v>
      </c>
    </row>
    <row r="90" spans="2:10" x14ac:dyDescent="0.25">
      <c r="B90" t="s">
        <v>487</v>
      </c>
      <c r="C90">
        <v>0</v>
      </c>
      <c r="D90">
        <v>0</v>
      </c>
      <c r="E90" s="13">
        <v>1.6670000000000001E-13</v>
      </c>
      <c r="F90">
        <v>0</v>
      </c>
      <c r="G90">
        <v>0</v>
      </c>
      <c r="H90">
        <v>0</v>
      </c>
      <c r="I90">
        <v>40001</v>
      </c>
      <c r="J90">
        <v>120000</v>
      </c>
    </row>
    <row r="91" spans="2:10" x14ac:dyDescent="0.25">
      <c r="B91" t="s">
        <v>488</v>
      </c>
      <c r="C91">
        <v>4.2750000000000002E-3</v>
      </c>
      <c r="D91">
        <v>6.5240000000000006E-2</v>
      </c>
      <c r="E91" s="13">
        <v>3.678E-4</v>
      </c>
      <c r="F91">
        <v>0</v>
      </c>
      <c r="G91">
        <v>0</v>
      </c>
      <c r="H91">
        <v>0</v>
      </c>
      <c r="I91">
        <v>40001</v>
      </c>
      <c r="J91">
        <v>120000</v>
      </c>
    </row>
    <row r="92" spans="2:10" x14ac:dyDescent="0.25">
      <c r="B92" t="s">
        <v>489</v>
      </c>
      <c r="C92">
        <v>0.12</v>
      </c>
      <c r="D92">
        <v>0.32490000000000002</v>
      </c>
      <c r="E92">
        <v>3.1589999999999999E-3</v>
      </c>
      <c r="F92">
        <v>0</v>
      </c>
      <c r="G92">
        <v>0</v>
      </c>
      <c r="H92">
        <v>1</v>
      </c>
      <c r="I92">
        <v>40001</v>
      </c>
      <c r="J92">
        <v>120000</v>
      </c>
    </row>
    <row r="93" spans="2:10" x14ac:dyDescent="0.25">
      <c r="B93" t="s">
        <v>490</v>
      </c>
      <c r="C93">
        <v>0.47470000000000001</v>
      </c>
      <c r="D93">
        <v>0.49940000000000001</v>
      </c>
      <c r="E93">
        <v>6.3769999999999999E-3</v>
      </c>
      <c r="F93">
        <v>0</v>
      </c>
      <c r="G93">
        <v>0</v>
      </c>
      <c r="H93">
        <v>1</v>
      </c>
      <c r="I93">
        <v>40001</v>
      </c>
      <c r="J93">
        <v>120000</v>
      </c>
    </row>
    <row r="94" spans="2:10" x14ac:dyDescent="0.25">
      <c r="B94" t="s">
        <v>491</v>
      </c>
      <c r="C94">
        <v>0.38819999999999999</v>
      </c>
      <c r="D94">
        <v>0.48730000000000001</v>
      </c>
      <c r="E94">
        <v>5.8469999999999998E-3</v>
      </c>
      <c r="F94">
        <v>0</v>
      </c>
      <c r="G94">
        <v>0</v>
      </c>
      <c r="H94">
        <v>1</v>
      </c>
      <c r="I94">
        <v>40001</v>
      </c>
      <c r="J94">
        <v>120000</v>
      </c>
    </row>
    <row r="95" spans="2:10" x14ac:dyDescent="0.25">
      <c r="B95" t="s">
        <v>492</v>
      </c>
      <c r="C95" s="13">
        <v>4.3330000000000002E-4</v>
      </c>
      <c r="D95">
        <v>2.0809999999999999E-2</v>
      </c>
      <c r="E95" s="13">
        <v>6.8629999999999999E-5</v>
      </c>
      <c r="F95">
        <v>0</v>
      </c>
      <c r="G95">
        <v>0</v>
      </c>
      <c r="H95">
        <v>0</v>
      </c>
      <c r="I95">
        <v>40001</v>
      </c>
      <c r="J95">
        <v>120000</v>
      </c>
    </row>
    <row r="96" spans="2:10" x14ac:dyDescent="0.25">
      <c r="B96" t="s">
        <v>493</v>
      </c>
      <c r="C96">
        <v>1.0869999999999999E-2</v>
      </c>
      <c r="D96">
        <v>0.1037</v>
      </c>
      <c r="E96">
        <v>1.096E-3</v>
      </c>
      <c r="F96">
        <v>0</v>
      </c>
      <c r="G96">
        <v>0</v>
      </c>
      <c r="H96">
        <v>0</v>
      </c>
      <c r="I96">
        <v>40001</v>
      </c>
      <c r="J96">
        <v>120000</v>
      </c>
    </row>
    <row r="97" spans="2:10" x14ac:dyDescent="0.25">
      <c r="B97" t="s">
        <v>494</v>
      </c>
      <c r="C97">
        <v>1.2830000000000001E-3</v>
      </c>
      <c r="D97">
        <v>3.5799999999999998E-2</v>
      </c>
      <c r="E97" s="13">
        <v>1.3219999999999999E-4</v>
      </c>
      <c r="F97">
        <v>0</v>
      </c>
      <c r="G97">
        <v>0</v>
      </c>
      <c r="H97">
        <v>0</v>
      </c>
      <c r="I97">
        <v>40001</v>
      </c>
      <c r="J97">
        <v>120000</v>
      </c>
    </row>
    <row r="98" spans="2:10" x14ac:dyDescent="0.25">
      <c r="B98" t="s">
        <v>495</v>
      </c>
      <c r="C98">
        <v>0</v>
      </c>
      <c r="D98">
        <v>0</v>
      </c>
      <c r="E98" s="13">
        <v>1.6670000000000001E-13</v>
      </c>
      <c r="F98">
        <v>0</v>
      </c>
      <c r="G98">
        <v>0</v>
      </c>
      <c r="H98">
        <v>0</v>
      </c>
      <c r="I98">
        <v>40001</v>
      </c>
      <c r="J98">
        <v>120000</v>
      </c>
    </row>
    <row r="99" spans="2:10" x14ac:dyDescent="0.25">
      <c r="B99" t="s">
        <v>496</v>
      </c>
      <c r="C99">
        <v>0.54259999999999997</v>
      </c>
      <c r="D99">
        <v>0.76339999999999997</v>
      </c>
      <c r="E99">
        <v>2.1749999999999999E-3</v>
      </c>
      <c r="F99" s="13">
        <v>5.1639999999999998E-4</v>
      </c>
      <c r="G99">
        <v>0.24679999999999999</v>
      </c>
      <c r="H99">
        <v>2.698</v>
      </c>
      <c r="I99">
        <v>40001</v>
      </c>
      <c r="J99">
        <v>120000</v>
      </c>
    </row>
    <row r="100" spans="2:10" x14ac:dyDescent="0.25">
      <c r="B100" t="s">
        <v>497</v>
      </c>
      <c r="C100">
        <v>0.57709999999999995</v>
      </c>
      <c r="D100">
        <v>0.80730000000000002</v>
      </c>
      <c r="E100">
        <v>2.4260000000000002E-3</v>
      </c>
      <c r="F100" s="13">
        <v>5.5389999999999997E-4</v>
      </c>
      <c r="G100">
        <v>0.2656</v>
      </c>
      <c r="H100">
        <v>2.8849999999999998</v>
      </c>
      <c r="I100">
        <v>40001</v>
      </c>
      <c r="J100">
        <v>120000</v>
      </c>
    </row>
    <row r="101" spans="2:10" x14ac:dyDescent="0.25">
      <c r="B101" t="s">
        <v>498</v>
      </c>
      <c r="C101">
        <v>1.5609999999999999</v>
      </c>
      <c r="D101">
        <v>1.8380000000000001</v>
      </c>
      <c r="E101">
        <v>1.3979999999999999E-2</v>
      </c>
      <c r="F101">
        <v>2.3219999999999998E-3</v>
      </c>
      <c r="G101">
        <v>0.90710000000000002</v>
      </c>
      <c r="H101">
        <v>6.5839999999999996</v>
      </c>
      <c r="I101">
        <v>40001</v>
      </c>
      <c r="J101">
        <v>120000</v>
      </c>
    </row>
    <row r="102" spans="2:10" x14ac:dyDescent="0.25">
      <c r="B102" t="s">
        <v>499</v>
      </c>
      <c r="C102">
        <v>1.4350000000000001</v>
      </c>
      <c r="D102">
        <v>1.7889999999999999</v>
      </c>
      <c r="E102">
        <v>1.0489999999999999E-2</v>
      </c>
      <c r="F102">
        <v>1.7650000000000001E-3</v>
      </c>
      <c r="G102">
        <v>0.76959999999999995</v>
      </c>
      <c r="H102">
        <v>6.3959999999999999</v>
      </c>
      <c r="I102">
        <v>40001</v>
      </c>
      <c r="J102">
        <v>120000</v>
      </c>
    </row>
    <row r="103" spans="2:10" x14ac:dyDescent="0.25">
      <c r="B103" t="s">
        <v>500</v>
      </c>
      <c r="C103">
        <v>1.069</v>
      </c>
      <c r="D103">
        <v>1.4930000000000001</v>
      </c>
      <c r="E103">
        <v>7.7669999999999996E-3</v>
      </c>
      <c r="F103">
        <v>1.0020000000000001E-3</v>
      </c>
      <c r="G103">
        <v>0.49159999999999998</v>
      </c>
      <c r="H103">
        <v>5.319</v>
      </c>
      <c r="I103">
        <v>40001</v>
      </c>
      <c r="J103">
        <v>120000</v>
      </c>
    </row>
    <row r="104" spans="2:10" x14ac:dyDescent="0.25">
      <c r="B104" t="s">
        <v>501</v>
      </c>
      <c r="C104">
        <v>1.091</v>
      </c>
      <c r="D104">
        <v>1.52</v>
      </c>
      <c r="E104">
        <v>6.3899999999999998E-3</v>
      </c>
      <c r="F104">
        <v>1.134E-3</v>
      </c>
      <c r="G104">
        <v>0.50649999999999995</v>
      </c>
      <c r="H104">
        <v>5.4240000000000004</v>
      </c>
      <c r="I104">
        <v>40001</v>
      </c>
      <c r="J104">
        <v>120000</v>
      </c>
    </row>
    <row r="105" spans="2:10" x14ac:dyDescent="0.25">
      <c r="B105" t="s">
        <v>502</v>
      </c>
      <c r="C105">
        <v>0.73470000000000002</v>
      </c>
      <c r="D105">
        <v>1.032</v>
      </c>
      <c r="E105">
        <v>2.8500000000000001E-3</v>
      </c>
      <c r="F105" s="13">
        <v>7.6860000000000003E-4</v>
      </c>
      <c r="G105">
        <v>0.3377</v>
      </c>
      <c r="H105">
        <v>3.649</v>
      </c>
      <c r="I105">
        <v>40001</v>
      </c>
      <c r="J105">
        <v>120000</v>
      </c>
    </row>
    <row r="106" spans="2:10" x14ac:dyDescent="0.25">
      <c r="B106" t="s">
        <v>503</v>
      </c>
      <c r="C106">
        <v>0.41970000000000002</v>
      </c>
      <c r="D106">
        <v>0.59209999999999996</v>
      </c>
      <c r="E106">
        <v>1.751E-3</v>
      </c>
      <c r="F106" s="13">
        <v>4.1790000000000002E-4</v>
      </c>
      <c r="G106">
        <v>0.1928</v>
      </c>
      <c r="H106">
        <v>2.1019999999999999</v>
      </c>
      <c r="I106">
        <v>40001</v>
      </c>
      <c r="J106">
        <v>120000</v>
      </c>
    </row>
    <row r="107" spans="2:10" x14ac:dyDescent="0.25">
      <c r="B107" t="s">
        <v>504</v>
      </c>
      <c r="C107">
        <v>0.21190000000000001</v>
      </c>
      <c r="D107">
        <v>0.3029</v>
      </c>
      <c r="E107">
        <v>1.475E-3</v>
      </c>
      <c r="F107" s="13">
        <v>2.019E-4</v>
      </c>
      <c r="G107">
        <v>9.7629999999999995E-2</v>
      </c>
      <c r="H107">
        <v>1.0509999999999999</v>
      </c>
      <c r="I107">
        <v>40001</v>
      </c>
      <c r="J107">
        <v>120000</v>
      </c>
    </row>
    <row r="108" spans="2:10" x14ac:dyDescent="0.25">
      <c r="B108" t="s">
        <v>505</v>
      </c>
      <c r="C108">
        <v>0.89500000000000002</v>
      </c>
      <c r="D108">
        <v>1.272</v>
      </c>
      <c r="E108">
        <v>3.7190000000000001E-3</v>
      </c>
      <c r="F108" s="13">
        <v>8.6970000000000005E-4</v>
      </c>
      <c r="G108">
        <v>0.40260000000000001</v>
      </c>
      <c r="H108">
        <v>4.532</v>
      </c>
      <c r="I108">
        <v>40001</v>
      </c>
      <c r="J108">
        <v>120000</v>
      </c>
    </row>
    <row r="109" spans="2:10" x14ac:dyDescent="0.25">
      <c r="B109" t="s">
        <v>506</v>
      </c>
      <c r="C109">
        <v>0.81320000000000003</v>
      </c>
      <c r="D109">
        <v>1.1519999999999999</v>
      </c>
      <c r="E109">
        <v>5.0350000000000004E-3</v>
      </c>
      <c r="F109" s="13">
        <v>8.7410000000000005E-4</v>
      </c>
      <c r="G109">
        <v>0.3705</v>
      </c>
      <c r="H109">
        <v>4.0979999999999999</v>
      </c>
      <c r="I109">
        <v>40001</v>
      </c>
      <c r="J109">
        <v>120000</v>
      </c>
    </row>
    <row r="110" spans="2:10" x14ac:dyDescent="0.25">
      <c r="B110" t="s">
        <v>507</v>
      </c>
      <c r="C110">
        <v>0.81430000000000002</v>
      </c>
      <c r="D110">
        <v>1.151</v>
      </c>
      <c r="E110">
        <v>4.1859999999999996E-3</v>
      </c>
      <c r="F110" s="13">
        <v>7.9239999999999996E-4</v>
      </c>
      <c r="G110">
        <v>0.3705</v>
      </c>
      <c r="H110">
        <v>4.0880000000000001</v>
      </c>
      <c r="I110">
        <v>40001</v>
      </c>
      <c r="J110">
        <v>120000</v>
      </c>
    </row>
    <row r="111" spans="2:10" x14ac:dyDescent="0.25">
      <c r="B111" t="s">
        <v>508</v>
      </c>
      <c r="C111">
        <v>0.84489999999999998</v>
      </c>
      <c r="D111">
        <v>1.17</v>
      </c>
      <c r="E111">
        <v>4.6280000000000002E-3</v>
      </c>
      <c r="F111" s="13">
        <v>8.4639999999999997E-4</v>
      </c>
      <c r="G111">
        <v>0.39269999999999999</v>
      </c>
      <c r="H111">
        <v>4.1829999999999998</v>
      </c>
      <c r="I111">
        <v>40001</v>
      </c>
      <c r="J111">
        <v>120000</v>
      </c>
    </row>
    <row r="112" spans="2:10" x14ac:dyDescent="0.25">
      <c r="B112" t="s">
        <v>509</v>
      </c>
      <c r="C112">
        <v>0.68679999999999997</v>
      </c>
      <c r="D112">
        <v>0.97640000000000005</v>
      </c>
      <c r="E112">
        <v>4.6680000000000003E-3</v>
      </c>
      <c r="F112" s="13">
        <v>6.7980000000000004E-4</v>
      </c>
      <c r="G112">
        <v>0.31369999999999998</v>
      </c>
      <c r="H112">
        <v>3.4990000000000001</v>
      </c>
      <c r="I112">
        <v>40001</v>
      </c>
      <c r="J112">
        <v>120000</v>
      </c>
    </row>
    <row r="113" spans="2:10" x14ac:dyDescent="0.25">
      <c r="B113" t="s">
        <v>510</v>
      </c>
      <c r="C113">
        <v>1.415</v>
      </c>
      <c r="D113">
        <v>1.7689999999999999</v>
      </c>
      <c r="E113">
        <v>9.7190000000000002E-3</v>
      </c>
      <c r="F113">
        <v>1.8209999999999999E-3</v>
      </c>
      <c r="G113">
        <v>0.75790000000000002</v>
      </c>
      <c r="H113">
        <v>6.31</v>
      </c>
      <c r="I113">
        <v>40001</v>
      </c>
      <c r="J113">
        <v>120000</v>
      </c>
    </row>
    <row r="114" spans="2:10" x14ac:dyDescent="0.25">
      <c r="B114" t="s">
        <v>511</v>
      </c>
      <c r="C114">
        <v>1.5029999999999999</v>
      </c>
      <c r="D114">
        <v>1.675</v>
      </c>
      <c r="E114">
        <v>1.2330000000000001E-2</v>
      </c>
      <c r="F114">
        <v>2.8249999999999998E-3</v>
      </c>
      <c r="G114">
        <v>0.95140000000000002</v>
      </c>
      <c r="H114">
        <v>6</v>
      </c>
      <c r="I114">
        <v>40001</v>
      </c>
      <c r="J114">
        <v>120000</v>
      </c>
    </row>
    <row r="115" spans="2:10" x14ac:dyDescent="0.25">
      <c r="B115" t="s">
        <v>512</v>
      </c>
      <c r="C115">
        <v>2.1829999999999998</v>
      </c>
      <c r="D115">
        <v>1.8580000000000001</v>
      </c>
      <c r="E115">
        <v>1.448E-2</v>
      </c>
      <c r="F115">
        <v>3.184E-2</v>
      </c>
      <c r="G115">
        <v>1.732</v>
      </c>
      <c r="H115">
        <v>6.9169999999999998</v>
      </c>
      <c r="I115">
        <v>40001</v>
      </c>
      <c r="J115">
        <v>120000</v>
      </c>
    </row>
    <row r="116" spans="2:10" x14ac:dyDescent="0.25">
      <c r="B116" t="s">
        <v>513</v>
      </c>
      <c r="C116">
        <v>1.496</v>
      </c>
      <c r="D116">
        <v>1.847</v>
      </c>
      <c r="E116">
        <v>7.7609999999999997E-3</v>
      </c>
      <c r="F116">
        <v>1.934E-3</v>
      </c>
      <c r="G116">
        <v>0.82230000000000003</v>
      </c>
      <c r="H116">
        <v>6.5810000000000004</v>
      </c>
      <c r="I116">
        <v>40001</v>
      </c>
      <c r="J116">
        <v>120000</v>
      </c>
    </row>
    <row r="117" spans="2:10" x14ac:dyDescent="0.25">
      <c r="B117" t="s">
        <v>514</v>
      </c>
      <c r="C117">
        <v>0.86080000000000001</v>
      </c>
      <c r="D117">
        <v>1.1910000000000001</v>
      </c>
      <c r="E117">
        <v>4.6740000000000002E-3</v>
      </c>
      <c r="F117" s="13">
        <v>8.2149999999999996E-4</v>
      </c>
      <c r="G117">
        <v>0.40110000000000001</v>
      </c>
      <c r="H117">
        <v>4.2380000000000004</v>
      </c>
      <c r="I117">
        <v>40001</v>
      </c>
      <c r="J117">
        <v>120000</v>
      </c>
    </row>
    <row r="118" spans="2:10" x14ac:dyDescent="0.25">
      <c r="B118" t="s">
        <v>515</v>
      </c>
      <c r="C118">
        <v>0.6855</v>
      </c>
      <c r="D118">
        <v>0.95899999999999996</v>
      </c>
      <c r="E118">
        <v>4.8589999999999996E-3</v>
      </c>
      <c r="F118" s="13">
        <v>6.6029999999999995E-4</v>
      </c>
      <c r="G118">
        <v>0.31469999999999998</v>
      </c>
      <c r="H118">
        <v>3.4079999999999999</v>
      </c>
      <c r="I118">
        <v>40001</v>
      </c>
      <c r="J118">
        <v>120000</v>
      </c>
    </row>
    <row r="119" spans="2:10" x14ac:dyDescent="0.25">
      <c r="B119" t="s">
        <v>516</v>
      </c>
      <c r="C119">
        <v>1.649</v>
      </c>
      <c r="D119">
        <v>1.79</v>
      </c>
      <c r="E119">
        <v>9.358E-3</v>
      </c>
      <c r="F119">
        <v>3.467E-3</v>
      </c>
      <c r="G119">
        <v>1.073</v>
      </c>
      <c r="H119">
        <v>6.43</v>
      </c>
      <c r="I119">
        <v>40001</v>
      </c>
      <c r="J119">
        <v>120000</v>
      </c>
    </row>
    <row r="120" spans="2:10" x14ac:dyDescent="0.25">
      <c r="B120" t="s">
        <v>517</v>
      </c>
      <c r="C120">
        <v>1.7090000000000001</v>
      </c>
      <c r="D120">
        <v>1.827</v>
      </c>
      <c r="E120">
        <v>9.5890000000000003E-3</v>
      </c>
      <c r="F120">
        <v>3.8089999999999999E-3</v>
      </c>
      <c r="G120">
        <v>1.1319999999999999</v>
      </c>
      <c r="H120">
        <v>6.548</v>
      </c>
      <c r="I120">
        <v>40001</v>
      </c>
      <c r="J120">
        <v>120000</v>
      </c>
    </row>
    <row r="121" spans="2:10" x14ac:dyDescent="0.25">
      <c r="B121" t="s">
        <v>518</v>
      </c>
      <c r="C121">
        <v>1.2529999999999999</v>
      </c>
      <c r="D121">
        <v>1.571</v>
      </c>
      <c r="E121">
        <v>1.4120000000000001E-2</v>
      </c>
      <c r="F121">
        <v>1.56E-3</v>
      </c>
      <c r="G121">
        <v>0.66969999999999996</v>
      </c>
      <c r="H121">
        <v>5.6260000000000003</v>
      </c>
      <c r="I121">
        <v>40001</v>
      </c>
      <c r="J121">
        <v>120000</v>
      </c>
    </row>
    <row r="122" spans="2:10" x14ac:dyDescent="0.25">
      <c r="B122" t="s">
        <v>519</v>
      </c>
      <c r="C122">
        <v>1.2889999999999999</v>
      </c>
      <c r="D122">
        <v>1.671</v>
      </c>
      <c r="E122">
        <v>1.1050000000000001E-2</v>
      </c>
      <c r="F122">
        <v>1.4989999999999999E-3</v>
      </c>
      <c r="G122">
        <v>0.65010000000000001</v>
      </c>
      <c r="H122">
        <v>5.9379999999999997</v>
      </c>
      <c r="I122">
        <v>40001</v>
      </c>
      <c r="J122">
        <v>120000</v>
      </c>
    </row>
    <row r="123" spans="2:10" x14ac:dyDescent="0.25">
      <c r="B123" t="s">
        <v>520</v>
      </c>
      <c r="C123">
        <v>0.80710000000000004</v>
      </c>
      <c r="D123">
        <v>0.877</v>
      </c>
      <c r="E123">
        <v>4.2329999999999998E-3</v>
      </c>
      <c r="F123">
        <v>1.47E-3</v>
      </c>
      <c r="G123">
        <v>0.51910000000000001</v>
      </c>
      <c r="H123">
        <v>3.1579999999999999</v>
      </c>
      <c r="I123">
        <v>40001</v>
      </c>
      <c r="J123">
        <v>120000</v>
      </c>
    </row>
    <row r="124" spans="2:10" x14ac:dyDescent="0.25">
      <c r="B124" t="s">
        <v>521</v>
      </c>
      <c r="C124">
        <v>0.873</v>
      </c>
      <c r="D124">
        <v>1.22</v>
      </c>
      <c r="E124">
        <v>3.62E-3</v>
      </c>
      <c r="F124" s="13">
        <v>8.8239999999999998E-4</v>
      </c>
      <c r="G124">
        <v>0.39939999999999998</v>
      </c>
      <c r="H124">
        <v>4.3239999999999998</v>
      </c>
      <c r="I124">
        <v>40001</v>
      </c>
      <c r="J124">
        <v>120000</v>
      </c>
    </row>
    <row r="125" spans="2:10" x14ac:dyDescent="0.25">
      <c r="B125" t="s">
        <v>522</v>
      </c>
      <c r="C125">
        <v>0.61460000000000004</v>
      </c>
      <c r="D125">
        <v>0.83720000000000006</v>
      </c>
      <c r="E125">
        <v>2.7520000000000001E-3</v>
      </c>
      <c r="F125" s="13">
        <v>6.3360000000000001E-4</v>
      </c>
      <c r="G125">
        <v>0.28960000000000002</v>
      </c>
      <c r="H125">
        <v>2.9940000000000002</v>
      </c>
      <c r="I125">
        <v>40001</v>
      </c>
      <c r="J125">
        <v>120000</v>
      </c>
    </row>
    <row r="126" spans="2:10" x14ac:dyDescent="0.25">
      <c r="B126" t="s">
        <v>523</v>
      </c>
      <c r="C126">
        <v>0.59930000000000005</v>
      </c>
      <c r="D126">
        <v>0.84279999999999999</v>
      </c>
      <c r="E126">
        <v>2.5469999999999998E-3</v>
      </c>
      <c r="F126" s="13">
        <v>6.1939999999999999E-4</v>
      </c>
      <c r="G126">
        <v>0.27460000000000001</v>
      </c>
      <c r="H126">
        <v>2.9769999999999999</v>
      </c>
      <c r="I126">
        <v>40001</v>
      </c>
      <c r="J126">
        <v>120000</v>
      </c>
    </row>
    <row r="127" spans="2:10" x14ac:dyDescent="0.25">
      <c r="B127" t="s">
        <v>524</v>
      </c>
      <c r="C127">
        <v>1.1439999999999999</v>
      </c>
      <c r="D127">
        <v>1.573</v>
      </c>
      <c r="E127">
        <v>1.319E-2</v>
      </c>
      <c r="F127">
        <v>1.163E-3</v>
      </c>
      <c r="G127">
        <v>0.53749999999999998</v>
      </c>
      <c r="H127">
        <v>5.5830000000000002</v>
      </c>
      <c r="I127">
        <v>40001</v>
      </c>
      <c r="J127">
        <v>120000</v>
      </c>
    </row>
    <row r="128" spans="2:10" x14ac:dyDescent="0.25">
      <c r="B128" t="s">
        <v>525</v>
      </c>
      <c r="C128">
        <v>1.0509999999999999</v>
      </c>
      <c r="D128">
        <v>1.472</v>
      </c>
      <c r="E128">
        <v>1.218E-2</v>
      </c>
      <c r="F128">
        <v>1.0790000000000001E-3</v>
      </c>
      <c r="G128">
        <v>0.48720000000000002</v>
      </c>
      <c r="H128">
        <v>5.258</v>
      </c>
      <c r="I128">
        <v>40001</v>
      </c>
      <c r="J128">
        <v>120000</v>
      </c>
    </row>
    <row r="129" spans="2:10" x14ac:dyDescent="0.25">
      <c r="B129" t="s">
        <v>526</v>
      </c>
      <c r="C129">
        <v>1.008</v>
      </c>
      <c r="D129">
        <v>1.419</v>
      </c>
      <c r="E129">
        <v>7.0320000000000001E-3</v>
      </c>
      <c r="F129">
        <v>1.0189999999999999E-3</v>
      </c>
      <c r="G129">
        <v>0.46429999999999999</v>
      </c>
      <c r="H129">
        <v>5.0620000000000003</v>
      </c>
      <c r="I129">
        <v>40001</v>
      </c>
      <c r="J129">
        <v>120000</v>
      </c>
    </row>
    <row r="130" spans="2:10" x14ac:dyDescent="0.25">
      <c r="B130" t="s">
        <v>527</v>
      </c>
      <c r="C130">
        <v>1.026</v>
      </c>
      <c r="D130">
        <v>1.448</v>
      </c>
      <c r="E130">
        <v>1.2019999999999999E-2</v>
      </c>
      <c r="F130">
        <v>1.029E-3</v>
      </c>
      <c r="G130">
        <v>0.46629999999999999</v>
      </c>
      <c r="H130">
        <v>5.1529999999999996</v>
      </c>
      <c r="I130">
        <v>40001</v>
      </c>
      <c r="J130">
        <v>120000</v>
      </c>
    </row>
    <row r="131" spans="2:10" x14ac:dyDescent="0.25">
      <c r="B131" t="s">
        <v>528</v>
      </c>
      <c r="C131">
        <v>2.548</v>
      </c>
      <c r="D131">
        <v>1.5860000000000001</v>
      </c>
      <c r="E131">
        <v>7.0910000000000001E-3</v>
      </c>
      <c r="F131">
        <v>0.4793</v>
      </c>
      <c r="G131">
        <v>2.2160000000000002</v>
      </c>
      <c r="H131">
        <v>6.5229999999999997</v>
      </c>
      <c r="I131">
        <v>40001</v>
      </c>
      <c r="J131">
        <v>120000</v>
      </c>
    </row>
    <row r="132" spans="2:10" x14ac:dyDescent="0.25">
      <c r="B132" t="s">
        <v>529</v>
      </c>
      <c r="C132">
        <v>1.8340000000000001</v>
      </c>
      <c r="D132">
        <v>2.121</v>
      </c>
      <c r="E132">
        <v>7.0730000000000003E-3</v>
      </c>
      <c r="F132">
        <v>3.0200000000000001E-3</v>
      </c>
      <c r="G132">
        <v>1.101</v>
      </c>
      <c r="H132">
        <v>7.601</v>
      </c>
      <c r="I132">
        <v>40001</v>
      </c>
      <c r="J132">
        <v>120000</v>
      </c>
    </row>
    <row r="133" spans="2:10" x14ac:dyDescent="0.25">
      <c r="B133" t="s">
        <v>530</v>
      </c>
      <c r="C133">
        <v>0.72070000000000001</v>
      </c>
      <c r="D133">
        <v>1.0289999999999999</v>
      </c>
      <c r="E133">
        <v>5.9769999999999997E-3</v>
      </c>
      <c r="F133" s="13">
        <v>7.3450000000000002E-4</v>
      </c>
      <c r="G133">
        <v>0.3241</v>
      </c>
      <c r="H133">
        <v>3.65</v>
      </c>
      <c r="I133">
        <v>40001</v>
      </c>
      <c r="J133">
        <v>120000</v>
      </c>
    </row>
    <row r="134" spans="2:10" x14ac:dyDescent="0.25">
      <c r="B134" t="s">
        <v>531</v>
      </c>
      <c r="C134">
        <v>0.9042</v>
      </c>
      <c r="D134">
        <v>1.286</v>
      </c>
      <c r="E134">
        <v>3.82E-3</v>
      </c>
      <c r="F134" s="13">
        <v>8.3759999999999998E-4</v>
      </c>
      <c r="G134">
        <v>0.40739999999999998</v>
      </c>
      <c r="H134">
        <v>4.5659999999999998</v>
      </c>
      <c r="I134">
        <v>40001</v>
      </c>
      <c r="J134">
        <v>120000</v>
      </c>
    </row>
    <row r="135" spans="2:10" x14ac:dyDescent="0.25">
      <c r="B135" t="s">
        <v>532</v>
      </c>
      <c r="C135">
        <v>0.69610000000000005</v>
      </c>
      <c r="D135">
        <v>1.006</v>
      </c>
      <c r="E135">
        <v>3.045E-3</v>
      </c>
      <c r="F135" s="13">
        <v>6.8219999999999999E-4</v>
      </c>
      <c r="G135">
        <v>0.31080000000000002</v>
      </c>
      <c r="H135">
        <v>3.5550000000000002</v>
      </c>
      <c r="I135">
        <v>40001</v>
      </c>
      <c r="J135">
        <v>120000</v>
      </c>
    </row>
    <row r="136" spans="2:10" x14ac:dyDescent="0.25">
      <c r="B136" t="s">
        <v>533</v>
      </c>
      <c r="C136">
        <v>0.49280000000000002</v>
      </c>
      <c r="D136">
        <v>0.74550000000000005</v>
      </c>
      <c r="E136">
        <v>2.346E-3</v>
      </c>
      <c r="F136" s="13">
        <v>4.6470000000000002E-4</v>
      </c>
      <c r="G136">
        <v>0.21310000000000001</v>
      </c>
      <c r="H136">
        <v>2.5910000000000002</v>
      </c>
      <c r="I136">
        <v>40001</v>
      </c>
      <c r="J136">
        <v>120000</v>
      </c>
    </row>
    <row r="137" spans="2:10" x14ac:dyDescent="0.25">
      <c r="B137" t="s">
        <v>534</v>
      </c>
      <c r="C137">
        <v>1.7889999999999999</v>
      </c>
      <c r="D137">
        <v>1.97</v>
      </c>
      <c r="E137">
        <v>1.4930000000000001E-2</v>
      </c>
      <c r="F137">
        <v>3.7109999999999999E-3</v>
      </c>
      <c r="G137">
        <v>1.139</v>
      </c>
      <c r="H137">
        <v>7.0789999999999997</v>
      </c>
      <c r="I137">
        <v>40001</v>
      </c>
      <c r="J137">
        <v>120000</v>
      </c>
    </row>
    <row r="138" spans="2:10" x14ac:dyDescent="0.25">
      <c r="B138" t="s">
        <v>535</v>
      </c>
      <c r="C138">
        <v>1.548</v>
      </c>
      <c r="D138">
        <v>1.8640000000000001</v>
      </c>
      <c r="E138">
        <v>1.082E-2</v>
      </c>
      <c r="F138">
        <v>2.1189999999999998E-3</v>
      </c>
      <c r="G138">
        <v>0.87339999999999995</v>
      </c>
      <c r="H138">
        <v>6.6879999999999997</v>
      </c>
      <c r="I138">
        <v>40001</v>
      </c>
      <c r="J138">
        <v>120000</v>
      </c>
    </row>
    <row r="139" spans="2:10" x14ac:dyDescent="0.25">
      <c r="B139" t="s">
        <v>536</v>
      </c>
      <c r="C139">
        <v>0.99419999999999997</v>
      </c>
      <c r="D139">
        <v>1.403</v>
      </c>
      <c r="E139">
        <v>7.744E-3</v>
      </c>
      <c r="F139">
        <v>1.0280000000000001E-3</v>
      </c>
      <c r="G139">
        <v>0.4546</v>
      </c>
      <c r="H139">
        <v>4.9859999999999998</v>
      </c>
      <c r="I139">
        <v>40001</v>
      </c>
      <c r="J139">
        <v>120000</v>
      </c>
    </row>
    <row r="140" spans="2:10" x14ac:dyDescent="0.25">
      <c r="B140" t="s">
        <v>537</v>
      </c>
      <c r="C140">
        <v>1.0089999999999999</v>
      </c>
      <c r="D140">
        <v>1.4339999999999999</v>
      </c>
      <c r="E140">
        <v>6.3850000000000001E-3</v>
      </c>
      <c r="F140" s="13">
        <v>9.7230000000000005E-4</v>
      </c>
      <c r="G140">
        <v>0.45889999999999997</v>
      </c>
      <c r="H140">
        <v>5.0970000000000004</v>
      </c>
      <c r="I140">
        <v>40001</v>
      </c>
      <c r="J140">
        <v>120000</v>
      </c>
    </row>
    <row r="141" spans="2:10" x14ac:dyDescent="0.25">
      <c r="B141" t="s">
        <v>538</v>
      </c>
      <c r="C141">
        <v>0.50329999999999997</v>
      </c>
      <c r="D141">
        <v>0.71599999999999997</v>
      </c>
      <c r="E141">
        <v>2.2049999999999999E-3</v>
      </c>
      <c r="F141" s="13">
        <v>5.0299999999999997E-4</v>
      </c>
      <c r="G141">
        <v>0.22850000000000001</v>
      </c>
      <c r="H141">
        <v>2.5329999999999999</v>
      </c>
      <c r="I141">
        <v>40001</v>
      </c>
      <c r="J141">
        <v>120000</v>
      </c>
    </row>
    <row r="142" spans="2:10" x14ac:dyDescent="0.25">
      <c r="B142" t="s">
        <v>539</v>
      </c>
      <c r="C142">
        <v>0.61409999999999998</v>
      </c>
      <c r="D142">
        <v>0.86550000000000005</v>
      </c>
      <c r="E142">
        <v>2.578E-3</v>
      </c>
      <c r="F142" s="13">
        <v>5.9789999999999995E-4</v>
      </c>
      <c r="G142">
        <v>0.28179999999999999</v>
      </c>
      <c r="H142">
        <v>3.0760000000000001</v>
      </c>
      <c r="I142">
        <v>40001</v>
      </c>
      <c r="J142">
        <v>120000</v>
      </c>
    </row>
    <row r="143" spans="2:10" x14ac:dyDescent="0.25">
      <c r="B143" t="s">
        <v>540</v>
      </c>
      <c r="C143">
        <v>1.0149999999999999</v>
      </c>
      <c r="D143">
        <v>1.3420000000000001</v>
      </c>
      <c r="E143">
        <v>6.4780000000000003E-3</v>
      </c>
      <c r="F143">
        <v>1.1280000000000001E-3</v>
      </c>
      <c r="G143">
        <v>0.50109999999999999</v>
      </c>
      <c r="H143">
        <v>4.7919999999999998</v>
      </c>
      <c r="I143">
        <v>40001</v>
      </c>
      <c r="J143">
        <v>120000</v>
      </c>
    </row>
    <row r="144" spans="2:10" x14ac:dyDescent="0.25">
      <c r="B144" t="s">
        <v>541</v>
      </c>
      <c r="C144">
        <v>1.1479999999999999</v>
      </c>
      <c r="D144">
        <v>1.4530000000000001</v>
      </c>
      <c r="E144">
        <v>7.1399999999999996E-3</v>
      </c>
      <c r="F144">
        <v>1.405E-3</v>
      </c>
      <c r="G144">
        <v>0.60319999999999996</v>
      </c>
      <c r="H144">
        <v>5.202</v>
      </c>
      <c r="I144">
        <v>40001</v>
      </c>
      <c r="J144">
        <v>120000</v>
      </c>
    </row>
    <row r="145" spans="2:10" x14ac:dyDescent="0.25">
      <c r="B145" t="s">
        <v>542</v>
      </c>
      <c r="C145">
        <v>1.0209999999999999</v>
      </c>
      <c r="D145">
        <v>1.27</v>
      </c>
      <c r="E145">
        <v>5.0390000000000001E-3</v>
      </c>
      <c r="F145">
        <v>1.343E-3</v>
      </c>
      <c r="G145">
        <v>0.55179999999999996</v>
      </c>
      <c r="H145">
        <v>4.5430000000000001</v>
      </c>
      <c r="I145">
        <v>40001</v>
      </c>
      <c r="J145">
        <v>120000</v>
      </c>
    </row>
    <row r="146" spans="2:10" x14ac:dyDescent="0.25">
      <c r="B146" t="s">
        <v>543</v>
      </c>
      <c r="C146">
        <v>0.86909999999999998</v>
      </c>
      <c r="D146">
        <v>1.1679999999999999</v>
      </c>
      <c r="E146">
        <v>3.797E-3</v>
      </c>
      <c r="F146" s="13">
        <v>9.9170000000000009E-4</v>
      </c>
      <c r="G146">
        <v>0.42</v>
      </c>
      <c r="H146">
        <v>4.1829999999999998</v>
      </c>
      <c r="I146">
        <v>40001</v>
      </c>
      <c r="J146">
        <v>120000</v>
      </c>
    </row>
    <row r="147" spans="2:10" x14ac:dyDescent="0.25">
      <c r="B147" t="s">
        <v>544</v>
      </c>
      <c r="C147">
        <v>0.75360000000000005</v>
      </c>
      <c r="D147">
        <v>0.95050000000000001</v>
      </c>
      <c r="E147">
        <v>3.7959999999999999E-3</v>
      </c>
      <c r="F147" s="13">
        <v>9.4830000000000001E-4</v>
      </c>
      <c r="G147">
        <v>0.4012</v>
      </c>
      <c r="H147">
        <v>3.3919999999999999</v>
      </c>
      <c r="I147">
        <v>40001</v>
      </c>
      <c r="J147">
        <v>120000</v>
      </c>
    </row>
    <row r="148" spans="2:10" x14ac:dyDescent="0.25">
      <c r="B148" t="s">
        <v>545</v>
      </c>
      <c r="C148">
        <v>1.0409999999999999</v>
      </c>
      <c r="D148">
        <v>1.403</v>
      </c>
      <c r="E148">
        <v>4.3470000000000002E-3</v>
      </c>
      <c r="F148">
        <v>1.0640000000000001E-3</v>
      </c>
      <c r="G148">
        <v>0.49990000000000001</v>
      </c>
      <c r="H148">
        <v>4.9809999999999999</v>
      </c>
      <c r="I148">
        <v>40001</v>
      </c>
      <c r="J148">
        <v>120000</v>
      </c>
    </row>
    <row r="149" spans="2:10" x14ac:dyDescent="0.25">
      <c r="B149" t="s">
        <v>546</v>
      </c>
      <c r="C149">
        <v>0.43240000000000001</v>
      </c>
      <c r="D149">
        <v>0.62090000000000001</v>
      </c>
      <c r="E149">
        <v>1.9109999999999999E-3</v>
      </c>
      <c r="F149" s="13">
        <v>4.1439999999999999E-4</v>
      </c>
      <c r="G149">
        <v>0.1951</v>
      </c>
      <c r="H149">
        <v>2.1829999999999998</v>
      </c>
      <c r="I149">
        <v>40001</v>
      </c>
      <c r="J149">
        <v>120000</v>
      </c>
    </row>
    <row r="150" spans="2:10" x14ac:dyDescent="0.25">
      <c r="B150" t="s">
        <v>547</v>
      </c>
      <c r="C150">
        <v>0.71379999999999999</v>
      </c>
      <c r="D150">
        <v>1.0009999999999999</v>
      </c>
      <c r="E150">
        <v>2.8340000000000001E-3</v>
      </c>
      <c r="F150" s="13">
        <v>7.2709999999999995E-4</v>
      </c>
      <c r="G150">
        <v>0.32669999999999999</v>
      </c>
      <c r="H150">
        <v>3.569</v>
      </c>
      <c r="I150">
        <v>40001</v>
      </c>
      <c r="J150">
        <v>120000</v>
      </c>
    </row>
    <row r="151" spans="2:10" x14ac:dyDescent="0.25">
      <c r="B151" t="s">
        <v>548</v>
      </c>
      <c r="C151">
        <v>0.6794</v>
      </c>
      <c r="D151">
        <v>0.96040000000000003</v>
      </c>
      <c r="E151">
        <v>3.055E-3</v>
      </c>
      <c r="F151" s="13">
        <v>6.6149999999999998E-4</v>
      </c>
      <c r="G151">
        <v>0.30980000000000002</v>
      </c>
      <c r="H151">
        <v>3.423</v>
      </c>
      <c r="I151">
        <v>40001</v>
      </c>
      <c r="J151">
        <v>120000</v>
      </c>
    </row>
    <row r="152" spans="2:10" x14ac:dyDescent="0.25">
      <c r="B152" t="s">
        <v>549</v>
      </c>
      <c r="C152">
        <v>0.58699999999999997</v>
      </c>
      <c r="D152">
        <v>0.8175</v>
      </c>
      <c r="E152">
        <v>2.9450000000000001E-3</v>
      </c>
      <c r="F152" s="13">
        <v>5.7799999999999995E-4</v>
      </c>
      <c r="G152">
        <v>0.27150000000000002</v>
      </c>
      <c r="H152">
        <v>2.8940000000000001</v>
      </c>
      <c r="I152">
        <v>40001</v>
      </c>
      <c r="J152">
        <v>120000</v>
      </c>
    </row>
    <row r="153" spans="2:10" x14ac:dyDescent="0.25">
      <c r="B153" t="s">
        <v>550</v>
      </c>
      <c r="C153">
        <v>0.51319999999999999</v>
      </c>
      <c r="D153">
        <v>0.73309999999999997</v>
      </c>
      <c r="E153">
        <v>2.3040000000000001E-3</v>
      </c>
      <c r="F153" s="13">
        <v>4.7019999999999999E-4</v>
      </c>
      <c r="G153">
        <v>0.23119999999999999</v>
      </c>
      <c r="H153">
        <v>2.59</v>
      </c>
      <c r="I153">
        <v>40001</v>
      </c>
      <c r="J153">
        <v>120000</v>
      </c>
    </row>
    <row r="154" spans="2:10" x14ac:dyDescent="0.25">
      <c r="B154" t="s">
        <v>551</v>
      </c>
      <c r="C154">
        <v>0.64510000000000001</v>
      </c>
      <c r="D154">
        <v>0.90529999999999999</v>
      </c>
      <c r="E154">
        <v>2.6700000000000001E-3</v>
      </c>
      <c r="F154" s="13">
        <v>6.4740000000000002E-4</v>
      </c>
      <c r="G154">
        <v>0.29670000000000002</v>
      </c>
      <c r="H154">
        <v>3.2349999999999999</v>
      </c>
      <c r="I154">
        <v>40001</v>
      </c>
      <c r="J154">
        <v>120000</v>
      </c>
    </row>
    <row r="155" spans="2:10" x14ac:dyDescent="0.25">
      <c r="B155" t="s">
        <v>552</v>
      </c>
      <c r="C155">
        <v>1.7689999999999999</v>
      </c>
      <c r="D155">
        <v>2.0209999999999999</v>
      </c>
      <c r="E155">
        <v>1.494E-2</v>
      </c>
      <c r="F155">
        <v>2.9030000000000002E-3</v>
      </c>
      <c r="G155">
        <v>1.069</v>
      </c>
      <c r="H155">
        <v>7.2619999999999996</v>
      </c>
      <c r="I155">
        <v>40001</v>
      </c>
      <c r="J155">
        <v>120000</v>
      </c>
    </row>
    <row r="156" spans="2:10" x14ac:dyDescent="0.25">
      <c r="B156" t="s">
        <v>553</v>
      </c>
      <c r="C156">
        <v>1.7829999999999999</v>
      </c>
      <c r="D156">
        <v>2.0270000000000001</v>
      </c>
      <c r="E156">
        <v>1.4120000000000001E-2</v>
      </c>
      <c r="F156">
        <v>2.944E-3</v>
      </c>
      <c r="G156">
        <v>1.091</v>
      </c>
      <c r="H156">
        <v>7.242</v>
      </c>
      <c r="I156">
        <v>40001</v>
      </c>
      <c r="J156">
        <v>120000</v>
      </c>
    </row>
    <row r="157" spans="2:10" x14ac:dyDescent="0.25">
      <c r="B157" t="s">
        <v>554</v>
      </c>
      <c r="C157">
        <v>2.6080000000000001</v>
      </c>
      <c r="D157">
        <v>2.121</v>
      </c>
      <c r="E157">
        <v>1.8169999999999999E-2</v>
      </c>
      <c r="F157">
        <v>2.4279999999999999E-2</v>
      </c>
      <c r="G157">
        <v>2.1560000000000001</v>
      </c>
      <c r="H157">
        <v>7.7990000000000004</v>
      </c>
      <c r="I157">
        <v>40001</v>
      </c>
      <c r="J157">
        <v>120000</v>
      </c>
    </row>
    <row r="158" spans="2:10" x14ac:dyDescent="0.25">
      <c r="B158" t="s">
        <v>555</v>
      </c>
      <c r="C158">
        <v>1.6719999999999999</v>
      </c>
      <c r="D158">
        <v>1.986</v>
      </c>
      <c r="E158">
        <v>8.3400000000000002E-3</v>
      </c>
      <c r="F158">
        <v>2.4740000000000001E-3</v>
      </c>
      <c r="G158">
        <v>0.96050000000000002</v>
      </c>
      <c r="H158">
        <v>7.1280000000000001</v>
      </c>
      <c r="I158">
        <v>40001</v>
      </c>
      <c r="J158">
        <v>120000</v>
      </c>
    </row>
    <row r="159" spans="2:10" x14ac:dyDescent="0.25">
      <c r="B159" t="s">
        <v>556</v>
      </c>
      <c r="C159">
        <v>0.9</v>
      </c>
      <c r="D159">
        <v>1.1850000000000001</v>
      </c>
      <c r="E159">
        <v>5.7229999999999998E-3</v>
      </c>
      <c r="F159">
        <v>1.023E-3</v>
      </c>
      <c r="G159">
        <v>0.44890000000000002</v>
      </c>
      <c r="H159">
        <v>4.2249999999999996</v>
      </c>
      <c r="I159">
        <v>40001</v>
      </c>
      <c r="J159">
        <v>120000</v>
      </c>
    </row>
    <row r="160" spans="2:10" x14ac:dyDescent="0.25">
      <c r="B160" t="s">
        <v>557</v>
      </c>
      <c r="C160">
        <v>0.83960000000000001</v>
      </c>
      <c r="D160">
        <v>1.159</v>
      </c>
      <c r="E160">
        <v>4.235E-3</v>
      </c>
      <c r="F160" s="13">
        <v>8.5950000000000002E-4</v>
      </c>
      <c r="G160">
        <v>0.39460000000000001</v>
      </c>
      <c r="H160">
        <v>4.12</v>
      </c>
      <c r="I160">
        <v>40001</v>
      </c>
      <c r="J160">
        <v>120000</v>
      </c>
    </row>
    <row r="161" spans="2:10" x14ac:dyDescent="0.25">
      <c r="B161" t="s">
        <v>558</v>
      </c>
      <c r="C161">
        <v>1.091</v>
      </c>
      <c r="D161">
        <v>1.3220000000000001</v>
      </c>
      <c r="E161">
        <v>5.5050000000000003E-3</v>
      </c>
      <c r="F161">
        <v>1.5020000000000001E-3</v>
      </c>
      <c r="G161">
        <v>0.60670000000000002</v>
      </c>
      <c r="H161">
        <v>4.7220000000000004</v>
      </c>
      <c r="I161">
        <v>40001</v>
      </c>
      <c r="J161">
        <v>120000</v>
      </c>
    </row>
    <row r="162" spans="2:10" x14ac:dyDescent="0.25">
      <c r="B162" t="s">
        <v>559</v>
      </c>
      <c r="C162">
        <v>0.93110000000000004</v>
      </c>
      <c r="D162">
        <v>1.248</v>
      </c>
      <c r="E162">
        <v>4.2950000000000002E-3</v>
      </c>
      <c r="F162">
        <v>1.0369999999999999E-3</v>
      </c>
      <c r="G162">
        <v>0.45229999999999998</v>
      </c>
      <c r="H162">
        <v>4.4409999999999998</v>
      </c>
      <c r="I162">
        <v>40001</v>
      </c>
      <c r="J162">
        <v>120000</v>
      </c>
    </row>
    <row r="163" spans="2:10" x14ac:dyDescent="0.25">
      <c r="B163" t="s">
        <v>560</v>
      </c>
      <c r="C163">
        <v>0.80979999999999996</v>
      </c>
      <c r="D163">
        <v>1.0940000000000001</v>
      </c>
      <c r="E163">
        <v>4.0020000000000003E-3</v>
      </c>
      <c r="F163" s="13">
        <v>8.7489999999999996E-4</v>
      </c>
      <c r="G163">
        <v>0.38990000000000002</v>
      </c>
      <c r="H163">
        <v>3.9039999999999999</v>
      </c>
      <c r="I163">
        <v>40001</v>
      </c>
      <c r="J163">
        <v>120000</v>
      </c>
    </row>
    <row r="164" spans="2:10" x14ac:dyDescent="0.25">
      <c r="B164" t="s">
        <v>561</v>
      </c>
      <c r="C164">
        <v>1.1140000000000001</v>
      </c>
      <c r="D164">
        <v>1.359</v>
      </c>
      <c r="E164">
        <v>4.7829999999999999E-3</v>
      </c>
      <c r="F164">
        <v>1.518E-3</v>
      </c>
      <c r="G164">
        <v>0.61539999999999995</v>
      </c>
      <c r="H164">
        <v>4.8410000000000002</v>
      </c>
      <c r="I164">
        <v>40001</v>
      </c>
      <c r="J164">
        <v>120000</v>
      </c>
    </row>
    <row r="165" spans="2:10" x14ac:dyDescent="0.25">
      <c r="B165" t="s">
        <v>562</v>
      </c>
      <c r="C165">
        <v>1.605</v>
      </c>
      <c r="D165">
        <v>1.859</v>
      </c>
      <c r="E165">
        <v>1.239E-2</v>
      </c>
      <c r="F165">
        <v>2.3140000000000001E-3</v>
      </c>
      <c r="G165">
        <v>0.95740000000000003</v>
      </c>
      <c r="H165">
        <v>6.6920000000000002</v>
      </c>
      <c r="I165">
        <v>40001</v>
      </c>
      <c r="J165">
        <v>120000</v>
      </c>
    </row>
    <row r="166" spans="2:10" x14ac:dyDescent="0.25">
      <c r="B166" t="s">
        <v>563</v>
      </c>
      <c r="C166">
        <v>1.4770000000000001</v>
      </c>
      <c r="D166">
        <v>1.7629999999999999</v>
      </c>
      <c r="E166">
        <v>9.8289999999999992E-3</v>
      </c>
      <c r="F166">
        <v>2.1359999999999999E-3</v>
      </c>
      <c r="G166">
        <v>0.84289999999999998</v>
      </c>
      <c r="H166">
        <v>6.343</v>
      </c>
      <c r="I166">
        <v>40001</v>
      </c>
      <c r="J166">
        <v>120000</v>
      </c>
    </row>
    <row r="167" spans="2:10" x14ac:dyDescent="0.25">
      <c r="B167" t="s">
        <v>564</v>
      </c>
      <c r="C167">
        <v>1.2949999999999999</v>
      </c>
      <c r="D167">
        <v>1.6459999999999999</v>
      </c>
      <c r="E167">
        <v>1.061E-2</v>
      </c>
      <c r="F167">
        <v>1.578E-3</v>
      </c>
      <c r="G167">
        <v>0.67610000000000003</v>
      </c>
      <c r="H167">
        <v>5.8949999999999996</v>
      </c>
      <c r="I167">
        <v>40001</v>
      </c>
      <c r="J167">
        <v>120000</v>
      </c>
    </row>
    <row r="168" spans="2:10" x14ac:dyDescent="0.25">
      <c r="B168" t="s">
        <v>565</v>
      </c>
      <c r="C168">
        <v>1.2969999999999999</v>
      </c>
      <c r="D168">
        <v>1.585</v>
      </c>
      <c r="E168">
        <v>1.137E-2</v>
      </c>
      <c r="F168">
        <v>1.784E-3</v>
      </c>
      <c r="G168">
        <v>0.71250000000000002</v>
      </c>
      <c r="H168">
        <v>5.68</v>
      </c>
      <c r="I168">
        <v>40001</v>
      </c>
      <c r="J168">
        <v>120000</v>
      </c>
    </row>
    <row r="169" spans="2:10" x14ac:dyDescent="0.25">
      <c r="B169" t="s">
        <v>566</v>
      </c>
      <c r="C169">
        <v>0.79820000000000002</v>
      </c>
      <c r="D169">
        <v>1.1240000000000001</v>
      </c>
      <c r="E169">
        <v>4.6950000000000004E-3</v>
      </c>
      <c r="F169" s="13">
        <v>7.7079999999999998E-4</v>
      </c>
      <c r="G169">
        <v>0.36609999999999998</v>
      </c>
      <c r="H169">
        <v>3.9790000000000001</v>
      </c>
      <c r="I169">
        <v>40001</v>
      </c>
      <c r="J169">
        <v>120000</v>
      </c>
    </row>
    <row r="170" spans="2:10" x14ac:dyDescent="0.25">
      <c r="B170" t="s">
        <v>567</v>
      </c>
      <c r="C170">
        <v>0.67569999999999997</v>
      </c>
      <c r="D170">
        <v>0.96499999999999997</v>
      </c>
      <c r="E170">
        <v>3.9490000000000003E-3</v>
      </c>
      <c r="F170" s="13">
        <v>6.581E-4</v>
      </c>
      <c r="G170">
        <v>0.30430000000000001</v>
      </c>
      <c r="H170">
        <v>3.4329999999999998</v>
      </c>
      <c r="I170">
        <v>40001</v>
      </c>
      <c r="J170">
        <v>120000</v>
      </c>
    </row>
    <row r="171" spans="2:10" x14ac:dyDescent="0.25">
      <c r="B171" t="s">
        <v>568</v>
      </c>
      <c r="C171">
        <v>0.6875</v>
      </c>
      <c r="D171">
        <v>0.95799999999999996</v>
      </c>
      <c r="E171">
        <v>3.663E-3</v>
      </c>
      <c r="F171" s="13">
        <v>6.7409999999999996E-4</v>
      </c>
      <c r="G171">
        <v>0.31890000000000002</v>
      </c>
      <c r="H171">
        <v>3.4180000000000001</v>
      </c>
      <c r="I171">
        <v>40001</v>
      </c>
      <c r="J171">
        <v>120000</v>
      </c>
    </row>
    <row r="172" spans="2:10" x14ac:dyDescent="0.25">
      <c r="B172" t="s">
        <v>569</v>
      </c>
      <c r="C172">
        <v>0.87319999999999998</v>
      </c>
      <c r="D172">
        <v>1.1870000000000001</v>
      </c>
      <c r="E172">
        <v>3.8089999999999999E-3</v>
      </c>
      <c r="F172" s="13">
        <v>8.8069999999999999E-4</v>
      </c>
      <c r="G172">
        <v>0.41689999999999999</v>
      </c>
      <c r="H172">
        <v>4.2779999999999996</v>
      </c>
      <c r="I172">
        <v>40001</v>
      </c>
      <c r="J172">
        <v>120000</v>
      </c>
    </row>
    <row r="173" spans="2:10" x14ac:dyDescent="0.25">
      <c r="B173" t="s">
        <v>570</v>
      </c>
      <c r="C173">
        <v>0.5726</v>
      </c>
      <c r="D173">
        <v>0.77729999999999999</v>
      </c>
      <c r="E173">
        <v>4.1029999999999999E-3</v>
      </c>
      <c r="F173" s="13">
        <v>5.9469999999999998E-4</v>
      </c>
      <c r="G173">
        <v>0.27329999999999999</v>
      </c>
      <c r="H173">
        <v>2.7770000000000001</v>
      </c>
      <c r="I173">
        <v>40001</v>
      </c>
      <c r="J173">
        <v>120000</v>
      </c>
    </row>
    <row r="174" spans="2:10" x14ac:dyDescent="0.25">
      <c r="B174" t="s">
        <v>571</v>
      </c>
      <c r="C174">
        <v>0.77959999999999996</v>
      </c>
      <c r="D174">
        <v>1.085</v>
      </c>
      <c r="E174">
        <v>3.5479999999999999E-3</v>
      </c>
      <c r="F174" s="13">
        <v>7.7010000000000002E-4</v>
      </c>
      <c r="G174">
        <v>0.36349999999999999</v>
      </c>
      <c r="H174">
        <v>3.867</v>
      </c>
      <c r="I174">
        <v>40001</v>
      </c>
      <c r="J174">
        <v>120000</v>
      </c>
    </row>
    <row r="175" spans="2:10" x14ac:dyDescent="0.25">
      <c r="B175" t="s">
        <v>572</v>
      </c>
      <c r="C175">
        <v>1.0369999999999999</v>
      </c>
      <c r="D175">
        <v>1.4330000000000001</v>
      </c>
      <c r="E175">
        <v>4.4770000000000001E-3</v>
      </c>
      <c r="F175">
        <v>1.0499999999999999E-3</v>
      </c>
      <c r="G175">
        <v>0.48230000000000001</v>
      </c>
      <c r="H175">
        <v>5.0819999999999999</v>
      </c>
      <c r="I175">
        <v>40001</v>
      </c>
      <c r="J175">
        <v>120000</v>
      </c>
    </row>
    <row r="176" spans="2:10" x14ac:dyDescent="0.25">
      <c r="B176" t="s">
        <v>573</v>
      </c>
      <c r="C176">
        <v>1.0529999999999999</v>
      </c>
      <c r="D176">
        <v>1.2050000000000001</v>
      </c>
      <c r="E176">
        <v>4.4530000000000004E-3</v>
      </c>
      <c r="F176">
        <v>2.2060000000000001E-3</v>
      </c>
      <c r="G176">
        <v>0.65390000000000004</v>
      </c>
      <c r="H176">
        <v>4.3220000000000001</v>
      </c>
      <c r="I176">
        <v>40001</v>
      </c>
      <c r="J176">
        <v>120000</v>
      </c>
    </row>
    <row r="177" spans="2:10" x14ac:dyDescent="0.25">
      <c r="B177" t="s">
        <v>574</v>
      </c>
      <c r="C177">
        <v>0.51019999999999999</v>
      </c>
      <c r="D177">
        <v>0.71879999999999999</v>
      </c>
      <c r="E177">
        <v>2.2309999999999999E-3</v>
      </c>
      <c r="F177" s="13">
        <v>5.0230000000000001E-4</v>
      </c>
      <c r="G177">
        <v>0.2354</v>
      </c>
      <c r="H177">
        <v>2.556</v>
      </c>
      <c r="I177">
        <v>40001</v>
      </c>
      <c r="J177">
        <v>120000</v>
      </c>
    </row>
    <row r="178" spans="2:10" x14ac:dyDescent="0.25">
      <c r="B178" t="s">
        <v>575</v>
      </c>
      <c r="C178">
        <v>0.61409999999999998</v>
      </c>
      <c r="D178">
        <v>0.87229999999999996</v>
      </c>
      <c r="E178">
        <v>2.6719999999999999E-3</v>
      </c>
      <c r="F178" s="13">
        <v>5.8460000000000001E-4</v>
      </c>
      <c r="G178">
        <v>0.27710000000000001</v>
      </c>
      <c r="H178">
        <v>3.0870000000000002</v>
      </c>
      <c r="I178">
        <v>40001</v>
      </c>
      <c r="J178">
        <v>120000</v>
      </c>
    </row>
    <row r="179" spans="2:10" x14ac:dyDescent="0.25">
      <c r="B179" t="s">
        <v>576</v>
      </c>
      <c r="C179">
        <v>0.5504</v>
      </c>
      <c r="D179">
        <v>0.78510000000000002</v>
      </c>
      <c r="E179">
        <v>2.3349999999999998E-3</v>
      </c>
      <c r="F179" s="13">
        <v>5.5040000000000004E-4</v>
      </c>
      <c r="G179">
        <v>0.25</v>
      </c>
      <c r="H179">
        <v>2.77</v>
      </c>
      <c r="I179">
        <v>40001</v>
      </c>
      <c r="J179">
        <v>120000</v>
      </c>
    </row>
    <row r="180" spans="2:10" x14ac:dyDescent="0.25">
      <c r="B180" t="s">
        <v>577</v>
      </c>
      <c r="C180">
        <v>0.6018</v>
      </c>
      <c r="D180">
        <v>0.85029999999999994</v>
      </c>
      <c r="E180">
        <v>2.4789999999999999E-3</v>
      </c>
      <c r="F180" s="13">
        <v>5.9449999999999998E-4</v>
      </c>
      <c r="G180">
        <v>0.27489999999999998</v>
      </c>
      <c r="H180">
        <v>3.0310000000000001</v>
      </c>
      <c r="I180">
        <v>40001</v>
      </c>
      <c r="J180">
        <v>120000</v>
      </c>
    </row>
    <row r="181" spans="2:10" x14ac:dyDescent="0.25">
      <c r="B181" t="s">
        <v>578</v>
      </c>
      <c r="C181">
        <v>0.52859999999999996</v>
      </c>
      <c r="D181">
        <v>0.7581</v>
      </c>
      <c r="E181">
        <v>2.428E-3</v>
      </c>
      <c r="F181" s="13">
        <v>5.4390000000000005E-4</v>
      </c>
      <c r="G181">
        <v>0.2389</v>
      </c>
      <c r="H181">
        <v>2.66</v>
      </c>
      <c r="I181">
        <v>40001</v>
      </c>
      <c r="J181">
        <v>120000</v>
      </c>
    </row>
    <row r="182" spans="2:10" x14ac:dyDescent="0.25">
      <c r="B182" t="s">
        <v>579</v>
      </c>
      <c r="C182">
        <v>0.66249999999999998</v>
      </c>
      <c r="D182">
        <v>0.9284</v>
      </c>
      <c r="E182">
        <v>3.0240000000000002E-3</v>
      </c>
      <c r="F182" s="13">
        <v>6.3540000000000005E-4</v>
      </c>
      <c r="G182">
        <v>0.30409999999999998</v>
      </c>
      <c r="H182">
        <v>3.323</v>
      </c>
      <c r="I182">
        <v>40001</v>
      </c>
      <c r="J182">
        <v>120000</v>
      </c>
    </row>
    <row r="183" spans="2:10" x14ac:dyDescent="0.25">
      <c r="B183" t="s">
        <v>580</v>
      </c>
      <c r="C183">
        <v>0.64119999999999999</v>
      </c>
      <c r="D183">
        <v>0.91369999999999996</v>
      </c>
      <c r="E183">
        <v>2.8739999999999998E-3</v>
      </c>
      <c r="F183" s="13">
        <v>6.3199999999999997E-4</v>
      </c>
      <c r="G183">
        <v>0.2898</v>
      </c>
      <c r="H183">
        <v>3.238</v>
      </c>
      <c r="I183">
        <v>40001</v>
      </c>
      <c r="J183">
        <v>120000</v>
      </c>
    </row>
    <row r="184" spans="2:10" x14ac:dyDescent="0.25">
      <c r="B184" t="s">
        <v>581</v>
      </c>
      <c r="C184">
        <v>0.68559999999999999</v>
      </c>
      <c r="D184">
        <v>0.91200000000000003</v>
      </c>
      <c r="E184">
        <v>3.3500000000000001E-3</v>
      </c>
      <c r="F184" s="13">
        <v>7.1029999999999997E-4</v>
      </c>
      <c r="G184">
        <v>0.33379999999999999</v>
      </c>
      <c r="H184">
        <v>3.2490000000000001</v>
      </c>
      <c r="I184">
        <v>40001</v>
      </c>
      <c r="J184">
        <v>120000</v>
      </c>
    </row>
    <row r="185" spans="2:10" x14ac:dyDescent="0.25">
      <c r="B185" t="s">
        <v>582</v>
      </c>
      <c r="C185">
        <v>0.66320000000000001</v>
      </c>
      <c r="D185">
        <v>0.94440000000000002</v>
      </c>
      <c r="E185">
        <v>3.571E-3</v>
      </c>
      <c r="F185" s="13">
        <v>6.535E-4</v>
      </c>
      <c r="G185">
        <v>0.30120000000000002</v>
      </c>
      <c r="H185">
        <v>3.3330000000000002</v>
      </c>
      <c r="I185">
        <v>40001</v>
      </c>
      <c r="J185">
        <v>120000</v>
      </c>
    </row>
    <row r="186" spans="2:10" x14ac:dyDescent="0.25">
      <c r="B186" t="s">
        <v>583</v>
      </c>
      <c r="C186">
        <v>0.72689999999999999</v>
      </c>
      <c r="D186">
        <v>1.028</v>
      </c>
      <c r="E186">
        <v>3.4949999999999998E-3</v>
      </c>
      <c r="F186" s="13">
        <v>6.8429999999999999E-4</v>
      </c>
      <c r="G186">
        <v>0.3296</v>
      </c>
      <c r="H186">
        <v>3.6509999999999998</v>
      </c>
      <c r="I186">
        <v>40001</v>
      </c>
      <c r="J186">
        <v>120000</v>
      </c>
    </row>
    <row r="187" spans="2:10" x14ac:dyDescent="0.25">
      <c r="B187" t="s">
        <v>584</v>
      </c>
      <c r="C187">
        <v>1.7110000000000001</v>
      </c>
      <c r="D187">
        <v>2.0640000000000001</v>
      </c>
      <c r="E187">
        <v>1.5650000000000001E-2</v>
      </c>
      <c r="F187">
        <v>2.346E-3</v>
      </c>
      <c r="G187">
        <v>0.96889999999999998</v>
      </c>
      <c r="H187">
        <v>7.4269999999999996</v>
      </c>
      <c r="I187">
        <v>40001</v>
      </c>
      <c r="J187">
        <v>120000</v>
      </c>
    </row>
    <row r="188" spans="2:10" x14ac:dyDescent="0.25">
      <c r="B188" t="s">
        <v>585</v>
      </c>
      <c r="C188">
        <v>1.968</v>
      </c>
      <c r="D188">
        <v>2.2850000000000001</v>
      </c>
      <c r="E188">
        <v>1.881E-2</v>
      </c>
      <c r="F188">
        <v>3.0240000000000002E-3</v>
      </c>
      <c r="G188">
        <v>1.1719999999999999</v>
      </c>
      <c r="H188">
        <v>8.2189999999999994</v>
      </c>
      <c r="I188">
        <v>40001</v>
      </c>
      <c r="J188">
        <v>120000</v>
      </c>
    </row>
    <row r="189" spans="2:10" x14ac:dyDescent="0.25">
      <c r="B189" t="s">
        <v>586</v>
      </c>
      <c r="C189">
        <v>1.171</v>
      </c>
      <c r="D189">
        <v>1.5049999999999999</v>
      </c>
      <c r="E189">
        <v>7.7660000000000003E-3</v>
      </c>
      <c r="F189">
        <v>1.3600000000000001E-3</v>
      </c>
      <c r="G189">
        <v>0.6008</v>
      </c>
      <c r="H189">
        <v>5.3769999999999998</v>
      </c>
      <c r="I189">
        <v>40001</v>
      </c>
      <c r="J189">
        <v>120000</v>
      </c>
    </row>
    <row r="190" spans="2:10" x14ac:dyDescent="0.25">
      <c r="B190" t="s">
        <v>587</v>
      </c>
      <c r="C190">
        <v>1.296</v>
      </c>
      <c r="D190">
        <v>1.607</v>
      </c>
      <c r="E190">
        <v>8.2489999999999994E-3</v>
      </c>
      <c r="F190">
        <v>1.601E-3</v>
      </c>
      <c r="G190">
        <v>0.70209999999999995</v>
      </c>
      <c r="H190">
        <v>5.7569999999999997</v>
      </c>
      <c r="I190">
        <v>40001</v>
      </c>
      <c r="J190">
        <v>120000</v>
      </c>
    </row>
    <row r="191" spans="2:10" x14ac:dyDescent="0.25">
      <c r="B191" t="s">
        <v>588</v>
      </c>
      <c r="C191">
        <v>1.1819999999999999</v>
      </c>
      <c r="D191">
        <v>1.58</v>
      </c>
      <c r="E191">
        <v>8.3610000000000004E-3</v>
      </c>
      <c r="F191">
        <v>1.2979999999999999E-3</v>
      </c>
      <c r="G191">
        <v>0.57469999999999999</v>
      </c>
      <c r="H191">
        <v>5.6589999999999998</v>
      </c>
      <c r="I191">
        <v>40001</v>
      </c>
      <c r="J191">
        <v>120000</v>
      </c>
    </row>
    <row r="192" spans="2:10" x14ac:dyDescent="0.25">
      <c r="B192" t="s">
        <v>589</v>
      </c>
      <c r="C192">
        <v>1.2549999999999999</v>
      </c>
      <c r="D192">
        <v>1.5920000000000001</v>
      </c>
      <c r="E192">
        <v>1.108E-2</v>
      </c>
      <c r="F192">
        <v>1.4840000000000001E-3</v>
      </c>
      <c r="G192">
        <v>0.66069999999999995</v>
      </c>
      <c r="H192">
        <v>5.7080000000000002</v>
      </c>
      <c r="I192">
        <v>40001</v>
      </c>
      <c r="J192">
        <v>120000</v>
      </c>
    </row>
    <row r="193" spans="2:10" x14ac:dyDescent="0.25">
      <c r="B193" t="s">
        <v>590</v>
      </c>
      <c r="C193" s="13">
        <v>2.1670000000000001E-4</v>
      </c>
      <c r="D193">
        <v>1.472E-2</v>
      </c>
      <c r="E193" s="13">
        <v>4.9329999999999997E-5</v>
      </c>
      <c r="F193">
        <v>0</v>
      </c>
      <c r="G193">
        <v>0</v>
      </c>
      <c r="H193">
        <v>0</v>
      </c>
      <c r="I193">
        <v>40001</v>
      </c>
      <c r="J193">
        <v>120000</v>
      </c>
    </row>
    <row r="194" spans="2:10" x14ac:dyDescent="0.25">
      <c r="B194" t="s">
        <v>591</v>
      </c>
      <c r="C194">
        <v>2.317E-3</v>
      </c>
      <c r="D194">
        <v>4.8079999999999998E-2</v>
      </c>
      <c r="E194" s="13">
        <v>2.7920000000000001E-4</v>
      </c>
      <c r="F194">
        <v>0</v>
      </c>
      <c r="G194">
        <v>0</v>
      </c>
      <c r="H194">
        <v>0</v>
      </c>
      <c r="I194">
        <v>40001</v>
      </c>
      <c r="J194">
        <v>120000</v>
      </c>
    </row>
    <row r="195" spans="2:10" x14ac:dyDescent="0.25">
      <c r="B195" t="s">
        <v>592</v>
      </c>
      <c r="C195">
        <v>0.01</v>
      </c>
      <c r="D195">
        <v>9.9500000000000005E-2</v>
      </c>
      <c r="E195" s="13">
        <v>6.2040000000000001E-4</v>
      </c>
      <c r="F195">
        <v>0</v>
      </c>
      <c r="G195">
        <v>0</v>
      </c>
      <c r="H195">
        <v>0</v>
      </c>
      <c r="I195">
        <v>40001</v>
      </c>
      <c r="J195">
        <v>120000</v>
      </c>
    </row>
    <row r="196" spans="2:10" x14ac:dyDescent="0.25">
      <c r="B196" t="s">
        <v>593</v>
      </c>
      <c r="C196">
        <v>5.7829999999999999E-2</v>
      </c>
      <c r="D196">
        <v>0.2334</v>
      </c>
      <c r="E196">
        <v>2.104E-3</v>
      </c>
      <c r="F196">
        <v>0</v>
      </c>
      <c r="G196">
        <v>0</v>
      </c>
      <c r="H196">
        <v>1</v>
      </c>
      <c r="I196">
        <v>40001</v>
      </c>
      <c r="J196">
        <v>120000</v>
      </c>
    </row>
    <row r="197" spans="2:10" x14ac:dyDescent="0.25">
      <c r="B197" t="s">
        <v>594</v>
      </c>
      <c r="C197">
        <v>0.3246</v>
      </c>
      <c r="D197">
        <v>0.46820000000000001</v>
      </c>
      <c r="E197">
        <v>4.4990000000000004E-3</v>
      </c>
      <c r="F197">
        <v>0</v>
      </c>
      <c r="G197">
        <v>0</v>
      </c>
      <c r="H197">
        <v>1</v>
      </c>
      <c r="I197">
        <v>40001</v>
      </c>
      <c r="J197">
        <v>120000</v>
      </c>
    </row>
    <row r="198" spans="2:10" x14ac:dyDescent="0.25">
      <c r="B198" t="s">
        <v>595</v>
      </c>
      <c r="C198">
        <v>0.42599999999999999</v>
      </c>
      <c r="D198">
        <v>0.4945</v>
      </c>
      <c r="E198">
        <v>3.6470000000000001E-3</v>
      </c>
      <c r="F198">
        <v>0</v>
      </c>
      <c r="G198">
        <v>0</v>
      </c>
      <c r="H198">
        <v>1</v>
      </c>
      <c r="I198">
        <v>40001</v>
      </c>
      <c r="J198">
        <v>120000</v>
      </c>
    </row>
    <row r="199" spans="2:10" x14ac:dyDescent="0.25">
      <c r="B199" t="s">
        <v>596</v>
      </c>
      <c r="C199">
        <v>0.1673</v>
      </c>
      <c r="D199">
        <v>0.37330000000000002</v>
      </c>
      <c r="E199">
        <v>3.594E-3</v>
      </c>
      <c r="F199">
        <v>0</v>
      </c>
      <c r="G199">
        <v>0</v>
      </c>
      <c r="H199">
        <v>1</v>
      </c>
      <c r="I199">
        <v>40001</v>
      </c>
      <c r="J199">
        <v>120000</v>
      </c>
    </row>
    <row r="200" spans="2:10" x14ac:dyDescent="0.25">
      <c r="B200" t="s">
        <v>597</v>
      </c>
      <c r="C200">
        <v>1.1379999999999999E-2</v>
      </c>
      <c r="D200">
        <v>0.1061</v>
      </c>
      <c r="E200" s="13">
        <v>5.7859999999999997E-4</v>
      </c>
      <c r="F200">
        <v>0</v>
      </c>
      <c r="G200">
        <v>0</v>
      </c>
      <c r="H200">
        <v>0</v>
      </c>
      <c r="I200">
        <v>40001</v>
      </c>
      <c r="J200">
        <v>120000</v>
      </c>
    </row>
    <row r="201" spans="2:10" x14ac:dyDescent="0.25">
      <c r="B201" t="s">
        <v>598</v>
      </c>
      <c r="C201" s="13">
        <v>3.4170000000000001E-4</v>
      </c>
      <c r="D201">
        <v>1.848E-2</v>
      </c>
      <c r="E201" s="13">
        <v>7.1959999999999995E-5</v>
      </c>
      <c r="F201">
        <v>0</v>
      </c>
      <c r="G201">
        <v>0</v>
      </c>
      <c r="H201">
        <v>0</v>
      </c>
      <c r="I201">
        <v>40001</v>
      </c>
      <c r="J201">
        <v>120000</v>
      </c>
    </row>
    <row r="202" spans="2:10" x14ac:dyDescent="0.25">
      <c r="B202" t="s">
        <v>599</v>
      </c>
      <c r="C202">
        <v>0</v>
      </c>
      <c r="D202">
        <v>0</v>
      </c>
      <c r="E202" s="13">
        <v>1.6670000000000001E-13</v>
      </c>
      <c r="F202">
        <v>0</v>
      </c>
      <c r="G202">
        <v>0</v>
      </c>
      <c r="H202">
        <v>0</v>
      </c>
      <c r="I202">
        <v>40001</v>
      </c>
      <c r="J202">
        <v>120000</v>
      </c>
    </row>
    <row r="203" spans="2:10" x14ac:dyDescent="0.25">
      <c r="B203" t="s">
        <v>600</v>
      </c>
      <c r="C203">
        <v>0</v>
      </c>
      <c r="D203">
        <v>0</v>
      </c>
      <c r="E203" s="13">
        <v>1.6670000000000001E-13</v>
      </c>
      <c r="F203">
        <v>0</v>
      </c>
      <c r="G203">
        <v>0</v>
      </c>
      <c r="H203">
        <v>0</v>
      </c>
      <c r="I203">
        <v>40001</v>
      </c>
      <c r="J203">
        <v>120000</v>
      </c>
    </row>
    <row r="204" spans="2:10" x14ac:dyDescent="0.25">
      <c r="B204" t="s">
        <v>601</v>
      </c>
      <c r="C204">
        <v>0</v>
      </c>
      <c r="D204">
        <v>0</v>
      </c>
      <c r="E204" s="13">
        <v>1.6670000000000001E-13</v>
      </c>
      <c r="F204">
        <v>0</v>
      </c>
      <c r="G204">
        <v>0</v>
      </c>
      <c r="H204">
        <v>0</v>
      </c>
      <c r="I204">
        <v>40001</v>
      </c>
      <c r="J204">
        <v>120000</v>
      </c>
    </row>
    <row r="205" spans="2:10" x14ac:dyDescent="0.25">
      <c r="B205" t="s">
        <v>602</v>
      </c>
      <c r="C205">
        <v>0</v>
      </c>
      <c r="D205">
        <v>0</v>
      </c>
      <c r="E205" s="13">
        <v>1.6670000000000001E-13</v>
      </c>
      <c r="F205">
        <v>0</v>
      </c>
      <c r="G205">
        <v>0</v>
      </c>
      <c r="H205">
        <v>0</v>
      </c>
      <c r="I205">
        <v>40001</v>
      </c>
      <c r="J205">
        <v>120000</v>
      </c>
    </row>
    <row r="206" spans="2:10" x14ac:dyDescent="0.25">
      <c r="B206" t="s">
        <v>603</v>
      </c>
      <c r="C206" s="13">
        <v>3.3330000000000001E-5</v>
      </c>
      <c r="D206">
        <v>5.7730000000000004E-3</v>
      </c>
      <c r="E206" s="13">
        <v>1.6650000000000002E-5</v>
      </c>
      <c r="F206">
        <v>0</v>
      </c>
      <c r="G206">
        <v>0</v>
      </c>
      <c r="H206">
        <v>0</v>
      </c>
      <c r="I206">
        <v>40001</v>
      </c>
      <c r="J206">
        <v>120000</v>
      </c>
    </row>
    <row r="207" spans="2:10" x14ac:dyDescent="0.25">
      <c r="B207" t="s">
        <v>604</v>
      </c>
      <c r="C207" s="13">
        <v>8.9999999999999998E-4</v>
      </c>
      <c r="D207">
        <v>2.9989999999999999E-2</v>
      </c>
      <c r="E207" s="13">
        <v>1.4090000000000001E-4</v>
      </c>
      <c r="F207">
        <v>0</v>
      </c>
      <c r="G207">
        <v>0</v>
      </c>
      <c r="H207">
        <v>0</v>
      </c>
      <c r="I207">
        <v>40001</v>
      </c>
      <c r="J207">
        <v>120000</v>
      </c>
    </row>
    <row r="208" spans="2:10" x14ac:dyDescent="0.25">
      <c r="B208" t="s">
        <v>605</v>
      </c>
      <c r="C208">
        <v>1.6969999999999999E-2</v>
      </c>
      <c r="D208">
        <v>0.12909999999999999</v>
      </c>
      <c r="E208" s="13">
        <v>8.3659999999999995E-4</v>
      </c>
      <c r="F208">
        <v>0</v>
      </c>
      <c r="G208">
        <v>0</v>
      </c>
      <c r="H208">
        <v>0</v>
      </c>
      <c r="I208">
        <v>40001</v>
      </c>
      <c r="J208">
        <v>120000</v>
      </c>
    </row>
    <row r="209" spans="2:10" x14ac:dyDescent="0.25">
      <c r="B209" t="s">
        <v>606</v>
      </c>
      <c r="C209">
        <v>0.25319999999999998</v>
      </c>
      <c r="D209">
        <v>0.43490000000000001</v>
      </c>
      <c r="E209">
        <v>5.1349999999999998E-3</v>
      </c>
      <c r="F209">
        <v>0</v>
      </c>
      <c r="G209">
        <v>0</v>
      </c>
      <c r="H209">
        <v>1</v>
      </c>
      <c r="I209">
        <v>40001</v>
      </c>
      <c r="J209">
        <v>120000</v>
      </c>
    </row>
    <row r="210" spans="2:10" x14ac:dyDescent="0.25">
      <c r="B210" t="s">
        <v>607</v>
      </c>
      <c r="C210">
        <v>0.5827</v>
      </c>
      <c r="D210">
        <v>0.49309999999999998</v>
      </c>
      <c r="E210">
        <v>4.7780000000000001E-3</v>
      </c>
      <c r="F210">
        <v>0</v>
      </c>
      <c r="G210">
        <v>1</v>
      </c>
      <c r="H210">
        <v>1</v>
      </c>
      <c r="I210">
        <v>40001</v>
      </c>
      <c r="J210">
        <v>120000</v>
      </c>
    </row>
    <row r="211" spans="2:10" x14ac:dyDescent="0.25">
      <c r="B211" t="s">
        <v>608</v>
      </c>
      <c r="C211">
        <v>0.14610000000000001</v>
      </c>
      <c r="D211">
        <v>0.35320000000000001</v>
      </c>
      <c r="E211">
        <v>3.0590000000000001E-3</v>
      </c>
      <c r="F211">
        <v>0</v>
      </c>
      <c r="G211">
        <v>0</v>
      </c>
      <c r="H211">
        <v>1</v>
      </c>
      <c r="I211">
        <v>40001</v>
      </c>
      <c r="J211">
        <v>120000</v>
      </c>
    </row>
    <row r="212" spans="2:10" x14ac:dyDescent="0.25">
      <c r="B212" t="s">
        <v>609</v>
      </c>
      <c r="C212">
        <v>0</v>
      </c>
      <c r="D212">
        <v>0</v>
      </c>
      <c r="E212" s="13">
        <v>1.6670000000000001E-13</v>
      </c>
      <c r="F212">
        <v>0</v>
      </c>
      <c r="G212">
        <v>0</v>
      </c>
      <c r="H212">
        <v>0</v>
      </c>
      <c r="I212">
        <v>40001</v>
      </c>
      <c r="J212">
        <v>120000</v>
      </c>
    </row>
    <row r="213" spans="2:10" x14ac:dyDescent="0.25">
      <c r="B213" t="s">
        <v>610</v>
      </c>
      <c r="C213">
        <v>4.2750000000000002E-3</v>
      </c>
      <c r="D213">
        <v>6.5240000000000006E-2</v>
      </c>
      <c r="E213" s="13">
        <v>3.678E-4</v>
      </c>
      <c r="F213">
        <v>0</v>
      </c>
      <c r="G213">
        <v>0</v>
      </c>
      <c r="H213">
        <v>0</v>
      </c>
      <c r="I213">
        <v>40001</v>
      </c>
      <c r="J213">
        <v>120000</v>
      </c>
    </row>
    <row r="214" spans="2:10" x14ac:dyDescent="0.25">
      <c r="B214" t="s">
        <v>611</v>
      </c>
      <c r="C214">
        <v>4.3990000000000001E-2</v>
      </c>
      <c r="D214">
        <v>0.2051</v>
      </c>
      <c r="E214">
        <v>1.423E-3</v>
      </c>
      <c r="F214">
        <v>0</v>
      </c>
      <c r="G214">
        <v>0</v>
      </c>
      <c r="H214">
        <v>1</v>
      </c>
      <c r="I214">
        <v>40001</v>
      </c>
      <c r="J214">
        <v>120000</v>
      </c>
    </row>
    <row r="215" spans="2:10" x14ac:dyDescent="0.25">
      <c r="B215" t="s">
        <v>612</v>
      </c>
      <c r="C215">
        <v>0.25309999999999999</v>
      </c>
      <c r="D215">
        <v>0.43480000000000002</v>
      </c>
      <c r="E215">
        <v>4.1790000000000004E-3</v>
      </c>
      <c r="F215">
        <v>0</v>
      </c>
      <c r="G215">
        <v>0</v>
      </c>
      <c r="H215">
        <v>1</v>
      </c>
      <c r="I215">
        <v>40001</v>
      </c>
      <c r="J215">
        <v>120000</v>
      </c>
    </row>
    <row r="216" spans="2:10" x14ac:dyDescent="0.25">
      <c r="B216" t="s">
        <v>613</v>
      </c>
      <c r="C216">
        <v>0.53800000000000003</v>
      </c>
      <c r="D216">
        <v>0.49859999999999999</v>
      </c>
      <c r="E216">
        <v>4.9490000000000003E-3</v>
      </c>
      <c r="F216">
        <v>0</v>
      </c>
      <c r="G216">
        <v>1</v>
      </c>
      <c r="H216">
        <v>1</v>
      </c>
      <c r="I216">
        <v>40001</v>
      </c>
      <c r="J216">
        <v>120000</v>
      </c>
    </row>
    <row r="217" spans="2:10" x14ac:dyDescent="0.25">
      <c r="B217" t="s">
        <v>614</v>
      </c>
      <c r="C217">
        <v>0.12790000000000001</v>
      </c>
      <c r="D217">
        <v>0.33400000000000002</v>
      </c>
      <c r="E217">
        <v>3.3279999999999998E-3</v>
      </c>
      <c r="F217">
        <v>0</v>
      </c>
      <c r="G217">
        <v>0</v>
      </c>
      <c r="H217">
        <v>1</v>
      </c>
      <c r="I217">
        <v>40001</v>
      </c>
      <c r="J217">
        <v>120000</v>
      </c>
    </row>
    <row r="218" spans="2:10" x14ac:dyDescent="0.25">
      <c r="B218" t="s">
        <v>615</v>
      </c>
      <c r="C218">
        <v>2.6419999999999999E-2</v>
      </c>
      <c r="D218">
        <v>0.16039999999999999</v>
      </c>
      <c r="E218">
        <v>1.3370000000000001E-3</v>
      </c>
      <c r="F218">
        <v>0</v>
      </c>
      <c r="G218">
        <v>0</v>
      </c>
      <c r="H218">
        <v>1</v>
      </c>
      <c r="I218">
        <v>40001</v>
      </c>
      <c r="J218">
        <v>120000</v>
      </c>
    </row>
    <row r="219" spans="2:10" x14ac:dyDescent="0.25">
      <c r="B219" t="s">
        <v>616</v>
      </c>
      <c r="C219">
        <v>5.9420000000000002E-3</v>
      </c>
      <c r="D219">
        <v>7.6850000000000002E-2</v>
      </c>
      <c r="E219" s="13">
        <v>5.8410000000000005E-4</v>
      </c>
      <c r="F219">
        <v>0</v>
      </c>
      <c r="G219">
        <v>0</v>
      </c>
      <c r="H219">
        <v>0</v>
      </c>
      <c r="I219">
        <v>40001</v>
      </c>
      <c r="J219">
        <v>120000</v>
      </c>
    </row>
    <row r="220" spans="2:10" x14ac:dyDescent="0.25">
      <c r="B220" t="s">
        <v>617</v>
      </c>
      <c r="C220" s="13">
        <v>3.7500000000000001E-4</v>
      </c>
      <c r="D220">
        <v>1.9359999999999999E-2</v>
      </c>
      <c r="E220" s="13">
        <v>7.2650000000000004E-5</v>
      </c>
      <c r="F220">
        <v>0</v>
      </c>
      <c r="G220">
        <v>0</v>
      </c>
      <c r="H220">
        <v>0</v>
      </c>
      <c r="I220">
        <v>40001</v>
      </c>
      <c r="J220">
        <v>120000</v>
      </c>
    </row>
    <row r="221" spans="2:10" x14ac:dyDescent="0.25">
      <c r="B221" t="s">
        <v>618</v>
      </c>
      <c r="C221" s="13">
        <v>8.3329999999999997E-6</v>
      </c>
      <c r="D221">
        <v>2.8869999999999998E-3</v>
      </c>
      <c r="E221" s="13">
        <v>8.3469999999999999E-6</v>
      </c>
      <c r="F221">
        <v>0</v>
      </c>
      <c r="G221">
        <v>0</v>
      </c>
      <c r="H221">
        <v>0</v>
      </c>
      <c r="I221">
        <v>40001</v>
      </c>
      <c r="J221">
        <v>120000</v>
      </c>
    </row>
    <row r="222" spans="2:10" x14ac:dyDescent="0.25">
      <c r="B222" t="s">
        <v>619</v>
      </c>
      <c r="C222">
        <v>0</v>
      </c>
      <c r="D222">
        <v>0</v>
      </c>
      <c r="E222" s="13">
        <v>1.6670000000000001E-13</v>
      </c>
      <c r="F222">
        <v>0</v>
      </c>
      <c r="G222">
        <v>0</v>
      </c>
      <c r="H222">
        <v>0</v>
      </c>
      <c r="I222">
        <v>40001</v>
      </c>
      <c r="J222">
        <v>120000</v>
      </c>
    </row>
    <row r="223" spans="2:10" x14ac:dyDescent="0.25">
      <c r="B223" t="s">
        <v>620</v>
      </c>
      <c r="C223">
        <v>0.12</v>
      </c>
      <c r="D223">
        <v>0.32490000000000002</v>
      </c>
      <c r="E223">
        <v>3.1589999999999999E-3</v>
      </c>
      <c r="F223">
        <v>0</v>
      </c>
      <c r="G223">
        <v>0</v>
      </c>
      <c r="H223">
        <v>1</v>
      </c>
      <c r="I223">
        <v>40001</v>
      </c>
      <c r="J223">
        <v>120000</v>
      </c>
    </row>
    <row r="224" spans="2:10" x14ac:dyDescent="0.25">
      <c r="B224" t="s">
        <v>621</v>
      </c>
      <c r="C224">
        <v>0.36099999999999999</v>
      </c>
      <c r="D224">
        <v>0.4803</v>
      </c>
      <c r="E224">
        <v>4.1330000000000004E-3</v>
      </c>
      <c r="F224">
        <v>0</v>
      </c>
      <c r="G224">
        <v>0</v>
      </c>
      <c r="H224">
        <v>1</v>
      </c>
      <c r="I224">
        <v>40001</v>
      </c>
      <c r="J224">
        <v>120000</v>
      </c>
    </row>
    <row r="225" spans="2:10" x14ac:dyDescent="0.25">
      <c r="B225" t="s">
        <v>622</v>
      </c>
      <c r="C225">
        <v>0.3795</v>
      </c>
      <c r="D225">
        <v>0.48530000000000001</v>
      </c>
      <c r="E225">
        <v>4.4510000000000001E-3</v>
      </c>
      <c r="F225">
        <v>0</v>
      </c>
      <c r="G225">
        <v>0</v>
      </c>
      <c r="H225">
        <v>1</v>
      </c>
      <c r="I225">
        <v>40001</v>
      </c>
      <c r="J225">
        <v>120000</v>
      </c>
    </row>
    <row r="226" spans="2:10" x14ac:dyDescent="0.25">
      <c r="B226" t="s">
        <v>623</v>
      </c>
      <c r="C226">
        <v>9.3229999999999993E-2</v>
      </c>
      <c r="D226">
        <v>0.2908</v>
      </c>
      <c r="E226">
        <v>2.3219999999999998E-3</v>
      </c>
      <c r="F226">
        <v>0</v>
      </c>
      <c r="G226">
        <v>0</v>
      </c>
      <c r="H226">
        <v>1</v>
      </c>
      <c r="I226">
        <v>40001</v>
      </c>
      <c r="J226">
        <v>120000</v>
      </c>
    </row>
    <row r="227" spans="2:10" x14ac:dyDescent="0.25">
      <c r="B227" t="s">
        <v>624</v>
      </c>
      <c r="C227">
        <v>2.9440000000000001E-2</v>
      </c>
      <c r="D227">
        <v>0.16900000000000001</v>
      </c>
      <c r="E227">
        <v>1.1000000000000001E-3</v>
      </c>
      <c r="F227">
        <v>0</v>
      </c>
      <c r="G227">
        <v>0</v>
      </c>
      <c r="H227">
        <v>1</v>
      </c>
      <c r="I227">
        <v>40001</v>
      </c>
      <c r="J227">
        <v>120000</v>
      </c>
    </row>
    <row r="228" spans="2:10" x14ac:dyDescent="0.25">
      <c r="B228" t="s">
        <v>625</v>
      </c>
      <c r="C228">
        <v>1.12E-2</v>
      </c>
      <c r="D228">
        <v>0.1052</v>
      </c>
      <c r="E228" s="13">
        <v>5.5659999999999998E-4</v>
      </c>
      <c r="F228">
        <v>0</v>
      </c>
      <c r="G228">
        <v>0</v>
      </c>
      <c r="H228">
        <v>0</v>
      </c>
      <c r="I228">
        <v>40001</v>
      </c>
      <c r="J228">
        <v>120000</v>
      </c>
    </row>
    <row r="229" spans="2:10" x14ac:dyDescent="0.25">
      <c r="B229" t="s">
        <v>626</v>
      </c>
      <c r="C229">
        <v>4.6420000000000003E-3</v>
      </c>
      <c r="D229">
        <v>6.7970000000000003E-2</v>
      </c>
      <c r="E229" s="13">
        <v>3.7060000000000001E-4</v>
      </c>
      <c r="F229">
        <v>0</v>
      </c>
      <c r="G229">
        <v>0</v>
      </c>
      <c r="H229">
        <v>0</v>
      </c>
      <c r="I229">
        <v>40001</v>
      </c>
      <c r="J229">
        <v>120000</v>
      </c>
    </row>
    <row r="230" spans="2:10" x14ac:dyDescent="0.25">
      <c r="B230" t="s">
        <v>627</v>
      </c>
      <c r="C230" s="13">
        <v>8.4170000000000002E-4</v>
      </c>
      <c r="D230">
        <v>2.9000000000000001E-2</v>
      </c>
      <c r="E230" s="13">
        <v>1.239E-4</v>
      </c>
      <c r="F230">
        <v>0</v>
      </c>
      <c r="G230">
        <v>0</v>
      </c>
      <c r="H230">
        <v>0</v>
      </c>
      <c r="I230">
        <v>40001</v>
      </c>
      <c r="J230">
        <v>120000</v>
      </c>
    </row>
    <row r="231" spans="2:10" x14ac:dyDescent="0.25">
      <c r="B231" t="s">
        <v>628</v>
      </c>
      <c r="C231" s="13">
        <v>1.583E-4</v>
      </c>
      <c r="D231">
        <v>1.2579999999999999E-2</v>
      </c>
      <c r="E231" s="13">
        <v>4.2920000000000002E-5</v>
      </c>
      <c r="F231">
        <v>0</v>
      </c>
      <c r="G231">
        <v>0</v>
      </c>
      <c r="H231">
        <v>0</v>
      </c>
      <c r="I231">
        <v>40001</v>
      </c>
      <c r="J231">
        <v>120000</v>
      </c>
    </row>
    <row r="232" spans="2:10" x14ac:dyDescent="0.25">
      <c r="B232" t="s">
        <v>629</v>
      </c>
      <c r="C232">
        <v>0</v>
      </c>
      <c r="D232">
        <v>0</v>
      </c>
      <c r="E232" s="13">
        <v>1.6670000000000001E-13</v>
      </c>
      <c r="F232">
        <v>0</v>
      </c>
      <c r="G232">
        <v>0</v>
      </c>
      <c r="H232">
        <v>0</v>
      </c>
      <c r="I232">
        <v>40001</v>
      </c>
      <c r="J232">
        <v>120000</v>
      </c>
    </row>
    <row r="233" spans="2:10" x14ac:dyDescent="0.25">
      <c r="B233" t="s">
        <v>630</v>
      </c>
      <c r="C233">
        <v>0.47470000000000001</v>
      </c>
      <c r="D233">
        <v>0.49940000000000001</v>
      </c>
      <c r="E233">
        <v>6.3769999999999999E-3</v>
      </c>
      <c r="F233">
        <v>0</v>
      </c>
      <c r="G233">
        <v>0</v>
      </c>
      <c r="H233">
        <v>1</v>
      </c>
      <c r="I233">
        <v>40001</v>
      </c>
      <c r="J233">
        <v>120000</v>
      </c>
    </row>
    <row r="234" spans="2:10" x14ac:dyDescent="0.25">
      <c r="B234" t="s">
        <v>631</v>
      </c>
      <c r="C234">
        <v>0.16520000000000001</v>
      </c>
      <c r="D234">
        <v>0.37130000000000002</v>
      </c>
      <c r="E234">
        <v>2.6229999999999999E-3</v>
      </c>
      <c r="F234">
        <v>0</v>
      </c>
      <c r="G234">
        <v>0</v>
      </c>
      <c r="H234">
        <v>1</v>
      </c>
      <c r="I234">
        <v>40001</v>
      </c>
      <c r="J234">
        <v>120000</v>
      </c>
    </row>
    <row r="235" spans="2:10" x14ac:dyDescent="0.25">
      <c r="B235" t="s">
        <v>632</v>
      </c>
      <c r="C235">
        <v>0.13289999999999999</v>
      </c>
      <c r="D235">
        <v>0.33950000000000002</v>
      </c>
      <c r="E235">
        <v>2.4169999999999999E-3</v>
      </c>
      <c r="F235">
        <v>0</v>
      </c>
      <c r="G235">
        <v>0</v>
      </c>
      <c r="H235">
        <v>1</v>
      </c>
      <c r="I235">
        <v>40001</v>
      </c>
      <c r="J235">
        <v>120000</v>
      </c>
    </row>
    <row r="236" spans="2:10" x14ac:dyDescent="0.25">
      <c r="B236" t="s">
        <v>633</v>
      </c>
      <c r="C236">
        <v>9.9169999999999994E-2</v>
      </c>
      <c r="D236">
        <v>0.2989</v>
      </c>
      <c r="E236">
        <v>2.48E-3</v>
      </c>
      <c r="F236">
        <v>0</v>
      </c>
      <c r="G236">
        <v>0</v>
      </c>
      <c r="H236">
        <v>1</v>
      </c>
      <c r="I236">
        <v>40001</v>
      </c>
      <c r="J236">
        <v>120000</v>
      </c>
    </row>
    <row r="237" spans="2:10" x14ac:dyDescent="0.25">
      <c r="B237" t="s">
        <v>634</v>
      </c>
      <c r="C237">
        <v>4.4380000000000003E-2</v>
      </c>
      <c r="D237">
        <v>0.2059</v>
      </c>
      <c r="E237">
        <v>1.2459999999999999E-3</v>
      </c>
      <c r="F237">
        <v>0</v>
      </c>
      <c r="G237">
        <v>0</v>
      </c>
      <c r="H237">
        <v>1</v>
      </c>
      <c r="I237">
        <v>40001</v>
      </c>
      <c r="J237">
        <v>120000</v>
      </c>
    </row>
    <row r="238" spans="2:10" x14ac:dyDescent="0.25">
      <c r="B238" t="s">
        <v>635</v>
      </c>
      <c r="C238">
        <v>3.6470000000000002E-2</v>
      </c>
      <c r="D238">
        <v>0.18740000000000001</v>
      </c>
      <c r="E238">
        <v>1.2520000000000001E-3</v>
      </c>
      <c r="F238">
        <v>0</v>
      </c>
      <c r="G238">
        <v>0</v>
      </c>
      <c r="H238">
        <v>1</v>
      </c>
      <c r="I238">
        <v>40001</v>
      </c>
      <c r="J238">
        <v>120000</v>
      </c>
    </row>
    <row r="239" spans="2:10" x14ac:dyDescent="0.25">
      <c r="B239" t="s">
        <v>636</v>
      </c>
      <c r="C239">
        <v>2.835E-2</v>
      </c>
      <c r="D239">
        <v>0.16600000000000001</v>
      </c>
      <c r="E239">
        <v>1.451E-3</v>
      </c>
      <c r="F239">
        <v>0</v>
      </c>
      <c r="G239">
        <v>0</v>
      </c>
      <c r="H239">
        <v>1</v>
      </c>
      <c r="I239">
        <v>40001</v>
      </c>
      <c r="J239">
        <v>120000</v>
      </c>
    </row>
    <row r="240" spans="2:10" x14ac:dyDescent="0.25">
      <c r="B240" t="s">
        <v>637</v>
      </c>
      <c r="C240">
        <v>1.222E-2</v>
      </c>
      <c r="D240">
        <v>0.1099</v>
      </c>
      <c r="E240" s="13">
        <v>6.8199999999999999E-4</v>
      </c>
      <c r="F240">
        <v>0</v>
      </c>
      <c r="G240">
        <v>0</v>
      </c>
      <c r="H240">
        <v>0</v>
      </c>
      <c r="I240">
        <v>40001</v>
      </c>
      <c r="J240">
        <v>120000</v>
      </c>
    </row>
    <row r="241" spans="2:10" x14ac:dyDescent="0.25">
      <c r="B241" t="s">
        <v>638</v>
      </c>
      <c r="C241">
        <v>6.5750000000000001E-3</v>
      </c>
      <c r="D241">
        <v>8.0820000000000003E-2</v>
      </c>
      <c r="E241" s="13">
        <v>5.1639999999999998E-4</v>
      </c>
      <c r="F241">
        <v>0</v>
      </c>
      <c r="G241">
        <v>0</v>
      </c>
      <c r="H241">
        <v>0</v>
      </c>
      <c r="I241">
        <v>40001</v>
      </c>
      <c r="J241">
        <v>120000</v>
      </c>
    </row>
    <row r="242" spans="2:10" x14ac:dyDescent="0.25">
      <c r="B242" t="s">
        <v>639</v>
      </c>
      <c r="C242" s="13">
        <v>2.5000000000000001E-5</v>
      </c>
      <c r="D242">
        <v>5.0000000000000001E-3</v>
      </c>
      <c r="E242" s="13">
        <v>1.8649999999999999E-5</v>
      </c>
      <c r="F242">
        <v>0</v>
      </c>
      <c r="G242">
        <v>0</v>
      </c>
      <c r="H242">
        <v>0</v>
      </c>
      <c r="I242">
        <v>40001</v>
      </c>
      <c r="J242">
        <v>120000</v>
      </c>
    </row>
    <row r="243" spans="2:10" x14ac:dyDescent="0.25">
      <c r="B243" t="s">
        <v>640</v>
      </c>
      <c r="C243">
        <v>0.38819999999999999</v>
      </c>
      <c r="D243">
        <v>0.48730000000000001</v>
      </c>
      <c r="E243">
        <v>5.8469999999999998E-3</v>
      </c>
      <c r="F243">
        <v>0</v>
      </c>
      <c r="G243">
        <v>0</v>
      </c>
      <c r="H243">
        <v>1</v>
      </c>
      <c r="I243">
        <v>40001</v>
      </c>
      <c r="J243">
        <v>120000</v>
      </c>
    </row>
    <row r="244" spans="2:10" x14ac:dyDescent="0.25">
      <c r="B244" t="s">
        <v>641</v>
      </c>
      <c r="C244">
        <v>0.39029999999999998</v>
      </c>
      <c r="D244">
        <v>0.48780000000000001</v>
      </c>
      <c r="E244">
        <v>4.189E-3</v>
      </c>
      <c r="F244">
        <v>0</v>
      </c>
      <c r="G244">
        <v>0</v>
      </c>
      <c r="H244">
        <v>1</v>
      </c>
      <c r="I244">
        <v>40001</v>
      </c>
      <c r="J244">
        <v>120000</v>
      </c>
    </row>
    <row r="245" spans="2:10" x14ac:dyDescent="0.25">
      <c r="B245" t="s">
        <v>642</v>
      </c>
      <c r="C245">
        <v>0.14949999999999999</v>
      </c>
      <c r="D245">
        <v>0.35649999999999998</v>
      </c>
      <c r="E245">
        <v>2.9970000000000001E-3</v>
      </c>
      <c r="F245">
        <v>0</v>
      </c>
      <c r="G245">
        <v>0</v>
      </c>
      <c r="H245">
        <v>1</v>
      </c>
      <c r="I245">
        <v>40001</v>
      </c>
      <c r="J245">
        <v>120000</v>
      </c>
    </row>
    <row r="246" spans="2:10" x14ac:dyDescent="0.25">
      <c r="B246" t="s">
        <v>643</v>
      </c>
      <c r="C246">
        <v>4.5850000000000002E-2</v>
      </c>
      <c r="D246">
        <v>0.2092</v>
      </c>
      <c r="E246">
        <v>1.5280000000000001E-3</v>
      </c>
      <c r="F246">
        <v>0</v>
      </c>
      <c r="G246">
        <v>0</v>
      </c>
      <c r="H246">
        <v>1</v>
      </c>
      <c r="I246">
        <v>40001</v>
      </c>
      <c r="J246">
        <v>120000</v>
      </c>
    </row>
    <row r="247" spans="2:10" x14ac:dyDescent="0.25">
      <c r="B247" t="s">
        <v>644</v>
      </c>
      <c r="C247">
        <v>1.4619999999999999E-2</v>
      </c>
      <c r="D247">
        <v>0.12</v>
      </c>
      <c r="E247" s="13">
        <v>6.7900000000000002E-4</v>
      </c>
      <c r="F247">
        <v>0</v>
      </c>
      <c r="G247">
        <v>0</v>
      </c>
      <c r="H247">
        <v>0</v>
      </c>
      <c r="I247">
        <v>40001</v>
      </c>
      <c r="J247">
        <v>120000</v>
      </c>
    </row>
    <row r="248" spans="2:10" x14ac:dyDescent="0.25">
      <c r="B248" t="s">
        <v>645</v>
      </c>
      <c r="C248">
        <v>7.6080000000000002E-3</v>
      </c>
      <c r="D248">
        <v>8.6889999999999995E-2</v>
      </c>
      <c r="E248" s="13">
        <v>5.0460000000000001E-4</v>
      </c>
      <c r="F248">
        <v>0</v>
      </c>
      <c r="G248">
        <v>0</v>
      </c>
      <c r="H248">
        <v>0</v>
      </c>
      <c r="I248">
        <v>40001</v>
      </c>
      <c r="J248">
        <v>120000</v>
      </c>
    </row>
    <row r="249" spans="2:10" x14ac:dyDescent="0.25">
      <c r="B249" t="s">
        <v>646</v>
      </c>
      <c r="C249">
        <v>3.15E-3</v>
      </c>
      <c r="D249">
        <v>5.604E-2</v>
      </c>
      <c r="E249" s="13">
        <v>2.745E-4</v>
      </c>
      <c r="F249">
        <v>0</v>
      </c>
      <c r="G249">
        <v>0</v>
      </c>
      <c r="H249">
        <v>0</v>
      </c>
      <c r="I249">
        <v>40001</v>
      </c>
      <c r="J249">
        <v>120000</v>
      </c>
    </row>
    <row r="250" spans="2:10" x14ac:dyDescent="0.25">
      <c r="B250" t="s">
        <v>647</v>
      </c>
      <c r="C250" s="13">
        <v>7.1670000000000002E-4</v>
      </c>
      <c r="D250">
        <v>2.6759999999999999E-2</v>
      </c>
      <c r="E250" s="13">
        <v>1.088E-4</v>
      </c>
      <c r="F250">
        <v>0</v>
      </c>
      <c r="G250">
        <v>0</v>
      </c>
      <c r="H250">
        <v>0</v>
      </c>
      <c r="I250">
        <v>40001</v>
      </c>
      <c r="J250">
        <v>120000</v>
      </c>
    </row>
    <row r="251" spans="2:10" x14ac:dyDescent="0.25">
      <c r="B251" t="s">
        <v>648</v>
      </c>
      <c r="C251" s="13">
        <v>1E-4</v>
      </c>
      <c r="D251">
        <v>9.9989999999999992E-3</v>
      </c>
      <c r="E251" s="13">
        <v>3.5209999999999997E-5</v>
      </c>
      <c r="F251">
        <v>0</v>
      </c>
      <c r="G251">
        <v>0</v>
      </c>
      <c r="H251">
        <v>0</v>
      </c>
      <c r="I251">
        <v>40001</v>
      </c>
      <c r="J251">
        <v>120000</v>
      </c>
    </row>
    <row r="252" spans="2:10" x14ac:dyDescent="0.25">
      <c r="B252" t="s">
        <v>649</v>
      </c>
      <c r="C252">
        <v>0</v>
      </c>
      <c r="D252">
        <v>0</v>
      </c>
      <c r="E252" s="13">
        <v>1.6670000000000001E-13</v>
      </c>
      <c r="F252">
        <v>0</v>
      </c>
      <c r="G252">
        <v>0</v>
      </c>
      <c r="H252">
        <v>0</v>
      </c>
      <c r="I252">
        <v>40001</v>
      </c>
      <c r="J252">
        <v>120000</v>
      </c>
    </row>
    <row r="253" spans="2:10" x14ac:dyDescent="0.25">
      <c r="B253" t="s">
        <v>650</v>
      </c>
      <c r="C253" s="13">
        <v>4.3330000000000002E-4</v>
      </c>
      <c r="D253">
        <v>2.0809999999999999E-2</v>
      </c>
      <c r="E253" s="13">
        <v>6.8629999999999999E-5</v>
      </c>
      <c r="F253">
        <v>0</v>
      </c>
      <c r="G253">
        <v>0</v>
      </c>
      <c r="H253">
        <v>0</v>
      </c>
      <c r="I253">
        <v>40001</v>
      </c>
      <c r="J253">
        <v>120000</v>
      </c>
    </row>
    <row r="254" spans="2:10" x14ac:dyDescent="0.25">
      <c r="B254" t="s">
        <v>651</v>
      </c>
      <c r="C254">
        <v>1.8420000000000001E-3</v>
      </c>
      <c r="D254">
        <v>4.2880000000000001E-2</v>
      </c>
      <c r="E254" s="13">
        <v>1.707E-4</v>
      </c>
      <c r="F254">
        <v>0</v>
      </c>
      <c r="G254">
        <v>0</v>
      </c>
      <c r="H254">
        <v>0</v>
      </c>
      <c r="I254">
        <v>40001</v>
      </c>
      <c r="J254">
        <v>120000</v>
      </c>
    </row>
    <row r="255" spans="2:10" x14ac:dyDescent="0.25">
      <c r="B255" t="s">
        <v>652</v>
      </c>
      <c r="C255">
        <v>4.0169999999999997E-3</v>
      </c>
      <c r="D255">
        <v>6.3250000000000001E-2</v>
      </c>
      <c r="E255" s="13">
        <v>3.347E-4</v>
      </c>
      <c r="F255">
        <v>0</v>
      </c>
      <c r="G255">
        <v>0</v>
      </c>
      <c r="H255">
        <v>0</v>
      </c>
      <c r="I255">
        <v>40001</v>
      </c>
      <c r="J255">
        <v>120000</v>
      </c>
    </row>
    <row r="256" spans="2:10" x14ac:dyDescent="0.25">
      <c r="B256" t="s">
        <v>653</v>
      </c>
      <c r="C256">
        <v>8.0000000000000002E-3</v>
      </c>
      <c r="D256">
        <v>8.9080000000000006E-2</v>
      </c>
      <c r="E256" s="13">
        <v>4.5360000000000002E-4</v>
      </c>
      <c r="F256">
        <v>0</v>
      </c>
      <c r="G256">
        <v>0</v>
      </c>
      <c r="H256">
        <v>0</v>
      </c>
      <c r="I256">
        <v>40001</v>
      </c>
      <c r="J256">
        <v>120000</v>
      </c>
    </row>
    <row r="257" spans="2:10" x14ac:dyDescent="0.25">
      <c r="B257" t="s">
        <v>654</v>
      </c>
      <c r="C257">
        <v>2.249E-2</v>
      </c>
      <c r="D257">
        <v>0.14829999999999999</v>
      </c>
      <c r="E257" s="13">
        <v>9.9379999999999998E-4</v>
      </c>
      <c r="F257">
        <v>0</v>
      </c>
      <c r="G257">
        <v>0</v>
      </c>
      <c r="H257">
        <v>0</v>
      </c>
      <c r="I257">
        <v>40001</v>
      </c>
      <c r="J257">
        <v>120000</v>
      </c>
    </row>
    <row r="258" spans="2:10" x14ac:dyDescent="0.25">
      <c r="B258" t="s">
        <v>655</v>
      </c>
      <c r="C258">
        <v>3.218E-2</v>
      </c>
      <c r="D258">
        <v>0.17649999999999999</v>
      </c>
      <c r="E258" s="13">
        <v>9.1290000000000002E-4</v>
      </c>
      <c r="F258">
        <v>0</v>
      </c>
      <c r="G258">
        <v>0</v>
      </c>
      <c r="H258">
        <v>1</v>
      </c>
      <c r="I258">
        <v>40001</v>
      </c>
      <c r="J258">
        <v>120000</v>
      </c>
    </row>
    <row r="259" spans="2:10" x14ac:dyDescent="0.25">
      <c r="B259" t="s">
        <v>656</v>
      </c>
      <c r="C259">
        <v>7.8380000000000005E-2</v>
      </c>
      <c r="D259">
        <v>0.26879999999999998</v>
      </c>
      <c r="E259">
        <v>1.7440000000000001E-3</v>
      </c>
      <c r="F259">
        <v>0</v>
      </c>
      <c r="G259">
        <v>0</v>
      </c>
      <c r="H259">
        <v>1</v>
      </c>
      <c r="I259">
        <v>40001</v>
      </c>
      <c r="J259">
        <v>120000</v>
      </c>
    </row>
    <row r="260" spans="2:10" x14ac:dyDescent="0.25">
      <c r="B260" t="s">
        <v>657</v>
      </c>
      <c r="C260">
        <v>0.157</v>
      </c>
      <c r="D260">
        <v>0.36380000000000001</v>
      </c>
      <c r="E260">
        <v>2.5929999999999998E-3</v>
      </c>
      <c r="F260">
        <v>0</v>
      </c>
      <c r="G260">
        <v>0</v>
      </c>
      <c r="H260">
        <v>1</v>
      </c>
      <c r="I260">
        <v>40001</v>
      </c>
      <c r="J260">
        <v>120000</v>
      </c>
    </row>
    <row r="261" spans="2:10" x14ac:dyDescent="0.25">
      <c r="B261" t="s">
        <v>658</v>
      </c>
      <c r="C261">
        <v>0.6845</v>
      </c>
      <c r="D261">
        <v>0.4647</v>
      </c>
      <c r="E261">
        <v>4.5389999999999996E-3</v>
      </c>
      <c r="F261">
        <v>0</v>
      </c>
      <c r="G261">
        <v>1</v>
      </c>
      <c r="H261">
        <v>1</v>
      </c>
      <c r="I261">
        <v>40001</v>
      </c>
      <c r="J261">
        <v>120000</v>
      </c>
    </row>
    <row r="262" spans="2:10" x14ac:dyDescent="0.25">
      <c r="B262" t="s">
        <v>659</v>
      </c>
      <c r="C262">
        <v>1.124E-2</v>
      </c>
      <c r="D262">
        <v>0.10539999999999999</v>
      </c>
      <c r="E262" s="13">
        <v>6.0349999999999998E-4</v>
      </c>
      <c r="F262">
        <v>0</v>
      </c>
      <c r="G262">
        <v>0</v>
      </c>
      <c r="H262">
        <v>0</v>
      </c>
      <c r="I262">
        <v>40001</v>
      </c>
      <c r="J262">
        <v>120000</v>
      </c>
    </row>
    <row r="263" spans="2:10" x14ac:dyDescent="0.25">
      <c r="B263" t="s">
        <v>660</v>
      </c>
      <c r="C263">
        <v>1.0869999999999999E-2</v>
      </c>
      <c r="D263">
        <v>0.1037</v>
      </c>
      <c r="E263">
        <v>1.096E-3</v>
      </c>
      <c r="F263">
        <v>0</v>
      </c>
      <c r="G263">
        <v>0</v>
      </c>
      <c r="H263">
        <v>0</v>
      </c>
      <c r="I263">
        <v>40001</v>
      </c>
      <c r="J263">
        <v>120000</v>
      </c>
    </row>
    <row r="264" spans="2:10" x14ac:dyDescent="0.25">
      <c r="B264" t="s">
        <v>661</v>
      </c>
      <c r="C264">
        <v>2.8729999999999999E-2</v>
      </c>
      <c r="D264">
        <v>0.1671</v>
      </c>
      <c r="E264">
        <v>1.41E-3</v>
      </c>
      <c r="F264">
        <v>0</v>
      </c>
      <c r="G264">
        <v>0</v>
      </c>
      <c r="H264">
        <v>1</v>
      </c>
      <c r="I264">
        <v>40001</v>
      </c>
      <c r="J264">
        <v>120000</v>
      </c>
    </row>
    <row r="265" spans="2:10" x14ac:dyDescent="0.25">
      <c r="B265" t="s">
        <v>662</v>
      </c>
      <c r="C265">
        <v>4.7509999999999997E-2</v>
      </c>
      <c r="D265">
        <v>0.2127</v>
      </c>
      <c r="E265">
        <v>1.7440000000000001E-3</v>
      </c>
      <c r="F265">
        <v>0</v>
      </c>
      <c r="G265">
        <v>0</v>
      </c>
      <c r="H265">
        <v>1</v>
      </c>
      <c r="I265">
        <v>40001</v>
      </c>
      <c r="J265">
        <v>120000</v>
      </c>
    </row>
    <row r="266" spans="2:10" x14ac:dyDescent="0.25">
      <c r="B266" t="s">
        <v>663</v>
      </c>
      <c r="C266">
        <v>7.6670000000000002E-2</v>
      </c>
      <c r="D266">
        <v>0.2661</v>
      </c>
      <c r="E266">
        <v>2.4940000000000001E-3</v>
      </c>
      <c r="F266">
        <v>0</v>
      </c>
      <c r="G266">
        <v>0</v>
      </c>
      <c r="H266">
        <v>1</v>
      </c>
      <c r="I266">
        <v>40001</v>
      </c>
      <c r="J266">
        <v>120000</v>
      </c>
    </row>
    <row r="267" spans="2:10" x14ac:dyDescent="0.25">
      <c r="B267" t="s">
        <v>664</v>
      </c>
      <c r="C267">
        <v>0.14729999999999999</v>
      </c>
      <c r="D267">
        <v>0.35439999999999999</v>
      </c>
      <c r="E267">
        <v>3.6979999999999999E-3</v>
      </c>
      <c r="F267">
        <v>0</v>
      </c>
      <c r="G267">
        <v>0</v>
      </c>
      <c r="H267">
        <v>1</v>
      </c>
      <c r="I267">
        <v>40001</v>
      </c>
      <c r="J267">
        <v>120000</v>
      </c>
    </row>
    <row r="268" spans="2:10" x14ac:dyDescent="0.25">
      <c r="B268" t="s">
        <v>665</v>
      </c>
      <c r="C268">
        <v>0.11219999999999999</v>
      </c>
      <c r="D268">
        <v>0.31559999999999999</v>
      </c>
      <c r="E268">
        <v>2.0089999999999999E-3</v>
      </c>
      <c r="F268">
        <v>0</v>
      </c>
      <c r="G268">
        <v>0</v>
      </c>
      <c r="H268">
        <v>1</v>
      </c>
      <c r="I268">
        <v>40001</v>
      </c>
      <c r="J268">
        <v>120000</v>
      </c>
    </row>
    <row r="269" spans="2:10" x14ac:dyDescent="0.25">
      <c r="B269" t="s">
        <v>666</v>
      </c>
      <c r="C269">
        <v>0.24229999999999999</v>
      </c>
      <c r="D269">
        <v>0.42849999999999999</v>
      </c>
      <c r="E269">
        <v>3.617E-3</v>
      </c>
      <c r="F269">
        <v>0</v>
      </c>
      <c r="G269">
        <v>0</v>
      </c>
      <c r="H269">
        <v>1</v>
      </c>
      <c r="I269">
        <v>40001</v>
      </c>
      <c r="J269">
        <v>120000</v>
      </c>
    </row>
    <row r="270" spans="2:10" x14ac:dyDescent="0.25">
      <c r="B270" t="s">
        <v>667</v>
      </c>
      <c r="C270">
        <v>0.19220000000000001</v>
      </c>
      <c r="D270">
        <v>0.39400000000000002</v>
      </c>
      <c r="E270">
        <v>3.9379999999999997E-3</v>
      </c>
      <c r="F270">
        <v>0</v>
      </c>
      <c r="G270">
        <v>0</v>
      </c>
      <c r="H270">
        <v>1</v>
      </c>
      <c r="I270">
        <v>40001</v>
      </c>
      <c r="J270">
        <v>120000</v>
      </c>
    </row>
    <row r="271" spans="2:10" x14ac:dyDescent="0.25">
      <c r="B271" t="s">
        <v>668</v>
      </c>
      <c r="C271">
        <v>0.14169999999999999</v>
      </c>
      <c r="D271">
        <v>0.3488</v>
      </c>
      <c r="E271">
        <v>4.15E-3</v>
      </c>
      <c r="F271">
        <v>0</v>
      </c>
      <c r="G271">
        <v>0</v>
      </c>
      <c r="H271">
        <v>1</v>
      </c>
      <c r="I271">
        <v>40001</v>
      </c>
      <c r="J271">
        <v>120000</v>
      </c>
    </row>
    <row r="272" spans="2:10" x14ac:dyDescent="0.25">
      <c r="B272" t="s">
        <v>669</v>
      </c>
      <c r="C272" s="13">
        <v>4.9169999999999997E-4</v>
      </c>
      <c r="D272">
        <v>2.2169999999999999E-2</v>
      </c>
      <c r="E272" s="13">
        <v>1.7229999999999999E-4</v>
      </c>
      <c r="F272">
        <v>0</v>
      </c>
      <c r="G272">
        <v>0</v>
      </c>
      <c r="H272">
        <v>0</v>
      </c>
      <c r="I272">
        <v>40001</v>
      </c>
      <c r="J272">
        <v>120000</v>
      </c>
    </row>
    <row r="273" spans="2:10" x14ac:dyDescent="0.25">
      <c r="B273" t="s">
        <v>670</v>
      </c>
      <c r="C273">
        <v>1.2830000000000001E-3</v>
      </c>
      <c r="D273">
        <v>3.5799999999999998E-2</v>
      </c>
      <c r="E273" s="13">
        <v>1.3219999999999999E-4</v>
      </c>
      <c r="F273">
        <v>0</v>
      </c>
      <c r="G273">
        <v>0</v>
      </c>
      <c r="H273">
        <v>0</v>
      </c>
      <c r="I273">
        <v>40001</v>
      </c>
      <c r="J273">
        <v>120000</v>
      </c>
    </row>
    <row r="274" spans="2:10" x14ac:dyDescent="0.25">
      <c r="B274" t="s">
        <v>671</v>
      </c>
      <c r="C274">
        <v>6.6249999999999998E-3</v>
      </c>
      <c r="D274">
        <v>8.1119999999999998E-2</v>
      </c>
      <c r="E274" s="13">
        <v>3.9389999999999998E-4</v>
      </c>
      <c r="F274">
        <v>0</v>
      </c>
      <c r="G274">
        <v>0</v>
      </c>
      <c r="H274">
        <v>0</v>
      </c>
      <c r="I274">
        <v>40001</v>
      </c>
      <c r="J274">
        <v>120000</v>
      </c>
    </row>
    <row r="275" spans="2:10" x14ac:dyDescent="0.25">
      <c r="B275" t="s">
        <v>672</v>
      </c>
      <c r="C275">
        <v>2.3529999999999999E-2</v>
      </c>
      <c r="D275">
        <v>0.15160000000000001</v>
      </c>
      <c r="E275" s="13">
        <v>9.2739999999999999E-4</v>
      </c>
      <c r="F275">
        <v>0</v>
      </c>
      <c r="G275">
        <v>0</v>
      </c>
      <c r="H275">
        <v>0</v>
      </c>
      <c r="I275">
        <v>40001</v>
      </c>
      <c r="J275">
        <v>120000</v>
      </c>
    </row>
    <row r="276" spans="2:10" x14ac:dyDescent="0.25">
      <c r="B276" t="s">
        <v>673</v>
      </c>
      <c r="C276">
        <v>8.1210000000000004E-2</v>
      </c>
      <c r="D276">
        <v>0.2732</v>
      </c>
      <c r="E276">
        <v>1.916E-3</v>
      </c>
      <c r="F276">
        <v>0</v>
      </c>
      <c r="G276">
        <v>0</v>
      </c>
      <c r="H276">
        <v>1</v>
      </c>
      <c r="I276">
        <v>40001</v>
      </c>
      <c r="J276">
        <v>120000</v>
      </c>
    </row>
    <row r="277" spans="2:10" x14ac:dyDescent="0.25">
      <c r="B277" t="s">
        <v>674</v>
      </c>
      <c r="C277">
        <v>0.28839999999999999</v>
      </c>
      <c r="D277">
        <v>0.45300000000000001</v>
      </c>
      <c r="E277">
        <v>3.591E-3</v>
      </c>
      <c r="F277">
        <v>0</v>
      </c>
      <c r="G277">
        <v>0</v>
      </c>
      <c r="H277">
        <v>1</v>
      </c>
      <c r="I277">
        <v>40001</v>
      </c>
      <c r="J277">
        <v>120000</v>
      </c>
    </row>
    <row r="278" spans="2:10" x14ac:dyDescent="0.25">
      <c r="B278" t="s">
        <v>675</v>
      </c>
      <c r="C278">
        <v>0.33100000000000002</v>
      </c>
      <c r="D278">
        <v>0.47060000000000002</v>
      </c>
      <c r="E278">
        <v>3.5019999999999999E-3</v>
      </c>
      <c r="F278">
        <v>0</v>
      </c>
      <c r="G278">
        <v>0</v>
      </c>
      <c r="H278">
        <v>1</v>
      </c>
      <c r="I278">
        <v>40001</v>
      </c>
      <c r="J278">
        <v>120000</v>
      </c>
    </row>
    <row r="279" spans="2:10" x14ac:dyDescent="0.25">
      <c r="B279" t="s">
        <v>676</v>
      </c>
      <c r="C279">
        <v>0.21659999999999999</v>
      </c>
      <c r="D279">
        <v>0.41199999999999998</v>
      </c>
      <c r="E279">
        <v>4.0889999999999998E-3</v>
      </c>
      <c r="F279">
        <v>0</v>
      </c>
      <c r="G279">
        <v>0</v>
      </c>
      <c r="H279">
        <v>1</v>
      </c>
      <c r="I279">
        <v>40001</v>
      </c>
      <c r="J279">
        <v>120000</v>
      </c>
    </row>
    <row r="280" spans="2:10" x14ac:dyDescent="0.25">
      <c r="B280" t="s">
        <v>677</v>
      </c>
      <c r="C280">
        <v>4.2560000000000001E-2</v>
      </c>
      <c r="D280">
        <v>0.2019</v>
      </c>
      <c r="E280">
        <v>1.4419999999999999E-3</v>
      </c>
      <c r="F280">
        <v>0</v>
      </c>
      <c r="G280">
        <v>0</v>
      </c>
      <c r="H280">
        <v>1</v>
      </c>
      <c r="I280">
        <v>40001</v>
      </c>
      <c r="J280">
        <v>120000</v>
      </c>
    </row>
    <row r="281" spans="2:10" x14ac:dyDescent="0.25">
      <c r="B281" t="s">
        <v>678</v>
      </c>
      <c r="C281">
        <v>8.7670000000000005E-3</v>
      </c>
      <c r="D281">
        <v>9.3219999999999997E-2</v>
      </c>
      <c r="E281" s="13">
        <v>5.4060000000000002E-4</v>
      </c>
      <c r="F281">
        <v>0</v>
      </c>
      <c r="G281">
        <v>0</v>
      </c>
      <c r="H281">
        <v>0</v>
      </c>
      <c r="I281">
        <v>40001</v>
      </c>
      <c r="J281">
        <v>120000</v>
      </c>
    </row>
    <row r="282" spans="2:10" x14ac:dyDescent="0.25">
      <c r="B282" t="s">
        <v>679</v>
      </c>
      <c r="C282">
        <v>0</v>
      </c>
      <c r="D282">
        <v>0</v>
      </c>
      <c r="E282" s="13">
        <v>1.6670000000000001E-13</v>
      </c>
      <c r="F282">
        <v>0</v>
      </c>
      <c r="G282">
        <v>0</v>
      </c>
      <c r="H282">
        <v>0</v>
      </c>
      <c r="I282">
        <v>40001</v>
      </c>
      <c r="J282">
        <v>120000</v>
      </c>
    </row>
    <row r="283" spans="2:10" x14ac:dyDescent="0.25">
      <c r="B283" t="s">
        <v>680</v>
      </c>
      <c r="C283">
        <v>0</v>
      </c>
      <c r="D283">
        <v>0</v>
      </c>
      <c r="E283" s="13">
        <v>1.6670000000000001E-13</v>
      </c>
      <c r="F283">
        <v>0</v>
      </c>
      <c r="G283">
        <v>0</v>
      </c>
      <c r="H283">
        <v>0</v>
      </c>
      <c r="I283">
        <v>40001</v>
      </c>
      <c r="J283">
        <v>120000</v>
      </c>
    </row>
    <row r="284" spans="2:10" x14ac:dyDescent="0.25">
      <c r="B284" t="s">
        <v>681</v>
      </c>
      <c r="C284">
        <v>0</v>
      </c>
      <c r="D284">
        <v>0</v>
      </c>
      <c r="E284" s="13">
        <v>1.6670000000000001E-13</v>
      </c>
      <c r="F284">
        <v>0</v>
      </c>
      <c r="G284">
        <v>0</v>
      </c>
      <c r="H284">
        <v>0</v>
      </c>
      <c r="I284">
        <v>40001</v>
      </c>
      <c r="J284">
        <v>120000</v>
      </c>
    </row>
    <row r="285" spans="2:10" x14ac:dyDescent="0.25">
      <c r="B285" t="s">
        <v>682</v>
      </c>
      <c r="C285">
        <v>0</v>
      </c>
      <c r="D285">
        <v>0</v>
      </c>
      <c r="E285" s="13">
        <v>1.6670000000000001E-13</v>
      </c>
      <c r="F285">
        <v>0</v>
      </c>
      <c r="G285">
        <v>0</v>
      </c>
      <c r="H285">
        <v>0</v>
      </c>
      <c r="I285">
        <v>40001</v>
      </c>
      <c r="J285">
        <v>120000</v>
      </c>
    </row>
    <row r="286" spans="2:10" x14ac:dyDescent="0.25">
      <c r="B286" t="s">
        <v>683</v>
      </c>
      <c r="C286">
        <v>0</v>
      </c>
      <c r="D286">
        <v>0</v>
      </c>
      <c r="E286" s="13">
        <v>1.6670000000000001E-13</v>
      </c>
      <c r="F286">
        <v>0</v>
      </c>
      <c r="G286">
        <v>0</v>
      </c>
      <c r="H286">
        <v>0</v>
      </c>
      <c r="I286">
        <v>40001</v>
      </c>
      <c r="J286">
        <v>120000</v>
      </c>
    </row>
    <row r="287" spans="2:10" x14ac:dyDescent="0.25">
      <c r="B287" t="s">
        <v>684</v>
      </c>
      <c r="C287">
        <v>0</v>
      </c>
      <c r="D287">
        <v>0</v>
      </c>
      <c r="E287" s="13">
        <v>1.6670000000000001E-13</v>
      </c>
      <c r="F287">
        <v>0</v>
      </c>
      <c r="G287">
        <v>0</v>
      </c>
      <c r="H287">
        <v>0</v>
      </c>
      <c r="I287">
        <v>40001</v>
      </c>
      <c r="J287">
        <v>120000</v>
      </c>
    </row>
    <row r="288" spans="2:10" x14ac:dyDescent="0.25">
      <c r="B288" t="s">
        <v>685</v>
      </c>
      <c r="C288">
        <v>0</v>
      </c>
      <c r="D288">
        <v>0</v>
      </c>
      <c r="E288" s="13">
        <v>1.6670000000000001E-13</v>
      </c>
      <c r="F288">
        <v>0</v>
      </c>
      <c r="G288">
        <v>0</v>
      </c>
      <c r="H288">
        <v>0</v>
      </c>
      <c r="I288">
        <v>40001</v>
      </c>
      <c r="J288">
        <v>120000</v>
      </c>
    </row>
    <row r="289" spans="2:10" x14ac:dyDescent="0.25">
      <c r="B289" t="s">
        <v>686</v>
      </c>
      <c r="C289">
        <v>0</v>
      </c>
      <c r="D289">
        <v>0</v>
      </c>
      <c r="E289" s="13">
        <v>1.6670000000000001E-13</v>
      </c>
      <c r="F289">
        <v>0</v>
      </c>
      <c r="G289">
        <v>0</v>
      </c>
      <c r="H289">
        <v>0</v>
      </c>
      <c r="I289">
        <v>40001</v>
      </c>
      <c r="J289">
        <v>120000</v>
      </c>
    </row>
    <row r="290" spans="2:10" x14ac:dyDescent="0.25">
      <c r="B290" t="s">
        <v>687</v>
      </c>
      <c r="C290" s="13">
        <v>4.1669999999999999E-5</v>
      </c>
      <c r="D290">
        <v>6.4549999999999998E-3</v>
      </c>
      <c r="E290" s="13">
        <v>2.2039999999999999E-5</v>
      </c>
      <c r="F290">
        <v>0</v>
      </c>
      <c r="G290">
        <v>0</v>
      </c>
      <c r="H290">
        <v>0</v>
      </c>
      <c r="I290">
        <v>40001</v>
      </c>
      <c r="J290">
        <v>120000</v>
      </c>
    </row>
    <row r="291" spans="2:10" x14ac:dyDescent="0.25">
      <c r="B291" t="s">
        <v>688</v>
      </c>
      <c r="C291">
        <v>1.172E-2</v>
      </c>
      <c r="D291">
        <v>0.1076</v>
      </c>
      <c r="E291" s="13">
        <v>6.332E-4</v>
      </c>
      <c r="F291">
        <v>0</v>
      </c>
      <c r="G291">
        <v>0</v>
      </c>
      <c r="H291">
        <v>0</v>
      </c>
      <c r="I291">
        <v>40001</v>
      </c>
      <c r="J291">
        <v>120000</v>
      </c>
    </row>
    <row r="292" spans="2:10" x14ac:dyDescent="0.25">
      <c r="B292" t="s">
        <v>689</v>
      </c>
      <c r="C292">
        <v>0.98819999999999997</v>
      </c>
      <c r="D292">
        <v>0.10780000000000001</v>
      </c>
      <c r="E292" s="13">
        <v>6.3460000000000003E-4</v>
      </c>
      <c r="F292">
        <v>1</v>
      </c>
      <c r="G292">
        <v>1</v>
      </c>
      <c r="H292">
        <v>1</v>
      </c>
      <c r="I292">
        <v>40001</v>
      </c>
      <c r="J292">
        <v>120000</v>
      </c>
    </row>
    <row r="293" spans="2:10" x14ac:dyDescent="0.25">
      <c r="B293" t="s">
        <v>690</v>
      </c>
      <c r="C293">
        <v>1.1200000000000001</v>
      </c>
      <c r="D293">
        <v>1.476</v>
      </c>
      <c r="E293">
        <v>4.3249999999999999E-3</v>
      </c>
      <c r="F293">
        <v>1.3559999999999999E-2</v>
      </c>
      <c r="G293">
        <v>0.5665</v>
      </c>
      <c r="H293">
        <v>5.3010000000000002</v>
      </c>
      <c r="I293">
        <v>40001</v>
      </c>
      <c r="J293">
        <v>120000</v>
      </c>
    </row>
    <row r="294" spans="2:10" x14ac:dyDescent="0.25">
      <c r="B294" t="s">
        <v>691</v>
      </c>
      <c r="C294">
        <v>2.996</v>
      </c>
      <c r="D294">
        <v>2.2770000000000001</v>
      </c>
      <c r="E294">
        <v>2.307E-2</v>
      </c>
      <c r="F294">
        <v>0.15010000000000001</v>
      </c>
      <c r="G294">
        <v>2.5110000000000001</v>
      </c>
      <c r="H294">
        <v>8.6120000000000001</v>
      </c>
      <c r="I294">
        <v>40001</v>
      </c>
      <c r="J294">
        <v>120000</v>
      </c>
    </row>
    <row r="295" spans="2:10" x14ac:dyDescent="0.25">
      <c r="B295" t="s">
        <v>692</v>
      </c>
      <c r="C295">
        <v>2.16</v>
      </c>
      <c r="D295">
        <v>2.1139999999999999</v>
      </c>
      <c r="E295">
        <v>1.2659999999999999E-2</v>
      </c>
      <c r="F295">
        <v>5.5989999999999998E-2</v>
      </c>
      <c r="G295">
        <v>1.5209999999999999</v>
      </c>
      <c r="H295">
        <v>7.8339999999999996</v>
      </c>
      <c r="I295">
        <v>40001</v>
      </c>
      <c r="J295">
        <v>120000</v>
      </c>
    </row>
    <row r="296" spans="2:10" x14ac:dyDescent="0.25">
      <c r="B296" t="s">
        <v>693</v>
      </c>
      <c r="C296">
        <v>1.1539999999999999</v>
      </c>
      <c r="D296">
        <v>1.4990000000000001</v>
      </c>
      <c r="E296">
        <v>4.2360000000000002E-3</v>
      </c>
      <c r="F296">
        <v>1.6369999999999999E-2</v>
      </c>
      <c r="G296">
        <v>0.60160000000000002</v>
      </c>
      <c r="H296">
        <v>5.367</v>
      </c>
      <c r="I296">
        <v>40001</v>
      </c>
      <c r="J296">
        <v>120000</v>
      </c>
    </row>
    <row r="297" spans="2:10" x14ac:dyDescent="0.25">
      <c r="B297" t="s">
        <v>694</v>
      </c>
      <c r="C297">
        <v>1.107</v>
      </c>
      <c r="D297">
        <v>1.454</v>
      </c>
      <c r="E297">
        <v>4.4489999999999998E-3</v>
      </c>
      <c r="F297">
        <v>1.4590000000000001E-2</v>
      </c>
      <c r="G297">
        <v>0.5655</v>
      </c>
      <c r="H297">
        <v>5.2290000000000001</v>
      </c>
      <c r="I297">
        <v>40001</v>
      </c>
      <c r="J297">
        <v>120000</v>
      </c>
    </row>
    <row r="298" spans="2:10" x14ac:dyDescent="0.25">
      <c r="B298" t="s">
        <v>695</v>
      </c>
      <c r="C298">
        <v>1.627</v>
      </c>
      <c r="D298">
        <v>1.673</v>
      </c>
      <c r="E298">
        <v>7.9959999999999996E-3</v>
      </c>
      <c r="F298">
        <v>3.9690000000000003E-2</v>
      </c>
      <c r="G298">
        <v>1.1060000000000001</v>
      </c>
      <c r="H298">
        <v>6.133</v>
      </c>
      <c r="I298">
        <v>40001</v>
      </c>
      <c r="J298">
        <v>120000</v>
      </c>
    </row>
    <row r="299" spans="2:10" x14ac:dyDescent="0.25">
      <c r="B299" t="s">
        <v>696</v>
      </c>
      <c r="C299">
        <v>1.532</v>
      </c>
      <c r="D299">
        <v>1.5589999999999999</v>
      </c>
      <c r="E299">
        <v>8.293E-3</v>
      </c>
      <c r="F299">
        <v>4.5780000000000001E-2</v>
      </c>
      <c r="G299">
        <v>1.0589999999999999</v>
      </c>
      <c r="H299">
        <v>5.7839999999999998</v>
      </c>
      <c r="I299">
        <v>40001</v>
      </c>
      <c r="J299">
        <v>120000</v>
      </c>
    </row>
    <row r="300" spans="2:10" x14ac:dyDescent="0.25">
      <c r="B300" t="s">
        <v>697</v>
      </c>
      <c r="C300">
        <v>2.9180000000000001</v>
      </c>
      <c r="D300">
        <v>2.0539999999999998</v>
      </c>
      <c r="E300">
        <v>2.0629999999999999E-2</v>
      </c>
      <c r="F300">
        <v>0.2306</v>
      </c>
      <c r="G300">
        <v>2.5049999999999999</v>
      </c>
      <c r="H300">
        <v>7.99</v>
      </c>
      <c r="I300">
        <v>40001</v>
      </c>
      <c r="J300">
        <v>120000</v>
      </c>
    </row>
    <row r="301" spans="2:10" x14ac:dyDescent="0.25">
      <c r="B301" t="s">
        <v>698</v>
      </c>
      <c r="C301">
        <v>3.6789999999999998</v>
      </c>
      <c r="D301">
        <v>2.032</v>
      </c>
      <c r="E301">
        <v>1.9910000000000001E-2</v>
      </c>
      <c r="F301">
        <v>0.7167</v>
      </c>
      <c r="G301">
        <v>3.351</v>
      </c>
      <c r="H301">
        <v>8.5920000000000005</v>
      </c>
      <c r="I301">
        <v>40001</v>
      </c>
      <c r="J301">
        <v>120000</v>
      </c>
    </row>
    <row r="302" spans="2:10" x14ac:dyDescent="0.25">
      <c r="B302" t="s">
        <v>699</v>
      </c>
      <c r="C302">
        <v>1.546</v>
      </c>
      <c r="D302">
        <v>1.5409999999999999</v>
      </c>
      <c r="E302">
        <v>8.5159999999999993E-3</v>
      </c>
      <c r="F302">
        <v>5.2510000000000001E-2</v>
      </c>
      <c r="G302">
        <v>1.0920000000000001</v>
      </c>
      <c r="H302">
        <v>5.7149999999999999</v>
      </c>
      <c r="I302">
        <v>40001</v>
      </c>
      <c r="J302">
        <v>120000</v>
      </c>
    </row>
    <row r="303" spans="2:10" x14ac:dyDescent="0.25">
      <c r="B303" t="s">
        <v>700</v>
      </c>
      <c r="C303">
        <v>3.3570000000000002</v>
      </c>
      <c r="D303">
        <v>1.875</v>
      </c>
      <c r="E303">
        <v>1.6740000000000001E-2</v>
      </c>
      <c r="F303">
        <v>0.70309999999999995</v>
      </c>
      <c r="G303">
        <v>3.032</v>
      </c>
      <c r="H303">
        <v>7.99</v>
      </c>
      <c r="I303">
        <v>40001</v>
      </c>
      <c r="J303">
        <v>120000</v>
      </c>
    </row>
    <row r="304" spans="2:10" x14ac:dyDescent="0.25">
      <c r="B304" t="s">
        <v>701</v>
      </c>
      <c r="C304">
        <v>2.5409999999999999</v>
      </c>
      <c r="D304">
        <v>2.0590000000000002</v>
      </c>
      <c r="E304">
        <v>2.4060000000000002E-2</v>
      </c>
      <c r="F304">
        <v>0.1163</v>
      </c>
      <c r="G304">
        <v>2.0529999999999999</v>
      </c>
      <c r="H304">
        <v>7.7510000000000003</v>
      </c>
      <c r="I304">
        <v>40001</v>
      </c>
      <c r="J304">
        <v>120000</v>
      </c>
    </row>
    <row r="305" spans="2:10" x14ac:dyDescent="0.25">
      <c r="B305" t="s">
        <v>702</v>
      </c>
      <c r="C305">
        <v>1.68</v>
      </c>
      <c r="D305">
        <v>1.5109999999999999</v>
      </c>
      <c r="E305">
        <v>6.1310000000000002E-3</v>
      </c>
      <c r="F305">
        <v>0.17150000000000001</v>
      </c>
      <c r="G305">
        <v>1.2270000000000001</v>
      </c>
      <c r="H305">
        <v>5.8520000000000003</v>
      </c>
      <c r="I305">
        <v>40001</v>
      </c>
      <c r="J305">
        <v>120000</v>
      </c>
    </row>
    <row r="306" spans="2:10" x14ac:dyDescent="0.25">
      <c r="B306" t="s">
        <v>703</v>
      </c>
      <c r="C306">
        <v>1.214</v>
      </c>
      <c r="D306">
        <v>1.5269999999999999</v>
      </c>
      <c r="E306">
        <v>4.8300000000000001E-3</v>
      </c>
      <c r="F306">
        <v>1.9439999999999999E-2</v>
      </c>
      <c r="G306">
        <v>0.65600000000000003</v>
      </c>
      <c r="H306">
        <v>5.5519999999999996</v>
      </c>
      <c r="I306">
        <v>40001</v>
      </c>
      <c r="J306">
        <v>120000</v>
      </c>
    </row>
    <row r="307" spans="2:10" x14ac:dyDescent="0.25">
      <c r="B307" t="s">
        <v>704</v>
      </c>
      <c r="C307">
        <v>2.194</v>
      </c>
      <c r="D307">
        <v>2.1059999999999999</v>
      </c>
      <c r="E307">
        <v>2.46E-2</v>
      </c>
      <c r="F307">
        <v>5.9069999999999998E-2</v>
      </c>
      <c r="G307">
        <v>1.5669999999999999</v>
      </c>
      <c r="H307">
        <v>7.7359999999999998</v>
      </c>
      <c r="I307">
        <v>40001</v>
      </c>
      <c r="J307">
        <v>120000</v>
      </c>
    </row>
    <row r="308" spans="2:10" x14ac:dyDescent="0.25">
      <c r="B308" t="s">
        <v>705</v>
      </c>
      <c r="C308">
        <v>2.0339999999999998</v>
      </c>
      <c r="D308">
        <v>2.0270000000000001</v>
      </c>
      <c r="E308">
        <v>1.7350000000000001E-2</v>
      </c>
      <c r="F308">
        <v>5.2319999999999998E-2</v>
      </c>
      <c r="G308">
        <v>1.4119999999999999</v>
      </c>
      <c r="H308">
        <v>7.4850000000000003</v>
      </c>
      <c r="I308">
        <v>40001</v>
      </c>
      <c r="J308">
        <v>120000</v>
      </c>
    </row>
    <row r="309" spans="2:10" x14ac:dyDescent="0.25">
      <c r="B309" t="s">
        <v>706</v>
      </c>
      <c r="C309">
        <v>4.3819999999999997</v>
      </c>
      <c r="D309">
        <v>1.7070000000000001</v>
      </c>
      <c r="E309">
        <v>1.01E-2</v>
      </c>
      <c r="F309">
        <v>2.2170000000000001</v>
      </c>
      <c r="G309">
        <v>3.9990000000000001</v>
      </c>
      <c r="H309">
        <v>8.8680000000000003</v>
      </c>
      <c r="I309">
        <v>40001</v>
      </c>
      <c r="J309">
        <v>120000</v>
      </c>
    </row>
    <row r="310" spans="2:10" x14ac:dyDescent="0.25">
      <c r="B310" t="s">
        <v>707</v>
      </c>
      <c r="C310">
        <v>1.625</v>
      </c>
      <c r="D310">
        <v>1.675</v>
      </c>
      <c r="E310">
        <v>8.0890000000000007E-3</v>
      </c>
      <c r="F310">
        <v>3.9969999999999999E-2</v>
      </c>
      <c r="G310">
        <v>1.101</v>
      </c>
      <c r="H310">
        <v>6.18</v>
      </c>
      <c r="I310">
        <v>40001</v>
      </c>
      <c r="J310">
        <v>120000</v>
      </c>
    </row>
    <row r="311" spans="2:10" x14ac:dyDescent="0.25">
      <c r="B311" t="s">
        <v>708</v>
      </c>
      <c r="C311">
        <v>1.1890000000000001</v>
      </c>
      <c r="D311">
        <v>1.4630000000000001</v>
      </c>
      <c r="E311">
        <v>4.607E-3</v>
      </c>
      <c r="F311">
        <v>2.3789999999999999E-2</v>
      </c>
      <c r="G311">
        <v>0.67090000000000005</v>
      </c>
      <c r="H311">
        <v>5.3220000000000001</v>
      </c>
      <c r="I311">
        <v>40001</v>
      </c>
      <c r="J311">
        <v>120000</v>
      </c>
    </row>
    <row r="312" spans="2:10" x14ac:dyDescent="0.25">
      <c r="B312" t="s">
        <v>709</v>
      </c>
      <c r="C312">
        <v>3.3370000000000002</v>
      </c>
      <c r="D312">
        <v>2.323</v>
      </c>
      <c r="E312">
        <v>2.409E-2</v>
      </c>
      <c r="F312">
        <v>0.2137</v>
      </c>
      <c r="G312">
        <v>2.9289999999999998</v>
      </c>
      <c r="H312">
        <v>8.9450000000000003</v>
      </c>
      <c r="I312">
        <v>40001</v>
      </c>
      <c r="J312">
        <v>120000</v>
      </c>
    </row>
    <row r="313" spans="2:10" x14ac:dyDescent="0.25">
      <c r="B313" t="s">
        <v>710</v>
      </c>
      <c r="C313">
        <v>2.004</v>
      </c>
      <c r="D313">
        <v>2</v>
      </c>
      <c r="E313">
        <v>1.2869999999999999E-2</v>
      </c>
      <c r="F313">
        <v>5.1319999999999998E-2</v>
      </c>
      <c r="G313">
        <v>1.393</v>
      </c>
      <c r="H313">
        <v>7.3570000000000002</v>
      </c>
      <c r="I313">
        <v>40001</v>
      </c>
      <c r="J313">
        <v>120000</v>
      </c>
    </row>
    <row r="314" spans="2:10" x14ac:dyDescent="0.25">
      <c r="B314" t="s">
        <v>711</v>
      </c>
      <c r="C314">
        <v>1.117</v>
      </c>
      <c r="D314">
        <v>1.464</v>
      </c>
      <c r="E314">
        <v>4.4260000000000002E-3</v>
      </c>
      <c r="F314">
        <v>1.481E-2</v>
      </c>
      <c r="G314">
        <v>0.57340000000000002</v>
      </c>
      <c r="H314">
        <v>5.2439999999999998</v>
      </c>
      <c r="I314">
        <v>40001</v>
      </c>
      <c r="J314">
        <v>120000</v>
      </c>
    </row>
    <row r="315" spans="2:10" x14ac:dyDescent="0.25">
      <c r="B315" t="s">
        <v>712</v>
      </c>
      <c r="C315">
        <v>2.1619999999999999</v>
      </c>
      <c r="D315">
        <v>1.7949999999999999</v>
      </c>
      <c r="E315">
        <v>1.2290000000000001E-2</v>
      </c>
      <c r="F315">
        <v>0.1041</v>
      </c>
      <c r="G315">
        <v>1.73</v>
      </c>
      <c r="H315">
        <v>6.8109999999999999</v>
      </c>
      <c r="I315">
        <v>40001</v>
      </c>
      <c r="J315">
        <v>120000</v>
      </c>
    </row>
    <row r="316" spans="2:10" x14ac:dyDescent="0.25">
      <c r="B316" t="s">
        <v>713</v>
      </c>
      <c r="C316">
        <v>1.891</v>
      </c>
      <c r="D316">
        <v>1.575</v>
      </c>
      <c r="E316">
        <v>6.979E-3</v>
      </c>
      <c r="F316">
        <v>0.20030000000000001</v>
      </c>
      <c r="G316">
        <v>1.4530000000000001</v>
      </c>
      <c r="H316">
        <v>6.1420000000000003</v>
      </c>
      <c r="I316">
        <v>40001</v>
      </c>
      <c r="J316">
        <v>120000</v>
      </c>
    </row>
    <row r="317" spans="2:10" x14ac:dyDescent="0.25">
      <c r="B317" t="s">
        <v>714</v>
      </c>
      <c r="C317">
        <v>1.7949999999999999</v>
      </c>
      <c r="D317">
        <v>1.522</v>
      </c>
      <c r="E317">
        <v>6.0610000000000004E-3</v>
      </c>
      <c r="F317">
        <v>0.26350000000000001</v>
      </c>
      <c r="G317">
        <v>1.3340000000000001</v>
      </c>
      <c r="H317">
        <v>6.0179999999999998</v>
      </c>
      <c r="I317">
        <v>40001</v>
      </c>
      <c r="J317">
        <v>120000</v>
      </c>
    </row>
    <row r="318" spans="2:10" x14ac:dyDescent="0.25">
      <c r="B318" t="s">
        <v>715</v>
      </c>
      <c r="C318">
        <v>1.1459999999999999</v>
      </c>
      <c r="D318">
        <v>1.4990000000000001</v>
      </c>
      <c r="E318">
        <v>4.4039999999999999E-3</v>
      </c>
      <c r="F318">
        <v>1.8110000000000001E-2</v>
      </c>
      <c r="G318">
        <v>0.58130000000000004</v>
      </c>
      <c r="H318">
        <v>5.423</v>
      </c>
      <c r="I318">
        <v>40001</v>
      </c>
      <c r="J318">
        <v>120000</v>
      </c>
    </row>
    <row r="319" spans="2:10" x14ac:dyDescent="0.25">
      <c r="B319" t="s">
        <v>716</v>
      </c>
      <c r="C319">
        <v>1.266</v>
      </c>
      <c r="D319">
        <v>1.478</v>
      </c>
      <c r="E319">
        <v>5.2240000000000003E-3</v>
      </c>
      <c r="F319">
        <v>2.555E-2</v>
      </c>
      <c r="G319">
        <v>0.76359999999999995</v>
      </c>
      <c r="H319">
        <v>5.3940000000000001</v>
      </c>
      <c r="I319">
        <v>40001</v>
      </c>
      <c r="J319">
        <v>120000</v>
      </c>
    </row>
    <row r="320" spans="2:10" x14ac:dyDescent="0.25">
      <c r="B320" t="s">
        <v>717</v>
      </c>
      <c r="C320">
        <v>1.1579999999999999</v>
      </c>
      <c r="D320">
        <v>1.476</v>
      </c>
      <c r="E320">
        <v>4.509E-3</v>
      </c>
      <c r="F320">
        <v>1.7440000000000001E-2</v>
      </c>
      <c r="G320">
        <v>0.621</v>
      </c>
      <c r="H320">
        <v>5.3609999999999998</v>
      </c>
      <c r="I320">
        <v>40001</v>
      </c>
      <c r="J320">
        <v>120000</v>
      </c>
    </row>
    <row r="321" spans="2:10" x14ac:dyDescent="0.25">
      <c r="B321" t="s">
        <v>718</v>
      </c>
      <c r="C321">
        <v>3.552</v>
      </c>
      <c r="D321">
        <v>2.4820000000000002</v>
      </c>
      <c r="E321">
        <v>2.758E-2</v>
      </c>
      <c r="F321">
        <v>0.2505</v>
      </c>
      <c r="G321">
        <v>3.077</v>
      </c>
      <c r="H321">
        <v>9.6029999999999998</v>
      </c>
      <c r="I321">
        <v>40001</v>
      </c>
      <c r="J321">
        <v>120000</v>
      </c>
    </row>
    <row r="322" spans="2:10" x14ac:dyDescent="0.25">
      <c r="B322" t="s">
        <v>719</v>
      </c>
      <c r="C322">
        <v>4.2789999999999999</v>
      </c>
      <c r="D322">
        <v>2.2000000000000002</v>
      </c>
      <c r="E322">
        <v>2.4150000000000001E-2</v>
      </c>
      <c r="F322">
        <v>0.8417</v>
      </c>
      <c r="G322">
        <v>3.9929999999999999</v>
      </c>
      <c r="H322">
        <v>9.4109999999999996</v>
      </c>
      <c r="I322">
        <v>40001</v>
      </c>
      <c r="J322">
        <v>120000</v>
      </c>
    </row>
    <row r="323" spans="2:10" x14ac:dyDescent="0.25">
      <c r="B323" t="s">
        <v>720</v>
      </c>
      <c r="C323">
        <v>1.74</v>
      </c>
      <c r="D323">
        <v>1.621</v>
      </c>
      <c r="E323">
        <v>8.6199999999999992E-3</v>
      </c>
      <c r="F323">
        <v>6.5790000000000001E-2</v>
      </c>
      <c r="G323">
        <v>1.29</v>
      </c>
      <c r="H323">
        <v>6.0830000000000002</v>
      </c>
      <c r="I323">
        <v>40001</v>
      </c>
      <c r="J323">
        <v>120000</v>
      </c>
    </row>
    <row r="324" spans="2:10" x14ac:dyDescent="0.25">
      <c r="B324" t="s">
        <v>721</v>
      </c>
      <c r="C324">
        <v>2.0219999999999998</v>
      </c>
      <c r="D324">
        <v>1.611</v>
      </c>
      <c r="E324">
        <v>7.9070000000000008E-3</v>
      </c>
      <c r="F324">
        <v>0.19769999999999999</v>
      </c>
      <c r="G324">
        <v>1.609</v>
      </c>
      <c r="H324">
        <v>6.3259999999999996</v>
      </c>
      <c r="I324">
        <v>40001</v>
      </c>
      <c r="J324">
        <v>120000</v>
      </c>
    </row>
    <row r="325" spans="2:10" x14ac:dyDescent="0.25">
      <c r="B325" t="s">
        <v>722</v>
      </c>
      <c r="C325">
        <v>1.923</v>
      </c>
      <c r="D325">
        <v>1.556</v>
      </c>
      <c r="E325">
        <v>6.8690000000000001E-3</v>
      </c>
      <c r="F325">
        <v>0.35210000000000002</v>
      </c>
      <c r="G325">
        <v>1.456</v>
      </c>
      <c r="H325">
        <v>6.2140000000000004</v>
      </c>
      <c r="I325">
        <v>40001</v>
      </c>
      <c r="J325">
        <v>120000</v>
      </c>
    </row>
    <row r="326" spans="2:10" x14ac:dyDescent="0.25">
      <c r="B326" t="s">
        <v>723</v>
      </c>
      <c r="C326">
        <v>3.0819999999999999</v>
      </c>
      <c r="D326">
        <v>2.1869999999999998</v>
      </c>
      <c r="E326">
        <v>2.0570000000000001E-2</v>
      </c>
      <c r="F326">
        <v>0.19239999999999999</v>
      </c>
      <c r="G326">
        <v>2.6760000000000002</v>
      </c>
      <c r="H326">
        <v>8.4309999999999992</v>
      </c>
      <c r="I326">
        <v>40001</v>
      </c>
      <c r="J326">
        <v>120000</v>
      </c>
    </row>
    <row r="327" spans="2:10" x14ac:dyDescent="0.25">
      <c r="B327" t="s">
        <v>724</v>
      </c>
      <c r="C327">
        <v>2.5920000000000001</v>
      </c>
      <c r="D327">
        <v>2.0179999999999998</v>
      </c>
      <c r="E327">
        <v>2.0750000000000001E-2</v>
      </c>
      <c r="F327">
        <v>0.12809999999999999</v>
      </c>
      <c r="G327">
        <v>2.153</v>
      </c>
      <c r="H327">
        <v>7.6740000000000004</v>
      </c>
      <c r="I327">
        <v>40001</v>
      </c>
      <c r="J327">
        <v>120000</v>
      </c>
    </row>
    <row r="328" spans="2:10" x14ac:dyDescent="0.25">
      <c r="B328" t="s">
        <v>725</v>
      </c>
      <c r="C328">
        <v>1.474</v>
      </c>
      <c r="D328">
        <v>1.569</v>
      </c>
      <c r="E328">
        <v>7.6839999999999999E-3</v>
      </c>
      <c r="F328">
        <v>3.4340000000000002E-2</v>
      </c>
      <c r="G328">
        <v>0.97950000000000004</v>
      </c>
      <c r="H328">
        <v>5.7279999999999998</v>
      </c>
      <c r="I328">
        <v>40001</v>
      </c>
      <c r="J328">
        <v>120000</v>
      </c>
    </row>
    <row r="329" spans="2:10" x14ac:dyDescent="0.25">
      <c r="B329" t="s">
        <v>726</v>
      </c>
      <c r="C329">
        <v>1.5609999999999999</v>
      </c>
      <c r="D329">
        <v>1.52</v>
      </c>
      <c r="E329">
        <v>5.8710000000000004E-3</v>
      </c>
      <c r="F329">
        <v>9.6479999999999996E-2</v>
      </c>
      <c r="G329">
        <v>1.0960000000000001</v>
      </c>
      <c r="H329">
        <v>5.7619999999999996</v>
      </c>
      <c r="I329">
        <v>40001</v>
      </c>
      <c r="J329">
        <v>120000</v>
      </c>
    </row>
    <row r="330" spans="2:10" x14ac:dyDescent="0.25">
      <c r="B330" t="s">
        <v>727</v>
      </c>
      <c r="C330">
        <v>1.3520000000000001</v>
      </c>
      <c r="D330">
        <v>1.4890000000000001</v>
      </c>
      <c r="E330">
        <v>6.7029999999999998E-3</v>
      </c>
      <c r="F330">
        <v>3.1780000000000003E-2</v>
      </c>
      <c r="G330">
        <v>0.86809999999999998</v>
      </c>
      <c r="H330">
        <v>5.4630000000000001</v>
      </c>
      <c r="I330">
        <v>40001</v>
      </c>
      <c r="J330">
        <v>120000</v>
      </c>
    </row>
    <row r="331" spans="2:10" x14ac:dyDescent="0.25">
      <c r="B331" t="s">
        <v>728</v>
      </c>
      <c r="C331">
        <v>2.09</v>
      </c>
      <c r="D331">
        <v>1.546</v>
      </c>
      <c r="E331">
        <v>6.5319999999999996E-3</v>
      </c>
      <c r="F331">
        <v>0.3881</v>
      </c>
      <c r="G331">
        <v>1.6719999999999999</v>
      </c>
      <c r="H331">
        <v>6.2839999999999998</v>
      </c>
      <c r="I331">
        <v>40001</v>
      </c>
      <c r="J331">
        <v>120000</v>
      </c>
    </row>
    <row r="332" spans="2:10" x14ac:dyDescent="0.25">
      <c r="B332" t="s">
        <v>729</v>
      </c>
      <c r="C332">
        <v>1.1240000000000001</v>
      </c>
      <c r="D332">
        <v>1.462</v>
      </c>
      <c r="E332">
        <v>4.4840000000000001E-3</v>
      </c>
      <c r="F332">
        <v>1.4840000000000001E-2</v>
      </c>
      <c r="G332">
        <v>0.5887</v>
      </c>
      <c r="H332">
        <v>5.2279999999999998</v>
      </c>
      <c r="I332">
        <v>40001</v>
      </c>
      <c r="J332">
        <v>120000</v>
      </c>
    </row>
    <row r="333" spans="2:10" x14ac:dyDescent="0.25">
      <c r="B333" t="s">
        <v>730</v>
      </c>
      <c r="C333">
        <v>1.1519999999999999</v>
      </c>
      <c r="D333">
        <v>1.468</v>
      </c>
      <c r="E333">
        <v>4.3290000000000004E-3</v>
      </c>
      <c r="F333">
        <v>1.7919999999999998E-2</v>
      </c>
      <c r="G333">
        <v>0.62350000000000005</v>
      </c>
      <c r="H333">
        <v>5.2939999999999996</v>
      </c>
      <c r="I333">
        <v>40001</v>
      </c>
      <c r="J333">
        <v>120000</v>
      </c>
    </row>
    <row r="334" spans="2:10" x14ac:dyDescent="0.25">
      <c r="B334" t="s">
        <v>731</v>
      </c>
      <c r="C334">
        <v>1.1910000000000001</v>
      </c>
      <c r="D334">
        <v>1.476</v>
      </c>
      <c r="E334">
        <v>4.9129999999999998E-3</v>
      </c>
      <c r="F334">
        <v>2.094E-2</v>
      </c>
      <c r="G334">
        <v>0.66610000000000003</v>
      </c>
      <c r="H334">
        <v>5.3490000000000002</v>
      </c>
      <c r="I334">
        <v>40001</v>
      </c>
      <c r="J334">
        <v>120000</v>
      </c>
    </row>
    <row r="335" spans="2:10" x14ac:dyDescent="0.25">
      <c r="B335" t="s">
        <v>732</v>
      </c>
      <c r="C335">
        <v>1.327</v>
      </c>
      <c r="D335">
        <v>1.5009999999999999</v>
      </c>
      <c r="E335">
        <v>5.3790000000000001E-3</v>
      </c>
      <c r="F335">
        <v>5.042E-2</v>
      </c>
      <c r="G335">
        <v>0.81230000000000002</v>
      </c>
      <c r="H335">
        <v>5.5380000000000003</v>
      </c>
      <c r="I335">
        <v>40001</v>
      </c>
      <c r="J335">
        <v>120000</v>
      </c>
    </row>
    <row r="336" spans="2:10" x14ac:dyDescent="0.25">
      <c r="B336" t="s">
        <v>733</v>
      </c>
      <c r="C336">
        <v>1.39</v>
      </c>
      <c r="D336">
        <v>1.536</v>
      </c>
      <c r="E336">
        <v>6.117E-3</v>
      </c>
      <c r="F336">
        <v>3.0550000000000001E-2</v>
      </c>
      <c r="G336">
        <v>0.88929999999999998</v>
      </c>
      <c r="H336">
        <v>5.6369999999999996</v>
      </c>
      <c r="I336">
        <v>40001</v>
      </c>
      <c r="J336">
        <v>120000</v>
      </c>
    </row>
    <row r="337" spans="1:10" x14ac:dyDescent="0.25">
      <c r="B337" t="s">
        <v>734</v>
      </c>
      <c r="C337">
        <v>3.68</v>
      </c>
      <c r="D337">
        <v>2.859</v>
      </c>
      <c r="E337">
        <v>3.3189999999999997E-2</v>
      </c>
      <c r="F337">
        <v>0.17710000000000001</v>
      </c>
      <c r="G337">
        <v>3.024</v>
      </c>
      <c r="H337">
        <v>10.85</v>
      </c>
      <c r="I337">
        <v>40001</v>
      </c>
      <c r="J337">
        <v>120000</v>
      </c>
    </row>
    <row r="338" spans="1:10" x14ac:dyDescent="0.25">
      <c r="B338" t="s">
        <v>735</v>
      </c>
      <c r="C338">
        <v>2.4670000000000001</v>
      </c>
      <c r="D338">
        <v>1.946</v>
      </c>
      <c r="E338">
        <v>1.453E-2</v>
      </c>
      <c r="F338">
        <v>0.12889999999999999</v>
      </c>
      <c r="G338">
        <v>2.0270000000000001</v>
      </c>
      <c r="H338">
        <v>7.4379999999999997</v>
      </c>
      <c r="I338">
        <v>40001</v>
      </c>
      <c r="J338">
        <v>120000</v>
      </c>
    </row>
    <row r="339" spans="1:10" x14ac:dyDescent="0.25">
      <c r="B339" t="s">
        <v>736</v>
      </c>
      <c r="C339">
        <v>2.4369999999999998</v>
      </c>
      <c r="D339">
        <v>2.0710000000000002</v>
      </c>
      <c r="E339">
        <v>1.8110000000000001E-2</v>
      </c>
      <c r="F339">
        <v>8.9069999999999996E-2</v>
      </c>
      <c r="G339">
        <v>1.905</v>
      </c>
      <c r="H339">
        <v>7.7270000000000003</v>
      </c>
      <c r="I339">
        <v>40001</v>
      </c>
      <c r="J339">
        <v>120000</v>
      </c>
    </row>
    <row r="340" spans="1:10" x14ac:dyDescent="0.25">
      <c r="B340" t="s">
        <v>737</v>
      </c>
      <c r="C340">
        <v>5.7110000000000003</v>
      </c>
      <c r="D340">
        <v>0.90580000000000005</v>
      </c>
      <c r="E340">
        <v>1.0529999999999999E-2</v>
      </c>
      <c r="F340">
        <v>4</v>
      </c>
      <c r="G340">
        <v>6</v>
      </c>
      <c r="H340">
        <v>7</v>
      </c>
      <c r="I340">
        <v>40001</v>
      </c>
      <c r="J340">
        <v>120000</v>
      </c>
    </row>
    <row r="341" spans="1:10" x14ac:dyDescent="0.25">
      <c r="B341" t="s">
        <v>738</v>
      </c>
      <c r="C341">
        <v>7.8559999999999999</v>
      </c>
      <c r="D341">
        <v>0.67469999999999997</v>
      </c>
      <c r="E341">
        <v>7.7929999999999996E-3</v>
      </c>
      <c r="F341">
        <v>7</v>
      </c>
      <c r="G341">
        <v>8</v>
      </c>
      <c r="H341">
        <v>9</v>
      </c>
      <c r="I341">
        <v>40001</v>
      </c>
      <c r="J341">
        <v>120000</v>
      </c>
    </row>
    <row r="342" spans="1:10" x14ac:dyDescent="0.25">
      <c r="B342" t="s">
        <v>739</v>
      </c>
      <c r="C342">
        <v>3.8460000000000001</v>
      </c>
      <c r="D342">
        <v>0.85850000000000004</v>
      </c>
      <c r="E342">
        <v>1.022E-2</v>
      </c>
      <c r="F342">
        <v>2</v>
      </c>
      <c r="G342">
        <v>4</v>
      </c>
      <c r="H342">
        <v>6</v>
      </c>
      <c r="I342">
        <v>40001</v>
      </c>
      <c r="J342">
        <v>120000</v>
      </c>
    </row>
    <row r="343" spans="1:10" x14ac:dyDescent="0.25">
      <c r="B343" t="s">
        <v>740</v>
      </c>
      <c r="C343">
        <v>2.6080000000000001</v>
      </c>
      <c r="D343">
        <v>1.0489999999999999</v>
      </c>
      <c r="E343">
        <v>1.166E-2</v>
      </c>
      <c r="F343">
        <v>1</v>
      </c>
      <c r="G343">
        <v>3</v>
      </c>
      <c r="H343">
        <v>5</v>
      </c>
      <c r="I343">
        <v>40001</v>
      </c>
      <c r="J343">
        <v>120000</v>
      </c>
    </row>
    <row r="344" spans="1:10" x14ac:dyDescent="0.25">
      <c r="B344" t="s">
        <v>741</v>
      </c>
      <c r="C344">
        <v>2.3969999999999998</v>
      </c>
      <c r="D344">
        <v>1.8169999999999999</v>
      </c>
      <c r="E344">
        <v>2.4289999999999999E-2</v>
      </c>
      <c r="F344">
        <v>1</v>
      </c>
      <c r="G344">
        <v>2</v>
      </c>
      <c r="H344">
        <v>7</v>
      </c>
      <c r="I344">
        <v>40001</v>
      </c>
      <c r="J344">
        <v>120000</v>
      </c>
    </row>
    <row r="345" spans="1:10" x14ac:dyDescent="0.25">
      <c r="B345" t="s">
        <v>742</v>
      </c>
      <c r="C345">
        <v>1.948</v>
      </c>
      <c r="D345">
        <v>1.04</v>
      </c>
      <c r="E345">
        <v>1.226E-2</v>
      </c>
      <c r="F345">
        <v>1</v>
      </c>
      <c r="G345">
        <v>2</v>
      </c>
      <c r="H345">
        <v>5</v>
      </c>
      <c r="I345">
        <v>40001</v>
      </c>
      <c r="J345">
        <v>120000</v>
      </c>
    </row>
    <row r="346" spans="1:10" x14ac:dyDescent="0.25">
      <c r="B346" t="s">
        <v>743</v>
      </c>
      <c r="C346">
        <v>8.4309999999999992</v>
      </c>
      <c r="D346">
        <v>1.127</v>
      </c>
      <c r="E346">
        <v>1.0840000000000001E-2</v>
      </c>
      <c r="F346">
        <v>5</v>
      </c>
      <c r="G346">
        <v>9</v>
      </c>
      <c r="H346">
        <v>9</v>
      </c>
      <c r="I346">
        <v>40001</v>
      </c>
      <c r="J346">
        <v>120000</v>
      </c>
    </row>
    <row r="347" spans="1:10" x14ac:dyDescent="0.25">
      <c r="B347" t="s">
        <v>744</v>
      </c>
      <c r="C347">
        <v>6.4409999999999998</v>
      </c>
      <c r="D347">
        <v>1.927</v>
      </c>
      <c r="E347">
        <v>3.1510000000000003E-2</v>
      </c>
      <c r="F347">
        <v>2</v>
      </c>
      <c r="G347">
        <v>7</v>
      </c>
      <c r="H347">
        <v>9</v>
      </c>
      <c r="I347">
        <v>40001</v>
      </c>
      <c r="J347">
        <v>120000</v>
      </c>
    </row>
    <row r="348" spans="1:10" x14ac:dyDescent="0.25">
      <c r="B348" t="s">
        <v>745</v>
      </c>
      <c r="C348">
        <v>5.774</v>
      </c>
      <c r="D348">
        <v>1.1739999999999999</v>
      </c>
      <c r="E348">
        <v>1.2460000000000001E-2</v>
      </c>
      <c r="F348">
        <v>3</v>
      </c>
      <c r="G348">
        <v>6</v>
      </c>
      <c r="H348">
        <v>8</v>
      </c>
      <c r="I348">
        <v>40001</v>
      </c>
      <c r="J348">
        <v>120000</v>
      </c>
    </row>
    <row r="349" spans="1:10" x14ac:dyDescent="0.25">
      <c r="B349" t="s">
        <v>746</v>
      </c>
      <c r="C349">
        <v>9.9879999999999995</v>
      </c>
      <c r="D349">
        <v>0.1084</v>
      </c>
      <c r="E349" s="13">
        <v>6.3679999999999997E-4</v>
      </c>
      <c r="F349">
        <v>10</v>
      </c>
      <c r="G349">
        <v>10</v>
      </c>
      <c r="H349">
        <v>10</v>
      </c>
      <c r="I349">
        <v>40001</v>
      </c>
      <c r="J349">
        <v>120000</v>
      </c>
    </row>
    <row r="350" spans="1:10" x14ac:dyDescent="0.25">
      <c r="B350" t="s">
        <v>838</v>
      </c>
      <c r="C350">
        <v>0.2109</v>
      </c>
      <c r="D350">
        <v>0.10489999999999999</v>
      </c>
      <c r="E350">
        <v>2.16E-3</v>
      </c>
      <c r="F350">
        <v>5.3460000000000001E-2</v>
      </c>
      <c r="G350">
        <v>0.1963</v>
      </c>
      <c r="H350">
        <v>0.44829999999999998</v>
      </c>
      <c r="I350">
        <v>40001</v>
      </c>
      <c r="J350">
        <v>120000</v>
      </c>
    </row>
    <row r="351" spans="1:10" x14ac:dyDescent="0.25">
      <c r="B351" t="s">
        <v>747</v>
      </c>
      <c r="C351">
        <v>96.37</v>
      </c>
      <c r="D351">
        <v>12.53</v>
      </c>
      <c r="E351">
        <v>0.11550000000000001</v>
      </c>
      <c r="F351">
        <v>72.790000000000006</v>
      </c>
      <c r="G351">
        <v>96.02</v>
      </c>
      <c r="H351">
        <v>122</v>
      </c>
      <c r="I351">
        <v>40001</v>
      </c>
      <c r="J351">
        <v>120000</v>
      </c>
    </row>
    <row r="352" spans="1:10" x14ac:dyDescent="0.25">
      <c r="A352" t="s">
        <v>748</v>
      </c>
    </row>
    <row r="354" spans="1:5" x14ac:dyDescent="0.25">
      <c r="A354" t="s">
        <v>749</v>
      </c>
    </row>
    <row r="355" spans="1:5" x14ac:dyDescent="0.25">
      <c r="A355" t="s">
        <v>750</v>
      </c>
    </row>
    <row r="356" spans="1:5" x14ac:dyDescent="0.25">
      <c r="B356" t="s">
        <v>751</v>
      </c>
      <c r="C356" t="s">
        <v>752</v>
      </c>
      <c r="D356" t="s">
        <v>753</v>
      </c>
      <c r="E356" t="s">
        <v>749</v>
      </c>
    </row>
    <row r="357" spans="1:5" x14ac:dyDescent="0.25">
      <c r="A357" t="s">
        <v>754</v>
      </c>
      <c r="B357">
        <v>419.88200000000001</v>
      </c>
      <c r="C357">
        <v>358.33800000000002</v>
      </c>
      <c r="D357">
        <v>61.545000000000002</v>
      </c>
      <c r="E357">
        <v>481.42700000000002</v>
      </c>
    </row>
    <row r="358" spans="1:5" x14ac:dyDescent="0.25">
      <c r="A358" t="s">
        <v>755</v>
      </c>
      <c r="B358">
        <v>419.88200000000001</v>
      </c>
      <c r="C358">
        <v>358.33800000000002</v>
      </c>
      <c r="D358">
        <v>61.545000000000002</v>
      </c>
      <c r="E358">
        <v>481.42700000000002</v>
      </c>
    </row>
    <row r="359" spans="1:5" x14ac:dyDescent="0.25">
      <c r="A359" t="s">
        <v>756</v>
      </c>
    </row>
    <row r="361" spans="1:5" x14ac:dyDescent="0.25">
      <c r="A361" t="s">
        <v>757</v>
      </c>
    </row>
    <row r="363" spans="1:5" x14ac:dyDescent="0.25">
      <c r="A363" t="s">
        <v>758</v>
      </c>
    </row>
    <row r="365" spans="1:5" x14ac:dyDescent="0.25">
      <c r="A365" t="s">
        <v>759</v>
      </c>
    </row>
    <row r="367" spans="1:5" x14ac:dyDescent="0.25">
      <c r="A367" t="s">
        <v>943</v>
      </c>
    </row>
  </sheetData>
  <dataConsolid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1:H158"/>
  <sheetViews>
    <sheetView showGridLines="0" topLeftCell="A25" workbookViewId="0">
      <selection activeCell="D53" sqref="D53"/>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5:8" hidden="1" x14ac:dyDescent="0.25"/>
    <row r="18" spans="5:8" hidden="1" x14ac:dyDescent="0.25"/>
    <row r="19" spans="5:8" hidden="1" x14ac:dyDescent="0.25"/>
    <row r="20" spans="5:8" hidden="1" x14ac:dyDescent="0.25"/>
    <row r="21" spans="5:8" hidden="1" x14ac:dyDescent="0.25"/>
    <row r="22" spans="5:8" hidden="1" x14ac:dyDescent="0.25"/>
    <row r="23" spans="5:8" hidden="1" x14ac:dyDescent="0.25"/>
    <row r="24" spans="5:8" hidden="1" x14ac:dyDescent="0.25"/>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J167"/>
  <sheetViews>
    <sheetView showGridLines="0" topLeftCell="A24" workbookViewId="0">
      <selection activeCell="Q37" sqref="Q37"/>
    </sheetView>
  </sheetViews>
  <sheetFormatPr defaultRowHeight="15" x14ac:dyDescent="0.25"/>
  <sheetData>
    <row r="1" spans="1:1" hidden="1" x14ac:dyDescent="0.25">
      <c r="A1" t="s">
        <v>397</v>
      </c>
    </row>
    <row r="2" spans="1:1" hidden="1" x14ac:dyDescent="0.25">
      <c r="A2" t="s">
        <v>887</v>
      </c>
    </row>
    <row r="3" spans="1:1" hidden="1" x14ac:dyDescent="0.25">
      <c r="A3" t="s">
        <v>411</v>
      </c>
    </row>
    <row r="4" spans="1:1" hidden="1" x14ac:dyDescent="0.25">
      <c r="A4" t="s">
        <v>398</v>
      </c>
    </row>
    <row r="5" spans="1:1" hidden="1" x14ac:dyDescent="0.25">
      <c r="A5" t="s">
        <v>413</v>
      </c>
    </row>
    <row r="6" spans="1:1" hidden="1" x14ac:dyDescent="0.25">
      <c r="A6" t="s">
        <v>399</v>
      </c>
    </row>
    <row r="7" spans="1:1" hidden="1" x14ac:dyDescent="0.25">
      <c r="A7" t="s">
        <v>413</v>
      </c>
    </row>
    <row r="8" spans="1:1" hidden="1" x14ac:dyDescent="0.25">
      <c r="A8" t="s">
        <v>21</v>
      </c>
    </row>
    <row r="9" spans="1:1" hidden="1" x14ac:dyDescent="0.25">
      <c r="A9" t="s">
        <v>415</v>
      </c>
    </row>
    <row r="10" spans="1:1" hidden="1" x14ac:dyDescent="0.25">
      <c r="A10" t="s">
        <v>888</v>
      </c>
    </row>
    <row r="11" spans="1:1" hidden="1" x14ac:dyDescent="0.25">
      <c r="A11" t="s">
        <v>834</v>
      </c>
    </row>
    <row r="12" spans="1:1" hidden="1" x14ac:dyDescent="0.25">
      <c r="A12" t="s">
        <v>889</v>
      </c>
    </row>
    <row r="13" spans="1:1" hidden="1" x14ac:dyDescent="0.25">
      <c r="A13" t="s">
        <v>834</v>
      </c>
    </row>
    <row r="14" spans="1:1" hidden="1" x14ac:dyDescent="0.25">
      <c r="A14" t="s">
        <v>890</v>
      </c>
    </row>
    <row r="15" spans="1:1" hidden="1" x14ac:dyDescent="0.25">
      <c r="A15" t="s">
        <v>834</v>
      </c>
    </row>
    <row r="16" spans="1:1" hidden="1" x14ac:dyDescent="0.25">
      <c r="A16" t="s">
        <v>23</v>
      </c>
    </row>
    <row r="17" spans="1:10" hidden="1" x14ac:dyDescent="0.25">
      <c r="A17" t="s">
        <v>837</v>
      </c>
    </row>
    <row r="18" spans="1:10" hidden="1" x14ac:dyDescent="0.25">
      <c r="A18" t="s">
        <v>400</v>
      </c>
    </row>
    <row r="19" spans="1:10" hidden="1" x14ac:dyDescent="0.25">
      <c r="A19" t="s">
        <v>197</v>
      </c>
    </row>
    <row r="20" spans="1:10" hidden="1" x14ac:dyDescent="0.25">
      <c r="A20" t="s">
        <v>198</v>
      </c>
    </row>
    <row r="21" spans="1:10" hidden="1" x14ac:dyDescent="0.25">
      <c r="A21" t="s">
        <v>199</v>
      </c>
    </row>
    <row r="22" spans="1:10" hidden="1" x14ac:dyDescent="0.25">
      <c r="A22" t="s">
        <v>400</v>
      </c>
    </row>
    <row r="23" spans="1:10" hidden="1" x14ac:dyDescent="0.25">
      <c r="A23" t="s">
        <v>401</v>
      </c>
    </row>
    <row r="25" spans="1:10" x14ac:dyDescent="0.25">
      <c r="A25" t="s">
        <v>423</v>
      </c>
    </row>
    <row r="26" spans="1:10" x14ac:dyDescent="0.25">
      <c r="B26" t="s">
        <v>424</v>
      </c>
      <c r="C26" t="s">
        <v>425</v>
      </c>
      <c r="D26" t="s">
        <v>426</v>
      </c>
      <c r="E26" t="s">
        <v>427</v>
      </c>
      <c r="F26" s="12">
        <v>2.5000000000000001E-2</v>
      </c>
      <c r="G26" t="s">
        <v>428</v>
      </c>
      <c r="H26" s="12">
        <v>0.97499999999999998</v>
      </c>
      <c r="I26" t="s">
        <v>429</v>
      </c>
      <c r="J26" t="s">
        <v>430</v>
      </c>
    </row>
    <row r="27" spans="1:10" x14ac:dyDescent="0.25">
      <c r="B27" t="s">
        <v>842</v>
      </c>
      <c r="C27">
        <v>-0.14860000000000001</v>
      </c>
      <c r="D27">
        <v>0.18940000000000001</v>
      </c>
      <c r="E27">
        <v>3.1389999999999999E-3</v>
      </c>
      <c r="F27">
        <v>-0.52639999999999998</v>
      </c>
      <c r="G27">
        <v>-0.14760000000000001</v>
      </c>
      <c r="H27">
        <v>0.21709999999999999</v>
      </c>
      <c r="I27">
        <v>40001</v>
      </c>
      <c r="J27">
        <v>120000</v>
      </c>
    </row>
    <row r="28" spans="1:10" x14ac:dyDescent="0.25">
      <c r="B28" t="s">
        <v>843</v>
      </c>
      <c r="C28">
        <v>-0.46389999999999998</v>
      </c>
      <c r="D28">
        <v>0.52200000000000002</v>
      </c>
      <c r="E28">
        <v>1.1429999999999999E-2</v>
      </c>
      <c r="F28">
        <v>-1.51</v>
      </c>
      <c r="G28">
        <v>-0.45660000000000001</v>
      </c>
      <c r="H28">
        <v>0.55410000000000004</v>
      </c>
      <c r="I28">
        <v>40001</v>
      </c>
      <c r="J28">
        <v>120000</v>
      </c>
    </row>
    <row r="29" spans="1:10" x14ac:dyDescent="0.25">
      <c r="B29" t="s">
        <v>844</v>
      </c>
      <c r="C29">
        <v>0.99619999999999997</v>
      </c>
      <c r="D29">
        <v>1.556</v>
      </c>
      <c r="E29">
        <v>4.3319999999999997E-2</v>
      </c>
      <c r="F29">
        <v>-1.792</v>
      </c>
      <c r="G29">
        <v>0.88200000000000001</v>
      </c>
      <c r="H29">
        <v>4.4249999999999998</v>
      </c>
      <c r="I29">
        <v>40001</v>
      </c>
      <c r="J29">
        <v>120000</v>
      </c>
    </row>
    <row r="30" spans="1:10" x14ac:dyDescent="0.25">
      <c r="B30" t="s">
        <v>845</v>
      </c>
      <c r="C30">
        <v>0.89339999999999997</v>
      </c>
      <c r="D30">
        <v>100.2</v>
      </c>
      <c r="E30">
        <v>0.30009999999999998</v>
      </c>
      <c r="F30">
        <v>-195</v>
      </c>
      <c r="G30">
        <v>0.6744</v>
      </c>
      <c r="H30">
        <v>197.4</v>
      </c>
      <c r="I30">
        <v>40001</v>
      </c>
      <c r="J30">
        <v>120000</v>
      </c>
    </row>
    <row r="31" spans="1:10" x14ac:dyDescent="0.25">
      <c r="B31" t="s">
        <v>846</v>
      </c>
      <c r="C31">
        <v>5.9040000000000002E-2</v>
      </c>
      <c r="D31">
        <v>100.2</v>
      </c>
      <c r="E31">
        <v>0.27679999999999999</v>
      </c>
      <c r="F31">
        <v>-196</v>
      </c>
      <c r="G31">
        <v>0.15359999999999999</v>
      </c>
      <c r="H31">
        <v>197.2</v>
      </c>
      <c r="I31">
        <v>40001</v>
      </c>
      <c r="J31">
        <v>120000</v>
      </c>
    </row>
    <row r="32" spans="1:10" x14ac:dyDescent="0.25">
      <c r="B32" t="s">
        <v>847</v>
      </c>
      <c r="C32">
        <v>-0.14399999999999999</v>
      </c>
      <c r="D32">
        <v>99.88</v>
      </c>
      <c r="E32">
        <v>0.28860000000000002</v>
      </c>
      <c r="F32">
        <v>-195.2</v>
      </c>
      <c r="G32">
        <v>-0.38990000000000002</v>
      </c>
      <c r="H32">
        <v>195.5</v>
      </c>
      <c r="I32">
        <v>40001</v>
      </c>
      <c r="J32">
        <v>120000</v>
      </c>
    </row>
    <row r="33" spans="2:10" x14ac:dyDescent="0.25">
      <c r="B33" t="s">
        <v>848</v>
      </c>
      <c r="C33">
        <v>-0.93810000000000004</v>
      </c>
      <c r="D33">
        <v>0.77980000000000005</v>
      </c>
      <c r="E33">
        <v>1.8169999999999999E-2</v>
      </c>
      <c r="F33">
        <v>-2.4550000000000001</v>
      </c>
      <c r="G33">
        <v>-0.93479999999999996</v>
      </c>
      <c r="H33">
        <v>0.55269999999999997</v>
      </c>
      <c r="I33">
        <v>40001</v>
      </c>
      <c r="J33">
        <v>120000</v>
      </c>
    </row>
    <row r="34" spans="2:10" x14ac:dyDescent="0.25">
      <c r="B34" t="s">
        <v>849</v>
      </c>
      <c r="C34">
        <v>-0.2082</v>
      </c>
      <c r="D34">
        <v>0.30270000000000002</v>
      </c>
      <c r="E34">
        <v>1.787E-3</v>
      </c>
      <c r="F34">
        <v>-0.83630000000000004</v>
      </c>
      <c r="G34">
        <v>-0.2064</v>
      </c>
      <c r="H34">
        <v>0.41639999999999999</v>
      </c>
      <c r="I34">
        <v>40001</v>
      </c>
      <c r="J34">
        <v>120000</v>
      </c>
    </row>
    <row r="35" spans="2:10" x14ac:dyDescent="0.25">
      <c r="B35" t="s">
        <v>850</v>
      </c>
      <c r="C35">
        <v>-2.012</v>
      </c>
      <c r="D35">
        <v>0.30580000000000002</v>
      </c>
      <c r="E35">
        <v>4.4400000000000004E-3</v>
      </c>
      <c r="F35">
        <v>-2.645</v>
      </c>
      <c r="G35">
        <v>-1.9990000000000001</v>
      </c>
      <c r="H35">
        <v>-1.4339999999999999</v>
      </c>
      <c r="I35">
        <v>40001</v>
      </c>
      <c r="J35">
        <v>120000</v>
      </c>
    </row>
    <row r="36" spans="2:10" x14ac:dyDescent="0.25">
      <c r="B36" t="s">
        <v>851</v>
      </c>
      <c r="C36">
        <v>1.1870000000000001</v>
      </c>
      <c r="D36">
        <v>0.3206</v>
      </c>
      <c r="E36">
        <v>5.1089999999999998E-3</v>
      </c>
      <c r="F36">
        <v>0.57099999999999995</v>
      </c>
      <c r="G36">
        <v>1.18</v>
      </c>
      <c r="H36">
        <v>1.835</v>
      </c>
      <c r="I36">
        <v>40001</v>
      </c>
      <c r="J36">
        <v>120000</v>
      </c>
    </row>
    <row r="37" spans="2:10" x14ac:dyDescent="0.25">
      <c r="B37" t="s">
        <v>852</v>
      </c>
      <c r="C37">
        <v>0.36399999999999999</v>
      </c>
      <c r="D37">
        <v>99.95</v>
      </c>
      <c r="E37">
        <v>0.28889999999999999</v>
      </c>
      <c r="F37">
        <v>-195.2</v>
      </c>
      <c r="G37">
        <v>4.0309999999999999E-2</v>
      </c>
      <c r="H37">
        <v>196.1</v>
      </c>
      <c r="I37">
        <v>40001</v>
      </c>
      <c r="J37">
        <v>120000</v>
      </c>
    </row>
    <row r="38" spans="2:10" x14ac:dyDescent="0.25">
      <c r="B38" t="s">
        <v>853</v>
      </c>
      <c r="C38">
        <v>1.349</v>
      </c>
      <c r="D38">
        <v>0.67100000000000004</v>
      </c>
      <c r="E38">
        <v>1.192E-2</v>
      </c>
      <c r="F38">
        <v>6.6549999999999998E-2</v>
      </c>
      <c r="G38">
        <v>1.339</v>
      </c>
      <c r="H38">
        <v>2.6890000000000001</v>
      </c>
      <c r="I38">
        <v>40001</v>
      </c>
      <c r="J38">
        <v>120000</v>
      </c>
    </row>
    <row r="39" spans="2:10" x14ac:dyDescent="0.25">
      <c r="B39" t="s">
        <v>854</v>
      </c>
      <c r="C39">
        <v>-3.3619999999999997E-2</v>
      </c>
      <c r="D39">
        <v>100.1</v>
      </c>
      <c r="E39">
        <v>0.28899999999999998</v>
      </c>
      <c r="F39">
        <v>-196.3</v>
      </c>
      <c r="G39">
        <v>6.8409999999999999E-2</v>
      </c>
      <c r="H39">
        <v>196.2</v>
      </c>
      <c r="I39">
        <v>40001</v>
      </c>
      <c r="J39">
        <v>120000</v>
      </c>
    </row>
    <row r="40" spans="2:10" x14ac:dyDescent="0.25">
      <c r="B40" t="s">
        <v>855</v>
      </c>
      <c r="C40">
        <v>-0.33139999999999997</v>
      </c>
      <c r="D40">
        <v>0.46279999999999999</v>
      </c>
      <c r="E40">
        <v>5.3249999999999999E-3</v>
      </c>
      <c r="F40">
        <v>-1.2490000000000001</v>
      </c>
      <c r="G40">
        <v>-0.32819999999999999</v>
      </c>
      <c r="H40">
        <v>0.58750000000000002</v>
      </c>
      <c r="I40">
        <v>40001</v>
      </c>
      <c r="J40">
        <v>120000</v>
      </c>
    </row>
    <row r="41" spans="2:10" x14ac:dyDescent="0.25">
      <c r="B41" t="s">
        <v>856</v>
      </c>
      <c r="C41">
        <v>0.71150000000000002</v>
      </c>
      <c r="D41">
        <v>0.61829999999999996</v>
      </c>
      <c r="E41">
        <v>9.972E-3</v>
      </c>
      <c r="F41">
        <v>-0.4904</v>
      </c>
      <c r="G41">
        <v>0.70230000000000004</v>
      </c>
      <c r="H41">
        <v>1.946</v>
      </c>
      <c r="I41">
        <v>40001</v>
      </c>
      <c r="J41">
        <v>120000</v>
      </c>
    </row>
    <row r="42" spans="2:10" x14ac:dyDescent="0.25">
      <c r="B42" t="s">
        <v>857</v>
      </c>
      <c r="C42">
        <v>5.1909999999999998E-2</v>
      </c>
      <c r="D42">
        <v>99.73</v>
      </c>
      <c r="E42">
        <v>0.30049999999999999</v>
      </c>
      <c r="F42">
        <v>-195.6</v>
      </c>
      <c r="G42">
        <v>7.3330000000000006E-2</v>
      </c>
      <c r="H42">
        <v>194.9</v>
      </c>
      <c r="I42">
        <v>40001</v>
      </c>
      <c r="J42">
        <v>120000</v>
      </c>
    </row>
    <row r="43" spans="2:10" x14ac:dyDescent="0.25">
      <c r="B43" t="s">
        <v>858</v>
      </c>
      <c r="C43">
        <v>-0.9385</v>
      </c>
      <c r="D43">
        <v>0.44230000000000003</v>
      </c>
      <c r="E43">
        <v>5.202E-3</v>
      </c>
      <c r="F43">
        <v>-1.8220000000000001</v>
      </c>
      <c r="G43">
        <v>-0.93610000000000004</v>
      </c>
      <c r="H43">
        <v>-6.6309999999999994E-2</v>
      </c>
      <c r="I43">
        <v>40001</v>
      </c>
      <c r="J43">
        <v>120000</v>
      </c>
    </row>
    <row r="44" spans="2:10" x14ac:dyDescent="0.25">
      <c r="B44" t="s">
        <v>859</v>
      </c>
      <c r="C44">
        <v>2.7859999999999999E-2</v>
      </c>
      <c r="D44">
        <v>0.28410000000000002</v>
      </c>
      <c r="E44">
        <v>3.7330000000000002E-3</v>
      </c>
      <c r="F44">
        <v>-0.54400000000000004</v>
      </c>
      <c r="G44">
        <v>3.2750000000000001E-2</v>
      </c>
      <c r="H44">
        <v>0.57440000000000002</v>
      </c>
      <c r="I44">
        <v>40001</v>
      </c>
      <c r="J44">
        <v>120000</v>
      </c>
    </row>
    <row r="45" spans="2:10" x14ac:dyDescent="0.25">
      <c r="B45" t="s">
        <v>860</v>
      </c>
      <c r="C45">
        <v>9.2380000000000004E-2</v>
      </c>
      <c r="D45">
        <v>100.1</v>
      </c>
      <c r="E45">
        <v>0.29630000000000001</v>
      </c>
      <c r="F45">
        <v>-195.6</v>
      </c>
      <c r="G45">
        <v>0.1162</v>
      </c>
      <c r="H45">
        <v>196.3</v>
      </c>
      <c r="I45">
        <v>40001</v>
      </c>
      <c r="J45">
        <v>120000</v>
      </c>
    </row>
    <row r="46" spans="2:10" x14ac:dyDescent="0.25">
      <c r="B46" t="s">
        <v>861</v>
      </c>
      <c r="C46">
        <v>1.1140000000000001</v>
      </c>
      <c r="D46">
        <v>0.46739999999999998</v>
      </c>
      <c r="E46">
        <v>8.7860000000000004E-3</v>
      </c>
      <c r="F46">
        <v>0.20469999999999999</v>
      </c>
      <c r="G46">
        <v>1.105</v>
      </c>
      <c r="H46">
        <v>2.0510000000000002</v>
      </c>
      <c r="I46">
        <v>40001</v>
      </c>
      <c r="J46">
        <v>120000</v>
      </c>
    </row>
    <row r="47" spans="2:10" x14ac:dyDescent="0.25">
      <c r="B47" t="s">
        <v>862</v>
      </c>
      <c r="C47">
        <v>8.5540000000000005E-2</v>
      </c>
      <c r="D47">
        <v>99.97</v>
      </c>
      <c r="E47">
        <v>0.28810000000000002</v>
      </c>
      <c r="F47">
        <v>-195.7</v>
      </c>
      <c r="G47">
        <v>0.25140000000000001</v>
      </c>
      <c r="H47">
        <v>196</v>
      </c>
      <c r="I47">
        <v>40001</v>
      </c>
      <c r="J47">
        <v>120000</v>
      </c>
    </row>
    <row r="48" spans="2:10" x14ac:dyDescent="0.25">
      <c r="B48" t="s">
        <v>863</v>
      </c>
      <c r="C48">
        <v>-0.18720000000000001</v>
      </c>
      <c r="D48">
        <v>100</v>
      </c>
      <c r="E48">
        <v>0.2833</v>
      </c>
      <c r="F48">
        <v>-196.4</v>
      </c>
      <c r="G48">
        <v>-0.20200000000000001</v>
      </c>
      <c r="H48">
        <v>195.5</v>
      </c>
      <c r="I48">
        <v>40001</v>
      </c>
      <c r="J48">
        <v>120000</v>
      </c>
    </row>
    <row r="49" spans="2:10" x14ac:dyDescent="0.25">
      <c r="B49" t="s">
        <v>864</v>
      </c>
      <c r="C49">
        <v>-0.29210000000000003</v>
      </c>
      <c r="D49">
        <v>0.41860000000000003</v>
      </c>
      <c r="E49">
        <v>8.1449999999999995E-3</v>
      </c>
      <c r="F49">
        <v>-1.137</v>
      </c>
      <c r="G49">
        <v>-0.28710000000000002</v>
      </c>
      <c r="H49">
        <v>0.52949999999999997</v>
      </c>
      <c r="I49">
        <v>40001</v>
      </c>
      <c r="J49">
        <v>120000</v>
      </c>
    </row>
    <row r="50" spans="2:10" x14ac:dyDescent="0.25">
      <c r="B50" t="s">
        <v>865</v>
      </c>
      <c r="C50">
        <v>-2.2309999999999999</v>
      </c>
      <c r="D50">
        <v>0.37390000000000001</v>
      </c>
      <c r="E50">
        <v>6.7279999999999996E-3</v>
      </c>
      <c r="F50">
        <v>-3</v>
      </c>
      <c r="G50">
        <v>-2.2229999999999999</v>
      </c>
      <c r="H50">
        <v>-1.5129999999999999</v>
      </c>
      <c r="I50">
        <v>40001</v>
      </c>
      <c r="J50">
        <v>120000</v>
      </c>
    </row>
    <row r="51" spans="2:10" x14ac:dyDescent="0.25">
      <c r="B51" t="s">
        <v>866</v>
      </c>
      <c r="C51">
        <v>-0.26500000000000001</v>
      </c>
      <c r="D51">
        <v>99.8</v>
      </c>
      <c r="E51">
        <v>0.29239999999999999</v>
      </c>
      <c r="F51">
        <v>-194.8</v>
      </c>
      <c r="G51">
        <v>-0.4803</v>
      </c>
      <c r="H51">
        <v>195.9</v>
      </c>
      <c r="I51">
        <v>40001</v>
      </c>
      <c r="J51">
        <v>120000</v>
      </c>
    </row>
    <row r="52" spans="2:10" x14ac:dyDescent="0.25">
      <c r="B52" t="s">
        <v>867</v>
      </c>
      <c r="C52">
        <v>-0.56569999999999998</v>
      </c>
      <c r="D52">
        <v>0.51129999999999998</v>
      </c>
      <c r="E52">
        <v>7.5139999999999998E-3</v>
      </c>
      <c r="F52">
        <v>-1.579</v>
      </c>
      <c r="G52">
        <v>-0.56769999999999998</v>
      </c>
      <c r="H52">
        <v>0.43680000000000002</v>
      </c>
      <c r="I52">
        <v>40001</v>
      </c>
      <c r="J52">
        <v>120000</v>
      </c>
    </row>
    <row r="53" spans="2:10" x14ac:dyDescent="0.25">
      <c r="B53" t="s">
        <v>868</v>
      </c>
      <c r="C53">
        <v>0.1045</v>
      </c>
      <c r="D53">
        <v>100.1</v>
      </c>
      <c r="E53">
        <v>0.28810000000000002</v>
      </c>
      <c r="F53">
        <v>-195.5</v>
      </c>
      <c r="G53">
        <v>2.7060000000000001E-2</v>
      </c>
      <c r="H53">
        <v>197</v>
      </c>
      <c r="I53">
        <v>40001</v>
      </c>
      <c r="J53">
        <v>120000</v>
      </c>
    </row>
    <row r="54" spans="2:10" x14ac:dyDescent="0.25">
      <c r="B54" t="s">
        <v>869</v>
      </c>
      <c r="C54">
        <v>5.5169999999999997E-2</v>
      </c>
      <c r="D54">
        <v>99.68</v>
      </c>
      <c r="E54">
        <v>0.28449999999999998</v>
      </c>
      <c r="F54">
        <v>-194.8</v>
      </c>
      <c r="G54" s="13">
        <v>-8.2089999999999995E-4</v>
      </c>
      <c r="H54">
        <v>196</v>
      </c>
      <c r="I54">
        <v>40001</v>
      </c>
      <c r="J54">
        <v>120000</v>
      </c>
    </row>
    <row r="55" spans="2:10" x14ac:dyDescent="0.25">
      <c r="B55" t="s">
        <v>870</v>
      </c>
      <c r="C55">
        <v>6.0089999999999998E-2</v>
      </c>
      <c r="D55">
        <v>100.1</v>
      </c>
      <c r="E55">
        <v>0.28539999999999999</v>
      </c>
      <c r="F55">
        <v>-196.8</v>
      </c>
      <c r="G55">
        <v>4.9549999999999997E-2</v>
      </c>
      <c r="H55">
        <v>195.9</v>
      </c>
      <c r="I55">
        <v>40001</v>
      </c>
      <c r="J55">
        <v>120000</v>
      </c>
    </row>
    <row r="56" spans="2:10" x14ac:dyDescent="0.25">
      <c r="B56" t="s">
        <v>871</v>
      </c>
      <c r="C56">
        <v>-0.26</v>
      </c>
      <c r="D56">
        <v>100.3</v>
      </c>
      <c r="E56">
        <v>0.28839999999999999</v>
      </c>
      <c r="F56">
        <v>-196.8</v>
      </c>
      <c r="G56">
        <v>-1.719E-2</v>
      </c>
      <c r="H56">
        <v>196.3</v>
      </c>
      <c r="I56">
        <v>40001</v>
      </c>
      <c r="J56">
        <v>120000</v>
      </c>
    </row>
    <row r="57" spans="2:10" x14ac:dyDescent="0.25">
      <c r="B57" t="s">
        <v>872</v>
      </c>
      <c r="C57">
        <v>-3.3399999999999999E-2</v>
      </c>
      <c r="D57">
        <v>100.1</v>
      </c>
      <c r="E57">
        <v>0.2883</v>
      </c>
      <c r="F57">
        <v>-197</v>
      </c>
      <c r="G57">
        <v>0.36549999999999999</v>
      </c>
      <c r="H57">
        <v>196.1</v>
      </c>
      <c r="I57">
        <v>40001</v>
      </c>
      <c r="J57">
        <v>120000</v>
      </c>
    </row>
    <row r="58" spans="2:10" x14ac:dyDescent="0.25">
      <c r="B58" t="s">
        <v>873</v>
      </c>
      <c r="C58">
        <v>-0.129</v>
      </c>
      <c r="D58">
        <v>100</v>
      </c>
      <c r="E58">
        <v>0.3054</v>
      </c>
      <c r="F58">
        <v>-195.9</v>
      </c>
      <c r="G58">
        <v>-0.1285</v>
      </c>
      <c r="H58">
        <v>196.6</v>
      </c>
      <c r="I58">
        <v>40001</v>
      </c>
      <c r="J58">
        <v>120000</v>
      </c>
    </row>
    <row r="59" spans="2:10" x14ac:dyDescent="0.25">
      <c r="B59" t="s">
        <v>874</v>
      </c>
      <c r="C59">
        <v>-0.21529999999999999</v>
      </c>
      <c r="D59">
        <v>99.84</v>
      </c>
      <c r="E59">
        <v>0.29039999999999999</v>
      </c>
      <c r="F59">
        <v>-195.5</v>
      </c>
      <c r="G59">
        <v>-0.61880000000000002</v>
      </c>
      <c r="H59">
        <v>197.8</v>
      </c>
      <c r="I59">
        <v>40001</v>
      </c>
      <c r="J59">
        <v>120000</v>
      </c>
    </row>
    <row r="60" spans="2:10" x14ac:dyDescent="0.25">
      <c r="B60" t="s">
        <v>875</v>
      </c>
      <c r="C60">
        <v>-0.309</v>
      </c>
      <c r="D60">
        <v>99.94</v>
      </c>
      <c r="E60">
        <v>0.28639999999999999</v>
      </c>
      <c r="F60">
        <v>-195.8</v>
      </c>
      <c r="G60">
        <v>-0.23760000000000001</v>
      </c>
      <c r="H60">
        <v>195.4</v>
      </c>
      <c r="I60">
        <v>40001</v>
      </c>
      <c r="J60">
        <v>120000</v>
      </c>
    </row>
    <row r="61" spans="2:10" x14ac:dyDescent="0.25">
      <c r="B61" t="s">
        <v>876</v>
      </c>
      <c r="C61">
        <v>1.361</v>
      </c>
      <c r="D61">
        <v>99.92</v>
      </c>
      <c r="E61">
        <v>0.2923</v>
      </c>
      <c r="F61">
        <v>-195.1</v>
      </c>
      <c r="G61">
        <v>1.3320000000000001</v>
      </c>
      <c r="H61">
        <v>197</v>
      </c>
      <c r="I61">
        <v>40001</v>
      </c>
      <c r="J61">
        <v>120000</v>
      </c>
    </row>
    <row r="62" spans="2:10" x14ac:dyDescent="0.25">
      <c r="B62" t="s">
        <v>877</v>
      </c>
      <c r="C62">
        <v>4.4089999999999997E-2</v>
      </c>
      <c r="D62">
        <v>99.91</v>
      </c>
      <c r="E62">
        <v>0.28839999999999999</v>
      </c>
      <c r="F62">
        <v>-195.3</v>
      </c>
      <c r="G62">
        <v>-0.1479</v>
      </c>
      <c r="H62">
        <v>196.3</v>
      </c>
      <c r="I62">
        <v>40001</v>
      </c>
      <c r="J62">
        <v>120000</v>
      </c>
    </row>
    <row r="63" spans="2:10" x14ac:dyDescent="0.25">
      <c r="B63" t="s">
        <v>878</v>
      </c>
      <c r="C63">
        <v>0.60170000000000001</v>
      </c>
      <c r="D63">
        <v>99.7</v>
      </c>
      <c r="E63">
        <v>0.27939999999999998</v>
      </c>
      <c r="F63">
        <v>-195.3</v>
      </c>
      <c r="G63">
        <v>0.77729999999999999</v>
      </c>
      <c r="H63">
        <v>194.9</v>
      </c>
      <c r="I63">
        <v>40001</v>
      </c>
      <c r="J63">
        <v>120000</v>
      </c>
    </row>
    <row r="64" spans="2:10" x14ac:dyDescent="0.25">
      <c r="B64" t="s">
        <v>879</v>
      </c>
      <c r="C64">
        <v>-0.43630000000000002</v>
      </c>
      <c r="D64">
        <v>99.85</v>
      </c>
      <c r="E64">
        <v>0.28399999999999997</v>
      </c>
      <c r="F64">
        <v>-195.5</v>
      </c>
      <c r="G64">
        <v>-0.55830000000000002</v>
      </c>
      <c r="H64">
        <v>195.5</v>
      </c>
      <c r="I64">
        <v>40001</v>
      </c>
      <c r="J64">
        <v>120000</v>
      </c>
    </row>
    <row r="65" spans="2:10" x14ac:dyDescent="0.25">
      <c r="B65" t="s">
        <v>880</v>
      </c>
      <c r="C65">
        <v>0.19370000000000001</v>
      </c>
      <c r="D65">
        <v>100.2</v>
      </c>
      <c r="E65">
        <v>0.2908</v>
      </c>
      <c r="F65">
        <v>-197.8</v>
      </c>
      <c r="G65">
        <v>0.2394</v>
      </c>
      <c r="H65">
        <v>196</v>
      </c>
      <c r="I65">
        <v>40001</v>
      </c>
      <c r="J65">
        <v>120000</v>
      </c>
    </row>
    <row r="66" spans="2:10" x14ac:dyDescent="0.25">
      <c r="B66" t="s">
        <v>881</v>
      </c>
      <c r="C66">
        <v>-0.53669999999999995</v>
      </c>
      <c r="D66">
        <v>100.1</v>
      </c>
      <c r="E66">
        <v>0.30409999999999998</v>
      </c>
      <c r="F66">
        <v>-197.2</v>
      </c>
      <c r="G66">
        <v>-0.56399999999999995</v>
      </c>
      <c r="H66">
        <v>195.9</v>
      </c>
      <c r="I66">
        <v>40001</v>
      </c>
      <c r="J66">
        <v>120000</v>
      </c>
    </row>
    <row r="67" spans="2:10" x14ac:dyDescent="0.25">
      <c r="B67" t="s">
        <v>882</v>
      </c>
      <c r="C67">
        <v>-0.15179999999999999</v>
      </c>
      <c r="D67">
        <v>99.87</v>
      </c>
      <c r="E67">
        <v>0.28089999999999998</v>
      </c>
      <c r="F67">
        <v>-194.7</v>
      </c>
      <c r="G67">
        <v>-0.14549999999999999</v>
      </c>
      <c r="H67">
        <v>196.2</v>
      </c>
      <c r="I67">
        <v>40001</v>
      </c>
      <c r="J67">
        <v>120000</v>
      </c>
    </row>
    <row r="68" spans="2:10" x14ac:dyDescent="0.25">
      <c r="B68" t="s">
        <v>883</v>
      </c>
      <c r="C68">
        <v>6.4670000000000005E-2</v>
      </c>
      <c r="D68">
        <v>100.3</v>
      </c>
      <c r="E68">
        <v>0.30680000000000002</v>
      </c>
      <c r="F68">
        <v>-196.4</v>
      </c>
      <c r="G68">
        <v>-4.1570000000000003E-2</v>
      </c>
      <c r="H68">
        <v>196.4</v>
      </c>
      <c r="I68">
        <v>40001</v>
      </c>
      <c r="J68">
        <v>120000</v>
      </c>
    </row>
    <row r="69" spans="2:10" x14ac:dyDescent="0.25">
      <c r="B69" t="s">
        <v>884</v>
      </c>
      <c r="C69">
        <v>-0.38129999999999997</v>
      </c>
      <c r="D69">
        <v>99.7</v>
      </c>
      <c r="E69">
        <v>0.28899999999999998</v>
      </c>
      <c r="F69">
        <v>-196.3</v>
      </c>
      <c r="G69">
        <v>-0.6492</v>
      </c>
      <c r="H69">
        <v>194.8</v>
      </c>
      <c r="I69">
        <v>40001</v>
      </c>
      <c r="J69">
        <v>120000</v>
      </c>
    </row>
    <row r="70" spans="2:10" x14ac:dyDescent="0.25">
      <c r="B70" t="s">
        <v>885</v>
      </c>
      <c r="C70">
        <v>-0.39610000000000001</v>
      </c>
      <c r="D70">
        <v>100.1</v>
      </c>
      <c r="E70">
        <v>0.28960000000000002</v>
      </c>
      <c r="F70">
        <v>-196.5</v>
      </c>
      <c r="G70">
        <v>-3.516E-3</v>
      </c>
      <c r="H70">
        <v>195.4</v>
      </c>
      <c r="I70">
        <v>40001</v>
      </c>
      <c r="J70">
        <v>120000</v>
      </c>
    </row>
    <row r="71" spans="2:10" x14ac:dyDescent="0.25">
      <c r="B71" t="s">
        <v>886</v>
      </c>
      <c r="C71">
        <v>-2.423</v>
      </c>
      <c r="D71">
        <v>0.46050000000000002</v>
      </c>
      <c r="E71">
        <v>5.5830000000000003E-3</v>
      </c>
      <c r="F71">
        <v>-3.351</v>
      </c>
      <c r="G71">
        <v>-2.4180000000000001</v>
      </c>
      <c r="H71">
        <v>-1.5269999999999999</v>
      </c>
      <c r="I71">
        <v>40001</v>
      </c>
      <c r="J71">
        <v>120000</v>
      </c>
    </row>
    <row r="72" spans="2:10" x14ac:dyDescent="0.25">
      <c r="B72" t="s">
        <v>496</v>
      </c>
      <c r="C72">
        <v>0.95389999999999997</v>
      </c>
      <c r="D72">
        <v>1.1779999999999999</v>
      </c>
      <c r="E72">
        <v>1.0999999999999999E-2</v>
      </c>
      <c r="F72">
        <v>1.2099999999999999E-3</v>
      </c>
      <c r="G72">
        <v>0.51139999999999997</v>
      </c>
      <c r="H72">
        <v>4.218</v>
      </c>
      <c r="I72">
        <v>40001</v>
      </c>
      <c r="J72">
        <v>120000</v>
      </c>
    </row>
    <row r="73" spans="2:10" x14ac:dyDescent="0.25">
      <c r="B73" t="s">
        <v>497</v>
      </c>
      <c r="C73">
        <v>0.79800000000000004</v>
      </c>
      <c r="D73">
        <v>1.143</v>
      </c>
      <c r="E73">
        <v>5.672E-3</v>
      </c>
      <c r="F73" s="13">
        <v>7.1029999999999997E-4</v>
      </c>
      <c r="G73">
        <v>0.3584</v>
      </c>
      <c r="H73">
        <v>4.0380000000000003</v>
      </c>
      <c r="I73">
        <v>40001</v>
      </c>
      <c r="J73">
        <v>120000</v>
      </c>
    </row>
    <row r="74" spans="2:10" x14ac:dyDescent="0.25">
      <c r="B74" t="s">
        <v>498</v>
      </c>
      <c r="C74">
        <v>1.002</v>
      </c>
      <c r="D74">
        <v>1.425</v>
      </c>
      <c r="E74">
        <v>9.2259999999999998E-3</v>
      </c>
      <c r="F74">
        <v>1.0499999999999999E-3</v>
      </c>
      <c r="G74">
        <v>0.45519999999999999</v>
      </c>
      <c r="H74">
        <v>5.04</v>
      </c>
      <c r="I74">
        <v>40001</v>
      </c>
      <c r="J74">
        <v>120000</v>
      </c>
    </row>
    <row r="75" spans="2:10" x14ac:dyDescent="0.25">
      <c r="B75" t="s">
        <v>499</v>
      </c>
      <c r="C75">
        <v>0.99880000000000002</v>
      </c>
      <c r="D75">
        <v>1.419</v>
      </c>
      <c r="E75">
        <v>7.6480000000000003E-3</v>
      </c>
      <c r="F75">
        <v>1.0070000000000001E-3</v>
      </c>
      <c r="G75">
        <v>0.45100000000000001</v>
      </c>
      <c r="H75">
        <v>5.0709999999999997</v>
      </c>
      <c r="I75">
        <v>40001</v>
      </c>
      <c r="J75">
        <v>120000</v>
      </c>
    </row>
    <row r="76" spans="2:10" x14ac:dyDescent="0.25">
      <c r="B76" t="s">
        <v>500</v>
      </c>
      <c r="C76">
        <v>1.0089999999999999</v>
      </c>
      <c r="D76">
        <v>1.421</v>
      </c>
      <c r="E76">
        <v>7.3720000000000001E-3</v>
      </c>
      <c r="F76">
        <v>1.044E-3</v>
      </c>
      <c r="G76">
        <v>0.45710000000000001</v>
      </c>
      <c r="H76">
        <v>5.077</v>
      </c>
      <c r="I76">
        <v>40001</v>
      </c>
      <c r="J76">
        <v>120000</v>
      </c>
    </row>
    <row r="77" spans="2:10" x14ac:dyDescent="0.25">
      <c r="B77" t="s">
        <v>501</v>
      </c>
      <c r="C77">
        <v>1.008</v>
      </c>
      <c r="D77">
        <v>1.423</v>
      </c>
      <c r="E77">
        <v>5.7819999999999998E-3</v>
      </c>
      <c r="F77">
        <v>1.0529999999999999E-3</v>
      </c>
      <c r="G77">
        <v>0.45889999999999997</v>
      </c>
      <c r="H77">
        <v>5.0659999999999998</v>
      </c>
      <c r="I77">
        <v>40001</v>
      </c>
      <c r="J77">
        <v>120000</v>
      </c>
    </row>
    <row r="78" spans="2:10" x14ac:dyDescent="0.25">
      <c r="B78" t="s">
        <v>502</v>
      </c>
      <c r="C78">
        <v>1.097</v>
      </c>
      <c r="D78">
        <v>1.6060000000000001</v>
      </c>
      <c r="E78">
        <v>2.7449999999999999E-2</v>
      </c>
      <c r="F78">
        <v>1.078E-3</v>
      </c>
      <c r="G78">
        <v>0.48670000000000002</v>
      </c>
      <c r="H78">
        <v>5.6429999999999998</v>
      </c>
      <c r="I78">
        <v>40001</v>
      </c>
      <c r="J78">
        <v>120000</v>
      </c>
    </row>
    <row r="79" spans="2:10" x14ac:dyDescent="0.25">
      <c r="B79" t="s">
        <v>503</v>
      </c>
      <c r="C79">
        <v>1.1539999999999999</v>
      </c>
      <c r="D79">
        <v>1.5569999999999999</v>
      </c>
      <c r="E79">
        <v>3.3459999999999997E-2</v>
      </c>
      <c r="F79">
        <v>1.145E-3</v>
      </c>
      <c r="G79">
        <v>0.53139999999999998</v>
      </c>
      <c r="H79">
        <v>5.6639999999999997</v>
      </c>
      <c r="I79">
        <v>40001</v>
      </c>
      <c r="J79">
        <v>120000</v>
      </c>
    </row>
    <row r="80" spans="2:10" x14ac:dyDescent="0.25">
      <c r="B80" t="s">
        <v>504</v>
      </c>
      <c r="C80">
        <v>0.26869999999999999</v>
      </c>
      <c r="D80">
        <v>0.40510000000000002</v>
      </c>
      <c r="E80">
        <v>2.941E-3</v>
      </c>
      <c r="F80" s="13">
        <v>2.5539999999999997E-4</v>
      </c>
      <c r="G80">
        <v>0.1187</v>
      </c>
      <c r="H80">
        <v>1.381</v>
      </c>
      <c r="I80">
        <v>40001</v>
      </c>
      <c r="J80">
        <v>120000</v>
      </c>
    </row>
    <row r="81" spans="2:10" x14ac:dyDescent="0.25">
      <c r="B81" t="s">
        <v>505</v>
      </c>
      <c r="C81">
        <v>0.90749999999999997</v>
      </c>
      <c r="D81">
        <v>1.278</v>
      </c>
      <c r="E81">
        <v>3.6879999999999999E-3</v>
      </c>
      <c r="F81" s="13">
        <v>9.2349999999999995E-4</v>
      </c>
      <c r="G81">
        <v>0.41520000000000001</v>
      </c>
      <c r="H81">
        <v>4.5510000000000002</v>
      </c>
      <c r="I81">
        <v>40001</v>
      </c>
      <c r="J81">
        <v>120000</v>
      </c>
    </row>
    <row r="82" spans="2:10" x14ac:dyDescent="0.25">
      <c r="B82" t="s">
        <v>506</v>
      </c>
      <c r="C82">
        <v>1.087</v>
      </c>
      <c r="D82">
        <v>1.4850000000000001</v>
      </c>
      <c r="E82">
        <v>1.132E-2</v>
      </c>
      <c r="F82">
        <v>1.1169999999999999E-3</v>
      </c>
      <c r="G82">
        <v>0.51639999999999997</v>
      </c>
      <c r="H82">
        <v>5.3259999999999996</v>
      </c>
      <c r="I82">
        <v>40001</v>
      </c>
      <c r="J82">
        <v>120000</v>
      </c>
    </row>
    <row r="83" spans="2:10" x14ac:dyDescent="0.25">
      <c r="B83" t="s">
        <v>507</v>
      </c>
      <c r="C83">
        <v>1.0860000000000001</v>
      </c>
      <c r="D83">
        <v>1.482</v>
      </c>
      <c r="E83">
        <v>1.0449999999999999E-2</v>
      </c>
      <c r="F83">
        <v>1.0839999999999999E-3</v>
      </c>
      <c r="G83">
        <v>0.51439999999999997</v>
      </c>
      <c r="H83">
        <v>5.258</v>
      </c>
      <c r="I83">
        <v>40001</v>
      </c>
      <c r="J83">
        <v>120000</v>
      </c>
    </row>
    <row r="84" spans="2:10" x14ac:dyDescent="0.25">
      <c r="B84" t="s">
        <v>508</v>
      </c>
      <c r="C84">
        <v>0.76590000000000003</v>
      </c>
      <c r="D84">
        <v>1.0780000000000001</v>
      </c>
      <c r="E84">
        <v>3.9979999999999998E-3</v>
      </c>
      <c r="F84" s="13">
        <v>7.3800000000000005E-4</v>
      </c>
      <c r="G84">
        <v>0.35070000000000001</v>
      </c>
      <c r="H84">
        <v>3.8490000000000002</v>
      </c>
      <c r="I84">
        <v>40001</v>
      </c>
      <c r="J84">
        <v>120000</v>
      </c>
    </row>
    <row r="85" spans="2:10" x14ac:dyDescent="0.25">
      <c r="B85" t="s">
        <v>509</v>
      </c>
      <c r="C85">
        <v>0.61850000000000005</v>
      </c>
      <c r="D85">
        <v>0.87219999999999998</v>
      </c>
      <c r="E85">
        <v>4.6820000000000004E-3</v>
      </c>
      <c r="F85" s="13">
        <v>6.1229999999999998E-4</v>
      </c>
      <c r="G85">
        <v>0.28460000000000002</v>
      </c>
      <c r="H85">
        <v>3.0939999999999999</v>
      </c>
      <c r="I85">
        <v>40001</v>
      </c>
      <c r="J85">
        <v>120000</v>
      </c>
    </row>
    <row r="86" spans="2:10" x14ac:dyDescent="0.25">
      <c r="B86" t="s">
        <v>510</v>
      </c>
      <c r="C86">
        <v>0.97670000000000001</v>
      </c>
      <c r="D86">
        <v>1.357</v>
      </c>
      <c r="E86">
        <v>7.1960000000000001E-3</v>
      </c>
      <c r="F86" s="13">
        <v>9.833000000000001E-4</v>
      </c>
      <c r="G86">
        <v>0.45290000000000002</v>
      </c>
      <c r="H86">
        <v>4.8090000000000002</v>
      </c>
      <c r="I86">
        <v>40001</v>
      </c>
      <c r="J86">
        <v>120000</v>
      </c>
    </row>
    <row r="87" spans="2:10" x14ac:dyDescent="0.25">
      <c r="B87" t="s">
        <v>511</v>
      </c>
      <c r="C87">
        <v>0.81710000000000005</v>
      </c>
      <c r="D87">
        <v>1.1299999999999999</v>
      </c>
      <c r="E87">
        <v>9.1830000000000002E-3</v>
      </c>
      <c r="F87" s="13">
        <v>8.0769999999999995E-4</v>
      </c>
      <c r="G87">
        <v>0.38</v>
      </c>
      <c r="H87">
        <v>4.0410000000000004</v>
      </c>
      <c r="I87">
        <v>40001</v>
      </c>
      <c r="J87">
        <v>120000</v>
      </c>
    </row>
    <row r="88" spans="2:10" x14ac:dyDescent="0.25">
      <c r="B88" t="s">
        <v>512</v>
      </c>
      <c r="C88">
        <v>2.4209999999999998</v>
      </c>
      <c r="D88">
        <v>2.1480000000000001</v>
      </c>
      <c r="E88">
        <v>2.5059999999999999E-2</v>
      </c>
      <c r="F88">
        <v>2.077E-2</v>
      </c>
      <c r="G88">
        <v>1.883</v>
      </c>
      <c r="H88">
        <v>7.8650000000000002</v>
      </c>
      <c r="I88">
        <v>40001</v>
      </c>
      <c r="J88">
        <v>120000</v>
      </c>
    </row>
    <row r="89" spans="2:10" x14ac:dyDescent="0.25">
      <c r="B89" t="s">
        <v>513</v>
      </c>
      <c r="C89">
        <v>1.643</v>
      </c>
      <c r="D89">
        <v>1.9990000000000001</v>
      </c>
      <c r="E89">
        <v>1.316E-2</v>
      </c>
      <c r="F89">
        <v>2.3389999999999999E-3</v>
      </c>
      <c r="G89">
        <v>0.91779999999999995</v>
      </c>
      <c r="H89">
        <v>7.1890000000000001</v>
      </c>
      <c r="I89">
        <v>40001</v>
      </c>
      <c r="J89">
        <v>120000</v>
      </c>
    </row>
    <row r="90" spans="2:10" x14ac:dyDescent="0.25">
      <c r="B90" t="s">
        <v>514</v>
      </c>
      <c r="C90">
        <v>0.76929999999999998</v>
      </c>
      <c r="D90">
        <v>1.0880000000000001</v>
      </c>
      <c r="E90">
        <v>3.7420000000000001E-3</v>
      </c>
      <c r="F90" s="13">
        <v>7.1650000000000001E-4</v>
      </c>
      <c r="G90">
        <v>0.3493</v>
      </c>
      <c r="H90">
        <v>3.8639999999999999</v>
      </c>
      <c r="I90">
        <v>40001</v>
      </c>
      <c r="J90">
        <v>120000</v>
      </c>
    </row>
    <row r="91" spans="2:10" x14ac:dyDescent="0.25">
      <c r="B91" t="s">
        <v>515</v>
      </c>
      <c r="C91">
        <v>0.57620000000000005</v>
      </c>
      <c r="D91">
        <v>0.82040000000000002</v>
      </c>
      <c r="E91">
        <v>4.2579999999999996E-3</v>
      </c>
      <c r="F91" s="13">
        <v>5.7370000000000001E-4</v>
      </c>
      <c r="G91">
        <v>0.26169999999999999</v>
      </c>
      <c r="H91">
        <v>2.8889999999999998</v>
      </c>
      <c r="I91">
        <v>40001</v>
      </c>
      <c r="J91">
        <v>120000</v>
      </c>
    </row>
    <row r="92" spans="2:10" x14ac:dyDescent="0.25">
      <c r="B92" t="s">
        <v>516</v>
      </c>
      <c r="C92">
        <v>0.82730000000000004</v>
      </c>
      <c r="D92">
        <v>1.169</v>
      </c>
      <c r="E92">
        <v>9.0419999999999997E-3</v>
      </c>
      <c r="F92" s="13">
        <v>8.2370000000000002E-4</v>
      </c>
      <c r="G92">
        <v>0.37680000000000002</v>
      </c>
      <c r="H92">
        <v>4.1539999999999999</v>
      </c>
      <c r="I92">
        <v>40001</v>
      </c>
      <c r="J92">
        <v>120000</v>
      </c>
    </row>
    <row r="93" spans="2:10" x14ac:dyDescent="0.25">
      <c r="B93" t="s">
        <v>517</v>
      </c>
      <c r="C93">
        <v>0.86760000000000004</v>
      </c>
      <c r="D93">
        <v>1.2150000000000001</v>
      </c>
      <c r="E93">
        <v>8.881E-3</v>
      </c>
      <c r="F93" s="13">
        <v>8.4259999999999999E-4</v>
      </c>
      <c r="G93">
        <v>0.39889999999999998</v>
      </c>
      <c r="H93">
        <v>4.3209999999999997</v>
      </c>
      <c r="I93">
        <v>40001</v>
      </c>
      <c r="J93">
        <v>120000</v>
      </c>
    </row>
    <row r="94" spans="2:10" x14ac:dyDescent="0.25">
      <c r="B94" t="s">
        <v>518</v>
      </c>
      <c r="C94">
        <v>0.90810000000000002</v>
      </c>
      <c r="D94">
        <v>1.274</v>
      </c>
      <c r="E94">
        <v>1.4760000000000001E-2</v>
      </c>
      <c r="F94" s="13">
        <v>9.2100000000000005E-4</v>
      </c>
      <c r="G94">
        <v>0.42049999999999998</v>
      </c>
      <c r="H94">
        <v>4.4779999999999998</v>
      </c>
      <c r="I94">
        <v>40001</v>
      </c>
      <c r="J94">
        <v>120000</v>
      </c>
    </row>
    <row r="95" spans="2:10" x14ac:dyDescent="0.25">
      <c r="B95" t="s">
        <v>519</v>
      </c>
      <c r="C95">
        <v>1.002</v>
      </c>
      <c r="D95">
        <v>1.405</v>
      </c>
      <c r="E95">
        <v>1.039E-2</v>
      </c>
      <c r="F95">
        <v>1.0139999999999999E-3</v>
      </c>
      <c r="G95">
        <v>0.46039999999999998</v>
      </c>
      <c r="H95">
        <v>5.0019999999999998</v>
      </c>
      <c r="I95">
        <v>40001</v>
      </c>
      <c r="J95">
        <v>120000</v>
      </c>
    </row>
    <row r="96" spans="2:10" x14ac:dyDescent="0.25">
      <c r="B96" t="s">
        <v>520</v>
      </c>
      <c r="C96">
        <v>0.92849999999999999</v>
      </c>
      <c r="D96">
        <v>0.98880000000000001</v>
      </c>
      <c r="E96">
        <v>6.5960000000000003E-3</v>
      </c>
      <c r="F96">
        <v>2.0309999999999998E-3</v>
      </c>
      <c r="G96">
        <v>0.60970000000000002</v>
      </c>
      <c r="H96">
        <v>3.5670000000000002</v>
      </c>
      <c r="I96">
        <v>40001</v>
      </c>
      <c r="J96">
        <v>120000</v>
      </c>
    </row>
    <row r="97" spans="2:10" x14ac:dyDescent="0.25">
      <c r="B97" t="s">
        <v>521</v>
      </c>
      <c r="C97">
        <v>0.91239999999999999</v>
      </c>
      <c r="D97">
        <v>1.276</v>
      </c>
      <c r="E97">
        <v>3.9919999999999999E-3</v>
      </c>
      <c r="F97" s="13">
        <v>8.9780000000000003E-4</v>
      </c>
      <c r="G97">
        <v>0.4199</v>
      </c>
      <c r="H97">
        <v>4.5730000000000004</v>
      </c>
      <c r="I97">
        <v>40001</v>
      </c>
      <c r="J97">
        <v>120000</v>
      </c>
    </row>
    <row r="98" spans="2:10" x14ac:dyDescent="0.25">
      <c r="B98" t="s">
        <v>522</v>
      </c>
      <c r="C98">
        <v>0.94689999999999996</v>
      </c>
      <c r="D98">
        <v>1.1339999999999999</v>
      </c>
      <c r="E98">
        <v>1.145E-2</v>
      </c>
      <c r="F98">
        <v>1.199E-3</v>
      </c>
      <c r="G98">
        <v>0.53139999999999998</v>
      </c>
      <c r="H98">
        <v>4.0640000000000001</v>
      </c>
      <c r="I98">
        <v>40001</v>
      </c>
      <c r="J98">
        <v>120000</v>
      </c>
    </row>
    <row r="99" spans="2:10" x14ac:dyDescent="0.25">
      <c r="B99" t="s">
        <v>523</v>
      </c>
      <c r="C99">
        <v>0.73580000000000001</v>
      </c>
      <c r="D99">
        <v>1.0549999999999999</v>
      </c>
      <c r="E99">
        <v>4.7739999999999996E-3</v>
      </c>
      <c r="F99" s="13">
        <v>6.8939999999999995E-4</v>
      </c>
      <c r="G99">
        <v>0.33189999999999997</v>
      </c>
      <c r="H99">
        <v>3.7330000000000001</v>
      </c>
      <c r="I99">
        <v>40001</v>
      </c>
      <c r="J99">
        <v>120000</v>
      </c>
    </row>
    <row r="100" spans="2:10" x14ac:dyDescent="0.25">
      <c r="B100" t="s">
        <v>524</v>
      </c>
      <c r="C100">
        <v>1.0209999999999999</v>
      </c>
      <c r="D100">
        <v>1.46</v>
      </c>
      <c r="E100">
        <v>1.0699999999999999E-2</v>
      </c>
      <c r="F100" s="13">
        <v>9.5580000000000003E-4</v>
      </c>
      <c r="G100">
        <v>0.46039999999999998</v>
      </c>
      <c r="H100">
        <v>5.165</v>
      </c>
      <c r="I100">
        <v>40001</v>
      </c>
      <c r="J100">
        <v>120000</v>
      </c>
    </row>
    <row r="101" spans="2:10" x14ac:dyDescent="0.25">
      <c r="B101" t="s">
        <v>525</v>
      </c>
      <c r="C101">
        <v>1.028</v>
      </c>
      <c r="D101">
        <v>1.4690000000000001</v>
      </c>
      <c r="E101">
        <v>1.3860000000000001E-2</v>
      </c>
      <c r="F101" s="13">
        <v>9.5419999999999999E-4</v>
      </c>
      <c r="G101">
        <v>0.46899999999999997</v>
      </c>
      <c r="H101">
        <v>5.1779999999999999</v>
      </c>
      <c r="I101">
        <v>40001</v>
      </c>
      <c r="J101">
        <v>120000</v>
      </c>
    </row>
    <row r="102" spans="2:10" x14ac:dyDescent="0.25">
      <c r="B102" t="s">
        <v>526</v>
      </c>
      <c r="C102">
        <v>1.012</v>
      </c>
      <c r="D102">
        <v>1.4379999999999999</v>
      </c>
      <c r="E102">
        <v>1.072E-2</v>
      </c>
      <c r="F102" s="13">
        <v>9.2909999999999998E-4</v>
      </c>
      <c r="G102">
        <v>0.45929999999999999</v>
      </c>
      <c r="H102">
        <v>5.0830000000000002</v>
      </c>
      <c r="I102">
        <v>40001</v>
      </c>
      <c r="J102">
        <v>120000</v>
      </c>
    </row>
    <row r="103" spans="2:10" x14ac:dyDescent="0.25">
      <c r="B103" t="s">
        <v>527</v>
      </c>
      <c r="C103">
        <v>1.046</v>
      </c>
      <c r="D103">
        <v>1.474</v>
      </c>
      <c r="E103">
        <v>1.7129999999999999E-2</v>
      </c>
      <c r="F103">
        <v>1.0579999999999999E-3</v>
      </c>
      <c r="G103">
        <v>0.47870000000000001</v>
      </c>
      <c r="H103">
        <v>5.2469999999999999</v>
      </c>
      <c r="I103">
        <v>40001</v>
      </c>
      <c r="J103">
        <v>120000</v>
      </c>
    </row>
    <row r="104" spans="2:10" x14ac:dyDescent="0.25">
      <c r="B104" t="s">
        <v>528</v>
      </c>
      <c r="C104">
        <v>2.6579999999999999</v>
      </c>
      <c r="D104">
        <v>1.7270000000000001</v>
      </c>
      <c r="E104">
        <v>1.332E-2</v>
      </c>
      <c r="F104">
        <v>0.46129999999999999</v>
      </c>
      <c r="G104">
        <v>2.2759999999999998</v>
      </c>
      <c r="H104">
        <v>7.016</v>
      </c>
      <c r="I104">
        <v>40001</v>
      </c>
      <c r="J104">
        <v>120000</v>
      </c>
    </row>
    <row r="105" spans="2:10" x14ac:dyDescent="0.25">
      <c r="B105" t="s">
        <v>529</v>
      </c>
      <c r="C105">
        <v>1.9650000000000001</v>
      </c>
      <c r="D105">
        <v>2.2040000000000002</v>
      </c>
      <c r="E105">
        <v>1.1509999999999999E-2</v>
      </c>
      <c r="F105">
        <v>3.7039999999999998E-3</v>
      </c>
      <c r="G105">
        <v>1.2230000000000001</v>
      </c>
      <c r="H105">
        <v>7.9009999999999998</v>
      </c>
      <c r="I105">
        <v>40001</v>
      </c>
      <c r="J105">
        <v>120000</v>
      </c>
    </row>
    <row r="106" spans="2:10" x14ac:dyDescent="0.25">
      <c r="B106" t="s">
        <v>530</v>
      </c>
      <c r="C106">
        <v>0.92849999999999999</v>
      </c>
      <c r="D106">
        <v>1.31</v>
      </c>
      <c r="E106">
        <v>1.217E-2</v>
      </c>
      <c r="F106" s="13">
        <v>8.5720000000000002E-4</v>
      </c>
      <c r="G106">
        <v>0.42280000000000001</v>
      </c>
      <c r="H106">
        <v>4.67</v>
      </c>
      <c r="I106">
        <v>40001</v>
      </c>
      <c r="J106">
        <v>120000</v>
      </c>
    </row>
    <row r="107" spans="2:10" x14ac:dyDescent="0.25">
      <c r="B107" t="s">
        <v>531</v>
      </c>
      <c r="C107">
        <v>0.96960000000000002</v>
      </c>
      <c r="D107">
        <v>1.3720000000000001</v>
      </c>
      <c r="E107">
        <v>5.3530000000000001E-3</v>
      </c>
      <c r="F107" s="13">
        <v>9.5520000000000002E-4</v>
      </c>
      <c r="G107">
        <v>0.43809999999999999</v>
      </c>
      <c r="H107">
        <v>4.843</v>
      </c>
      <c r="I107">
        <v>40001</v>
      </c>
      <c r="J107">
        <v>120000</v>
      </c>
    </row>
    <row r="108" spans="2:10" x14ac:dyDescent="0.25">
      <c r="B108" t="s">
        <v>532</v>
      </c>
      <c r="C108">
        <v>0.70620000000000005</v>
      </c>
      <c r="D108">
        <v>1.024</v>
      </c>
      <c r="E108">
        <v>3.369E-3</v>
      </c>
      <c r="F108" s="13">
        <v>7.0569999999999997E-4</v>
      </c>
      <c r="G108">
        <v>0.31380000000000002</v>
      </c>
      <c r="H108">
        <v>3.6120000000000001</v>
      </c>
      <c r="I108">
        <v>40001</v>
      </c>
      <c r="J108">
        <v>120000</v>
      </c>
    </row>
    <row r="109" spans="2:10" x14ac:dyDescent="0.25">
      <c r="B109" t="s">
        <v>533</v>
      </c>
      <c r="C109">
        <v>0.49890000000000001</v>
      </c>
      <c r="D109">
        <v>0.74129999999999996</v>
      </c>
      <c r="E109">
        <v>2.647E-3</v>
      </c>
      <c r="F109" s="13">
        <v>4.7560000000000001E-4</v>
      </c>
      <c r="G109">
        <v>0.21890000000000001</v>
      </c>
      <c r="H109">
        <v>2.5910000000000002</v>
      </c>
      <c r="I109">
        <v>40001</v>
      </c>
      <c r="J109">
        <v>120000</v>
      </c>
    </row>
    <row r="110" spans="2:10" x14ac:dyDescent="0.25">
      <c r="B110" t="s">
        <v>534</v>
      </c>
      <c r="C110">
        <v>1.0529999999999999</v>
      </c>
      <c r="D110">
        <v>1.393</v>
      </c>
      <c r="E110">
        <v>1.014E-2</v>
      </c>
      <c r="F110">
        <v>1.1360000000000001E-3</v>
      </c>
      <c r="G110">
        <v>0.5212</v>
      </c>
      <c r="H110">
        <v>4.9770000000000003</v>
      </c>
      <c r="I110">
        <v>40001</v>
      </c>
      <c r="J110">
        <v>120000</v>
      </c>
    </row>
    <row r="111" spans="2:10" x14ac:dyDescent="0.25">
      <c r="B111" t="s">
        <v>535</v>
      </c>
      <c r="C111">
        <v>0.97940000000000005</v>
      </c>
      <c r="D111">
        <v>1.3420000000000001</v>
      </c>
      <c r="E111">
        <v>7.378E-3</v>
      </c>
      <c r="F111" s="13">
        <v>9.8139999999999989E-4</v>
      </c>
      <c r="G111">
        <v>0.4652</v>
      </c>
      <c r="H111">
        <v>4.7850000000000001</v>
      </c>
      <c r="I111">
        <v>40001</v>
      </c>
      <c r="J111">
        <v>120000</v>
      </c>
    </row>
    <row r="112" spans="2:10" x14ac:dyDescent="0.25">
      <c r="B112" t="s">
        <v>536</v>
      </c>
      <c r="C112">
        <v>0.99850000000000005</v>
      </c>
      <c r="D112">
        <v>1.417</v>
      </c>
      <c r="E112">
        <v>8.5690000000000002E-3</v>
      </c>
      <c r="F112" s="13">
        <v>9.2219999999999997E-4</v>
      </c>
      <c r="G112">
        <v>0.4516</v>
      </c>
      <c r="H112">
        <v>5.0330000000000004</v>
      </c>
      <c r="I112">
        <v>40001</v>
      </c>
      <c r="J112">
        <v>120000</v>
      </c>
    </row>
    <row r="113" spans="2:10" x14ac:dyDescent="0.25">
      <c r="B113" t="s">
        <v>537</v>
      </c>
      <c r="C113">
        <v>1.0049999999999999</v>
      </c>
      <c r="D113">
        <v>1.417</v>
      </c>
      <c r="E113">
        <v>7.2919999999999999E-3</v>
      </c>
      <c r="F113">
        <v>1.0480000000000001E-3</v>
      </c>
      <c r="G113">
        <v>0.45610000000000001</v>
      </c>
      <c r="H113">
        <v>5.0549999999999997</v>
      </c>
      <c r="I113">
        <v>40001</v>
      </c>
      <c r="J113">
        <v>120000</v>
      </c>
    </row>
    <row r="114" spans="2:10" x14ac:dyDescent="0.25">
      <c r="B114" t="s">
        <v>538</v>
      </c>
      <c r="C114">
        <v>0.57499999999999996</v>
      </c>
      <c r="D114">
        <v>0.82340000000000002</v>
      </c>
      <c r="E114">
        <v>2.7929999999999999E-3</v>
      </c>
      <c r="F114" s="13">
        <v>5.5929999999999999E-4</v>
      </c>
      <c r="G114">
        <v>0.25779999999999997</v>
      </c>
      <c r="H114">
        <v>2.923</v>
      </c>
      <c r="I114">
        <v>40001</v>
      </c>
      <c r="J114">
        <v>120000</v>
      </c>
    </row>
    <row r="115" spans="2:10" x14ac:dyDescent="0.25">
      <c r="B115" t="s">
        <v>539</v>
      </c>
      <c r="C115">
        <v>0.68530000000000002</v>
      </c>
      <c r="D115">
        <v>0.95450000000000002</v>
      </c>
      <c r="E115">
        <v>2.9970000000000001E-3</v>
      </c>
      <c r="F115" s="13">
        <v>6.8860000000000004E-4</v>
      </c>
      <c r="G115">
        <v>0.315</v>
      </c>
      <c r="H115">
        <v>3.3980000000000001</v>
      </c>
      <c r="I115">
        <v>40001</v>
      </c>
      <c r="J115">
        <v>120000</v>
      </c>
    </row>
    <row r="116" spans="2:10" x14ac:dyDescent="0.25">
      <c r="B116" t="s">
        <v>540</v>
      </c>
      <c r="C116">
        <v>0.76539999999999997</v>
      </c>
      <c r="D116">
        <v>1.0880000000000001</v>
      </c>
      <c r="E116">
        <v>5.4079999999999996E-3</v>
      </c>
      <c r="F116" s="13">
        <v>6.8720000000000001E-4</v>
      </c>
      <c r="G116">
        <v>0.34610000000000002</v>
      </c>
      <c r="H116">
        <v>3.8759999999999999</v>
      </c>
      <c r="I116">
        <v>40001</v>
      </c>
      <c r="J116">
        <v>120000</v>
      </c>
    </row>
    <row r="117" spans="2:10" x14ac:dyDescent="0.25">
      <c r="B117" t="s">
        <v>541</v>
      </c>
      <c r="C117">
        <v>0.83720000000000006</v>
      </c>
      <c r="D117">
        <v>1.1559999999999999</v>
      </c>
      <c r="E117">
        <v>5.6169999999999996E-3</v>
      </c>
      <c r="F117" s="13">
        <v>7.8299999999999995E-4</v>
      </c>
      <c r="G117">
        <v>0.3947</v>
      </c>
      <c r="H117">
        <v>4.1100000000000003</v>
      </c>
      <c r="I117">
        <v>40001</v>
      </c>
      <c r="J117">
        <v>120000</v>
      </c>
    </row>
    <row r="118" spans="2:10" x14ac:dyDescent="0.25">
      <c r="B118" t="s">
        <v>542</v>
      </c>
      <c r="C118">
        <v>0.75509999999999999</v>
      </c>
      <c r="D118">
        <v>1.026</v>
      </c>
      <c r="E118">
        <v>3.803E-3</v>
      </c>
      <c r="F118" s="13">
        <v>8.0250000000000004E-4</v>
      </c>
      <c r="G118">
        <v>0.35799999999999998</v>
      </c>
      <c r="H118">
        <v>3.681</v>
      </c>
      <c r="I118">
        <v>40001</v>
      </c>
      <c r="J118">
        <v>120000</v>
      </c>
    </row>
    <row r="119" spans="2:10" x14ac:dyDescent="0.25">
      <c r="B119" t="s">
        <v>543</v>
      </c>
      <c r="C119">
        <v>0.66790000000000005</v>
      </c>
      <c r="D119">
        <v>0.94740000000000002</v>
      </c>
      <c r="E119">
        <v>3.3630000000000001E-3</v>
      </c>
      <c r="F119" s="13">
        <v>6.4700000000000001E-4</v>
      </c>
      <c r="G119">
        <v>0.30309999999999998</v>
      </c>
      <c r="H119">
        <v>3.3410000000000002</v>
      </c>
      <c r="I119">
        <v>40001</v>
      </c>
      <c r="J119">
        <v>120000</v>
      </c>
    </row>
    <row r="120" spans="2:10" x14ac:dyDescent="0.25">
      <c r="B120" t="s">
        <v>544</v>
      </c>
      <c r="C120">
        <v>1.046</v>
      </c>
      <c r="D120">
        <v>1.2030000000000001</v>
      </c>
      <c r="E120">
        <v>5.6379999999999998E-3</v>
      </c>
      <c r="F120">
        <v>1.8090000000000001E-3</v>
      </c>
      <c r="G120">
        <v>0.63919999999999999</v>
      </c>
      <c r="H120">
        <v>4.3150000000000004</v>
      </c>
      <c r="I120">
        <v>40001</v>
      </c>
      <c r="J120">
        <v>120000</v>
      </c>
    </row>
    <row r="121" spans="2:10" x14ac:dyDescent="0.25">
      <c r="B121" t="s">
        <v>545</v>
      </c>
      <c r="C121">
        <v>1.254</v>
      </c>
      <c r="D121">
        <v>1.583</v>
      </c>
      <c r="E121">
        <v>5.4650000000000002E-3</v>
      </c>
      <c r="F121">
        <v>1.4809999999999999E-3</v>
      </c>
      <c r="G121">
        <v>0.65610000000000002</v>
      </c>
      <c r="H121">
        <v>5.6609999999999996</v>
      </c>
      <c r="I121">
        <v>40001</v>
      </c>
      <c r="J121">
        <v>120000</v>
      </c>
    </row>
    <row r="122" spans="2:10" x14ac:dyDescent="0.25">
      <c r="B122" t="s">
        <v>546</v>
      </c>
      <c r="C122">
        <v>0.50600000000000001</v>
      </c>
      <c r="D122">
        <v>0.72840000000000005</v>
      </c>
      <c r="E122">
        <v>2.307E-3</v>
      </c>
      <c r="F122" s="13">
        <v>4.9770000000000001E-4</v>
      </c>
      <c r="G122">
        <v>0.2278</v>
      </c>
      <c r="H122">
        <v>2.5619999999999998</v>
      </c>
      <c r="I122">
        <v>40001</v>
      </c>
      <c r="J122">
        <v>120000</v>
      </c>
    </row>
    <row r="123" spans="2:10" x14ac:dyDescent="0.25">
      <c r="B123" t="s">
        <v>547</v>
      </c>
      <c r="C123">
        <v>0.77010000000000001</v>
      </c>
      <c r="D123">
        <v>1.0649999999999999</v>
      </c>
      <c r="E123">
        <v>3.336E-3</v>
      </c>
      <c r="F123" s="13">
        <v>7.6990000000000001E-4</v>
      </c>
      <c r="G123">
        <v>0.36159999999999998</v>
      </c>
      <c r="H123">
        <v>3.7919999999999998</v>
      </c>
      <c r="I123">
        <v>40001</v>
      </c>
      <c r="J123">
        <v>120000</v>
      </c>
    </row>
    <row r="124" spans="2:10" x14ac:dyDescent="0.25">
      <c r="B124" t="s">
        <v>548</v>
      </c>
      <c r="C124">
        <v>0.90559999999999996</v>
      </c>
      <c r="D124">
        <v>1.2569999999999999</v>
      </c>
      <c r="E124">
        <v>6.5339999999999999E-3</v>
      </c>
      <c r="F124" s="13">
        <v>8.2379999999999997E-4</v>
      </c>
      <c r="G124">
        <v>0.42080000000000001</v>
      </c>
      <c r="H124">
        <v>4.4729999999999999</v>
      </c>
      <c r="I124">
        <v>40001</v>
      </c>
      <c r="J124">
        <v>120000</v>
      </c>
    </row>
    <row r="125" spans="2:10" x14ac:dyDescent="0.25">
      <c r="B125" t="s">
        <v>549</v>
      </c>
      <c r="C125">
        <v>0.99809999999999999</v>
      </c>
      <c r="D125">
        <v>1.264</v>
      </c>
      <c r="E125">
        <v>9.9109999999999997E-3</v>
      </c>
      <c r="F125">
        <v>1.2279999999999999E-3</v>
      </c>
      <c r="G125">
        <v>0.52639999999999998</v>
      </c>
      <c r="H125">
        <v>4.5449999999999999</v>
      </c>
      <c r="I125">
        <v>40001</v>
      </c>
      <c r="J125">
        <v>120000</v>
      </c>
    </row>
    <row r="126" spans="2:10" x14ac:dyDescent="0.25">
      <c r="B126" t="s">
        <v>550</v>
      </c>
      <c r="C126">
        <v>0.57620000000000005</v>
      </c>
      <c r="D126">
        <v>0.8256</v>
      </c>
      <c r="E126">
        <v>3.4919999999999999E-3</v>
      </c>
      <c r="F126" s="13">
        <v>5.5940000000000004E-4</v>
      </c>
      <c r="G126">
        <v>0.26229999999999998</v>
      </c>
      <c r="H126">
        <v>2.9180000000000001</v>
      </c>
      <c r="I126">
        <v>40001</v>
      </c>
      <c r="J126">
        <v>120000</v>
      </c>
    </row>
    <row r="127" spans="2:10" x14ac:dyDescent="0.25">
      <c r="B127" t="s">
        <v>551</v>
      </c>
      <c r="C127">
        <v>0.70879999999999999</v>
      </c>
      <c r="D127">
        <v>0.99329999999999996</v>
      </c>
      <c r="E127">
        <v>3.98E-3</v>
      </c>
      <c r="F127" s="13">
        <v>7.3090000000000004E-4</v>
      </c>
      <c r="G127">
        <v>0.32629999999999998</v>
      </c>
      <c r="H127">
        <v>3.5310000000000001</v>
      </c>
      <c r="I127">
        <v>40001</v>
      </c>
      <c r="J127">
        <v>120000</v>
      </c>
    </row>
    <row r="128" spans="2:10" x14ac:dyDescent="0.25">
      <c r="B128" t="s">
        <v>552</v>
      </c>
      <c r="C128">
        <v>0.95069999999999999</v>
      </c>
      <c r="D128">
        <v>1.337</v>
      </c>
      <c r="E128">
        <v>1.1769999999999999E-2</v>
      </c>
      <c r="F128" s="13">
        <v>9.7940000000000006E-4</v>
      </c>
      <c r="G128">
        <v>0.43440000000000001</v>
      </c>
      <c r="H128">
        <v>4.7949999999999999</v>
      </c>
      <c r="I128">
        <v>40001</v>
      </c>
      <c r="J128">
        <v>120000</v>
      </c>
    </row>
    <row r="129" spans="2:10" x14ac:dyDescent="0.25">
      <c r="B129" t="s">
        <v>553</v>
      </c>
      <c r="C129">
        <v>0.93</v>
      </c>
      <c r="D129">
        <v>1.31</v>
      </c>
      <c r="E129">
        <v>1.18E-2</v>
      </c>
      <c r="F129" s="13">
        <v>9.3380000000000004E-4</v>
      </c>
      <c r="G129">
        <v>0.42830000000000001</v>
      </c>
      <c r="H129">
        <v>4.6139999999999999</v>
      </c>
      <c r="I129">
        <v>40001</v>
      </c>
      <c r="J129">
        <v>120000</v>
      </c>
    </row>
    <row r="130" spans="2:10" x14ac:dyDescent="0.25">
      <c r="B130" t="s">
        <v>554</v>
      </c>
      <c r="C130">
        <v>2.4729999999999999</v>
      </c>
      <c r="D130">
        <v>2.2730000000000001</v>
      </c>
      <c r="E130">
        <v>3.0030000000000001E-2</v>
      </c>
      <c r="F130">
        <v>1.022E-2</v>
      </c>
      <c r="G130">
        <v>1.8879999999999999</v>
      </c>
      <c r="H130">
        <v>8.23</v>
      </c>
      <c r="I130">
        <v>40001</v>
      </c>
      <c r="J130">
        <v>120000</v>
      </c>
    </row>
    <row r="131" spans="2:10" x14ac:dyDescent="0.25">
      <c r="B131" t="s">
        <v>555</v>
      </c>
      <c r="C131">
        <v>1.5940000000000001</v>
      </c>
      <c r="D131">
        <v>1.9650000000000001</v>
      </c>
      <c r="E131">
        <v>1.201E-2</v>
      </c>
      <c r="F131">
        <v>2.0560000000000001E-3</v>
      </c>
      <c r="G131">
        <v>0.86990000000000001</v>
      </c>
      <c r="H131">
        <v>7.0190000000000001</v>
      </c>
      <c r="I131">
        <v>40001</v>
      </c>
      <c r="J131">
        <v>120000</v>
      </c>
    </row>
    <row r="132" spans="2:10" x14ac:dyDescent="0.25">
      <c r="B132" t="s">
        <v>556</v>
      </c>
      <c r="C132">
        <v>0.66810000000000003</v>
      </c>
      <c r="D132">
        <v>0.95589999999999997</v>
      </c>
      <c r="E132">
        <v>4.0340000000000003E-3</v>
      </c>
      <c r="F132" s="13">
        <v>6.8690000000000005E-4</v>
      </c>
      <c r="G132">
        <v>0.2984</v>
      </c>
      <c r="H132">
        <v>3.387</v>
      </c>
      <c r="I132">
        <v>40001</v>
      </c>
      <c r="J132">
        <v>120000</v>
      </c>
    </row>
    <row r="133" spans="2:10" x14ac:dyDescent="0.25">
      <c r="B133" t="s">
        <v>557</v>
      </c>
      <c r="C133">
        <v>0.67610000000000003</v>
      </c>
      <c r="D133">
        <v>0.9637</v>
      </c>
      <c r="E133">
        <v>3.6709999999999998E-3</v>
      </c>
      <c r="F133" s="13">
        <v>6.378E-4</v>
      </c>
      <c r="G133">
        <v>0.3044</v>
      </c>
      <c r="H133">
        <v>3.4129999999999998</v>
      </c>
      <c r="I133">
        <v>40001</v>
      </c>
      <c r="J133">
        <v>120000</v>
      </c>
    </row>
    <row r="134" spans="2:10" x14ac:dyDescent="0.25">
      <c r="B134" t="s">
        <v>558</v>
      </c>
      <c r="C134">
        <v>0.79320000000000002</v>
      </c>
      <c r="D134">
        <v>1.0780000000000001</v>
      </c>
      <c r="E134">
        <v>4.5770000000000003E-3</v>
      </c>
      <c r="F134" s="13">
        <v>8.744E-4</v>
      </c>
      <c r="G134">
        <v>0.37869999999999998</v>
      </c>
      <c r="H134">
        <v>3.8479999999999999</v>
      </c>
      <c r="I134">
        <v>40001</v>
      </c>
      <c r="J134">
        <v>120000</v>
      </c>
    </row>
    <row r="135" spans="2:10" x14ac:dyDescent="0.25">
      <c r="B135" t="s">
        <v>559</v>
      </c>
      <c r="C135">
        <v>0.6865</v>
      </c>
      <c r="D135">
        <v>0.97309999999999997</v>
      </c>
      <c r="E135">
        <v>3.5200000000000001E-3</v>
      </c>
      <c r="F135" s="13">
        <v>6.7529999999999999E-4</v>
      </c>
      <c r="G135">
        <v>0.31090000000000001</v>
      </c>
      <c r="H135">
        <v>3.47</v>
      </c>
      <c r="I135">
        <v>40001</v>
      </c>
      <c r="J135">
        <v>120000</v>
      </c>
    </row>
    <row r="136" spans="2:10" x14ac:dyDescent="0.25">
      <c r="B136" t="s">
        <v>560</v>
      </c>
      <c r="C136">
        <v>0.52029999999999998</v>
      </c>
      <c r="D136">
        <v>0.75690000000000002</v>
      </c>
      <c r="E136">
        <v>3.6900000000000001E-3</v>
      </c>
      <c r="F136" s="13">
        <v>4.8919999999999996E-4</v>
      </c>
      <c r="G136">
        <v>0.23330000000000001</v>
      </c>
      <c r="H136">
        <v>2.665</v>
      </c>
      <c r="I136">
        <v>40001</v>
      </c>
      <c r="J136">
        <v>120000</v>
      </c>
    </row>
    <row r="137" spans="2:10" x14ac:dyDescent="0.25">
      <c r="B137" t="s">
        <v>561</v>
      </c>
      <c r="C137">
        <v>0.78569999999999995</v>
      </c>
      <c r="D137">
        <v>1.085</v>
      </c>
      <c r="E137">
        <v>4.339E-3</v>
      </c>
      <c r="F137" s="13">
        <v>8.3589999999999999E-4</v>
      </c>
      <c r="G137">
        <v>0.36890000000000001</v>
      </c>
      <c r="H137">
        <v>3.859</v>
      </c>
      <c r="I137">
        <v>40001</v>
      </c>
      <c r="J137">
        <v>120000</v>
      </c>
    </row>
    <row r="138" spans="2:10" x14ac:dyDescent="0.25">
      <c r="B138" t="s">
        <v>562</v>
      </c>
      <c r="C138">
        <v>0.98160000000000003</v>
      </c>
      <c r="D138">
        <v>1.3240000000000001</v>
      </c>
      <c r="E138">
        <v>8.0800000000000004E-3</v>
      </c>
      <c r="F138">
        <v>1.0269999999999999E-3</v>
      </c>
      <c r="G138">
        <v>0.47260000000000002</v>
      </c>
      <c r="H138">
        <v>4.7089999999999996</v>
      </c>
      <c r="I138">
        <v>40001</v>
      </c>
      <c r="J138">
        <v>120000</v>
      </c>
    </row>
    <row r="139" spans="2:10" x14ac:dyDescent="0.25">
      <c r="B139" t="s">
        <v>563</v>
      </c>
      <c r="C139">
        <v>0.92589999999999995</v>
      </c>
      <c r="D139">
        <v>1.278</v>
      </c>
      <c r="E139">
        <v>7.1599999999999997E-3</v>
      </c>
      <c r="F139" s="13">
        <v>9.3420000000000005E-4</v>
      </c>
      <c r="G139">
        <v>0.4335</v>
      </c>
      <c r="H139">
        <v>4.532</v>
      </c>
      <c r="I139">
        <v>40001</v>
      </c>
      <c r="J139">
        <v>120000</v>
      </c>
    </row>
    <row r="140" spans="2:10" x14ac:dyDescent="0.25">
      <c r="B140" t="s">
        <v>564</v>
      </c>
      <c r="C140">
        <v>1.2629999999999999</v>
      </c>
      <c r="D140">
        <v>1.706</v>
      </c>
      <c r="E140">
        <v>1.678E-2</v>
      </c>
      <c r="F140">
        <v>1.2979999999999999E-3</v>
      </c>
      <c r="G140">
        <v>0.60409999999999997</v>
      </c>
      <c r="H140">
        <v>6.0810000000000004</v>
      </c>
      <c r="I140">
        <v>40001</v>
      </c>
      <c r="J140">
        <v>120000</v>
      </c>
    </row>
    <row r="141" spans="2:10" x14ac:dyDescent="0.25">
      <c r="B141" t="s">
        <v>565</v>
      </c>
      <c r="C141">
        <v>1.2589999999999999</v>
      </c>
      <c r="D141">
        <v>1.6859999999999999</v>
      </c>
      <c r="E141">
        <v>1.882E-2</v>
      </c>
      <c r="F141">
        <v>1.371E-3</v>
      </c>
      <c r="G141">
        <v>0.61409999999999998</v>
      </c>
      <c r="H141">
        <v>6.0579999999999998</v>
      </c>
      <c r="I141">
        <v>40001</v>
      </c>
      <c r="J141">
        <v>120000</v>
      </c>
    </row>
    <row r="142" spans="2:10" x14ac:dyDescent="0.25">
      <c r="B142" t="s">
        <v>566</v>
      </c>
      <c r="C142">
        <v>0.9335</v>
      </c>
      <c r="D142">
        <v>1.3260000000000001</v>
      </c>
      <c r="E142">
        <v>8.371E-3</v>
      </c>
      <c r="F142" s="13">
        <v>9.0390000000000002E-4</v>
      </c>
      <c r="G142">
        <v>0.41839999999999999</v>
      </c>
      <c r="H142">
        <v>4.726</v>
      </c>
      <c r="I142">
        <v>40001</v>
      </c>
      <c r="J142">
        <v>120000</v>
      </c>
    </row>
    <row r="143" spans="2:10" x14ac:dyDescent="0.25">
      <c r="B143" t="s">
        <v>567</v>
      </c>
      <c r="C143">
        <v>1.0129999999999999</v>
      </c>
      <c r="D143">
        <v>1.3480000000000001</v>
      </c>
      <c r="E143">
        <v>1.5720000000000001E-2</v>
      </c>
      <c r="F143">
        <v>1.016E-3</v>
      </c>
      <c r="G143">
        <v>0.49359999999999998</v>
      </c>
      <c r="H143">
        <v>4.8150000000000004</v>
      </c>
      <c r="I143">
        <v>40001</v>
      </c>
      <c r="J143">
        <v>120000</v>
      </c>
    </row>
    <row r="144" spans="2:10" x14ac:dyDescent="0.25">
      <c r="B144" t="s">
        <v>568</v>
      </c>
      <c r="C144">
        <v>0.97670000000000001</v>
      </c>
      <c r="D144">
        <v>1.2490000000000001</v>
      </c>
      <c r="E144">
        <v>6.2649999999999997E-3</v>
      </c>
      <c r="F144">
        <v>1.2019999999999999E-3</v>
      </c>
      <c r="G144">
        <v>0.51019999999999999</v>
      </c>
      <c r="H144">
        <v>4.4770000000000003</v>
      </c>
      <c r="I144">
        <v>40001</v>
      </c>
      <c r="J144">
        <v>120000</v>
      </c>
    </row>
    <row r="145" spans="2:10" x14ac:dyDescent="0.25">
      <c r="B145" t="s">
        <v>569</v>
      </c>
      <c r="C145">
        <v>1.159</v>
      </c>
      <c r="D145">
        <v>1.4530000000000001</v>
      </c>
      <c r="E145">
        <v>6.3969999999999999E-3</v>
      </c>
      <c r="F145">
        <v>1.4809999999999999E-3</v>
      </c>
      <c r="G145">
        <v>0.62370000000000003</v>
      </c>
      <c r="H145">
        <v>5.194</v>
      </c>
      <c r="I145">
        <v>40001</v>
      </c>
      <c r="J145">
        <v>120000</v>
      </c>
    </row>
    <row r="146" spans="2:10" x14ac:dyDescent="0.25">
      <c r="B146" t="s">
        <v>570</v>
      </c>
      <c r="C146">
        <v>0.64570000000000005</v>
      </c>
      <c r="D146">
        <v>0.90039999999999998</v>
      </c>
      <c r="E146">
        <v>6.8500000000000002E-3</v>
      </c>
      <c r="F146" s="13">
        <v>6.4139999999999998E-4</v>
      </c>
      <c r="G146">
        <v>0.29980000000000001</v>
      </c>
      <c r="H146">
        <v>3.1880000000000002</v>
      </c>
      <c r="I146">
        <v>40001</v>
      </c>
      <c r="J146">
        <v>120000</v>
      </c>
    </row>
    <row r="147" spans="2:10" x14ac:dyDescent="0.25">
      <c r="B147" t="s">
        <v>571</v>
      </c>
      <c r="C147">
        <v>0.81</v>
      </c>
      <c r="D147">
        <v>1.1339999999999999</v>
      </c>
      <c r="E147">
        <v>4.3779999999999999E-3</v>
      </c>
      <c r="F147" s="13">
        <v>7.8609999999999997E-4</v>
      </c>
      <c r="G147">
        <v>0.3725</v>
      </c>
      <c r="H147">
        <v>4.0069999999999997</v>
      </c>
      <c r="I147">
        <v>40001</v>
      </c>
      <c r="J147">
        <v>120000</v>
      </c>
    </row>
    <row r="148" spans="2:10" x14ac:dyDescent="0.25">
      <c r="B148" t="s">
        <v>572</v>
      </c>
      <c r="C148">
        <v>1.0189999999999999</v>
      </c>
      <c r="D148">
        <v>1.419</v>
      </c>
      <c r="E148">
        <v>5.0130000000000001E-3</v>
      </c>
      <c r="F148" s="13">
        <v>9.8339999999999994E-4</v>
      </c>
      <c r="G148">
        <v>0.46870000000000001</v>
      </c>
      <c r="H148">
        <v>5.032</v>
      </c>
      <c r="I148">
        <v>40001</v>
      </c>
      <c r="J148">
        <v>120000</v>
      </c>
    </row>
    <row r="149" spans="2:10" x14ac:dyDescent="0.25">
      <c r="B149" t="s">
        <v>573</v>
      </c>
      <c r="C149">
        <v>0.97850000000000004</v>
      </c>
      <c r="D149">
        <v>1.1859999999999999</v>
      </c>
      <c r="E149">
        <v>6.4790000000000004E-3</v>
      </c>
      <c r="F149">
        <v>1.4580000000000001E-3</v>
      </c>
      <c r="G149">
        <v>0.56440000000000001</v>
      </c>
      <c r="H149">
        <v>4.2359999999999998</v>
      </c>
      <c r="I149">
        <v>40001</v>
      </c>
      <c r="J149">
        <v>120000</v>
      </c>
    </row>
    <row r="150" spans="2:10" x14ac:dyDescent="0.25">
      <c r="B150" t="s">
        <v>574</v>
      </c>
      <c r="C150">
        <v>0.55359999999999998</v>
      </c>
      <c r="D150">
        <v>0.78949999999999998</v>
      </c>
      <c r="E150">
        <v>2.764E-3</v>
      </c>
      <c r="F150" s="13">
        <v>5.2400000000000005E-4</v>
      </c>
      <c r="G150">
        <v>0.24909999999999999</v>
      </c>
      <c r="H150">
        <v>2.7770000000000001</v>
      </c>
      <c r="I150">
        <v>40001</v>
      </c>
      <c r="J150">
        <v>120000</v>
      </c>
    </row>
    <row r="151" spans="2:10" x14ac:dyDescent="0.25">
      <c r="B151" t="s">
        <v>575</v>
      </c>
      <c r="C151">
        <v>0.66579999999999995</v>
      </c>
      <c r="D151">
        <v>0.92530000000000001</v>
      </c>
      <c r="E151">
        <v>2.9619999999999998E-3</v>
      </c>
      <c r="F151" s="13">
        <v>6.3460000000000003E-4</v>
      </c>
      <c r="G151">
        <v>0.30830000000000002</v>
      </c>
      <c r="H151">
        <v>3.3210000000000002</v>
      </c>
      <c r="I151">
        <v>40001</v>
      </c>
      <c r="J151">
        <v>120000</v>
      </c>
    </row>
    <row r="152" spans="2:10" x14ac:dyDescent="0.25">
      <c r="B152" t="s">
        <v>576</v>
      </c>
      <c r="C152">
        <v>0.65190000000000003</v>
      </c>
      <c r="D152">
        <v>0.91690000000000005</v>
      </c>
      <c r="E152">
        <v>3.2269999999999998E-3</v>
      </c>
      <c r="F152" s="13">
        <v>6.5859999999999996E-4</v>
      </c>
      <c r="G152">
        <v>0.29759999999999998</v>
      </c>
      <c r="H152">
        <v>3.2559999999999998</v>
      </c>
      <c r="I152">
        <v>40001</v>
      </c>
      <c r="J152">
        <v>120000</v>
      </c>
    </row>
    <row r="153" spans="2:10" x14ac:dyDescent="0.25">
      <c r="B153" t="s">
        <v>577</v>
      </c>
      <c r="C153">
        <v>0.71550000000000002</v>
      </c>
      <c r="D153">
        <v>0.98270000000000002</v>
      </c>
      <c r="E153">
        <v>3.604E-3</v>
      </c>
      <c r="F153" s="13">
        <v>7.5750000000000004E-4</v>
      </c>
      <c r="G153">
        <v>0.33600000000000002</v>
      </c>
      <c r="H153">
        <v>3.516</v>
      </c>
      <c r="I153">
        <v>40001</v>
      </c>
      <c r="J153">
        <v>120000</v>
      </c>
    </row>
    <row r="154" spans="2:10" x14ac:dyDescent="0.25">
      <c r="B154" t="s">
        <v>578</v>
      </c>
      <c r="C154">
        <v>0.59379999999999999</v>
      </c>
      <c r="D154">
        <v>0.85350000000000004</v>
      </c>
      <c r="E154">
        <v>4.0249999999999999E-3</v>
      </c>
      <c r="F154" s="13">
        <v>5.8620000000000005E-4</v>
      </c>
      <c r="G154">
        <v>0.2661</v>
      </c>
      <c r="H154">
        <v>3.03</v>
      </c>
      <c r="I154">
        <v>40001</v>
      </c>
      <c r="J154">
        <v>120000</v>
      </c>
    </row>
    <row r="155" spans="2:10" x14ac:dyDescent="0.25">
      <c r="B155" t="s">
        <v>579</v>
      </c>
      <c r="C155">
        <v>0.7389</v>
      </c>
      <c r="D155">
        <v>1.0189999999999999</v>
      </c>
      <c r="E155">
        <v>4.7320000000000001E-3</v>
      </c>
      <c r="F155" s="13">
        <v>7.3200000000000001E-4</v>
      </c>
      <c r="G155">
        <v>0.34289999999999998</v>
      </c>
      <c r="H155">
        <v>3.6240000000000001</v>
      </c>
      <c r="I155">
        <v>40001</v>
      </c>
      <c r="J155">
        <v>120000</v>
      </c>
    </row>
    <row r="156" spans="2:10" x14ac:dyDescent="0.25">
      <c r="B156" t="s">
        <v>580</v>
      </c>
      <c r="C156">
        <v>0.72709999999999997</v>
      </c>
      <c r="D156">
        <v>0.97609999999999997</v>
      </c>
      <c r="E156">
        <v>6.5009999999999998E-3</v>
      </c>
      <c r="F156" s="13">
        <v>7.7110000000000004E-4</v>
      </c>
      <c r="G156">
        <v>0.35170000000000001</v>
      </c>
      <c r="H156">
        <v>3.4809999999999999</v>
      </c>
      <c r="I156">
        <v>40001</v>
      </c>
      <c r="J156">
        <v>120000</v>
      </c>
    </row>
    <row r="157" spans="2:10" x14ac:dyDescent="0.25">
      <c r="B157" t="s">
        <v>581</v>
      </c>
      <c r="C157">
        <v>0.6583</v>
      </c>
      <c r="D157">
        <v>0.94240000000000002</v>
      </c>
      <c r="E157">
        <v>4.1019999999999997E-3</v>
      </c>
      <c r="F157" s="13">
        <v>6.5419999999999996E-4</v>
      </c>
      <c r="G157">
        <v>0.29799999999999999</v>
      </c>
      <c r="H157">
        <v>3.3380000000000001</v>
      </c>
      <c r="I157">
        <v>40001</v>
      </c>
      <c r="J157">
        <v>120000</v>
      </c>
    </row>
    <row r="158" spans="2:10" x14ac:dyDescent="0.25">
      <c r="B158" t="s">
        <v>582</v>
      </c>
      <c r="C158">
        <v>0.98160000000000003</v>
      </c>
      <c r="D158">
        <v>1.3140000000000001</v>
      </c>
      <c r="E158">
        <v>9.3159999999999996E-3</v>
      </c>
      <c r="F158">
        <v>1.062E-3</v>
      </c>
      <c r="G158">
        <v>0.47749999999999998</v>
      </c>
      <c r="H158">
        <v>4.6760000000000002</v>
      </c>
      <c r="I158">
        <v>40001</v>
      </c>
      <c r="J158">
        <v>120000</v>
      </c>
    </row>
    <row r="159" spans="2:10" x14ac:dyDescent="0.25">
      <c r="B159" t="s">
        <v>583</v>
      </c>
      <c r="C159">
        <v>1.0429999999999999</v>
      </c>
      <c r="D159">
        <v>1.391</v>
      </c>
      <c r="E159">
        <v>9.3849999999999992E-3</v>
      </c>
      <c r="F159">
        <v>1.1620000000000001E-3</v>
      </c>
      <c r="G159">
        <v>0.50839999999999996</v>
      </c>
      <c r="H159">
        <v>4.9649999999999999</v>
      </c>
      <c r="I159">
        <v>40001</v>
      </c>
      <c r="J159">
        <v>120000</v>
      </c>
    </row>
    <row r="160" spans="2:10" x14ac:dyDescent="0.25">
      <c r="B160" t="s">
        <v>584</v>
      </c>
      <c r="C160">
        <v>1.0329999999999999</v>
      </c>
      <c r="D160">
        <v>1.454</v>
      </c>
      <c r="E160">
        <v>1.265E-2</v>
      </c>
      <c r="F160" s="13">
        <v>9.3349999999999998E-4</v>
      </c>
      <c r="G160">
        <v>0.4748</v>
      </c>
      <c r="H160">
        <v>5.15</v>
      </c>
      <c r="I160">
        <v>40001</v>
      </c>
      <c r="J160">
        <v>120000</v>
      </c>
    </row>
    <row r="161" spans="1:10" x14ac:dyDescent="0.25">
      <c r="B161" t="s">
        <v>585</v>
      </c>
      <c r="C161">
        <v>1.018</v>
      </c>
      <c r="D161">
        <v>1.425</v>
      </c>
      <c r="E161">
        <v>9.9229999999999995E-3</v>
      </c>
      <c r="F161" s="13">
        <v>9.4669999999999997E-4</v>
      </c>
      <c r="G161">
        <v>0.46829999999999999</v>
      </c>
      <c r="H161">
        <v>5.0549999999999997</v>
      </c>
      <c r="I161">
        <v>40001</v>
      </c>
      <c r="J161">
        <v>120000</v>
      </c>
    </row>
    <row r="162" spans="1:10" x14ac:dyDescent="0.25">
      <c r="B162" t="s">
        <v>586</v>
      </c>
      <c r="C162">
        <v>0.84519999999999995</v>
      </c>
      <c r="D162">
        <v>1.1759999999999999</v>
      </c>
      <c r="E162">
        <v>6.5050000000000004E-3</v>
      </c>
      <c r="F162" s="13">
        <v>8.9760000000000003E-4</v>
      </c>
      <c r="G162">
        <v>0.39100000000000001</v>
      </c>
      <c r="H162">
        <v>4.1820000000000004</v>
      </c>
      <c r="I162">
        <v>40001</v>
      </c>
      <c r="J162">
        <v>120000</v>
      </c>
    </row>
    <row r="163" spans="1:10" x14ac:dyDescent="0.25">
      <c r="B163" t="s">
        <v>587</v>
      </c>
      <c r="C163">
        <v>0.93920000000000003</v>
      </c>
      <c r="D163">
        <v>1.272</v>
      </c>
      <c r="E163">
        <v>6.8640000000000003E-3</v>
      </c>
      <c r="F163" s="13">
        <v>9.9979999999999991E-4</v>
      </c>
      <c r="G163">
        <v>0.44719999999999999</v>
      </c>
      <c r="H163">
        <v>4.5540000000000003</v>
      </c>
      <c r="I163">
        <v>40001</v>
      </c>
      <c r="J163">
        <v>120000</v>
      </c>
    </row>
    <row r="164" spans="1:10" x14ac:dyDescent="0.25">
      <c r="B164" t="s">
        <v>588</v>
      </c>
      <c r="C164">
        <v>0.98960000000000004</v>
      </c>
      <c r="D164">
        <v>1.4019999999999999</v>
      </c>
      <c r="E164">
        <v>6.6660000000000001E-3</v>
      </c>
      <c r="F164" s="13">
        <v>9.4359999999999995E-4</v>
      </c>
      <c r="G164">
        <v>0.45029999999999998</v>
      </c>
      <c r="H164">
        <v>4.9649999999999999</v>
      </c>
      <c r="I164">
        <v>40001</v>
      </c>
      <c r="J164">
        <v>120000</v>
      </c>
    </row>
    <row r="165" spans="1:10" x14ac:dyDescent="0.25">
      <c r="B165" t="s">
        <v>589</v>
      </c>
      <c r="C165">
        <v>0.98550000000000004</v>
      </c>
      <c r="D165">
        <v>1.3979999999999999</v>
      </c>
      <c r="E165">
        <v>9.4079999999999997E-3</v>
      </c>
      <c r="F165" s="13">
        <v>9.6000000000000002E-4</v>
      </c>
      <c r="G165">
        <v>0.44290000000000002</v>
      </c>
      <c r="H165">
        <v>4.9720000000000004</v>
      </c>
      <c r="I165">
        <v>40001</v>
      </c>
      <c r="J165">
        <v>120000</v>
      </c>
    </row>
    <row r="166" spans="1:10" x14ac:dyDescent="0.25">
      <c r="B166" t="s">
        <v>747</v>
      </c>
      <c r="C166">
        <v>89.19</v>
      </c>
      <c r="D166">
        <v>12.04</v>
      </c>
      <c r="E166">
        <v>0.1101</v>
      </c>
      <c r="F166">
        <v>67.34</v>
      </c>
      <c r="G166">
        <v>88.6</v>
      </c>
      <c r="H166">
        <v>114.6</v>
      </c>
      <c r="I166">
        <v>40001</v>
      </c>
      <c r="J166">
        <v>120000</v>
      </c>
    </row>
    <row r="167" spans="1:10" x14ac:dyDescent="0.25">
      <c r="A167" t="s">
        <v>947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4" t="s">
        <v>149</v>
      </c>
      <c r="F5" s="275"/>
      <c r="G5" s="275"/>
      <c r="H5" s="276"/>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4" t="s">
        <v>151</v>
      </c>
      <c r="F11" s="275"/>
      <c r="G11" s="275"/>
      <c r="H11" s="276"/>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4" t="s">
        <v>150</v>
      </c>
      <c r="F17" s="275"/>
      <c r="G17" s="275"/>
      <c r="H17" s="276"/>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E52"/>
  <sheetViews>
    <sheetView showGridLines="0" showRowColHeaders="0" topLeftCell="A2" workbookViewId="0">
      <selection activeCell="A2" sqref="A2:P2"/>
    </sheetView>
  </sheetViews>
  <sheetFormatPr defaultRowHeight="15" x14ac:dyDescent="0.25"/>
  <sheetData>
    <row r="1" spans="1:31" x14ac:dyDescent="0.25">
      <c r="A1" s="19" t="s">
        <v>0</v>
      </c>
      <c r="B1" s="19" t="s">
        <v>1</v>
      </c>
      <c r="C1" s="19" t="s">
        <v>2</v>
      </c>
      <c r="D1" s="19" t="s">
        <v>3</v>
      </c>
      <c r="E1" s="19" t="s">
        <v>42</v>
      </c>
      <c r="F1" s="19" t="s">
        <v>43</v>
      </c>
      <c r="G1" s="19" t="s">
        <v>44</v>
      </c>
      <c r="H1" s="19" t="s">
        <v>45</v>
      </c>
      <c r="I1" s="19" t="s">
        <v>251</v>
      </c>
      <c r="J1" s="19" t="s">
        <v>252</v>
      </c>
      <c r="K1" s="19" t="s">
        <v>361</v>
      </c>
      <c r="L1" s="19" t="s">
        <v>362</v>
      </c>
      <c r="M1" s="19" t="s">
        <v>363</v>
      </c>
      <c r="N1" s="19" t="s">
        <v>364</v>
      </c>
      <c r="O1" s="19" t="s">
        <v>365</v>
      </c>
      <c r="P1" s="19" t="s">
        <v>366</v>
      </c>
      <c r="Q1" s="19" t="s">
        <v>367</v>
      </c>
      <c r="R1" s="19" t="s">
        <v>368</v>
      </c>
      <c r="S1" s="19" t="s">
        <v>369</v>
      </c>
      <c r="T1" s="16" t="s">
        <v>370</v>
      </c>
      <c r="U1" s="16" t="s">
        <v>4</v>
      </c>
      <c r="V1" s="16" t="s">
        <v>5</v>
      </c>
      <c r="W1" s="16" t="s">
        <v>46</v>
      </c>
      <c r="X1" s="16" t="s">
        <v>47</v>
      </c>
      <c r="Y1" t="s">
        <v>253</v>
      </c>
      <c r="Z1" t="s">
        <v>371</v>
      </c>
      <c r="AA1" t="s">
        <v>372</v>
      </c>
      <c r="AB1" t="s">
        <v>373</v>
      </c>
      <c r="AC1" t="s">
        <v>374</v>
      </c>
      <c r="AD1" t="s">
        <v>375</v>
      </c>
      <c r="AE1" t="s">
        <v>6</v>
      </c>
    </row>
    <row r="2" spans="1:31" x14ac:dyDescent="0.25">
      <c r="A2" s="19">
        <v>7</v>
      </c>
      <c r="B2" s="19">
        <v>9</v>
      </c>
      <c r="C2" s="19">
        <v>10</v>
      </c>
      <c r="D2" s="19">
        <v>12</v>
      </c>
      <c r="E2" s="19" t="s">
        <v>376</v>
      </c>
      <c r="F2" s="19">
        <v>1</v>
      </c>
      <c r="G2" s="19" t="s">
        <v>376</v>
      </c>
      <c r="H2" s="19">
        <v>1</v>
      </c>
      <c r="I2" s="19" t="s">
        <v>376</v>
      </c>
      <c r="J2" s="19">
        <v>1</v>
      </c>
      <c r="K2" s="19" t="s">
        <v>376</v>
      </c>
      <c r="L2" s="19">
        <v>1</v>
      </c>
      <c r="M2" s="19" t="s">
        <v>376</v>
      </c>
      <c r="N2" s="19">
        <v>1</v>
      </c>
      <c r="O2" s="19" t="s">
        <v>376</v>
      </c>
      <c r="P2" s="19">
        <v>1</v>
      </c>
      <c r="Q2" s="19" t="s">
        <v>376</v>
      </c>
      <c r="R2" s="19">
        <v>1</v>
      </c>
      <c r="S2" s="19" t="s">
        <v>376</v>
      </c>
      <c r="T2" s="16">
        <v>1</v>
      </c>
      <c r="U2" s="16">
        <v>1</v>
      </c>
      <c r="V2" s="16">
        <v>3</v>
      </c>
      <c r="W2" s="16" t="s">
        <v>376</v>
      </c>
      <c r="X2" s="16" t="s">
        <v>376</v>
      </c>
      <c r="Y2" t="s">
        <v>376</v>
      </c>
      <c r="Z2" t="s">
        <v>376</v>
      </c>
      <c r="AA2" t="s">
        <v>376</v>
      </c>
      <c r="AB2" t="s">
        <v>376</v>
      </c>
      <c r="AC2" t="s">
        <v>376</v>
      </c>
      <c r="AD2" t="s">
        <v>376</v>
      </c>
      <c r="AE2">
        <v>2</v>
      </c>
    </row>
    <row r="3" spans="1:31" x14ac:dyDescent="0.25">
      <c r="A3" s="19">
        <v>47</v>
      </c>
      <c r="B3" s="19">
        <v>68</v>
      </c>
      <c r="C3" s="19">
        <v>32</v>
      </c>
      <c r="D3" s="19">
        <v>68</v>
      </c>
      <c r="E3" s="19" t="s">
        <v>376</v>
      </c>
      <c r="F3" s="19">
        <v>1</v>
      </c>
      <c r="G3" s="19" t="s">
        <v>376</v>
      </c>
      <c r="H3" s="19">
        <v>1</v>
      </c>
      <c r="I3" s="19" t="s">
        <v>376</v>
      </c>
      <c r="J3" s="19">
        <v>1</v>
      </c>
      <c r="K3" s="19" t="s">
        <v>376</v>
      </c>
      <c r="L3" s="19">
        <v>1</v>
      </c>
      <c r="M3" s="19" t="s">
        <v>376</v>
      </c>
      <c r="N3" s="19">
        <v>1</v>
      </c>
      <c r="O3" s="19" t="s">
        <v>376</v>
      </c>
      <c r="P3" s="19">
        <v>1</v>
      </c>
      <c r="Q3" s="19" t="s">
        <v>376</v>
      </c>
      <c r="R3" s="19">
        <v>1</v>
      </c>
      <c r="S3" s="19" t="s">
        <v>376</v>
      </c>
      <c r="T3" s="16">
        <v>1</v>
      </c>
      <c r="U3" s="16">
        <v>2</v>
      </c>
      <c r="V3" s="16">
        <v>10</v>
      </c>
      <c r="W3" s="16" t="s">
        <v>376</v>
      </c>
      <c r="X3" s="16" t="s">
        <v>376</v>
      </c>
      <c r="Y3" t="s">
        <v>376</v>
      </c>
      <c r="Z3" t="s">
        <v>376</v>
      </c>
      <c r="AA3" t="s">
        <v>376</v>
      </c>
      <c r="AB3" t="s">
        <v>376</v>
      </c>
      <c r="AC3" t="s">
        <v>376</v>
      </c>
      <c r="AD3" t="s">
        <v>376</v>
      </c>
      <c r="AE3">
        <v>2</v>
      </c>
    </row>
    <row r="4" spans="1:31" x14ac:dyDescent="0.25">
      <c r="A4" s="19">
        <v>285</v>
      </c>
      <c r="B4" s="19">
        <v>399</v>
      </c>
      <c r="C4" s="19">
        <v>270</v>
      </c>
      <c r="D4" s="19">
        <v>403</v>
      </c>
      <c r="E4" s="19" t="s">
        <v>376</v>
      </c>
      <c r="F4" s="19">
        <v>1</v>
      </c>
      <c r="G4" s="19" t="s">
        <v>376</v>
      </c>
      <c r="H4" s="19">
        <v>1</v>
      </c>
      <c r="I4" s="19" t="s">
        <v>376</v>
      </c>
      <c r="J4" s="19">
        <v>1</v>
      </c>
      <c r="K4" s="19" t="s">
        <v>376</v>
      </c>
      <c r="L4" s="19">
        <v>1</v>
      </c>
      <c r="M4" s="19" t="s">
        <v>376</v>
      </c>
      <c r="N4" s="19">
        <v>1</v>
      </c>
      <c r="O4" s="19" t="s">
        <v>376</v>
      </c>
      <c r="P4" s="19">
        <v>1</v>
      </c>
      <c r="Q4" s="19" t="s">
        <v>376</v>
      </c>
      <c r="R4" s="19">
        <v>1</v>
      </c>
      <c r="S4" s="19" t="s">
        <v>376</v>
      </c>
      <c r="T4" s="16">
        <v>1</v>
      </c>
      <c r="U4" s="16">
        <v>1</v>
      </c>
      <c r="V4" s="16">
        <v>9</v>
      </c>
      <c r="W4" s="16" t="s">
        <v>376</v>
      </c>
      <c r="X4" s="16" t="s">
        <v>376</v>
      </c>
      <c r="Y4" t="s">
        <v>376</v>
      </c>
      <c r="Z4" t="s">
        <v>376</v>
      </c>
      <c r="AA4" t="s">
        <v>376</v>
      </c>
      <c r="AB4" t="s">
        <v>376</v>
      </c>
      <c r="AC4" t="s">
        <v>376</v>
      </c>
      <c r="AD4" t="s">
        <v>376</v>
      </c>
      <c r="AE4">
        <v>2</v>
      </c>
    </row>
    <row r="5" spans="1:31" x14ac:dyDescent="0.25">
      <c r="A5" s="19">
        <v>35</v>
      </c>
      <c r="B5" s="19">
        <v>37</v>
      </c>
      <c r="C5" s="19">
        <v>35</v>
      </c>
      <c r="D5" s="19">
        <v>36</v>
      </c>
      <c r="E5" s="19" t="s">
        <v>376</v>
      </c>
      <c r="F5" s="19">
        <v>1</v>
      </c>
      <c r="G5" s="19" t="s">
        <v>376</v>
      </c>
      <c r="H5" s="19">
        <v>1</v>
      </c>
      <c r="I5" s="19" t="s">
        <v>376</v>
      </c>
      <c r="J5" s="19">
        <v>1</v>
      </c>
      <c r="K5" s="19" t="s">
        <v>376</v>
      </c>
      <c r="L5" s="19">
        <v>1</v>
      </c>
      <c r="M5" s="19" t="s">
        <v>376</v>
      </c>
      <c r="N5" s="19">
        <v>1</v>
      </c>
      <c r="O5" s="19" t="s">
        <v>376</v>
      </c>
      <c r="P5" s="19">
        <v>1</v>
      </c>
      <c r="Q5" s="19" t="s">
        <v>376</v>
      </c>
      <c r="R5" s="19">
        <v>1</v>
      </c>
      <c r="S5" s="19" t="s">
        <v>376</v>
      </c>
      <c r="T5" s="16">
        <v>1</v>
      </c>
      <c r="U5" s="16">
        <v>1</v>
      </c>
      <c r="V5" s="16">
        <v>4</v>
      </c>
      <c r="W5" s="16" t="s">
        <v>376</v>
      </c>
      <c r="X5" s="16" t="s">
        <v>376</v>
      </c>
      <c r="Y5" t="s">
        <v>376</v>
      </c>
      <c r="Z5" t="s">
        <v>376</v>
      </c>
      <c r="AA5" t="s">
        <v>376</v>
      </c>
      <c r="AB5" t="s">
        <v>376</v>
      </c>
      <c r="AC5" t="s">
        <v>376</v>
      </c>
      <c r="AD5" t="s">
        <v>376</v>
      </c>
      <c r="AE5">
        <v>2</v>
      </c>
    </row>
    <row r="6" spans="1:31" x14ac:dyDescent="0.25">
      <c r="A6" s="19">
        <v>34</v>
      </c>
      <c r="B6" s="19">
        <v>35</v>
      </c>
      <c r="C6" s="19">
        <v>29</v>
      </c>
      <c r="D6" s="19">
        <v>37</v>
      </c>
      <c r="E6" s="19" t="s">
        <v>376</v>
      </c>
      <c r="F6" s="19">
        <v>1</v>
      </c>
      <c r="G6" s="19" t="s">
        <v>376</v>
      </c>
      <c r="H6" s="19">
        <v>1</v>
      </c>
      <c r="I6" s="19" t="s">
        <v>376</v>
      </c>
      <c r="J6" s="19">
        <v>1</v>
      </c>
      <c r="K6" s="19" t="s">
        <v>376</v>
      </c>
      <c r="L6" s="19">
        <v>1</v>
      </c>
      <c r="M6" s="19" t="s">
        <v>376</v>
      </c>
      <c r="N6" s="19">
        <v>1</v>
      </c>
      <c r="O6" s="19" t="s">
        <v>376</v>
      </c>
      <c r="P6" s="19">
        <v>1</v>
      </c>
      <c r="Q6" s="19" t="s">
        <v>376</v>
      </c>
      <c r="R6" s="19">
        <v>1</v>
      </c>
      <c r="S6" s="19" t="s">
        <v>376</v>
      </c>
      <c r="T6" s="16">
        <v>1</v>
      </c>
      <c r="U6" s="16">
        <v>3</v>
      </c>
      <c r="V6" s="16">
        <v>10</v>
      </c>
      <c r="W6" s="16" t="s">
        <v>376</v>
      </c>
      <c r="X6" s="16" t="s">
        <v>376</v>
      </c>
      <c r="Y6" t="s">
        <v>376</v>
      </c>
      <c r="Z6" t="s">
        <v>376</v>
      </c>
      <c r="AA6" t="s">
        <v>376</v>
      </c>
      <c r="AB6" t="s">
        <v>376</v>
      </c>
      <c r="AC6" t="s">
        <v>376</v>
      </c>
      <c r="AD6" t="s">
        <v>376</v>
      </c>
      <c r="AE6">
        <v>2</v>
      </c>
    </row>
    <row r="7" spans="1:31" x14ac:dyDescent="0.25">
      <c r="A7" s="19">
        <v>38</v>
      </c>
      <c r="B7" s="19">
        <v>80</v>
      </c>
      <c r="C7" s="19">
        <v>45</v>
      </c>
      <c r="D7" s="19">
        <v>80</v>
      </c>
      <c r="E7" s="19" t="s">
        <v>376</v>
      </c>
      <c r="F7" s="19">
        <v>1</v>
      </c>
      <c r="G7" s="19" t="s">
        <v>376</v>
      </c>
      <c r="H7" s="19">
        <v>1</v>
      </c>
      <c r="I7" s="19" t="s">
        <v>376</v>
      </c>
      <c r="J7" s="19">
        <v>1</v>
      </c>
      <c r="K7" s="19" t="s">
        <v>376</v>
      </c>
      <c r="L7" s="19">
        <v>1</v>
      </c>
      <c r="M7" s="19" t="s">
        <v>376</v>
      </c>
      <c r="N7" s="19">
        <v>1</v>
      </c>
      <c r="O7" s="19" t="s">
        <v>376</v>
      </c>
      <c r="P7" s="19">
        <v>1</v>
      </c>
      <c r="Q7" s="19" t="s">
        <v>376</v>
      </c>
      <c r="R7" s="19">
        <v>1</v>
      </c>
      <c r="S7" s="19" t="s">
        <v>376</v>
      </c>
      <c r="T7" s="16">
        <v>1</v>
      </c>
      <c r="U7" s="16">
        <v>3</v>
      </c>
      <c r="V7" s="16">
        <v>4</v>
      </c>
      <c r="W7" s="16" t="s">
        <v>376</v>
      </c>
      <c r="X7" s="16" t="s">
        <v>376</v>
      </c>
      <c r="Y7" t="s">
        <v>376</v>
      </c>
      <c r="Z7" t="s">
        <v>376</v>
      </c>
      <c r="AA7" t="s">
        <v>376</v>
      </c>
      <c r="AB7" t="s">
        <v>376</v>
      </c>
      <c r="AC7" t="s">
        <v>376</v>
      </c>
      <c r="AD7" t="s">
        <v>376</v>
      </c>
      <c r="AE7">
        <v>2</v>
      </c>
    </row>
    <row r="8" spans="1:31" x14ac:dyDescent="0.25">
      <c r="A8" s="19">
        <v>21</v>
      </c>
      <c r="B8" s="19">
        <v>34</v>
      </c>
      <c r="C8" s="19">
        <v>30</v>
      </c>
      <c r="D8" s="19">
        <v>36</v>
      </c>
      <c r="E8" s="19" t="s">
        <v>376</v>
      </c>
      <c r="F8" s="19">
        <v>1</v>
      </c>
      <c r="G8" s="19" t="s">
        <v>376</v>
      </c>
      <c r="H8" s="19">
        <v>1</v>
      </c>
      <c r="I8" s="19" t="s">
        <v>376</v>
      </c>
      <c r="J8" s="19">
        <v>1</v>
      </c>
      <c r="K8" s="19" t="s">
        <v>376</v>
      </c>
      <c r="L8" s="19">
        <v>1</v>
      </c>
      <c r="M8" s="19" t="s">
        <v>376</v>
      </c>
      <c r="N8" s="19">
        <v>1</v>
      </c>
      <c r="O8" s="19" t="s">
        <v>376</v>
      </c>
      <c r="P8" s="19">
        <v>1</v>
      </c>
      <c r="Q8" s="19" t="s">
        <v>376</v>
      </c>
      <c r="R8" s="19">
        <v>1</v>
      </c>
      <c r="S8" s="19" t="s">
        <v>376</v>
      </c>
      <c r="T8" s="16">
        <v>1</v>
      </c>
      <c r="U8" s="16">
        <v>2</v>
      </c>
      <c r="V8" s="16">
        <v>3</v>
      </c>
      <c r="W8" s="16" t="s">
        <v>376</v>
      </c>
      <c r="X8" s="16" t="s">
        <v>376</v>
      </c>
      <c r="Y8" t="s">
        <v>376</v>
      </c>
      <c r="Z8" t="s">
        <v>376</v>
      </c>
      <c r="AA8" t="s">
        <v>376</v>
      </c>
      <c r="AB8" t="s">
        <v>376</v>
      </c>
      <c r="AC8" t="s">
        <v>376</v>
      </c>
      <c r="AD8" t="s">
        <v>376</v>
      </c>
      <c r="AE8">
        <v>2</v>
      </c>
    </row>
    <row r="9" spans="1:31" x14ac:dyDescent="0.25">
      <c r="A9" s="19">
        <v>31</v>
      </c>
      <c r="B9" s="19">
        <v>50</v>
      </c>
      <c r="C9" s="19">
        <v>46</v>
      </c>
      <c r="D9" s="19">
        <v>52</v>
      </c>
      <c r="E9" s="19" t="s">
        <v>376</v>
      </c>
      <c r="F9" s="19">
        <v>1</v>
      </c>
      <c r="G9" s="19" t="s">
        <v>376</v>
      </c>
      <c r="H9" s="19">
        <v>1</v>
      </c>
      <c r="I9" s="19" t="s">
        <v>376</v>
      </c>
      <c r="J9" s="19">
        <v>1</v>
      </c>
      <c r="K9" s="19" t="s">
        <v>376</v>
      </c>
      <c r="L9" s="19">
        <v>1</v>
      </c>
      <c r="M9" s="19" t="s">
        <v>376</v>
      </c>
      <c r="N9" s="19">
        <v>1</v>
      </c>
      <c r="O9" s="19" t="s">
        <v>376</v>
      </c>
      <c r="P9" s="19">
        <v>1</v>
      </c>
      <c r="Q9" s="19" t="s">
        <v>376</v>
      </c>
      <c r="R9" s="19">
        <v>1</v>
      </c>
      <c r="S9" s="19" t="s">
        <v>376</v>
      </c>
      <c r="T9" s="16">
        <v>1</v>
      </c>
      <c r="U9" s="16">
        <v>2</v>
      </c>
      <c r="V9" s="16">
        <v>3</v>
      </c>
      <c r="W9" s="16" t="s">
        <v>376</v>
      </c>
      <c r="X9" s="16" t="s">
        <v>376</v>
      </c>
      <c r="Y9" t="s">
        <v>376</v>
      </c>
      <c r="Z9" t="s">
        <v>376</v>
      </c>
      <c r="AA9" t="s">
        <v>376</v>
      </c>
      <c r="AB9" t="s">
        <v>376</v>
      </c>
      <c r="AC9" t="s">
        <v>376</v>
      </c>
      <c r="AD9" t="s">
        <v>376</v>
      </c>
      <c r="AE9">
        <v>2</v>
      </c>
    </row>
    <row r="10" spans="1:31" x14ac:dyDescent="0.25">
      <c r="A10" s="19">
        <v>31</v>
      </c>
      <c r="B10" s="19">
        <v>33</v>
      </c>
      <c r="C10" s="19">
        <v>10</v>
      </c>
      <c r="D10" s="19">
        <v>33</v>
      </c>
      <c r="E10" s="19" t="s">
        <v>376</v>
      </c>
      <c r="F10" s="19">
        <v>1</v>
      </c>
      <c r="G10" s="19" t="s">
        <v>376</v>
      </c>
      <c r="H10" s="19">
        <v>1</v>
      </c>
      <c r="I10" s="19" t="s">
        <v>376</v>
      </c>
      <c r="J10" s="19">
        <v>1</v>
      </c>
      <c r="K10" s="19" t="s">
        <v>376</v>
      </c>
      <c r="L10" s="19">
        <v>1</v>
      </c>
      <c r="M10" s="19" t="s">
        <v>376</v>
      </c>
      <c r="N10" s="19">
        <v>1</v>
      </c>
      <c r="O10" s="19" t="s">
        <v>376</v>
      </c>
      <c r="P10" s="19">
        <v>1</v>
      </c>
      <c r="Q10" s="19" t="s">
        <v>376</v>
      </c>
      <c r="R10" s="19">
        <v>1</v>
      </c>
      <c r="S10" s="19" t="s">
        <v>376</v>
      </c>
      <c r="T10" s="16">
        <v>1</v>
      </c>
      <c r="U10" s="16">
        <v>3</v>
      </c>
      <c r="V10" s="16">
        <v>10</v>
      </c>
      <c r="W10" s="16" t="s">
        <v>376</v>
      </c>
      <c r="X10" s="16" t="s">
        <v>376</v>
      </c>
      <c r="Y10" t="s">
        <v>376</v>
      </c>
      <c r="Z10" t="s">
        <v>376</v>
      </c>
      <c r="AA10" t="s">
        <v>376</v>
      </c>
      <c r="AB10" t="s">
        <v>376</v>
      </c>
      <c r="AC10" t="s">
        <v>376</v>
      </c>
      <c r="AD10" t="s">
        <v>376</v>
      </c>
      <c r="AE10">
        <v>2</v>
      </c>
    </row>
    <row r="11" spans="1:31" x14ac:dyDescent="0.25">
      <c r="A11" s="19">
        <v>20</v>
      </c>
      <c r="B11" s="19">
        <v>32</v>
      </c>
      <c r="C11" s="19">
        <v>27</v>
      </c>
      <c r="D11" s="19">
        <v>32</v>
      </c>
      <c r="E11" s="19" t="s">
        <v>376</v>
      </c>
      <c r="F11" s="19">
        <v>1</v>
      </c>
      <c r="G11" s="19" t="s">
        <v>376</v>
      </c>
      <c r="H11" s="19">
        <v>1</v>
      </c>
      <c r="I11" s="19" t="s">
        <v>376</v>
      </c>
      <c r="J11" s="19">
        <v>1</v>
      </c>
      <c r="K11" s="19" t="s">
        <v>376</v>
      </c>
      <c r="L11" s="19">
        <v>1</v>
      </c>
      <c r="M11" s="19" t="s">
        <v>376</v>
      </c>
      <c r="N11" s="19">
        <v>1</v>
      </c>
      <c r="O11" s="19" t="s">
        <v>376</v>
      </c>
      <c r="P11" s="19">
        <v>1</v>
      </c>
      <c r="Q11" s="19" t="s">
        <v>376</v>
      </c>
      <c r="R11" s="19">
        <v>1</v>
      </c>
      <c r="S11" s="19" t="s">
        <v>376</v>
      </c>
      <c r="T11" s="16">
        <v>1</v>
      </c>
      <c r="U11" s="16">
        <v>2</v>
      </c>
      <c r="V11" s="16">
        <v>3</v>
      </c>
      <c r="W11" s="16" t="s">
        <v>376</v>
      </c>
      <c r="X11" s="16" t="s">
        <v>376</v>
      </c>
      <c r="Y11" t="s">
        <v>376</v>
      </c>
      <c r="Z11" t="s">
        <v>376</v>
      </c>
      <c r="AA11" t="s">
        <v>376</v>
      </c>
      <c r="AB11" t="s">
        <v>376</v>
      </c>
      <c r="AC11" t="s">
        <v>376</v>
      </c>
      <c r="AD11" t="s">
        <v>376</v>
      </c>
      <c r="AE11">
        <v>2</v>
      </c>
    </row>
    <row r="12" spans="1:31" x14ac:dyDescent="0.25">
      <c r="A12" s="19">
        <v>10</v>
      </c>
      <c r="B12" s="19">
        <v>15</v>
      </c>
      <c r="C12" s="19">
        <v>7</v>
      </c>
      <c r="D12" s="19">
        <v>15</v>
      </c>
      <c r="E12" s="19" t="s">
        <v>376</v>
      </c>
      <c r="F12" s="19">
        <v>1</v>
      </c>
      <c r="G12" s="19" t="s">
        <v>376</v>
      </c>
      <c r="H12" s="19">
        <v>1</v>
      </c>
      <c r="I12" s="19" t="s">
        <v>376</v>
      </c>
      <c r="J12" s="19">
        <v>1</v>
      </c>
      <c r="K12" s="19" t="s">
        <v>376</v>
      </c>
      <c r="L12" s="19">
        <v>1</v>
      </c>
      <c r="M12" s="19" t="s">
        <v>376</v>
      </c>
      <c r="N12" s="19">
        <v>1</v>
      </c>
      <c r="O12" s="19" t="s">
        <v>376</v>
      </c>
      <c r="P12" s="19">
        <v>1</v>
      </c>
      <c r="Q12" s="19" t="s">
        <v>376</v>
      </c>
      <c r="R12" s="19">
        <v>1</v>
      </c>
      <c r="S12" s="19" t="s">
        <v>376</v>
      </c>
      <c r="T12" s="16">
        <v>1</v>
      </c>
      <c r="U12" s="16">
        <v>1</v>
      </c>
      <c r="V12" s="16">
        <v>3</v>
      </c>
      <c r="W12" s="16" t="s">
        <v>376</v>
      </c>
      <c r="X12" s="16" t="s">
        <v>376</v>
      </c>
      <c r="Y12" t="s">
        <v>376</v>
      </c>
      <c r="Z12" t="s">
        <v>376</v>
      </c>
      <c r="AA12" t="s">
        <v>376</v>
      </c>
      <c r="AB12" t="s">
        <v>376</v>
      </c>
      <c r="AC12" t="s">
        <v>376</v>
      </c>
      <c r="AD12" t="s">
        <v>376</v>
      </c>
      <c r="AE12">
        <v>2</v>
      </c>
    </row>
    <row r="13" spans="1:31" x14ac:dyDescent="0.25">
      <c r="A13" s="19">
        <v>11</v>
      </c>
      <c r="B13" s="19">
        <v>14</v>
      </c>
      <c r="C13" s="19">
        <v>10</v>
      </c>
      <c r="D13" s="19">
        <v>18</v>
      </c>
      <c r="E13" s="19" t="s">
        <v>376</v>
      </c>
      <c r="F13" s="19">
        <v>1</v>
      </c>
      <c r="G13" s="19" t="s">
        <v>376</v>
      </c>
      <c r="H13" s="19">
        <v>1</v>
      </c>
      <c r="I13" s="19" t="s">
        <v>376</v>
      </c>
      <c r="J13" s="19">
        <v>1</v>
      </c>
      <c r="K13" s="19" t="s">
        <v>376</v>
      </c>
      <c r="L13" s="19">
        <v>1</v>
      </c>
      <c r="M13" s="19" t="s">
        <v>376</v>
      </c>
      <c r="N13" s="19">
        <v>1</v>
      </c>
      <c r="O13" s="19" t="s">
        <v>376</v>
      </c>
      <c r="P13" s="19">
        <v>1</v>
      </c>
      <c r="Q13" s="19" t="s">
        <v>376</v>
      </c>
      <c r="R13" s="19">
        <v>1</v>
      </c>
      <c r="S13" s="19" t="s">
        <v>376</v>
      </c>
      <c r="T13" s="16">
        <v>1</v>
      </c>
      <c r="U13" s="16">
        <v>1</v>
      </c>
      <c r="V13" s="16">
        <v>8</v>
      </c>
      <c r="W13" s="16" t="s">
        <v>376</v>
      </c>
      <c r="X13" s="16" t="s">
        <v>376</v>
      </c>
      <c r="Y13" t="s">
        <v>376</v>
      </c>
      <c r="Z13" t="s">
        <v>376</v>
      </c>
      <c r="AA13" t="s">
        <v>376</v>
      </c>
      <c r="AB13" t="s">
        <v>376</v>
      </c>
      <c r="AC13" t="s">
        <v>376</v>
      </c>
      <c r="AD13" t="s">
        <v>376</v>
      </c>
      <c r="AE13">
        <v>2</v>
      </c>
    </row>
    <row r="14" spans="1:31" x14ac:dyDescent="0.25">
      <c r="A14" s="19">
        <v>18</v>
      </c>
      <c r="B14" s="19">
        <v>20</v>
      </c>
      <c r="C14" s="19">
        <v>14</v>
      </c>
      <c r="D14" s="19">
        <v>19</v>
      </c>
      <c r="E14" s="19" t="s">
        <v>376</v>
      </c>
      <c r="F14" s="19">
        <v>1</v>
      </c>
      <c r="G14" s="19" t="s">
        <v>376</v>
      </c>
      <c r="H14" s="19">
        <v>1</v>
      </c>
      <c r="I14" s="19" t="s">
        <v>376</v>
      </c>
      <c r="J14" s="19">
        <v>1</v>
      </c>
      <c r="K14" s="19" t="s">
        <v>376</v>
      </c>
      <c r="L14" s="19">
        <v>1</v>
      </c>
      <c r="M14" s="19" t="s">
        <v>376</v>
      </c>
      <c r="N14" s="19">
        <v>1</v>
      </c>
      <c r="O14" s="19" t="s">
        <v>376</v>
      </c>
      <c r="P14" s="19">
        <v>1</v>
      </c>
      <c r="Q14" s="19" t="s">
        <v>376</v>
      </c>
      <c r="R14" s="19">
        <v>1</v>
      </c>
      <c r="S14" s="19" t="s">
        <v>376</v>
      </c>
      <c r="T14" s="16">
        <v>1</v>
      </c>
      <c r="U14" s="16">
        <v>1</v>
      </c>
      <c r="V14" s="16">
        <v>10</v>
      </c>
      <c r="W14" s="16" t="s">
        <v>376</v>
      </c>
      <c r="X14" s="16" t="s">
        <v>376</v>
      </c>
      <c r="Y14" t="s">
        <v>376</v>
      </c>
      <c r="Z14" t="s">
        <v>376</v>
      </c>
      <c r="AA14" t="s">
        <v>376</v>
      </c>
      <c r="AB14" t="s">
        <v>376</v>
      </c>
      <c r="AC14" t="s">
        <v>376</v>
      </c>
      <c r="AD14" t="s">
        <v>376</v>
      </c>
      <c r="AE14">
        <v>2</v>
      </c>
    </row>
    <row r="15" spans="1:31" x14ac:dyDescent="0.25">
      <c r="A15" s="19">
        <v>8</v>
      </c>
      <c r="B15" s="19">
        <v>9</v>
      </c>
      <c r="C15" s="19">
        <v>8</v>
      </c>
      <c r="D15" s="19">
        <v>9</v>
      </c>
      <c r="E15" s="19" t="s">
        <v>376</v>
      </c>
      <c r="F15" s="19">
        <v>1</v>
      </c>
      <c r="G15" s="19" t="s">
        <v>376</v>
      </c>
      <c r="H15" s="19">
        <v>1</v>
      </c>
      <c r="I15" s="19" t="s">
        <v>376</v>
      </c>
      <c r="J15" s="19">
        <v>1</v>
      </c>
      <c r="K15" s="19" t="s">
        <v>376</v>
      </c>
      <c r="L15" s="19">
        <v>1</v>
      </c>
      <c r="M15" s="19" t="s">
        <v>376</v>
      </c>
      <c r="N15" s="19">
        <v>1</v>
      </c>
      <c r="O15" s="19" t="s">
        <v>376</v>
      </c>
      <c r="P15" s="19">
        <v>1</v>
      </c>
      <c r="Q15" s="19" t="s">
        <v>376</v>
      </c>
      <c r="R15" s="19">
        <v>1</v>
      </c>
      <c r="S15" s="19" t="s">
        <v>376</v>
      </c>
      <c r="T15" s="16">
        <v>1</v>
      </c>
      <c r="U15" s="16">
        <v>1</v>
      </c>
      <c r="V15" s="16">
        <v>8</v>
      </c>
      <c r="W15" s="16" t="s">
        <v>376</v>
      </c>
      <c r="X15" s="16" t="s">
        <v>376</v>
      </c>
      <c r="Y15" t="s">
        <v>376</v>
      </c>
      <c r="Z15" t="s">
        <v>376</v>
      </c>
      <c r="AA15" t="s">
        <v>376</v>
      </c>
      <c r="AB15" t="s">
        <v>376</v>
      </c>
      <c r="AC15" t="s">
        <v>376</v>
      </c>
      <c r="AD15" t="s">
        <v>376</v>
      </c>
      <c r="AE15">
        <v>2</v>
      </c>
    </row>
    <row r="16" spans="1:31" x14ac:dyDescent="0.25">
      <c r="A16" s="19">
        <v>19</v>
      </c>
      <c r="B16" s="19">
        <v>32</v>
      </c>
      <c r="C16" s="19">
        <v>23</v>
      </c>
      <c r="D16" s="19">
        <v>31</v>
      </c>
      <c r="E16" s="19" t="s">
        <v>376</v>
      </c>
      <c r="F16" s="19">
        <v>1</v>
      </c>
      <c r="G16" s="19" t="s">
        <v>376</v>
      </c>
      <c r="H16" s="19">
        <v>1</v>
      </c>
      <c r="I16" s="19" t="s">
        <v>376</v>
      </c>
      <c r="J16" s="19">
        <v>1</v>
      </c>
      <c r="K16" s="19" t="s">
        <v>376</v>
      </c>
      <c r="L16" s="19">
        <v>1</v>
      </c>
      <c r="M16" s="19" t="s">
        <v>376</v>
      </c>
      <c r="N16" s="19">
        <v>1</v>
      </c>
      <c r="O16" s="19" t="s">
        <v>376</v>
      </c>
      <c r="P16" s="19">
        <v>1</v>
      </c>
      <c r="Q16" s="19" t="s">
        <v>376</v>
      </c>
      <c r="R16" s="19">
        <v>1</v>
      </c>
      <c r="S16" s="19" t="s">
        <v>376</v>
      </c>
      <c r="T16" s="16">
        <v>1</v>
      </c>
      <c r="U16" s="16">
        <v>2</v>
      </c>
      <c r="V16" s="16">
        <v>8</v>
      </c>
      <c r="W16" s="16" t="s">
        <v>376</v>
      </c>
      <c r="X16" s="16" t="s">
        <v>376</v>
      </c>
      <c r="Y16" t="s">
        <v>376</v>
      </c>
      <c r="Z16" t="s">
        <v>376</v>
      </c>
      <c r="AA16" t="s">
        <v>376</v>
      </c>
      <c r="AB16" t="s">
        <v>376</v>
      </c>
      <c r="AC16" t="s">
        <v>376</v>
      </c>
      <c r="AD16" t="s">
        <v>376</v>
      </c>
      <c r="AE16">
        <v>2</v>
      </c>
    </row>
    <row r="17" spans="1:31" x14ac:dyDescent="0.25">
      <c r="A17" s="19">
        <v>22</v>
      </c>
      <c r="B17" s="19">
        <v>35</v>
      </c>
      <c r="C17" s="19">
        <v>30</v>
      </c>
      <c r="D17" s="19">
        <v>35</v>
      </c>
      <c r="E17" s="19" t="s">
        <v>376</v>
      </c>
      <c r="F17" s="19">
        <v>1</v>
      </c>
      <c r="G17" s="19" t="s">
        <v>376</v>
      </c>
      <c r="H17" s="19">
        <v>1</v>
      </c>
      <c r="I17" s="19" t="s">
        <v>376</v>
      </c>
      <c r="J17" s="19">
        <v>1</v>
      </c>
      <c r="K17" s="19" t="s">
        <v>376</v>
      </c>
      <c r="L17" s="19">
        <v>1</v>
      </c>
      <c r="M17" s="19" t="s">
        <v>376</v>
      </c>
      <c r="N17" s="19">
        <v>1</v>
      </c>
      <c r="O17" s="19" t="s">
        <v>376</v>
      </c>
      <c r="P17" s="19">
        <v>1</v>
      </c>
      <c r="Q17" s="19" t="s">
        <v>376</v>
      </c>
      <c r="R17" s="19">
        <v>1</v>
      </c>
      <c r="S17" s="19" t="s">
        <v>376</v>
      </c>
      <c r="T17" s="16">
        <v>1</v>
      </c>
      <c r="U17" s="16">
        <v>2</v>
      </c>
      <c r="V17" s="16">
        <v>5</v>
      </c>
      <c r="W17" s="16" t="s">
        <v>376</v>
      </c>
      <c r="X17" s="16" t="s">
        <v>376</v>
      </c>
      <c r="Y17" t="s">
        <v>376</v>
      </c>
      <c r="Z17" t="s">
        <v>376</v>
      </c>
      <c r="AA17" t="s">
        <v>376</v>
      </c>
      <c r="AB17" t="s">
        <v>376</v>
      </c>
      <c r="AC17" t="s">
        <v>376</v>
      </c>
      <c r="AD17" t="s">
        <v>376</v>
      </c>
      <c r="AE17">
        <v>2</v>
      </c>
    </row>
    <row r="18" spans="1:31" x14ac:dyDescent="0.25">
      <c r="A18" s="19">
        <v>18</v>
      </c>
      <c r="B18" s="19">
        <v>18</v>
      </c>
      <c r="C18" s="19">
        <v>15</v>
      </c>
      <c r="D18" s="19">
        <v>18</v>
      </c>
      <c r="E18" s="19" t="s">
        <v>376</v>
      </c>
      <c r="F18" s="19">
        <v>1</v>
      </c>
      <c r="G18" s="19" t="s">
        <v>376</v>
      </c>
      <c r="H18" s="19">
        <v>1</v>
      </c>
      <c r="I18" s="19" t="s">
        <v>376</v>
      </c>
      <c r="J18" s="19">
        <v>1</v>
      </c>
      <c r="K18" s="19" t="s">
        <v>376</v>
      </c>
      <c r="L18" s="19">
        <v>1</v>
      </c>
      <c r="M18" s="19" t="s">
        <v>376</v>
      </c>
      <c r="N18" s="19">
        <v>1</v>
      </c>
      <c r="O18" s="19" t="s">
        <v>376</v>
      </c>
      <c r="P18" s="19">
        <v>1</v>
      </c>
      <c r="Q18" s="19" t="s">
        <v>376</v>
      </c>
      <c r="R18" s="19">
        <v>1</v>
      </c>
      <c r="S18" s="19" t="s">
        <v>376</v>
      </c>
      <c r="T18" s="16">
        <v>1</v>
      </c>
      <c r="U18" s="16">
        <v>3</v>
      </c>
      <c r="V18" s="16">
        <v>9</v>
      </c>
      <c r="W18" s="16" t="s">
        <v>376</v>
      </c>
      <c r="X18" s="16" t="s">
        <v>376</v>
      </c>
      <c r="Y18" t="s">
        <v>376</v>
      </c>
      <c r="Z18" t="s">
        <v>376</v>
      </c>
      <c r="AA18" t="s">
        <v>376</v>
      </c>
      <c r="AB18" t="s">
        <v>376</v>
      </c>
      <c r="AC18" t="s">
        <v>376</v>
      </c>
      <c r="AD18" t="s">
        <v>376</v>
      </c>
      <c r="AE18">
        <v>2</v>
      </c>
    </row>
    <row r="19" spans="1:31" x14ac:dyDescent="0.25">
      <c r="A19" s="19">
        <v>107</v>
      </c>
      <c r="B19" s="19">
        <v>135</v>
      </c>
      <c r="C19" s="19">
        <v>95</v>
      </c>
      <c r="D19" s="19">
        <v>270</v>
      </c>
      <c r="E19" s="19" t="s">
        <v>376</v>
      </c>
      <c r="F19" s="19">
        <v>1</v>
      </c>
      <c r="G19" s="19" t="s">
        <v>376</v>
      </c>
      <c r="H19" s="19">
        <v>1</v>
      </c>
      <c r="I19" s="19" t="s">
        <v>376</v>
      </c>
      <c r="J19" s="19">
        <v>1</v>
      </c>
      <c r="K19" s="19" t="s">
        <v>376</v>
      </c>
      <c r="L19" s="19">
        <v>1</v>
      </c>
      <c r="M19" s="19" t="s">
        <v>376</v>
      </c>
      <c r="N19" s="19">
        <v>1</v>
      </c>
      <c r="O19" s="19" t="s">
        <v>376</v>
      </c>
      <c r="P19" s="19">
        <v>1</v>
      </c>
      <c r="Q19" s="19" t="s">
        <v>376</v>
      </c>
      <c r="R19" s="19">
        <v>1</v>
      </c>
      <c r="S19" s="19" t="s">
        <v>376</v>
      </c>
      <c r="T19" s="16">
        <v>1</v>
      </c>
      <c r="U19" s="16">
        <v>1</v>
      </c>
      <c r="V19" s="16">
        <v>10</v>
      </c>
      <c r="W19" s="16" t="s">
        <v>376</v>
      </c>
      <c r="X19" s="16" t="s">
        <v>376</v>
      </c>
      <c r="Y19" t="s">
        <v>376</v>
      </c>
      <c r="Z19" t="s">
        <v>376</v>
      </c>
      <c r="AA19" t="s">
        <v>376</v>
      </c>
      <c r="AB19" t="s">
        <v>376</v>
      </c>
      <c r="AC19" t="s">
        <v>376</v>
      </c>
      <c r="AD19" t="s">
        <v>376</v>
      </c>
      <c r="AE19">
        <v>2</v>
      </c>
    </row>
    <row r="20" spans="1:31" x14ac:dyDescent="0.25">
      <c r="A20" s="19">
        <v>7</v>
      </c>
      <c r="B20" s="19">
        <v>12</v>
      </c>
      <c r="C20" s="19">
        <v>2</v>
      </c>
      <c r="D20" s="19">
        <v>15</v>
      </c>
      <c r="E20" s="19" t="s">
        <v>376</v>
      </c>
      <c r="F20" s="19">
        <v>1</v>
      </c>
      <c r="G20" s="19" t="s">
        <v>376</v>
      </c>
      <c r="H20" s="19">
        <v>1</v>
      </c>
      <c r="I20" s="19" t="s">
        <v>376</v>
      </c>
      <c r="J20" s="19">
        <v>1</v>
      </c>
      <c r="K20" s="19" t="s">
        <v>376</v>
      </c>
      <c r="L20" s="19">
        <v>1</v>
      </c>
      <c r="M20" s="19" t="s">
        <v>376</v>
      </c>
      <c r="N20" s="19">
        <v>1</v>
      </c>
      <c r="O20" s="19" t="s">
        <v>376</v>
      </c>
      <c r="P20" s="19">
        <v>1</v>
      </c>
      <c r="Q20" s="19" t="s">
        <v>376</v>
      </c>
      <c r="R20" s="19">
        <v>1</v>
      </c>
      <c r="S20" s="19" t="s">
        <v>376</v>
      </c>
      <c r="T20" s="16">
        <v>1</v>
      </c>
      <c r="U20" s="16">
        <v>1</v>
      </c>
      <c r="V20" s="16">
        <v>10</v>
      </c>
      <c r="W20" s="16" t="s">
        <v>376</v>
      </c>
      <c r="X20" s="16" t="s">
        <v>376</v>
      </c>
      <c r="Y20" t="s">
        <v>376</v>
      </c>
      <c r="Z20" t="s">
        <v>376</v>
      </c>
      <c r="AA20" t="s">
        <v>376</v>
      </c>
      <c r="AB20" t="s">
        <v>376</v>
      </c>
      <c r="AC20" t="s">
        <v>376</v>
      </c>
      <c r="AD20" t="s">
        <v>376</v>
      </c>
      <c r="AE20">
        <v>2</v>
      </c>
    </row>
    <row r="21" spans="1:31" x14ac:dyDescent="0.25">
      <c r="A21" s="19">
        <v>56</v>
      </c>
      <c r="B21" s="19">
        <v>81</v>
      </c>
      <c r="C21" s="19">
        <v>69</v>
      </c>
      <c r="D21" s="19">
        <v>94</v>
      </c>
      <c r="E21" s="19" t="s">
        <v>376</v>
      </c>
      <c r="F21" s="19">
        <v>1</v>
      </c>
      <c r="G21" s="19" t="s">
        <v>376</v>
      </c>
      <c r="H21" s="19">
        <v>1</v>
      </c>
      <c r="I21" s="19" t="s">
        <v>376</v>
      </c>
      <c r="J21" s="19">
        <v>1</v>
      </c>
      <c r="K21" s="19" t="s">
        <v>376</v>
      </c>
      <c r="L21" s="19">
        <v>1</v>
      </c>
      <c r="M21" s="19" t="s">
        <v>376</v>
      </c>
      <c r="N21" s="19">
        <v>1</v>
      </c>
      <c r="O21" s="19" t="s">
        <v>376</v>
      </c>
      <c r="P21" s="19">
        <v>1</v>
      </c>
      <c r="Q21" s="19" t="s">
        <v>376</v>
      </c>
      <c r="R21" s="19">
        <v>1</v>
      </c>
      <c r="S21" s="19" t="s">
        <v>376</v>
      </c>
      <c r="T21" s="16">
        <v>1</v>
      </c>
      <c r="U21" s="16">
        <v>1</v>
      </c>
      <c r="V21" s="16">
        <v>2</v>
      </c>
      <c r="W21" s="16" t="s">
        <v>376</v>
      </c>
      <c r="X21" s="16" t="s">
        <v>376</v>
      </c>
      <c r="Y21" t="s">
        <v>376</v>
      </c>
      <c r="Z21" t="s">
        <v>376</v>
      </c>
      <c r="AA21" t="s">
        <v>376</v>
      </c>
      <c r="AB21" t="s">
        <v>376</v>
      </c>
      <c r="AC21" t="s">
        <v>376</v>
      </c>
      <c r="AD21" t="s">
        <v>376</v>
      </c>
      <c r="AE21">
        <v>2</v>
      </c>
    </row>
    <row r="22" spans="1:31" x14ac:dyDescent="0.25">
      <c r="A22" s="19">
        <v>32</v>
      </c>
      <c r="B22" s="19">
        <v>56</v>
      </c>
      <c r="C22" s="19">
        <v>27</v>
      </c>
      <c r="D22" s="19">
        <v>55</v>
      </c>
      <c r="E22" s="19" t="s">
        <v>376</v>
      </c>
      <c r="F22" s="19">
        <v>1</v>
      </c>
      <c r="G22" s="19" t="s">
        <v>376</v>
      </c>
      <c r="H22" s="19">
        <v>1</v>
      </c>
      <c r="I22" s="19" t="s">
        <v>376</v>
      </c>
      <c r="J22" s="19">
        <v>1</v>
      </c>
      <c r="K22" s="19" t="s">
        <v>376</v>
      </c>
      <c r="L22" s="19">
        <v>1</v>
      </c>
      <c r="M22" s="19" t="s">
        <v>376</v>
      </c>
      <c r="N22" s="19">
        <v>1</v>
      </c>
      <c r="O22" s="19" t="s">
        <v>376</v>
      </c>
      <c r="P22" s="19">
        <v>1</v>
      </c>
      <c r="Q22" s="19" t="s">
        <v>376</v>
      </c>
      <c r="R22" s="19">
        <v>1</v>
      </c>
      <c r="S22" s="19" t="s">
        <v>376</v>
      </c>
      <c r="T22" s="16">
        <v>1</v>
      </c>
      <c r="U22" s="16">
        <v>2</v>
      </c>
      <c r="V22" s="16">
        <v>7</v>
      </c>
      <c r="W22" s="16" t="s">
        <v>376</v>
      </c>
      <c r="X22" s="16" t="s">
        <v>376</v>
      </c>
      <c r="Y22" t="s">
        <v>376</v>
      </c>
      <c r="Z22" t="s">
        <v>376</v>
      </c>
      <c r="AA22" t="s">
        <v>376</v>
      </c>
      <c r="AB22" t="s">
        <v>376</v>
      </c>
      <c r="AC22" t="s">
        <v>376</v>
      </c>
      <c r="AD22" t="s">
        <v>376</v>
      </c>
      <c r="AE22">
        <v>2</v>
      </c>
    </row>
    <row r="23" spans="1:31" x14ac:dyDescent="0.25">
      <c r="A23" s="19">
        <v>6</v>
      </c>
      <c r="B23" s="19">
        <v>8</v>
      </c>
      <c r="C23" s="19">
        <v>5</v>
      </c>
      <c r="D23" s="19">
        <v>8</v>
      </c>
      <c r="E23" s="19" t="s">
        <v>376</v>
      </c>
      <c r="F23" s="19">
        <v>1</v>
      </c>
      <c r="G23" s="19" t="s">
        <v>376</v>
      </c>
      <c r="H23" s="19">
        <v>1</v>
      </c>
      <c r="I23" s="19" t="s">
        <v>376</v>
      </c>
      <c r="J23" s="19">
        <v>1</v>
      </c>
      <c r="K23" s="19" t="s">
        <v>376</v>
      </c>
      <c r="L23" s="19">
        <v>1</v>
      </c>
      <c r="M23" s="19" t="s">
        <v>376</v>
      </c>
      <c r="N23" s="19">
        <v>1</v>
      </c>
      <c r="O23" s="19" t="s">
        <v>376</v>
      </c>
      <c r="P23" s="19">
        <v>1</v>
      </c>
      <c r="Q23" s="19" t="s">
        <v>376</v>
      </c>
      <c r="R23" s="19">
        <v>1</v>
      </c>
      <c r="S23" s="19" t="s">
        <v>376</v>
      </c>
      <c r="T23" s="16">
        <v>1</v>
      </c>
      <c r="U23" s="16">
        <v>1</v>
      </c>
      <c r="V23" s="16">
        <v>2</v>
      </c>
      <c r="W23" s="16" t="s">
        <v>376</v>
      </c>
      <c r="X23" s="16" t="s">
        <v>376</v>
      </c>
      <c r="Y23" t="s">
        <v>376</v>
      </c>
      <c r="Z23" t="s">
        <v>376</v>
      </c>
      <c r="AA23" t="s">
        <v>376</v>
      </c>
      <c r="AB23" t="s">
        <v>376</v>
      </c>
      <c r="AC23" t="s">
        <v>376</v>
      </c>
      <c r="AD23" t="s">
        <v>376</v>
      </c>
      <c r="AE23">
        <v>2</v>
      </c>
    </row>
    <row r="24" spans="1:31" x14ac:dyDescent="0.25">
      <c r="A24" s="19">
        <v>31</v>
      </c>
      <c r="B24" s="19">
        <v>40</v>
      </c>
      <c r="C24" s="19">
        <v>29</v>
      </c>
      <c r="D24" s="19">
        <v>40</v>
      </c>
      <c r="E24" s="19" t="s">
        <v>376</v>
      </c>
      <c r="F24" s="19">
        <v>1</v>
      </c>
      <c r="G24" s="19" t="s">
        <v>376</v>
      </c>
      <c r="H24" s="19">
        <v>1</v>
      </c>
      <c r="I24" s="19" t="s">
        <v>376</v>
      </c>
      <c r="J24" s="19">
        <v>1</v>
      </c>
      <c r="K24" s="19" t="s">
        <v>376</v>
      </c>
      <c r="L24" s="19">
        <v>1</v>
      </c>
      <c r="M24" s="19" t="s">
        <v>376</v>
      </c>
      <c r="N24" s="19">
        <v>1</v>
      </c>
      <c r="O24" s="19" t="s">
        <v>376</v>
      </c>
      <c r="P24" s="19">
        <v>1</v>
      </c>
      <c r="Q24" s="19" t="s">
        <v>376</v>
      </c>
      <c r="R24" s="19">
        <v>1</v>
      </c>
      <c r="S24" s="19" t="s">
        <v>376</v>
      </c>
      <c r="T24" s="16">
        <v>1</v>
      </c>
      <c r="U24" s="16">
        <v>3</v>
      </c>
      <c r="V24" s="16">
        <v>4</v>
      </c>
      <c r="W24" s="16" t="s">
        <v>376</v>
      </c>
      <c r="X24" s="16" t="s">
        <v>376</v>
      </c>
      <c r="Y24" t="s">
        <v>376</v>
      </c>
      <c r="Z24" t="s">
        <v>376</v>
      </c>
      <c r="AA24" t="s">
        <v>376</v>
      </c>
      <c r="AB24" t="s">
        <v>376</v>
      </c>
      <c r="AC24" t="s">
        <v>376</v>
      </c>
      <c r="AD24" t="s">
        <v>376</v>
      </c>
      <c r="AE24">
        <v>2</v>
      </c>
    </row>
    <row r="25" spans="1:31" x14ac:dyDescent="0.25">
      <c r="A25" s="19">
        <v>15</v>
      </c>
      <c r="B25" s="19">
        <v>20</v>
      </c>
      <c r="C25" s="19">
        <v>16</v>
      </c>
      <c r="D25" s="19">
        <v>20</v>
      </c>
      <c r="E25" s="19" t="s">
        <v>376</v>
      </c>
      <c r="F25" s="19">
        <v>1</v>
      </c>
      <c r="G25" s="19" t="s">
        <v>376</v>
      </c>
      <c r="H25" s="19">
        <v>1</v>
      </c>
      <c r="I25" s="19" t="s">
        <v>376</v>
      </c>
      <c r="J25" s="19">
        <v>1</v>
      </c>
      <c r="K25" s="19" t="s">
        <v>376</v>
      </c>
      <c r="L25" s="19">
        <v>1</v>
      </c>
      <c r="M25" s="19" t="s">
        <v>376</v>
      </c>
      <c r="N25" s="19">
        <v>1</v>
      </c>
      <c r="O25" s="19" t="s">
        <v>376</v>
      </c>
      <c r="P25" s="19">
        <v>1</v>
      </c>
      <c r="Q25" s="19" t="s">
        <v>376</v>
      </c>
      <c r="R25" s="19">
        <v>1</v>
      </c>
      <c r="S25" s="19" t="s">
        <v>376</v>
      </c>
      <c r="T25" s="16">
        <v>1</v>
      </c>
      <c r="U25" s="16">
        <v>1</v>
      </c>
      <c r="V25" s="16">
        <v>2</v>
      </c>
      <c r="W25" s="16" t="s">
        <v>376</v>
      </c>
      <c r="X25" s="16" t="s">
        <v>376</v>
      </c>
      <c r="Y25" t="s">
        <v>376</v>
      </c>
      <c r="Z25" t="s">
        <v>376</v>
      </c>
      <c r="AA25" t="s">
        <v>376</v>
      </c>
      <c r="AB25" t="s">
        <v>376</v>
      </c>
      <c r="AC25" t="s">
        <v>376</v>
      </c>
      <c r="AD25" t="s">
        <v>376</v>
      </c>
      <c r="AE25">
        <v>2</v>
      </c>
    </row>
    <row r="26" spans="1:31" x14ac:dyDescent="0.25">
      <c r="A26" s="19">
        <v>14</v>
      </c>
      <c r="B26" s="19">
        <v>15</v>
      </c>
      <c r="C26" s="19">
        <v>14</v>
      </c>
      <c r="D26" s="19">
        <v>18</v>
      </c>
      <c r="E26" s="19" t="s">
        <v>376</v>
      </c>
      <c r="F26" s="19">
        <v>1</v>
      </c>
      <c r="G26" s="19" t="s">
        <v>376</v>
      </c>
      <c r="H26" s="19">
        <v>1</v>
      </c>
      <c r="I26" s="19" t="s">
        <v>376</v>
      </c>
      <c r="J26" s="19">
        <v>1</v>
      </c>
      <c r="K26" s="19" t="s">
        <v>376</v>
      </c>
      <c r="L26" s="19">
        <v>1</v>
      </c>
      <c r="M26" s="19" t="s">
        <v>376</v>
      </c>
      <c r="N26" s="19">
        <v>1</v>
      </c>
      <c r="O26" s="19" t="s">
        <v>376</v>
      </c>
      <c r="P26" s="19">
        <v>1</v>
      </c>
      <c r="Q26" s="19" t="s">
        <v>376</v>
      </c>
      <c r="R26" s="19">
        <v>1</v>
      </c>
      <c r="S26" s="19" t="s">
        <v>376</v>
      </c>
      <c r="T26" s="16">
        <v>1</v>
      </c>
      <c r="U26" s="16">
        <v>1</v>
      </c>
      <c r="V26" s="16">
        <v>2</v>
      </c>
      <c r="W26" s="16" t="s">
        <v>376</v>
      </c>
      <c r="X26" s="16" t="s">
        <v>376</v>
      </c>
      <c r="Y26" t="s">
        <v>376</v>
      </c>
      <c r="Z26" t="s">
        <v>376</v>
      </c>
      <c r="AA26" t="s">
        <v>376</v>
      </c>
      <c r="AB26" t="s">
        <v>376</v>
      </c>
      <c r="AC26" t="s">
        <v>376</v>
      </c>
      <c r="AD26" t="s">
        <v>376</v>
      </c>
      <c r="AE26">
        <v>2</v>
      </c>
    </row>
    <row r="27" spans="1:31" x14ac:dyDescent="0.25">
      <c r="A27" s="19">
        <v>7</v>
      </c>
      <c r="B27" s="19">
        <v>8</v>
      </c>
      <c r="C27" s="19">
        <v>7</v>
      </c>
      <c r="D27" s="19">
        <v>9</v>
      </c>
      <c r="E27" s="19" t="s">
        <v>376</v>
      </c>
      <c r="F27" s="19">
        <v>1</v>
      </c>
      <c r="G27" s="19" t="s">
        <v>376</v>
      </c>
      <c r="H27" s="19">
        <v>1</v>
      </c>
      <c r="I27" s="19" t="s">
        <v>376</v>
      </c>
      <c r="J27" s="19">
        <v>1</v>
      </c>
      <c r="K27" s="19" t="s">
        <v>376</v>
      </c>
      <c r="L27" s="19">
        <v>1</v>
      </c>
      <c r="M27" s="19" t="s">
        <v>376</v>
      </c>
      <c r="N27" s="19">
        <v>1</v>
      </c>
      <c r="O27" s="19" t="s">
        <v>376</v>
      </c>
      <c r="P27" s="19">
        <v>1</v>
      </c>
      <c r="Q27" s="19" t="s">
        <v>376</v>
      </c>
      <c r="R27" s="19">
        <v>1</v>
      </c>
      <c r="S27" s="19" t="s">
        <v>376</v>
      </c>
      <c r="T27" s="16">
        <v>1</v>
      </c>
      <c r="U27" s="16">
        <v>1</v>
      </c>
      <c r="V27" s="16">
        <v>2</v>
      </c>
      <c r="W27" s="16" t="s">
        <v>376</v>
      </c>
      <c r="X27" s="16" t="s">
        <v>376</v>
      </c>
      <c r="Y27" t="s">
        <v>376</v>
      </c>
      <c r="Z27" t="s">
        <v>376</v>
      </c>
      <c r="AA27" t="s">
        <v>376</v>
      </c>
      <c r="AB27" t="s">
        <v>376</v>
      </c>
      <c r="AC27" t="s">
        <v>376</v>
      </c>
      <c r="AD27" t="s">
        <v>376</v>
      </c>
      <c r="AE27">
        <v>2</v>
      </c>
    </row>
    <row r="28" spans="1:31" x14ac:dyDescent="0.25">
      <c r="A28" s="19">
        <v>23</v>
      </c>
      <c r="B28" s="19">
        <v>32</v>
      </c>
      <c r="C28" s="19">
        <v>30</v>
      </c>
      <c r="D28" s="19">
        <v>36</v>
      </c>
      <c r="E28" s="19" t="s">
        <v>376</v>
      </c>
      <c r="F28" s="19">
        <v>1</v>
      </c>
      <c r="G28" s="19" t="s">
        <v>376</v>
      </c>
      <c r="H28" s="19">
        <v>1</v>
      </c>
      <c r="I28" s="19" t="s">
        <v>376</v>
      </c>
      <c r="J28" s="19">
        <v>1</v>
      </c>
      <c r="K28" s="19" t="s">
        <v>376</v>
      </c>
      <c r="L28" s="19">
        <v>1</v>
      </c>
      <c r="M28" s="19" t="s">
        <v>376</v>
      </c>
      <c r="N28" s="19">
        <v>1</v>
      </c>
      <c r="O28" s="19" t="s">
        <v>376</v>
      </c>
      <c r="P28" s="19">
        <v>1</v>
      </c>
      <c r="Q28" s="19" t="s">
        <v>376</v>
      </c>
      <c r="R28" s="19">
        <v>1</v>
      </c>
      <c r="S28" s="19" t="s">
        <v>376</v>
      </c>
      <c r="T28" s="16">
        <v>1</v>
      </c>
      <c r="U28" s="16">
        <v>2</v>
      </c>
      <c r="V28" s="16">
        <v>3</v>
      </c>
      <c r="W28" s="16" t="s">
        <v>376</v>
      </c>
      <c r="X28" s="16" t="s">
        <v>376</v>
      </c>
      <c r="Y28" t="s">
        <v>376</v>
      </c>
      <c r="Z28" t="s">
        <v>376</v>
      </c>
      <c r="AA28" t="s">
        <v>376</v>
      </c>
      <c r="AB28" t="s">
        <v>376</v>
      </c>
      <c r="AC28" t="s">
        <v>376</v>
      </c>
      <c r="AD28" t="s">
        <v>376</v>
      </c>
      <c r="AE28">
        <v>2</v>
      </c>
    </row>
    <row r="29" spans="1:31" x14ac:dyDescent="0.25">
      <c r="A29" s="19">
        <v>8</v>
      </c>
      <c r="B29" s="19">
        <v>10</v>
      </c>
      <c r="C29" s="19">
        <v>7</v>
      </c>
      <c r="D29" s="19">
        <v>10</v>
      </c>
      <c r="E29" s="19" t="s">
        <v>376</v>
      </c>
      <c r="F29" s="19">
        <v>1</v>
      </c>
      <c r="G29" s="19" t="s">
        <v>376</v>
      </c>
      <c r="H29" s="19">
        <v>1</v>
      </c>
      <c r="I29" s="19" t="s">
        <v>376</v>
      </c>
      <c r="J29" s="19">
        <v>1</v>
      </c>
      <c r="K29" s="19" t="s">
        <v>376</v>
      </c>
      <c r="L29" s="19">
        <v>1</v>
      </c>
      <c r="M29" s="19" t="s">
        <v>376</v>
      </c>
      <c r="N29" s="19">
        <v>1</v>
      </c>
      <c r="O29" s="19" t="s">
        <v>376</v>
      </c>
      <c r="P29" s="19">
        <v>1</v>
      </c>
      <c r="Q29" s="19" t="s">
        <v>376</v>
      </c>
      <c r="R29" s="19">
        <v>1</v>
      </c>
      <c r="S29" s="19" t="s">
        <v>376</v>
      </c>
      <c r="T29" s="16">
        <v>1</v>
      </c>
      <c r="U29" s="16">
        <v>3</v>
      </c>
      <c r="V29" s="16">
        <v>9</v>
      </c>
      <c r="W29" s="16" t="s">
        <v>376</v>
      </c>
      <c r="X29" s="16" t="s">
        <v>376</v>
      </c>
      <c r="Y29" t="s">
        <v>376</v>
      </c>
      <c r="Z29" t="s">
        <v>376</v>
      </c>
      <c r="AA29" t="s">
        <v>376</v>
      </c>
      <c r="AB29" t="s">
        <v>376</v>
      </c>
      <c r="AC29" t="s">
        <v>376</v>
      </c>
      <c r="AD29" t="s">
        <v>376</v>
      </c>
      <c r="AE29">
        <v>2</v>
      </c>
    </row>
    <row r="30" spans="1:31" x14ac:dyDescent="0.25">
      <c r="A30" s="19">
        <v>11</v>
      </c>
      <c r="B30" s="19">
        <v>30</v>
      </c>
      <c r="C30" s="19">
        <v>21</v>
      </c>
      <c r="D30" s="19">
        <v>30</v>
      </c>
      <c r="E30" s="19" t="s">
        <v>376</v>
      </c>
      <c r="F30" s="19">
        <v>1</v>
      </c>
      <c r="G30" s="19" t="s">
        <v>376</v>
      </c>
      <c r="H30" s="19">
        <v>1</v>
      </c>
      <c r="I30" s="19" t="s">
        <v>376</v>
      </c>
      <c r="J30" s="19">
        <v>1</v>
      </c>
      <c r="K30" s="19" t="s">
        <v>376</v>
      </c>
      <c r="L30" s="19">
        <v>1</v>
      </c>
      <c r="M30" s="19" t="s">
        <v>376</v>
      </c>
      <c r="N30" s="19">
        <v>1</v>
      </c>
      <c r="O30" s="19" t="s">
        <v>376</v>
      </c>
      <c r="P30" s="19">
        <v>1</v>
      </c>
      <c r="Q30" s="19" t="s">
        <v>376</v>
      </c>
      <c r="R30" s="19">
        <v>1</v>
      </c>
      <c r="S30" s="19" t="s">
        <v>376</v>
      </c>
      <c r="T30" s="16">
        <v>1</v>
      </c>
      <c r="U30" s="16">
        <v>3</v>
      </c>
      <c r="V30" s="16">
        <v>6</v>
      </c>
      <c r="W30" s="16" t="s">
        <v>376</v>
      </c>
      <c r="X30" s="16" t="s">
        <v>376</v>
      </c>
      <c r="Y30" t="s">
        <v>376</v>
      </c>
      <c r="Z30" t="s">
        <v>376</v>
      </c>
      <c r="AA30" t="s">
        <v>376</v>
      </c>
      <c r="AB30" t="s">
        <v>376</v>
      </c>
      <c r="AC30" t="s">
        <v>376</v>
      </c>
      <c r="AD30" t="s">
        <v>376</v>
      </c>
      <c r="AE30">
        <v>2</v>
      </c>
    </row>
    <row r="31" spans="1:31" x14ac:dyDescent="0.25">
      <c r="A31" s="19">
        <v>25</v>
      </c>
      <c r="B31" s="19">
        <v>31</v>
      </c>
      <c r="C31" s="19">
        <v>18</v>
      </c>
      <c r="D31" s="19">
        <v>31</v>
      </c>
      <c r="E31" s="19" t="s">
        <v>376</v>
      </c>
      <c r="F31" s="19">
        <v>1</v>
      </c>
      <c r="G31" s="19" t="s">
        <v>376</v>
      </c>
      <c r="H31" s="19">
        <v>1</v>
      </c>
      <c r="I31" s="19" t="s">
        <v>376</v>
      </c>
      <c r="J31" s="19">
        <v>1</v>
      </c>
      <c r="K31" s="19" t="s">
        <v>376</v>
      </c>
      <c r="L31" s="19">
        <v>1</v>
      </c>
      <c r="M31" s="19" t="s">
        <v>376</v>
      </c>
      <c r="N31" s="19">
        <v>1</v>
      </c>
      <c r="O31" s="19" t="s">
        <v>376</v>
      </c>
      <c r="P31" s="19">
        <v>1</v>
      </c>
      <c r="Q31" s="19" t="s">
        <v>376</v>
      </c>
      <c r="R31" s="19">
        <v>1</v>
      </c>
      <c r="S31" s="19" t="s">
        <v>376</v>
      </c>
      <c r="T31" s="16">
        <v>1</v>
      </c>
      <c r="U31" s="16">
        <v>3</v>
      </c>
      <c r="V31" s="16">
        <v>10</v>
      </c>
      <c r="W31" s="16" t="s">
        <v>376</v>
      </c>
      <c r="X31" s="16" t="s">
        <v>376</v>
      </c>
      <c r="Y31" t="s">
        <v>376</v>
      </c>
      <c r="Z31" t="s">
        <v>376</v>
      </c>
      <c r="AA31" t="s">
        <v>376</v>
      </c>
      <c r="AB31" t="s">
        <v>376</v>
      </c>
      <c r="AC31" t="s">
        <v>376</v>
      </c>
      <c r="AD31" t="s">
        <v>376</v>
      </c>
      <c r="AE31">
        <v>2</v>
      </c>
    </row>
    <row r="32" spans="1:31" x14ac:dyDescent="0.25">
      <c r="A32" s="19">
        <v>45</v>
      </c>
      <c r="B32" s="19">
        <v>59</v>
      </c>
      <c r="C32" s="19">
        <v>45</v>
      </c>
      <c r="D32" s="19">
        <v>60</v>
      </c>
      <c r="E32" s="19" t="s">
        <v>376</v>
      </c>
      <c r="F32" s="19">
        <v>1</v>
      </c>
      <c r="G32" s="19" t="s">
        <v>376</v>
      </c>
      <c r="H32" s="19">
        <v>1</v>
      </c>
      <c r="I32" s="19" t="s">
        <v>376</v>
      </c>
      <c r="J32" s="19">
        <v>1</v>
      </c>
      <c r="K32" s="19" t="s">
        <v>376</v>
      </c>
      <c r="L32" s="19">
        <v>1</v>
      </c>
      <c r="M32" s="19" t="s">
        <v>376</v>
      </c>
      <c r="N32" s="19">
        <v>1</v>
      </c>
      <c r="O32" s="19" t="s">
        <v>376</v>
      </c>
      <c r="P32" s="19">
        <v>1</v>
      </c>
      <c r="Q32" s="19" t="s">
        <v>376</v>
      </c>
      <c r="R32" s="19">
        <v>1</v>
      </c>
      <c r="S32" s="19" t="s">
        <v>376</v>
      </c>
      <c r="T32" s="16">
        <v>1</v>
      </c>
      <c r="U32" s="16">
        <v>1</v>
      </c>
      <c r="V32" s="16">
        <v>2</v>
      </c>
      <c r="W32" s="16" t="s">
        <v>376</v>
      </c>
      <c r="X32" s="16" t="s">
        <v>376</v>
      </c>
      <c r="Y32" t="s">
        <v>376</v>
      </c>
      <c r="Z32" t="s">
        <v>376</v>
      </c>
      <c r="AA32" t="s">
        <v>376</v>
      </c>
      <c r="AB32" t="s">
        <v>376</v>
      </c>
      <c r="AC32" t="s">
        <v>376</v>
      </c>
      <c r="AD32" t="s">
        <v>376</v>
      </c>
      <c r="AE32">
        <v>2</v>
      </c>
    </row>
    <row r="33" spans="1:31" x14ac:dyDescent="0.25">
      <c r="A33" s="19">
        <v>25</v>
      </c>
      <c r="B33" s="19">
        <v>31</v>
      </c>
      <c r="C33" s="19">
        <v>27</v>
      </c>
      <c r="D33" s="19">
        <v>32</v>
      </c>
      <c r="E33" s="19" t="s">
        <v>376</v>
      </c>
      <c r="F33" s="19">
        <v>1</v>
      </c>
      <c r="G33" s="19" t="s">
        <v>376</v>
      </c>
      <c r="H33" s="19">
        <v>1</v>
      </c>
      <c r="I33" s="19" t="s">
        <v>376</v>
      </c>
      <c r="J33" s="19">
        <v>1</v>
      </c>
      <c r="K33" s="19" t="s">
        <v>376</v>
      </c>
      <c r="L33" s="19">
        <v>1</v>
      </c>
      <c r="M33" s="19" t="s">
        <v>376</v>
      </c>
      <c r="N33" s="19">
        <v>1</v>
      </c>
      <c r="O33" s="19" t="s">
        <v>376</v>
      </c>
      <c r="P33" s="19">
        <v>1</v>
      </c>
      <c r="Q33" s="19" t="s">
        <v>376</v>
      </c>
      <c r="R33" s="19">
        <v>1</v>
      </c>
      <c r="S33" s="19" t="s">
        <v>376</v>
      </c>
      <c r="T33" s="16">
        <v>1</v>
      </c>
      <c r="U33" s="16">
        <v>1</v>
      </c>
      <c r="V33" s="16">
        <v>2</v>
      </c>
      <c r="W33" s="16" t="s">
        <v>376</v>
      </c>
      <c r="X33" s="16" t="s">
        <v>376</v>
      </c>
      <c r="Y33" t="s">
        <v>376</v>
      </c>
      <c r="Z33" t="s">
        <v>376</v>
      </c>
      <c r="AA33" t="s">
        <v>376</v>
      </c>
      <c r="AB33" t="s">
        <v>376</v>
      </c>
      <c r="AC33" t="s">
        <v>376</v>
      </c>
      <c r="AD33" t="s">
        <v>376</v>
      </c>
      <c r="AE33">
        <v>2</v>
      </c>
    </row>
    <row r="34" spans="1:31" x14ac:dyDescent="0.25">
      <c r="A34" s="19">
        <v>8</v>
      </c>
      <c r="B34" s="19">
        <v>9</v>
      </c>
      <c r="C34" s="19">
        <v>7</v>
      </c>
      <c r="D34" s="19">
        <v>9</v>
      </c>
      <c r="E34" s="19" t="s">
        <v>376</v>
      </c>
      <c r="F34" s="19">
        <v>1</v>
      </c>
      <c r="G34" s="19" t="s">
        <v>376</v>
      </c>
      <c r="H34" s="19">
        <v>1</v>
      </c>
      <c r="I34" s="19" t="s">
        <v>376</v>
      </c>
      <c r="J34" s="19">
        <v>1</v>
      </c>
      <c r="K34" s="19" t="s">
        <v>376</v>
      </c>
      <c r="L34" s="19">
        <v>1</v>
      </c>
      <c r="M34" s="19" t="s">
        <v>376</v>
      </c>
      <c r="N34" s="19">
        <v>1</v>
      </c>
      <c r="O34" s="19" t="s">
        <v>376</v>
      </c>
      <c r="P34" s="19">
        <v>1</v>
      </c>
      <c r="Q34" s="19" t="s">
        <v>376</v>
      </c>
      <c r="R34" s="19">
        <v>1</v>
      </c>
      <c r="S34" s="19" t="s">
        <v>376</v>
      </c>
      <c r="T34" s="16">
        <v>1</v>
      </c>
      <c r="U34" s="16">
        <v>1</v>
      </c>
      <c r="V34" s="16">
        <v>3</v>
      </c>
      <c r="W34" s="16" t="s">
        <v>376</v>
      </c>
      <c r="X34" s="16" t="s">
        <v>376</v>
      </c>
      <c r="Y34" t="s">
        <v>376</v>
      </c>
      <c r="Z34" t="s">
        <v>376</v>
      </c>
      <c r="AA34" t="s">
        <v>376</v>
      </c>
      <c r="AB34" t="s">
        <v>376</v>
      </c>
      <c r="AC34" t="s">
        <v>376</v>
      </c>
      <c r="AD34" t="s">
        <v>376</v>
      </c>
      <c r="AE34">
        <v>2</v>
      </c>
    </row>
    <row r="35" spans="1:31" x14ac:dyDescent="0.25">
      <c r="A35" s="19">
        <v>49</v>
      </c>
      <c r="B35" s="19">
        <v>74</v>
      </c>
      <c r="C35" s="19">
        <v>52</v>
      </c>
      <c r="D35" s="19">
        <v>74</v>
      </c>
      <c r="E35" s="19" t="s">
        <v>376</v>
      </c>
      <c r="F35" s="19">
        <v>1</v>
      </c>
      <c r="G35" s="19" t="s">
        <v>376</v>
      </c>
      <c r="H35" s="19">
        <v>1</v>
      </c>
      <c r="I35" s="19" t="s">
        <v>376</v>
      </c>
      <c r="J35" s="19">
        <v>1</v>
      </c>
      <c r="K35" s="19" t="s">
        <v>376</v>
      </c>
      <c r="L35" s="19">
        <v>1</v>
      </c>
      <c r="M35" s="19" t="s">
        <v>376</v>
      </c>
      <c r="N35" s="19">
        <v>1</v>
      </c>
      <c r="O35" s="19" t="s">
        <v>376</v>
      </c>
      <c r="P35" s="19">
        <v>1</v>
      </c>
      <c r="Q35" s="19" t="s">
        <v>376</v>
      </c>
      <c r="R35" s="19">
        <v>1</v>
      </c>
      <c r="S35" s="19" t="s">
        <v>376</v>
      </c>
      <c r="T35" s="16">
        <v>1</v>
      </c>
      <c r="U35" s="16">
        <v>1</v>
      </c>
      <c r="V35" s="16">
        <v>2</v>
      </c>
      <c r="W35" s="16" t="s">
        <v>376</v>
      </c>
      <c r="X35" s="16" t="s">
        <v>376</v>
      </c>
      <c r="Y35" t="s">
        <v>376</v>
      </c>
      <c r="Z35" t="s">
        <v>376</v>
      </c>
      <c r="AA35" t="s">
        <v>376</v>
      </c>
      <c r="AB35" t="s">
        <v>376</v>
      </c>
      <c r="AC35" t="s">
        <v>376</v>
      </c>
      <c r="AD35" t="s">
        <v>376</v>
      </c>
      <c r="AE35">
        <v>2</v>
      </c>
    </row>
    <row r="36" spans="1:31" x14ac:dyDescent="0.25">
      <c r="A36" s="19">
        <v>29</v>
      </c>
      <c r="B36" s="19">
        <v>48</v>
      </c>
      <c r="C36" s="19">
        <v>23</v>
      </c>
      <c r="D36" s="19">
        <v>35</v>
      </c>
      <c r="E36" s="19" t="s">
        <v>376</v>
      </c>
      <c r="F36" s="19">
        <v>1</v>
      </c>
      <c r="G36" s="19" t="s">
        <v>376</v>
      </c>
      <c r="H36" s="19">
        <v>1</v>
      </c>
      <c r="I36" s="19" t="s">
        <v>376</v>
      </c>
      <c r="J36" s="19">
        <v>1</v>
      </c>
      <c r="K36" s="19" t="s">
        <v>376</v>
      </c>
      <c r="L36" s="19">
        <v>1</v>
      </c>
      <c r="M36" s="19" t="s">
        <v>376</v>
      </c>
      <c r="N36" s="19">
        <v>1</v>
      </c>
      <c r="O36" s="19" t="s">
        <v>376</v>
      </c>
      <c r="P36" s="19">
        <v>1</v>
      </c>
      <c r="Q36" s="19" t="s">
        <v>376</v>
      </c>
      <c r="R36" s="19">
        <v>1</v>
      </c>
      <c r="S36" s="19" t="s">
        <v>376</v>
      </c>
      <c r="T36" s="16">
        <v>1</v>
      </c>
      <c r="U36" s="16">
        <v>3</v>
      </c>
      <c r="V36" s="16">
        <v>9</v>
      </c>
      <c r="W36" s="16" t="s">
        <v>376</v>
      </c>
      <c r="X36" s="16" t="s">
        <v>376</v>
      </c>
      <c r="Y36" t="s">
        <v>376</v>
      </c>
      <c r="Z36" t="s">
        <v>376</v>
      </c>
      <c r="AA36" t="s">
        <v>376</v>
      </c>
      <c r="AB36" t="s">
        <v>376</v>
      </c>
      <c r="AC36" t="s">
        <v>376</v>
      </c>
      <c r="AD36" t="s">
        <v>376</v>
      </c>
      <c r="AE36">
        <v>2</v>
      </c>
    </row>
    <row r="37" spans="1:31" x14ac:dyDescent="0.25">
      <c r="A37" s="19">
        <v>20</v>
      </c>
      <c r="B37" s="19">
        <v>30</v>
      </c>
      <c r="C37" s="19">
        <v>24</v>
      </c>
      <c r="D37" s="19">
        <v>30</v>
      </c>
      <c r="E37" s="19" t="s">
        <v>376</v>
      </c>
      <c r="F37" s="19">
        <v>1</v>
      </c>
      <c r="G37" s="19" t="s">
        <v>376</v>
      </c>
      <c r="H37" s="19">
        <v>1</v>
      </c>
      <c r="I37" s="19" t="s">
        <v>376</v>
      </c>
      <c r="J37" s="19">
        <v>1</v>
      </c>
      <c r="K37" s="19" t="s">
        <v>376</v>
      </c>
      <c r="L37" s="19">
        <v>1</v>
      </c>
      <c r="M37" s="19" t="s">
        <v>376</v>
      </c>
      <c r="N37" s="19">
        <v>1</v>
      </c>
      <c r="O37" s="19" t="s">
        <v>376</v>
      </c>
      <c r="P37" s="19">
        <v>1</v>
      </c>
      <c r="Q37" s="19" t="s">
        <v>376</v>
      </c>
      <c r="R37" s="19">
        <v>1</v>
      </c>
      <c r="S37" s="19" t="s">
        <v>376</v>
      </c>
      <c r="T37" s="16">
        <v>1</v>
      </c>
      <c r="U37" s="16">
        <v>3</v>
      </c>
      <c r="V37" s="16">
        <v>6</v>
      </c>
      <c r="W37" s="16" t="s">
        <v>376</v>
      </c>
      <c r="X37" s="16" t="s">
        <v>376</v>
      </c>
      <c r="Y37" t="s">
        <v>376</v>
      </c>
      <c r="Z37" t="s">
        <v>376</v>
      </c>
      <c r="AA37" t="s">
        <v>376</v>
      </c>
      <c r="AB37" t="s">
        <v>376</v>
      </c>
      <c r="AC37" t="s">
        <v>376</v>
      </c>
      <c r="AD37" t="s">
        <v>376</v>
      </c>
      <c r="AE37">
        <v>2</v>
      </c>
    </row>
    <row r="38" spans="1:31" x14ac:dyDescent="0.25">
      <c r="A38" s="19">
        <v>21</v>
      </c>
      <c r="B38" s="19">
        <v>24</v>
      </c>
      <c r="C38" s="19">
        <v>16</v>
      </c>
      <c r="D38" s="19">
        <v>22</v>
      </c>
      <c r="E38" s="19" t="s">
        <v>376</v>
      </c>
      <c r="F38" s="19">
        <v>1</v>
      </c>
      <c r="G38" s="19" t="s">
        <v>376</v>
      </c>
      <c r="H38" s="19">
        <v>1</v>
      </c>
      <c r="I38" s="19" t="s">
        <v>376</v>
      </c>
      <c r="J38" s="19">
        <v>1</v>
      </c>
      <c r="K38" s="19" t="s">
        <v>376</v>
      </c>
      <c r="L38" s="19">
        <v>1</v>
      </c>
      <c r="M38" s="19" t="s">
        <v>376</v>
      </c>
      <c r="N38" s="19">
        <v>1</v>
      </c>
      <c r="O38" s="19" t="s">
        <v>376</v>
      </c>
      <c r="P38" s="19">
        <v>1</v>
      </c>
      <c r="Q38" s="19" t="s">
        <v>376</v>
      </c>
      <c r="R38" s="19">
        <v>1</v>
      </c>
      <c r="S38" s="19" t="s">
        <v>376</v>
      </c>
      <c r="T38" s="16">
        <v>1</v>
      </c>
      <c r="U38" s="16">
        <v>1</v>
      </c>
      <c r="V38" s="16">
        <v>2</v>
      </c>
      <c r="W38" s="16" t="s">
        <v>376</v>
      </c>
      <c r="X38" s="16" t="s">
        <v>376</v>
      </c>
      <c r="Y38" t="s">
        <v>376</v>
      </c>
      <c r="Z38" t="s">
        <v>376</v>
      </c>
      <c r="AA38" t="s">
        <v>376</v>
      </c>
      <c r="AB38" t="s">
        <v>376</v>
      </c>
      <c r="AC38" t="s">
        <v>376</v>
      </c>
      <c r="AD38" t="s">
        <v>376</v>
      </c>
      <c r="AE38">
        <v>2</v>
      </c>
    </row>
    <row r="39" spans="1:31" x14ac:dyDescent="0.25">
      <c r="A39" s="19">
        <v>27</v>
      </c>
      <c r="B39" s="19">
        <v>32</v>
      </c>
      <c r="C39" s="19">
        <v>13</v>
      </c>
      <c r="D39" s="19">
        <v>32</v>
      </c>
      <c r="E39" s="19" t="s">
        <v>376</v>
      </c>
      <c r="F39" s="19">
        <v>1</v>
      </c>
      <c r="G39" s="19" t="s">
        <v>376</v>
      </c>
      <c r="H39" s="19">
        <v>1</v>
      </c>
      <c r="I39" s="19" t="s">
        <v>376</v>
      </c>
      <c r="J39" s="19">
        <v>1</v>
      </c>
      <c r="K39" s="19" t="s">
        <v>376</v>
      </c>
      <c r="L39" s="19">
        <v>1</v>
      </c>
      <c r="M39" s="19" t="s">
        <v>376</v>
      </c>
      <c r="N39" s="19">
        <v>1</v>
      </c>
      <c r="O39" s="19" t="s">
        <v>376</v>
      </c>
      <c r="P39" s="19">
        <v>1</v>
      </c>
      <c r="Q39" s="19" t="s">
        <v>376</v>
      </c>
      <c r="R39" s="19">
        <v>1</v>
      </c>
      <c r="S39" s="19" t="s">
        <v>376</v>
      </c>
      <c r="T39" s="16">
        <v>1</v>
      </c>
      <c r="U39" s="16">
        <v>3</v>
      </c>
      <c r="V39" s="16">
        <v>10</v>
      </c>
      <c r="W39" s="16" t="s">
        <v>376</v>
      </c>
      <c r="X39" s="16" t="s">
        <v>376</v>
      </c>
      <c r="Y39" t="s">
        <v>376</v>
      </c>
      <c r="Z39" t="s">
        <v>376</v>
      </c>
      <c r="AA39" t="s">
        <v>376</v>
      </c>
      <c r="AB39" t="s">
        <v>376</v>
      </c>
      <c r="AC39" t="s">
        <v>376</v>
      </c>
      <c r="AD39" t="s">
        <v>376</v>
      </c>
      <c r="AE39">
        <v>2</v>
      </c>
    </row>
    <row r="40" spans="1:31" x14ac:dyDescent="0.25">
      <c r="A40" s="19">
        <v>8</v>
      </c>
      <c r="B40" s="19">
        <v>12</v>
      </c>
      <c r="C40" s="19">
        <v>1</v>
      </c>
      <c r="D40" s="19">
        <v>12</v>
      </c>
      <c r="E40" s="19" t="s">
        <v>376</v>
      </c>
      <c r="F40" s="19">
        <v>1</v>
      </c>
      <c r="G40" s="19" t="s">
        <v>376</v>
      </c>
      <c r="H40" s="19">
        <v>1</v>
      </c>
      <c r="I40" s="19" t="s">
        <v>376</v>
      </c>
      <c r="J40" s="19">
        <v>1</v>
      </c>
      <c r="K40" s="19" t="s">
        <v>376</v>
      </c>
      <c r="L40" s="19">
        <v>1</v>
      </c>
      <c r="M40" s="19" t="s">
        <v>376</v>
      </c>
      <c r="N40" s="19">
        <v>1</v>
      </c>
      <c r="O40" s="19" t="s">
        <v>376</v>
      </c>
      <c r="P40" s="19">
        <v>1</v>
      </c>
      <c r="Q40" s="19" t="s">
        <v>376</v>
      </c>
      <c r="R40" s="19">
        <v>1</v>
      </c>
      <c r="S40" s="19" t="s">
        <v>376</v>
      </c>
      <c r="T40" s="16">
        <v>1</v>
      </c>
      <c r="U40" s="16">
        <v>1</v>
      </c>
      <c r="V40" s="16">
        <v>10</v>
      </c>
      <c r="W40" s="16" t="s">
        <v>376</v>
      </c>
      <c r="X40" s="16" t="s">
        <v>376</v>
      </c>
      <c r="Y40" t="s">
        <v>376</v>
      </c>
      <c r="Z40" t="s">
        <v>376</v>
      </c>
      <c r="AA40" t="s">
        <v>376</v>
      </c>
      <c r="AB40" t="s">
        <v>376</v>
      </c>
      <c r="AC40" t="s">
        <v>376</v>
      </c>
      <c r="AD40" t="s">
        <v>376</v>
      </c>
      <c r="AE40">
        <v>2</v>
      </c>
    </row>
    <row r="41" spans="1:31" x14ac:dyDescent="0.25">
      <c r="A41" s="19">
        <v>21</v>
      </c>
      <c r="B41" s="19">
        <v>24</v>
      </c>
      <c r="C41" s="19">
        <v>19</v>
      </c>
      <c r="D41" s="19">
        <v>23</v>
      </c>
      <c r="E41" s="19" t="s">
        <v>376</v>
      </c>
      <c r="F41" s="19">
        <v>1</v>
      </c>
      <c r="G41" s="19" t="s">
        <v>376</v>
      </c>
      <c r="H41" s="19">
        <v>1</v>
      </c>
      <c r="I41" s="19" t="s">
        <v>376</v>
      </c>
      <c r="J41" s="19">
        <v>1</v>
      </c>
      <c r="K41" s="19" t="s">
        <v>376</v>
      </c>
      <c r="L41" s="19">
        <v>1</v>
      </c>
      <c r="M41" s="19" t="s">
        <v>376</v>
      </c>
      <c r="N41" s="19">
        <v>1</v>
      </c>
      <c r="O41" s="19" t="s">
        <v>376</v>
      </c>
      <c r="P41" s="19">
        <v>1</v>
      </c>
      <c r="Q41" s="19" t="s">
        <v>376</v>
      </c>
      <c r="R41" s="19">
        <v>1</v>
      </c>
      <c r="S41" s="19" t="s">
        <v>376</v>
      </c>
      <c r="T41" s="16">
        <v>1</v>
      </c>
      <c r="U41" s="16">
        <v>1</v>
      </c>
      <c r="V41" s="16">
        <v>2</v>
      </c>
      <c r="W41" s="16" t="s">
        <v>376</v>
      </c>
      <c r="X41" s="16" t="s">
        <v>376</v>
      </c>
      <c r="Y41" t="s">
        <v>376</v>
      </c>
      <c r="Z41" t="s">
        <v>376</v>
      </c>
      <c r="AA41" t="s">
        <v>376</v>
      </c>
      <c r="AB41" t="s">
        <v>376</v>
      </c>
      <c r="AC41" t="s">
        <v>376</v>
      </c>
      <c r="AD41" t="s">
        <v>376</v>
      </c>
      <c r="AE41">
        <v>2</v>
      </c>
    </row>
    <row r="42" spans="1:31" x14ac:dyDescent="0.25">
      <c r="A42" s="19">
        <v>15</v>
      </c>
      <c r="B42" s="19">
        <v>19</v>
      </c>
      <c r="C42" s="19">
        <v>11</v>
      </c>
      <c r="D42" s="19">
        <v>16</v>
      </c>
      <c r="E42" s="19" t="s">
        <v>376</v>
      </c>
      <c r="F42" s="19">
        <v>1</v>
      </c>
      <c r="G42" s="19" t="s">
        <v>376</v>
      </c>
      <c r="H42" s="19">
        <v>1</v>
      </c>
      <c r="I42" s="19" t="s">
        <v>376</v>
      </c>
      <c r="J42" s="19">
        <v>1</v>
      </c>
      <c r="K42" s="19" t="s">
        <v>376</v>
      </c>
      <c r="L42" s="19">
        <v>1</v>
      </c>
      <c r="M42" s="19" t="s">
        <v>376</v>
      </c>
      <c r="N42" s="19">
        <v>1</v>
      </c>
      <c r="O42" s="19" t="s">
        <v>376</v>
      </c>
      <c r="P42" s="19">
        <v>1</v>
      </c>
      <c r="Q42" s="19" t="s">
        <v>376</v>
      </c>
      <c r="R42" s="19">
        <v>1</v>
      </c>
      <c r="S42" s="19" t="s">
        <v>376</v>
      </c>
      <c r="T42" s="16">
        <v>1</v>
      </c>
      <c r="U42" s="16">
        <v>1</v>
      </c>
      <c r="V42" s="16">
        <v>2</v>
      </c>
      <c r="W42" s="16" t="s">
        <v>376</v>
      </c>
      <c r="X42" s="16" t="s">
        <v>376</v>
      </c>
      <c r="Y42" t="s">
        <v>376</v>
      </c>
      <c r="Z42" t="s">
        <v>376</v>
      </c>
      <c r="AA42" t="s">
        <v>376</v>
      </c>
      <c r="AB42" t="s">
        <v>376</v>
      </c>
      <c r="AC42" t="s">
        <v>376</v>
      </c>
      <c r="AD42" t="s">
        <v>376</v>
      </c>
      <c r="AE42">
        <v>2</v>
      </c>
    </row>
    <row r="43" spans="1:31" x14ac:dyDescent="0.25">
      <c r="A43" s="20">
        <v>10</v>
      </c>
      <c r="B43" s="20">
        <v>12</v>
      </c>
      <c r="C43" s="20">
        <v>8</v>
      </c>
      <c r="D43" s="20">
        <v>11</v>
      </c>
      <c r="E43" s="20" t="s">
        <v>376</v>
      </c>
      <c r="F43" s="20">
        <v>1</v>
      </c>
      <c r="G43" s="20" t="s">
        <v>376</v>
      </c>
      <c r="H43" s="20">
        <v>1</v>
      </c>
      <c r="I43" s="20" t="s">
        <v>376</v>
      </c>
      <c r="J43" s="20">
        <v>1</v>
      </c>
      <c r="K43" s="20" t="s">
        <v>376</v>
      </c>
      <c r="L43" s="20">
        <v>1</v>
      </c>
      <c r="M43" s="20" t="s">
        <v>376</v>
      </c>
      <c r="N43" s="20">
        <v>1</v>
      </c>
      <c r="O43" s="20" t="s">
        <v>376</v>
      </c>
      <c r="P43" s="20">
        <v>1</v>
      </c>
      <c r="Q43" s="20" t="s">
        <v>376</v>
      </c>
      <c r="R43" s="20">
        <v>1</v>
      </c>
      <c r="S43" s="20" t="s">
        <v>376</v>
      </c>
      <c r="T43">
        <v>1</v>
      </c>
      <c r="U43">
        <v>3</v>
      </c>
      <c r="V43">
        <v>9</v>
      </c>
      <c r="W43" t="s">
        <v>376</v>
      </c>
      <c r="X43" t="s">
        <v>376</v>
      </c>
      <c r="Y43" t="s">
        <v>376</v>
      </c>
      <c r="Z43" t="s">
        <v>376</v>
      </c>
      <c r="AA43" t="s">
        <v>376</v>
      </c>
      <c r="AB43" t="s">
        <v>376</v>
      </c>
      <c r="AC43" t="s">
        <v>376</v>
      </c>
      <c r="AD43" t="s">
        <v>376</v>
      </c>
      <c r="AE43">
        <v>2</v>
      </c>
    </row>
    <row r="44" spans="1:31" x14ac:dyDescent="0.25">
      <c r="A44" s="20">
        <v>16</v>
      </c>
      <c r="B44" s="20">
        <v>18</v>
      </c>
      <c r="C44" s="20">
        <v>14</v>
      </c>
      <c r="D44" s="20">
        <v>16</v>
      </c>
      <c r="E44" s="20" t="s">
        <v>376</v>
      </c>
      <c r="F44" s="20">
        <v>1</v>
      </c>
      <c r="G44" s="20" t="s">
        <v>376</v>
      </c>
      <c r="H44" s="20">
        <v>1</v>
      </c>
      <c r="I44" s="20" t="s">
        <v>376</v>
      </c>
      <c r="J44" s="20">
        <v>1</v>
      </c>
      <c r="K44" s="20" t="s">
        <v>376</v>
      </c>
      <c r="L44" s="20">
        <v>1</v>
      </c>
      <c r="M44" s="20" t="s">
        <v>376</v>
      </c>
      <c r="N44" s="20">
        <v>1</v>
      </c>
      <c r="O44" s="20" t="s">
        <v>376</v>
      </c>
      <c r="P44" s="20">
        <v>1</v>
      </c>
      <c r="Q44" s="20" t="s">
        <v>376</v>
      </c>
      <c r="R44" s="20">
        <v>1</v>
      </c>
      <c r="S44" s="20" t="s">
        <v>376</v>
      </c>
      <c r="T44">
        <v>1</v>
      </c>
      <c r="U44">
        <v>1</v>
      </c>
      <c r="V44">
        <v>3</v>
      </c>
      <c r="W44" t="s">
        <v>376</v>
      </c>
      <c r="X44" t="s">
        <v>376</v>
      </c>
      <c r="Y44" t="s">
        <v>376</v>
      </c>
      <c r="Z44" t="s">
        <v>376</v>
      </c>
      <c r="AA44" t="s">
        <v>376</v>
      </c>
      <c r="AB44" t="s">
        <v>376</v>
      </c>
      <c r="AC44" t="s">
        <v>376</v>
      </c>
      <c r="AD44" t="s">
        <v>376</v>
      </c>
      <c r="AE44">
        <v>2</v>
      </c>
    </row>
    <row r="45" spans="1:31" x14ac:dyDescent="0.25">
      <c r="A45" s="20">
        <v>55</v>
      </c>
      <c r="B45" s="20">
        <v>73</v>
      </c>
      <c r="C45" s="20">
        <v>46</v>
      </c>
      <c r="D45" s="20">
        <v>71</v>
      </c>
      <c r="E45" s="20" t="s">
        <v>376</v>
      </c>
      <c r="F45" s="20">
        <v>1</v>
      </c>
      <c r="G45" s="20" t="s">
        <v>376</v>
      </c>
      <c r="H45" s="20">
        <v>1</v>
      </c>
      <c r="I45" s="20" t="s">
        <v>376</v>
      </c>
      <c r="J45" s="20">
        <v>1</v>
      </c>
      <c r="K45" s="20" t="s">
        <v>376</v>
      </c>
      <c r="L45" s="20">
        <v>1</v>
      </c>
      <c r="M45" s="20" t="s">
        <v>376</v>
      </c>
      <c r="N45" s="20">
        <v>1</v>
      </c>
      <c r="O45" s="20" t="s">
        <v>376</v>
      </c>
      <c r="P45" s="20">
        <v>1</v>
      </c>
      <c r="Q45" s="20" t="s">
        <v>376</v>
      </c>
      <c r="R45" s="20">
        <v>1</v>
      </c>
      <c r="S45" s="20" t="s">
        <v>376</v>
      </c>
      <c r="T45">
        <v>1</v>
      </c>
      <c r="U45">
        <v>1</v>
      </c>
      <c r="V45">
        <v>2</v>
      </c>
      <c r="W45" t="s">
        <v>376</v>
      </c>
      <c r="X45" t="s">
        <v>376</v>
      </c>
      <c r="Y45" t="s">
        <v>376</v>
      </c>
      <c r="Z45" t="s">
        <v>376</v>
      </c>
      <c r="AA45" t="s">
        <v>376</v>
      </c>
      <c r="AB45" t="s">
        <v>376</v>
      </c>
      <c r="AC45" t="s">
        <v>376</v>
      </c>
      <c r="AD45" t="s">
        <v>376</v>
      </c>
      <c r="AE45">
        <v>2</v>
      </c>
    </row>
    <row r="46" spans="1:31" x14ac:dyDescent="0.25">
      <c r="A46" s="20">
        <v>55</v>
      </c>
      <c r="B46" s="20">
        <v>67</v>
      </c>
      <c r="C46" s="20">
        <v>45</v>
      </c>
      <c r="D46" s="20">
        <v>62</v>
      </c>
      <c r="E46" s="20" t="s">
        <v>376</v>
      </c>
      <c r="F46" s="20">
        <v>1</v>
      </c>
      <c r="G46" s="20" t="s">
        <v>376</v>
      </c>
      <c r="H46" s="20">
        <v>1</v>
      </c>
      <c r="I46" s="20" t="s">
        <v>376</v>
      </c>
      <c r="J46" s="20">
        <v>1</v>
      </c>
      <c r="K46" s="20" t="s">
        <v>376</v>
      </c>
      <c r="L46" s="20">
        <v>1</v>
      </c>
      <c r="M46" s="20" t="s">
        <v>376</v>
      </c>
      <c r="N46" s="20">
        <v>1</v>
      </c>
      <c r="O46" s="20" t="s">
        <v>376</v>
      </c>
      <c r="P46" s="20">
        <v>1</v>
      </c>
      <c r="Q46" s="20" t="s">
        <v>376</v>
      </c>
      <c r="R46" s="20">
        <v>1</v>
      </c>
      <c r="S46" s="20" t="s">
        <v>376</v>
      </c>
      <c r="T46">
        <v>1</v>
      </c>
      <c r="U46">
        <v>4</v>
      </c>
      <c r="V46">
        <v>6</v>
      </c>
      <c r="W46" t="s">
        <v>376</v>
      </c>
      <c r="X46" t="s">
        <v>376</v>
      </c>
      <c r="Y46" t="s">
        <v>376</v>
      </c>
      <c r="Z46" t="s">
        <v>376</v>
      </c>
      <c r="AA46" t="s">
        <v>376</v>
      </c>
      <c r="AB46" t="s">
        <v>376</v>
      </c>
      <c r="AC46" t="s">
        <v>376</v>
      </c>
      <c r="AD46" t="s">
        <v>376</v>
      </c>
      <c r="AE46">
        <v>2</v>
      </c>
    </row>
    <row r="47" spans="1:31" x14ac:dyDescent="0.25">
      <c r="A47" s="20">
        <v>33</v>
      </c>
      <c r="B47" s="20">
        <v>43</v>
      </c>
      <c r="C47" s="20">
        <v>31</v>
      </c>
      <c r="D47" s="20">
        <v>44</v>
      </c>
      <c r="E47" s="20" t="s">
        <v>376</v>
      </c>
      <c r="F47" s="20">
        <v>1</v>
      </c>
      <c r="G47" s="20" t="s">
        <v>376</v>
      </c>
      <c r="H47" s="20">
        <v>1</v>
      </c>
      <c r="I47" s="20" t="s">
        <v>376</v>
      </c>
      <c r="J47" s="20">
        <v>1</v>
      </c>
      <c r="K47" s="20" t="s">
        <v>376</v>
      </c>
      <c r="L47" s="20">
        <v>1</v>
      </c>
      <c r="M47" s="20" t="s">
        <v>376</v>
      </c>
      <c r="N47" s="20">
        <v>1</v>
      </c>
      <c r="O47" s="20" t="s">
        <v>376</v>
      </c>
      <c r="P47" s="20">
        <v>1</v>
      </c>
      <c r="Q47" s="20" t="s">
        <v>376</v>
      </c>
      <c r="R47" s="20">
        <v>1</v>
      </c>
      <c r="S47" s="20" t="s">
        <v>376</v>
      </c>
      <c r="T47">
        <v>1</v>
      </c>
      <c r="U47">
        <v>3</v>
      </c>
      <c r="V47">
        <v>4</v>
      </c>
      <c r="W47" t="s">
        <v>376</v>
      </c>
      <c r="X47" t="s">
        <v>376</v>
      </c>
      <c r="Y47" t="s">
        <v>376</v>
      </c>
      <c r="Z47" t="s">
        <v>376</v>
      </c>
      <c r="AA47" t="s">
        <v>376</v>
      </c>
      <c r="AB47" t="s">
        <v>376</v>
      </c>
      <c r="AC47" t="s">
        <v>376</v>
      </c>
      <c r="AD47" t="s">
        <v>376</v>
      </c>
      <c r="AE47">
        <v>2</v>
      </c>
    </row>
    <row r="48" spans="1:31" x14ac:dyDescent="0.25">
      <c r="A48" s="20">
        <v>57</v>
      </c>
      <c r="B48" s="20">
        <v>84</v>
      </c>
      <c r="C48" s="20">
        <v>13</v>
      </c>
      <c r="D48" s="20">
        <v>80</v>
      </c>
      <c r="E48" s="20" t="s">
        <v>376</v>
      </c>
      <c r="F48" s="20">
        <v>1</v>
      </c>
      <c r="G48" s="20" t="s">
        <v>376</v>
      </c>
      <c r="H48" s="20">
        <v>1</v>
      </c>
      <c r="I48" s="20" t="s">
        <v>376</v>
      </c>
      <c r="J48" s="20">
        <v>1</v>
      </c>
      <c r="K48" s="20" t="s">
        <v>376</v>
      </c>
      <c r="L48" s="20">
        <v>1</v>
      </c>
      <c r="M48" s="20" t="s">
        <v>376</v>
      </c>
      <c r="N48" s="20">
        <v>1</v>
      </c>
      <c r="O48" s="20" t="s">
        <v>376</v>
      </c>
      <c r="P48" s="20">
        <v>1</v>
      </c>
      <c r="Q48" s="20" t="s">
        <v>376</v>
      </c>
      <c r="R48" s="20">
        <v>1</v>
      </c>
      <c r="S48" s="20" t="s">
        <v>376</v>
      </c>
      <c r="T48">
        <v>1</v>
      </c>
      <c r="U48">
        <v>9</v>
      </c>
      <c r="V48">
        <v>10</v>
      </c>
      <c r="W48" t="s">
        <v>376</v>
      </c>
      <c r="X48" t="s">
        <v>376</v>
      </c>
      <c r="Y48" t="s">
        <v>376</v>
      </c>
      <c r="Z48" t="s">
        <v>376</v>
      </c>
      <c r="AA48" t="s">
        <v>376</v>
      </c>
      <c r="AB48" t="s">
        <v>376</v>
      </c>
      <c r="AC48" t="s">
        <v>376</v>
      </c>
      <c r="AD48" t="s">
        <v>376</v>
      </c>
      <c r="AE48">
        <v>2</v>
      </c>
    </row>
    <row r="49" spans="1:19" x14ac:dyDescent="0.25">
      <c r="A49" s="20" t="s">
        <v>377</v>
      </c>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update(40000)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1 12 2018 2 07 47 PM.txt')</v>
      </c>
    </row>
    <row r="46" spans="1:1" x14ac:dyDescent="0.25">
      <c r="A46" t="str">
        <f ca="1">IF(auto_run,CONCATENATE("save('",SUBSTITUTE(results_directory,"\","/"),FEresults_name,TEXT(date_time," m d yyyy h mm ss AM/PM"),".odc')"),"")</f>
        <v>save('C:/WinBUGS Results/Fixed Effect Results 1 12 2018 2 07 47 PM.odc')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update(40000)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1 12 2018 2 07 47 PM.txt')</v>
      </c>
    </row>
    <row r="46" spans="1:1" x14ac:dyDescent="0.25">
      <c r="A46" t="str">
        <f ca="1">IF(auto_run,CONCATENATE("save('",SUBSTITUTE(results_directory,"\","/"),REresults_name,TEXT(date_time," m d yyyy h mm ss AM/PM"),".odc')"),"")</f>
        <v>save('C:/WinBUGS Results/Random Effect Results (Vague ) 1 12 2018 2 07 47 PM.odc')</v>
      </c>
    </row>
    <row r="47" spans="1:1" x14ac:dyDescent="0.25">
      <c r="A47" t="str">
        <f>IF(auto_run,"quit()","")</f>
        <v>quit()</v>
      </c>
    </row>
  </sheetData>
  <pageMargins left="0.7" right="0.7" top="0.75" bottom="0.75" header="0.3" footer="0.3"/>
  <customProperties>
    <customPr name="SSCSheetTrackingNo" r:id="rId1"/>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update(40000)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1 12 2018 2 07 47 PM.txt')</v>
      </c>
    </row>
    <row r="32" spans="1:1" x14ac:dyDescent="0.25">
      <c r="A32" t="str">
        <f ca="1">IF(auto_run,CONCATENATE("save('",SUBSTITUTE(results_directory,"\","/"),"Inconsistency ",FEresults_name,TEXT(date_time," m d yyyy h mm ss AM/PM"),".odc')"),"")</f>
        <v>save('C:/WinBUGS Results/Inconsistency Fixed Effect Results 1 12 2018 2 07 47 PM.odc')</v>
      </c>
    </row>
    <row r="33" spans="1:1" x14ac:dyDescent="0.25">
      <c r="A33"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update(40000)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1 12 2018 2 07 47 PM.txt')</v>
      </c>
    </row>
    <row r="31" spans="1:1" x14ac:dyDescent="0.25">
      <c r="A31" t="str">
        <f ca="1">IF(auto_run,CONCATENATE("save('",SUBSTITUTE(results_directory,"\","/"),"Inconsistency ",REresults_name,TEXT(date_time," m d yyyy h mm ss AM/PM"),".odc')"),"")</f>
        <v>save('C:/WinBUGS Results/Inconsistency Random Effect Results (Vague ) 1 12 2018 2 07 47 PM.odc')</v>
      </c>
    </row>
    <row r="32" spans="1:1" x14ac:dyDescent="0.25">
      <c r="A32" t="s">
        <v>206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321</v>
      </c>
    </row>
    <row r="5" spans="1:8" x14ac:dyDescent="0.25">
      <c r="B5" t="s">
        <v>28</v>
      </c>
      <c r="G5" t="s">
        <v>324</v>
      </c>
    </row>
    <row r="6" spans="1:8" x14ac:dyDescent="0.25">
      <c r="B6" t="s">
        <v>79</v>
      </c>
      <c r="G6" t="s">
        <v>325</v>
      </c>
    </row>
    <row r="7" spans="1:8" x14ac:dyDescent="0.25">
      <c r="C7" t="s">
        <v>87</v>
      </c>
    </row>
    <row r="8" spans="1:8" x14ac:dyDescent="0.25">
      <c r="C8" t="s">
        <v>141</v>
      </c>
    </row>
    <row r="9" spans="1:8" x14ac:dyDescent="0.25">
      <c r="A9" t="s">
        <v>80</v>
      </c>
      <c r="C9" t="s">
        <v>315</v>
      </c>
      <c r="H9" t="s">
        <v>323</v>
      </c>
    </row>
    <row r="10" spans="1:8" x14ac:dyDescent="0.25">
      <c r="C10" t="s">
        <v>316</v>
      </c>
      <c r="H10" t="s">
        <v>322</v>
      </c>
    </row>
    <row r="11" spans="1:8" x14ac:dyDescent="0.25">
      <c r="C11" t="s">
        <v>327</v>
      </c>
    </row>
    <row r="12" spans="1:8" x14ac:dyDescent="0.25">
      <c r="C12" t="s">
        <v>326</v>
      </c>
    </row>
    <row r="13" spans="1:8" x14ac:dyDescent="0.25">
      <c r="C13" t="s">
        <v>29</v>
      </c>
    </row>
    <row r="14" spans="1:8" x14ac:dyDescent="0.25">
      <c r="B14" t="s">
        <v>320</v>
      </c>
      <c r="F14" t="s">
        <v>319</v>
      </c>
    </row>
    <row r="15" spans="1:8" x14ac:dyDescent="0.25">
      <c r="A15" t="s">
        <v>82</v>
      </c>
      <c r="B15" t="s">
        <v>83</v>
      </c>
    </row>
    <row r="16" spans="1:8" x14ac:dyDescent="0.25">
      <c r="B16" t="s">
        <v>328</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rk[k]&lt;-NT+1-rank(d[],k)</v>
      </c>
      <c r="F29" t="s">
        <v>156</v>
      </c>
    </row>
    <row r="30" spans="1:6" x14ac:dyDescent="0.25">
      <c r="C30" t="str">
        <f>IF(events_bad,"rk[k]&lt;- rank(d[],k)","")</f>
        <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349</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7" t="str">
        <f>"Fixed Effects"</f>
        <v>Fixed Effects</v>
      </c>
      <c r="G3" s="277"/>
      <c r="H3" s="277"/>
      <c r="I3" s="277"/>
      <c r="J3" s="277"/>
      <c r="K3" s="277"/>
      <c r="L3" s="277"/>
      <c r="N3" s="277" t="str">
        <f>"Fixed Effects"</f>
        <v>Fixed Effects</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F5" s="59"/>
      <c r="G5" s="54"/>
      <c r="H5" s="16"/>
      <c r="I5" s="16"/>
      <c r="J5" s="16"/>
      <c r="K5" s="59" t="str">
        <f t="shared" ref="K5:K49" si="0">CONCATENATE(TEXT(I5,"0.00")," (",TEXT(H5,"0.00")," – ",TEXT(J5,"0.00"),")")</f>
        <v>0.00 (0.00 – 0.00)</v>
      </c>
      <c r="L5" s="16" t="str">
        <f t="shared" ref="L5:L49" si="1">CONCATENATE(TEXT(I5,"0.00"),"
(",TEXT(H5,"0.00")," – ",TEXT(J5,"0.00"),")")</f>
        <v>0.00
(0.00 – 0.00)</v>
      </c>
      <c r="N5" s="59"/>
      <c r="O5" s="104"/>
    </row>
    <row r="6" spans="1:20" x14ac:dyDescent="0.25">
      <c r="K6" s="59" t="str">
        <f t="shared" si="0"/>
        <v>0.00 (0.00 – 0.00)</v>
      </c>
      <c r="L6" s="16" t="str">
        <f t="shared" si="1"/>
        <v>0.00
(0.00 – 0.00)</v>
      </c>
      <c r="N6" s="59"/>
      <c r="O6" s="16"/>
    </row>
    <row r="7" spans="1:20" x14ac:dyDescent="0.25">
      <c r="B7" s="19"/>
      <c r="C7" s="19"/>
      <c r="K7" s="59" t="str">
        <f t="shared" si="0"/>
        <v>0.00 (0.00 – 0.00)</v>
      </c>
      <c r="L7" s="16" t="str">
        <f t="shared" si="1"/>
        <v>0.00
(0.00 – 0.00)</v>
      </c>
      <c r="N7" s="59"/>
      <c r="O7" s="16"/>
    </row>
    <row r="8" spans="1:20" x14ac:dyDescent="0.25">
      <c r="B8" s="19"/>
      <c r="C8" s="19"/>
      <c r="E8" s="57"/>
      <c r="F8" s="57"/>
      <c r="G8" s="57"/>
      <c r="H8" s="57"/>
      <c r="I8" s="57"/>
      <c r="J8" s="57"/>
      <c r="K8" s="59" t="str">
        <f t="shared" si="0"/>
        <v>0.00 (0.00 – 0.00)</v>
      </c>
      <c r="L8" s="16" t="str">
        <f t="shared" si="1"/>
        <v>0.00
(0.00 – 0.00)</v>
      </c>
      <c r="N8" s="59"/>
      <c r="O8" s="16"/>
    </row>
    <row r="9" spans="1:20" x14ac:dyDescent="0.25">
      <c r="B9" s="19"/>
      <c r="C9" s="19"/>
      <c r="F9" s="59"/>
      <c r="G9" s="54"/>
      <c r="H9" s="16"/>
      <c r="I9" s="16"/>
      <c r="J9" s="16"/>
      <c r="K9" s="59" t="str">
        <f t="shared" si="0"/>
        <v>0.00 (0.00 – 0.00)</v>
      </c>
      <c r="L9" s="16" t="str">
        <f t="shared" si="1"/>
        <v>0.00
(0.00 – 0.00)</v>
      </c>
      <c r="N9" s="59"/>
      <c r="O9" s="16"/>
    </row>
    <row r="10" spans="1:20" x14ac:dyDescent="0.25">
      <c r="B10" s="19"/>
      <c r="C10" s="19"/>
      <c r="K10" s="59" t="str">
        <f t="shared" si="0"/>
        <v>0.00 (0.00 – 0.00)</v>
      </c>
      <c r="L10" s="16" t="str">
        <f t="shared" si="1"/>
        <v>0.00
(0.00 – 0.00)</v>
      </c>
      <c r="N10" s="59"/>
      <c r="O10" s="16"/>
    </row>
    <row r="11" spans="1:20" x14ac:dyDescent="0.25">
      <c r="F11" s="59"/>
      <c r="G11" s="54"/>
      <c r="H11" s="16"/>
      <c r="I11" s="16"/>
      <c r="J11" s="16"/>
      <c r="K11" s="59" t="str">
        <f t="shared" si="0"/>
        <v>0.00 (0.00 – 0.00)</v>
      </c>
      <c r="L11" s="16" t="str">
        <f t="shared" si="1"/>
        <v>0.00
(0.00 – 0.00)</v>
      </c>
      <c r="N11" s="59"/>
      <c r="O11" s="16"/>
    </row>
    <row r="12" spans="1:20" x14ac:dyDescent="0.25">
      <c r="F12" s="59"/>
      <c r="G12" s="54"/>
      <c r="H12" s="16"/>
      <c r="I12" s="16"/>
      <c r="J12" s="16"/>
      <c r="K12" s="59" t="str">
        <f t="shared" si="0"/>
        <v>0.00 (0.00 – 0.00)</v>
      </c>
      <c r="L12" s="16" t="str">
        <f t="shared" si="1"/>
        <v>0.00
(0.00 – 0.00)</v>
      </c>
      <c r="N12" s="59"/>
      <c r="O12" s="16"/>
    </row>
    <row r="13" spans="1:20" x14ac:dyDescent="0.25">
      <c r="B13" s="19"/>
      <c r="C13" s="19"/>
      <c r="K13" s="59" t="str">
        <f t="shared" si="0"/>
        <v>0.00 (0.00 – 0.00)</v>
      </c>
      <c r="L13" s="16" t="str">
        <f t="shared" si="1"/>
        <v>0.00
(0.00 – 0.00)</v>
      </c>
      <c r="N13" s="59"/>
      <c r="O13" s="16"/>
    </row>
    <row r="14" spans="1:20" x14ac:dyDescent="0.25">
      <c r="K14" s="59" t="str">
        <f t="shared" si="0"/>
        <v>0.00 (0.00 – 0.00)</v>
      </c>
      <c r="L14" s="16" t="str">
        <f t="shared" si="1"/>
        <v>0.00
(0.00 – 0.00)</v>
      </c>
      <c r="N14" s="59"/>
      <c r="O14" s="16"/>
    </row>
    <row r="15" spans="1:20" ht="15" customHeight="1" x14ac:dyDescent="0.25">
      <c r="E15" s="57"/>
      <c r="F15" s="57"/>
      <c r="G15" s="57"/>
      <c r="H15" s="57"/>
      <c r="I15" s="57"/>
      <c r="J15" s="57"/>
      <c r="K15" s="59" t="str">
        <f t="shared" si="0"/>
        <v>0.00 (0.00 – 0.00)</v>
      </c>
      <c r="L15" s="16" t="str">
        <f t="shared" si="1"/>
        <v>0.00
(0.00 – 0.00)</v>
      </c>
      <c r="N15" s="59"/>
      <c r="O15" s="16"/>
    </row>
    <row r="16" spans="1:20" ht="15" customHeight="1" x14ac:dyDescent="0.25">
      <c r="E16" s="57"/>
      <c r="F16" s="57"/>
      <c r="G16" s="57"/>
      <c r="H16" s="57"/>
      <c r="I16" s="57"/>
      <c r="J16" s="57"/>
      <c r="K16" s="59" t="str">
        <f t="shared" si="0"/>
        <v>0.00 (0.00 – 0.00)</v>
      </c>
      <c r="L16" s="16" t="str">
        <f t="shared" si="1"/>
        <v>0.00
(0.00 – 0.00)</v>
      </c>
      <c r="N16" s="59"/>
      <c r="O16" s="16"/>
    </row>
    <row r="17" spans="5:15" ht="15" customHeight="1" x14ac:dyDescent="0.25">
      <c r="K17" s="59" t="str">
        <f t="shared" si="0"/>
        <v>0.00 (0.00 – 0.00)</v>
      </c>
      <c r="L17" s="16" t="str">
        <f t="shared" si="1"/>
        <v>0.00
(0.00 – 0.00)</v>
      </c>
      <c r="N17" s="59"/>
      <c r="O17" s="16"/>
    </row>
    <row r="18" spans="5:15" ht="15" customHeight="1" x14ac:dyDescent="0.25">
      <c r="E18" s="57"/>
      <c r="F18" s="57"/>
      <c r="G18" s="57"/>
      <c r="H18" s="57"/>
      <c r="I18" s="57"/>
      <c r="J18" s="57"/>
      <c r="K18" s="59" t="str">
        <f t="shared" si="0"/>
        <v>0.00 (0.00 – 0.00)</v>
      </c>
      <c r="L18" s="16" t="str">
        <f t="shared" si="1"/>
        <v>0.00
(0.00 – 0.00)</v>
      </c>
      <c r="N18" s="59"/>
      <c r="O18" s="16"/>
    </row>
    <row r="19" spans="5:15" ht="15" customHeight="1" x14ac:dyDescent="0.25">
      <c r="K19" s="59" t="str">
        <f t="shared" si="0"/>
        <v>0.00 (0.00 – 0.00)</v>
      </c>
      <c r="L19" s="16" t="str">
        <f t="shared" si="1"/>
        <v>0.00
(0.00 – 0.00)</v>
      </c>
      <c r="N19" s="59"/>
      <c r="O19" s="16"/>
    </row>
    <row r="20" spans="5:15" ht="15" customHeight="1" x14ac:dyDescent="0.25">
      <c r="E20" s="57"/>
      <c r="F20" s="57"/>
      <c r="G20" s="57"/>
      <c r="H20" s="57"/>
      <c r="I20" s="57"/>
      <c r="J20" s="57"/>
      <c r="K20" s="59" t="str">
        <f t="shared" si="0"/>
        <v>0.00 (0.00 – 0.00)</v>
      </c>
      <c r="L20" s="16" t="str">
        <f t="shared" si="1"/>
        <v>0.00
(0.00 – 0.00)</v>
      </c>
      <c r="N20" s="59"/>
      <c r="O20" s="16"/>
    </row>
    <row r="21" spans="5:15" ht="15" customHeight="1" x14ac:dyDescent="0.25">
      <c r="F21" s="59"/>
      <c r="G21" s="54"/>
      <c r="H21" s="16"/>
      <c r="I21" s="16"/>
      <c r="J21" s="16"/>
      <c r="K21" s="59" t="str">
        <f t="shared" si="0"/>
        <v>0.00 (0.00 – 0.00)</v>
      </c>
      <c r="L21" s="16" t="str">
        <f t="shared" si="1"/>
        <v>0.00
(0.00 – 0.00)</v>
      </c>
      <c r="N21" s="59"/>
      <c r="O21" s="16"/>
    </row>
    <row r="22" spans="5:15" ht="15" customHeight="1" x14ac:dyDescent="0.25">
      <c r="K22" s="59" t="str">
        <f t="shared" si="0"/>
        <v>0.00 (0.00 – 0.00)</v>
      </c>
      <c r="L22" s="16" t="str">
        <f t="shared" si="1"/>
        <v>0.00
(0.00 – 0.00)</v>
      </c>
      <c r="N22" s="59"/>
      <c r="O22" s="16"/>
    </row>
    <row r="23" spans="5:15" ht="15" customHeight="1" x14ac:dyDescent="0.25">
      <c r="K23" s="59" t="str">
        <f t="shared" si="0"/>
        <v>0.00 (0.00 – 0.00)</v>
      </c>
      <c r="L23" s="16" t="str">
        <f t="shared" si="1"/>
        <v>0.00
(0.00 – 0.00)</v>
      </c>
      <c r="N23" s="59"/>
      <c r="O23" s="16"/>
    </row>
    <row r="24" spans="5:15" ht="15" customHeight="1" x14ac:dyDescent="0.25">
      <c r="E24" s="57"/>
      <c r="F24" s="57"/>
      <c r="G24" s="57"/>
      <c r="H24" s="57"/>
      <c r="I24" s="57"/>
      <c r="J24" s="57"/>
      <c r="K24" s="59" t="str">
        <f t="shared" si="0"/>
        <v>0.00 (0.00 – 0.00)</v>
      </c>
      <c r="L24" s="16" t="str">
        <f t="shared" si="1"/>
        <v>0.00
(0.00 – 0.00)</v>
      </c>
      <c r="N24" s="59"/>
      <c r="O24" s="16"/>
    </row>
    <row r="25" spans="5:15" ht="15" customHeight="1" x14ac:dyDescent="0.25">
      <c r="E25" s="57"/>
      <c r="F25" s="57"/>
      <c r="G25" s="57"/>
      <c r="H25" s="57"/>
      <c r="I25" s="57"/>
      <c r="J25" s="57"/>
      <c r="K25" s="59" t="str">
        <f t="shared" si="0"/>
        <v>0.00 (0.00 – 0.00)</v>
      </c>
      <c r="L25" s="16" t="str">
        <f t="shared" si="1"/>
        <v>0.00
(0.00 – 0.00)</v>
      </c>
      <c r="N25" s="59"/>
      <c r="O25" s="16"/>
    </row>
    <row r="26" spans="5:15" ht="15" customHeight="1" x14ac:dyDescent="0.25">
      <c r="K26" s="59" t="str">
        <f t="shared" si="0"/>
        <v>0.00 (0.00 – 0.00)</v>
      </c>
      <c r="L26" s="16" t="str">
        <f t="shared" si="1"/>
        <v>0.00
(0.00 – 0.00)</v>
      </c>
      <c r="N26" s="59"/>
      <c r="O26" s="16"/>
    </row>
    <row r="27" spans="5:15" ht="15" customHeight="1" x14ac:dyDescent="0.25">
      <c r="K27" s="59" t="str">
        <f t="shared" si="0"/>
        <v>0.00 (0.00 – 0.00)</v>
      </c>
      <c r="L27" s="16" t="str">
        <f t="shared" si="1"/>
        <v>0.00
(0.00 – 0.00)</v>
      </c>
      <c r="N27" s="59"/>
      <c r="O27" s="16"/>
    </row>
    <row r="28" spans="5:15" ht="15" customHeight="1" x14ac:dyDescent="0.25">
      <c r="E28" s="57"/>
      <c r="F28" s="57"/>
      <c r="G28" s="57"/>
      <c r="H28" s="57"/>
      <c r="I28" s="57"/>
      <c r="J28" s="57"/>
      <c r="K28" s="59" t="str">
        <f t="shared" si="0"/>
        <v>0.00 (0.00 – 0.00)</v>
      </c>
      <c r="L28" s="16" t="str">
        <f t="shared" si="1"/>
        <v>0.00
(0.00 – 0.00)</v>
      </c>
      <c r="N28" s="59"/>
      <c r="O28" s="16"/>
    </row>
    <row r="29" spans="5:15" ht="15" customHeight="1" x14ac:dyDescent="0.25">
      <c r="K29" s="59" t="str">
        <f t="shared" si="0"/>
        <v>0.00 (0.00 – 0.00)</v>
      </c>
      <c r="L29" s="16" t="str">
        <f t="shared" si="1"/>
        <v>0.00
(0.00 – 0.00)</v>
      </c>
      <c r="N29" s="59"/>
      <c r="O29" s="16"/>
    </row>
    <row r="30" spans="5:15" ht="15" customHeight="1" x14ac:dyDescent="0.25">
      <c r="F30" s="59"/>
      <c r="G30" s="54"/>
      <c r="H30" s="16"/>
      <c r="I30" s="16"/>
      <c r="J30" s="16"/>
      <c r="K30" s="59" t="str">
        <f t="shared" si="0"/>
        <v>0.00 (0.00 – 0.00)</v>
      </c>
      <c r="L30" s="16" t="str">
        <f t="shared" si="1"/>
        <v>0.00
(0.00 – 0.00)</v>
      </c>
      <c r="N30" s="59"/>
      <c r="O30" s="16"/>
    </row>
    <row r="31" spans="5:15" ht="15" customHeight="1" x14ac:dyDescent="0.25">
      <c r="E31" s="57"/>
      <c r="F31" s="57"/>
      <c r="G31" s="57"/>
      <c r="H31" s="57"/>
      <c r="I31" s="57"/>
      <c r="J31" s="57"/>
      <c r="K31" s="59" t="str">
        <f t="shared" si="0"/>
        <v>0.00 (0.00 – 0.00)</v>
      </c>
      <c r="L31" s="16" t="str">
        <f t="shared" si="1"/>
        <v>0.00
(0.00 – 0.00)</v>
      </c>
      <c r="N31" s="59"/>
      <c r="O31" s="16"/>
    </row>
    <row r="32" spans="5:15" ht="15" customHeight="1" x14ac:dyDescent="0.25">
      <c r="E32" s="57"/>
      <c r="F32" s="57"/>
      <c r="G32" s="57"/>
      <c r="H32" s="57"/>
      <c r="I32" s="57"/>
      <c r="J32" s="57"/>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E34" s="57"/>
      <c r="F34" s="57"/>
      <c r="G34" s="57"/>
      <c r="H34" s="57"/>
      <c r="I34" s="57"/>
      <c r="J34" s="57"/>
      <c r="K34" s="59" t="str">
        <f t="shared" si="0"/>
        <v>0.00 (0.00 – 0.00)</v>
      </c>
      <c r="L34" s="16" t="str">
        <f t="shared" si="1"/>
        <v>0.00
(0.00 – 0.00)</v>
      </c>
      <c r="N34" s="59"/>
      <c r="O34" s="16"/>
    </row>
    <row r="35" spans="3:15" ht="15" customHeight="1" x14ac:dyDescent="0.25">
      <c r="F35" s="59"/>
      <c r="G35" s="54"/>
      <c r="H35" s="16"/>
      <c r="I35" s="16"/>
      <c r="J35" s="16"/>
      <c r="K35" s="59" t="str">
        <f t="shared" si="0"/>
        <v>0.00 (0.00 – 0.00)</v>
      </c>
      <c r="L35" s="16" t="str">
        <f t="shared" si="1"/>
        <v>0.00
(0.00 – 0.00)</v>
      </c>
      <c r="N35" s="59"/>
      <c r="O35" s="16"/>
    </row>
    <row r="36" spans="3:15" ht="15" customHeight="1" x14ac:dyDescent="0.25">
      <c r="C36" s="56"/>
      <c r="D36" s="57"/>
      <c r="K36" s="59" t="str">
        <f t="shared" si="0"/>
        <v>0.00 (0.00 – 0.00)</v>
      </c>
      <c r="L36" s="16" t="str">
        <f t="shared" si="1"/>
        <v>0.00
(0.00 – 0.00)</v>
      </c>
      <c r="M36" s="57"/>
      <c r="N36" s="59"/>
      <c r="O36" s="16"/>
    </row>
    <row r="37" spans="3:15" ht="15" customHeight="1" x14ac:dyDescent="0.25">
      <c r="C37" s="56"/>
      <c r="D37" s="57"/>
      <c r="F37" s="59"/>
      <c r="G37" s="54"/>
      <c r="H37" s="16"/>
      <c r="I37" s="16"/>
      <c r="J37" s="16"/>
      <c r="K37" s="59" t="str">
        <f t="shared" si="0"/>
        <v>0.00 (0.00 – 0.00)</v>
      </c>
      <c r="L37" s="16" t="str">
        <f t="shared" si="1"/>
        <v>0.00
(0.00 – 0.00)</v>
      </c>
      <c r="M37" s="57"/>
      <c r="N37" s="59"/>
      <c r="O37" s="16"/>
    </row>
    <row r="38" spans="3:15" ht="15" customHeight="1" x14ac:dyDescent="0.25">
      <c r="C38" s="56"/>
      <c r="D38" s="57"/>
      <c r="E38" s="57"/>
      <c r="F38" s="57"/>
      <c r="G38" s="57"/>
      <c r="H38" s="57"/>
      <c r="I38" s="57"/>
      <c r="J38" s="57"/>
      <c r="K38" s="59" t="str">
        <f t="shared" si="0"/>
        <v>0.00 (0.00 – 0.00)</v>
      </c>
      <c r="L38" s="16" t="str">
        <f t="shared" si="1"/>
        <v>0.00
(0.00 – 0.00)</v>
      </c>
      <c r="M38" s="57"/>
      <c r="N38" s="59"/>
      <c r="O38" s="16"/>
    </row>
    <row r="39" spans="3:15" ht="15" customHeight="1" x14ac:dyDescent="0.25">
      <c r="C39" s="56"/>
      <c r="D39" s="57"/>
      <c r="K39" s="59" t="str">
        <f t="shared" si="0"/>
        <v>0.00 (0.00 – 0.00)</v>
      </c>
      <c r="L39" s="16" t="str">
        <f t="shared" si="1"/>
        <v>0.00
(0.00 – 0.00)</v>
      </c>
      <c r="M39" s="57"/>
      <c r="N39" s="59"/>
      <c r="O39" s="16"/>
    </row>
    <row r="40" spans="3:15" ht="15" customHeight="1" x14ac:dyDescent="0.25">
      <c r="C40" s="56"/>
      <c r="D40" s="57"/>
      <c r="F40" s="59"/>
      <c r="G40" s="54"/>
      <c r="H40" s="16"/>
      <c r="I40" s="16"/>
      <c r="J40" s="16"/>
      <c r="K40" s="59" t="str">
        <f t="shared" si="0"/>
        <v>0.00 (0.00 – 0.00)</v>
      </c>
      <c r="L40" s="16" t="str">
        <f t="shared" si="1"/>
        <v>0.00
(0.00 – 0.00)</v>
      </c>
      <c r="M40" s="57"/>
      <c r="N40" s="59"/>
      <c r="O40" s="16"/>
    </row>
    <row r="41" spans="3:15" ht="15" customHeight="1" x14ac:dyDescent="0.25">
      <c r="C41" s="56"/>
      <c r="D41" s="57"/>
      <c r="F41" s="59"/>
      <c r="G41" s="54"/>
      <c r="H41" s="16"/>
      <c r="I41" s="16"/>
      <c r="J41" s="16"/>
      <c r="K41" s="59" t="str">
        <f t="shared" si="0"/>
        <v>0.00 (0.00 – 0.00)</v>
      </c>
      <c r="L41" s="16" t="str">
        <f t="shared" si="1"/>
        <v>0.00
(0.00 – 0.00)</v>
      </c>
      <c r="M41" s="57"/>
      <c r="N41" s="59"/>
      <c r="O41" s="16"/>
    </row>
    <row r="42" spans="3:15" ht="15" customHeight="1" x14ac:dyDescent="0.25">
      <c r="C42" s="56"/>
      <c r="D42" s="57"/>
      <c r="K42" s="59" t="str">
        <f t="shared" si="0"/>
        <v>0.00 (0.00 – 0.00)</v>
      </c>
      <c r="L42" s="16" t="str">
        <f t="shared" si="1"/>
        <v>0.00
(0.00 – 0.00)</v>
      </c>
      <c r="M42" s="57"/>
      <c r="N42" s="59"/>
      <c r="O42" s="16"/>
    </row>
    <row r="43" spans="3:15" ht="15" customHeight="1" x14ac:dyDescent="0.25">
      <c r="C43" s="56"/>
      <c r="D43" s="57"/>
      <c r="K43" s="59" t="str">
        <f t="shared" si="0"/>
        <v>0.00 (0.00 – 0.00)</v>
      </c>
      <c r="L43" s="16" t="str">
        <f t="shared" si="1"/>
        <v>0.00
(0.00 – 0.00)</v>
      </c>
      <c r="M43" s="57"/>
      <c r="N43" s="59"/>
      <c r="O43" s="16"/>
    </row>
    <row r="44" spans="3:15" ht="15" customHeight="1" x14ac:dyDescent="0.25">
      <c r="C44" s="56"/>
      <c r="D44" s="57"/>
      <c r="K44" s="59" t="str">
        <f t="shared" si="0"/>
        <v>0.00 (0.00 – 0.00)</v>
      </c>
      <c r="L44" s="16" t="str">
        <f t="shared" si="1"/>
        <v>0.00
(0.00 – 0.00)</v>
      </c>
      <c r="M44" s="57"/>
      <c r="N44" s="59"/>
      <c r="O44" s="16"/>
    </row>
    <row r="45" spans="3:15" ht="15" customHeight="1" x14ac:dyDescent="0.25">
      <c r="C45" s="56"/>
      <c r="D45" s="57"/>
      <c r="K45" s="59" t="str">
        <f t="shared" si="0"/>
        <v>0.00 (0.00 – 0.00)</v>
      </c>
      <c r="L45" s="16" t="str">
        <f t="shared" si="1"/>
        <v>0.00
(0.00 – 0.00)</v>
      </c>
      <c r="M45" s="57"/>
      <c r="N45" s="59"/>
      <c r="O45" s="16"/>
    </row>
    <row r="46" spans="3:15" ht="15" customHeight="1" x14ac:dyDescent="0.25">
      <c r="C46" s="56"/>
      <c r="D46" s="57"/>
      <c r="K46" s="59" t="str">
        <f t="shared" si="0"/>
        <v>0.00 (0.00 – 0.00)</v>
      </c>
      <c r="L46" s="16" t="str">
        <f t="shared" si="1"/>
        <v>0.00
(0.00 – 0.00)</v>
      </c>
      <c r="M46" s="57"/>
      <c r="N46" s="59"/>
      <c r="O46" s="16"/>
    </row>
    <row r="47" spans="3:15" ht="15" customHeight="1" x14ac:dyDescent="0.25">
      <c r="C47" s="56"/>
      <c r="D47" s="57"/>
      <c r="E47" s="57"/>
      <c r="F47" s="57"/>
      <c r="G47" s="57"/>
      <c r="H47" s="57"/>
      <c r="I47" s="57"/>
      <c r="J47" s="57"/>
      <c r="K47" s="59" t="str">
        <f t="shared" si="0"/>
        <v>0.00 (0.00 – 0.00)</v>
      </c>
      <c r="L47" s="16" t="str">
        <f t="shared" si="1"/>
        <v>0.00
(0.00 – 0.00)</v>
      </c>
      <c r="M47" s="57"/>
      <c r="N47" s="59"/>
      <c r="O47" s="16"/>
    </row>
    <row r="48" spans="3:15" ht="15" customHeight="1" x14ac:dyDescent="0.25">
      <c r="C48" s="56"/>
      <c r="D48" s="57"/>
      <c r="K48" s="59" t="str">
        <f t="shared" si="0"/>
        <v>0.00 (0.00 – 0.00)</v>
      </c>
      <c r="L48" s="16" t="str">
        <f t="shared" si="1"/>
        <v>0.00
(0.00 – 0.00)</v>
      </c>
      <c r="M48" s="57"/>
      <c r="N48" s="59"/>
      <c r="O48" s="16"/>
    </row>
    <row r="49" spans="3:15" ht="15" customHeight="1" x14ac:dyDescent="0.25">
      <c r="C49" s="56"/>
      <c r="D49" s="57"/>
      <c r="E49" s="57"/>
      <c r="F49" s="57"/>
      <c r="G49" s="57"/>
      <c r="H49" s="57"/>
      <c r="I49" s="57"/>
      <c r="J49" s="57"/>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329</v>
      </c>
    </row>
    <row r="6" spans="1:7" x14ac:dyDescent="0.25">
      <c r="B6" t="s">
        <v>99</v>
      </c>
      <c r="D6" t="s">
        <v>330</v>
      </c>
    </row>
    <row r="7" spans="1:7" x14ac:dyDescent="0.25">
      <c r="B7" t="s">
        <v>331</v>
      </c>
      <c r="G7" t="s">
        <v>324</v>
      </c>
    </row>
    <row r="8" spans="1:7" x14ac:dyDescent="0.25">
      <c r="B8" t="s">
        <v>100</v>
      </c>
      <c r="G8" t="s">
        <v>325</v>
      </c>
    </row>
    <row r="9" spans="1:7" x14ac:dyDescent="0.25">
      <c r="C9" t="s">
        <v>78</v>
      </c>
    </row>
    <row r="10" spans="1:7" x14ac:dyDescent="0.25">
      <c r="B10" t="s">
        <v>101</v>
      </c>
      <c r="C10" t="s">
        <v>333</v>
      </c>
      <c r="G10" t="s">
        <v>334</v>
      </c>
    </row>
    <row r="11" spans="1:7" x14ac:dyDescent="0.25">
      <c r="A11" t="s">
        <v>102</v>
      </c>
      <c r="C11" t="s">
        <v>332</v>
      </c>
      <c r="G11" t="s">
        <v>323</v>
      </c>
    </row>
    <row r="12" spans="1:7" x14ac:dyDescent="0.25">
      <c r="A12" t="s">
        <v>80</v>
      </c>
      <c r="C12" t="s">
        <v>335</v>
      </c>
      <c r="G12" t="s">
        <v>322</v>
      </c>
    </row>
    <row r="13" spans="1:7" x14ac:dyDescent="0.25">
      <c r="B13" t="s">
        <v>103</v>
      </c>
      <c r="C13" t="s">
        <v>327</v>
      </c>
    </row>
    <row r="14" spans="1:7" x14ac:dyDescent="0.25">
      <c r="C14" t="s">
        <v>336</v>
      </c>
    </row>
    <row r="15" spans="1:7" x14ac:dyDescent="0.25">
      <c r="C15" t="s">
        <v>29</v>
      </c>
    </row>
    <row r="16" spans="1:7" x14ac:dyDescent="0.25">
      <c r="C16" t="s">
        <v>320</v>
      </c>
      <c r="G16" t="s">
        <v>337</v>
      </c>
    </row>
    <row r="17" spans="1:7" x14ac:dyDescent="0.25">
      <c r="C17" t="s">
        <v>104</v>
      </c>
      <c r="G17" t="s">
        <v>348</v>
      </c>
    </row>
    <row r="18" spans="1:7" x14ac:dyDescent="0.25">
      <c r="C18" t="s">
        <v>81</v>
      </c>
    </row>
    <row r="19" spans="1:7" x14ac:dyDescent="0.25">
      <c r="A19" t="s">
        <v>103</v>
      </c>
      <c r="C19" t="s">
        <v>338</v>
      </c>
      <c r="G19" t="s">
        <v>347</v>
      </c>
    </row>
    <row r="20" spans="1:7" x14ac:dyDescent="0.25">
      <c r="A20" t="s">
        <v>103</v>
      </c>
      <c r="C20" t="s">
        <v>339</v>
      </c>
      <c r="G20" t="s">
        <v>346</v>
      </c>
    </row>
    <row r="21" spans="1:7" x14ac:dyDescent="0.25">
      <c r="A21" t="s">
        <v>80</v>
      </c>
      <c r="C21" t="s">
        <v>340</v>
      </c>
      <c r="G21" t="s">
        <v>345</v>
      </c>
    </row>
    <row r="22" spans="1:7" x14ac:dyDescent="0.25">
      <c r="A22" t="s">
        <v>102</v>
      </c>
      <c r="C22" t="s">
        <v>341</v>
      </c>
      <c r="G22" t="s">
        <v>344</v>
      </c>
    </row>
    <row r="23" spans="1:7" x14ac:dyDescent="0.25">
      <c r="A23" t="s">
        <v>105</v>
      </c>
      <c r="C23" t="s">
        <v>342</v>
      </c>
      <c r="G23" t="s">
        <v>343</v>
      </c>
    </row>
    <row r="24" spans="1:7" x14ac:dyDescent="0.25">
      <c r="C24" t="s">
        <v>30</v>
      </c>
    </row>
    <row r="25" spans="1:7" x14ac:dyDescent="0.25">
      <c r="A25" t="s">
        <v>82</v>
      </c>
      <c r="B25" t="s">
        <v>106</v>
      </c>
    </row>
    <row r="26" spans="1:7" x14ac:dyDescent="0.25">
      <c r="B26" s="149" t="s">
        <v>317</v>
      </c>
      <c r="E26" t="s">
        <v>318</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rk[k]&lt;-NT+1-rank(d[],k)</v>
      </c>
      <c r="F45" t="s">
        <v>157</v>
      </c>
    </row>
    <row r="46" spans="2:9" x14ac:dyDescent="0.25">
      <c r="C46" t="str">
        <f>IF(events_bad,"rk[k]&lt;- rank(d[],k)","")</f>
        <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350</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7"/>
      <c r="G3" s="277"/>
      <c r="H3" s="277"/>
      <c r="I3" s="277"/>
      <c r="J3" s="277"/>
      <c r="K3" s="277"/>
      <c r="L3" s="277"/>
      <c r="N3" s="277"/>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B5" s="19"/>
      <c r="C5" s="19"/>
      <c r="F5" s="59"/>
      <c r="G5" s="54"/>
      <c r="H5" s="16"/>
      <c r="I5" s="16"/>
      <c r="J5" s="16"/>
      <c r="K5" s="59" t="str">
        <f>CONCATENATE(TEXT(I5,"0.00")," (",TEXT(H5,"0.00")," – ",TEXT(J5,"0.00"),")")</f>
        <v>0.00 (0.00 – 0.00)</v>
      </c>
      <c r="L5" s="16" t="str">
        <f>CONCATENATE(TEXT(I5,"0.00"),"
(",TEXT(H5,"0.00")," – ",TEXT(J5,"0.00"),")")</f>
        <v>0.00
(0.00 – 0.00)</v>
      </c>
      <c r="N5" s="59"/>
      <c r="O5" s="104"/>
    </row>
    <row r="6" spans="1:20" x14ac:dyDescent="0.25">
      <c r="B6" s="19"/>
      <c r="C6" s="19"/>
      <c r="F6" s="59"/>
      <c r="G6" s="54"/>
      <c r="H6" s="16"/>
      <c r="I6" s="16"/>
      <c r="J6" s="16"/>
      <c r="K6" s="59" t="str">
        <f t="shared" ref="K6:K69" si="0">CONCATENATE(TEXT(I6,"0.00")," (",TEXT(H6,"0.00")," – ",TEXT(J6,"0.00"),")")</f>
        <v>0.00 (0.00 – 0.00)</v>
      </c>
      <c r="L6" s="16" t="str">
        <f t="shared" ref="L6:L69" si="1">CONCATENATE(TEXT(I6,"0.00"),"
(",TEXT(H6,"0.00")," – ",TEXT(J6,"0.00"),")")</f>
        <v>0.00
(0.00 – 0.00)</v>
      </c>
      <c r="N6" s="59"/>
      <c r="O6" s="104"/>
    </row>
    <row r="7" spans="1:20" x14ac:dyDescent="0.25">
      <c r="F7" s="59"/>
      <c r="G7" s="54"/>
      <c r="H7" s="16"/>
      <c r="I7" s="16"/>
      <c r="J7" s="16"/>
      <c r="K7" s="59" t="str">
        <f t="shared" si="0"/>
        <v>0.00 (0.00 – 0.00)</v>
      </c>
      <c r="L7" s="16" t="str">
        <f t="shared" si="1"/>
        <v>0.00
(0.00 – 0.00)</v>
      </c>
      <c r="N7" s="59"/>
      <c r="O7" s="104"/>
    </row>
    <row r="8" spans="1:20" x14ac:dyDescent="0.25">
      <c r="F8" s="59"/>
      <c r="G8" s="54"/>
      <c r="H8" s="16"/>
      <c r="I8" s="16"/>
      <c r="J8" s="16"/>
      <c r="K8" s="59" t="str">
        <f t="shared" si="0"/>
        <v>0.00 (0.00 – 0.00)</v>
      </c>
      <c r="L8" s="16" t="str">
        <f t="shared" si="1"/>
        <v>0.00
(0.00 – 0.00)</v>
      </c>
      <c r="N8" s="59"/>
      <c r="O8" s="104"/>
    </row>
    <row r="9" spans="1:20" x14ac:dyDescent="0.25">
      <c r="B9" s="19"/>
      <c r="C9" s="19"/>
      <c r="F9" s="59"/>
      <c r="G9" s="54"/>
      <c r="H9" s="16"/>
      <c r="I9" s="16"/>
      <c r="J9" s="16"/>
      <c r="K9" s="59" t="str">
        <f t="shared" si="0"/>
        <v>0.00 (0.00 – 0.00)</v>
      </c>
      <c r="L9" s="16" t="str">
        <f t="shared" si="1"/>
        <v>0.00
(0.00 – 0.00)</v>
      </c>
      <c r="N9" s="59"/>
      <c r="O9" s="104"/>
    </row>
    <row r="10" spans="1:20" x14ac:dyDescent="0.25">
      <c r="F10" s="59"/>
      <c r="G10" s="54"/>
      <c r="H10" s="16"/>
      <c r="I10" s="16"/>
      <c r="J10" s="16"/>
      <c r="K10" s="59" t="str">
        <f t="shared" si="0"/>
        <v>0.00 (0.00 – 0.00)</v>
      </c>
      <c r="L10" s="16" t="str">
        <f t="shared" si="1"/>
        <v>0.00
(0.00 – 0.00)</v>
      </c>
      <c r="N10" s="59"/>
      <c r="O10" s="104"/>
    </row>
    <row r="11" spans="1:20" x14ac:dyDescent="0.25">
      <c r="B11" s="19"/>
      <c r="C11" s="19"/>
      <c r="F11" s="59"/>
      <c r="G11" s="54"/>
      <c r="H11" s="16"/>
      <c r="I11" s="16"/>
      <c r="J11" s="16"/>
      <c r="K11" s="59" t="str">
        <f t="shared" si="0"/>
        <v>0.00 (0.00 – 0.00)</v>
      </c>
      <c r="L11" s="16" t="str">
        <f t="shared" si="1"/>
        <v>0.00
(0.00 – 0.00)</v>
      </c>
      <c r="N11" s="59"/>
      <c r="O11" s="104"/>
    </row>
    <row r="12" spans="1:20" x14ac:dyDescent="0.25">
      <c r="B12" s="19"/>
      <c r="C12" s="19"/>
      <c r="F12" s="59"/>
      <c r="G12" s="54"/>
      <c r="H12" s="16"/>
      <c r="I12" s="16"/>
      <c r="J12" s="16"/>
      <c r="K12" s="59" t="str">
        <f t="shared" si="0"/>
        <v>0.00 (0.00 – 0.00)</v>
      </c>
      <c r="L12" s="16" t="str">
        <f t="shared" si="1"/>
        <v>0.00
(0.00 – 0.00)</v>
      </c>
      <c r="N12" s="59"/>
      <c r="O12" s="104"/>
    </row>
    <row r="13" spans="1:20" x14ac:dyDescent="0.25">
      <c r="F13" s="59"/>
      <c r="G13" s="54"/>
      <c r="H13" s="16"/>
      <c r="I13" s="16"/>
      <c r="J13" s="16"/>
      <c r="K13" s="59" t="str">
        <f t="shared" si="0"/>
        <v>0.00 (0.00 – 0.00)</v>
      </c>
      <c r="L13" s="16" t="str">
        <f t="shared" si="1"/>
        <v>0.00
(0.00 – 0.00)</v>
      </c>
      <c r="N13" s="59"/>
      <c r="O13" s="104"/>
    </row>
    <row r="14" spans="1:20" x14ac:dyDescent="0.25">
      <c r="F14" s="59"/>
      <c r="G14" s="54"/>
      <c r="H14" s="16"/>
      <c r="I14" s="16"/>
      <c r="J14" s="16"/>
      <c r="K14" s="59" t="str">
        <f t="shared" si="0"/>
        <v>0.00 (0.00 – 0.00)</v>
      </c>
      <c r="L14" s="16" t="str">
        <f t="shared" si="1"/>
        <v>0.00
(0.00 – 0.00)</v>
      </c>
      <c r="N14" s="59"/>
      <c r="O14" s="104"/>
    </row>
    <row r="15" spans="1:20" ht="15" customHeight="1" x14ac:dyDescent="0.25">
      <c r="K15" s="59" t="str">
        <f t="shared" si="0"/>
        <v>0.00 (0.00 – 0.00)</v>
      </c>
      <c r="L15" s="16" t="str">
        <f t="shared" si="1"/>
        <v>0.00
(0.00 – 0.00)</v>
      </c>
      <c r="N15" s="59"/>
      <c r="O15" s="16"/>
    </row>
    <row r="16" spans="1:20" ht="15" customHeight="1" x14ac:dyDescent="0.25">
      <c r="K16" s="59" t="str">
        <f t="shared" si="0"/>
        <v>0.00 (0.00 – 0.00)</v>
      </c>
      <c r="L16" s="16" t="str">
        <f t="shared" si="1"/>
        <v>0.00
(0.00 – 0.00)</v>
      </c>
      <c r="N16" s="59"/>
      <c r="O16" s="16"/>
    </row>
    <row r="17" spans="11:15" ht="15" customHeight="1" x14ac:dyDescent="0.25">
      <c r="K17" s="59" t="str">
        <f t="shared" si="0"/>
        <v>0.00 (0.00 – 0.00)</v>
      </c>
      <c r="L17" s="16" t="str">
        <f t="shared" si="1"/>
        <v>0.00
(0.00 – 0.00)</v>
      </c>
      <c r="N17" s="59"/>
      <c r="O17" s="16"/>
    </row>
    <row r="18" spans="11:15" ht="15" customHeight="1" x14ac:dyDescent="0.25">
      <c r="K18" s="59" t="str">
        <f t="shared" si="0"/>
        <v>0.00 (0.00 – 0.00)</v>
      </c>
      <c r="L18" s="16" t="str">
        <f t="shared" si="1"/>
        <v>0.00
(0.00 – 0.00)</v>
      </c>
      <c r="N18" s="59"/>
      <c r="O18" s="16"/>
    </row>
    <row r="19" spans="11:15" ht="15" customHeight="1" x14ac:dyDescent="0.25">
      <c r="K19" s="59" t="str">
        <f t="shared" si="0"/>
        <v>0.00 (0.00 – 0.00)</v>
      </c>
      <c r="L19" s="16" t="str">
        <f t="shared" si="1"/>
        <v>0.00
(0.00 – 0.00)</v>
      </c>
      <c r="N19" s="59"/>
      <c r="O19" s="16"/>
    </row>
    <row r="20" spans="11:15" ht="15" customHeight="1" x14ac:dyDescent="0.25">
      <c r="K20" s="59" t="str">
        <f t="shared" si="0"/>
        <v>0.00 (0.00 – 0.00)</v>
      </c>
      <c r="L20" s="16" t="str">
        <f t="shared" si="1"/>
        <v>0.00
(0.00 – 0.00)</v>
      </c>
      <c r="N20" s="59"/>
      <c r="O20" s="16"/>
    </row>
    <row r="21" spans="11:15" ht="15" customHeight="1" x14ac:dyDescent="0.25">
      <c r="K21" s="59" t="str">
        <f t="shared" si="0"/>
        <v>0.00 (0.00 – 0.00)</v>
      </c>
      <c r="L21" s="16" t="str">
        <f t="shared" si="1"/>
        <v>0.00
(0.00 – 0.00)</v>
      </c>
      <c r="N21" s="59"/>
      <c r="O21" s="16"/>
    </row>
    <row r="22" spans="11:15" ht="15" customHeight="1" x14ac:dyDescent="0.25">
      <c r="K22" s="59" t="str">
        <f t="shared" si="0"/>
        <v>0.00 (0.00 – 0.00)</v>
      </c>
      <c r="L22" s="16" t="str">
        <f t="shared" si="1"/>
        <v>0.00
(0.00 – 0.00)</v>
      </c>
      <c r="N22" s="59"/>
      <c r="O22" s="16"/>
    </row>
    <row r="23" spans="11:15" ht="15" customHeight="1" x14ac:dyDescent="0.25">
      <c r="K23" s="59" t="str">
        <f t="shared" si="0"/>
        <v>0.00 (0.00 – 0.00)</v>
      </c>
      <c r="L23" s="16" t="str">
        <f t="shared" si="1"/>
        <v>0.00
(0.00 – 0.00)</v>
      </c>
      <c r="N23" s="59"/>
      <c r="O23" s="16"/>
    </row>
    <row r="24" spans="11:15" ht="15" customHeight="1" x14ac:dyDescent="0.25">
      <c r="K24" s="59" t="str">
        <f t="shared" si="0"/>
        <v>0.00 (0.00 – 0.00)</v>
      </c>
      <c r="L24" s="16" t="str">
        <f t="shared" si="1"/>
        <v>0.00
(0.00 – 0.00)</v>
      </c>
      <c r="N24" s="59"/>
      <c r="O24" s="16"/>
    </row>
    <row r="25" spans="11:15" ht="15" customHeight="1" x14ac:dyDescent="0.25">
      <c r="K25" s="59" t="str">
        <f t="shared" si="0"/>
        <v>0.00 (0.00 – 0.00)</v>
      </c>
      <c r="L25" s="16" t="str">
        <f t="shared" si="1"/>
        <v>0.00
(0.00 – 0.00)</v>
      </c>
      <c r="N25" s="59"/>
      <c r="O25" s="16"/>
    </row>
    <row r="26" spans="11:15" ht="15" customHeight="1" x14ac:dyDescent="0.25">
      <c r="K26" s="59" t="str">
        <f t="shared" si="0"/>
        <v>0.00 (0.00 – 0.00)</v>
      </c>
      <c r="L26" s="16" t="str">
        <f t="shared" si="1"/>
        <v>0.00
(0.00 – 0.00)</v>
      </c>
      <c r="N26" s="59"/>
      <c r="O26" s="16"/>
    </row>
    <row r="27" spans="11:15" ht="15" customHeight="1" x14ac:dyDescent="0.25">
      <c r="K27" s="59" t="str">
        <f t="shared" si="0"/>
        <v>0.00 (0.00 – 0.00)</v>
      </c>
      <c r="L27" s="16" t="str">
        <f t="shared" si="1"/>
        <v>0.00
(0.00 – 0.00)</v>
      </c>
      <c r="N27" s="59"/>
      <c r="O27" s="16"/>
    </row>
    <row r="28" spans="11:15" ht="15" customHeight="1" x14ac:dyDescent="0.25">
      <c r="K28" s="59" t="str">
        <f t="shared" si="0"/>
        <v>0.00 (0.00 – 0.00)</v>
      </c>
      <c r="L28" s="16" t="str">
        <f t="shared" si="1"/>
        <v>0.00
(0.00 – 0.00)</v>
      </c>
      <c r="N28" s="59"/>
      <c r="O28" s="16"/>
    </row>
    <row r="29" spans="11:15" ht="15" customHeight="1" x14ac:dyDescent="0.25">
      <c r="K29" s="59" t="str">
        <f t="shared" si="0"/>
        <v>0.00 (0.00 – 0.00)</v>
      </c>
      <c r="L29" s="16" t="str">
        <f t="shared" si="1"/>
        <v>0.00
(0.00 – 0.00)</v>
      </c>
      <c r="N29" s="59"/>
      <c r="O29" s="16"/>
    </row>
    <row r="30" spans="11:15" ht="15" customHeight="1" x14ac:dyDescent="0.25">
      <c r="K30" s="59" t="str">
        <f t="shared" si="0"/>
        <v>0.00 (0.00 – 0.00)</v>
      </c>
      <c r="L30" s="16" t="str">
        <f t="shared" si="1"/>
        <v>0.00
(0.00 – 0.00)</v>
      </c>
      <c r="N30" s="59"/>
      <c r="O30" s="16"/>
    </row>
    <row r="31" spans="11:15" ht="15" customHeight="1" x14ac:dyDescent="0.25">
      <c r="K31" s="59" t="str">
        <f t="shared" si="0"/>
        <v>0.00 (0.00 – 0.00)</v>
      </c>
      <c r="L31" s="16" t="str">
        <f t="shared" si="1"/>
        <v>0.00
(0.00 – 0.00)</v>
      </c>
      <c r="N31" s="59"/>
      <c r="O31" s="16"/>
    </row>
    <row r="32" spans="11: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K34" s="59" t="str">
        <f t="shared" si="0"/>
        <v>0.00 (0.00 – 0.00)</v>
      </c>
      <c r="L34" s="16" t="str">
        <f t="shared" si="1"/>
        <v>0.00
(0.00 – 0.00)</v>
      </c>
      <c r="N34" s="59"/>
      <c r="O34" s="16"/>
    </row>
    <row r="35" spans="3:15" ht="15" customHeight="1" x14ac:dyDescent="0.25">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E37" s="57"/>
      <c r="F37" s="57"/>
      <c r="G37" s="57"/>
      <c r="H37" s="57"/>
      <c r="I37" s="57"/>
      <c r="J37" s="57"/>
      <c r="K37" s="59" t="str">
        <f t="shared" si="0"/>
        <v>0.00 (0.00 – 0.00)</v>
      </c>
      <c r="L37" s="16" t="str">
        <f t="shared" si="1"/>
        <v>0.00
(0.00 – 0.00)</v>
      </c>
      <c r="M37" s="57"/>
      <c r="N37" s="59"/>
      <c r="O37" s="16"/>
    </row>
    <row r="38" spans="3:15" ht="15" customHeight="1" x14ac:dyDescent="0.25">
      <c r="C38" s="56"/>
      <c r="D38" s="57"/>
      <c r="E38" s="57"/>
      <c r="F38" s="57"/>
      <c r="G38" s="57"/>
      <c r="H38" s="57"/>
      <c r="I38" s="57"/>
      <c r="J38" s="57"/>
      <c r="K38" s="59" t="str">
        <f t="shared" si="0"/>
        <v>0.00 (0.00 – 0.00)</v>
      </c>
      <c r="L38" s="16" t="str">
        <f t="shared" si="1"/>
        <v>0.00
(0.00 – 0.00)</v>
      </c>
      <c r="M38" s="57"/>
      <c r="N38" s="59"/>
      <c r="O38" s="16"/>
    </row>
    <row r="39" spans="3:15" ht="15" customHeight="1" x14ac:dyDescent="0.25">
      <c r="C39" s="56"/>
      <c r="D39" s="57"/>
      <c r="E39" s="57"/>
      <c r="F39" s="57"/>
      <c r="G39" s="57"/>
      <c r="H39" s="57"/>
      <c r="I39" s="57"/>
      <c r="J39" s="57"/>
      <c r="K39" s="59" t="str">
        <f t="shared" si="0"/>
        <v>0.00 (0.00 – 0.00)</v>
      </c>
      <c r="L39" s="16" t="str">
        <f t="shared" si="1"/>
        <v>0.00
(0.00 – 0.00)</v>
      </c>
      <c r="M39" s="57"/>
      <c r="N39" s="59"/>
      <c r="O39" s="16"/>
    </row>
    <row r="40" spans="3:15" ht="15" customHeight="1" x14ac:dyDescent="0.25">
      <c r="C40" s="56"/>
      <c r="D40" s="57"/>
      <c r="E40" s="57"/>
      <c r="F40" s="57"/>
      <c r="G40" s="57"/>
      <c r="H40" s="57"/>
      <c r="I40" s="57"/>
      <c r="J40" s="57"/>
      <c r="K40" s="59" t="str">
        <f t="shared" si="0"/>
        <v>0.00 (0.00 – 0.00)</v>
      </c>
      <c r="L40" s="16" t="str">
        <f t="shared" si="1"/>
        <v>0.00
(0.00 – 0.00)</v>
      </c>
      <c r="M40" s="57"/>
      <c r="N40" s="59"/>
      <c r="O40" s="16"/>
    </row>
    <row r="41" spans="3:15" ht="15" customHeight="1" x14ac:dyDescent="0.25">
      <c r="C41" s="56"/>
      <c r="D41" s="57"/>
      <c r="E41" s="57"/>
      <c r="F41" s="57"/>
      <c r="G41" s="57"/>
      <c r="H41" s="57"/>
      <c r="I41" s="57"/>
      <c r="J41" s="57"/>
      <c r="K41" s="59" t="str">
        <f t="shared" si="0"/>
        <v>0.00 (0.00 – 0.00)</v>
      </c>
      <c r="L41" s="16" t="str">
        <f t="shared" si="1"/>
        <v>0.00
(0.00 – 0.00)</v>
      </c>
      <c r="M41" s="57"/>
      <c r="N41" s="59"/>
      <c r="O41" s="16"/>
    </row>
    <row r="42" spans="3:15" ht="15" customHeight="1" x14ac:dyDescent="0.25">
      <c r="C42" s="56"/>
      <c r="D42" s="57"/>
      <c r="E42" s="57"/>
      <c r="F42" s="57"/>
      <c r="G42" s="57"/>
      <c r="H42" s="57"/>
      <c r="I42" s="57"/>
      <c r="J42" s="57"/>
      <c r="K42" s="59" t="str">
        <f t="shared" si="0"/>
        <v>0.00 (0.00 – 0.00)</v>
      </c>
      <c r="L42" s="16" t="str">
        <f t="shared" si="1"/>
        <v>0.00
(0.00 – 0.00)</v>
      </c>
      <c r="M42" s="57"/>
      <c r="N42" s="59"/>
      <c r="O42" s="16"/>
    </row>
    <row r="43" spans="3:15" ht="15" customHeight="1" x14ac:dyDescent="0.25">
      <c r="C43" s="56"/>
      <c r="D43" s="57"/>
      <c r="E43" s="57"/>
      <c r="F43" s="57"/>
      <c r="G43" s="57"/>
      <c r="H43" s="57"/>
      <c r="I43" s="57"/>
      <c r="J43" s="57"/>
      <c r="K43" s="59" t="str">
        <f t="shared" si="0"/>
        <v>0.00 (0.00 – 0.00)</v>
      </c>
      <c r="L43" s="16" t="str">
        <f t="shared" si="1"/>
        <v>0.00
(0.00 – 0.00)</v>
      </c>
      <c r="M43" s="57"/>
      <c r="N43" s="59"/>
      <c r="O43" s="16"/>
    </row>
    <row r="44" spans="3:15" ht="15" customHeight="1" x14ac:dyDescent="0.25">
      <c r="C44" s="56"/>
      <c r="D44" s="57"/>
      <c r="E44" s="57"/>
      <c r="F44" s="57"/>
      <c r="G44" s="57"/>
      <c r="H44" s="57"/>
      <c r="I44" s="57"/>
      <c r="J44" s="57"/>
      <c r="K44" s="59" t="str">
        <f t="shared" si="0"/>
        <v>0.00 (0.00 – 0.00)</v>
      </c>
      <c r="L44" s="16" t="str">
        <f t="shared" si="1"/>
        <v>0.00
(0.00 – 0.00)</v>
      </c>
      <c r="M44" s="57"/>
      <c r="N44" s="59"/>
      <c r="O44" s="16"/>
    </row>
    <row r="45" spans="3:15" ht="15" customHeight="1" x14ac:dyDescent="0.25">
      <c r="C45" s="56"/>
      <c r="D45" s="57"/>
      <c r="E45" s="57"/>
      <c r="F45" s="57"/>
      <c r="G45" s="57"/>
      <c r="H45" s="57"/>
      <c r="I45" s="57"/>
      <c r="J45" s="57"/>
      <c r="K45" s="59" t="str">
        <f t="shared" si="0"/>
        <v>0.00 (0.00 – 0.00)</v>
      </c>
      <c r="L45" s="16" t="str">
        <f t="shared" si="1"/>
        <v>0.00
(0.00 – 0.00)</v>
      </c>
      <c r="M45" s="57"/>
      <c r="N45" s="59"/>
      <c r="O45" s="16"/>
    </row>
    <row r="46" spans="3:15" ht="15" customHeight="1" x14ac:dyDescent="0.25">
      <c r="C46" s="56"/>
      <c r="D46" s="57"/>
      <c r="E46" s="57"/>
      <c r="F46" s="57"/>
      <c r="G46" s="57"/>
      <c r="H46" s="57"/>
      <c r="I46" s="57"/>
      <c r="J46" s="57"/>
      <c r="K46" s="59" t="str">
        <f t="shared" si="0"/>
        <v>0.00 (0.00 – 0.00)</v>
      </c>
      <c r="L46" s="16" t="str">
        <f t="shared" si="1"/>
        <v>0.00
(0.00 – 0.00)</v>
      </c>
      <c r="M46" s="57"/>
      <c r="N46" s="59"/>
      <c r="O46" s="16"/>
    </row>
    <row r="47" spans="3:15" ht="15" customHeight="1" x14ac:dyDescent="0.25">
      <c r="C47" s="56"/>
      <c r="D47" s="57"/>
      <c r="E47" s="57"/>
      <c r="F47" s="57"/>
      <c r="G47" s="57"/>
      <c r="H47" s="57"/>
      <c r="I47" s="57"/>
      <c r="J47" s="57"/>
      <c r="K47" s="59" t="str">
        <f t="shared" si="0"/>
        <v>0.00 (0.00 – 0.00)</v>
      </c>
      <c r="L47" s="16" t="str">
        <f t="shared" si="1"/>
        <v>0.00
(0.00 – 0.00)</v>
      </c>
      <c r="M47" s="57"/>
      <c r="N47" s="59"/>
      <c r="O47" s="16"/>
    </row>
    <row r="48" spans="3:15" ht="15" customHeight="1" x14ac:dyDescent="0.25">
      <c r="C48" s="56"/>
      <c r="D48" s="57"/>
      <c r="E48" s="57"/>
      <c r="F48" s="57"/>
      <c r="G48" s="57"/>
      <c r="H48" s="57"/>
      <c r="I48" s="57"/>
      <c r="J48" s="57"/>
      <c r="K48" s="59" t="str">
        <f t="shared" si="0"/>
        <v>0.00 (0.00 – 0.00)</v>
      </c>
      <c r="L48" s="16" t="str">
        <f t="shared" si="1"/>
        <v>0.00
(0.00 – 0.00)</v>
      </c>
      <c r="M48" s="57"/>
      <c r="N48" s="59"/>
      <c r="O48" s="16"/>
    </row>
    <row r="49" spans="3:15" ht="15" customHeight="1" x14ac:dyDescent="0.25">
      <c r="C49" s="56"/>
      <c r="D49" s="57"/>
      <c r="E49" s="57"/>
      <c r="F49" s="57"/>
      <c r="G49" s="57"/>
      <c r="H49" s="57"/>
      <c r="I49" s="57"/>
      <c r="J49" s="57"/>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si="0"/>
        <v>0.00 (0.00 – 0.00)</v>
      </c>
      <c r="L50" s="16" t="str">
        <f t="shared" si="1"/>
        <v>0.00
(0.00 – 0.00)</v>
      </c>
      <c r="M50" s="57"/>
      <c r="N50" s="59"/>
      <c r="O50" s="16"/>
    </row>
    <row r="51" spans="3:15" ht="15" hidden="1" customHeight="1" x14ac:dyDescent="0.25">
      <c r="C51" s="56"/>
      <c r="D51" s="57"/>
      <c r="E51" s="57"/>
      <c r="F51" s="57"/>
      <c r="G51" s="57"/>
      <c r="H51" s="57"/>
      <c r="I51" s="57"/>
      <c r="J51" s="57"/>
      <c r="K51" s="59" t="str">
        <f t="shared" si="0"/>
        <v>0.00 (0.00 – 0.00)</v>
      </c>
      <c r="L51" s="16" t="str">
        <f t="shared" si="1"/>
        <v>0.00
(0.00 – 0.00)</v>
      </c>
      <c r="M51" s="57"/>
      <c r="N51" s="59"/>
      <c r="O51" s="16"/>
    </row>
    <row r="52" spans="3:15" ht="15" hidden="1" customHeight="1" x14ac:dyDescent="0.25">
      <c r="C52" s="56"/>
      <c r="D52" s="57"/>
      <c r="E52" s="57"/>
      <c r="F52" s="57"/>
      <c r="G52" s="57"/>
      <c r="H52" s="57"/>
      <c r="I52" s="57"/>
      <c r="J52" s="57"/>
      <c r="K52" s="59" t="str">
        <f t="shared" si="0"/>
        <v>0.00 (0.00 – 0.00)</v>
      </c>
      <c r="L52" s="16" t="str">
        <f t="shared" si="1"/>
        <v>0.00
(0.00 – 0.00)</v>
      </c>
      <c r="M52" s="57"/>
      <c r="N52" s="59"/>
      <c r="O52" s="16"/>
    </row>
    <row r="53" spans="3:15" ht="15" hidden="1" customHeight="1" x14ac:dyDescent="0.25">
      <c r="C53" s="56"/>
      <c r="D53" s="57"/>
      <c r="E53" s="57"/>
      <c r="F53" s="57"/>
      <c r="G53" s="57"/>
      <c r="H53" s="57"/>
      <c r="I53" s="57"/>
      <c r="J53" s="57"/>
      <c r="K53" s="59" t="str">
        <f t="shared" si="0"/>
        <v>0.00 (0.00 – 0.00)</v>
      </c>
      <c r="L53" s="16" t="str">
        <f t="shared" si="1"/>
        <v>0.00
(0.00 – 0.00)</v>
      </c>
      <c r="M53" s="57"/>
      <c r="N53" s="59"/>
      <c r="O53" s="16"/>
    </row>
    <row r="54" spans="3:15" ht="15" hidden="1" customHeight="1" x14ac:dyDescent="0.25">
      <c r="C54" s="56"/>
      <c r="D54" s="57"/>
      <c r="E54" s="57"/>
      <c r="F54" s="57"/>
      <c r="G54" s="57"/>
      <c r="H54" s="57"/>
      <c r="I54" s="57"/>
      <c r="J54" s="57"/>
      <c r="K54" s="59" t="str">
        <f t="shared" si="0"/>
        <v>0.00 (0.00 – 0.00)</v>
      </c>
      <c r="L54" s="16" t="str">
        <f t="shared" si="1"/>
        <v>0.00
(0.00 – 0.00)</v>
      </c>
      <c r="M54" s="57"/>
      <c r="N54" s="59"/>
      <c r="O54" s="16"/>
    </row>
    <row r="55" spans="3:15" ht="15" hidden="1" customHeight="1" x14ac:dyDescent="0.25">
      <c r="C55" s="56"/>
      <c r="D55" s="57"/>
      <c r="E55" s="57"/>
      <c r="F55" s="57"/>
      <c r="G55" s="57"/>
      <c r="H55" s="57"/>
      <c r="I55" s="57"/>
      <c r="J55" s="57"/>
      <c r="K55" s="59" t="str">
        <f t="shared" si="0"/>
        <v>0.00 (0.00 – 0.00)</v>
      </c>
      <c r="L55" s="16" t="str">
        <f t="shared" si="1"/>
        <v>0.00
(0.00 – 0.00)</v>
      </c>
      <c r="M55" s="57"/>
      <c r="N55" s="59"/>
      <c r="O55" s="16"/>
    </row>
    <row r="56" spans="3:15" ht="15" hidden="1" customHeight="1" x14ac:dyDescent="0.25">
      <c r="C56" s="56"/>
      <c r="D56" s="57"/>
      <c r="E56" s="57"/>
      <c r="F56" s="57"/>
      <c r="G56" s="57"/>
      <c r="H56" s="57"/>
      <c r="I56" s="57"/>
      <c r="J56" s="57"/>
      <c r="K56" s="59" t="str">
        <f t="shared" si="0"/>
        <v>0.00 (0.00 – 0.00)</v>
      </c>
      <c r="L56" s="16" t="str">
        <f t="shared" si="1"/>
        <v>0.00
(0.00 – 0.00)</v>
      </c>
      <c r="M56" s="57"/>
      <c r="N56" s="59"/>
      <c r="O56" s="16"/>
    </row>
    <row r="57" spans="3:15" ht="15" hidden="1" customHeight="1" x14ac:dyDescent="0.25">
      <c r="C57" s="56"/>
      <c r="D57" s="57"/>
      <c r="E57" s="57"/>
      <c r="F57" s="57"/>
      <c r="G57" s="57"/>
      <c r="H57" s="57"/>
      <c r="I57" s="57"/>
      <c r="J57" s="57"/>
      <c r="K57" s="59" t="str">
        <f t="shared" si="0"/>
        <v>0.00 (0.00 – 0.00)</v>
      </c>
      <c r="L57" s="16" t="str">
        <f t="shared" si="1"/>
        <v>0.00
(0.00 – 0.00)</v>
      </c>
      <c r="M57" s="57"/>
      <c r="N57" s="59"/>
      <c r="O57" s="16"/>
    </row>
    <row r="58" spans="3:15" ht="15" hidden="1" customHeight="1" x14ac:dyDescent="0.25">
      <c r="C58" s="56"/>
      <c r="D58" s="57"/>
      <c r="E58" s="57"/>
      <c r="F58" s="57"/>
      <c r="G58" s="57"/>
      <c r="H58" s="57"/>
      <c r="I58" s="57"/>
      <c r="J58" s="57"/>
      <c r="K58" s="59" t="str">
        <f t="shared" si="0"/>
        <v>0.00 (0.00 – 0.00)</v>
      </c>
      <c r="L58" s="16" t="str">
        <f t="shared" si="1"/>
        <v>0.00
(0.00 – 0.00)</v>
      </c>
      <c r="M58" s="57"/>
      <c r="N58" s="59"/>
      <c r="O58" s="16"/>
    </row>
    <row r="59" spans="3:15" ht="15" hidden="1" customHeight="1" x14ac:dyDescent="0.25">
      <c r="C59" s="56"/>
      <c r="D59" s="57"/>
      <c r="E59" s="57"/>
      <c r="F59" s="57"/>
      <c r="G59" s="57"/>
      <c r="H59" s="57"/>
      <c r="I59" s="57"/>
      <c r="J59" s="57"/>
      <c r="K59" s="59" t="str">
        <f t="shared" si="0"/>
        <v>0.00 (0.00 – 0.00)</v>
      </c>
      <c r="L59" s="16" t="str">
        <f t="shared" si="1"/>
        <v>0.00
(0.00 – 0.00)</v>
      </c>
      <c r="M59" s="57"/>
      <c r="N59" s="59"/>
      <c r="O59" s="16"/>
    </row>
    <row r="60" spans="3:15" ht="15" hidden="1" customHeight="1" x14ac:dyDescent="0.25">
      <c r="C60" s="56"/>
      <c r="D60" s="57"/>
      <c r="E60" s="57"/>
      <c r="F60" s="57"/>
      <c r="G60" s="57"/>
      <c r="H60" s="57"/>
      <c r="I60" s="57"/>
      <c r="J60" s="57"/>
      <c r="K60" s="59" t="str">
        <f t="shared" si="0"/>
        <v>0.00 (0.00 – 0.00)</v>
      </c>
      <c r="L60" s="16" t="str">
        <f t="shared" si="1"/>
        <v>0.00
(0.00 – 0.00)</v>
      </c>
      <c r="M60" s="57"/>
      <c r="N60" s="59"/>
      <c r="O60" s="16"/>
    </row>
    <row r="61" spans="3:15" ht="15" hidden="1" customHeight="1" x14ac:dyDescent="0.25">
      <c r="C61" s="56"/>
      <c r="D61" s="57"/>
      <c r="E61" s="57"/>
      <c r="F61" s="57"/>
      <c r="G61" s="57"/>
      <c r="H61" s="57"/>
      <c r="I61" s="57"/>
      <c r="J61" s="57"/>
      <c r="K61" s="59" t="str">
        <f t="shared" si="0"/>
        <v>0.00 (0.00 – 0.00)</v>
      </c>
      <c r="L61" s="16" t="str">
        <f t="shared" si="1"/>
        <v>0.00
(0.00 – 0.00)</v>
      </c>
      <c r="M61" s="57"/>
      <c r="N61" s="59"/>
      <c r="O61" s="16"/>
    </row>
    <row r="62" spans="3:15" ht="15" hidden="1" customHeight="1" x14ac:dyDescent="0.25">
      <c r="C62" s="56"/>
      <c r="D62" s="57"/>
      <c r="E62" s="57"/>
      <c r="F62" s="57"/>
      <c r="G62" s="57"/>
      <c r="H62" s="57"/>
      <c r="I62" s="57"/>
      <c r="J62" s="57"/>
      <c r="K62" s="59" t="str">
        <f t="shared" si="0"/>
        <v>0.00 (0.00 – 0.00)</v>
      </c>
      <c r="L62" s="16" t="str">
        <f t="shared" si="1"/>
        <v>0.00
(0.00 – 0.00)</v>
      </c>
      <c r="M62" s="57"/>
      <c r="N62" s="59"/>
      <c r="O62" s="16"/>
    </row>
    <row r="63" spans="3:15" ht="15" hidden="1" customHeight="1" x14ac:dyDescent="0.25">
      <c r="C63" s="56"/>
      <c r="D63" s="57"/>
      <c r="E63" s="57"/>
      <c r="F63" s="57"/>
      <c r="G63" s="57"/>
      <c r="H63" s="57"/>
      <c r="I63" s="57"/>
      <c r="J63" s="57"/>
      <c r="K63" s="59" t="str">
        <f t="shared" si="0"/>
        <v>0.00 (0.00 – 0.00)</v>
      </c>
      <c r="L63" s="16" t="str">
        <f t="shared" si="1"/>
        <v>0.00
(0.00 – 0.00)</v>
      </c>
      <c r="M63" s="57"/>
      <c r="N63" s="59"/>
      <c r="O63" s="16"/>
    </row>
    <row r="64" spans="3:15"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0.1963 
95% CrI (0.05346 – 0.4483)</v>
      </c>
      <c r="F2" s="57"/>
      <c r="G2" s="57"/>
      <c r="H2" s="57"/>
      <c r="I2" s="57"/>
      <c r="J2" s="57"/>
      <c r="K2" s="57"/>
      <c r="L2" s="57"/>
      <c r="M2" s="57"/>
    </row>
    <row r="3" spans="1:20" x14ac:dyDescent="0.25">
      <c r="F3" s="277" t="str">
        <f>"Random Effects  (Informative Prior)"</f>
        <v>Random Effects  (Informative Prior)</v>
      </c>
      <c r="G3" s="277"/>
      <c r="H3" s="277"/>
      <c r="I3" s="277"/>
      <c r="J3" s="277"/>
      <c r="K3" s="277"/>
      <c r="L3" s="277"/>
      <c r="N3" s="277" t="str">
        <f>F3</f>
        <v>Random Effects  (Informative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19">
        <v>6</v>
      </c>
      <c r="C5" s="19">
        <v>1.948</v>
      </c>
      <c r="E5" s="19">
        <v>5</v>
      </c>
      <c r="F5" s="19">
        <v>10</v>
      </c>
      <c r="G5" s="19" t="s">
        <v>812</v>
      </c>
      <c r="H5" s="19">
        <v>4.5045045045045047</v>
      </c>
      <c r="I5" s="19">
        <v>16.528925619834713</v>
      </c>
      <c r="J5" s="19">
        <v>70.422535211267601</v>
      </c>
      <c r="K5" s="59" t="str">
        <f t="shared" ref="K5:K49" si="0">CONCATENATE(TEXT(I5,"0.00")," (",TEXT(H5,"0.00")," – ",TEXT(J5,"0.00"),")")</f>
        <v>16.53 (4.50 – 70.42)</v>
      </c>
      <c r="L5" s="16" t="str">
        <f t="shared" ref="L5:L49" si="1">CONCATENATE(TEXT(I5,"0.00"),"
(",TEXT(H5,"0.00")," – ",TEXT(J5,"0.00"),")")</f>
        <v>16.53
(4.50 – 70.42)</v>
      </c>
      <c r="N5" s="59" t="s">
        <v>431</v>
      </c>
      <c r="O5" s="16" t="s">
        <v>760</v>
      </c>
      <c r="P5">
        <v>0.47799999999999998</v>
      </c>
      <c r="Q5">
        <v>0.65380000000000005</v>
      </c>
      <c r="R5">
        <v>0.8871</v>
      </c>
      <c r="S5">
        <v>2</v>
      </c>
      <c r="T5">
        <v>1</v>
      </c>
    </row>
    <row r="6" spans="1:20" x14ac:dyDescent="0.25">
      <c r="A6" t="s">
        <v>355</v>
      </c>
      <c r="B6" s="19">
        <v>5</v>
      </c>
      <c r="C6" s="19">
        <v>2.3969999999999998</v>
      </c>
      <c r="E6" s="19">
        <v>6</v>
      </c>
      <c r="F6" s="59">
        <v>10</v>
      </c>
      <c r="G6" s="54" t="s">
        <v>808</v>
      </c>
      <c r="H6" s="16">
        <v>7.2463768115942022</v>
      </c>
      <c r="I6" s="16">
        <v>16.118633139909736</v>
      </c>
      <c r="J6" s="16">
        <v>37.341299477221803</v>
      </c>
      <c r="K6" s="59" t="str">
        <f t="shared" si="0"/>
        <v>16.12 (7.25 – 37.34)</v>
      </c>
      <c r="L6" s="16" t="str">
        <f t="shared" si="1"/>
        <v>16.12
(7.25 – 37.34)</v>
      </c>
      <c r="N6" s="59" t="s">
        <v>432</v>
      </c>
      <c r="O6" s="16" t="s">
        <v>761</v>
      </c>
      <c r="P6">
        <v>0.9415</v>
      </c>
      <c r="Q6">
        <v>1.4450000000000001</v>
      </c>
      <c r="R6">
        <v>2.2410000000000001</v>
      </c>
      <c r="S6">
        <v>3</v>
      </c>
      <c r="T6">
        <v>1</v>
      </c>
    </row>
    <row r="7" spans="1:20" x14ac:dyDescent="0.25">
      <c r="A7" t="s">
        <v>354</v>
      </c>
      <c r="B7" s="19">
        <v>4</v>
      </c>
      <c r="C7" s="19">
        <v>2.6080000000000001</v>
      </c>
      <c r="E7" s="57">
        <v>4</v>
      </c>
      <c r="F7" s="57">
        <v>10</v>
      </c>
      <c r="G7" s="57" t="s">
        <v>816</v>
      </c>
      <c r="H7" s="57">
        <v>6.7476383265856947</v>
      </c>
      <c r="I7" s="57">
        <v>13.159626266614028</v>
      </c>
      <c r="J7" s="57">
        <v>26.260504201680671</v>
      </c>
      <c r="K7" s="59" t="str">
        <f t="shared" si="0"/>
        <v>13.16 (6.75 – 26.26)</v>
      </c>
      <c r="L7" s="16" t="str">
        <f t="shared" si="1"/>
        <v>13.16
(6.75 – 26.26)</v>
      </c>
      <c r="N7" s="59" t="s">
        <v>433</v>
      </c>
      <c r="O7" s="16" t="s">
        <v>762</v>
      </c>
      <c r="P7">
        <v>1.004</v>
      </c>
      <c r="Q7">
        <v>1.917</v>
      </c>
      <c r="R7">
        <v>3.68</v>
      </c>
      <c r="S7">
        <v>4</v>
      </c>
      <c r="T7">
        <v>1</v>
      </c>
    </row>
    <row r="8" spans="1:20" x14ac:dyDescent="0.25">
      <c r="A8" t="s">
        <v>353</v>
      </c>
      <c r="B8" s="19">
        <v>3</v>
      </c>
      <c r="C8" s="19">
        <v>3.8460000000000001</v>
      </c>
      <c r="E8" s="57">
        <v>3</v>
      </c>
      <c r="F8" s="57">
        <v>10</v>
      </c>
      <c r="G8" s="57" t="s">
        <v>820</v>
      </c>
      <c r="H8" s="57">
        <v>6.2305295950155761</v>
      </c>
      <c r="I8" s="57">
        <v>9.9304865938430993</v>
      </c>
      <c r="J8" s="57">
        <v>16.08234158893535</v>
      </c>
      <c r="K8" s="59" t="str">
        <f t="shared" si="0"/>
        <v>9.93 (6.23 – 16.08)</v>
      </c>
      <c r="L8" s="16" t="str">
        <f t="shared" si="1"/>
        <v>9.93
(6.23 – 16.08)</v>
      </c>
      <c r="N8" s="59" t="s">
        <v>434</v>
      </c>
      <c r="O8" s="16" t="s">
        <v>763</v>
      </c>
      <c r="P8">
        <v>0.67600000000000005</v>
      </c>
      <c r="Q8">
        <v>2.4060000000000001</v>
      </c>
      <c r="R8">
        <v>9.8559999999999999</v>
      </c>
      <c r="S8">
        <v>5</v>
      </c>
      <c r="T8">
        <v>1</v>
      </c>
    </row>
    <row r="9" spans="1:20" x14ac:dyDescent="0.25">
      <c r="A9" t="s">
        <v>351</v>
      </c>
      <c r="B9" s="54">
        <v>1</v>
      </c>
      <c r="C9" s="54">
        <v>5.7110000000000003</v>
      </c>
      <c r="E9" s="19">
        <v>1</v>
      </c>
      <c r="F9" s="19">
        <v>10</v>
      </c>
      <c r="G9" s="19" t="s">
        <v>825</v>
      </c>
      <c r="H9" s="19">
        <v>4.621072088724584</v>
      </c>
      <c r="I9" s="19">
        <v>6.8775790921595599</v>
      </c>
      <c r="J9" s="19">
        <v>10.27643613194944</v>
      </c>
      <c r="K9" s="59" t="str">
        <f t="shared" si="0"/>
        <v>6.88 (4.62 – 10.28)</v>
      </c>
      <c r="L9" s="16" t="str">
        <f t="shared" si="1"/>
        <v>6.88
(4.62 – 10.28)</v>
      </c>
      <c r="N9" s="59" t="s">
        <v>435</v>
      </c>
      <c r="O9" s="16" t="s">
        <v>764</v>
      </c>
      <c r="P9">
        <v>1.081</v>
      </c>
      <c r="Q9">
        <v>2.3490000000000002</v>
      </c>
      <c r="R9">
        <v>5.31</v>
      </c>
      <c r="S9">
        <v>6</v>
      </c>
      <c r="T9">
        <v>1</v>
      </c>
    </row>
    <row r="10" spans="1:20" x14ac:dyDescent="0.25">
      <c r="A10" t="s">
        <v>359</v>
      </c>
      <c r="B10" s="54">
        <v>9</v>
      </c>
      <c r="C10" s="54">
        <v>5.774</v>
      </c>
      <c r="E10" s="19">
        <v>9</v>
      </c>
      <c r="F10" s="19">
        <v>10</v>
      </c>
      <c r="G10" s="19" t="s">
        <v>826</v>
      </c>
      <c r="H10" s="19">
        <v>4.2105263157894735</v>
      </c>
      <c r="I10" s="19">
        <v>6.8212824010914046</v>
      </c>
      <c r="J10" s="19">
        <v>11.414222120762471</v>
      </c>
      <c r="K10" s="59" t="str">
        <f t="shared" si="0"/>
        <v>6.82 (4.21 – 11.41)</v>
      </c>
      <c r="L10" s="16" t="str">
        <f t="shared" si="1"/>
        <v>6.82
(4.21 – 11.41)</v>
      </c>
      <c r="N10" s="59" t="s">
        <v>436</v>
      </c>
      <c r="O10" s="16" t="s">
        <v>765</v>
      </c>
      <c r="P10">
        <v>0.18179999999999999</v>
      </c>
      <c r="Q10">
        <v>0.46829999999999999</v>
      </c>
      <c r="R10">
        <v>1.19</v>
      </c>
      <c r="S10">
        <v>7</v>
      </c>
      <c r="T10">
        <v>1</v>
      </c>
    </row>
    <row r="11" spans="1:20" x14ac:dyDescent="0.25">
      <c r="A11" t="s">
        <v>358</v>
      </c>
      <c r="B11" s="54">
        <v>8</v>
      </c>
      <c r="C11" s="54">
        <v>6.4409999999999998</v>
      </c>
      <c r="E11" s="19">
        <v>8</v>
      </c>
      <c r="F11" s="19">
        <v>10</v>
      </c>
      <c r="G11" s="19" t="s">
        <v>827</v>
      </c>
      <c r="H11" s="19">
        <v>2.0716801325875283</v>
      </c>
      <c r="I11" s="19">
        <v>5.7142857142857144</v>
      </c>
      <c r="J11" s="19">
        <v>15.603058199407085</v>
      </c>
      <c r="K11" s="59" t="str">
        <f t="shared" si="0"/>
        <v>5.71 (2.07 – 15.60)</v>
      </c>
      <c r="L11" s="16" t="str">
        <f t="shared" si="1"/>
        <v>5.71
(2.07 – 15.60)</v>
      </c>
      <c r="N11" s="59" t="s">
        <v>437</v>
      </c>
      <c r="O11" s="16" t="s">
        <v>766</v>
      </c>
      <c r="P11">
        <v>0.3221</v>
      </c>
      <c r="Q11">
        <v>0.83160000000000001</v>
      </c>
      <c r="R11">
        <v>2.109</v>
      </c>
      <c r="S11">
        <v>8</v>
      </c>
      <c r="T11">
        <v>1</v>
      </c>
    </row>
    <row r="12" spans="1:20" x14ac:dyDescent="0.25">
      <c r="A12" t="s">
        <v>352</v>
      </c>
      <c r="B12" s="54">
        <v>2</v>
      </c>
      <c r="C12" s="54">
        <v>7.8559999999999999</v>
      </c>
      <c r="E12" s="19">
        <v>5</v>
      </c>
      <c r="F12" s="59">
        <v>7</v>
      </c>
      <c r="G12" s="54" t="s">
        <v>811</v>
      </c>
      <c r="H12" s="16">
        <v>1.1253657438667568</v>
      </c>
      <c r="I12" s="16">
        <v>5.1894135962636216</v>
      </c>
      <c r="J12" s="16">
        <v>26.089225150013043</v>
      </c>
      <c r="K12" s="59" t="str">
        <f t="shared" si="0"/>
        <v>5.19 (1.13 – 26.09)</v>
      </c>
      <c r="L12" s="16" t="str">
        <f t="shared" si="1"/>
        <v>5.19
(1.13 – 26.09)</v>
      </c>
      <c r="N12" s="59" t="s">
        <v>438</v>
      </c>
      <c r="O12" s="16" t="s">
        <v>767</v>
      </c>
      <c r="P12">
        <v>0.6583</v>
      </c>
      <c r="Q12">
        <v>0.98870000000000002</v>
      </c>
      <c r="R12">
        <v>1.5669999999999999</v>
      </c>
      <c r="S12">
        <v>9</v>
      </c>
      <c r="T12">
        <v>1</v>
      </c>
    </row>
    <row r="13" spans="1:20" x14ac:dyDescent="0.25">
      <c r="A13" t="s">
        <v>357</v>
      </c>
      <c r="B13" s="19">
        <v>7</v>
      </c>
      <c r="C13" s="19">
        <v>8.4309999999999992</v>
      </c>
      <c r="E13" s="57">
        <v>6</v>
      </c>
      <c r="F13" s="57">
        <v>7</v>
      </c>
      <c r="G13" s="57" t="s">
        <v>807</v>
      </c>
      <c r="H13" s="57">
        <v>1.5552099533437014</v>
      </c>
      <c r="I13" s="57">
        <v>5.0075112669003508</v>
      </c>
      <c r="J13" s="57">
        <v>16.995241332426918</v>
      </c>
      <c r="K13" s="59" t="str">
        <f t="shared" si="0"/>
        <v>5.01 (1.56 – 17.00)</v>
      </c>
      <c r="L13" s="16" t="str">
        <f t="shared" si="1"/>
        <v>5.01
(1.56 – 17.00)</v>
      </c>
      <c r="N13" s="59" t="s">
        <v>439</v>
      </c>
      <c r="O13" s="16" t="s">
        <v>768</v>
      </c>
      <c r="P13">
        <v>9.7309999999999994E-2</v>
      </c>
      <c r="Q13">
        <v>0.1454</v>
      </c>
      <c r="R13">
        <v>0.21640000000000001</v>
      </c>
      <c r="S13">
        <v>10</v>
      </c>
      <c r="T13">
        <v>1</v>
      </c>
    </row>
    <row r="14" spans="1:20" x14ac:dyDescent="0.25">
      <c r="A14" t="s">
        <v>360</v>
      </c>
      <c r="B14" s="54">
        <v>10</v>
      </c>
      <c r="C14" s="54">
        <v>9.9879999999999995</v>
      </c>
      <c r="E14" s="57">
        <v>2</v>
      </c>
      <c r="F14" s="57">
        <v>10</v>
      </c>
      <c r="G14" s="57" t="s">
        <v>829</v>
      </c>
      <c r="H14" s="57">
        <v>2.9036004645760745</v>
      </c>
      <c r="I14" s="57">
        <v>4.4923629829290208</v>
      </c>
      <c r="J14" s="57">
        <v>6.9541029207232263</v>
      </c>
      <c r="K14" s="59" t="str">
        <f t="shared" si="0"/>
        <v>4.49 (2.90 – 6.95)</v>
      </c>
      <c r="L14" s="16" t="str">
        <f t="shared" si="1"/>
        <v>4.49
(2.90 – 6.95)</v>
      </c>
      <c r="N14" s="59" t="s">
        <v>440</v>
      </c>
      <c r="O14" s="16" t="s">
        <v>769</v>
      </c>
      <c r="P14">
        <v>1.4390000000000001</v>
      </c>
      <c r="Q14">
        <v>2.2200000000000002</v>
      </c>
      <c r="R14">
        <v>3.4020000000000001</v>
      </c>
      <c r="S14">
        <v>3</v>
      </c>
      <c r="T14">
        <v>2</v>
      </c>
    </row>
    <row r="15" spans="1:20" ht="15" customHeight="1" x14ac:dyDescent="0.25">
      <c r="E15" s="19">
        <v>4</v>
      </c>
      <c r="F15" s="19">
        <v>7</v>
      </c>
      <c r="G15" s="19" t="s">
        <v>815</v>
      </c>
      <c r="H15" s="19">
        <v>1.3537295248409367</v>
      </c>
      <c r="I15" s="19">
        <v>4.0849673202614385</v>
      </c>
      <c r="J15" s="19">
        <v>12.465719272001994</v>
      </c>
      <c r="K15" s="59" t="str">
        <f t="shared" si="0"/>
        <v>4.08 (1.35 – 12.47)</v>
      </c>
      <c r="L15" s="16" t="str">
        <f t="shared" si="1"/>
        <v>4.08
(1.35 – 12.47)</v>
      </c>
      <c r="N15" s="59" t="s">
        <v>441</v>
      </c>
      <c r="O15" s="16" t="s">
        <v>770</v>
      </c>
      <c r="P15">
        <v>1.5249999999999999</v>
      </c>
      <c r="Q15">
        <v>2.9340000000000002</v>
      </c>
      <c r="R15">
        <v>5.6150000000000002</v>
      </c>
      <c r="S15">
        <v>4</v>
      </c>
      <c r="T15">
        <v>2</v>
      </c>
    </row>
    <row r="16" spans="1:20" ht="15" customHeight="1" x14ac:dyDescent="0.25">
      <c r="E16" s="19">
        <v>5</v>
      </c>
      <c r="F16" s="19">
        <v>2</v>
      </c>
      <c r="G16" s="19" t="s">
        <v>771</v>
      </c>
      <c r="H16" s="19">
        <v>1.0860000000000001</v>
      </c>
      <c r="I16" s="19">
        <v>3.681</v>
      </c>
      <c r="J16" s="19">
        <v>14.59</v>
      </c>
      <c r="K16" s="59" t="str">
        <f t="shared" si="0"/>
        <v>3.68 (1.09 – 14.59)</v>
      </c>
      <c r="L16" s="16" t="str">
        <f t="shared" si="1"/>
        <v>3.68
(1.09 – 14.59)</v>
      </c>
      <c r="N16" s="59" t="s">
        <v>442</v>
      </c>
      <c r="O16" s="16" t="s">
        <v>771</v>
      </c>
      <c r="P16">
        <v>1.0860000000000001</v>
      </c>
      <c r="Q16">
        <v>3.681</v>
      </c>
      <c r="R16">
        <v>14.59</v>
      </c>
      <c r="S16">
        <v>5</v>
      </c>
      <c r="T16">
        <v>2</v>
      </c>
    </row>
    <row r="17" spans="5:20" ht="15" customHeight="1" x14ac:dyDescent="0.25">
      <c r="E17" s="19">
        <v>6</v>
      </c>
      <c r="F17" s="59">
        <v>2</v>
      </c>
      <c r="G17" s="54" t="s">
        <v>772</v>
      </c>
      <c r="H17" s="16">
        <v>1.639</v>
      </c>
      <c r="I17" s="16">
        <v>3.59</v>
      </c>
      <c r="J17" s="16">
        <v>8.1669999999999998</v>
      </c>
      <c r="K17" s="59" t="str">
        <f t="shared" si="0"/>
        <v>3.59 (1.64 – 8.17)</v>
      </c>
      <c r="L17" s="16" t="str">
        <f t="shared" si="1"/>
        <v>3.59
(1.64 – 8.17)</v>
      </c>
      <c r="N17" s="59" t="s">
        <v>443</v>
      </c>
      <c r="O17" s="16" t="s">
        <v>772</v>
      </c>
      <c r="P17">
        <v>1.639</v>
      </c>
      <c r="Q17">
        <v>3.59</v>
      </c>
      <c r="R17">
        <v>8.1669999999999998</v>
      </c>
      <c r="S17">
        <v>6</v>
      </c>
      <c r="T17">
        <v>2</v>
      </c>
    </row>
    <row r="18" spans="5:20" ht="15" customHeight="1" x14ac:dyDescent="0.25">
      <c r="E18" s="19">
        <v>7</v>
      </c>
      <c r="F18" s="59">
        <v>10</v>
      </c>
      <c r="G18" s="54" t="s">
        <v>830</v>
      </c>
      <c r="H18" s="16">
        <v>1.1970313622216902</v>
      </c>
      <c r="I18" s="16">
        <v>3.2289312237649339</v>
      </c>
      <c r="J18" s="16">
        <v>8.5836909871244629</v>
      </c>
      <c r="K18" s="59" t="str">
        <f t="shared" si="0"/>
        <v>3.23 (1.20 – 8.58)</v>
      </c>
      <c r="L18" s="16" t="str">
        <f t="shared" si="1"/>
        <v>3.23
(1.20 – 8.58)</v>
      </c>
      <c r="N18" s="59" t="s">
        <v>444</v>
      </c>
      <c r="O18" s="16" t="s">
        <v>773</v>
      </c>
      <c r="P18">
        <v>0.29360000000000003</v>
      </c>
      <c r="Q18">
        <v>0.71870000000000001</v>
      </c>
      <c r="R18">
        <v>1.73</v>
      </c>
      <c r="S18">
        <v>7</v>
      </c>
      <c r="T18">
        <v>2</v>
      </c>
    </row>
    <row r="19" spans="5:20" ht="15" customHeight="1" x14ac:dyDescent="0.25">
      <c r="E19" s="19">
        <v>3</v>
      </c>
      <c r="F19" s="59">
        <v>7</v>
      </c>
      <c r="G19" s="54" t="s">
        <v>819</v>
      </c>
      <c r="H19" s="16">
        <v>1.1564704521799467</v>
      </c>
      <c r="I19" s="16">
        <v>3.0788177339901481</v>
      </c>
      <c r="J19" s="16">
        <v>8.3542188805346704</v>
      </c>
      <c r="K19" s="59" t="str">
        <f t="shared" si="0"/>
        <v>3.08 (1.16 – 8.35)</v>
      </c>
      <c r="L19" s="16" t="str">
        <f t="shared" si="1"/>
        <v>3.08
(1.16 – 8.35)</v>
      </c>
      <c r="N19" s="59" t="s">
        <v>445</v>
      </c>
      <c r="O19" s="16" t="s">
        <v>774</v>
      </c>
      <c r="P19">
        <v>0.50309999999999999</v>
      </c>
      <c r="Q19">
        <v>1.2729999999999999</v>
      </c>
      <c r="R19">
        <v>3.194</v>
      </c>
      <c r="S19">
        <v>8</v>
      </c>
      <c r="T19">
        <v>2</v>
      </c>
    </row>
    <row r="20" spans="5:20" ht="15" customHeight="1" x14ac:dyDescent="0.25">
      <c r="E20" s="19">
        <v>4</v>
      </c>
      <c r="F20" s="59">
        <v>2</v>
      </c>
      <c r="G20" s="54" t="s">
        <v>770</v>
      </c>
      <c r="H20" s="16">
        <v>1.5249999999999999</v>
      </c>
      <c r="I20" s="16">
        <v>2.9340000000000002</v>
      </c>
      <c r="J20" s="16">
        <v>5.6150000000000002</v>
      </c>
      <c r="K20" s="59" t="str">
        <f t="shared" si="0"/>
        <v>2.93 (1.53 – 5.62)</v>
      </c>
      <c r="L20" s="16" t="str">
        <f t="shared" si="1"/>
        <v>2.93
(1.53 – 5.62)</v>
      </c>
      <c r="N20" s="59" t="s">
        <v>446</v>
      </c>
      <c r="O20" s="16" t="s">
        <v>775</v>
      </c>
      <c r="P20">
        <v>0.94589999999999996</v>
      </c>
      <c r="Q20">
        <v>1.514</v>
      </c>
      <c r="R20">
        <v>2.56</v>
      </c>
      <c r="S20">
        <v>9</v>
      </c>
      <c r="T20">
        <v>2</v>
      </c>
    </row>
    <row r="21" spans="5:20" ht="15" customHeight="1" x14ac:dyDescent="0.25">
      <c r="E21" s="19">
        <v>5</v>
      </c>
      <c r="F21" s="19">
        <v>8</v>
      </c>
      <c r="G21" s="19" t="s">
        <v>810</v>
      </c>
      <c r="H21" s="19">
        <v>0.6234413965087281</v>
      </c>
      <c r="I21" s="19">
        <v>2.9137529137529139</v>
      </c>
      <c r="J21" s="19">
        <v>15.441630636195182</v>
      </c>
      <c r="K21" s="59" t="str">
        <f t="shared" si="0"/>
        <v>2.91 (0.62 – 15.44)</v>
      </c>
      <c r="L21" s="16" t="str">
        <f t="shared" si="1"/>
        <v>2.91
(0.62 – 15.44)</v>
      </c>
      <c r="N21" s="59" t="s">
        <v>447</v>
      </c>
      <c r="O21" s="16" t="s">
        <v>776</v>
      </c>
      <c r="P21">
        <v>0.14380000000000001</v>
      </c>
      <c r="Q21">
        <v>0.22259999999999999</v>
      </c>
      <c r="R21">
        <v>0.34439999999999998</v>
      </c>
      <c r="S21">
        <v>10</v>
      </c>
      <c r="T21">
        <v>2</v>
      </c>
    </row>
    <row r="22" spans="5:20" ht="15" customHeight="1" x14ac:dyDescent="0.25">
      <c r="E22" s="57">
        <v>6</v>
      </c>
      <c r="F22" s="57">
        <v>8</v>
      </c>
      <c r="G22" s="57" t="s">
        <v>806</v>
      </c>
      <c r="H22" s="57">
        <v>0.85397096498719038</v>
      </c>
      <c r="I22" s="57">
        <v>2.8409090909090913</v>
      </c>
      <c r="J22" s="57">
        <v>9.5877277085330768</v>
      </c>
      <c r="K22" s="59" t="str">
        <f t="shared" si="0"/>
        <v>2.84 (0.85 – 9.59)</v>
      </c>
      <c r="L22" s="16" t="str">
        <f t="shared" si="1"/>
        <v>2.84
(0.85 – 9.59)</v>
      </c>
      <c r="N22" s="59" t="s">
        <v>448</v>
      </c>
      <c r="O22" s="16" t="s">
        <v>777</v>
      </c>
      <c r="P22">
        <v>0.80620000000000003</v>
      </c>
      <c r="Q22">
        <v>1.327</v>
      </c>
      <c r="R22">
        <v>2.17</v>
      </c>
      <c r="S22">
        <v>4</v>
      </c>
      <c r="T22">
        <v>3</v>
      </c>
    </row>
    <row r="23" spans="5:20" ht="15" customHeight="1" x14ac:dyDescent="0.25">
      <c r="E23" s="19">
        <v>5</v>
      </c>
      <c r="F23" s="19">
        <v>9</v>
      </c>
      <c r="G23" s="19" t="s">
        <v>809</v>
      </c>
      <c r="H23" s="19">
        <v>0.63532401524777637</v>
      </c>
      <c r="I23" s="19">
        <v>2.4230676035861398</v>
      </c>
      <c r="J23" s="19">
        <v>10.354110581901015</v>
      </c>
      <c r="K23" s="59" t="str">
        <f t="shared" si="0"/>
        <v>2.42 (0.64 – 10.35)</v>
      </c>
      <c r="L23" s="16" t="str">
        <f t="shared" si="1"/>
        <v>2.42
(0.64 – 10.35)</v>
      </c>
      <c r="N23" s="59" t="s">
        <v>449</v>
      </c>
      <c r="O23" s="16" t="s">
        <v>778</v>
      </c>
      <c r="P23">
        <v>0.45400000000000001</v>
      </c>
      <c r="Q23">
        <v>1.6619999999999999</v>
      </c>
      <c r="R23">
        <v>7.0709999999999997</v>
      </c>
      <c r="S23">
        <v>5</v>
      </c>
      <c r="T23">
        <v>3</v>
      </c>
    </row>
    <row r="24" spans="5:20" ht="15" customHeight="1" x14ac:dyDescent="0.25">
      <c r="E24" s="57">
        <v>5</v>
      </c>
      <c r="F24" s="57">
        <v>1</v>
      </c>
      <c r="G24" s="57" t="s">
        <v>763</v>
      </c>
      <c r="H24" s="57">
        <v>0.67600000000000005</v>
      </c>
      <c r="I24" s="57">
        <v>2.4060000000000001</v>
      </c>
      <c r="J24" s="57">
        <v>9.8559999999999999</v>
      </c>
      <c r="K24" s="59" t="str">
        <f t="shared" si="0"/>
        <v>2.41 (0.68 – 9.86)</v>
      </c>
      <c r="L24" s="16" t="str">
        <f t="shared" si="1"/>
        <v>2.41
(0.68 – 9.86)</v>
      </c>
      <c r="N24" s="59" t="s">
        <v>450</v>
      </c>
      <c r="O24" s="16" t="s">
        <v>779</v>
      </c>
      <c r="P24">
        <v>0.84330000000000005</v>
      </c>
      <c r="Q24">
        <v>1.625</v>
      </c>
      <c r="R24">
        <v>3.2349999999999999</v>
      </c>
      <c r="S24">
        <v>6</v>
      </c>
      <c r="T24">
        <v>3</v>
      </c>
    </row>
    <row r="25" spans="5:20" ht="15" customHeight="1" x14ac:dyDescent="0.25">
      <c r="E25" s="19">
        <v>6</v>
      </c>
      <c r="F25" s="19">
        <v>9</v>
      </c>
      <c r="G25" s="19" t="s">
        <v>805</v>
      </c>
      <c r="H25" s="19">
        <v>1.036591686534674</v>
      </c>
      <c r="I25" s="19">
        <v>2.3635074450484521</v>
      </c>
      <c r="J25" s="19">
        <v>5.4644808743169397</v>
      </c>
      <c r="K25" s="59" t="str">
        <f t="shared" si="0"/>
        <v>2.36 (1.04 – 5.46)</v>
      </c>
      <c r="L25" s="16" t="str">
        <f t="shared" si="1"/>
        <v>2.36
(1.04 – 5.46)</v>
      </c>
      <c r="N25" s="59" t="s">
        <v>451</v>
      </c>
      <c r="O25" s="16" t="s">
        <v>780</v>
      </c>
      <c r="P25">
        <v>0.1197</v>
      </c>
      <c r="Q25">
        <v>0.32479999999999998</v>
      </c>
      <c r="R25">
        <v>0.86470000000000002</v>
      </c>
      <c r="S25">
        <v>7</v>
      </c>
      <c r="T25">
        <v>3</v>
      </c>
    </row>
    <row r="26" spans="5:20" ht="15" customHeight="1" x14ac:dyDescent="0.25">
      <c r="E26" s="57">
        <v>6</v>
      </c>
      <c r="F26" s="57">
        <v>1</v>
      </c>
      <c r="G26" s="57" t="s">
        <v>764</v>
      </c>
      <c r="H26" s="57">
        <v>1.081</v>
      </c>
      <c r="I26" s="57">
        <v>2.3490000000000002</v>
      </c>
      <c r="J26" s="57">
        <v>5.31</v>
      </c>
      <c r="K26" s="59" t="str">
        <f t="shared" si="0"/>
        <v>2.35 (1.08 – 5.31)</v>
      </c>
      <c r="L26" s="16" t="str">
        <f t="shared" si="1"/>
        <v>2.35
(1.08 – 5.31)</v>
      </c>
      <c r="N26" s="59" t="s">
        <v>452</v>
      </c>
      <c r="O26" s="16" t="s">
        <v>781</v>
      </c>
      <c r="P26">
        <v>0.20960000000000001</v>
      </c>
      <c r="Q26">
        <v>0.57520000000000004</v>
      </c>
      <c r="R26">
        <v>1.5640000000000001</v>
      </c>
      <c r="S26">
        <v>8</v>
      </c>
      <c r="T26">
        <v>3</v>
      </c>
    </row>
    <row r="27" spans="5:20" ht="15" customHeight="1" x14ac:dyDescent="0.25">
      <c r="E27" s="19">
        <v>4</v>
      </c>
      <c r="F27" s="19">
        <v>8</v>
      </c>
      <c r="G27" s="19" t="s">
        <v>814</v>
      </c>
      <c r="H27" s="19">
        <v>0.75930144267274113</v>
      </c>
      <c r="I27" s="19">
        <v>2.3094688221709005</v>
      </c>
      <c r="J27" s="19">
        <v>7.0521861777150914</v>
      </c>
      <c r="K27" s="59" t="str">
        <f t="shared" si="0"/>
        <v>2.31 (0.76 – 7.05)</v>
      </c>
      <c r="L27" s="16" t="str">
        <f t="shared" si="1"/>
        <v>2.31
(0.76 – 7.05)</v>
      </c>
      <c r="N27" s="59" t="s">
        <v>453</v>
      </c>
      <c r="O27" s="16" t="s">
        <v>782</v>
      </c>
      <c r="P27">
        <v>0.42220000000000002</v>
      </c>
      <c r="Q27">
        <v>0.68569999999999998</v>
      </c>
      <c r="R27">
        <v>1.1459999999999999</v>
      </c>
      <c r="S27">
        <v>9</v>
      </c>
      <c r="T27">
        <v>3</v>
      </c>
    </row>
    <row r="28" spans="5:20" ht="15" customHeight="1" x14ac:dyDescent="0.25">
      <c r="E28" s="19">
        <v>3</v>
      </c>
      <c r="F28" s="19">
        <v>2</v>
      </c>
      <c r="G28" s="19" t="s">
        <v>769</v>
      </c>
      <c r="H28" s="19">
        <v>1.4390000000000001</v>
      </c>
      <c r="I28" s="19">
        <v>2.2200000000000002</v>
      </c>
      <c r="J28" s="19">
        <v>3.4020000000000001</v>
      </c>
      <c r="K28" s="59" t="str">
        <f t="shared" si="0"/>
        <v>2.22 (1.44 – 3.40)</v>
      </c>
      <c r="L28" s="16" t="str">
        <f t="shared" si="1"/>
        <v>2.22
(1.44 – 3.40)</v>
      </c>
      <c r="N28" s="59" t="s">
        <v>454</v>
      </c>
      <c r="O28" s="16" t="s">
        <v>783</v>
      </c>
      <c r="P28">
        <v>6.2179999999999999E-2</v>
      </c>
      <c r="Q28">
        <v>0.1007</v>
      </c>
      <c r="R28">
        <v>0.1605</v>
      </c>
      <c r="S28">
        <v>10</v>
      </c>
      <c r="T28">
        <v>3</v>
      </c>
    </row>
    <row r="29" spans="5:20" ht="15" customHeight="1" x14ac:dyDescent="0.25">
      <c r="E29" s="19">
        <v>1</v>
      </c>
      <c r="F29" s="59">
        <v>7</v>
      </c>
      <c r="G29" s="54" t="s">
        <v>824</v>
      </c>
      <c r="H29" s="16">
        <v>0.84033613445378152</v>
      </c>
      <c r="I29" s="16">
        <v>2.1353833013025838</v>
      </c>
      <c r="J29" s="16">
        <v>5.5005500550055011</v>
      </c>
      <c r="K29" s="59" t="str">
        <f t="shared" si="0"/>
        <v>2.14 (0.84 – 5.50)</v>
      </c>
      <c r="L29" s="16" t="str">
        <f t="shared" si="1"/>
        <v>2.14
(0.84 – 5.50)</v>
      </c>
      <c r="N29" s="59" t="s">
        <v>455</v>
      </c>
      <c r="O29" s="16" t="s">
        <v>784</v>
      </c>
      <c r="P29">
        <v>0.314</v>
      </c>
      <c r="Q29">
        <v>1.254</v>
      </c>
      <c r="R29">
        <v>5.7670000000000003</v>
      </c>
      <c r="S29">
        <v>5</v>
      </c>
      <c r="T29">
        <v>4</v>
      </c>
    </row>
    <row r="30" spans="5:20" ht="15" customHeight="1" x14ac:dyDescent="0.25">
      <c r="E30" s="19">
        <v>9</v>
      </c>
      <c r="F30" s="19">
        <v>7</v>
      </c>
      <c r="G30" s="19" t="s">
        <v>800</v>
      </c>
      <c r="H30" s="19">
        <v>0.78720000000000001</v>
      </c>
      <c r="I30" s="19">
        <v>2.1160000000000001</v>
      </c>
      <c r="J30" s="19">
        <v>5.9859999999999998</v>
      </c>
      <c r="K30" s="59" t="str">
        <f t="shared" si="0"/>
        <v>2.12 (0.79 – 5.99)</v>
      </c>
      <c r="L30" s="16" t="str">
        <f t="shared" si="1"/>
        <v>2.12
(0.79 – 5.99)</v>
      </c>
      <c r="N30" s="59" t="s">
        <v>456</v>
      </c>
      <c r="O30" s="16" t="s">
        <v>785</v>
      </c>
      <c r="P30">
        <v>0.61970000000000003</v>
      </c>
      <c r="Q30">
        <v>1.228</v>
      </c>
      <c r="R30">
        <v>2.4830000000000001</v>
      </c>
      <c r="S30">
        <v>6</v>
      </c>
      <c r="T30">
        <v>4</v>
      </c>
    </row>
    <row r="31" spans="5:20" ht="15" customHeight="1" x14ac:dyDescent="0.25">
      <c r="E31" s="19">
        <v>4</v>
      </c>
      <c r="F31" s="19">
        <v>9</v>
      </c>
      <c r="G31" s="19" t="s">
        <v>813</v>
      </c>
      <c r="H31" s="19">
        <v>0.94966761633428309</v>
      </c>
      <c r="I31" s="19">
        <v>1.9297568506368197</v>
      </c>
      <c r="J31" s="19">
        <v>3.8431975403535743</v>
      </c>
      <c r="K31" s="59" t="str">
        <f t="shared" si="0"/>
        <v>1.93 (0.95 – 3.84)</v>
      </c>
      <c r="L31" s="16" t="str">
        <f t="shared" si="1"/>
        <v>1.93
(0.95 – 3.84)</v>
      </c>
      <c r="N31" s="59" t="s">
        <v>457</v>
      </c>
      <c r="O31" s="16" t="s">
        <v>786</v>
      </c>
      <c r="P31">
        <v>8.022E-2</v>
      </c>
      <c r="Q31">
        <v>0.24479999999999999</v>
      </c>
      <c r="R31">
        <v>0.73870000000000002</v>
      </c>
      <c r="S31">
        <v>7</v>
      </c>
      <c r="T31">
        <v>4</v>
      </c>
    </row>
    <row r="32" spans="5:20" ht="15" customHeight="1" x14ac:dyDescent="0.25">
      <c r="E32" s="19">
        <v>4</v>
      </c>
      <c r="F32" s="19">
        <v>1</v>
      </c>
      <c r="G32" s="19" t="s">
        <v>762</v>
      </c>
      <c r="H32" s="19">
        <v>1.004</v>
      </c>
      <c r="I32" s="19">
        <v>1.917</v>
      </c>
      <c r="J32" s="19">
        <v>3.68</v>
      </c>
      <c r="K32" s="59" t="str">
        <f t="shared" si="0"/>
        <v>1.92 (1.00 – 3.68)</v>
      </c>
      <c r="L32" s="16" t="str">
        <f t="shared" si="1"/>
        <v>1.92
(1.00 – 3.68)</v>
      </c>
      <c r="N32" s="59" t="s">
        <v>458</v>
      </c>
      <c r="O32" s="16" t="s">
        <v>787</v>
      </c>
      <c r="P32">
        <v>0.14180000000000001</v>
      </c>
      <c r="Q32">
        <v>0.433</v>
      </c>
      <c r="R32">
        <v>1.3169999999999999</v>
      </c>
      <c r="S32">
        <v>8</v>
      </c>
      <c r="T32">
        <v>4</v>
      </c>
    </row>
    <row r="33" spans="3:20" ht="15" customHeight="1" x14ac:dyDescent="0.25">
      <c r="E33" s="57">
        <v>8</v>
      </c>
      <c r="F33" s="57">
        <v>7</v>
      </c>
      <c r="G33" s="57" t="s">
        <v>799</v>
      </c>
      <c r="H33" s="57">
        <v>0.48559999999999998</v>
      </c>
      <c r="I33" s="57">
        <v>1.7849999999999999</v>
      </c>
      <c r="J33" s="57">
        <v>6.2359999999999998</v>
      </c>
      <c r="K33" s="59" t="str">
        <f t="shared" si="0"/>
        <v>1.79 (0.49 – 6.24)</v>
      </c>
      <c r="L33" s="16" t="str">
        <f t="shared" si="1"/>
        <v>1.79
(0.49 – 6.24)</v>
      </c>
      <c r="N33" s="59" t="s">
        <v>459</v>
      </c>
      <c r="O33" s="16" t="s">
        <v>788</v>
      </c>
      <c r="P33">
        <v>0.26019999999999999</v>
      </c>
      <c r="Q33">
        <v>0.51819999999999999</v>
      </c>
      <c r="R33">
        <v>1.0529999999999999</v>
      </c>
      <c r="S33">
        <v>9</v>
      </c>
      <c r="T33">
        <v>4</v>
      </c>
    </row>
    <row r="34" spans="3:20" ht="15" customHeight="1" x14ac:dyDescent="0.25">
      <c r="E34" s="19">
        <v>3</v>
      </c>
      <c r="F34" s="19">
        <v>8</v>
      </c>
      <c r="G34" s="19" t="s">
        <v>818</v>
      </c>
      <c r="H34" s="19">
        <v>0.63938618925831203</v>
      </c>
      <c r="I34" s="19">
        <v>1.7385257301808066</v>
      </c>
      <c r="J34" s="19">
        <v>4.7709923664122131</v>
      </c>
      <c r="K34" s="59" t="str">
        <f t="shared" si="0"/>
        <v>1.74 (0.64 – 4.77)</v>
      </c>
      <c r="L34" s="16" t="str">
        <f t="shared" si="1"/>
        <v>1.74
(0.64 – 4.77)</v>
      </c>
      <c r="N34" s="59" t="s">
        <v>460</v>
      </c>
      <c r="O34" s="16" t="s">
        <v>789</v>
      </c>
      <c r="P34">
        <v>3.8080000000000003E-2</v>
      </c>
      <c r="Q34">
        <v>7.5990000000000002E-2</v>
      </c>
      <c r="R34">
        <v>0.1482</v>
      </c>
      <c r="S34">
        <v>10</v>
      </c>
      <c r="T34">
        <v>4</v>
      </c>
    </row>
    <row r="35" spans="3:20" ht="15" customHeight="1" x14ac:dyDescent="0.25">
      <c r="E35" s="57">
        <v>5</v>
      </c>
      <c r="F35" s="57">
        <v>3</v>
      </c>
      <c r="G35" s="57" t="s">
        <v>778</v>
      </c>
      <c r="H35" s="57">
        <v>0.45400000000000001</v>
      </c>
      <c r="I35" s="57">
        <v>1.6619999999999999</v>
      </c>
      <c r="J35" s="57">
        <v>7.0709999999999997</v>
      </c>
      <c r="K35" s="59" t="str">
        <f t="shared" si="0"/>
        <v>1.66 (0.45 – 7.07)</v>
      </c>
      <c r="L35" s="16" t="str">
        <f t="shared" si="1"/>
        <v>1.66
(0.45 – 7.07)</v>
      </c>
      <c r="N35" s="59" t="s">
        <v>461</v>
      </c>
      <c r="O35" s="16" t="s">
        <v>790</v>
      </c>
      <c r="P35">
        <v>0.2009</v>
      </c>
      <c r="Q35">
        <v>0.97840000000000005</v>
      </c>
      <c r="R35">
        <v>4.242</v>
      </c>
      <c r="S35">
        <v>6</v>
      </c>
      <c r="T35">
        <v>5</v>
      </c>
    </row>
    <row r="36" spans="3:20" ht="15" customHeight="1" x14ac:dyDescent="0.25">
      <c r="C36" s="56"/>
      <c r="D36" s="57"/>
      <c r="E36" s="19">
        <v>6</v>
      </c>
      <c r="F36" s="59">
        <v>3</v>
      </c>
      <c r="G36" s="54" t="s">
        <v>779</v>
      </c>
      <c r="H36" s="16">
        <v>0.84330000000000005</v>
      </c>
      <c r="I36" s="16">
        <v>1.625</v>
      </c>
      <c r="J36" s="16">
        <v>3.2349999999999999</v>
      </c>
      <c r="K36" s="59" t="str">
        <f t="shared" si="0"/>
        <v>1.63 (0.84 – 3.24)</v>
      </c>
      <c r="L36" s="16" t="str">
        <f t="shared" si="1"/>
        <v>1.63
(0.84 – 3.24)</v>
      </c>
      <c r="M36" s="57"/>
      <c r="N36" s="59" t="s">
        <v>462</v>
      </c>
      <c r="O36" s="16" t="s">
        <v>791</v>
      </c>
      <c r="P36">
        <v>3.8330000000000003E-2</v>
      </c>
      <c r="Q36">
        <v>0.19270000000000001</v>
      </c>
      <c r="R36">
        <v>0.88859999999999995</v>
      </c>
      <c r="S36">
        <v>7</v>
      </c>
      <c r="T36">
        <v>5</v>
      </c>
    </row>
    <row r="37" spans="3:20" ht="15" customHeight="1" x14ac:dyDescent="0.25">
      <c r="C37" s="56"/>
      <c r="D37" s="57"/>
      <c r="E37" s="57">
        <v>1</v>
      </c>
      <c r="F37" s="57">
        <v>2</v>
      </c>
      <c r="G37" s="57" t="s">
        <v>823</v>
      </c>
      <c r="H37" s="57">
        <v>1.1272686281140796</v>
      </c>
      <c r="I37" s="57">
        <v>1.5295197308045272</v>
      </c>
      <c r="J37" s="57">
        <v>2.0920502092050208</v>
      </c>
      <c r="K37" s="59" t="str">
        <f t="shared" si="0"/>
        <v>1.53 (1.13 – 2.09)</v>
      </c>
      <c r="L37" s="16" t="str">
        <f t="shared" si="1"/>
        <v>1.53
(1.13 – 2.09)</v>
      </c>
      <c r="M37" s="57"/>
      <c r="N37" s="59" t="s">
        <v>463</v>
      </c>
      <c r="O37" s="16" t="s">
        <v>792</v>
      </c>
      <c r="P37">
        <v>6.4759999999999998E-2</v>
      </c>
      <c r="Q37">
        <v>0.34320000000000001</v>
      </c>
      <c r="R37">
        <v>1.6040000000000001</v>
      </c>
      <c r="S37">
        <v>8</v>
      </c>
      <c r="T37">
        <v>5</v>
      </c>
    </row>
    <row r="38" spans="3:20" ht="15" customHeight="1" x14ac:dyDescent="0.25">
      <c r="C38" s="56"/>
      <c r="D38" s="57"/>
      <c r="E38" s="57">
        <v>9</v>
      </c>
      <c r="F38" s="57">
        <v>2</v>
      </c>
      <c r="G38" s="57" t="s">
        <v>775</v>
      </c>
      <c r="H38" s="57">
        <v>0.94589999999999996</v>
      </c>
      <c r="I38" s="57">
        <v>1.514</v>
      </c>
      <c r="J38" s="57">
        <v>2.56</v>
      </c>
      <c r="K38" s="59" t="str">
        <f t="shared" si="0"/>
        <v>1.51 (0.95 – 2.56)</v>
      </c>
      <c r="L38" s="16" t="str">
        <f t="shared" si="1"/>
        <v>1.51
(0.95 – 2.56)</v>
      </c>
      <c r="M38" s="57"/>
      <c r="N38" s="59" t="s">
        <v>464</v>
      </c>
      <c r="O38" s="16" t="s">
        <v>793</v>
      </c>
      <c r="P38">
        <v>9.6579999999999999E-2</v>
      </c>
      <c r="Q38">
        <v>0.41270000000000001</v>
      </c>
      <c r="R38">
        <v>1.5740000000000001</v>
      </c>
      <c r="S38">
        <v>9</v>
      </c>
      <c r="T38">
        <v>5</v>
      </c>
    </row>
    <row r="39" spans="3:20" ht="15" customHeight="1" x14ac:dyDescent="0.25">
      <c r="C39" s="56"/>
      <c r="D39" s="57"/>
      <c r="E39" s="19">
        <v>3</v>
      </c>
      <c r="F39" s="19">
        <v>9</v>
      </c>
      <c r="G39" s="19" t="s">
        <v>817</v>
      </c>
      <c r="H39" s="19">
        <v>0.87260034904013972</v>
      </c>
      <c r="I39" s="19">
        <v>1.4583637159107481</v>
      </c>
      <c r="J39" s="19">
        <v>2.3685457129322596</v>
      </c>
      <c r="K39" s="59" t="str">
        <f t="shared" si="0"/>
        <v>1.46 (0.87 – 2.37)</v>
      </c>
      <c r="L39" s="16" t="str">
        <f t="shared" si="1"/>
        <v>1.46
(0.87 – 2.37)</v>
      </c>
      <c r="M39" s="57"/>
      <c r="N39" s="59" t="s">
        <v>465</v>
      </c>
      <c r="O39" s="16" t="s">
        <v>794</v>
      </c>
      <c r="P39">
        <v>1.4200000000000001E-2</v>
      </c>
      <c r="Q39">
        <v>6.0499999999999998E-2</v>
      </c>
      <c r="R39">
        <v>0.222</v>
      </c>
      <c r="S39">
        <v>10</v>
      </c>
      <c r="T39">
        <v>5</v>
      </c>
    </row>
    <row r="40" spans="3:20" ht="15" customHeight="1" x14ac:dyDescent="0.25">
      <c r="C40" s="56"/>
      <c r="D40" s="57"/>
      <c r="E40" s="19">
        <v>3</v>
      </c>
      <c r="F40" s="19">
        <v>1</v>
      </c>
      <c r="G40" s="19" t="s">
        <v>761</v>
      </c>
      <c r="H40" s="19">
        <v>0.9415</v>
      </c>
      <c r="I40" s="19">
        <v>1.4450000000000001</v>
      </c>
      <c r="J40" s="19">
        <v>2.2410000000000001</v>
      </c>
      <c r="K40" s="59" t="str">
        <f t="shared" si="0"/>
        <v>1.45 (0.94 – 2.24)</v>
      </c>
      <c r="L40" s="16" t="str">
        <f t="shared" si="1"/>
        <v>1.45
(0.94 – 2.24)</v>
      </c>
      <c r="M40" s="57"/>
      <c r="N40" s="59" t="s">
        <v>466</v>
      </c>
      <c r="O40" s="16" t="s">
        <v>795</v>
      </c>
      <c r="P40">
        <v>5.8840000000000003E-2</v>
      </c>
      <c r="Q40">
        <v>0.19969999999999999</v>
      </c>
      <c r="R40">
        <v>0.64300000000000002</v>
      </c>
      <c r="S40">
        <v>7</v>
      </c>
      <c r="T40">
        <v>6</v>
      </c>
    </row>
    <row r="41" spans="3:20" ht="15" customHeight="1" x14ac:dyDescent="0.25">
      <c r="C41" s="56"/>
      <c r="D41" s="57"/>
      <c r="E41" s="19">
        <v>2</v>
      </c>
      <c r="F41" s="19">
        <v>7</v>
      </c>
      <c r="G41" s="19" t="s">
        <v>828</v>
      </c>
      <c r="H41" s="19">
        <v>0.5780346820809249</v>
      </c>
      <c r="I41" s="19">
        <v>1.3914011409489355</v>
      </c>
      <c r="J41" s="19">
        <v>3.4059945504087192</v>
      </c>
      <c r="K41" s="59" t="str">
        <f t="shared" si="0"/>
        <v>1.39 (0.58 – 3.41)</v>
      </c>
      <c r="L41" s="16" t="str">
        <f t="shared" si="1"/>
        <v>1.39
(0.58 – 3.41)</v>
      </c>
      <c r="M41" s="57"/>
      <c r="N41" s="59" t="s">
        <v>467</v>
      </c>
      <c r="O41" s="16" t="s">
        <v>796</v>
      </c>
      <c r="P41">
        <v>0.1043</v>
      </c>
      <c r="Q41">
        <v>0.35199999999999998</v>
      </c>
      <c r="R41">
        <v>1.171</v>
      </c>
      <c r="S41">
        <v>8</v>
      </c>
      <c r="T41">
        <v>6</v>
      </c>
    </row>
    <row r="42" spans="3:20" ht="15" customHeight="1" x14ac:dyDescent="0.25">
      <c r="C42" s="56"/>
      <c r="D42" s="57"/>
      <c r="E42" s="19">
        <v>4</v>
      </c>
      <c r="F42" s="19">
        <v>3</v>
      </c>
      <c r="G42" s="19" t="s">
        <v>777</v>
      </c>
      <c r="H42" s="19">
        <v>0.80620000000000003</v>
      </c>
      <c r="I42" s="19">
        <v>1.327</v>
      </c>
      <c r="J42" s="19">
        <v>2.17</v>
      </c>
      <c r="K42" s="59" t="str">
        <f t="shared" si="0"/>
        <v>1.33 (0.81 – 2.17)</v>
      </c>
      <c r="L42" s="16" t="str">
        <f t="shared" si="1"/>
        <v>1.33
(0.81 – 2.17)</v>
      </c>
      <c r="M42" s="57"/>
      <c r="N42" s="59" t="s">
        <v>468</v>
      </c>
      <c r="O42" s="16" t="s">
        <v>797</v>
      </c>
      <c r="P42">
        <v>0.183</v>
      </c>
      <c r="Q42">
        <v>0.42309999999999998</v>
      </c>
      <c r="R42">
        <v>0.9647</v>
      </c>
      <c r="S42">
        <v>9</v>
      </c>
      <c r="T42">
        <v>6</v>
      </c>
    </row>
    <row r="43" spans="3:20" ht="15" customHeight="1" x14ac:dyDescent="0.25">
      <c r="C43" s="56"/>
      <c r="D43" s="57"/>
      <c r="E43" s="57">
        <v>8</v>
      </c>
      <c r="F43" s="57">
        <v>2</v>
      </c>
      <c r="G43" s="57" t="s">
        <v>774</v>
      </c>
      <c r="H43" s="57">
        <v>0.50309999999999999</v>
      </c>
      <c r="I43" s="57">
        <v>1.2729999999999999</v>
      </c>
      <c r="J43" s="57">
        <v>3.194</v>
      </c>
      <c r="K43" s="59" t="str">
        <f t="shared" si="0"/>
        <v>1.27 (0.50 – 3.19)</v>
      </c>
      <c r="L43" s="16" t="str">
        <f t="shared" si="1"/>
        <v>1.27
(0.50 – 3.19)</v>
      </c>
      <c r="M43" s="57"/>
      <c r="N43" s="59" t="s">
        <v>469</v>
      </c>
      <c r="O43" s="16" t="s">
        <v>798</v>
      </c>
      <c r="P43">
        <v>2.6780000000000002E-2</v>
      </c>
      <c r="Q43">
        <v>6.2039999999999998E-2</v>
      </c>
      <c r="R43">
        <v>0.13800000000000001</v>
      </c>
      <c r="S43">
        <v>10</v>
      </c>
      <c r="T43">
        <v>6</v>
      </c>
    </row>
    <row r="44" spans="3:20" ht="15" customHeight="1" x14ac:dyDescent="0.25">
      <c r="C44" s="56"/>
      <c r="D44" s="57"/>
      <c r="E44" s="19">
        <v>5</v>
      </c>
      <c r="F44" s="19">
        <v>4</v>
      </c>
      <c r="G44" s="19" t="s">
        <v>784</v>
      </c>
      <c r="H44" s="19">
        <v>0.314</v>
      </c>
      <c r="I44" s="19">
        <v>1.254</v>
      </c>
      <c r="J44" s="19">
        <v>5.7670000000000003</v>
      </c>
      <c r="K44" s="59" t="str">
        <f t="shared" si="0"/>
        <v>1.25 (0.31 – 5.77)</v>
      </c>
      <c r="L44" s="16" t="str">
        <f t="shared" si="1"/>
        <v>1.25
(0.31 – 5.77)</v>
      </c>
      <c r="M44" s="57"/>
      <c r="N44" s="59" t="s">
        <v>470</v>
      </c>
      <c r="O44" s="16" t="s">
        <v>799</v>
      </c>
      <c r="P44">
        <v>0.48559999999999998</v>
      </c>
      <c r="Q44">
        <v>1.7849999999999999</v>
      </c>
      <c r="R44">
        <v>6.2359999999999998</v>
      </c>
      <c r="S44">
        <v>8</v>
      </c>
      <c r="T44">
        <v>7</v>
      </c>
    </row>
    <row r="45" spans="3:20" ht="15" customHeight="1" x14ac:dyDescent="0.25">
      <c r="C45" s="56"/>
      <c r="D45" s="57"/>
      <c r="E45" s="57">
        <v>6</v>
      </c>
      <c r="F45" s="57">
        <v>4</v>
      </c>
      <c r="G45" s="57" t="s">
        <v>785</v>
      </c>
      <c r="H45" s="57">
        <v>0.61970000000000003</v>
      </c>
      <c r="I45" s="57">
        <v>1.228</v>
      </c>
      <c r="J45" s="57">
        <v>2.4830000000000001</v>
      </c>
      <c r="K45" s="59" t="str">
        <f t="shared" si="0"/>
        <v>1.23 (0.62 – 2.48)</v>
      </c>
      <c r="L45" s="16" t="str">
        <f t="shared" si="1"/>
        <v>1.23
(0.62 – 2.48)</v>
      </c>
      <c r="M45" s="57"/>
      <c r="N45" s="59" t="s">
        <v>471</v>
      </c>
      <c r="O45" s="16" t="s">
        <v>800</v>
      </c>
      <c r="P45">
        <v>0.78720000000000001</v>
      </c>
      <c r="Q45">
        <v>2.1160000000000001</v>
      </c>
      <c r="R45">
        <v>5.9859999999999998</v>
      </c>
      <c r="S45">
        <v>9</v>
      </c>
      <c r="T45">
        <v>7</v>
      </c>
    </row>
    <row r="46" spans="3:20" ht="15" customHeight="1" x14ac:dyDescent="0.25">
      <c r="C46" s="56"/>
      <c r="D46" s="57"/>
      <c r="E46" s="19">
        <v>1</v>
      </c>
      <c r="F46" s="59">
        <v>8</v>
      </c>
      <c r="G46" s="54" t="s">
        <v>822</v>
      </c>
      <c r="H46" s="16">
        <v>0.47415836889521101</v>
      </c>
      <c r="I46" s="16">
        <v>1.2025012025012025</v>
      </c>
      <c r="J46" s="16">
        <v>3.1046258925799441</v>
      </c>
      <c r="K46" s="59" t="str">
        <f t="shared" si="0"/>
        <v>1.20 (0.47 – 3.10)</v>
      </c>
      <c r="L46" s="16" t="str">
        <f t="shared" si="1"/>
        <v>1.20
(0.47 – 3.10)</v>
      </c>
      <c r="M46" s="57"/>
      <c r="N46" s="59" t="s">
        <v>472</v>
      </c>
      <c r="O46" s="16" t="s">
        <v>801</v>
      </c>
      <c r="P46">
        <v>0.11650000000000001</v>
      </c>
      <c r="Q46">
        <v>0.30969999999999998</v>
      </c>
      <c r="R46">
        <v>0.83540000000000003</v>
      </c>
      <c r="S46">
        <v>10</v>
      </c>
      <c r="T46">
        <v>7</v>
      </c>
    </row>
    <row r="47" spans="3:20" ht="15" customHeight="1" x14ac:dyDescent="0.25">
      <c r="C47" s="56"/>
      <c r="D47" s="57"/>
      <c r="E47" s="19">
        <v>9</v>
      </c>
      <c r="F47" s="19">
        <v>8</v>
      </c>
      <c r="G47" s="19" t="s">
        <v>802</v>
      </c>
      <c r="H47" s="19">
        <v>0.43609999999999999</v>
      </c>
      <c r="I47" s="19">
        <v>1.1919999999999999</v>
      </c>
      <c r="J47" s="19">
        <v>3.4009999999999998</v>
      </c>
      <c r="K47" s="59" t="str">
        <f t="shared" si="0"/>
        <v>1.19 (0.44 – 3.40)</v>
      </c>
      <c r="L47" s="16" t="str">
        <f t="shared" si="1"/>
        <v>1.19
(0.44 – 3.40)</v>
      </c>
      <c r="M47" s="57"/>
      <c r="N47" s="59" t="s">
        <v>473</v>
      </c>
      <c r="O47" s="16" t="s">
        <v>802</v>
      </c>
      <c r="P47">
        <v>0.43609999999999999</v>
      </c>
      <c r="Q47">
        <v>1.1919999999999999</v>
      </c>
      <c r="R47">
        <v>3.4009999999999998</v>
      </c>
      <c r="S47">
        <v>9</v>
      </c>
      <c r="T47">
        <v>8</v>
      </c>
    </row>
    <row r="48" spans="3:20" ht="15" customHeight="1" x14ac:dyDescent="0.25">
      <c r="C48" s="56"/>
      <c r="D48" s="57"/>
      <c r="E48" s="19">
        <v>1</v>
      </c>
      <c r="F48" s="59">
        <v>9</v>
      </c>
      <c r="G48" s="54" t="s">
        <v>821</v>
      </c>
      <c r="H48" s="16">
        <v>0.63816209317166561</v>
      </c>
      <c r="I48" s="16">
        <v>1.0114291493880854</v>
      </c>
      <c r="J48" s="16">
        <v>1.5190642564180465</v>
      </c>
      <c r="K48" s="59" t="str">
        <f t="shared" si="0"/>
        <v>1.01 (0.64 – 1.52)</v>
      </c>
      <c r="L48" s="16" t="str">
        <f t="shared" si="1"/>
        <v>1.01
(0.64 – 1.52)</v>
      </c>
      <c r="M48" s="57"/>
      <c r="N48" s="59" t="s">
        <v>474</v>
      </c>
      <c r="O48" s="16" t="s">
        <v>803</v>
      </c>
      <c r="P48">
        <v>6.4089999999999994E-2</v>
      </c>
      <c r="Q48">
        <v>0.17499999999999999</v>
      </c>
      <c r="R48">
        <v>0.48270000000000002</v>
      </c>
      <c r="S48">
        <v>10</v>
      </c>
      <c r="T48">
        <v>8</v>
      </c>
    </row>
    <row r="49" spans="3:20" ht="15" customHeight="1" x14ac:dyDescent="0.25">
      <c r="C49" s="56"/>
      <c r="D49" s="57"/>
      <c r="E49" s="57">
        <v>6</v>
      </c>
      <c r="F49" s="57">
        <v>5</v>
      </c>
      <c r="G49" s="57" t="s">
        <v>790</v>
      </c>
      <c r="H49" s="57">
        <v>0.2009</v>
      </c>
      <c r="I49" s="57">
        <v>0.97840000000000005</v>
      </c>
      <c r="J49" s="57">
        <v>4.242</v>
      </c>
      <c r="K49" s="59" t="str">
        <f t="shared" si="0"/>
        <v>0.98 (0.20 – 4.24)</v>
      </c>
      <c r="L49" s="16" t="str">
        <f t="shared" si="1"/>
        <v>0.98
(0.20 – 4.24)</v>
      </c>
      <c r="M49" s="57"/>
      <c r="N49" s="59" t="s">
        <v>475</v>
      </c>
      <c r="O49" s="16" t="s">
        <v>804</v>
      </c>
      <c r="P49">
        <v>8.7609999999999993E-2</v>
      </c>
      <c r="Q49">
        <v>0.14660000000000001</v>
      </c>
      <c r="R49">
        <v>0.23749999999999999</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str">
        <f>CONCATENATE("Heterogeneity (Vague) = ",INDEX('RE Results (Vague Prior)'!B:H,MATCH("sd",'RE Results (Vague Prior)'!B:B,0),6), " 
95% CrI (",INDEX('RE Results (Vague Prior)'!B:H,MATCH("sd",'RE Results (Vague Prior)'!B:B,0),5)," – ",INDEX('RE Results (Vague Prior)'!B:H,MATCH("sd",'RE Results (Vague Prior)'!B:B,0),7),")")</f>
        <v>Heterogeneity (Vague) = 0.3688 
95% CrI (0.1024 – 0.6803)</v>
      </c>
      <c r="F2" s="57"/>
      <c r="G2" s="57"/>
      <c r="H2" s="57"/>
      <c r="I2" s="57"/>
      <c r="J2" s="57"/>
      <c r="K2" s="57"/>
      <c r="L2" s="57"/>
      <c r="M2" s="57"/>
    </row>
    <row r="3" spans="1:20" x14ac:dyDescent="0.25">
      <c r="F3" s="277" t="str">
        <f>"Random Effects (Vague Prior)"</f>
        <v>Random Effects (Vague Prior)</v>
      </c>
      <c r="G3" s="277"/>
      <c r="H3" s="277"/>
      <c r="I3" s="277"/>
      <c r="J3" s="277"/>
      <c r="K3" s="277"/>
      <c r="L3" s="277"/>
      <c r="N3" s="277" t="str">
        <f>F3</f>
        <v>Random Effects (Vague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54">
        <v>6</v>
      </c>
      <c r="C5" s="54">
        <v>2.0009999999999999</v>
      </c>
      <c r="E5" s="19">
        <v>6</v>
      </c>
      <c r="F5" s="19">
        <v>10</v>
      </c>
      <c r="G5" s="19" t="s">
        <v>808</v>
      </c>
      <c r="H5" s="19">
        <v>6.6622251832111923</v>
      </c>
      <c r="I5" s="19">
        <v>16.812373907195695</v>
      </c>
      <c r="J5" s="19">
        <v>44.622936189201248</v>
      </c>
      <c r="K5" s="59" t="str">
        <f t="shared" ref="K5:K49" si="0">CONCATENATE(TEXT(I5,"0.00")," (",TEXT(H5,"0.00")," – ",TEXT(J5,"0.00"),")")</f>
        <v>16.81 (6.66 – 44.62)</v>
      </c>
      <c r="L5" s="16" t="str">
        <f t="shared" ref="L5:L49" si="1">CONCATENATE(TEXT(I5,"0.00"),"
(",TEXT(H5,"0.00")," – ",TEXT(J5,"0.00"),")")</f>
        <v>16.81
(6.66 – 44.62)</v>
      </c>
      <c r="N5" s="59" t="s">
        <v>431</v>
      </c>
      <c r="O5" s="16" t="s">
        <v>760</v>
      </c>
      <c r="P5">
        <v>0.43919999999999998</v>
      </c>
      <c r="Q5">
        <v>0.64180000000000004</v>
      </c>
      <c r="R5">
        <v>0.91120000000000001</v>
      </c>
      <c r="S5">
        <v>2</v>
      </c>
      <c r="T5">
        <v>1</v>
      </c>
    </row>
    <row r="6" spans="1:20" x14ac:dyDescent="0.25">
      <c r="A6" t="s">
        <v>355</v>
      </c>
      <c r="B6" s="54">
        <v>5</v>
      </c>
      <c r="C6" s="54">
        <v>2.5750000000000002</v>
      </c>
      <c r="E6" s="19">
        <v>5</v>
      </c>
      <c r="F6" s="19">
        <v>10</v>
      </c>
      <c r="G6" s="19" t="s">
        <v>812</v>
      </c>
      <c r="H6" s="19">
        <v>3.7174721189591078</v>
      </c>
      <c r="I6" s="19">
        <v>16.608536787908985</v>
      </c>
      <c r="J6" s="19">
        <v>81.967213114754088</v>
      </c>
      <c r="K6" s="59" t="str">
        <f t="shared" si="0"/>
        <v>16.61 (3.72 – 81.97)</v>
      </c>
      <c r="L6" s="16" t="str">
        <f t="shared" si="1"/>
        <v>16.61
(3.72 – 81.97)</v>
      </c>
      <c r="N6" s="59" t="s">
        <v>432</v>
      </c>
      <c r="O6" s="16" t="s">
        <v>761</v>
      </c>
      <c r="P6">
        <v>0.88019999999999998</v>
      </c>
      <c r="Q6">
        <v>1.4510000000000001</v>
      </c>
      <c r="R6">
        <v>2.3540000000000001</v>
      </c>
      <c r="S6">
        <v>3</v>
      </c>
      <c r="T6">
        <v>1</v>
      </c>
    </row>
    <row r="7" spans="1:20" x14ac:dyDescent="0.25">
      <c r="A7" t="s">
        <v>354</v>
      </c>
      <c r="B7" s="19">
        <v>4</v>
      </c>
      <c r="C7" s="19">
        <v>2.71</v>
      </c>
      <c r="E7" s="19">
        <v>4</v>
      </c>
      <c r="F7" s="19">
        <v>10</v>
      </c>
      <c r="G7" s="19" t="s">
        <v>816</v>
      </c>
      <c r="H7" s="19">
        <v>6.0753341433778862</v>
      </c>
      <c r="I7" s="19">
        <v>13.331555792560993</v>
      </c>
      <c r="J7" s="19">
        <v>29.56830277942046</v>
      </c>
      <c r="K7" s="59" t="str">
        <f t="shared" si="0"/>
        <v>13.33 (6.08 – 29.57)</v>
      </c>
      <c r="L7" s="16" t="str">
        <f t="shared" si="1"/>
        <v>13.33
(6.08 – 29.57)</v>
      </c>
      <c r="N7" s="59" t="s">
        <v>433</v>
      </c>
      <c r="O7" s="16" t="s">
        <v>762</v>
      </c>
      <c r="P7">
        <v>0.89649999999999996</v>
      </c>
      <c r="Q7">
        <v>1.92</v>
      </c>
      <c r="R7">
        <v>4.0469999999999997</v>
      </c>
      <c r="S7">
        <v>4</v>
      </c>
      <c r="T7">
        <v>1</v>
      </c>
    </row>
    <row r="8" spans="1:20" x14ac:dyDescent="0.25">
      <c r="A8" t="s">
        <v>353</v>
      </c>
      <c r="B8" s="19">
        <v>3</v>
      </c>
      <c r="C8" s="19">
        <v>3.859</v>
      </c>
      <c r="E8" s="19">
        <v>3</v>
      </c>
      <c r="F8" s="19">
        <v>10</v>
      </c>
      <c r="G8" s="19" t="s">
        <v>820</v>
      </c>
      <c r="H8" s="19">
        <v>5.9241706161137442</v>
      </c>
      <c r="I8" s="19">
        <v>10.061374383740818</v>
      </c>
      <c r="J8" s="19">
        <v>17.421602787456447</v>
      </c>
      <c r="K8" s="59" t="str">
        <f t="shared" si="0"/>
        <v>10.06 (5.92 – 17.42)</v>
      </c>
      <c r="L8" s="16" t="str">
        <f t="shared" si="1"/>
        <v>10.06
(5.92 – 17.42)</v>
      </c>
      <c r="N8" s="59" t="s">
        <v>434</v>
      </c>
      <c r="O8" s="16" t="s">
        <v>763</v>
      </c>
      <c r="P8">
        <v>0.56359999999999999</v>
      </c>
      <c r="Q8">
        <v>2.3940000000000001</v>
      </c>
      <c r="R8">
        <v>11.14</v>
      </c>
      <c r="S8">
        <v>5</v>
      </c>
      <c r="T8">
        <v>1</v>
      </c>
    </row>
    <row r="9" spans="1:20" x14ac:dyDescent="0.25">
      <c r="A9" t="s">
        <v>359</v>
      </c>
      <c r="B9" s="19">
        <v>9</v>
      </c>
      <c r="C9" s="19">
        <v>5.5979999999999999</v>
      </c>
      <c r="E9" s="19">
        <v>9</v>
      </c>
      <c r="F9" s="19">
        <v>10</v>
      </c>
      <c r="G9" s="19" t="s">
        <v>826</v>
      </c>
      <c r="H9" s="19">
        <v>3.7707390648567118</v>
      </c>
      <c r="I9" s="19">
        <v>7.1022727272727266</v>
      </c>
      <c r="J9" s="19">
        <v>13.636983499249965</v>
      </c>
      <c r="K9" s="59" t="str">
        <f t="shared" si="0"/>
        <v>7.10 (3.77 – 13.64)</v>
      </c>
      <c r="L9" s="16" t="str">
        <f t="shared" si="1"/>
        <v>7.10
(3.77 – 13.64)</v>
      </c>
      <c r="N9" s="59" t="s">
        <v>435</v>
      </c>
      <c r="O9" s="16" t="s">
        <v>764</v>
      </c>
      <c r="P9">
        <v>0.9849</v>
      </c>
      <c r="Q9">
        <v>2.4180000000000001</v>
      </c>
      <c r="R9">
        <v>6.1189999999999998</v>
      </c>
      <c r="S9">
        <v>6</v>
      </c>
      <c r="T9">
        <v>1</v>
      </c>
    </row>
    <row r="10" spans="1:20" x14ac:dyDescent="0.25">
      <c r="A10" t="s">
        <v>351</v>
      </c>
      <c r="B10" s="54">
        <v>1</v>
      </c>
      <c r="C10" s="54">
        <v>5.7060000000000004</v>
      </c>
      <c r="E10" s="19">
        <v>1</v>
      </c>
      <c r="F10" s="19">
        <v>10</v>
      </c>
      <c r="G10" s="19" t="s">
        <v>825</v>
      </c>
      <c r="H10" s="19">
        <v>4.2517006802721093</v>
      </c>
      <c r="I10" s="19">
        <v>6.9444444444444446</v>
      </c>
      <c r="J10" s="19">
        <v>11.657729074376313</v>
      </c>
      <c r="K10" s="59" t="str">
        <f t="shared" si="0"/>
        <v>6.94 (4.25 – 11.66)</v>
      </c>
      <c r="L10" s="16" t="str">
        <f t="shared" si="1"/>
        <v>6.94
(4.25 – 11.66)</v>
      </c>
      <c r="N10" s="59" t="s">
        <v>436</v>
      </c>
      <c r="O10" s="16" t="s">
        <v>765</v>
      </c>
      <c r="P10">
        <v>0.1426</v>
      </c>
      <c r="Q10">
        <v>0.4612</v>
      </c>
      <c r="R10">
        <v>1.454</v>
      </c>
      <c r="S10">
        <v>7</v>
      </c>
      <c r="T10">
        <v>1</v>
      </c>
    </row>
    <row r="11" spans="1:20" x14ac:dyDescent="0.25">
      <c r="A11" t="s">
        <v>358</v>
      </c>
      <c r="B11" s="19">
        <v>8</v>
      </c>
      <c r="C11" s="19">
        <v>6.5030000000000001</v>
      </c>
      <c r="E11" s="19">
        <v>8</v>
      </c>
      <c r="F11" s="19">
        <v>10</v>
      </c>
      <c r="G11" s="19" t="s">
        <v>827</v>
      </c>
      <c r="H11" s="19">
        <v>1.7882689556509297</v>
      </c>
      <c r="I11" s="19">
        <v>5.5741360089186172</v>
      </c>
      <c r="J11" s="19">
        <v>17.041581458759371</v>
      </c>
      <c r="K11" s="59" t="str">
        <f t="shared" si="0"/>
        <v>5.57 (1.79 – 17.04)</v>
      </c>
      <c r="L11" s="16" t="str">
        <f t="shared" si="1"/>
        <v>5.57
(1.79 – 17.04)</v>
      </c>
      <c r="N11" s="59" t="s">
        <v>437</v>
      </c>
      <c r="O11" s="16" t="s">
        <v>766</v>
      </c>
      <c r="P11">
        <v>0.2797</v>
      </c>
      <c r="Q11">
        <v>0.80200000000000005</v>
      </c>
      <c r="R11">
        <v>2.222</v>
      </c>
      <c r="S11">
        <v>8</v>
      </c>
      <c r="T11">
        <v>1</v>
      </c>
    </row>
    <row r="12" spans="1:20" x14ac:dyDescent="0.25">
      <c r="A12" t="s">
        <v>352</v>
      </c>
      <c r="B12" s="19">
        <v>2</v>
      </c>
      <c r="C12" s="19">
        <v>7.8280000000000003</v>
      </c>
      <c r="E12" s="57">
        <v>6</v>
      </c>
      <c r="F12" s="57">
        <v>7</v>
      </c>
      <c r="G12" s="57" t="s">
        <v>807</v>
      </c>
      <c r="H12" s="57">
        <v>1.2838618564642443</v>
      </c>
      <c r="I12" s="57">
        <v>5.2521008403361344</v>
      </c>
      <c r="J12" s="57">
        <v>22.753128555176335</v>
      </c>
      <c r="K12" s="59" t="str">
        <f t="shared" si="0"/>
        <v>5.25 (1.28 – 22.75)</v>
      </c>
      <c r="L12" s="16" t="str">
        <f t="shared" si="1"/>
        <v>5.25
(1.28 – 22.75)</v>
      </c>
      <c r="N12" s="59" t="s">
        <v>438</v>
      </c>
      <c r="O12" s="16" t="s">
        <v>767</v>
      </c>
      <c r="P12">
        <v>0.56079999999999997</v>
      </c>
      <c r="Q12">
        <v>1.0229999999999999</v>
      </c>
      <c r="R12">
        <v>1.8540000000000001</v>
      </c>
      <c r="S12">
        <v>9</v>
      </c>
      <c r="T12">
        <v>1</v>
      </c>
    </row>
    <row r="13" spans="1:20" x14ac:dyDescent="0.25">
      <c r="A13" t="s">
        <v>357</v>
      </c>
      <c r="B13" s="54">
        <v>7</v>
      </c>
      <c r="C13" s="54">
        <v>8.2530000000000001</v>
      </c>
      <c r="E13" s="19">
        <v>5</v>
      </c>
      <c r="F13" s="19">
        <v>7</v>
      </c>
      <c r="G13" s="19" t="s">
        <v>811</v>
      </c>
      <c r="H13" s="19">
        <v>0.88495575221238942</v>
      </c>
      <c r="I13" s="19">
        <v>5.1921079958463139</v>
      </c>
      <c r="J13" s="19">
        <v>33.444816053511708</v>
      </c>
      <c r="K13" s="59" t="str">
        <f t="shared" si="0"/>
        <v>5.19 (0.88 – 33.44)</v>
      </c>
      <c r="L13" s="16" t="str">
        <f t="shared" si="1"/>
        <v>5.19
(0.88 – 33.44)</v>
      </c>
      <c r="N13" s="59" t="s">
        <v>439</v>
      </c>
      <c r="O13" s="16" t="s">
        <v>768</v>
      </c>
      <c r="P13">
        <v>8.5779999999999995E-2</v>
      </c>
      <c r="Q13">
        <v>0.14399999999999999</v>
      </c>
      <c r="R13">
        <v>0.23519999999999999</v>
      </c>
      <c r="S13">
        <v>10</v>
      </c>
      <c r="T13">
        <v>1</v>
      </c>
    </row>
    <row r="14" spans="1:20" x14ac:dyDescent="0.25">
      <c r="A14" t="s">
        <v>360</v>
      </c>
      <c r="B14" s="54">
        <v>10</v>
      </c>
      <c r="C14" s="54">
        <v>9.9670000000000005</v>
      </c>
      <c r="E14" s="57">
        <v>2</v>
      </c>
      <c r="F14" s="57">
        <v>10</v>
      </c>
      <c r="G14" s="57" t="s">
        <v>829</v>
      </c>
      <c r="H14" s="57">
        <v>2.6062027625749282</v>
      </c>
      <c r="I14" s="57">
        <v>4.4543429844097995</v>
      </c>
      <c r="J14" s="57">
        <v>7.59301442672741</v>
      </c>
      <c r="K14" s="59" t="str">
        <f t="shared" si="0"/>
        <v>4.45 (2.61 – 7.59)</v>
      </c>
      <c r="L14" s="16" t="str">
        <f t="shared" si="1"/>
        <v>4.45
(2.61 – 7.59)</v>
      </c>
      <c r="N14" s="59" t="s">
        <v>440</v>
      </c>
      <c r="O14" s="16" t="s">
        <v>769</v>
      </c>
      <c r="P14">
        <v>1.401</v>
      </c>
      <c r="Q14">
        <v>2.2589999999999999</v>
      </c>
      <c r="R14">
        <v>3.7029999999999998</v>
      </c>
      <c r="S14">
        <v>3</v>
      </c>
      <c r="T14">
        <v>2</v>
      </c>
    </row>
    <row r="15" spans="1:20" ht="15" customHeight="1" x14ac:dyDescent="0.25">
      <c r="E15" s="19">
        <v>4</v>
      </c>
      <c r="F15" s="19">
        <v>7</v>
      </c>
      <c r="G15" s="19" t="s">
        <v>815</v>
      </c>
      <c r="H15" s="19">
        <v>1.094331363536879</v>
      </c>
      <c r="I15" s="19">
        <v>4.1614648356221391</v>
      </c>
      <c r="J15" s="19">
        <v>16.010246557796989</v>
      </c>
      <c r="K15" s="59" t="str">
        <f t="shared" si="0"/>
        <v>4.16 (1.09 – 16.01)</v>
      </c>
      <c r="L15" s="16" t="str">
        <f t="shared" si="1"/>
        <v>4.16
(1.09 – 16.01)</v>
      </c>
      <c r="N15" s="59" t="s">
        <v>441</v>
      </c>
      <c r="O15" s="16" t="s">
        <v>770</v>
      </c>
      <c r="P15">
        <v>1.41</v>
      </c>
      <c r="Q15">
        <v>2.9889999999999999</v>
      </c>
      <c r="R15">
        <v>6.37</v>
      </c>
      <c r="S15">
        <v>4</v>
      </c>
      <c r="T15">
        <v>2</v>
      </c>
    </row>
    <row r="16" spans="1:20" ht="15" customHeight="1" x14ac:dyDescent="0.25">
      <c r="E16" s="19">
        <v>6</v>
      </c>
      <c r="F16" s="19">
        <v>2</v>
      </c>
      <c r="G16" s="19" t="s">
        <v>772</v>
      </c>
      <c r="H16" s="19">
        <v>1.54</v>
      </c>
      <c r="I16" s="19">
        <v>3.774</v>
      </c>
      <c r="J16" s="19">
        <v>9.7230000000000008</v>
      </c>
      <c r="K16" s="59" t="str">
        <f t="shared" si="0"/>
        <v>3.77 (1.54 – 9.72)</v>
      </c>
      <c r="L16" s="16" t="str">
        <f t="shared" si="1"/>
        <v>3.77
(1.54 – 9.72)</v>
      </c>
      <c r="N16" s="59" t="s">
        <v>442</v>
      </c>
      <c r="O16" s="16" t="s">
        <v>771</v>
      </c>
      <c r="P16">
        <v>0.92659999999999998</v>
      </c>
      <c r="Q16">
        <v>3.7309999999999999</v>
      </c>
      <c r="R16">
        <v>16.829999999999998</v>
      </c>
      <c r="S16">
        <v>5</v>
      </c>
      <c r="T16">
        <v>2</v>
      </c>
    </row>
    <row r="17" spans="5:20" ht="15" customHeight="1" x14ac:dyDescent="0.25">
      <c r="E17" s="19">
        <v>5</v>
      </c>
      <c r="F17" s="19">
        <v>2</v>
      </c>
      <c r="G17" s="19" t="s">
        <v>771</v>
      </c>
      <c r="H17" s="19">
        <v>0.92659999999999998</v>
      </c>
      <c r="I17" s="19">
        <v>3.7309999999999999</v>
      </c>
      <c r="J17" s="19">
        <v>16.829999999999998</v>
      </c>
      <c r="K17" s="59" t="str">
        <f t="shared" si="0"/>
        <v>3.73 (0.93 – 16.83)</v>
      </c>
      <c r="L17" s="16" t="str">
        <f t="shared" si="1"/>
        <v>3.73
(0.93 – 16.83)</v>
      </c>
      <c r="N17" s="59" t="s">
        <v>443</v>
      </c>
      <c r="O17" s="16" t="s">
        <v>772</v>
      </c>
      <c r="P17">
        <v>1.54</v>
      </c>
      <c r="Q17">
        <v>3.774</v>
      </c>
      <c r="R17">
        <v>9.7230000000000008</v>
      </c>
      <c r="S17">
        <v>6</v>
      </c>
      <c r="T17">
        <v>2</v>
      </c>
    </row>
    <row r="18" spans="5:20" ht="15" customHeight="1" x14ac:dyDescent="0.25">
      <c r="E18" s="19">
        <v>7</v>
      </c>
      <c r="F18" s="19">
        <v>10</v>
      </c>
      <c r="G18" s="19" t="s">
        <v>830</v>
      </c>
      <c r="H18" s="19">
        <v>0.94073377234242717</v>
      </c>
      <c r="I18" s="19">
        <v>3.2010243277848911</v>
      </c>
      <c r="J18" s="19">
        <v>10.850694444444445</v>
      </c>
      <c r="K18" s="59" t="str">
        <f t="shared" si="0"/>
        <v>3.20 (0.94 – 10.85)</v>
      </c>
      <c r="L18" s="16" t="str">
        <f t="shared" si="1"/>
        <v>3.20
(0.94 – 10.85)</v>
      </c>
      <c r="N18" s="59" t="s">
        <v>444</v>
      </c>
      <c r="O18" s="16" t="s">
        <v>773</v>
      </c>
      <c r="P18">
        <v>0.23930000000000001</v>
      </c>
      <c r="Q18">
        <v>0.72140000000000004</v>
      </c>
      <c r="R18">
        <v>2.1640000000000001</v>
      </c>
      <c r="S18">
        <v>7</v>
      </c>
      <c r="T18">
        <v>2</v>
      </c>
    </row>
    <row r="19" spans="5:20" ht="15" customHeight="1" x14ac:dyDescent="0.25">
      <c r="E19" s="19">
        <v>3</v>
      </c>
      <c r="F19" s="59">
        <v>7</v>
      </c>
      <c r="G19" s="54" t="s">
        <v>819</v>
      </c>
      <c r="H19" s="16">
        <v>0.94876660341555974</v>
      </c>
      <c r="I19" s="16">
        <v>3.1367628607277291</v>
      </c>
      <c r="J19" s="16">
        <v>10.547410610695074</v>
      </c>
      <c r="K19" s="59" t="str">
        <f t="shared" si="0"/>
        <v>3.14 (0.95 – 10.55)</v>
      </c>
      <c r="L19" s="16" t="str">
        <f t="shared" si="1"/>
        <v>3.14
(0.95 – 10.55)</v>
      </c>
      <c r="N19" s="59" t="s">
        <v>445</v>
      </c>
      <c r="O19" s="16" t="s">
        <v>774</v>
      </c>
      <c r="P19">
        <v>0.44900000000000001</v>
      </c>
      <c r="Q19">
        <v>1.2509999999999999</v>
      </c>
      <c r="R19">
        <v>3.42</v>
      </c>
      <c r="S19">
        <v>8</v>
      </c>
      <c r="T19">
        <v>2</v>
      </c>
    </row>
    <row r="20" spans="5:20" ht="15" customHeight="1" x14ac:dyDescent="0.25">
      <c r="E20" s="19">
        <v>6</v>
      </c>
      <c r="F20" s="19">
        <v>8</v>
      </c>
      <c r="G20" s="19" t="s">
        <v>806</v>
      </c>
      <c r="H20" s="19">
        <v>0.8025682182985554</v>
      </c>
      <c r="I20" s="19">
        <v>3.0193236714975846</v>
      </c>
      <c r="J20" s="19">
        <v>12.077294685990339</v>
      </c>
      <c r="K20" s="59" t="str">
        <f t="shared" si="0"/>
        <v>3.02 (0.80 – 12.08)</v>
      </c>
      <c r="L20" s="16" t="str">
        <f t="shared" si="1"/>
        <v>3.02
(0.80 – 12.08)</v>
      </c>
      <c r="N20" s="59" t="s">
        <v>446</v>
      </c>
      <c r="O20" s="16" t="s">
        <v>775</v>
      </c>
      <c r="P20">
        <v>0.85299999999999998</v>
      </c>
      <c r="Q20">
        <v>1.595</v>
      </c>
      <c r="R20">
        <v>3.0760000000000001</v>
      </c>
      <c r="S20">
        <v>9</v>
      </c>
      <c r="T20">
        <v>2</v>
      </c>
    </row>
    <row r="21" spans="5:20" ht="15" customHeight="1" x14ac:dyDescent="0.25">
      <c r="E21" s="57">
        <v>5</v>
      </c>
      <c r="F21" s="57">
        <v>8</v>
      </c>
      <c r="G21" s="57" t="s">
        <v>810</v>
      </c>
      <c r="H21" s="57">
        <v>0.53447354355959376</v>
      </c>
      <c r="I21" s="57">
        <v>2.9994001199760052</v>
      </c>
      <c r="J21" s="57">
        <v>18.331805682859763</v>
      </c>
      <c r="K21" s="59" t="str">
        <f t="shared" si="0"/>
        <v>3.00 (0.53 – 18.33)</v>
      </c>
      <c r="L21" s="16" t="str">
        <f t="shared" si="1"/>
        <v>3.00
(0.53 – 18.33)</v>
      </c>
      <c r="N21" s="59" t="s">
        <v>447</v>
      </c>
      <c r="O21" s="16" t="s">
        <v>776</v>
      </c>
      <c r="P21">
        <v>0.13170000000000001</v>
      </c>
      <c r="Q21">
        <v>0.22450000000000001</v>
      </c>
      <c r="R21">
        <v>0.38369999999999999</v>
      </c>
      <c r="S21">
        <v>10</v>
      </c>
      <c r="T21">
        <v>2</v>
      </c>
    </row>
    <row r="22" spans="5:20" ht="15" customHeight="1" x14ac:dyDescent="0.25">
      <c r="E22" s="19">
        <v>4</v>
      </c>
      <c r="F22" s="19">
        <v>2</v>
      </c>
      <c r="G22" s="19" t="s">
        <v>770</v>
      </c>
      <c r="H22" s="19">
        <v>1.41</v>
      </c>
      <c r="I22" s="19">
        <v>2.9889999999999999</v>
      </c>
      <c r="J22" s="19">
        <v>6.37</v>
      </c>
      <c r="K22" s="59" t="str">
        <f t="shared" si="0"/>
        <v>2.99 (1.41 – 6.37)</v>
      </c>
      <c r="L22" s="16" t="str">
        <f t="shared" si="1"/>
        <v>2.99
(1.41 – 6.37)</v>
      </c>
      <c r="N22" s="59" t="s">
        <v>448</v>
      </c>
      <c r="O22" s="16" t="s">
        <v>777</v>
      </c>
      <c r="P22">
        <v>0.72509999999999997</v>
      </c>
      <c r="Q22">
        <v>1.3260000000000001</v>
      </c>
      <c r="R22">
        <v>2.391</v>
      </c>
      <c r="S22">
        <v>4</v>
      </c>
      <c r="T22">
        <v>3</v>
      </c>
    </row>
    <row r="23" spans="5:20" ht="15" customHeight="1" x14ac:dyDescent="0.25">
      <c r="E23" s="19">
        <v>6</v>
      </c>
      <c r="F23" s="19">
        <v>1</v>
      </c>
      <c r="G23" s="19" t="s">
        <v>764</v>
      </c>
      <c r="H23" s="19">
        <v>0.9849</v>
      </c>
      <c r="I23" s="19">
        <v>2.4180000000000001</v>
      </c>
      <c r="J23" s="19">
        <v>6.1189999999999998</v>
      </c>
      <c r="K23" s="59" t="str">
        <f t="shared" si="0"/>
        <v>2.42 (0.98 – 6.12)</v>
      </c>
      <c r="L23" s="16" t="str">
        <f t="shared" si="1"/>
        <v>2.42
(0.98 – 6.12)</v>
      </c>
      <c r="N23" s="59" t="s">
        <v>449</v>
      </c>
      <c r="O23" s="16" t="s">
        <v>778</v>
      </c>
      <c r="P23">
        <v>0.37519999999999998</v>
      </c>
      <c r="Q23">
        <v>1.651</v>
      </c>
      <c r="R23">
        <v>7.9779999999999998</v>
      </c>
      <c r="S23">
        <v>5</v>
      </c>
      <c r="T23">
        <v>3</v>
      </c>
    </row>
    <row r="24" spans="5:20" ht="15" customHeight="1" x14ac:dyDescent="0.25">
      <c r="E24" s="19">
        <v>5</v>
      </c>
      <c r="F24" s="59">
        <v>1</v>
      </c>
      <c r="G24" s="54" t="s">
        <v>763</v>
      </c>
      <c r="H24" s="16">
        <v>0.56359999999999999</v>
      </c>
      <c r="I24" s="16">
        <v>2.3940000000000001</v>
      </c>
      <c r="J24" s="16">
        <v>11.14</v>
      </c>
      <c r="K24" s="59" t="str">
        <f t="shared" si="0"/>
        <v>2.39 (0.56 – 11.14)</v>
      </c>
      <c r="L24" s="16" t="str">
        <f t="shared" si="1"/>
        <v>2.39
(0.56 – 11.14)</v>
      </c>
      <c r="N24" s="59" t="s">
        <v>450</v>
      </c>
      <c r="O24" s="16" t="s">
        <v>779</v>
      </c>
      <c r="P24">
        <v>0.77900000000000003</v>
      </c>
      <c r="Q24">
        <v>1.6719999999999999</v>
      </c>
      <c r="R24">
        <v>3.7309999999999999</v>
      </c>
      <c r="S24">
        <v>6</v>
      </c>
      <c r="T24">
        <v>3</v>
      </c>
    </row>
    <row r="25" spans="5:20" ht="15" customHeight="1" x14ac:dyDescent="0.25">
      <c r="E25" s="57">
        <v>4</v>
      </c>
      <c r="F25" s="57">
        <v>8</v>
      </c>
      <c r="G25" s="57" t="s">
        <v>814</v>
      </c>
      <c r="H25" s="57">
        <v>0.70771408351026188</v>
      </c>
      <c r="I25" s="57">
        <v>2.3809523809523809</v>
      </c>
      <c r="J25" s="57">
        <v>8.4317032040472171</v>
      </c>
      <c r="K25" s="59" t="str">
        <f t="shared" si="0"/>
        <v>2.38 (0.71 – 8.43)</v>
      </c>
      <c r="L25" s="16" t="str">
        <f t="shared" si="1"/>
        <v>2.38
(0.71 – 8.43)</v>
      </c>
      <c r="N25" s="59" t="s">
        <v>451</v>
      </c>
      <c r="O25" s="16" t="s">
        <v>780</v>
      </c>
      <c r="P25">
        <v>9.4810000000000005E-2</v>
      </c>
      <c r="Q25">
        <v>0.31879999999999997</v>
      </c>
      <c r="R25">
        <v>1.054</v>
      </c>
      <c r="S25">
        <v>7</v>
      </c>
      <c r="T25">
        <v>3</v>
      </c>
    </row>
    <row r="26" spans="5:20" ht="15" customHeight="1" x14ac:dyDescent="0.25">
      <c r="E26" s="19">
        <v>6</v>
      </c>
      <c r="F26" s="59">
        <v>9</v>
      </c>
      <c r="G26" s="54" t="s">
        <v>805</v>
      </c>
      <c r="H26" s="16">
        <v>0.8960573476702508</v>
      </c>
      <c r="I26" s="16">
        <v>2.3529411764705883</v>
      </c>
      <c r="J26" s="16">
        <v>6.4808813998703823</v>
      </c>
      <c r="K26" s="59" t="str">
        <f t="shared" si="0"/>
        <v>2.35 (0.90 – 6.48)</v>
      </c>
      <c r="L26" s="16" t="str">
        <f t="shared" si="1"/>
        <v>2.35
(0.90 – 6.48)</v>
      </c>
      <c r="N26" s="59" t="s">
        <v>452</v>
      </c>
      <c r="O26" s="16" t="s">
        <v>781</v>
      </c>
      <c r="P26">
        <v>0.17899999999999999</v>
      </c>
      <c r="Q26">
        <v>0.55469999999999997</v>
      </c>
      <c r="R26">
        <v>1.641</v>
      </c>
      <c r="S26">
        <v>8</v>
      </c>
      <c r="T26">
        <v>3</v>
      </c>
    </row>
    <row r="27" spans="5:20" ht="15" customHeight="1" x14ac:dyDescent="0.25">
      <c r="E27" s="57">
        <v>5</v>
      </c>
      <c r="F27" s="57">
        <v>9</v>
      </c>
      <c r="G27" s="57" t="s">
        <v>809</v>
      </c>
      <c r="H27" s="57">
        <v>0.50377833753148615</v>
      </c>
      <c r="I27" s="57">
        <v>2.3293733985557883</v>
      </c>
      <c r="J27" s="57">
        <v>11.853959222380274</v>
      </c>
      <c r="K27" s="59" t="str">
        <f t="shared" si="0"/>
        <v>2.33 (0.50 – 11.85)</v>
      </c>
      <c r="L27" s="16" t="str">
        <f t="shared" si="1"/>
        <v>2.33
(0.50 – 11.85)</v>
      </c>
      <c r="N27" s="59" t="s">
        <v>453</v>
      </c>
      <c r="O27" s="16" t="s">
        <v>782</v>
      </c>
      <c r="P27">
        <v>0.38500000000000001</v>
      </c>
      <c r="Q27">
        <v>0.70630000000000004</v>
      </c>
      <c r="R27">
        <v>1.3069999999999999</v>
      </c>
      <c r="S27">
        <v>9</v>
      </c>
      <c r="T27">
        <v>3</v>
      </c>
    </row>
    <row r="28" spans="5:20" ht="15" customHeight="1" x14ac:dyDescent="0.25">
      <c r="E28" s="19">
        <v>3</v>
      </c>
      <c r="F28" s="59">
        <v>2</v>
      </c>
      <c r="G28" s="54" t="s">
        <v>769</v>
      </c>
      <c r="H28" s="16">
        <v>1.401</v>
      </c>
      <c r="I28" s="16">
        <v>2.2589999999999999</v>
      </c>
      <c r="J28" s="16">
        <v>3.7029999999999998</v>
      </c>
      <c r="K28" s="59" t="str">
        <f t="shared" si="0"/>
        <v>2.26 (1.40 – 3.70)</v>
      </c>
      <c r="L28" s="16" t="str">
        <f t="shared" si="1"/>
        <v>2.26
(1.40 – 3.70)</v>
      </c>
      <c r="N28" s="59" t="s">
        <v>454</v>
      </c>
      <c r="O28" s="16" t="s">
        <v>783</v>
      </c>
      <c r="P28">
        <v>5.74E-2</v>
      </c>
      <c r="Q28">
        <v>9.9390000000000006E-2</v>
      </c>
      <c r="R28">
        <v>0.16880000000000001</v>
      </c>
      <c r="S28">
        <v>10</v>
      </c>
      <c r="T28">
        <v>3</v>
      </c>
    </row>
    <row r="29" spans="5:20" ht="15" customHeight="1" x14ac:dyDescent="0.25">
      <c r="E29" s="19">
        <v>9</v>
      </c>
      <c r="F29" s="19">
        <v>7</v>
      </c>
      <c r="G29" s="19" t="s">
        <v>800</v>
      </c>
      <c r="H29" s="19">
        <v>0.62609999999999999</v>
      </c>
      <c r="I29" s="19">
        <v>2.214</v>
      </c>
      <c r="J29" s="19">
        <v>8.032</v>
      </c>
      <c r="K29" s="59" t="str">
        <f t="shared" si="0"/>
        <v>2.21 (0.63 – 8.03)</v>
      </c>
      <c r="L29" s="16" t="str">
        <f t="shared" si="1"/>
        <v>2.21
(0.63 – 8.03)</v>
      </c>
      <c r="N29" s="59" t="s">
        <v>455</v>
      </c>
      <c r="O29" s="16" t="s">
        <v>784</v>
      </c>
      <c r="P29">
        <v>0.25700000000000001</v>
      </c>
      <c r="Q29">
        <v>1.246</v>
      </c>
      <c r="R29">
        <v>6.6950000000000003</v>
      </c>
      <c r="S29">
        <v>5</v>
      </c>
      <c r="T29">
        <v>4</v>
      </c>
    </row>
    <row r="30" spans="5:20" ht="15" customHeight="1" x14ac:dyDescent="0.25">
      <c r="E30" s="57">
        <v>1</v>
      </c>
      <c r="F30" s="57">
        <v>7</v>
      </c>
      <c r="G30" s="57" t="s">
        <v>824</v>
      </c>
      <c r="H30" s="57">
        <v>0.68775790921595603</v>
      </c>
      <c r="I30" s="57">
        <v>2.1682567215958368</v>
      </c>
      <c r="J30" s="57">
        <v>7.0126227208976157</v>
      </c>
      <c r="K30" s="59" t="str">
        <f t="shared" si="0"/>
        <v>2.17 (0.69 – 7.01)</v>
      </c>
      <c r="L30" s="16" t="str">
        <f t="shared" si="1"/>
        <v>2.17
(0.69 – 7.01)</v>
      </c>
      <c r="N30" s="59" t="s">
        <v>456</v>
      </c>
      <c r="O30" s="16" t="s">
        <v>785</v>
      </c>
      <c r="P30">
        <v>0.56950000000000001</v>
      </c>
      <c r="Q30">
        <v>1.2609999999999999</v>
      </c>
      <c r="R30">
        <v>2.9289999999999998</v>
      </c>
      <c r="S30">
        <v>6</v>
      </c>
      <c r="T30">
        <v>4</v>
      </c>
    </row>
    <row r="31" spans="5:20" ht="15" customHeight="1" x14ac:dyDescent="0.25">
      <c r="E31" s="19">
        <v>4</v>
      </c>
      <c r="F31" s="59">
        <v>1</v>
      </c>
      <c r="G31" s="54" t="s">
        <v>762</v>
      </c>
      <c r="H31" s="16">
        <v>0.89649999999999996</v>
      </c>
      <c r="I31" s="16">
        <v>1.92</v>
      </c>
      <c r="J31" s="16">
        <v>4.0469999999999997</v>
      </c>
      <c r="K31" s="59" t="str">
        <f t="shared" si="0"/>
        <v>1.92 (0.90 – 4.05)</v>
      </c>
      <c r="L31" s="16" t="str">
        <f t="shared" si="1"/>
        <v>1.92
(0.90 – 4.05)</v>
      </c>
      <c r="N31" s="59" t="s">
        <v>457</v>
      </c>
      <c r="O31" s="16" t="s">
        <v>786</v>
      </c>
      <c r="P31">
        <v>6.2460000000000002E-2</v>
      </c>
      <c r="Q31">
        <v>0.24030000000000001</v>
      </c>
      <c r="R31">
        <v>0.91379999999999995</v>
      </c>
      <c r="S31">
        <v>7</v>
      </c>
      <c r="T31">
        <v>4</v>
      </c>
    </row>
    <row r="32" spans="5:20" ht="15" customHeight="1" x14ac:dyDescent="0.25">
      <c r="E32" s="19">
        <v>4</v>
      </c>
      <c r="F32" s="19">
        <v>9</v>
      </c>
      <c r="G32" s="19" t="s">
        <v>813</v>
      </c>
      <c r="H32" s="19">
        <v>0.80321285140562237</v>
      </c>
      <c r="I32" s="19">
        <v>1.8754688672168043</v>
      </c>
      <c r="J32" s="19">
        <v>4.3402777777777777</v>
      </c>
      <c r="K32" s="59" t="str">
        <f t="shared" si="0"/>
        <v>1.88 (0.80 – 4.34)</v>
      </c>
      <c r="L32" s="16" t="str">
        <f t="shared" si="1"/>
        <v>1.88
(0.80 – 4.34)</v>
      </c>
      <c r="N32" s="59" t="s">
        <v>458</v>
      </c>
      <c r="O32" s="16" t="s">
        <v>787</v>
      </c>
      <c r="P32">
        <v>0.1186</v>
      </c>
      <c r="Q32">
        <v>0.42</v>
      </c>
      <c r="R32">
        <v>1.413</v>
      </c>
      <c r="S32">
        <v>8</v>
      </c>
      <c r="T32">
        <v>4</v>
      </c>
    </row>
    <row r="33" spans="3:20" ht="15" customHeight="1" x14ac:dyDescent="0.25">
      <c r="E33" s="57">
        <v>3</v>
      </c>
      <c r="F33" s="57">
        <v>8</v>
      </c>
      <c r="G33" s="57" t="s">
        <v>818</v>
      </c>
      <c r="H33" s="57">
        <v>0.60938452163315049</v>
      </c>
      <c r="I33" s="57">
        <v>1.8027762754642149</v>
      </c>
      <c r="J33" s="57">
        <v>5.5865921787709496</v>
      </c>
      <c r="K33" s="59" t="str">
        <f t="shared" si="0"/>
        <v>1.80 (0.61 – 5.59)</v>
      </c>
      <c r="L33" s="16" t="str">
        <f t="shared" si="1"/>
        <v>1.80
(0.61 – 5.59)</v>
      </c>
      <c r="N33" s="59" t="s">
        <v>459</v>
      </c>
      <c r="O33" s="16" t="s">
        <v>788</v>
      </c>
      <c r="P33">
        <v>0.23039999999999999</v>
      </c>
      <c r="Q33">
        <v>0.53320000000000001</v>
      </c>
      <c r="R33">
        <v>1.2450000000000001</v>
      </c>
      <c r="S33">
        <v>9</v>
      </c>
      <c r="T33">
        <v>4</v>
      </c>
    </row>
    <row r="34" spans="3:20" ht="15" customHeight="1" x14ac:dyDescent="0.25">
      <c r="E34" s="57">
        <v>8</v>
      </c>
      <c r="F34" s="57">
        <v>7</v>
      </c>
      <c r="G34" s="57" t="s">
        <v>799</v>
      </c>
      <c r="H34" s="57">
        <v>0.38640000000000002</v>
      </c>
      <c r="I34" s="57">
        <v>1.742</v>
      </c>
      <c r="J34" s="57">
        <v>7.7460000000000004</v>
      </c>
      <c r="K34" s="59" t="str">
        <f t="shared" si="0"/>
        <v>1.74 (0.39 – 7.75)</v>
      </c>
      <c r="L34" s="16" t="str">
        <f t="shared" si="1"/>
        <v>1.74
(0.39 – 7.75)</v>
      </c>
      <c r="N34" s="59" t="s">
        <v>460</v>
      </c>
      <c r="O34" s="16" t="s">
        <v>789</v>
      </c>
      <c r="P34">
        <v>3.3820000000000003E-2</v>
      </c>
      <c r="Q34">
        <v>7.5009999999999993E-2</v>
      </c>
      <c r="R34">
        <v>0.1646</v>
      </c>
      <c r="S34">
        <v>10</v>
      </c>
      <c r="T34">
        <v>4</v>
      </c>
    </row>
    <row r="35" spans="3:20" ht="15" customHeight="1" x14ac:dyDescent="0.25">
      <c r="E35" s="19">
        <v>6</v>
      </c>
      <c r="F35" s="19">
        <v>3</v>
      </c>
      <c r="G35" s="19" t="s">
        <v>779</v>
      </c>
      <c r="H35" s="19">
        <v>0.77900000000000003</v>
      </c>
      <c r="I35" s="19">
        <v>1.6719999999999999</v>
      </c>
      <c r="J35" s="19">
        <v>3.7309999999999999</v>
      </c>
      <c r="K35" s="59" t="str">
        <f t="shared" si="0"/>
        <v>1.67 (0.78 – 3.73)</v>
      </c>
      <c r="L35" s="16" t="str">
        <f t="shared" si="1"/>
        <v>1.67
(0.78 – 3.73)</v>
      </c>
      <c r="N35" s="59" t="s">
        <v>461</v>
      </c>
      <c r="O35" s="16" t="s">
        <v>790</v>
      </c>
      <c r="P35">
        <v>0.1784</v>
      </c>
      <c r="Q35">
        <v>1.016</v>
      </c>
      <c r="R35">
        <v>5.4649999999999999</v>
      </c>
      <c r="S35">
        <v>6</v>
      </c>
      <c r="T35">
        <v>5</v>
      </c>
    </row>
    <row r="36" spans="3:20" ht="15" customHeight="1" x14ac:dyDescent="0.25">
      <c r="C36" s="56"/>
      <c r="D36" s="57"/>
      <c r="E36" s="57">
        <v>5</v>
      </c>
      <c r="F36" s="57">
        <v>3</v>
      </c>
      <c r="G36" s="57" t="s">
        <v>778</v>
      </c>
      <c r="H36" s="57">
        <v>0.37519999999999998</v>
      </c>
      <c r="I36" s="57">
        <v>1.651</v>
      </c>
      <c r="J36" s="57">
        <v>7.9779999999999998</v>
      </c>
      <c r="K36" s="59" t="str">
        <f t="shared" si="0"/>
        <v>1.65 (0.38 – 7.98)</v>
      </c>
      <c r="L36" s="16" t="str">
        <f t="shared" si="1"/>
        <v>1.65
(0.38 – 7.98)</v>
      </c>
      <c r="M36" s="57"/>
      <c r="N36" s="59" t="s">
        <v>462</v>
      </c>
      <c r="O36" s="16" t="s">
        <v>791</v>
      </c>
      <c r="P36">
        <v>2.9899999999999999E-2</v>
      </c>
      <c r="Q36">
        <v>0.19259999999999999</v>
      </c>
      <c r="R36">
        <v>1.1299999999999999</v>
      </c>
      <c r="S36">
        <v>7</v>
      </c>
      <c r="T36">
        <v>5</v>
      </c>
    </row>
    <row r="37" spans="3:20" ht="15" customHeight="1" x14ac:dyDescent="0.25">
      <c r="C37" s="56"/>
      <c r="D37" s="57"/>
      <c r="E37" s="57">
        <v>9</v>
      </c>
      <c r="F37" s="57">
        <v>2</v>
      </c>
      <c r="G37" s="57" t="s">
        <v>775</v>
      </c>
      <c r="H37" s="57">
        <v>0.85299999999999998</v>
      </c>
      <c r="I37" s="57">
        <v>1.595</v>
      </c>
      <c r="J37" s="57">
        <v>3.0760000000000001</v>
      </c>
      <c r="K37" s="59" t="str">
        <f t="shared" si="0"/>
        <v>1.60 (0.85 – 3.08)</v>
      </c>
      <c r="L37" s="16" t="str">
        <f t="shared" si="1"/>
        <v>1.60
(0.85 – 3.08)</v>
      </c>
      <c r="M37" s="57"/>
      <c r="N37" s="59" t="s">
        <v>463</v>
      </c>
      <c r="O37" s="16" t="s">
        <v>792</v>
      </c>
      <c r="P37">
        <v>5.4550000000000001E-2</v>
      </c>
      <c r="Q37">
        <v>0.33339999999999997</v>
      </c>
      <c r="R37">
        <v>1.871</v>
      </c>
      <c r="S37">
        <v>8</v>
      </c>
      <c r="T37">
        <v>5</v>
      </c>
    </row>
    <row r="38" spans="3:20" ht="15" customHeight="1" x14ac:dyDescent="0.25">
      <c r="C38" s="56"/>
      <c r="D38" s="57"/>
      <c r="E38" s="19">
        <v>1</v>
      </c>
      <c r="F38" s="59">
        <v>2</v>
      </c>
      <c r="G38" s="54" t="s">
        <v>823</v>
      </c>
      <c r="H38" s="16">
        <v>1.0974539069359086</v>
      </c>
      <c r="I38" s="16">
        <v>1.558117793705204</v>
      </c>
      <c r="J38" s="16">
        <v>2.2768670309653918</v>
      </c>
      <c r="K38" s="59" t="str">
        <f t="shared" si="0"/>
        <v>1.56 (1.10 – 2.28)</v>
      </c>
      <c r="L38" s="16" t="str">
        <f t="shared" si="1"/>
        <v>1.56
(1.10 – 2.28)</v>
      </c>
      <c r="M38" s="57"/>
      <c r="N38" s="59" t="s">
        <v>464</v>
      </c>
      <c r="O38" s="16" t="s">
        <v>793</v>
      </c>
      <c r="P38">
        <v>8.4360000000000004E-2</v>
      </c>
      <c r="Q38">
        <v>0.42930000000000001</v>
      </c>
      <c r="R38">
        <v>1.9850000000000001</v>
      </c>
      <c r="S38">
        <v>9</v>
      </c>
      <c r="T38">
        <v>5</v>
      </c>
    </row>
    <row r="39" spans="3:20" ht="15" customHeight="1" x14ac:dyDescent="0.25">
      <c r="C39" s="56"/>
      <c r="D39" s="57"/>
      <c r="E39" s="19">
        <v>3</v>
      </c>
      <c r="F39" s="59">
        <v>1</v>
      </c>
      <c r="G39" s="54" t="s">
        <v>761</v>
      </c>
      <c r="H39" s="16">
        <v>0.88019999999999998</v>
      </c>
      <c r="I39" s="16">
        <v>1.4510000000000001</v>
      </c>
      <c r="J39" s="16">
        <v>2.3540000000000001</v>
      </c>
      <c r="K39" s="59" t="str">
        <f t="shared" si="0"/>
        <v>1.45 (0.88 – 2.35)</v>
      </c>
      <c r="L39" s="16" t="str">
        <f t="shared" si="1"/>
        <v>1.45
(0.88 – 2.35)</v>
      </c>
      <c r="M39" s="57"/>
      <c r="N39" s="59" t="s">
        <v>465</v>
      </c>
      <c r="O39" s="16" t="s">
        <v>794</v>
      </c>
      <c r="P39">
        <v>1.2200000000000001E-2</v>
      </c>
      <c r="Q39">
        <v>6.021E-2</v>
      </c>
      <c r="R39">
        <v>0.26900000000000002</v>
      </c>
      <c r="S39">
        <v>10</v>
      </c>
      <c r="T39">
        <v>5</v>
      </c>
    </row>
    <row r="40" spans="3:20" ht="15" customHeight="1" x14ac:dyDescent="0.25">
      <c r="C40" s="56"/>
      <c r="D40" s="57"/>
      <c r="E40" s="19">
        <v>3</v>
      </c>
      <c r="F40" s="19">
        <v>9</v>
      </c>
      <c r="G40" s="19" t="s">
        <v>817</v>
      </c>
      <c r="H40" s="19">
        <v>0.76511094108645761</v>
      </c>
      <c r="I40" s="19">
        <v>1.4158289678606824</v>
      </c>
      <c r="J40" s="19">
        <v>2.5974025974025974</v>
      </c>
      <c r="K40" s="59" t="str">
        <f t="shared" si="0"/>
        <v>1.42 (0.77 – 2.60)</v>
      </c>
      <c r="L40" s="16" t="str">
        <f t="shared" si="1"/>
        <v>1.42
(0.77 – 2.60)</v>
      </c>
      <c r="M40" s="57"/>
      <c r="N40" s="59" t="s">
        <v>466</v>
      </c>
      <c r="O40" s="16" t="s">
        <v>795</v>
      </c>
      <c r="P40">
        <v>4.3950000000000003E-2</v>
      </c>
      <c r="Q40">
        <v>0.19040000000000001</v>
      </c>
      <c r="R40">
        <v>0.77890000000000004</v>
      </c>
      <c r="S40">
        <v>7</v>
      </c>
      <c r="T40">
        <v>6</v>
      </c>
    </row>
    <row r="41" spans="3:20" ht="15" customHeight="1" x14ac:dyDescent="0.25">
      <c r="C41" s="56"/>
      <c r="D41" s="57"/>
      <c r="E41" s="19">
        <v>2</v>
      </c>
      <c r="F41" s="59">
        <v>7</v>
      </c>
      <c r="G41" s="54" t="s">
        <v>828</v>
      </c>
      <c r="H41" s="16">
        <v>0.46210720887245837</v>
      </c>
      <c r="I41" s="16">
        <v>1.386193512614361</v>
      </c>
      <c r="J41" s="16">
        <v>4.1788549937317176</v>
      </c>
      <c r="K41" s="59" t="str">
        <f t="shared" si="0"/>
        <v>1.39 (0.46 – 4.18)</v>
      </c>
      <c r="L41" s="16" t="str">
        <f t="shared" si="1"/>
        <v>1.39
(0.46 – 4.18)</v>
      </c>
      <c r="M41" s="57"/>
      <c r="N41" s="59" t="s">
        <v>467</v>
      </c>
      <c r="O41" s="16" t="s">
        <v>796</v>
      </c>
      <c r="P41">
        <v>8.2799999999999999E-2</v>
      </c>
      <c r="Q41">
        <v>0.33119999999999999</v>
      </c>
      <c r="R41">
        <v>1.246</v>
      </c>
      <c r="S41">
        <v>8</v>
      </c>
      <c r="T41">
        <v>6</v>
      </c>
    </row>
    <row r="42" spans="3:20" ht="15" customHeight="1" x14ac:dyDescent="0.25">
      <c r="C42" s="56"/>
      <c r="D42" s="57"/>
      <c r="E42" s="19">
        <v>4</v>
      </c>
      <c r="F42" s="19">
        <v>3</v>
      </c>
      <c r="G42" s="19" t="s">
        <v>777</v>
      </c>
      <c r="H42" s="19">
        <v>0.72509999999999997</v>
      </c>
      <c r="I42" s="19">
        <v>1.3260000000000001</v>
      </c>
      <c r="J42" s="19">
        <v>2.391</v>
      </c>
      <c r="K42" s="59" t="str">
        <f t="shared" si="0"/>
        <v>1.33 (0.73 – 2.39)</v>
      </c>
      <c r="L42" s="16" t="str">
        <f t="shared" si="1"/>
        <v>1.33
(0.73 – 2.39)</v>
      </c>
      <c r="M42" s="57"/>
      <c r="N42" s="59" t="s">
        <v>468</v>
      </c>
      <c r="O42" s="16" t="s">
        <v>797</v>
      </c>
      <c r="P42">
        <v>0.15429999999999999</v>
      </c>
      <c r="Q42">
        <v>0.42499999999999999</v>
      </c>
      <c r="R42">
        <v>1.1160000000000001</v>
      </c>
      <c r="S42">
        <v>9</v>
      </c>
      <c r="T42">
        <v>6</v>
      </c>
    </row>
    <row r="43" spans="3:20" ht="15" customHeight="1" x14ac:dyDescent="0.25">
      <c r="C43" s="56"/>
      <c r="D43" s="57"/>
      <c r="E43" s="19">
        <v>9</v>
      </c>
      <c r="F43" s="59">
        <v>8</v>
      </c>
      <c r="G43" s="54" t="s">
        <v>802</v>
      </c>
      <c r="H43" s="16">
        <v>0.40450000000000003</v>
      </c>
      <c r="I43" s="16">
        <v>1.2749999999999999</v>
      </c>
      <c r="J43" s="16">
        <v>4.2229999999999999</v>
      </c>
      <c r="K43" s="59" t="str">
        <f t="shared" si="0"/>
        <v>1.28 (0.40 – 4.22)</v>
      </c>
      <c r="L43" s="16" t="str">
        <f t="shared" si="1"/>
        <v>1.28
(0.40 – 4.22)</v>
      </c>
      <c r="M43" s="57"/>
      <c r="N43" s="59" t="s">
        <v>469</v>
      </c>
      <c r="O43" s="16" t="s">
        <v>798</v>
      </c>
      <c r="P43">
        <v>2.2409999999999999E-2</v>
      </c>
      <c r="Q43">
        <v>5.9479999999999998E-2</v>
      </c>
      <c r="R43">
        <v>0.15010000000000001</v>
      </c>
      <c r="S43">
        <v>10</v>
      </c>
      <c r="T43">
        <v>6</v>
      </c>
    </row>
    <row r="44" spans="3:20" ht="15" customHeight="1" x14ac:dyDescent="0.25">
      <c r="C44" s="56"/>
      <c r="D44" s="57"/>
      <c r="E44" s="57">
        <v>6</v>
      </c>
      <c r="F44" s="57">
        <v>4</v>
      </c>
      <c r="G44" s="57" t="s">
        <v>785</v>
      </c>
      <c r="H44" s="57">
        <v>0.56950000000000001</v>
      </c>
      <c r="I44" s="57">
        <v>1.2609999999999999</v>
      </c>
      <c r="J44" s="57">
        <v>2.9289999999999998</v>
      </c>
      <c r="K44" s="59" t="str">
        <f t="shared" si="0"/>
        <v>1.26 (0.57 – 2.93)</v>
      </c>
      <c r="L44" s="16" t="str">
        <f t="shared" si="1"/>
        <v>1.26
(0.57 – 2.93)</v>
      </c>
      <c r="M44" s="57"/>
      <c r="N44" s="59" t="s">
        <v>470</v>
      </c>
      <c r="O44" s="16" t="s">
        <v>799</v>
      </c>
      <c r="P44">
        <v>0.38640000000000002</v>
      </c>
      <c r="Q44">
        <v>1.742</v>
      </c>
      <c r="R44">
        <v>7.7460000000000004</v>
      </c>
      <c r="S44">
        <v>8</v>
      </c>
      <c r="T44">
        <v>7</v>
      </c>
    </row>
    <row r="45" spans="3:20" ht="15" customHeight="1" x14ac:dyDescent="0.25">
      <c r="C45" s="56"/>
      <c r="D45" s="57"/>
      <c r="E45" s="57">
        <v>8</v>
      </c>
      <c r="F45" s="57">
        <v>2</v>
      </c>
      <c r="G45" s="57" t="s">
        <v>774</v>
      </c>
      <c r="H45" s="57">
        <v>0.44900000000000001</v>
      </c>
      <c r="I45" s="57">
        <v>1.2509999999999999</v>
      </c>
      <c r="J45" s="57">
        <v>3.42</v>
      </c>
      <c r="K45" s="59" t="str">
        <f t="shared" si="0"/>
        <v>1.25 (0.45 – 3.42)</v>
      </c>
      <c r="L45" s="16" t="str">
        <f t="shared" si="1"/>
        <v>1.25
(0.45 – 3.42)</v>
      </c>
      <c r="M45" s="57"/>
      <c r="N45" s="59" t="s">
        <v>471</v>
      </c>
      <c r="O45" s="16" t="s">
        <v>800</v>
      </c>
      <c r="P45">
        <v>0.62609999999999999</v>
      </c>
      <c r="Q45">
        <v>2.214</v>
      </c>
      <c r="R45">
        <v>8.032</v>
      </c>
      <c r="S45">
        <v>9</v>
      </c>
      <c r="T45">
        <v>7</v>
      </c>
    </row>
    <row r="46" spans="3:20" ht="15" customHeight="1" x14ac:dyDescent="0.25">
      <c r="C46" s="56"/>
      <c r="D46" s="57"/>
      <c r="E46" s="57">
        <v>1</v>
      </c>
      <c r="F46" s="57">
        <v>8</v>
      </c>
      <c r="G46" s="57" t="s">
        <v>822</v>
      </c>
      <c r="H46" s="57">
        <v>0.45004500450045004</v>
      </c>
      <c r="I46" s="57">
        <v>1.2468827930174562</v>
      </c>
      <c r="J46" s="57">
        <v>3.575259206292456</v>
      </c>
      <c r="K46" s="59" t="str">
        <f t="shared" si="0"/>
        <v>1.25 (0.45 – 3.58)</v>
      </c>
      <c r="L46" s="16" t="str">
        <f t="shared" si="1"/>
        <v>1.25
(0.45 – 3.58)</v>
      </c>
      <c r="M46" s="57"/>
      <c r="N46" s="59" t="s">
        <v>472</v>
      </c>
      <c r="O46" s="16" t="s">
        <v>801</v>
      </c>
      <c r="P46">
        <v>9.2160000000000006E-2</v>
      </c>
      <c r="Q46">
        <v>0.31240000000000001</v>
      </c>
      <c r="R46">
        <v>1.0629999999999999</v>
      </c>
      <c r="S46">
        <v>10</v>
      </c>
      <c r="T46">
        <v>7</v>
      </c>
    </row>
    <row r="47" spans="3:20" ht="15" customHeight="1" x14ac:dyDescent="0.25">
      <c r="C47" s="56"/>
      <c r="D47" s="57"/>
      <c r="E47" s="57">
        <v>5</v>
      </c>
      <c r="F47" s="57">
        <v>4</v>
      </c>
      <c r="G47" s="57" t="s">
        <v>784</v>
      </c>
      <c r="H47" s="57">
        <v>0.25700000000000001</v>
      </c>
      <c r="I47" s="57">
        <v>1.246</v>
      </c>
      <c r="J47" s="57">
        <v>6.6950000000000003</v>
      </c>
      <c r="K47" s="59" t="str">
        <f t="shared" si="0"/>
        <v>1.25 (0.26 – 6.70)</v>
      </c>
      <c r="L47" s="16" t="str">
        <f t="shared" si="1"/>
        <v>1.25
(0.26 – 6.70)</v>
      </c>
      <c r="M47" s="57"/>
      <c r="N47" s="59" t="s">
        <v>473</v>
      </c>
      <c r="O47" s="16" t="s">
        <v>802</v>
      </c>
      <c r="P47">
        <v>0.40450000000000003</v>
      </c>
      <c r="Q47">
        <v>1.2749999999999999</v>
      </c>
      <c r="R47">
        <v>4.2229999999999999</v>
      </c>
      <c r="S47">
        <v>9</v>
      </c>
      <c r="T47">
        <v>8</v>
      </c>
    </row>
    <row r="48" spans="3:20" ht="15" customHeight="1" x14ac:dyDescent="0.25">
      <c r="C48" s="56"/>
      <c r="D48" s="57"/>
      <c r="E48" s="19">
        <v>9</v>
      </c>
      <c r="F48" s="19">
        <v>1</v>
      </c>
      <c r="G48" s="19" t="s">
        <v>767</v>
      </c>
      <c r="H48" s="19">
        <v>0.56079999999999997</v>
      </c>
      <c r="I48" s="19">
        <v>1.0229999999999999</v>
      </c>
      <c r="J48" s="19">
        <v>1.8540000000000001</v>
      </c>
      <c r="K48" s="59" t="str">
        <f t="shared" si="0"/>
        <v>1.02 (0.56 – 1.85)</v>
      </c>
      <c r="L48" s="16" t="str">
        <f t="shared" si="1"/>
        <v>1.02
(0.56 – 1.85)</v>
      </c>
      <c r="M48" s="57"/>
      <c r="N48" s="59" t="s">
        <v>474</v>
      </c>
      <c r="O48" s="16" t="s">
        <v>803</v>
      </c>
      <c r="P48">
        <v>5.8680000000000003E-2</v>
      </c>
      <c r="Q48">
        <v>0.1794</v>
      </c>
      <c r="R48">
        <v>0.55920000000000003</v>
      </c>
      <c r="S48">
        <v>10</v>
      </c>
      <c r="T48">
        <v>8</v>
      </c>
    </row>
    <row r="49" spans="3:20" ht="15" customHeight="1" x14ac:dyDescent="0.25">
      <c r="C49" s="56"/>
      <c r="D49" s="57"/>
      <c r="E49" s="19">
        <v>6</v>
      </c>
      <c r="F49" s="59">
        <v>5</v>
      </c>
      <c r="G49" s="54" t="s">
        <v>790</v>
      </c>
      <c r="H49" s="16">
        <v>0.1784</v>
      </c>
      <c r="I49" s="16">
        <v>1.016</v>
      </c>
      <c r="J49" s="16">
        <v>5.4649999999999999</v>
      </c>
      <c r="K49" s="59" t="str">
        <f t="shared" si="0"/>
        <v>1.02 (0.18 – 5.47)</v>
      </c>
      <c r="L49" s="16" t="str">
        <f t="shared" si="1"/>
        <v>1.02
(0.18 – 5.47)</v>
      </c>
      <c r="M49" s="57"/>
      <c r="N49" s="59" t="s">
        <v>475</v>
      </c>
      <c r="O49" s="16" t="s">
        <v>804</v>
      </c>
      <c r="P49">
        <v>7.3330000000000006E-2</v>
      </c>
      <c r="Q49">
        <v>0.14080000000000001</v>
      </c>
      <c r="R49">
        <v>0.26519999999999999</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49">
    <sortCondition descending="1" ref="I4"/>
  </sortState>
  <dataConsolidate/>
  <mergeCells count="2">
    <mergeCell ref="F3:L3"/>
    <mergeCell ref="N3:T3"/>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2" width="9.140625" customWidth="1"/>
    <col min="23" max="52" width="9.140625" hidden="1" customWidth="1"/>
  </cols>
  <sheetData>
    <row r="3" spans="2:22" ht="18.75" x14ac:dyDescent="0.3">
      <c r="B3" s="278"/>
      <c r="C3" s="278"/>
      <c r="D3" s="278"/>
      <c r="E3" s="278"/>
      <c r="F3" s="278"/>
      <c r="G3" s="278"/>
      <c r="H3" s="278"/>
      <c r="I3" s="278"/>
      <c r="J3" s="278"/>
    </row>
    <row r="4" spans="2:22" ht="15.75" thickBot="1" x14ac:dyDescent="0.3">
      <c r="B4" s="14"/>
      <c r="C4" s="14"/>
      <c r="D4" s="15"/>
      <c r="E4" s="15"/>
      <c r="F4" s="15"/>
      <c r="G4" s="15"/>
      <c r="H4" s="15"/>
      <c r="I4" s="15"/>
      <c r="J4" s="15"/>
      <c r="M4" t="s">
        <v>351</v>
      </c>
      <c r="N4" t="s">
        <v>352</v>
      </c>
      <c r="O4" t="s">
        <v>353</v>
      </c>
      <c r="P4" t="s">
        <v>354</v>
      </c>
      <c r="Q4" t="s">
        <v>355</v>
      </c>
      <c r="R4" t="s">
        <v>356</v>
      </c>
      <c r="S4" t="s">
        <v>357</v>
      </c>
      <c r="T4" t="s">
        <v>358</v>
      </c>
      <c r="U4" t="s">
        <v>359</v>
      </c>
      <c r="V4" t="s">
        <v>360</v>
      </c>
    </row>
    <row r="5" spans="2:22" x14ac:dyDescent="0.25">
      <c r="B5" t="s">
        <v>590</v>
      </c>
      <c r="C5" s="17" t="s">
        <v>351</v>
      </c>
      <c r="D5" s="17">
        <v>1</v>
      </c>
      <c r="E5">
        <v>5.4169999999999999E-4</v>
      </c>
      <c r="F5">
        <v>2.3269999999999999E-2</v>
      </c>
      <c r="G5">
        <v>7.47E-5</v>
      </c>
      <c r="H5">
        <v>0</v>
      </c>
      <c r="I5">
        <v>0</v>
      </c>
      <c r="J5">
        <v>0</v>
      </c>
      <c r="L5">
        <v>1</v>
      </c>
      <c r="M5">
        <v>5.4169999999999999E-4</v>
      </c>
      <c r="N5">
        <v>0</v>
      </c>
      <c r="O5">
        <v>6.5079999999999999E-3</v>
      </c>
      <c r="P5">
        <v>0.1193</v>
      </c>
      <c r="Q5">
        <v>0.45279999999999998</v>
      </c>
      <c r="R5">
        <v>0.3982</v>
      </c>
      <c r="S5">
        <v>2.1329999999999999E-3</v>
      </c>
      <c r="T5">
        <v>1.6490000000000001E-2</v>
      </c>
      <c r="U5">
        <v>4.1000000000000003E-3</v>
      </c>
      <c r="V5">
        <v>0</v>
      </c>
    </row>
    <row r="6" spans="2:22" x14ac:dyDescent="0.25">
      <c r="B6" t="s">
        <v>591</v>
      </c>
      <c r="C6" s="17" t="s">
        <v>351</v>
      </c>
      <c r="D6" s="17">
        <v>2</v>
      </c>
      <c r="E6">
        <v>4.6249999999999998E-3</v>
      </c>
      <c r="F6">
        <v>6.7849999999999994E-2</v>
      </c>
      <c r="G6">
        <v>2.678E-4</v>
      </c>
      <c r="H6">
        <v>0</v>
      </c>
      <c r="I6">
        <v>0</v>
      </c>
      <c r="J6">
        <v>0</v>
      </c>
      <c r="L6">
        <v>2</v>
      </c>
      <c r="M6">
        <v>4.6249999999999998E-3</v>
      </c>
      <c r="N6">
        <v>8.3329999999999997E-6</v>
      </c>
      <c r="O6">
        <v>5.772E-2</v>
      </c>
      <c r="P6">
        <v>0.3538</v>
      </c>
      <c r="Q6">
        <v>0.16309999999999999</v>
      </c>
      <c r="R6">
        <v>0.36530000000000001</v>
      </c>
      <c r="S6">
        <v>6.0080000000000003E-3</v>
      </c>
      <c r="T6">
        <v>3.116E-2</v>
      </c>
      <c r="U6">
        <v>1.8249999999999999E-2</v>
      </c>
      <c r="V6">
        <v>0</v>
      </c>
    </row>
    <row r="7" spans="2:22" x14ac:dyDescent="0.25">
      <c r="B7" t="s">
        <v>592</v>
      </c>
      <c r="C7" s="17" t="s">
        <v>351</v>
      </c>
      <c r="D7" s="17">
        <v>3</v>
      </c>
      <c r="E7">
        <v>1.771E-2</v>
      </c>
      <c r="F7">
        <v>0.13189999999999999</v>
      </c>
      <c r="G7">
        <v>6.0809999999999998E-4</v>
      </c>
      <c r="H7">
        <v>0</v>
      </c>
      <c r="I7">
        <v>0</v>
      </c>
      <c r="J7">
        <v>0</v>
      </c>
      <c r="L7">
        <v>3</v>
      </c>
      <c r="M7">
        <v>1.771E-2</v>
      </c>
      <c r="N7">
        <v>1.6670000000000001E-5</v>
      </c>
      <c r="O7">
        <v>0.26340000000000002</v>
      </c>
      <c r="P7">
        <v>0.34689999999999999</v>
      </c>
      <c r="Q7">
        <v>0.1258</v>
      </c>
      <c r="R7">
        <v>0.14530000000000001</v>
      </c>
      <c r="S7">
        <v>9.6249999999999999E-3</v>
      </c>
      <c r="T7">
        <v>4.6089999999999999E-2</v>
      </c>
      <c r="U7">
        <v>4.5170000000000002E-2</v>
      </c>
      <c r="V7">
        <v>0</v>
      </c>
    </row>
    <row r="8" spans="2:22" x14ac:dyDescent="0.25">
      <c r="B8" t="s">
        <v>593</v>
      </c>
      <c r="C8" s="17" t="s">
        <v>351</v>
      </c>
      <c r="D8" s="17">
        <v>4</v>
      </c>
      <c r="E8">
        <v>7.3880000000000001E-2</v>
      </c>
      <c r="F8">
        <v>0.2616</v>
      </c>
      <c r="G8">
        <v>1.5169999999999999E-3</v>
      </c>
      <c r="H8">
        <v>0</v>
      </c>
      <c r="I8">
        <v>0</v>
      </c>
      <c r="J8">
        <v>1</v>
      </c>
      <c r="L8">
        <v>4</v>
      </c>
      <c r="M8">
        <v>7.3880000000000001E-2</v>
      </c>
      <c r="N8">
        <v>2.3330000000000001E-4</v>
      </c>
      <c r="O8">
        <v>0.47589999999999999</v>
      </c>
      <c r="P8">
        <v>0.1047</v>
      </c>
      <c r="Q8">
        <v>9.1520000000000004E-2</v>
      </c>
      <c r="R8">
        <v>5.008E-2</v>
      </c>
      <c r="S8">
        <v>1.559E-2</v>
      </c>
      <c r="T8">
        <v>7.1179999999999993E-2</v>
      </c>
      <c r="U8">
        <v>0.1169</v>
      </c>
      <c r="V8">
        <v>0</v>
      </c>
    </row>
    <row r="9" spans="2:22" x14ac:dyDescent="0.25">
      <c r="B9" t="s">
        <v>594</v>
      </c>
      <c r="C9" s="17" t="s">
        <v>351</v>
      </c>
      <c r="D9" s="17">
        <v>5</v>
      </c>
      <c r="E9">
        <v>0.29020000000000001</v>
      </c>
      <c r="F9">
        <v>0.45379999999999998</v>
      </c>
      <c r="G9">
        <v>2.7269999999999998E-3</v>
      </c>
      <c r="H9">
        <v>0</v>
      </c>
      <c r="I9">
        <v>0</v>
      </c>
      <c r="J9">
        <v>1</v>
      </c>
      <c r="L9">
        <v>5</v>
      </c>
      <c r="M9">
        <v>0.29020000000000001</v>
      </c>
      <c r="N9">
        <v>2.333E-3</v>
      </c>
      <c r="O9">
        <v>0.14729999999999999</v>
      </c>
      <c r="P9">
        <v>4.3360000000000003E-2</v>
      </c>
      <c r="Q9">
        <v>5.6160000000000002E-2</v>
      </c>
      <c r="R9">
        <v>2.1559999999999999E-2</v>
      </c>
      <c r="S9">
        <v>3.0179999999999998E-2</v>
      </c>
      <c r="T9">
        <v>0.1201</v>
      </c>
      <c r="U9">
        <v>0.2888</v>
      </c>
      <c r="V9">
        <v>0</v>
      </c>
    </row>
    <row r="10" spans="2:22" x14ac:dyDescent="0.25">
      <c r="B10" t="s">
        <v>595</v>
      </c>
      <c r="C10" s="17" t="s">
        <v>351</v>
      </c>
      <c r="D10" s="17">
        <v>6</v>
      </c>
      <c r="E10">
        <v>0.41549999999999998</v>
      </c>
      <c r="F10">
        <v>0.49280000000000002</v>
      </c>
      <c r="G10">
        <v>2.8170000000000001E-3</v>
      </c>
      <c r="H10">
        <v>0</v>
      </c>
      <c r="I10">
        <v>0</v>
      </c>
      <c r="J10">
        <v>1</v>
      </c>
      <c r="L10">
        <v>6</v>
      </c>
      <c r="M10">
        <v>0.41549999999999998</v>
      </c>
      <c r="N10">
        <v>2.852E-2</v>
      </c>
      <c r="O10">
        <v>3.8600000000000002E-2</v>
      </c>
      <c r="P10">
        <v>2.053E-2</v>
      </c>
      <c r="Q10">
        <v>4.5379999999999997E-2</v>
      </c>
      <c r="R10">
        <v>1.218E-2</v>
      </c>
      <c r="S10">
        <v>4.2529999999999998E-2</v>
      </c>
      <c r="T10">
        <v>0.126</v>
      </c>
      <c r="U10">
        <v>0.27079999999999999</v>
      </c>
      <c r="V10">
        <v>0</v>
      </c>
    </row>
    <row r="11" spans="2:22" x14ac:dyDescent="0.25">
      <c r="B11" t="s">
        <v>596</v>
      </c>
      <c r="C11" s="17" t="s">
        <v>351</v>
      </c>
      <c r="D11" s="17">
        <v>7</v>
      </c>
      <c r="E11">
        <v>0.1779</v>
      </c>
      <c r="F11">
        <v>0.38240000000000002</v>
      </c>
      <c r="G11">
        <v>2.5230000000000001E-3</v>
      </c>
      <c r="H11">
        <v>0</v>
      </c>
      <c r="I11">
        <v>0</v>
      </c>
      <c r="J11">
        <v>1</v>
      </c>
      <c r="L11">
        <v>7</v>
      </c>
      <c r="M11">
        <v>0.1779</v>
      </c>
      <c r="N11">
        <v>0.26779999999999998</v>
      </c>
      <c r="O11">
        <v>9.6749999999999996E-3</v>
      </c>
      <c r="P11">
        <v>8.6420000000000004E-3</v>
      </c>
      <c r="Q11">
        <v>3.3919999999999999E-2</v>
      </c>
      <c r="R11">
        <v>5.3420000000000004E-3</v>
      </c>
      <c r="S11">
        <v>8.7809999999999999E-2</v>
      </c>
      <c r="T11">
        <v>0.22869999999999999</v>
      </c>
      <c r="U11">
        <v>0.1802</v>
      </c>
      <c r="V11">
        <v>0</v>
      </c>
    </row>
    <row r="12" spans="2:22" x14ac:dyDescent="0.25">
      <c r="B12" t="s">
        <v>597</v>
      </c>
      <c r="C12" s="17" t="s">
        <v>351</v>
      </c>
      <c r="D12" s="17">
        <v>8</v>
      </c>
      <c r="E12">
        <v>1.8780000000000002E-2</v>
      </c>
      <c r="F12">
        <v>0.1358</v>
      </c>
      <c r="G12">
        <v>5.9349999999999995E-4</v>
      </c>
      <c r="H12">
        <v>0</v>
      </c>
      <c r="I12">
        <v>0</v>
      </c>
      <c r="J12">
        <v>0</v>
      </c>
      <c r="L12">
        <v>8</v>
      </c>
      <c r="M12">
        <v>1.8780000000000002E-2</v>
      </c>
      <c r="N12">
        <v>0.53990000000000005</v>
      </c>
      <c r="O12">
        <v>8.6669999999999998E-4</v>
      </c>
      <c r="P12">
        <v>2.2669999999999999E-3</v>
      </c>
      <c r="Q12">
        <v>1.9449999999999999E-2</v>
      </c>
      <c r="R12">
        <v>1.508E-3</v>
      </c>
      <c r="S12">
        <v>0.15870000000000001</v>
      </c>
      <c r="T12">
        <v>0.2</v>
      </c>
      <c r="U12">
        <v>5.8259999999999999E-2</v>
      </c>
      <c r="V12">
        <v>2.6669999999999998E-4</v>
      </c>
    </row>
    <row r="13" spans="2:22" x14ac:dyDescent="0.25">
      <c r="B13" t="s">
        <v>598</v>
      </c>
      <c r="C13" s="17" t="s">
        <v>351</v>
      </c>
      <c r="D13" s="17">
        <v>9</v>
      </c>
      <c r="E13">
        <v>9.167E-4</v>
      </c>
      <c r="F13">
        <v>3.0259999999999999E-2</v>
      </c>
      <c r="G13">
        <v>1.016E-4</v>
      </c>
      <c r="H13">
        <v>0</v>
      </c>
      <c r="I13">
        <v>0</v>
      </c>
      <c r="J13">
        <v>0</v>
      </c>
      <c r="L13">
        <v>9</v>
      </c>
      <c r="M13">
        <v>9.167E-4</v>
      </c>
      <c r="N13">
        <v>0.16120000000000001</v>
      </c>
      <c r="O13">
        <v>4.1669999999999999E-5</v>
      </c>
      <c r="P13">
        <v>5.2499999999999997E-4</v>
      </c>
      <c r="Q13">
        <v>1.162E-2</v>
      </c>
      <c r="R13">
        <v>5.7499999999999999E-4</v>
      </c>
      <c r="S13">
        <v>0.61680000000000001</v>
      </c>
      <c r="T13">
        <v>0.15840000000000001</v>
      </c>
      <c r="U13">
        <v>1.754E-2</v>
      </c>
      <c r="V13">
        <v>3.2379999999999999E-2</v>
      </c>
    </row>
    <row r="14" spans="2:22" x14ac:dyDescent="0.25">
      <c r="B14" t="s">
        <v>599</v>
      </c>
      <c r="C14" s="17" t="s">
        <v>351</v>
      </c>
      <c r="D14" s="17">
        <v>10</v>
      </c>
      <c r="E14">
        <v>0</v>
      </c>
      <c r="F14">
        <v>0</v>
      </c>
      <c r="G14">
        <v>1.6670000000000001E-13</v>
      </c>
      <c r="H14">
        <v>0</v>
      </c>
      <c r="I14">
        <v>0</v>
      </c>
      <c r="J14">
        <v>0</v>
      </c>
      <c r="L14">
        <v>10</v>
      </c>
      <c r="M14">
        <v>0</v>
      </c>
      <c r="N14">
        <v>0</v>
      </c>
      <c r="O14">
        <v>0</v>
      </c>
      <c r="P14">
        <v>0</v>
      </c>
      <c r="Q14">
        <v>2.1670000000000001E-4</v>
      </c>
      <c r="R14">
        <v>0</v>
      </c>
      <c r="S14">
        <v>3.0669999999999999E-2</v>
      </c>
      <c r="T14">
        <v>1.7669999999999999E-3</v>
      </c>
      <c r="U14">
        <v>0</v>
      </c>
      <c r="V14">
        <v>0.96740000000000004</v>
      </c>
    </row>
    <row r="15" spans="2:22" hidden="1" x14ac:dyDescent="0.25">
      <c r="B15" t="s">
        <v>600</v>
      </c>
      <c r="C15" s="17" t="s">
        <v>352</v>
      </c>
      <c r="D15" s="17">
        <v>1</v>
      </c>
      <c r="E15">
        <v>0</v>
      </c>
      <c r="F15">
        <v>0</v>
      </c>
      <c r="G15">
        <v>1.6670000000000001E-13</v>
      </c>
      <c r="H15">
        <v>0</v>
      </c>
      <c r="I15">
        <v>0</v>
      </c>
      <c r="J15">
        <v>0</v>
      </c>
    </row>
    <row r="16" spans="2:22" hidden="1" x14ac:dyDescent="0.25">
      <c r="B16" t="s">
        <v>601</v>
      </c>
      <c r="C16" s="17" t="s">
        <v>352</v>
      </c>
      <c r="D16" s="17">
        <v>2</v>
      </c>
      <c r="E16">
        <v>8.3329999999999997E-6</v>
      </c>
      <c r="F16">
        <v>2.8869999999999998E-3</v>
      </c>
      <c r="G16">
        <v>8.3469999999999999E-6</v>
      </c>
      <c r="H16">
        <v>0</v>
      </c>
      <c r="I16">
        <v>0</v>
      </c>
      <c r="J16">
        <v>0</v>
      </c>
    </row>
    <row r="17" spans="2:10" hidden="1" x14ac:dyDescent="0.25">
      <c r="B17" t="s">
        <v>602</v>
      </c>
      <c r="C17" s="17" t="s">
        <v>352</v>
      </c>
      <c r="D17" s="17">
        <v>3</v>
      </c>
      <c r="E17">
        <v>1.6670000000000001E-5</v>
      </c>
      <c r="F17">
        <v>4.0819999999999997E-3</v>
      </c>
      <c r="G17">
        <v>1.1790000000000001E-5</v>
      </c>
      <c r="H17">
        <v>0</v>
      </c>
      <c r="I17">
        <v>0</v>
      </c>
      <c r="J17">
        <v>0</v>
      </c>
    </row>
    <row r="18" spans="2:10" hidden="1" x14ac:dyDescent="0.25">
      <c r="B18" t="s">
        <v>603</v>
      </c>
      <c r="C18" s="17" t="s">
        <v>352</v>
      </c>
      <c r="D18" s="17">
        <v>4</v>
      </c>
      <c r="E18">
        <v>2.3330000000000001E-4</v>
      </c>
      <c r="F18">
        <v>1.5270000000000001E-2</v>
      </c>
      <c r="G18">
        <v>4.4749999999999997E-5</v>
      </c>
      <c r="H18">
        <v>0</v>
      </c>
      <c r="I18">
        <v>0</v>
      </c>
      <c r="J18">
        <v>0</v>
      </c>
    </row>
    <row r="19" spans="2:10" hidden="1" x14ac:dyDescent="0.25">
      <c r="B19" t="s">
        <v>604</v>
      </c>
      <c r="C19" s="17" t="s">
        <v>352</v>
      </c>
      <c r="D19" s="17">
        <v>5</v>
      </c>
      <c r="E19">
        <v>2.333E-3</v>
      </c>
      <c r="F19">
        <v>4.8250000000000001E-2</v>
      </c>
      <c r="G19">
        <v>1.707E-4</v>
      </c>
      <c r="H19">
        <v>0</v>
      </c>
      <c r="I19">
        <v>0</v>
      </c>
      <c r="J19">
        <v>0</v>
      </c>
    </row>
    <row r="20" spans="2:10" hidden="1" x14ac:dyDescent="0.25">
      <c r="B20" t="s">
        <v>605</v>
      </c>
      <c r="C20" s="17" t="s">
        <v>352</v>
      </c>
      <c r="D20" s="17">
        <v>6</v>
      </c>
      <c r="E20">
        <v>2.852E-2</v>
      </c>
      <c r="F20">
        <v>0.16639999999999999</v>
      </c>
      <c r="G20">
        <v>6.9320000000000004E-4</v>
      </c>
      <c r="H20">
        <v>0</v>
      </c>
      <c r="I20">
        <v>0</v>
      </c>
      <c r="J20">
        <v>1</v>
      </c>
    </row>
    <row r="21" spans="2:10" hidden="1" x14ac:dyDescent="0.25">
      <c r="B21" t="s">
        <v>606</v>
      </c>
      <c r="C21" s="17" t="s">
        <v>352</v>
      </c>
      <c r="D21" s="17">
        <v>7</v>
      </c>
      <c r="E21">
        <v>0.26779999999999998</v>
      </c>
      <c r="F21">
        <v>0.44280000000000003</v>
      </c>
      <c r="G21">
        <v>3.3029999999999999E-3</v>
      </c>
      <c r="H21">
        <v>0</v>
      </c>
      <c r="I21">
        <v>0</v>
      </c>
      <c r="J21">
        <v>1</v>
      </c>
    </row>
    <row r="22" spans="2:10" hidden="1" x14ac:dyDescent="0.25">
      <c r="B22" t="s">
        <v>607</v>
      </c>
      <c r="C22" s="17" t="s">
        <v>352</v>
      </c>
      <c r="D22" s="17">
        <v>8</v>
      </c>
      <c r="E22">
        <v>0.53990000000000005</v>
      </c>
      <c r="F22">
        <v>0.49840000000000001</v>
      </c>
      <c r="G22">
        <v>2.996E-3</v>
      </c>
      <c r="H22">
        <v>0</v>
      </c>
      <c r="I22">
        <v>1</v>
      </c>
      <c r="J22">
        <v>1</v>
      </c>
    </row>
    <row r="23" spans="2:10" hidden="1" x14ac:dyDescent="0.25">
      <c r="B23" t="s">
        <v>608</v>
      </c>
      <c r="C23" s="17" t="s">
        <v>352</v>
      </c>
      <c r="D23" s="17">
        <v>9</v>
      </c>
      <c r="E23">
        <v>0.16120000000000001</v>
      </c>
      <c r="F23">
        <v>0.36770000000000003</v>
      </c>
      <c r="G23">
        <v>2.5469999999999998E-3</v>
      </c>
      <c r="H23">
        <v>0</v>
      </c>
      <c r="I23">
        <v>0</v>
      </c>
      <c r="J23">
        <v>1</v>
      </c>
    </row>
    <row r="24" spans="2:10" hidden="1" x14ac:dyDescent="0.25">
      <c r="B24" t="s">
        <v>609</v>
      </c>
      <c r="C24" s="17" t="s">
        <v>352</v>
      </c>
      <c r="D24" s="17">
        <v>10</v>
      </c>
      <c r="E24">
        <v>0</v>
      </c>
      <c r="F24">
        <v>0</v>
      </c>
      <c r="G24">
        <v>1.6670000000000001E-13</v>
      </c>
      <c r="H24">
        <v>0</v>
      </c>
      <c r="I24">
        <v>0</v>
      </c>
      <c r="J24">
        <v>0</v>
      </c>
    </row>
    <row r="25" spans="2:10" hidden="1" x14ac:dyDescent="0.25">
      <c r="B25" t="s">
        <v>610</v>
      </c>
      <c r="C25" s="17" t="s">
        <v>353</v>
      </c>
      <c r="D25" s="17">
        <v>1</v>
      </c>
      <c r="E25">
        <v>6.5079999999999999E-3</v>
      </c>
      <c r="F25">
        <v>8.0409999999999995E-2</v>
      </c>
      <c r="G25">
        <v>3.0150000000000001E-4</v>
      </c>
      <c r="H25">
        <v>0</v>
      </c>
      <c r="I25">
        <v>0</v>
      </c>
      <c r="J25">
        <v>0</v>
      </c>
    </row>
    <row r="26" spans="2:10" hidden="1" x14ac:dyDescent="0.25">
      <c r="B26" t="s">
        <v>611</v>
      </c>
      <c r="C26" s="17" t="s">
        <v>353</v>
      </c>
      <c r="D26" s="17">
        <v>2</v>
      </c>
      <c r="E26">
        <v>5.772E-2</v>
      </c>
      <c r="F26">
        <v>0.23319999999999999</v>
      </c>
      <c r="G26">
        <v>1.1100000000000001E-3</v>
      </c>
      <c r="H26">
        <v>0</v>
      </c>
      <c r="I26">
        <v>0</v>
      </c>
      <c r="J26">
        <v>1</v>
      </c>
    </row>
    <row r="27" spans="2:10" hidden="1" x14ac:dyDescent="0.25">
      <c r="B27" t="s">
        <v>612</v>
      </c>
      <c r="C27" s="17" t="s">
        <v>353</v>
      </c>
      <c r="D27" s="17">
        <v>3</v>
      </c>
      <c r="E27">
        <v>0.26340000000000002</v>
      </c>
      <c r="F27">
        <v>0.4405</v>
      </c>
      <c r="G27">
        <v>2.7130000000000001E-3</v>
      </c>
      <c r="H27">
        <v>0</v>
      </c>
      <c r="I27">
        <v>0</v>
      </c>
      <c r="J27">
        <v>1</v>
      </c>
    </row>
    <row r="28" spans="2:10" hidden="1" x14ac:dyDescent="0.25">
      <c r="B28" t="s">
        <v>613</v>
      </c>
      <c r="C28" s="17" t="s">
        <v>353</v>
      </c>
      <c r="D28" s="17">
        <v>4</v>
      </c>
      <c r="E28">
        <v>0.47589999999999999</v>
      </c>
      <c r="F28">
        <v>0.49940000000000001</v>
      </c>
      <c r="G28">
        <v>3.4020000000000001E-3</v>
      </c>
      <c r="H28">
        <v>0</v>
      </c>
      <c r="I28">
        <v>0</v>
      </c>
      <c r="J28">
        <v>1</v>
      </c>
    </row>
    <row r="29" spans="2:10" hidden="1" x14ac:dyDescent="0.25">
      <c r="B29" t="s">
        <v>614</v>
      </c>
      <c r="C29" s="17" t="s">
        <v>353</v>
      </c>
      <c r="D29" s="17">
        <v>5</v>
      </c>
      <c r="E29">
        <v>0.14729999999999999</v>
      </c>
      <c r="F29">
        <v>0.35439999999999999</v>
      </c>
      <c r="G29">
        <v>2.0100000000000001E-3</v>
      </c>
      <c r="H29">
        <v>0</v>
      </c>
      <c r="I29">
        <v>0</v>
      </c>
      <c r="J29">
        <v>1</v>
      </c>
    </row>
    <row r="30" spans="2:10" hidden="1" x14ac:dyDescent="0.25">
      <c r="B30" t="s">
        <v>615</v>
      </c>
      <c r="C30" t="s">
        <v>353</v>
      </c>
      <c r="D30">
        <v>6</v>
      </c>
      <c r="E30">
        <v>3.8600000000000002E-2</v>
      </c>
      <c r="F30">
        <v>0.19259999999999999</v>
      </c>
      <c r="G30">
        <v>1E-3</v>
      </c>
      <c r="H30">
        <v>0</v>
      </c>
      <c r="I30">
        <v>0</v>
      </c>
      <c r="J30">
        <v>1</v>
      </c>
    </row>
    <row r="31" spans="2:10" hidden="1" x14ac:dyDescent="0.25">
      <c r="B31" t="s">
        <v>616</v>
      </c>
      <c r="C31" t="s">
        <v>353</v>
      </c>
      <c r="D31">
        <v>7</v>
      </c>
      <c r="E31">
        <v>9.6749999999999996E-3</v>
      </c>
      <c r="F31">
        <v>9.7879999999999995E-2</v>
      </c>
      <c r="G31">
        <v>4.438E-4</v>
      </c>
      <c r="H31">
        <v>0</v>
      </c>
      <c r="I31">
        <v>0</v>
      </c>
      <c r="J31">
        <v>0</v>
      </c>
    </row>
    <row r="32" spans="2:10" hidden="1" x14ac:dyDescent="0.25">
      <c r="B32" t="s">
        <v>617</v>
      </c>
      <c r="C32" t="s">
        <v>353</v>
      </c>
      <c r="D32">
        <v>8</v>
      </c>
      <c r="E32">
        <v>8.6669999999999998E-4</v>
      </c>
      <c r="F32">
        <v>2.9430000000000001E-2</v>
      </c>
      <c r="G32">
        <v>9.6700000000000006E-5</v>
      </c>
      <c r="H32">
        <v>0</v>
      </c>
      <c r="I32">
        <v>0</v>
      </c>
      <c r="J32">
        <v>0</v>
      </c>
    </row>
    <row r="33" spans="2:10" hidden="1" x14ac:dyDescent="0.25">
      <c r="B33" t="s">
        <v>618</v>
      </c>
      <c r="C33" t="s">
        <v>353</v>
      </c>
      <c r="D33">
        <v>9</v>
      </c>
      <c r="E33">
        <v>4.1669999999999999E-5</v>
      </c>
      <c r="F33">
        <v>6.4549999999999998E-3</v>
      </c>
      <c r="G33">
        <v>1.8600000000000001E-5</v>
      </c>
      <c r="H33">
        <v>0</v>
      </c>
      <c r="I33">
        <v>0</v>
      </c>
      <c r="J33">
        <v>0</v>
      </c>
    </row>
    <row r="34" spans="2:10" hidden="1" x14ac:dyDescent="0.25">
      <c r="B34" t="s">
        <v>619</v>
      </c>
      <c r="C34" t="s">
        <v>353</v>
      </c>
      <c r="D34">
        <v>10</v>
      </c>
      <c r="E34">
        <v>0</v>
      </c>
      <c r="F34">
        <v>0</v>
      </c>
      <c r="G34">
        <v>1.6670000000000001E-13</v>
      </c>
      <c r="H34">
        <v>0</v>
      </c>
      <c r="I34">
        <v>0</v>
      </c>
      <c r="J34">
        <v>0</v>
      </c>
    </row>
    <row r="35" spans="2:10" hidden="1" x14ac:dyDescent="0.25">
      <c r="B35" t="s">
        <v>620</v>
      </c>
      <c r="C35" t="s">
        <v>354</v>
      </c>
      <c r="D35">
        <v>1</v>
      </c>
      <c r="E35">
        <v>0.1193</v>
      </c>
      <c r="F35">
        <v>0.3241</v>
      </c>
      <c r="G35">
        <v>1.952E-3</v>
      </c>
      <c r="H35">
        <v>0</v>
      </c>
      <c r="I35">
        <v>0</v>
      </c>
      <c r="J35">
        <v>1</v>
      </c>
    </row>
    <row r="36" spans="2:10" hidden="1" x14ac:dyDescent="0.25">
      <c r="B36" t="s">
        <v>621</v>
      </c>
      <c r="C36" t="s">
        <v>354</v>
      </c>
      <c r="D36">
        <v>2</v>
      </c>
      <c r="E36">
        <v>0.3538</v>
      </c>
      <c r="F36">
        <v>0.47820000000000001</v>
      </c>
      <c r="G36">
        <v>3.0609999999999999E-3</v>
      </c>
      <c r="H36">
        <v>0</v>
      </c>
      <c r="I36">
        <v>0</v>
      </c>
      <c r="J36">
        <v>1</v>
      </c>
    </row>
    <row r="37" spans="2:10" hidden="1" x14ac:dyDescent="0.25">
      <c r="B37" t="s">
        <v>622</v>
      </c>
      <c r="C37" t="s">
        <v>354</v>
      </c>
      <c r="D37">
        <v>3</v>
      </c>
      <c r="E37">
        <v>0.34689999999999999</v>
      </c>
      <c r="F37">
        <v>0.47599999999999998</v>
      </c>
      <c r="G37">
        <v>2.8349999999999998E-3</v>
      </c>
      <c r="H37">
        <v>0</v>
      </c>
      <c r="I37">
        <v>0</v>
      </c>
      <c r="J37">
        <v>1</v>
      </c>
    </row>
    <row r="38" spans="2:10" hidden="1" x14ac:dyDescent="0.25">
      <c r="B38" t="s">
        <v>623</v>
      </c>
      <c r="C38" t="s">
        <v>354</v>
      </c>
      <c r="D38">
        <v>4</v>
      </c>
      <c r="E38">
        <v>0.1047</v>
      </c>
      <c r="F38">
        <v>0.30620000000000003</v>
      </c>
      <c r="G38">
        <v>1.4779999999999999E-3</v>
      </c>
      <c r="H38">
        <v>0</v>
      </c>
      <c r="I38">
        <v>0</v>
      </c>
      <c r="J38">
        <v>1</v>
      </c>
    </row>
    <row r="39" spans="2:10" hidden="1" x14ac:dyDescent="0.25">
      <c r="B39" t="s">
        <v>624</v>
      </c>
      <c r="C39" t="s">
        <v>354</v>
      </c>
      <c r="D39">
        <v>5</v>
      </c>
      <c r="E39">
        <v>4.3360000000000003E-2</v>
      </c>
      <c r="F39">
        <v>0.20369999999999999</v>
      </c>
      <c r="G39">
        <v>8.4869999999999998E-4</v>
      </c>
      <c r="H39">
        <v>0</v>
      </c>
      <c r="I39">
        <v>0</v>
      </c>
      <c r="J39">
        <v>1</v>
      </c>
    </row>
    <row r="40" spans="2:10" hidden="1" x14ac:dyDescent="0.25">
      <c r="B40" t="s">
        <v>625</v>
      </c>
      <c r="C40" t="s">
        <v>354</v>
      </c>
      <c r="D40">
        <v>6</v>
      </c>
      <c r="E40">
        <v>2.053E-2</v>
      </c>
      <c r="F40">
        <v>0.14180000000000001</v>
      </c>
      <c r="G40">
        <v>5.5539999999999995E-4</v>
      </c>
      <c r="H40">
        <v>0</v>
      </c>
      <c r="I40">
        <v>0</v>
      </c>
      <c r="J40">
        <v>0</v>
      </c>
    </row>
    <row r="41" spans="2:10" hidden="1" x14ac:dyDescent="0.25">
      <c r="B41" t="s">
        <v>626</v>
      </c>
      <c r="C41" t="s">
        <v>354</v>
      </c>
      <c r="D41">
        <v>7</v>
      </c>
      <c r="E41">
        <v>8.6420000000000004E-3</v>
      </c>
      <c r="F41">
        <v>9.2560000000000003E-2</v>
      </c>
      <c r="G41">
        <v>3.4880000000000002E-4</v>
      </c>
      <c r="H41">
        <v>0</v>
      </c>
      <c r="I41">
        <v>0</v>
      </c>
      <c r="J41">
        <v>0</v>
      </c>
    </row>
    <row r="42" spans="2:10" hidden="1" x14ac:dyDescent="0.25">
      <c r="B42" t="s">
        <v>627</v>
      </c>
      <c r="C42" t="s">
        <v>354</v>
      </c>
      <c r="D42">
        <v>8</v>
      </c>
      <c r="E42">
        <v>2.2669999999999999E-3</v>
      </c>
      <c r="F42">
        <v>4.7559999999999998E-2</v>
      </c>
      <c r="G42">
        <v>1.6000000000000001E-4</v>
      </c>
      <c r="H42">
        <v>0</v>
      </c>
      <c r="I42">
        <v>0</v>
      </c>
      <c r="J42">
        <v>0</v>
      </c>
    </row>
    <row r="43" spans="2:10" hidden="1" x14ac:dyDescent="0.25">
      <c r="B43" t="s">
        <v>628</v>
      </c>
      <c r="C43" t="s">
        <v>354</v>
      </c>
      <c r="D43">
        <v>9</v>
      </c>
      <c r="E43">
        <v>5.2499999999999997E-4</v>
      </c>
      <c r="F43">
        <v>2.291E-2</v>
      </c>
      <c r="G43">
        <v>7.4900000000000005E-5</v>
      </c>
      <c r="H43">
        <v>0</v>
      </c>
      <c r="I43">
        <v>0</v>
      </c>
      <c r="J43">
        <v>0</v>
      </c>
    </row>
    <row r="44" spans="2:10" hidden="1" x14ac:dyDescent="0.25">
      <c r="B44" t="s">
        <v>629</v>
      </c>
      <c r="C44" t="s">
        <v>354</v>
      </c>
      <c r="D44">
        <v>10</v>
      </c>
      <c r="E44">
        <v>0</v>
      </c>
      <c r="F44">
        <v>0</v>
      </c>
      <c r="G44">
        <v>1.6670000000000001E-13</v>
      </c>
      <c r="H44">
        <v>0</v>
      </c>
      <c r="I44">
        <v>0</v>
      </c>
      <c r="J44">
        <v>0</v>
      </c>
    </row>
    <row r="45" spans="2:10" hidden="1" x14ac:dyDescent="0.25">
      <c r="B45" t="s">
        <v>630</v>
      </c>
      <c r="C45" t="s">
        <v>355</v>
      </c>
      <c r="D45">
        <v>1</v>
      </c>
      <c r="E45">
        <v>0.45279999999999998</v>
      </c>
      <c r="F45">
        <v>0.49780000000000002</v>
      </c>
      <c r="G45">
        <v>3.9589999999999998E-3</v>
      </c>
      <c r="H45">
        <v>0</v>
      </c>
      <c r="I45">
        <v>0</v>
      </c>
      <c r="J45">
        <v>1</v>
      </c>
    </row>
    <row r="46" spans="2:10" hidden="1" x14ac:dyDescent="0.25">
      <c r="B46" t="s">
        <v>631</v>
      </c>
      <c r="C46" t="s">
        <v>355</v>
      </c>
      <c r="D46">
        <v>2</v>
      </c>
      <c r="E46">
        <v>0.16309999999999999</v>
      </c>
      <c r="F46">
        <v>0.3695</v>
      </c>
      <c r="G46">
        <v>1.5590000000000001E-3</v>
      </c>
      <c r="H46">
        <v>0</v>
      </c>
      <c r="I46">
        <v>0</v>
      </c>
      <c r="J46">
        <v>1</v>
      </c>
    </row>
    <row r="47" spans="2:10" hidden="1" x14ac:dyDescent="0.25">
      <c r="B47" t="s">
        <v>632</v>
      </c>
      <c r="C47" t="s">
        <v>355</v>
      </c>
      <c r="D47">
        <v>3</v>
      </c>
      <c r="E47">
        <v>0.1258</v>
      </c>
      <c r="F47">
        <v>0.33160000000000001</v>
      </c>
      <c r="G47">
        <v>1.704E-3</v>
      </c>
      <c r="H47">
        <v>0</v>
      </c>
      <c r="I47">
        <v>0</v>
      </c>
      <c r="J47">
        <v>1</v>
      </c>
    </row>
    <row r="48" spans="2:10" hidden="1" x14ac:dyDescent="0.25">
      <c r="B48" t="s">
        <v>633</v>
      </c>
      <c r="C48" t="s">
        <v>355</v>
      </c>
      <c r="D48">
        <v>4</v>
      </c>
      <c r="E48">
        <v>9.1520000000000004E-2</v>
      </c>
      <c r="F48">
        <v>0.2883</v>
      </c>
      <c r="G48">
        <v>1.5299999999999999E-3</v>
      </c>
      <c r="H48">
        <v>0</v>
      </c>
      <c r="I48">
        <v>0</v>
      </c>
      <c r="J48">
        <v>1</v>
      </c>
    </row>
    <row r="49" spans="2:10" hidden="1" x14ac:dyDescent="0.25">
      <c r="B49" t="s">
        <v>634</v>
      </c>
      <c r="C49" t="s">
        <v>355</v>
      </c>
      <c r="D49">
        <v>5</v>
      </c>
      <c r="E49">
        <v>5.6160000000000002E-2</v>
      </c>
      <c r="F49">
        <v>0.23019999999999999</v>
      </c>
      <c r="G49">
        <v>2.4819999999999998E-3</v>
      </c>
      <c r="H49">
        <v>0</v>
      </c>
      <c r="I49">
        <v>0</v>
      </c>
      <c r="J49">
        <v>1</v>
      </c>
    </row>
    <row r="50" spans="2:10" hidden="1" x14ac:dyDescent="0.25">
      <c r="B50" t="s">
        <v>635</v>
      </c>
      <c r="C50" t="s">
        <v>355</v>
      </c>
      <c r="D50">
        <v>6</v>
      </c>
      <c r="E50">
        <v>4.5379999999999997E-2</v>
      </c>
      <c r="F50">
        <v>0.20810000000000001</v>
      </c>
      <c r="G50">
        <v>1.2849999999999999E-3</v>
      </c>
      <c r="H50">
        <v>0</v>
      </c>
      <c r="I50">
        <v>0</v>
      </c>
      <c r="J50">
        <v>1</v>
      </c>
    </row>
    <row r="51" spans="2:10" hidden="1" x14ac:dyDescent="0.25">
      <c r="B51" t="s">
        <v>636</v>
      </c>
      <c r="C51" t="s">
        <v>355</v>
      </c>
      <c r="D51">
        <v>7</v>
      </c>
      <c r="E51">
        <v>3.3919999999999999E-2</v>
      </c>
      <c r="F51">
        <v>0.18099999999999999</v>
      </c>
      <c r="G51">
        <v>7.9750000000000003E-4</v>
      </c>
      <c r="H51">
        <v>0</v>
      </c>
      <c r="I51">
        <v>0</v>
      </c>
      <c r="J51">
        <v>1</v>
      </c>
    </row>
    <row r="52" spans="2:10" hidden="1" x14ac:dyDescent="0.25">
      <c r="B52" t="s">
        <v>637</v>
      </c>
      <c r="C52" t="s">
        <v>355</v>
      </c>
      <c r="D52">
        <v>8</v>
      </c>
      <c r="E52">
        <v>1.9449999999999999E-2</v>
      </c>
      <c r="F52">
        <v>0.1381</v>
      </c>
      <c r="G52">
        <v>5.7899999999999998E-4</v>
      </c>
      <c r="H52">
        <v>0</v>
      </c>
      <c r="I52">
        <v>0</v>
      </c>
      <c r="J52">
        <v>0</v>
      </c>
    </row>
    <row r="53" spans="2:10" hidden="1" x14ac:dyDescent="0.25">
      <c r="B53" t="s">
        <v>638</v>
      </c>
      <c r="C53" t="s">
        <v>355</v>
      </c>
      <c r="D53">
        <v>9</v>
      </c>
      <c r="E53">
        <v>1.162E-2</v>
      </c>
      <c r="F53">
        <v>0.1072</v>
      </c>
      <c r="G53">
        <v>4.8000000000000001E-4</v>
      </c>
      <c r="H53">
        <v>0</v>
      </c>
      <c r="I53">
        <v>0</v>
      </c>
      <c r="J53">
        <v>0</v>
      </c>
    </row>
    <row r="54" spans="2:10" hidden="1" x14ac:dyDescent="0.25">
      <c r="B54" t="s">
        <v>639</v>
      </c>
      <c r="C54" t="s">
        <v>355</v>
      </c>
      <c r="D54">
        <v>10</v>
      </c>
      <c r="E54">
        <v>2.1670000000000001E-4</v>
      </c>
      <c r="F54">
        <v>1.472E-2</v>
      </c>
      <c r="G54">
        <v>4.6419999999999999E-5</v>
      </c>
      <c r="H54">
        <v>0</v>
      </c>
      <c r="I54">
        <v>0</v>
      </c>
      <c r="J54">
        <v>0</v>
      </c>
    </row>
    <row r="55" spans="2:10" hidden="1" x14ac:dyDescent="0.25">
      <c r="B55" t="s">
        <v>640</v>
      </c>
      <c r="C55" t="s">
        <v>356</v>
      </c>
      <c r="D55">
        <v>1</v>
      </c>
      <c r="E55">
        <v>0.3982</v>
      </c>
      <c r="F55">
        <v>0.48949999999999999</v>
      </c>
      <c r="G55">
        <v>3.5820000000000001E-3</v>
      </c>
      <c r="H55">
        <v>0</v>
      </c>
      <c r="I55">
        <v>0</v>
      </c>
      <c r="J55">
        <v>1</v>
      </c>
    </row>
    <row r="56" spans="2:10" hidden="1" x14ac:dyDescent="0.25">
      <c r="B56" t="s">
        <v>641</v>
      </c>
      <c r="C56" t="s">
        <v>356</v>
      </c>
      <c r="D56">
        <v>2</v>
      </c>
      <c r="E56">
        <v>0.36530000000000001</v>
      </c>
      <c r="F56">
        <v>0.48149999999999998</v>
      </c>
      <c r="G56">
        <v>2.7290000000000001E-3</v>
      </c>
      <c r="H56">
        <v>0</v>
      </c>
      <c r="I56">
        <v>0</v>
      </c>
      <c r="J56">
        <v>1</v>
      </c>
    </row>
    <row r="57" spans="2:10" hidden="1" x14ac:dyDescent="0.25">
      <c r="B57" t="s">
        <v>642</v>
      </c>
      <c r="C57" t="s">
        <v>356</v>
      </c>
      <c r="D57">
        <v>3</v>
      </c>
      <c r="E57">
        <v>0.14530000000000001</v>
      </c>
      <c r="F57">
        <v>0.35239999999999999</v>
      </c>
      <c r="G57">
        <v>2.699E-3</v>
      </c>
      <c r="H57">
        <v>0</v>
      </c>
      <c r="I57">
        <v>0</v>
      </c>
      <c r="J57">
        <v>1</v>
      </c>
    </row>
    <row r="58" spans="2:10" hidden="1" x14ac:dyDescent="0.25">
      <c r="B58" t="s">
        <v>643</v>
      </c>
      <c r="C58" t="s">
        <v>356</v>
      </c>
      <c r="D58">
        <v>4</v>
      </c>
      <c r="E58">
        <v>5.008E-2</v>
      </c>
      <c r="F58">
        <v>0.21809999999999999</v>
      </c>
      <c r="G58">
        <v>1.013E-3</v>
      </c>
      <c r="H58">
        <v>0</v>
      </c>
      <c r="I58">
        <v>0</v>
      </c>
      <c r="J58">
        <v>1</v>
      </c>
    </row>
    <row r="59" spans="2:10" hidden="1" x14ac:dyDescent="0.25">
      <c r="B59" t="s">
        <v>644</v>
      </c>
      <c r="C59" t="s">
        <v>356</v>
      </c>
      <c r="D59">
        <v>5</v>
      </c>
      <c r="E59">
        <v>2.1559999999999999E-2</v>
      </c>
      <c r="F59">
        <v>0.1452</v>
      </c>
      <c r="G59">
        <v>5.9880000000000003E-4</v>
      </c>
      <c r="H59">
        <v>0</v>
      </c>
      <c r="I59">
        <v>0</v>
      </c>
      <c r="J59">
        <v>0</v>
      </c>
    </row>
    <row r="60" spans="2:10" hidden="1" x14ac:dyDescent="0.25">
      <c r="B60" t="s">
        <v>645</v>
      </c>
      <c r="C60" t="s">
        <v>356</v>
      </c>
      <c r="D60">
        <v>6</v>
      </c>
      <c r="E60">
        <v>1.218E-2</v>
      </c>
      <c r="F60">
        <v>0.10970000000000001</v>
      </c>
      <c r="G60">
        <v>4.8129999999999999E-4</v>
      </c>
      <c r="H60">
        <v>0</v>
      </c>
      <c r="I60">
        <v>0</v>
      </c>
      <c r="J60">
        <v>0</v>
      </c>
    </row>
    <row r="61" spans="2:10" hidden="1" x14ac:dyDescent="0.25">
      <c r="B61" t="s">
        <v>646</v>
      </c>
      <c r="C61" t="s">
        <v>356</v>
      </c>
      <c r="D61">
        <v>7</v>
      </c>
      <c r="E61">
        <v>5.3420000000000004E-3</v>
      </c>
      <c r="F61">
        <v>7.2889999999999996E-2</v>
      </c>
      <c r="G61">
        <v>3.054E-4</v>
      </c>
      <c r="H61">
        <v>0</v>
      </c>
      <c r="I61">
        <v>0</v>
      </c>
      <c r="J61">
        <v>0</v>
      </c>
    </row>
    <row r="62" spans="2:10" hidden="1" x14ac:dyDescent="0.25">
      <c r="B62" t="s">
        <v>647</v>
      </c>
      <c r="C62" t="s">
        <v>356</v>
      </c>
      <c r="D62">
        <v>8</v>
      </c>
      <c r="E62">
        <v>1.508E-3</v>
      </c>
      <c r="F62">
        <v>3.8809999999999997E-2</v>
      </c>
      <c r="G62">
        <v>1.3009999999999999E-4</v>
      </c>
      <c r="H62">
        <v>0</v>
      </c>
      <c r="I62">
        <v>0</v>
      </c>
      <c r="J62">
        <v>0</v>
      </c>
    </row>
    <row r="63" spans="2:10" hidden="1" x14ac:dyDescent="0.25">
      <c r="B63" t="s">
        <v>648</v>
      </c>
      <c r="C63" t="s">
        <v>356</v>
      </c>
      <c r="D63">
        <v>9</v>
      </c>
      <c r="E63">
        <v>5.7499999999999999E-4</v>
      </c>
      <c r="F63">
        <v>2.3970000000000002E-2</v>
      </c>
      <c r="G63">
        <v>8.2310000000000003E-5</v>
      </c>
      <c r="H63">
        <v>0</v>
      </c>
      <c r="I63">
        <v>0</v>
      </c>
      <c r="J63">
        <v>0</v>
      </c>
    </row>
    <row r="64" spans="2:10" hidden="1" x14ac:dyDescent="0.25">
      <c r="B64" t="s">
        <v>649</v>
      </c>
      <c r="C64" t="s">
        <v>356</v>
      </c>
      <c r="D64">
        <v>10</v>
      </c>
      <c r="E64">
        <v>0</v>
      </c>
      <c r="F64">
        <v>0</v>
      </c>
      <c r="G64">
        <v>1.6670000000000001E-13</v>
      </c>
      <c r="H64">
        <v>0</v>
      </c>
      <c r="I64">
        <v>0</v>
      </c>
      <c r="J64">
        <v>0</v>
      </c>
    </row>
    <row r="65" spans="2:10" hidden="1" x14ac:dyDescent="0.25">
      <c r="B65" t="s">
        <v>650</v>
      </c>
      <c r="C65" t="s">
        <v>357</v>
      </c>
      <c r="D65">
        <v>1</v>
      </c>
      <c r="E65">
        <v>2.1329999999999999E-3</v>
      </c>
      <c r="F65">
        <v>4.614E-2</v>
      </c>
      <c r="G65">
        <v>1.4249999999999999E-4</v>
      </c>
      <c r="H65">
        <v>0</v>
      </c>
      <c r="I65">
        <v>0</v>
      </c>
      <c r="J65">
        <v>0</v>
      </c>
    </row>
    <row r="66" spans="2:10" hidden="1" x14ac:dyDescent="0.25">
      <c r="B66" t="s">
        <v>651</v>
      </c>
      <c r="C66" t="s">
        <v>357</v>
      </c>
      <c r="D66">
        <v>2</v>
      </c>
      <c r="E66">
        <v>6.0080000000000003E-3</v>
      </c>
      <c r="F66">
        <v>7.7280000000000001E-2</v>
      </c>
      <c r="G66">
        <v>2.5920000000000001E-4</v>
      </c>
      <c r="H66">
        <v>0</v>
      </c>
      <c r="I66">
        <v>0</v>
      </c>
      <c r="J66">
        <v>0</v>
      </c>
    </row>
    <row r="67" spans="2:10" hidden="1" x14ac:dyDescent="0.25">
      <c r="B67" t="s">
        <v>652</v>
      </c>
      <c r="C67" t="s">
        <v>357</v>
      </c>
      <c r="D67">
        <v>3</v>
      </c>
      <c r="E67">
        <v>9.6249999999999999E-3</v>
      </c>
      <c r="F67">
        <v>9.7629999999999995E-2</v>
      </c>
      <c r="G67">
        <v>3.4840000000000001E-4</v>
      </c>
      <c r="H67">
        <v>0</v>
      </c>
      <c r="I67">
        <v>0</v>
      </c>
      <c r="J67">
        <v>0</v>
      </c>
    </row>
    <row r="68" spans="2:10" hidden="1" x14ac:dyDescent="0.25">
      <c r="B68" t="s">
        <v>653</v>
      </c>
      <c r="C68" t="s">
        <v>357</v>
      </c>
      <c r="D68">
        <v>4</v>
      </c>
      <c r="E68">
        <v>1.559E-2</v>
      </c>
      <c r="F68">
        <v>0.1239</v>
      </c>
      <c r="G68">
        <v>4.9580000000000002E-4</v>
      </c>
      <c r="H68">
        <v>0</v>
      </c>
      <c r="I68">
        <v>0</v>
      </c>
      <c r="J68">
        <v>0</v>
      </c>
    </row>
    <row r="69" spans="2:10" hidden="1" x14ac:dyDescent="0.25">
      <c r="B69" t="s">
        <v>654</v>
      </c>
      <c r="C69" t="s">
        <v>357</v>
      </c>
      <c r="D69">
        <v>5</v>
      </c>
      <c r="E69">
        <v>3.0179999999999998E-2</v>
      </c>
      <c r="F69">
        <v>0.1711</v>
      </c>
      <c r="G69">
        <v>6.6859999999999999E-4</v>
      </c>
      <c r="H69">
        <v>0</v>
      </c>
      <c r="I69">
        <v>0</v>
      </c>
      <c r="J69">
        <v>1</v>
      </c>
    </row>
    <row r="70" spans="2:10" hidden="1" x14ac:dyDescent="0.25">
      <c r="B70" t="s">
        <v>655</v>
      </c>
      <c r="C70" t="s">
        <v>357</v>
      </c>
      <c r="D70">
        <v>6</v>
      </c>
      <c r="E70">
        <v>4.2529999999999998E-2</v>
      </c>
      <c r="F70">
        <v>0.20180000000000001</v>
      </c>
      <c r="G70">
        <v>8.2859999999999997E-4</v>
      </c>
      <c r="H70">
        <v>0</v>
      </c>
      <c r="I70">
        <v>0</v>
      </c>
      <c r="J70">
        <v>1</v>
      </c>
    </row>
    <row r="71" spans="2:10" hidden="1" x14ac:dyDescent="0.25">
      <c r="B71" t="s">
        <v>656</v>
      </c>
      <c r="C71" t="s">
        <v>357</v>
      </c>
      <c r="D71">
        <v>7</v>
      </c>
      <c r="E71">
        <v>8.7809999999999999E-2</v>
      </c>
      <c r="F71">
        <v>0.28299999999999997</v>
      </c>
      <c r="G71">
        <v>1.2080000000000001E-3</v>
      </c>
      <c r="H71">
        <v>0</v>
      </c>
      <c r="I71">
        <v>0</v>
      </c>
      <c r="J71">
        <v>1</v>
      </c>
    </row>
    <row r="72" spans="2:10" hidden="1" x14ac:dyDescent="0.25">
      <c r="B72" t="s">
        <v>657</v>
      </c>
      <c r="C72" t="s">
        <v>357</v>
      </c>
      <c r="D72">
        <v>8</v>
      </c>
      <c r="E72">
        <v>0.15870000000000001</v>
      </c>
      <c r="F72">
        <v>0.3654</v>
      </c>
      <c r="G72">
        <v>2.1540000000000001E-3</v>
      </c>
      <c r="H72">
        <v>0</v>
      </c>
      <c r="I72">
        <v>0</v>
      </c>
      <c r="J72">
        <v>1</v>
      </c>
    </row>
    <row r="73" spans="2:10" hidden="1" x14ac:dyDescent="0.25">
      <c r="B73" t="s">
        <v>658</v>
      </c>
      <c r="C73" t="s">
        <v>357</v>
      </c>
      <c r="D73">
        <v>9</v>
      </c>
      <c r="E73">
        <v>0.61680000000000001</v>
      </c>
      <c r="F73">
        <v>0.48620000000000002</v>
      </c>
      <c r="G73">
        <v>3.1319999999999998E-3</v>
      </c>
      <c r="H73">
        <v>0</v>
      </c>
      <c r="I73">
        <v>1</v>
      </c>
      <c r="J73">
        <v>1</v>
      </c>
    </row>
    <row r="74" spans="2:10" hidden="1" x14ac:dyDescent="0.25">
      <c r="B74" t="s">
        <v>659</v>
      </c>
      <c r="C74" t="s">
        <v>357</v>
      </c>
      <c r="D74">
        <v>10</v>
      </c>
      <c r="E74">
        <v>3.0669999999999999E-2</v>
      </c>
      <c r="F74">
        <v>0.1724</v>
      </c>
      <c r="G74">
        <v>7.9120000000000004E-4</v>
      </c>
      <c r="H74">
        <v>0</v>
      </c>
      <c r="I74">
        <v>0</v>
      </c>
      <c r="J74">
        <v>1</v>
      </c>
    </row>
    <row r="75" spans="2:10" hidden="1" x14ac:dyDescent="0.25">
      <c r="B75" t="s">
        <v>660</v>
      </c>
      <c r="C75" t="s">
        <v>358</v>
      </c>
      <c r="D75">
        <v>1</v>
      </c>
      <c r="E75">
        <v>1.6490000000000001E-2</v>
      </c>
      <c r="F75">
        <v>0.12740000000000001</v>
      </c>
      <c r="G75">
        <v>2.5439999999999998E-3</v>
      </c>
      <c r="H75">
        <v>0</v>
      </c>
      <c r="I75">
        <v>0</v>
      </c>
      <c r="J75">
        <v>0</v>
      </c>
    </row>
    <row r="76" spans="2:10" hidden="1" x14ac:dyDescent="0.25">
      <c r="B76" t="s">
        <v>661</v>
      </c>
      <c r="C76" t="s">
        <v>358</v>
      </c>
      <c r="D76">
        <v>2</v>
      </c>
      <c r="E76">
        <v>3.116E-2</v>
      </c>
      <c r="F76">
        <v>0.17369999999999999</v>
      </c>
      <c r="G76">
        <v>9.7919999999999995E-4</v>
      </c>
      <c r="H76">
        <v>0</v>
      </c>
      <c r="I76">
        <v>0</v>
      </c>
      <c r="J76">
        <v>1</v>
      </c>
    </row>
    <row r="77" spans="2:10" hidden="1" x14ac:dyDescent="0.25">
      <c r="B77" t="s">
        <v>662</v>
      </c>
      <c r="C77" t="s">
        <v>358</v>
      </c>
      <c r="D77">
        <v>3</v>
      </c>
      <c r="E77">
        <v>4.6089999999999999E-2</v>
      </c>
      <c r="F77">
        <v>0.2097</v>
      </c>
      <c r="G77">
        <v>1.039E-3</v>
      </c>
      <c r="H77">
        <v>0</v>
      </c>
      <c r="I77">
        <v>0</v>
      </c>
      <c r="J77">
        <v>1</v>
      </c>
    </row>
    <row r="78" spans="2:10" hidden="1" x14ac:dyDescent="0.25">
      <c r="B78" t="s">
        <v>663</v>
      </c>
      <c r="C78" t="s">
        <v>358</v>
      </c>
      <c r="D78">
        <v>4</v>
      </c>
      <c r="E78">
        <v>7.1179999999999993E-2</v>
      </c>
      <c r="F78">
        <v>0.2571</v>
      </c>
      <c r="G78">
        <v>1.382E-3</v>
      </c>
      <c r="H78">
        <v>0</v>
      </c>
      <c r="I78">
        <v>0</v>
      </c>
      <c r="J78">
        <v>1</v>
      </c>
    </row>
    <row r="79" spans="2:10" hidden="1" x14ac:dyDescent="0.25">
      <c r="B79" t="s">
        <v>664</v>
      </c>
      <c r="C79" t="s">
        <v>358</v>
      </c>
      <c r="D79">
        <v>5</v>
      </c>
      <c r="E79">
        <v>0.1201</v>
      </c>
      <c r="F79">
        <v>0.3251</v>
      </c>
      <c r="G79">
        <v>1.9550000000000001E-3</v>
      </c>
      <c r="H79">
        <v>0</v>
      </c>
      <c r="I79">
        <v>0</v>
      </c>
      <c r="J79">
        <v>1</v>
      </c>
    </row>
    <row r="80" spans="2:10" hidden="1" x14ac:dyDescent="0.25">
      <c r="B80" t="s">
        <v>665</v>
      </c>
      <c r="C80" t="s">
        <v>358</v>
      </c>
      <c r="D80">
        <v>6</v>
      </c>
      <c r="E80">
        <v>0.126</v>
      </c>
      <c r="F80">
        <v>0.33189999999999997</v>
      </c>
      <c r="G80">
        <v>1.4270000000000001E-3</v>
      </c>
      <c r="H80">
        <v>0</v>
      </c>
      <c r="I80">
        <v>0</v>
      </c>
      <c r="J80">
        <v>1</v>
      </c>
    </row>
    <row r="81" spans="2:10" hidden="1" x14ac:dyDescent="0.25">
      <c r="B81" t="s">
        <v>666</v>
      </c>
      <c r="C81" t="s">
        <v>358</v>
      </c>
      <c r="D81">
        <v>7</v>
      </c>
      <c r="E81">
        <v>0.22869999999999999</v>
      </c>
      <c r="F81">
        <v>0.42</v>
      </c>
      <c r="G81">
        <v>2.2989999999999998E-3</v>
      </c>
      <c r="H81">
        <v>0</v>
      </c>
      <c r="I81">
        <v>0</v>
      </c>
      <c r="J81">
        <v>1</v>
      </c>
    </row>
    <row r="82" spans="2:10" hidden="1" x14ac:dyDescent="0.25">
      <c r="B82" t="s">
        <v>667</v>
      </c>
      <c r="C82" t="s">
        <v>358</v>
      </c>
      <c r="D82">
        <v>8</v>
      </c>
      <c r="E82">
        <v>0.2</v>
      </c>
      <c r="F82">
        <v>0.4</v>
      </c>
      <c r="G82">
        <v>2.4599999999999999E-3</v>
      </c>
      <c r="H82">
        <v>0</v>
      </c>
      <c r="I82">
        <v>0</v>
      </c>
      <c r="J82">
        <v>1</v>
      </c>
    </row>
    <row r="83" spans="2:10" hidden="1" x14ac:dyDescent="0.25">
      <c r="B83" t="s">
        <v>668</v>
      </c>
      <c r="C83" t="s">
        <v>358</v>
      </c>
      <c r="D83">
        <v>9</v>
      </c>
      <c r="E83">
        <v>0.15840000000000001</v>
      </c>
      <c r="F83">
        <v>0.36509999999999998</v>
      </c>
      <c r="G83">
        <v>2.686E-3</v>
      </c>
      <c r="H83">
        <v>0</v>
      </c>
      <c r="I83">
        <v>0</v>
      </c>
      <c r="J83">
        <v>1</v>
      </c>
    </row>
    <row r="84" spans="2:10" hidden="1" x14ac:dyDescent="0.25">
      <c r="B84" t="s">
        <v>669</v>
      </c>
      <c r="C84" t="s">
        <v>358</v>
      </c>
      <c r="D84">
        <v>10</v>
      </c>
      <c r="E84">
        <v>1.7669999999999999E-3</v>
      </c>
      <c r="F84">
        <v>4.199E-2</v>
      </c>
      <c r="G84">
        <v>1.6479999999999999E-4</v>
      </c>
      <c r="H84">
        <v>0</v>
      </c>
      <c r="I84">
        <v>0</v>
      </c>
      <c r="J84">
        <v>0</v>
      </c>
    </row>
    <row r="85" spans="2:10" hidden="1" x14ac:dyDescent="0.25">
      <c r="B85" t="s">
        <v>670</v>
      </c>
      <c r="C85" t="s">
        <v>359</v>
      </c>
      <c r="D85">
        <v>1</v>
      </c>
      <c r="E85">
        <v>4.1000000000000003E-3</v>
      </c>
      <c r="F85">
        <v>6.3899999999999998E-2</v>
      </c>
      <c r="G85">
        <v>2.3609999999999999E-4</v>
      </c>
      <c r="H85">
        <v>0</v>
      </c>
      <c r="I85">
        <v>0</v>
      </c>
      <c r="J85">
        <v>0</v>
      </c>
    </row>
    <row r="86" spans="2:10" hidden="1" x14ac:dyDescent="0.25">
      <c r="B86" t="s">
        <v>671</v>
      </c>
      <c r="C86" t="s">
        <v>359</v>
      </c>
      <c r="D86">
        <v>2</v>
      </c>
      <c r="E86">
        <v>1.8249999999999999E-2</v>
      </c>
      <c r="F86">
        <v>0.13389999999999999</v>
      </c>
      <c r="G86">
        <v>5.687E-4</v>
      </c>
      <c r="H86">
        <v>0</v>
      </c>
      <c r="I86">
        <v>0</v>
      </c>
      <c r="J86">
        <v>0</v>
      </c>
    </row>
    <row r="87" spans="2:10" hidden="1" x14ac:dyDescent="0.25">
      <c r="B87" t="s">
        <v>672</v>
      </c>
      <c r="C87" t="s">
        <v>359</v>
      </c>
      <c r="D87">
        <v>3</v>
      </c>
      <c r="E87">
        <v>4.5170000000000002E-2</v>
      </c>
      <c r="F87">
        <v>0.2077</v>
      </c>
      <c r="G87">
        <v>9.2100000000000005E-4</v>
      </c>
      <c r="H87">
        <v>0</v>
      </c>
      <c r="I87">
        <v>0</v>
      </c>
      <c r="J87">
        <v>1</v>
      </c>
    </row>
    <row r="88" spans="2:10" hidden="1" x14ac:dyDescent="0.25">
      <c r="B88" t="s">
        <v>673</v>
      </c>
      <c r="C88" t="s">
        <v>359</v>
      </c>
      <c r="D88">
        <v>4</v>
      </c>
      <c r="E88">
        <v>0.1169</v>
      </c>
      <c r="F88">
        <v>0.32129999999999997</v>
      </c>
      <c r="G88">
        <v>1.5770000000000001E-3</v>
      </c>
      <c r="H88">
        <v>0</v>
      </c>
      <c r="I88">
        <v>0</v>
      </c>
      <c r="J88">
        <v>1</v>
      </c>
    </row>
    <row r="89" spans="2:10" hidden="1" x14ac:dyDescent="0.25">
      <c r="B89" t="s">
        <v>674</v>
      </c>
      <c r="C89" t="s">
        <v>359</v>
      </c>
      <c r="D89">
        <v>5</v>
      </c>
      <c r="E89">
        <v>0.2888</v>
      </c>
      <c r="F89">
        <v>0.45319999999999999</v>
      </c>
      <c r="G89">
        <v>2.6540000000000001E-3</v>
      </c>
      <c r="H89">
        <v>0</v>
      </c>
      <c r="I89">
        <v>0</v>
      </c>
      <c r="J89">
        <v>1</v>
      </c>
    </row>
    <row r="90" spans="2:10" hidden="1" x14ac:dyDescent="0.25">
      <c r="B90" t="s">
        <v>675</v>
      </c>
      <c r="C90" t="s">
        <v>359</v>
      </c>
      <c r="D90">
        <v>6</v>
      </c>
      <c r="E90">
        <v>0.27079999999999999</v>
      </c>
      <c r="F90">
        <v>0.44440000000000002</v>
      </c>
      <c r="G90">
        <v>2.3770000000000002E-3</v>
      </c>
      <c r="H90">
        <v>0</v>
      </c>
      <c r="I90">
        <v>0</v>
      </c>
      <c r="J90">
        <v>1</v>
      </c>
    </row>
    <row r="91" spans="2:10" hidden="1" x14ac:dyDescent="0.25">
      <c r="B91" t="s">
        <v>676</v>
      </c>
      <c r="C91" t="s">
        <v>359</v>
      </c>
      <c r="D91">
        <v>7</v>
      </c>
      <c r="E91">
        <v>0.1802</v>
      </c>
      <c r="F91">
        <v>0.38429999999999997</v>
      </c>
      <c r="G91">
        <v>2.9849999999999998E-3</v>
      </c>
      <c r="H91">
        <v>0</v>
      </c>
      <c r="I91">
        <v>0</v>
      </c>
      <c r="J91">
        <v>1</v>
      </c>
    </row>
    <row r="92" spans="2:10" hidden="1" x14ac:dyDescent="0.25">
      <c r="B92" t="s">
        <v>677</v>
      </c>
      <c r="C92" t="s">
        <v>359</v>
      </c>
      <c r="D92">
        <v>8</v>
      </c>
      <c r="E92">
        <v>5.8259999999999999E-2</v>
      </c>
      <c r="F92">
        <v>0.23419999999999999</v>
      </c>
      <c r="G92">
        <v>1.1689999999999999E-3</v>
      </c>
      <c r="H92">
        <v>0</v>
      </c>
      <c r="I92">
        <v>0</v>
      </c>
      <c r="J92">
        <v>1</v>
      </c>
    </row>
    <row r="93" spans="2:10" hidden="1" x14ac:dyDescent="0.25">
      <c r="B93" t="s">
        <v>678</v>
      </c>
      <c r="C93" t="s">
        <v>359</v>
      </c>
      <c r="D93">
        <v>9</v>
      </c>
      <c r="E93">
        <v>1.754E-2</v>
      </c>
      <c r="F93">
        <v>0.1313</v>
      </c>
      <c r="G93">
        <v>5.2930000000000002E-4</v>
      </c>
      <c r="H93">
        <v>0</v>
      </c>
      <c r="I93">
        <v>0</v>
      </c>
      <c r="J93">
        <v>0</v>
      </c>
    </row>
    <row r="94" spans="2:10" hidden="1" x14ac:dyDescent="0.25">
      <c r="B94" t="s">
        <v>679</v>
      </c>
      <c r="C94" t="s">
        <v>359</v>
      </c>
      <c r="D94">
        <v>10</v>
      </c>
      <c r="E94">
        <v>0</v>
      </c>
      <c r="F94">
        <v>0</v>
      </c>
      <c r="G94">
        <v>1.6670000000000001E-13</v>
      </c>
      <c r="H94">
        <v>0</v>
      </c>
      <c r="I94">
        <v>0</v>
      </c>
      <c r="J94">
        <v>0</v>
      </c>
    </row>
    <row r="95" spans="2:10" hidden="1" x14ac:dyDescent="0.25">
      <c r="B95" t="s">
        <v>680</v>
      </c>
      <c r="C95" t="s">
        <v>360</v>
      </c>
      <c r="D95">
        <v>1</v>
      </c>
      <c r="E95">
        <v>0</v>
      </c>
      <c r="F95">
        <v>0</v>
      </c>
      <c r="G95">
        <v>1.6670000000000001E-13</v>
      </c>
      <c r="H95">
        <v>0</v>
      </c>
      <c r="I95">
        <v>0</v>
      </c>
      <c r="J95">
        <v>0</v>
      </c>
    </row>
    <row r="96" spans="2:10" hidden="1" x14ac:dyDescent="0.25">
      <c r="B96" t="s">
        <v>681</v>
      </c>
      <c r="C96" t="s">
        <v>360</v>
      </c>
      <c r="D96">
        <v>2</v>
      </c>
      <c r="E96">
        <v>0</v>
      </c>
      <c r="F96">
        <v>0</v>
      </c>
      <c r="G96">
        <v>1.6670000000000001E-13</v>
      </c>
      <c r="H96">
        <v>0</v>
      </c>
      <c r="I96">
        <v>0</v>
      </c>
      <c r="J96">
        <v>0</v>
      </c>
    </row>
    <row r="97" spans="2:10" hidden="1" x14ac:dyDescent="0.25">
      <c r="B97" t="s">
        <v>682</v>
      </c>
      <c r="C97" t="s">
        <v>360</v>
      </c>
      <c r="D97">
        <v>3</v>
      </c>
      <c r="E97">
        <v>0</v>
      </c>
      <c r="F97">
        <v>0</v>
      </c>
      <c r="G97">
        <v>1.6670000000000001E-13</v>
      </c>
      <c r="H97">
        <v>0</v>
      </c>
      <c r="I97">
        <v>0</v>
      </c>
      <c r="J97">
        <v>0</v>
      </c>
    </row>
    <row r="98" spans="2:10" hidden="1" x14ac:dyDescent="0.25">
      <c r="B98" t="s">
        <v>683</v>
      </c>
      <c r="C98" t="s">
        <v>360</v>
      </c>
      <c r="D98">
        <v>4</v>
      </c>
      <c r="E98">
        <v>0</v>
      </c>
      <c r="F98">
        <v>0</v>
      </c>
      <c r="G98">
        <v>1.6670000000000001E-13</v>
      </c>
      <c r="H98">
        <v>0</v>
      </c>
      <c r="I98">
        <v>0</v>
      </c>
      <c r="J98">
        <v>0</v>
      </c>
    </row>
    <row r="99" spans="2:10" hidden="1" x14ac:dyDescent="0.25">
      <c r="B99" t="s">
        <v>684</v>
      </c>
      <c r="C99" t="s">
        <v>360</v>
      </c>
      <c r="D99">
        <v>5</v>
      </c>
      <c r="E99">
        <v>0</v>
      </c>
      <c r="F99">
        <v>0</v>
      </c>
      <c r="G99">
        <v>1.6670000000000001E-13</v>
      </c>
      <c r="H99">
        <v>0</v>
      </c>
      <c r="I99">
        <v>0</v>
      </c>
      <c r="J99">
        <v>0</v>
      </c>
    </row>
    <row r="100" spans="2:10" hidden="1" x14ac:dyDescent="0.25">
      <c r="B100" t="s">
        <v>685</v>
      </c>
      <c r="C100" t="s">
        <v>360</v>
      </c>
      <c r="D100">
        <v>6</v>
      </c>
      <c r="E100">
        <v>0</v>
      </c>
      <c r="F100">
        <v>0</v>
      </c>
      <c r="G100">
        <v>1.6670000000000001E-13</v>
      </c>
      <c r="H100">
        <v>0</v>
      </c>
      <c r="I100">
        <v>0</v>
      </c>
      <c r="J100">
        <v>0</v>
      </c>
    </row>
    <row r="101" spans="2:10" hidden="1" x14ac:dyDescent="0.25">
      <c r="B101" t="s">
        <v>686</v>
      </c>
      <c r="C101" t="s">
        <v>360</v>
      </c>
      <c r="D101">
        <v>7</v>
      </c>
      <c r="E101">
        <v>0</v>
      </c>
      <c r="F101">
        <v>0</v>
      </c>
      <c r="G101">
        <v>1.6670000000000001E-13</v>
      </c>
      <c r="H101">
        <v>0</v>
      </c>
      <c r="I101">
        <v>0</v>
      </c>
      <c r="J101">
        <v>0</v>
      </c>
    </row>
    <row r="102" spans="2:10" hidden="1" x14ac:dyDescent="0.25">
      <c r="B102" t="s">
        <v>687</v>
      </c>
      <c r="C102" t="s">
        <v>360</v>
      </c>
      <c r="D102">
        <v>8</v>
      </c>
      <c r="E102">
        <v>2.6669999999999998E-4</v>
      </c>
      <c r="F102">
        <v>1.6330000000000001E-2</v>
      </c>
      <c r="G102">
        <v>5.3029999999999999E-5</v>
      </c>
      <c r="H102">
        <v>0</v>
      </c>
      <c r="I102">
        <v>0</v>
      </c>
      <c r="J102">
        <v>0</v>
      </c>
    </row>
    <row r="103" spans="2:10" hidden="1" x14ac:dyDescent="0.25">
      <c r="B103" t="s">
        <v>688</v>
      </c>
      <c r="C103" t="s">
        <v>360</v>
      </c>
      <c r="D103">
        <v>9</v>
      </c>
      <c r="E103">
        <v>3.2379999999999999E-2</v>
      </c>
      <c r="F103">
        <v>0.17699999999999999</v>
      </c>
      <c r="G103">
        <v>8.2799999999999996E-4</v>
      </c>
      <c r="H103">
        <v>0</v>
      </c>
      <c r="I103">
        <v>0</v>
      </c>
      <c r="J103">
        <v>1</v>
      </c>
    </row>
    <row r="104" spans="2:10" hidden="1" x14ac:dyDescent="0.25">
      <c r="B104" t="s">
        <v>689</v>
      </c>
      <c r="C104" t="s">
        <v>360</v>
      </c>
      <c r="D104">
        <v>10</v>
      </c>
      <c r="E104">
        <v>0.96740000000000004</v>
      </c>
      <c r="F104">
        <v>0.1777</v>
      </c>
      <c r="G104">
        <v>8.3869999999999995E-4</v>
      </c>
      <c r="H104">
        <v>0</v>
      </c>
      <c r="I104">
        <v>1</v>
      </c>
      <c r="J104">
        <v>1</v>
      </c>
    </row>
    <row r="105" spans="2:10" hidden="1" x14ac:dyDescent="0.25"/>
    <row r="106" spans="2:10" hidden="1" x14ac:dyDescent="0.25"/>
    <row r="107" spans="2:10" hidden="1" x14ac:dyDescent="0.25"/>
    <row r="108" spans="2:10" hidden="1" x14ac:dyDescent="0.25"/>
    <row r="109" spans="2:10" hidden="1" x14ac:dyDescent="0.25"/>
    <row r="110" spans="2:10" hidden="1" x14ac:dyDescent="0.25"/>
    <row r="111" spans="2:10" hidden="1" x14ac:dyDescent="0.25"/>
    <row r="112" spans="2:10"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40000</v>
      </c>
      <c r="F8" s="150"/>
      <c r="G8" s="151"/>
      <c r="H8" s="152"/>
    </row>
    <row r="9" spans="2:16" ht="15.75" thickBot="1" x14ac:dyDescent="0.3">
      <c r="B9" s="20"/>
      <c r="C9" s="18" t="s">
        <v>36</v>
      </c>
      <c r="D9" s="175">
        <f>'Winbugs Settings '!model_runs</f>
        <v>40000</v>
      </c>
      <c r="F9" s="153"/>
      <c r="G9" s="154"/>
      <c r="H9" s="155"/>
    </row>
    <row r="10" spans="2:16" ht="15.75" customHeight="1" thickTop="1" thickBot="1" x14ac:dyDescent="0.3">
      <c r="B10" s="21"/>
      <c r="C10" s="23" t="s">
        <v>130</v>
      </c>
      <c r="D10" s="72" t="b">
        <v>0</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267</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1 12 2018 2 07 47 PM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108</vt:i4>
      </vt:variant>
    </vt:vector>
  </HeadingPairs>
  <TitlesOfParts>
    <vt:vector size="143"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Sheet1</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2018-01-12T18:23:26Z</dcterms:modified>
</cp:coreProperties>
</file>