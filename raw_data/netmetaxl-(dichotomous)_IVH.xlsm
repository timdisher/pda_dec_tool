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outcome 8_IVH\"/>
    </mc:Choice>
  </mc:AlternateContent>
  <bookViews>
    <workbookView xWindow="0" yWindow="0" windowWidth="28800" windowHeight="12435" tabRatio="663" firstSheet="4" activeTab="10"/>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state="hidden" r:id="rId13"/>
    <sheet name="FE Results" sheetId="10" state="hidden" r:id="rId14"/>
    <sheet name="RE Results (Vague Prior)" sheetId="11" state="hidden" r:id="rId15"/>
    <sheet name="RE Results (Informative Prior)" sheetId="29" r:id="rId16"/>
    <sheet name="FE Inconsistency Results" sheetId="35" r:id="rId17"/>
    <sheet name="RE Inconsistency Results" sheetId="36"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calcMode="autoNoTable" concurrentCalc="0"/>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49" i="20"/>
  <c r="K49" i="20"/>
  <c r="L48" i="20"/>
  <c r="K48" i="20"/>
  <c r="L47" i="20"/>
  <c r="K47" i="20"/>
  <c r="L46" i="20"/>
  <c r="K46" i="20"/>
  <c r="L45" i="20"/>
  <c r="K45" i="20"/>
  <c r="L44" i="20"/>
  <c r="K44" i="20"/>
  <c r="L43" i="20"/>
  <c r="K43" i="20"/>
  <c r="L42" i="20"/>
  <c r="K42" i="20"/>
  <c r="L41" i="20"/>
  <c r="K41" i="20"/>
  <c r="L40" i="20"/>
  <c r="K40" i="20"/>
  <c r="L39" i="20"/>
  <c r="K39" i="20"/>
  <c r="L38" i="20"/>
  <c r="K38" i="20"/>
  <c r="L37" i="20"/>
  <c r="K37" i="20"/>
  <c r="L36" i="20"/>
  <c r="K36" i="20"/>
  <c r="L35" i="20"/>
  <c r="K35" i="20"/>
  <c r="L34" i="20"/>
  <c r="K34" i="20"/>
  <c r="L33" i="20"/>
  <c r="K33" i="20"/>
  <c r="L32" i="20"/>
  <c r="K32" i="20"/>
  <c r="L31" i="20"/>
  <c r="K31" i="20"/>
  <c r="L30" i="20"/>
  <c r="K30" i="20"/>
  <c r="L29" i="20"/>
  <c r="K29" i="20"/>
  <c r="L28" i="20"/>
  <c r="K28" i="20"/>
  <c r="L27" i="20"/>
  <c r="K27" i="20"/>
  <c r="L26" i="20"/>
  <c r="K26" i="20"/>
  <c r="L5" i="20"/>
  <c r="K5" i="20"/>
  <c r="L13" i="20"/>
  <c r="K13" i="20"/>
  <c r="L11" i="20"/>
  <c r="K11" i="20"/>
  <c r="L17" i="20"/>
  <c r="K17" i="20"/>
  <c r="L24" i="20"/>
  <c r="K24" i="20"/>
  <c r="L20" i="20"/>
  <c r="K20" i="20"/>
  <c r="L10" i="20"/>
  <c r="K10" i="20"/>
  <c r="L23" i="20"/>
  <c r="K23" i="20"/>
  <c r="L18" i="20"/>
  <c r="K18" i="20"/>
  <c r="L9" i="20"/>
  <c r="K9" i="20"/>
  <c r="L16" i="20"/>
  <c r="K16" i="20"/>
  <c r="L6" i="20"/>
  <c r="K6" i="20"/>
  <c r="L7" i="20"/>
  <c r="K7" i="20"/>
  <c r="L8" i="20"/>
  <c r="K8" i="20"/>
  <c r="L22" i="20"/>
  <c r="K22" i="20"/>
  <c r="L25" i="20"/>
  <c r="K25" i="20"/>
  <c r="L15" i="20"/>
  <c r="K15" i="20"/>
  <c r="L14" i="20"/>
  <c r="K14" i="20"/>
  <c r="L19" i="20"/>
  <c r="K19" i="20"/>
  <c r="L12" i="20"/>
  <c r="K12" i="20"/>
  <c r="L21" i="20"/>
  <c r="K21"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27" i="27"/>
  <c r="K27" i="27"/>
  <c r="L46" i="27"/>
  <c r="K46" i="27"/>
  <c r="L26" i="27"/>
  <c r="K26" i="27"/>
  <c r="L14" i="27"/>
  <c r="K14" i="27"/>
  <c r="L20" i="27"/>
  <c r="K20" i="27"/>
  <c r="L47" i="27"/>
  <c r="K47" i="27"/>
  <c r="L40" i="27"/>
  <c r="K40" i="27"/>
  <c r="L25" i="27"/>
  <c r="K25" i="27"/>
  <c r="L17" i="27"/>
  <c r="K17" i="27"/>
  <c r="L21" i="27"/>
  <c r="K21" i="27"/>
  <c r="L43" i="27"/>
  <c r="K43" i="27"/>
  <c r="L23" i="27"/>
  <c r="K23" i="27"/>
  <c r="L39" i="27"/>
  <c r="K39" i="27"/>
  <c r="L5" i="27"/>
  <c r="K5" i="27"/>
  <c r="L42" i="27"/>
  <c r="K42" i="27"/>
  <c r="L49" i="27"/>
  <c r="K49" i="27"/>
  <c r="L28" i="27"/>
  <c r="K28" i="27"/>
  <c r="L31" i="27"/>
  <c r="K31" i="27"/>
  <c r="L34" i="27"/>
  <c r="K34" i="27"/>
  <c r="L38" i="27"/>
  <c r="K38" i="27"/>
  <c r="L35" i="27"/>
  <c r="K35" i="27"/>
  <c r="L18" i="27"/>
  <c r="K18" i="27"/>
  <c r="L11" i="27"/>
  <c r="K11" i="27"/>
  <c r="L9" i="27"/>
  <c r="K9" i="27"/>
  <c r="L48" i="27"/>
  <c r="K48" i="27"/>
  <c r="L32" i="27"/>
  <c r="K32" i="27"/>
  <c r="L33" i="27"/>
  <c r="K33" i="27"/>
  <c r="L6" i="27"/>
  <c r="K6" i="27"/>
  <c r="L19" i="27"/>
  <c r="K19" i="27"/>
  <c r="L12" i="27"/>
  <c r="K12" i="27"/>
  <c r="L41" i="27"/>
  <c r="K41" i="27"/>
  <c r="L7" i="27"/>
  <c r="K7" i="27"/>
  <c r="L44" i="27"/>
  <c r="K44" i="27"/>
  <c r="L37" i="27"/>
  <c r="K37" i="27"/>
  <c r="L22" i="27"/>
  <c r="K22" i="27"/>
  <c r="L10" i="27"/>
  <c r="K10" i="27"/>
  <c r="L30" i="27"/>
  <c r="K30" i="27"/>
  <c r="L36" i="27"/>
  <c r="K36" i="27"/>
  <c r="L45" i="27"/>
  <c r="K45" i="27"/>
  <c r="L24" i="27"/>
  <c r="K24" i="27"/>
  <c r="L15" i="27"/>
  <c r="K15" i="27"/>
  <c r="L29" i="27"/>
  <c r="K29" i="27"/>
  <c r="L13" i="27"/>
  <c r="K13" i="27"/>
  <c r="L8" i="27"/>
  <c r="K8" i="27"/>
  <c r="L16" i="27"/>
  <c r="K16"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J134" i="40"/>
  <c r="K149" i="40"/>
  <c r="I125" i="40"/>
  <c r="K122" i="40"/>
  <c r="I143" i="40"/>
  <c r="J142" i="40"/>
  <c r="K140" i="40"/>
  <c r="K124" i="40"/>
  <c r="J133" i="40"/>
  <c r="I126" i="40"/>
  <c r="I139" i="40"/>
  <c r="I132" i="40"/>
  <c r="K114" i="40"/>
  <c r="I136" i="40"/>
  <c r="K126" i="40"/>
  <c r="J136" i="40"/>
  <c r="K111" i="40"/>
  <c r="K132" i="40"/>
  <c r="K118" i="40"/>
  <c r="K138" i="40"/>
  <c r="J143" i="40"/>
  <c r="I119" i="40"/>
  <c r="I142" i="40"/>
  <c r="J122" i="40"/>
  <c r="J131" i="40"/>
  <c r="K117" i="40"/>
  <c r="J117" i="40"/>
  <c r="J140" i="40"/>
  <c r="I146" i="40"/>
  <c r="I113" i="40"/>
  <c r="K146" i="40"/>
  <c r="I141" i="40"/>
  <c r="J127" i="40"/>
  <c r="I124" i="40"/>
  <c r="K123" i="40"/>
  <c r="I133" i="40"/>
  <c r="K147" i="40"/>
  <c r="I121" i="40"/>
  <c r="I116" i="40"/>
  <c r="K133" i="40"/>
  <c r="I147" i="40"/>
  <c r="I138" i="40"/>
  <c r="I140" i="40"/>
  <c r="I123" i="40"/>
  <c r="J129" i="40"/>
  <c r="K148" i="40"/>
  <c r="J123" i="40"/>
  <c r="I145" i="40"/>
  <c r="I137" i="40"/>
  <c r="K139" i="40"/>
  <c r="I117" i="40"/>
  <c r="J146" i="40"/>
  <c r="K120" i="40"/>
  <c r="I134" i="40"/>
  <c r="I120" i="40"/>
  <c r="I112" i="40"/>
  <c r="K144" i="40"/>
  <c r="K112" i="40"/>
  <c r="K115" i="40"/>
  <c r="J141" i="40"/>
  <c r="K130" i="40"/>
  <c r="K136" i="40"/>
  <c r="J147" i="40"/>
  <c r="J120" i="40"/>
  <c r="J144" i="40"/>
  <c r="J121" i="40"/>
  <c r="K116" i="40"/>
  <c r="I115" i="40"/>
  <c r="J116" i="40"/>
  <c r="I144" i="40"/>
  <c r="I131" i="40"/>
  <c r="J132" i="40"/>
  <c r="J112" i="40"/>
  <c r="J125" i="40"/>
  <c r="J150" i="40"/>
  <c r="J111" i="40"/>
  <c r="J114" i="40"/>
  <c r="K127" i="40"/>
  <c r="K135" i="40"/>
  <c r="I114" i="40"/>
  <c r="J115" i="40"/>
  <c r="J149" i="40"/>
  <c r="J139" i="40"/>
  <c r="I122" i="40"/>
  <c r="J130" i="40"/>
  <c r="I149" i="40"/>
  <c r="I127" i="40"/>
  <c r="K145" i="40"/>
  <c r="J148" i="40"/>
  <c r="I128" i="40"/>
  <c r="J118" i="40"/>
  <c r="K119" i="40"/>
  <c r="I118" i="40"/>
  <c r="K121" i="40"/>
  <c r="J126" i="40"/>
  <c r="K113" i="40"/>
  <c r="J138" i="40"/>
  <c r="I135" i="40"/>
  <c r="J113" i="40"/>
  <c r="K125" i="40"/>
  <c r="K131" i="40"/>
  <c r="J135" i="40"/>
  <c r="I148" i="40"/>
  <c r="J137" i="40"/>
  <c r="J128" i="40"/>
  <c r="K141" i="40"/>
  <c r="K134" i="40"/>
  <c r="I130" i="40"/>
  <c r="I150" i="40"/>
  <c r="J145" i="40"/>
  <c r="K137" i="40"/>
  <c r="J124" i="40"/>
  <c r="J119" i="40"/>
  <c r="K129" i="40"/>
  <c r="I129" i="40"/>
  <c r="K143" i="40"/>
  <c r="K142" i="40"/>
  <c r="I111" i="40"/>
  <c r="K150" i="40"/>
  <c r="K128"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5" i="44"/>
  <c r="Z4" i="44"/>
  <c r="Z3" i="44"/>
  <c r="Y2" i="44"/>
  <c r="Z5" i="41"/>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0" i="46"/>
  <c r="S80" i="46"/>
  <c r="T80" i="46"/>
  <c r="U80" i="46"/>
  <c r="Q81" i="46"/>
  <c r="S81" i="46"/>
  <c r="T81" i="46"/>
  <c r="U81" i="46"/>
  <c r="Q82" i="46"/>
  <c r="S82" i="46"/>
  <c r="T82" i="46"/>
  <c r="U82" i="46"/>
  <c r="Q83" i="46"/>
  <c r="S83" i="46"/>
  <c r="T83" i="46"/>
  <c r="U83" i="46"/>
  <c r="Q84" i="46"/>
  <c r="S84" i="46"/>
  <c r="T84" i="46"/>
  <c r="U84" i="46"/>
  <c r="Q85" i="46"/>
  <c r="S85" i="46"/>
  <c r="T85" i="46"/>
  <c r="U85" i="46"/>
  <c r="Q86" i="46"/>
  <c r="S86" i="46"/>
  <c r="T86" i="46"/>
  <c r="U86" i="46"/>
  <c r="Q87" i="46"/>
  <c r="S87" i="46"/>
  <c r="T87" i="46"/>
  <c r="U87" i="46"/>
  <c r="Q88" i="46"/>
  <c r="S88" i="46"/>
  <c r="T88" i="46"/>
  <c r="U88" i="46"/>
  <c r="Q89" i="46"/>
  <c r="S89" i="46"/>
  <c r="T89" i="46"/>
  <c r="U89" i="46"/>
  <c r="Q90" i="46"/>
  <c r="S90" i="46"/>
  <c r="T90" i="46"/>
  <c r="U90" i="46"/>
  <c r="Q91" i="46"/>
  <c r="S91" i="46"/>
  <c r="T91" i="46"/>
  <c r="U91" i="46"/>
  <c r="Q92" i="46"/>
  <c r="S92" i="46"/>
  <c r="T92" i="46"/>
  <c r="U92" i="46"/>
  <c r="Q93" i="46"/>
  <c r="S93" i="46"/>
  <c r="T93" i="46"/>
  <c r="U93" i="46"/>
  <c r="Q94" i="46"/>
  <c r="S94" i="46"/>
  <c r="T94" i="46"/>
  <c r="U94" i="46"/>
  <c r="Q95" i="46"/>
  <c r="S95" i="46"/>
  <c r="T95" i="46"/>
  <c r="U95" i="46"/>
  <c r="Q96" i="46"/>
  <c r="S96" i="46"/>
  <c r="T96" i="46"/>
  <c r="U96" i="46"/>
  <c r="Q97" i="46"/>
  <c r="S97" i="46"/>
  <c r="T97" i="46"/>
  <c r="U97"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4" i="41"/>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K34" i="40"/>
  <c r="I37" i="40"/>
  <c r="I32" i="40"/>
  <c r="K16" i="40"/>
  <c r="I97" i="40"/>
  <c r="J56" i="40"/>
  <c r="I25" i="40"/>
  <c r="I58" i="40"/>
  <c r="K94" i="40"/>
  <c r="I88" i="40"/>
  <c r="K103" i="40"/>
  <c r="K101" i="40"/>
  <c r="I8" i="40"/>
  <c r="K74" i="40"/>
  <c r="J38" i="40"/>
  <c r="J82" i="40"/>
  <c r="J96" i="40"/>
  <c r="K54" i="40"/>
  <c r="K72" i="40"/>
  <c r="I76" i="40"/>
  <c r="K62" i="40"/>
  <c r="J37" i="40"/>
  <c r="I15" i="40"/>
  <c r="I75" i="40"/>
  <c r="J11" i="40"/>
  <c r="K67" i="40"/>
  <c r="K81" i="40"/>
  <c r="J33" i="40"/>
  <c r="K51" i="40"/>
  <c r="J67" i="40"/>
  <c r="K96" i="40"/>
  <c r="K92" i="40"/>
  <c r="I103" i="40"/>
  <c r="J79" i="40"/>
  <c r="J44" i="40"/>
  <c r="K75" i="40"/>
  <c r="I107" i="40"/>
  <c r="K61" i="40"/>
  <c r="I24" i="40"/>
  <c r="J86" i="40"/>
  <c r="I62" i="40"/>
  <c r="I40" i="40"/>
  <c r="K63" i="40"/>
  <c r="I63" i="40"/>
  <c r="J77" i="40"/>
  <c r="K28" i="40"/>
  <c r="J8" i="40"/>
  <c r="I69" i="40"/>
  <c r="K13" i="40"/>
  <c r="K41" i="40"/>
  <c r="K73" i="40"/>
  <c r="I106" i="40"/>
  <c r="I39" i="40"/>
  <c r="K59" i="40"/>
  <c r="I60" i="40"/>
  <c r="J84" i="40"/>
  <c r="I81" i="40"/>
  <c r="I80" i="40"/>
  <c r="J83" i="40"/>
  <c r="J55" i="40"/>
  <c r="I98" i="40"/>
  <c r="I34" i="40"/>
  <c r="J72" i="40"/>
  <c r="J19" i="40"/>
  <c r="K5" i="40"/>
  <c r="I28" i="40"/>
  <c r="K10" i="40"/>
  <c r="J91" i="40"/>
  <c r="I79" i="40"/>
  <c r="J92" i="40"/>
  <c r="K11" i="40"/>
  <c r="K65" i="40"/>
  <c r="J59" i="40"/>
  <c r="I86" i="40"/>
  <c r="K42" i="40"/>
  <c r="K79" i="40"/>
  <c r="I99" i="40"/>
  <c r="J90" i="40"/>
  <c r="K71" i="40"/>
  <c r="K17" i="40"/>
  <c r="I104" i="40"/>
  <c r="I54" i="40"/>
  <c r="K9" i="40"/>
  <c r="I50" i="40"/>
  <c r="J61" i="40"/>
  <c r="I13" i="40"/>
  <c r="J102" i="40"/>
  <c r="K76" i="40"/>
  <c r="K29" i="40"/>
  <c r="J93" i="40"/>
  <c r="K8" i="40"/>
  <c r="K32" i="40"/>
  <c r="I14" i="40"/>
  <c r="I48" i="40"/>
  <c r="K78" i="40"/>
  <c r="K64" i="40"/>
  <c r="K53" i="40"/>
  <c r="I59" i="40"/>
  <c r="K66" i="40"/>
  <c r="J18" i="40"/>
  <c r="I101" i="40"/>
  <c r="J40" i="40"/>
  <c r="I44" i="40"/>
  <c r="K104" i="40"/>
  <c r="I46" i="40"/>
  <c r="J25" i="40"/>
  <c r="J99" i="40"/>
  <c r="K49" i="40"/>
  <c r="J13" i="40"/>
  <c r="J6" i="40"/>
  <c r="J32" i="40"/>
  <c r="K30" i="40"/>
  <c r="I110" i="40"/>
  <c r="J95" i="40"/>
  <c r="J58" i="40"/>
  <c r="J20" i="40"/>
  <c r="J42" i="40"/>
  <c r="K19" i="40"/>
  <c r="J46" i="40"/>
  <c r="I85" i="40"/>
  <c r="J62" i="40"/>
  <c r="I10" i="40"/>
  <c r="J17" i="40"/>
  <c r="K68" i="40"/>
  <c r="I6" i="40"/>
  <c r="K38" i="40"/>
  <c r="I95" i="40"/>
  <c r="J110" i="40"/>
  <c r="I52" i="40"/>
  <c r="I70" i="40"/>
  <c r="J60" i="40"/>
  <c r="I36" i="40"/>
  <c r="I67" i="40"/>
  <c r="K31" i="40"/>
  <c r="I102" i="40"/>
  <c r="J27" i="40"/>
  <c r="J88" i="40"/>
  <c r="K22" i="40"/>
  <c r="J51" i="40"/>
  <c r="J23" i="40"/>
  <c r="K21" i="40"/>
  <c r="K58" i="40"/>
  <c r="K37" i="40"/>
  <c r="I21" i="40"/>
  <c r="K108" i="40"/>
  <c r="K77" i="40"/>
  <c r="J12" i="40"/>
  <c r="I83" i="40"/>
  <c r="K95" i="40"/>
  <c r="I23" i="40"/>
  <c r="K80" i="40"/>
  <c r="J28" i="40"/>
  <c r="J97" i="40"/>
  <c r="K35" i="40"/>
  <c r="I87" i="40"/>
  <c r="I64" i="40"/>
  <c r="J26" i="40"/>
  <c r="I77" i="40"/>
  <c r="J41" i="40"/>
  <c r="K102" i="40"/>
  <c r="I94" i="40"/>
  <c r="I93" i="40"/>
  <c r="J24" i="40"/>
  <c r="I105" i="40"/>
  <c r="K106" i="40"/>
  <c r="I56" i="40"/>
  <c r="K90" i="40"/>
  <c r="I89" i="40"/>
  <c r="K86" i="40"/>
  <c r="K20" i="40"/>
  <c r="J104" i="40"/>
  <c r="K88" i="40"/>
  <c r="I38" i="40"/>
  <c r="K50" i="40"/>
  <c r="K85" i="40"/>
  <c r="K70" i="40"/>
  <c r="J105" i="40"/>
  <c r="J15" i="40"/>
  <c r="J30" i="40"/>
  <c r="I30" i="40"/>
  <c r="J21" i="40"/>
  <c r="I47" i="40"/>
  <c r="K27" i="40"/>
  <c r="I84" i="40"/>
  <c r="K57" i="40"/>
  <c r="J52" i="40"/>
  <c r="I42" i="40"/>
  <c r="K82" i="40"/>
  <c r="I55" i="40"/>
  <c r="I65" i="40"/>
  <c r="J69" i="40"/>
  <c r="J106" i="40"/>
  <c r="K15" i="40"/>
  <c r="I100" i="40"/>
  <c r="K93" i="40"/>
  <c r="K55" i="40"/>
  <c r="J103" i="40"/>
  <c r="I31" i="40"/>
  <c r="J39" i="40"/>
  <c r="K83" i="40"/>
  <c r="I51" i="40"/>
  <c r="K69" i="40"/>
  <c r="K44" i="40"/>
  <c r="J78" i="40"/>
  <c r="K33" i="40"/>
  <c r="J74" i="40"/>
  <c r="J10" i="40"/>
  <c r="I16" i="40"/>
  <c r="K105" i="40"/>
  <c r="J7" i="40"/>
  <c r="J50" i="40"/>
  <c r="K107" i="40"/>
  <c r="I41" i="40"/>
  <c r="K23" i="40"/>
  <c r="K6" i="40"/>
  <c r="I96" i="40"/>
  <c r="K84" i="40"/>
  <c r="I43" i="40"/>
  <c r="I78" i="40"/>
  <c r="J54" i="40"/>
  <c r="K39" i="40"/>
  <c r="I5" i="40"/>
  <c r="I11" i="40"/>
  <c r="I7" i="40"/>
  <c r="K25" i="40"/>
  <c r="J76" i="40"/>
  <c r="J75" i="40"/>
  <c r="K47" i="40"/>
  <c r="J45" i="40"/>
  <c r="I109" i="40"/>
  <c r="J53" i="40"/>
  <c r="I12" i="40"/>
  <c r="J48" i="40"/>
  <c r="I72" i="40"/>
  <c r="K43" i="40"/>
  <c r="K18" i="40"/>
  <c r="J64" i="40"/>
  <c r="J9" i="40"/>
  <c r="K89" i="40"/>
  <c r="J47" i="40"/>
  <c r="J109" i="40"/>
  <c r="I49" i="40"/>
  <c r="I73" i="40"/>
  <c r="I27" i="40"/>
  <c r="J36" i="40"/>
  <c r="I20" i="40"/>
  <c r="J22" i="40"/>
  <c r="K91" i="40"/>
  <c r="I53" i="40"/>
  <c r="I92" i="40"/>
  <c r="K56" i="40"/>
  <c r="I57" i="40"/>
  <c r="K14" i="40"/>
  <c r="J107" i="40"/>
  <c r="K60" i="40"/>
  <c r="J73" i="40"/>
  <c r="K24" i="40"/>
  <c r="I66" i="40"/>
  <c r="I35" i="40"/>
  <c r="J87" i="40"/>
  <c r="I90" i="40"/>
  <c r="J14" i="40"/>
  <c r="I29" i="40"/>
  <c r="I68" i="40"/>
  <c r="J49" i="40"/>
  <c r="J29" i="40"/>
  <c r="K45" i="40"/>
  <c r="K48" i="40"/>
  <c r="K99" i="40"/>
  <c r="J68" i="40"/>
  <c r="J100" i="40"/>
  <c r="I18" i="40"/>
  <c r="K87" i="40"/>
  <c r="K52" i="40"/>
  <c r="J80" i="40"/>
  <c r="J63" i="40"/>
  <c r="J85" i="40"/>
  <c r="J34" i="40"/>
  <c r="K109" i="40"/>
  <c r="K36" i="40"/>
  <c r="J101" i="40"/>
  <c r="J66" i="40"/>
  <c r="I33" i="40"/>
  <c r="K110" i="40"/>
  <c r="I91" i="40"/>
  <c r="J16" i="40"/>
  <c r="I71" i="40"/>
  <c r="K12" i="40"/>
  <c r="J71" i="40"/>
  <c r="K40" i="40"/>
  <c r="I61" i="40"/>
  <c r="K100" i="40"/>
  <c r="J65" i="40"/>
  <c r="I74" i="40"/>
  <c r="K7" i="40"/>
  <c r="I9" i="40"/>
  <c r="J5" i="40"/>
  <c r="J89" i="40"/>
  <c r="J108" i="40"/>
  <c r="J70" i="40"/>
  <c r="J57" i="40"/>
  <c r="J98" i="40"/>
  <c r="K26" i="40"/>
  <c r="K46" i="40"/>
  <c r="J43" i="40"/>
  <c r="I45" i="40"/>
  <c r="I82" i="40"/>
  <c r="I19" i="40"/>
  <c r="J31" i="40"/>
  <c r="I17" i="40"/>
  <c r="I22" i="40"/>
  <c r="K98" i="40"/>
  <c r="J35" i="40"/>
  <c r="I26" i="40"/>
  <c r="K97" i="40"/>
  <c r="I108" i="40"/>
  <c r="J81" i="40"/>
  <c r="J94" i="40"/>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I30" i="48"/>
  <c r="J32" i="48"/>
  <c r="I37" i="48"/>
  <c r="J33" i="48"/>
  <c r="J25" i="48"/>
  <c r="J24" i="48"/>
  <c r="E17" i="48"/>
  <c r="J29" i="48"/>
  <c r="J27" i="48"/>
  <c r="J30" i="48"/>
  <c r="J26" i="48"/>
  <c r="I28" i="48"/>
  <c r="J37" i="48"/>
  <c r="J28" i="48"/>
  <c r="E15" i="48"/>
  <c r="I35" i="48"/>
  <c r="J34" i="48"/>
  <c r="J38" i="48"/>
  <c r="I26" i="48"/>
  <c r="I31" i="48"/>
  <c r="I33" i="48"/>
  <c r="I38" i="48"/>
  <c r="J31" i="48"/>
  <c r="I32" i="48"/>
  <c r="I24" i="48"/>
  <c r="I29" i="48"/>
  <c r="I36" i="48"/>
  <c r="I25" i="48"/>
  <c r="I27" i="48"/>
  <c r="I34" i="48"/>
  <c r="J35" i="48"/>
  <c r="J36" i="48"/>
  <c r="E8" i="48"/>
  <c r="E16" i="48"/>
  <c r="A31" i="38"/>
  <c r="A46" i="6"/>
  <c r="A31" i="37"/>
  <c r="A32" i="37"/>
  <c r="A30" i="38"/>
  <c r="A45" i="6"/>
  <c r="A46" i="4"/>
  <c r="A45" i="4"/>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alcChain>
</file>

<file path=xl/sharedStrings.xml><?xml version="1.0" encoding="utf-8"?>
<sst xmlns="http://schemas.openxmlformats.org/spreadsheetml/2006/main" count="2588" uniqueCount="872">
  <si>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</si>
  <si>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</si>
  <si>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</si>
  <si>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</si>
  <si>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</si>
  <si>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</si>
  <si>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</si>
  <si>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</si>
  <si>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</si>
  <si>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</si>
  <si>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</si>
  <si>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</si>
  <si>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</si>
  <si>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</si>
  <si>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</si>
  <si>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</si>
  <si>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</si>
  <si>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</si>
  <si>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</si>
  <si>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</si>
  <si>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</si>
  <si>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</si>
  <si>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</si>
  <si>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</si>
  <si>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</si>
  <si>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</si>
  <si>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</si>
  <si>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</si>
  <si>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</si>
  <si>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</si>
  <si>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</si>
  <si>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</si>
  <si>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</si>
  <si>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</si>
  <si>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</si>
  <si>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</si>
  <si>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</si>
  <si>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</si>
  <si>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</si>
  <si>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</si>
  <si>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</si>
  <si>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</si>
  <si>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</si>
  <si>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</si>
  <si>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</si>
  <si>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</si>
  <si>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</si>
  <si>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</si>
  <si>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</si>
  <si>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</si>
  <si>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</si>
  <si>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</si>
  <si>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</si>
  <si>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</si>
  <si>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</si>
  <si>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</si>
  <si>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</si>
  <si>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</si>
  <si>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</si>
  <si>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</si>
  <si>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</si>
  <si>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</si>
  <si>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</si>
  <si>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</si>
  <si>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</si>
  <si>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</si>
  <si>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</si>
  <si>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</si>
  <si>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</si>
  <si>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</si>
  <si>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</si>
  <si>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</si>
  <si>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</si>
  <si>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</si>
  <si>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</si>
  <si>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</si>
  <si>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</si>
  <si>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</si>
  <si>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</si>
  <si>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</si>
  <si>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</si>
  <si>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</si>
  <si>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</si>
  <si>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</si>
  <si>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</si>
  <si>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</si>
  <si>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</si>
  <si>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</si>
  <si>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</si>
  <si>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</si>
  <si>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</si>
  <si>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</si>
  <si>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</si>
  <si>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</si>
  <si>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</si>
  <si>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</si>
  <si>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</si>
  <si>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</si>
  <si>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</si>
  <si>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</si>
  <si>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</si>
  <si>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</si>
  <si>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</si>
  <si>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</si>
  <si>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</si>
  <si>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</si>
  <si>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</si>
  <si>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</si>
  <si>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</si>
  <si>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</si>
  <si>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</si>
  <si>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</si>
  <si>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</si>
  <si>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</si>
  <si>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</si>
  <si>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</si>
  <si>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</si>
  <si>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</si>
  <si>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</si>
  <si>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</si>
  <si>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</si>
  <si>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</si>
  <si>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</si>
  <si>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</si>
  <si>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</si>
  <si>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</si>
  <si>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</si>
  <si>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</si>
  <si>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</si>
  <si>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</si>
  <si>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</si>
  <si>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</si>
  <si>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</si>
  <si>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</si>
  <si>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</si>
  <si>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</si>
  <si>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</si>
  <si>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</si>
  <si>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</si>
  <si>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</si>
  <si>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</si>
  <si>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</si>
  <si>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</si>
  <si>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</si>
  <si>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</si>
  <si>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</si>
  <si>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</si>
  <si>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</si>
  <si>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</si>
  <si>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</si>
  <si>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</si>
  <si>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</si>
  <si>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</si>
  <si>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</si>
  <si>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</si>
  <si>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</si>
  <si>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</si>
  <si>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</si>
  <si>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</si>
  <si>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</si>
  <si>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</si>
  <si>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</si>
  <si>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</si>
  <si>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</si>
  <si>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</si>
  <si>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</si>
  <si>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</si>
  <si>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</si>
  <si>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</si>
  <si>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</si>
  <si>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</si>
  <si>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</si>
  <si>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</si>
  <si>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</si>
  <si>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</si>
  <si>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</si>
  <si>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</si>
  <si>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</si>
  <si>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</si>
  <si>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</si>
  <si>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</si>
  <si>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</si>
  <si>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</si>
  <si>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</si>
  <si>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</si>
  <si>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</si>
  <si>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</si>
  <si>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</si>
  <si>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</si>
  <si>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</si>
  <si>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</si>
  <si>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</si>
  <si>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</si>
  <si>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</si>
  <si>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</si>
  <si>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</si>
  <si>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</si>
  <si>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</si>
  <si>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</si>
  <si>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</si>
  <si>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</si>
  <si>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</si>
  <si>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</si>
  <si>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</si>
  <si>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</si>
  <si>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</si>
  <si>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</si>
  <si>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</si>
  <si>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</si>
  <si>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</si>
  <si>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</si>
  <si>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</si>
  <si>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</si>
  <si>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</si>
  <si>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</si>
  <si>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</si>
  <si>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</si>
  <si>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</si>
  <si>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</si>
  <si>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</si>
  <si>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</si>
  <si>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</si>
  <si>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</si>
  <si>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</si>
  <si>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</si>
  <si>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</si>
  <si>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</si>
  <si>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</si>
  <si>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</si>
  <si>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</si>
  <si>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</si>
  <si>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</si>
  <si>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</si>
  <si>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</si>
  <si>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</si>
  <si>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</si>
  <si>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</si>
  <si>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</si>
  <si>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</si>
  <si>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</si>
  <si>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</si>
  <si>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</si>
  <si>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</si>
  <si>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</si>
  <si>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</si>
  <si>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</si>
  <si>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</si>
  <si>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</si>
  <si>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</si>
  <si>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</si>
  <si>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</si>
  <si>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</si>
  <si>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</si>
  <si>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</si>
  <si>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</si>
  <si>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</si>
  <si>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</si>
  <si>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</si>
  <si>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</si>
  <si>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</si>
  <si>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</si>
  <si>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</si>
  <si>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</si>
  <si>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Random Effects  (Informative)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</si>
  <si>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</si>
  <si>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</si>
  <si>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</si>
  <si>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</si>
  <si>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</si>
  <si>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</si>
  <si>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</si>
  <si>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</si>
  <si>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</si>
  <si>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</si>
  <si>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</si>
  <si>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</si>
  <si>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</si>
  <si>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</si>
  <si>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</si>
  <si>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</si>
  <si>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</si>
  <si>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</si>
  <si>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</si>
  <si>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</si>
  <si>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</si>
  <si>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</si>
  <si>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</si>
  <si>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</si>
  <si>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</si>
  <si>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</si>
  <si>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</si>
  <si>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</si>
  <si>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</si>
  <si>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</si>
  <si>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</si>
  <si>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</si>
  <si>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</si>
  <si>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</si>
  <si>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</si>
  <si>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</si>
  <si>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</si>
  <si>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</si>
  <si>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</si>
  <si>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</si>
  <si>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</si>
  <si>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</si>
  <si>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</si>
  <si>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</si>
  <si>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</si>
  <si>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</si>
  <si>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</si>
  <si>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</si>
  <si>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</si>
  <si>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</si>
  <si>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</si>
  <si>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</si>
  <si>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</si>
  <si>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</si>
  <si>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</si>
  <si>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</si>
  <si>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</si>
  <si>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</si>
  <si>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</si>
  <si>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</si>
  <si>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</si>
  <si>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</si>
  <si>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</si>
  <si>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</si>
  <si>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</si>
  <si>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</si>
  <si>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</si>
  <si>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</si>
  <si>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</si>
  <si>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</si>
  <si>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</si>
  <si>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</si>
  <si>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</si>
  <si>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</si>
  <si>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</si>
  <si>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</si>
  <si>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</si>
  <si>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</si>
  <si>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</si>
  <si>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</si>
  <si>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</si>
  <si>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</si>
  <si>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</si>
  <si>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</si>
  <si>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</si>
  <si>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</si>
  <si>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</si>
  <si>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</si>
  <si>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</si>
  <si>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</si>
  <si>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</si>
  <si>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</si>
  <si>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</si>
  <si>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</si>
  <si>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</si>
  <si>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</si>
  <si>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INDOTHERS</t>
  </si>
  <si>
    <t>PLAC_NORX</t>
  </si>
  <si>
    <t>r[,6]</t>
  </si>
  <si>
    <t>n[,6]</t>
  </si>
  <si>
    <t>r[,7]</t>
  </si>
  <si>
    <t>n[,7]</t>
  </si>
  <si>
    <t>r[,8]</t>
  </si>
  <si>
    <t>n[,8]</t>
  </si>
  <si>
    <t>r[,9]</t>
  </si>
  <si>
    <t>n[,9]</t>
  </si>
  <si>
    <t>r[,10]</t>
  </si>
  <si>
    <t>n[,10]</t>
  </si>
  <si>
    <t>t[,6]</t>
  </si>
  <si>
    <t>t[,7]</t>
  </si>
  <si>
    <t>t[,8]</t>
  </si>
  <si>
    <t>t[,9]</t>
  </si>
  <si>
    <t>t[,10]</t>
  </si>
  <si>
    <t>NA</t>
  </si>
  <si>
    <t>END</t>
  </si>
  <si>
    <t>INDOIV vs. IBUPO</t>
  </si>
  <si>
    <t>IBUIV vs. PLAC_NORX</t>
  </si>
  <si>
    <t>INDOIV vs. INDOTHERS</t>
  </si>
  <si>
    <t>INDOIV vs. PARAPO</t>
  </si>
  <si>
    <t>IBUPO vs. PLAC_NORX</t>
  </si>
  <si>
    <t>IBUPO vs. PARAPO</t>
  </si>
  <si>
    <t>IBUIV vs. IBUPO</t>
  </si>
  <si>
    <t>INDOIV vs. INDOIVCONT</t>
  </si>
  <si>
    <t>INDOIV vs. PLAC_NORX</t>
  </si>
  <si>
    <t>IBUIV vs. IBUIVHIGHDOSE</t>
  </si>
  <si>
    <t>IBUPO vs. INDOTHERS</t>
  </si>
  <si>
    <t>INDOIV vs. IBUIV</t>
  </si>
  <si>
    <t>IBUIV vs. IBUIVCONT</t>
  </si>
  <si>
    <t>IBUPO vs. IBUPOHIGHDOSE</t>
  </si>
  <si>
    <t>display(log)</t>
  </si>
  <si>
    <t>data(C:/WinBUGS data/Inconsistency Data List.txt)</t>
  </si>
  <si>
    <t>data(C:/WinBUGS data/Inconsistency Data Table.txt)</t>
  </si>
  <si>
    <t>update(40000)</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</si>
  <si>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</si>
  <si>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</si>
  <si>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</si>
  <si>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</si>
  <si>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</si>
  <si>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</si>
  <si>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</si>
  <si>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</si>
  <si>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</si>
  <si>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</si>
  <si>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</si>
  <si>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</si>
  <si>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</si>
  <si>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</si>
  <si>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</si>
  <si>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</si>
  <si>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</si>
  <si>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</si>
  <si>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</si>
  <si>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</si>
  <si>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</si>
  <si>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</si>
  <si>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</si>
  <si>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</si>
  <si>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</si>
  <si>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</si>
  <si>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</si>
  <si>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</si>
  <si>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</si>
  <si>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OR[1,10]</t>
  </si>
  <si>
    <t>OR[2,3]</t>
  </si>
  <si>
    <t>OR[2,4]</t>
  </si>
  <si>
    <t>OR[2,5]</t>
  </si>
  <si>
    <t>OR[2,6]</t>
  </si>
  <si>
    <t>OR[2,7]</t>
  </si>
  <si>
    <t>OR[2,8]</t>
  </si>
  <si>
    <t>OR[2,9]</t>
  </si>
  <si>
    <t>OR[2,10]</t>
  </si>
  <si>
    <t>OR[3,4]</t>
  </si>
  <si>
    <t>OR[3,5]</t>
  </si>
  <si>
    <t>OR[3,6]</t>
  </si>
  <si>
    <t>OR[3,7]</t>
  </si>
  <si>
    <t>OR[3,8]</t>
  </si>
  <si>
    <t>OR[3,9]</t>
  </si>
  <si>
    <t>OR[3,10]</t>
  </si>
  <si>
    <t>OR[4,5]</t>
  </si>
  <si>
    <t>OR[4,6]</t>
  </si>
  <si>
    <t>OR[4,7]</t>
  </si>
  <si>
    <t>OR[4,8]</t>
  </si>
  <si>
    <t>OR[4,9]</t>
  </si>
  <si>
    <t>OR[4,10]</t>
  </si>
  <si>
    <t>OR[5,6]</t>
  </si>
  <si>
    <t>OR[5,7]</t>
  </si>
  <si>
    <t>OR[5,8]</t>
  </si>
  <si>
    <t>OR[5,9]</t>
  </si>
  <si>
    <t>OR[5,10]</t>
  </si>
  <si>
    <t>OR[6,7]</t>
  </si>
  <si>
    <t>OR[6,8]</t>
  </si>
  <si>
    <t>OR[6,9]</t>
  </si>
  <si>
    <t>OR[6,10]</t>
  </si>
  <si>
    <t>OR[7,8]</t>
  </si>
  <si>
    <t>OR[7,9]</t>
  </si>
  <si>
    <t>OR[7,10]</t>
  </si>
  <si>
    <t>OR[8,9]</t>
  </si>
  <si>
    <t>OR[8,10]</t>
  </si>
  <si>
    <t>OR[9,10]</t>
  </si>
  <si>
    <t>SUCRA[1]</t>
  </si>
  <si>
    <t>SUCRA[2]</t>
  </si>
  <si>
    <t>SUCRA[3]</t>
  </si>
  <si>
    <t>SUCRA[4]</t>
  </si>
  <si>
    <t>SUCRA[5]</t>
  </si>
  <si>
    <t>SUCRA[6]</t>
  </si>
  <si>
    <t>SUCRA[7]</t>
  </si>
  <si>
    <t>SUCRA[8]</t>
  </si>
  <si>
    <t>SUCRA[9]</t>
  </si>
  <si>
    <t>SUCRA[10]</t>
  </si>
  <si>
    <t>best[1]</t>
  </si>
  <si>
    <t>best[2]</t>
  </si>
  <si>
    <t>best[3]</t>
  </si>
  <si>
    <t>best[4]</t>
  </si>
  <si>
    <t>best[5]</t>
  </si>
  <si>
    <t>best[6]</t>
  </si>
  <si>
    <t>best[7]</t>
  </si>
  <si>
    <t>best[8]</t>
  </si>
  <si>
    <t>best[9]</t>
  </si>
  <si>
    <t>best[10]</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</si>
  <si>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</si>
  <si>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</si>
  <si>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</si>
  <si>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</si>
  <si>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</si>
  <si>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</si>
  <si>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</si>
  <si>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</si>
  <si>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</si>
  <si>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</si>
  <si>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</si>
  <si>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</si>
  <si>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</si>
  <si>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</si>
  <si>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</si>
  <si>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</si>
  <si>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</si>
  <si>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</si>
  <si>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</si>
  <si>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</si>
  <si>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</si>
  <si>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</si>
  <si>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</si>
  <si>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</si>
  <si>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</si>
  <si>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</si>
  <si>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</si>
  <si>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</si>
  <si>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</si>
  <si>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</si>
  <si>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</si>
  <si>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</si>
  <si>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</si>
  <si>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</si>
  <si>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</si>
  <si>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</si>
  <si>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</si>
  <si>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</si>
  <si>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</si>
  <si>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</si>
  <si>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</si>
  <si>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</si>
  <si>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</si>
  <si>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</si>
  <si>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</si>
  <si>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</si>
  <si>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</si>
  <si>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</si>
  <si>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</si>
  <si>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</si>
  <si>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prob[1,1]</t>
  </si>
  <si>
    <t>prob[1,2]</t>
  </si>
  <si>
    <t>prob[1,3]</t>
  </si>
  <si>
    <t>prob[1,4]</t>
  </si>
  <si>
    <t>prob[1,5]</t>
  </si>
  <si>
    <t>prob[1,6]</t>
  </si>
  <si>
    <t>prob[1,7]</t>
  </si>
  <si>
    <t>prob[1,8]</t>
  </si>
  <si>
    <t>prob[1,9]</t>
  </si>
  <si>
    <t>prob[1,10]</t>
  </si>
  <si>
    <t>prob[2,1]</t>
  </si>
  <si>
    <t>prob[2,2]</t>
  </si>
  <si>
    <t>prob[2,3]</t>
  </si>
  <si>
    <t>prob[2,4]</t>
  </si>
  <si>
    <t>prob[2,5]</t>
  </si>
  <si>
    <t>prob[2,6]</t>
  </si>
  <si>
    <t>prob[2,7]</t>
  </si>
  <si>
    <t>prob[2,8]</t>
  </si>
  <si>
    <t>prob[2,9]</t>
  </si>
  <si>
    <t>prob[2,10]</t>
  </si>
  <si>
    <t>prob[3,1]</t>
  </si>
  <si>
    <t>prob[3,2]</t>
  </si>
  <si>
    <t>prob[3,3]</t>
  </si>
  <si>
    <t>prob[3,4]</t>
  </si>
  <si>
    <t>prob[3,5]</t>
  </si>
  <si>
    <t>prob[3,6]</t>
  </si>
  <si>
    <t>prob[3,7]</t>
  </si>
  <si>
    <t>prob[3,8]</t>
  </si>
  <si>
    <t>prob[3,9]</t>
  </si>
  <si>
    <t>prob[3,10]</t>
  </si>
  <si>
    <t>prob[4,1]</t>
  </si>
  <si>
    <t>prob[4,2]</t>
  </si>
  <si>
    <t>prob[4,3]</t>
  </si>
  <si>
    <t>prob[4,4]</t>
  </si>
  <si>
    <t>prob[4,5]</t>
  </si>
  <si>
    <t>prob[4,6]</t>
  </si>
  <si>
    <t>prob[4,7]</t>
  </si>
  <si>
    <t>prob[4,8]</t>
  </si>
  <si>
    <t>prob[4,9]</t>
  </si>
  <si>
    <t>prob[4,10]</t>
  </si>
  <si>
    <t>prob[5,1]</t>
  </si>
  <si>
    <t>prob[5,2]</t>
  </si>
  <si>
    <t>prob[5,3]</t>
  </si>
  <si>
    <t>prob[5,4]</t>
  </si>
  <si>
    <t>prob[5,5]</t>
  </si>
  <si>
    <t>prob[5,6]</t>
  </si>
  <si>
    <t>prob[5,7]</t>
  </si>
  <si>
    <t>prob[5,8]</t>
  </si>
  <si>
    <t>prob[5,9]</t>
  </si>
  <si>
    <t>prob[5,10]</t>
  </si>
  <si>
    <t>prob[6,1]</t>
  </si>
  <si>
    <t>prob[6,2]</t>
  </si>
  <si>
    <t>prob[6,3]</t>
  </si>
  <si>
    <t>prob[6,4]</t>
  </si>
  <si>
    <t>prob[6,5]</t>
  </si>
  <si>
    <t>prob[6,6]</t>
  </si>
  <si>
    <t>prob[6,7]</t>
  </si>
  <si>
    <t>prob[6,8]</t>
  </si>
  <si>
    <t>prob[6,9]</t>
  </si>
  <si>
    <t>prob[6,10]</t>
  </si>
  <si>
    <t>prob[7,1]</t>
  </si>
  <si>
    <t>prob[7,2]</t>
  </si>
  <si>
    <t>prob[7,3]</t>
  </si>
  <si>
    <t>prob[7,4]</t>
  </si>
  <si>
    <t>prob[7,5]</t>
  </si>
  <si>
    <t>prob[7,6]</t>
  </si>
  <si>
    <t>prob[7,7]</t>
  </si>
  <si>
    <t>prob[7,8]</t>
  </si>
  <si>
    <t>prob[7,9]</t>
  </si>
  <si>
    <t>prob[7,10]</t>
  </si>
  <si>
    <t>prob[8,1]</t>
  </si>
  <si>
    <t>prob[8,2]</t>
  </si>
  <si>
    <t>prob[8,3]</t>
  </si>
  <si>
    <t>prob[8,4]</t>
  </si>
  <si>
    <t>prob[8,5]</t>
  </si>
  <si>
    <t>prob[8,6]</t>
  </si>
  <si>
    <t>prob[8,7]</t>
  </si>
  <si>
    <t>prob[8,8]</t>
  </si>
  <si>
    <t>prob[8,9]</t>
  </si>
  <si>
    <t>prob[8,10]</t>
  </si>
  <si>
    <t>prob[9,1]</t>
  </si>
  <si>
    <t>prob[9,2]</t>
  </si>
  <si>
    <t>prob[9,3]</t>
  </si>
  <si>
    <t>prob[9,4]</t>
  </si>
  <si>
    <t>prob[9,5]</t>
  </si>
  <si>
    <t>prob[9,6]</t>
  </si>
  <si>
    <t>prob[9,7]</t>
  </si>
  <si>
    <t>prob[9,8]</t>
  </si>
  <si>
    <t>prob[9,9]</t>
  </si>
  <si>
    <t>prob[9,10]</t>
  </si>
  <si>
    <t>prob[10,1]</t>
  </si>
  <si>
    <t>prob[10,2]</t>
  </si>
  <si>
    <t>prob[10,3]</t>
  </si>
  <si>
    <t>prob[10,4]</t>
  </si>
  <si>
    <t>prob[10,5]</t>
  </si>
  <si>
    <t>prob[10,6]</t>
  </si>
  <si>
    <t>prob[10,7]</t>
  </si>
  <si>
    <t>prob[10,8]</t>
  </si>
  <si>
    <t>prob[10,9]</t>
  </si>
  <si>
    <t>prob[10,10]</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</si>
  <si>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</si>
  <si>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</si>
  <si>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</si>
  <si>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</si>
  <si>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</si>
  <si>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</si>
  <si>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</si>
  <si>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</si>
  <si>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</si>
  <si>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</si>
  <si>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</si>
  <si>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</si>
  <si>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</si>
  <si>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</si>
  <si>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</si>
  <si>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</si>
  <si>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</si>
  <si>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</si>
  <si>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</si>
  <si>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</si>
  <si>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</si>
  <si>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</si>
  <si>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resdev[23]</t>
  </si>
  <si>
    <t>resdev[24]</t>
  </si>
  <si>
    <t>resdev[25]</t>
  </si>
  <si>
    <t>rk[1]</t>
  </si>
  <si>
    <t>rk[2]</t>
  </si>
  <si>
    <t>rk[3]</t>
  </si>
  <si>
    <t>rk[4]</t>
  </si>
  <si>
    <t>rk[5]</t>
  </si>
  <si>
    <t>rk[6]</t>
  </si>
  <si>
    <t>rk[7]</t>
  </si>
  <si>
    <t>rk[8]</t>
  </si>
  <si>
    <t>rk[9]</t>
  </si>
  <si>
    <t>rk[10]</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</si>
  <si>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</si>
  <si>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</si>
  <si>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</si>
  <si>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</si>
  <si>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</si>
  <si>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</si>
  <si>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</si>
  <si>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</si>
  <si>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</si>
  <si>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</si>
  <si>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</si>
  <si>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</si>
  <si>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</si>
  <si>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</si>
  <si>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</si>
  <si>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</si>
  <si>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</si>
  <si>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</si>
  <si>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</si>
  <si>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</si>
  <si>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INDOTHERS versus INDOIV</t>
  </si>
  <si>
    <t>PLAC_NORX versus INDOIV</t>
  </si>
  <si>
    <t>IBUPO versus IBUIV</t>
  </si>
  <si>
    <t>PARAPO versus IBUIV</t>
  </si>
  <si>
    <t>IBUIVHIGHDOSE versus IBUIV</t>
  </si>
  <si>
    <t>IBUPOHIGHDOSE versus IBUIV</t>
  </si>
  <si>
    <t>IBUIVCONT versus IBUIV</t>
  </si>
  <si>
    <t>INDOIVCONT versus IBUIV</t>
  </si>
  <si>
    <t>INDOTHERS versus IBUIV</t>
  </si>
  <si>
    <t>PLAC_NORX versus IBUIV</t>
  </si>
  <si>
    <t>PARAPO versus IBUPO</t>
  </si>
  <si>
    <t>IBUIVHIGHDOSE versus IBUPO</t>
  </si>
  <si>
    <t>IBUPOHIGHDOSE versus IBUPO</t>
  </si>
  <si>
    <t>IBUIVCONT versus IBUPO</t>
  </si>
  <si>
    <t>INDOIVCONT versus IBUPO</t>
  </si>
  <si>
    <t>INDOTHERS versus IBUPO</t>
  </si>
  <si>
    <t>PLAC_NORX versus IBUPO</t>
  </si>
  <si>
    <t>IBUIVHIGHDOSE versus PARAPO</t>
  </si>
  <si>
    <t>IBUPOHIGHDOSE versus PARAPO</t>
  </si>
  <si>
    <t>IBUIVCONT versus PARAPO</t>
  </si>
  <si>
    <t>INDOIVCONT versus PARAPO</t>
  </si>
  <si>
    <t>INDOTHERS versus PARAPO</t>
  </si>
  <si>
    <t>PLAC_NORX versus PARAPO</t>
  </si>
  <si>
    <t>IBUPOHIGHDOSE versus IBUIVHIGHDOSE</t>
  </si>
  <si>
    <t>IBUIVCONT versus IBUIVHIGHDOSE</t>
  </si>
  <si>
    <t>INDOIVCONT versus IBUIVHIGHDOSE</t>
  </si>
  <si>
    <t>INDOTHERS versus IBUIVHIGHDOSE</t>
  </si>
  <si>
    <t>PLAC_NORX versus IBUIVHIGHDOSE</t>
  </si>
  <si>
    <t>IBUIVCONT versus IBUPOHIGHDOSE</t>
  </si>
  <si>
    <t>INDOIVCONT versus IBUPOHIGHDOSE</t>
  </si>
  <si>
    <t>INDOTHERS versus IBUPOHIGHDOSE</t>
  </si>
  <si>
    <t>PLAC_NORX versus IBUPOHIGHDOSE</t>
  </si>
  <si>
    <t>INDOIVCONT versus IBUIVCONT</t>
  </si>
  <si>
    <t>INDOTHERS versus IBUIVCONT</t>
  </si>
  <si>
    <t>PLAC_NORX versus IBUIVCONT</t>
  </si>
  <si>
    <t>INDOTHERS versus INDOIVCONT</t>
  </si>
  <si>
    <t>PLAC_NORX versus INDOIVCONT</t>
  </si>
  <si>
    <t>PLAC_NORX versus INDOTHERS</t>
  </si>
  <si>
    <t>IBUPOHIGHDOSE versus INDOTHERS</t>
  </si>
  <si>
    <t>IBUPOHIGHDOSE versus INDOIVCONT</t>
  </si>
  <si>
    <t>IBUPOHIGHDOSE versus PLAC_NORX</t>
  </si>
  <si>
    <t>IBUIVHIGHDOSE versus INDOTHERS</t>
  </si>
  <si>
    <t>IBUIVHIGHDOSE versus INDOIVCONT</t>
  </si>
  <si>
    <t>IBUIVHIGHDOSE versus IBUIVCONT</t>
  </si>
  <si>
    <t>IBUIVHIGHDOSE versus PLAC_NORX</t>
  </si>
  <si>
    <t>PARAPO versus INDOTHERS</t>
  </si>
  <si>
    <t>IBUPO versus INDOTHERS</t>
  </si>
  <si>
    <t>IBUPO versus INDOIVCONT</t>
  </si>
  <si>
    <t>IBUPO versus PLAC_NORX</t>
  </si>
  <si>
    <t>INDOIV versus INDOTHERS</t>
  </si>
  <si>
    <t>INDOIV versus PLAC_NORX</t>
  </si>
  <si>
    <t>INDOIVCONT versus PLAC_NORX</t>
  </si>
  <si>
    <t>IBUIV versus PLAC_NORX</t>
  </si>
  <si>
    <t>IBUIVCONT versus PLAC_NORX</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</si>
  <si>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</si>
  <si>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</si>
  <si>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</si>
  <si>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</si>
  <si>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</si>
  <si>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</si>
  <si>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</si>
  <si>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</si>
  <si>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</si>
  <si>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</si>
  <si>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d[1,2]</t>
  </si>
  <si>
    <t>d[1,3]</t>
  </si>
  <si>
    <t>d[1,4]</t>
  </si>
  <si>
    <t>d[1,5]</t>
  </si>
  <si>
    <t>d[1,6]</t>
  </si>
  <si>
    <t>d[1,7]</t>
  </si>
  <si>
    <t>d[1,8]</t>
  </si>
  <si>
    <t>d[1,9]</t>
  </si>
  <si>
    <t>d[1,10]</t>
  </si>
  <si>
    <t>d[2,3]</t>
  </si>
  <si>
    <t>d[2,4]</t>
  </si>
  <si>
    <t>d[2,5]</t>
  </si>
  <si>
    <t>d[2,6]</t>
  </si>
  <si>
    <t>d[2,7]</t>
  </si>
  <si>
    <t>d[2,8]</t>
  </si>
  <si>
    <t>d[2,9]</t>
  </si>
  <si>
    <t>d[2,10]</t>
  </si>
  <si>
    <t>d[3,4]</t>
  </si>
  <si>
    <t>d[3,5]</t>
  </si>
  <si>
    <t>d[3,6]</t>
  </si>
  <si>
    <t>d[3,7]</t>
  </si>
  <si>
    <t>d[3,8]</t>
  </si>
  <si>
    <t>d[3,9]</t>
  </si>
  <si>
    <t>d[3,10]</t>
  </si>
  <si>
    <t>d[4,5]</t>
  </si>
  <si>
    <t>d[4,6]</t>
  </si>
  <si>
    <t>d[4,7]</t>
  </si>
  <si>
    <t>d[4,8]</t>
  </si>
  <si>
    <t>d[4,9]</t>
  </si>
  <si>
    <t>d[4,10]</t>
  </si>
  <si>
    <t>d[5,6]</t>
  </si>
  <si>
    <t>d[5,7]</t>
  </si>
  <si>
    <t>d[5,8]</t>
  </si>
  <si>
    <t>d[5,9]</t>
  </si>
  <si>
    <t>d[5,10]</t>
  </si>
  <si>
    <t>d[6,7]</t>
  </si>
  <si>
    <t>d[6,8]</t>
  </si>
  <si>
    <t>d[6,9]</t>
  </si>
  <si>
    <t>d[6,10]</t>
  </si>
  <si>
    <t>d[7,8]</t>
  </si>
  <si>
    <t>d[7,9]</t>
  </si>
  <si>
    <t>d[7,10]</t>
  </si>
  <si>
    <t>d[8,9]</t>
  </si>
  <si>
    <t>d[8,10]</t>
  </si>
  <si>
    <t>d[9,10]</t>
  </si>
  <si>
    <t>check(C:/WinBUGS data/Inconsistency Random Effect Model (Vague).txt)</t>
  </si>
  <si>
    <t>inits(1,C:/WinBUGS data/Inconsistency Random Effect Inits (Vague)1.txt)</t>
  </si>
  <si>
    <t>inits(2,C:/WinBUGS data/Inconsistency Random Effect Inits (Vague)2.txt)</t>
  </si>
  <si>
    <t>inits(3,C:/WinBUGS data/Inconsistency Random Effect Inits (Vague)3.txt)</t>
  </si>
  <si>
    <t>list(NS=25, NT=10)</t>
  </si>
  <si>
    <t>list(d=c(NA,1.5,0.5,0,1.5,1.5,2,2,1.5,1.5), sd=1.5, mu=c(1.5,2,1.5,1,1.5,0,0.5,1,2,0.5,1,0.5,0.5,1,1.5,2,1,1.5,0,1,1,1,0.5,1,0.5))</t>
  </si>
  <si>
    <t>list(d=c(NA,1,0.5,1.5,0,1.5,1.5,0.5,0,1.5), sd=1.5, mu=c(1.5,2,2,0,0,0,0,0.5,1,0.5,1,1.5,1,2,1,1.5,0,2,1,1.5,1,0.5,2,0.5,1))</t>
  </si>
  <si>
    <t>list(d=c(NA,1,1.5,1.5,1,0.5,0,1,1,1.5), sd=1.5, mu=c(1,0.5,0.5,2,1,1.5,0.5,2,0.5,1.5,1.5,0.5,0,0.5,0.5,1.5,1,1.5,2,1,0.5,0,0,1,0.5))</t>
  </si>
  <si>
    <t>list(d=c(NA,1.5,2,1,1,1.5,0,0.5,1.5,1), var=1, mu=c(1.5,0,1,0.5,0.5,1,1.5,0.5,0.5,0.5,0.5,0.5,1.5,1,1,2,0.5,2,0.5,1,1.5,2,1,1,1))</t>
  </si>
  <si>
    <t>list(d=c(NA,1,1.5,0,1.5,0,0,0,1,1.5), var=1.5, mu=c(2,1.5,1,0,2,0.5,0.5,0,1.5,1,0,1.5,2,0,2,1,1,0.5,1,1,1.5,0.5,1.5,1,1))</t>
  </si>
  <si>
    <t>list(d=c(NA,0.5,1,1.5,1,0.5,0.5,1,1.5,1.5), var=1, mu=c(1,1,0.5,1,0,1.5,1.5,0,0.5,0.5,1,1,0.5,1.5,0,0.5,0.5,0,2,1.5,1.5,1,0.5,1.5,1))</t>
  </si>
  <si>
    <t>list(d=c(NA,0.5,1.5,0.5,1,0.5,0.5,1,1.5,0), mu=c(1,0,1.5,0.5,1.5,1.5,1.5,1,1.5,1.5,1,1.5,0.5,2,2,1,0.5,1,1,1.5,0.5,1.5,1.5,2,2))</t>
  </si>
  <si>
    <t>list(d=c(NA,1,2,0.5,0.5,2,1.5,1.5,0.5,0), mu=c(1,0.5,1,1,1,0,0,0.5,1.5,0.5,2,0.5,0,1,0.5,0.5,1,2,1.5,1.5,0.5,0,1.5,1.5,2))</t>
  </si>
  <si>
    <t>list(d=c(NA,1,0.5,0.5,1,1,1.5,0.5,2,1.5), mu=c(0,0,1,1.5,2,1.5,1,2,1,0.5,0,0,1,1,1,1,2,1.5,0,1,0.5,1,0.5,1.5,1))</t>
  </si>
  <si>
    <t>save(C:/WinBUGS Results/Random Effect Results (Informative) 7 7 2017 10 19 50 AM.txt)</t>
  </si>
  <si>
    <t>IBUIVHIGHDOSE versus IBUPOHIGHDOSE</t>
  </si>
  <si>
    <t>IBUIVCONT versus INDOIVCONT</t>
  </si>
  <si>
    <t>IBUIVCONT versus INDOTHERS</t>
  </si>
  <si>
    <t>IBUIV versus IBUPO</t>
  </si>
  <si>
    <t>IBUIV versus INDOIVCONT</t>
  </si>
  <si>
    <t>IBUIV versus PARAPO</t>
  </si>
  <si>
    <t>IBUIV versus INDOTHERS</t>
  </si>
  <si>
    <t>IBUPO versus PARAPO</t>
  </si>
  <si>
    <t>INDOIVCONT versus INDOTHERS</t>
  </si>
  <si>
    <t>INDOIV versus PARAPO</t>
  </si>
  <si>
    <t>list(mu=c(0,1.5,0.5,1,1.5,0.5,0.5,1,1,1.5,1,0.5,0.5,1.5,1,1,0.5,1.5,2,0,1,0.5,1,1,1.5), sd=1.5, d= structure(.Data = c(NA,1.5,2,1,1,1,0,1,1,0.5, NA,NA,1.5,0,0.5,1,0.5,1.5,1,1, NA,NA,NA,0.5,1,0,2,1.5,2,1.5, NA,NA,NA,NA,1.5,0.5,0.5,0.5,1.5,1.5, NA,NA,NA,NA,NA,1.5,1,2,2,0, NA,NA,NA,NA,NA,NA,1.5,0.5,1.5,1, NA,NA,NA,NA,NA,NA,NA,1.5,2,1, NA,NA,NA,NA,NA,NA,NA,NA,0.5,0.5, NA,NA,NA,NA,NA,NA,NA,NA,NA,1), .Dim =c(9, 10)))</t>
  </si>
  <si>
    <t>list(mu=c(2,1,0.5,0,1.5,2,1.5,0.5,0.5,1,0.5,0.5,0,0.5,1.5,0,1.5,0.5,0.5,2,2,1.5,1.5,1,1), sd=1, d= structure(.Data = c(NA,2,1.5,1.5,0.5,0.5,0.5,0.5,0,1.5, NA,NA,0.5,0.5,2,1.5,0,1.5,1,0.5, NA,NA,NA,1,1,1,2,1,0.5,0, NA,NA,NA,NA,0,1,0.5,1,1,1, NA,NA,NA,NA,NA,1,1.5,0.5,0.5,0.5, NA,NA,NA,NA,NA,NA,1,1,0,0, NA,NA,NA,NA,NA,NA,NA,1,2,1, NA,NA,NA,NA,NA,NA,NA,NA,0.5,1, NA,NA,NA,NA,NA,NA,NA,NA,NA,1.5), .Dim =c(9, 10)))</t>
  </si>
  <si>
    <t>list(mu=c(1.5,0,1,0.5,1,0.5,0.5,2,1,2,1.5,0.5,1.5,1.5,1.5,1,0.5,1,2,1.5,1,0,0.5,1,2), sd=1, d= structure(.Data = c(NA,0.5,1,1.5,0.5,1,1.5,2,1,2, NA,NA,0,1,1.5,0.5,1.5,0.5,1.5,0.5, NA,NA,NA,0.5,1,0.5,2,1.5,0.5,0.5, NA,NA,NA,NA,0,1,1.5,1,1.5,2, NA,NA,NA,NA,NA,0.5,1,1.5,0.5,2, NA,NA,NA,NA,NA,NA,1,1.5,1,1, NA,NA,NA,NA,NA,NA,NA,1,1,0, NA,NA,NA,NA,NA,NA,NA,NA,0,1, NA,NA,NA,NA,NA,NA,NA,NA,NA,0), .Dim =c(9, 10)))</t>
  </si>
  <si>
    <t>save(C:/WinBUGS Results/Inconsistency Random Effect Results (Vague ) 7 7 2017 10 24 35 AM.txt)</t>
  </si>
  <si>
    <t>OR &lt;1 Means the Treatment in Top Left is Better</t>
  </si>
  <si>
    <t>0.85
(0.13 – 5.98)</t>
  </si>
  <si>
    <t>0.78
(0.12 – 5.17)</t>
  </si>
  <si>
    <t>0.59
(0.14 – 2.45)</t>
  </si>
  <si>
    <t>0.57
(0.12 – 2.64)</t>
  </si>
  <si>
    <t>0.44
(0.00 – 124.55)</t>
  </si>
  <si>
    <t>0.53
(0.11 – 2.50)</t>
  </si>
  <si>
    <t>0.53
(0.11 – 2.49)</t>
  </si>
  <si>
    <t>0.52
(0.10 – 2.69)</t>
  </si>
  <si>
    <t>0.38
(0.07 – 2.01)</t>
  </si>
  <si>
    <t>0.91
(0.15 – 5.54)</t>
  </si>
  <si>
    <t>0.69
(0.18 – 2.39)</t>
  </si>
  <si>
    <t>0.67
(0.16 – 2.58)</t>
  </si>
  <si>
    <t>0.50
(0.00 – 145.22)</t>
  </si>
  <si>
    <t>0.62
(0.14 – 2.53)</t>
  </si>
  <si>
    <t>0.62
(0.14 – 2.43)</t>
  </si>
  <si>
    <t>0.61
(0.12 – 2.81)</t>
  </si>
  <si>
    <t>0.45
(0.09 – 2.06)</t>
  </si>
  <si>
    <t>0.76
(0.21 – 2.57)</t>
  </si>
  <si>
    <t>0.73
(0.23 – 2.18)</t>
  </si>
  <si>
    <t>0.56
(0.00 – 148.43)</t>
  </si>
  <si>
    <t>0.68
(0.19 – 2.34)</t>
  </si>
  <si>
    <t>0.67
(0.19 – 2.32)</t>
  </si>
  <si>
    <t>0.67
(0.17 – 2.48)</t>
  </si>
  <si>
    <t>0.49
(0.12 – 1.85)</t>
  </si>
  <si>
    <t>0.97
(0.57 – 1.62)</t>
  </si>
  <si>
    <t>0.75
(0.00 – 191.64)</t>
  </si>
  <si>
    <t>0.89
(0.49 – 1.65)</t>
  </si>
  <si>
    <t>0.89
(0.52 – 1.53)</t>
  </si>
  <si>
    <t>0.88
(0.39 – 2.00)</t>
  </si>
  <si>
    <t>0.65
(0.27 – 1.51)</t>
  </si>
  <si>
    <t>0.78
(0.00 – 199.52)</t>
  </si>
  <si>
    <t>0.93
(0.51 – 1.66)</t>
  </si>
  <si>
    <t>0.93
(0.56 – 1.56)</t>
  </si>
  <si>
    <t>0.91
(0.45 – 1.86)</t>
  </si>
  <si>
    <t>0.68
(0.30 – 1.47)</t>
  </si>
  <si>
    <t>1.20
(0.00 – 1294.00)</t>
  </si>
  <si>
    <t>1.19
(0.00 – 1314.75)</t>
  </si>
  <si>
    <t>1.17
(0.00 – 1299.00)</t>
  </si>
  <si>
    <t>0.87
(0.00 – 1015.64)</t>
  </si>
  <si>
    <t>1.00
(0.54 – 1.85)</t>
  </si>
  <si>
    <t>0.98
(0.45 – 2.17)</t>
  </si>
  <si>
    <t>0.72
(0.36 – 1.41)</t>
  </si>
  <si>
    <t>0.98
(0.43 – 2.27)</t>
  </si>
  <si>
    <t>0.73
(0.31 – 1.70)</t>
  </si>
  <si>
    <t>0.74
(0.27 – 1.95)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</si>
</sst>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79">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18" xfId="0" applyFont="1" applyFill="1" applyBorder="1" applyAlignment="1">
      <alignment horizontal="center"/>
    </xf>
    <xf numFmtId="0" fontId="1" fillId="4" borderId="19" xfId="0" applyFont="1" applyFill="1" applyBorder="1" applyAlignment="1">
      <alignment horizont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83">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ser>
          <c:idx val="0"/>
          <c:order val="0"/>
          <c:tx>
            <c:v>INDOIVCONT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1292.799</c:v>
                </c:pt>
              </c:numLit>
            </c:plus>
            <c:minus>
              <c:numLit>
                <c:formatCode>General</c:formatCode>
                <c:ptCount val="1"/>
                <c:pt idx="0">
                  <c:v>1.196188</c:v>
                </c:pt>
              </c:numLit>
            </c:minus>
          </c:errBars>
          <c:xVal>
            <c:numRef>
              <c:f>'Random Effects  (Informative)'!$I$5</c:f>
              <c:numCache>
                <c:formatCode>0.0000</c:formatCode>
                <c:ptCount val="1"/>
                <c:pt idx="0">
                  <c:v>1.2010000000000001</c:v>
                </c:pt>
              </c:numCache>
            </c:numRef>
          </c:xVal>
          <c:yVal>
            <c:numLit>
              <c:formatCode>General</c:formatCode>
              <c:ptCount val="1"/>
              <c:pt idx="0">
                <c:v>1.5</c:v>
              </c:pt>
            </c:numLit>
          </c:yVal>
          <c:smooth val="0"/>
        </c:ser>
        <c:ser>
          <c:idx val="1"/>
          <c:order val="1"/>
          <c:tx>
            <c:v>INDOIVCONT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1313.5613191530035</c:v>
                </c:pt>
              </c:numLit>
            </c:plus>
            <c:minus>
              <c:numLit>
                <c:formatCode>General</c:formatCode>
                <c:ptCount val="1"/>
                <c:pt idx="0">
                  <c:v>1.1856077585073139</c:v>
                </c:pt>
              </c:numLit>
            </c:minus>
          </c:errBars>
          <c:xVal>
            <c:numRef>
              <c:f>'Random Effects  (Informative)'!$I$6</c:f>
              <c:numCache>
                <c:formatCode>General</c:formatCode>
                <c:ptCount val="1"/>
                <c:pt idx="0">
                  <c:v>1.1901928112354203</c:v>
                </c:pt>
              </c:numCache>
            </c:numRef>
          </c:xVal>
          <c:yVal>
            <c:numLit>
              <c:formatCode>General</c:formatCode>
              <c:ptCount val="1"/>
              <c:pt idx="0">
                <c:v>3.5</c:v>
              </c:pt>
            </c:numLit>
          </c:yVal>
          <c:smooth val="0"/>
        </c:ser>
        <c:ser>
          <c:idx val="2"/>
          <c:order val="2"/>
          <c:tx>
            <c:v>INDOIVCONT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1297.826</c:v>
                </c:pt>
              </c:numLit>
            </c:plus>
            <c:minus>
              <c:numLit>
                <c:formatCode>General</c:formatCode>
                <c:ptCount val="1"/>
                <c:pt idx="0">
                  <c:v>1.1694909999999998</c:v>
                </c:pt>
              </c:numLit>
            </c:minus>
          </c:errBars>
          <c:xVal>
            <c:numRef>
              <c:f>'Random Effects  (Informative)'!$I$7</c:f>
              <c:numCache>
                <c:formatCode>General</c:formatCode>
                <c:ptCount val="1"/>
                <c:pt idx="0">
                  <c:v>1.1739999999999999</c:v>
                </c:pt>
              </c:numCache>
            </c:numRef>
          </c:xVal>
          <c:yVal>
            <c:numLit>
              <c:formatCode>General</c:formatCode>
              <c:ptCount val="1"/>
              <c:pt idx="0">
                <c:v>5.5</c:v>
              </c:pt>
            </c:numLit>
          </c:yVal>
          <c:smooth val="0"/>
        </c:ser>
        <c:ser>
          <c:idx val="3"/>
          <c:order val="3"/>
          <c:tx>
            <c:v>INDOIV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0.84905917754443094</c:v>
                </c:pt>
              </c:numLit>
            </c:plus>
            <c:minus>
              <c:numLit>
                <c:formatCode>General</c:formatCode>
                <c:ptCount val="1"/>
                <c:pt idx="0">
                  <c:v>0.45775547769938241</c:v>
                </c:pt>
              </c:numLit>
            </c:minus>
          </c:errBars>
          <c:xVal>
            <c:numRef>
              <c:f>'Random Effects  (Informative)'!$I$8</c:f>
              <c:numCache>
                <c:formatCode>General</c:formatCode>
                <c:ptCount val="1"/>
                <c:pt idx="0">
                  <c:v>0.99800399201596801</c:v>
                </c:pt>
              </c:numCache>
            </c:numRef>
          </c:xVal>
          <c:yVal>
            <c:numLit>
              <c:formatCode>General</c:formatCode>
              <c:ptCount val="1"/>
              <c:pt idx="0">
                <c:v>7.5</c:v>
              </c:pt>
            </c:numLit>
          </c:yVal>
          <c:smooth val="0"/>
        </c:ser>
        <c:ser>
          <c:idx val="4"/>
          <c:order val="4"/>
          <c:tx>
            <c:v>INDOIV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1.1892120290067765</c:v>
                </c:pt>
              </c:numLit>
            </c:plus>
            <c:minus>
              <c:numLit>
                <c:formatCode>General</c:formatCode>
                <c:ptCount val="1"/>
                <c:pt idx="0">
                  <c:v>0.53485367585133448</c:v>
                </c:pt>
              </c:numLit>
            </c:minus>
          </c:errBars>
          <c:xVal>
            <c:numRef>
              <c:f>'Random Effects  (Informative)'!$I$9</c:f>
              <c:numCache>
                <c:formatCode>General</c:formatCode>
                <c:ptCount val="1"/>
                <c:pt idx="0">
                  <c:v>0.98328416912487715</c:v>
                </c:pt>
              </c:numCache>
            </c:numRef>
          </c:xVal>
          <c:yVal>
            <c:numLit>
              <c:formatCode>General</c:formatCode>
              <c:ptCount val="1"/>
              <c:pt idx="0">
                <c:v>9.5</c:v>
              </c:pt>
            </c:numLit>
          </c:yVal>
          <c:smooth val="0"/>
        </c:ser>
        <c:ser>
          <c:idx val="5"/>
          <c:order val="5"/>
          <c:tx>
            <c:v>PLAC_NORX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1.2894999999999999</c:v>
                </c:pt>
              </c:numLit>
            </c:plus>
            <c:minus>
              <c:numLit>
                <c:formatCode>General</c:formatCode>
                <c:ptCount val="1"/>
                <c:pt idx="0">
                  <c:v>0.55210000000000004</c:v>
                </c:pt>
              </c:numLit>
            </c:minus>
          </c:errBars>
          <c:xVal>
            <c:numRef>
              <c:f>'Random Effects  (Informative)'!$I$10</c:f>
              <c:numCache>
                <c:formatCode>General</c:formatCode>
                <c:ptCount val="1"/>
                <c:pt idx="0">
                  <c:v>0.98250000000000004</c:v>
                </c:pt>
              </c:numCache>
            </c:numRef>
          </c:xVal>
          <c:yVal>
            <c:numLit>
              <c:formatCode>General</c:formatCode>
              <c:ptCount val="1"/>
              <c:pt idx="0">
                <c:v>11.5</c:v>
              </c:pt>
            </c:numLit>
          </c:yVal>
          <c:smooth val="0"/>
        </c:ser>
        <c:ser>
          <c:idx val="6"/>
          <c:order val="6"/>
          <c:tx>
            <c:v>IBUIV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0.65130254267014698</c:v>
                </c:pt>
              </c:numLit>
            </c:plus>
            <c:minus>
              <c:numLit>
                <c:formatCode>General</c:formatCode>
                <c:ptCount val="1"/>
                <c:pt idx="0">
                  <c:v>0.39867872729062526</c:v>
                </c:pt>
              </c:numLit>
            </c:minus>
          </c:errBars>
          <c:xVal>
            <c:numRef>
              <c:f>'Random Effects  (Informative)'!$I$11</c:f>
              <c:numCache>
                <c:formatCode>General</c:formatCode>
                <c:ptCount val="1"/>
                <c:pt idx="0">
                  <c:v>0.96525096525096521</c:v>
                </c:pt>
              </c:numCache>
            </c:numRef>
          </c:xVal>
          <c:yVal>
            <c:numLit>
              <c:formatCode>General</c:formatCode>
              <c:ptCount val="1"/>
              <c:pt idx="0">
                <c:v>13.5</c:v>
              </c:pt>
            </c:numLit>
          </c:yVal>
          <c:smooth val="0"/>
        </c:ser>
        <c:ser>
          <c:idx val="7"/>
          <c:order val="7"/>
          <c:tx>
            <c:v>IBUPO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0.7286999999999999</c:v>
                </c:pt>
              </c:numLit>
            </c:plus>
            <c:minus>
              <c:numLit>
                <c:formatCode>General</c:formatCode>
                <c:ptCount val="1"/>
                <c:pt idx="0">
                  <c:v>0.42010000000000003</c:v>
                </c:pt>
              </c:numLit>
            </c:minus>
          </c:errBars>
          <c:xVal>
            <c:numRef>
              <c:f>'Random Effects  (Informative)'!$I$12</c:f>
              <c:numCache>
                <c:formatCode>General</c:formatCode>
                <c:ptCount val="1"/>
                <c:pt idx="0">
                  <c:v>0.93330000000000002</c:v>
                </c:pt>
              </c:numCache>
            </c:numRef>
          </c:xVal>
          <c:yVal>
            <c:numLit>
              <c:formatCode>General</c:formatCode>
              <c:ptCount val="1"/>
              <c:pt idx="0">
                <c:v>15.5</c:v>
              </c:pt>
            </c:numLit>
          </c:yVal>
          <c:smooth val="0"/>
        </c:ser>
        <c:ser>
          <c:idx val="8"/>
          <c:order val="8"/>
          <c:tx>
            <c:v>IBUPO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0.62972146199704893</c:v>
                </c:pt>
              </c:numLit>
            </c:plus>
            <c:minus>
              <c:numLit>
                <c:formatCode>General</c:formatCode>
                <c:ptCount val="1"/>
                <c:pt idx="0">
                  <c:v>0.37195442884791519</c:v>
                </c:pt>
              </c:numLit>
            </c:minus>
          </c:errBars>
          <c:xVal>
            <c:numRef>
              <c:f>'Random Effects  (Informative)'!$I$13</c:f>
              <c:numCache>
                <c:formatCode>General</c:formatCode>
                <c:ptCount val="1"/>
                <c:pt idx="0">
                  <c:v>0.92936802973977695</c:v>
                </c:pt>
              </c:numCache>
            </c:numRef>
          </c:xVal>
          <c:yVal>
            <c:numLit>
              <c:formatCode>General</c:formatCode>
              <c:ptCount val="1"/>
              <c:pt idx="0">
                <c:v>17.5</c:v>
              </c:pt>
            </c:numLit>
          </c:yVal>
          <c:smooth val="0"/>
        </c:ser>
        <c:ser>
          <c:idx val="9"/>
          <c:order val="9"/>
          <c:tx>
            <c:v>IBUPO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0.94071875938532901</c:v>
                </c:pt>
              </c:numLit>
            </c:plus>
            <c:minus>
              <c:numLit>
                <c:formatCode>General</c:formatCode>
                <c:ptCount val="1"/>
                <c:pt idx="0">
                  <c:v>0.46364954535095348</c:v>
                </c:pt>
              </c:numLit>
            </c:minus>
          </c:errBars>
          <c:xVal>
            <c:numRef>
              <c:f>'Random Effects  (Informative)'!$I$14</c:f>
              <c:numCache>
                <c:formatCode>0.0000</c:formatCode>
                <c:ptCount val="1"/>
                <c:pt idx="0">
                  <c:v>0.91491308325709064</c:v>
                </c:pt>
              </c:numCache>
            </c:numRef>
          </c:xVal>
          <c:yVal>
            <c:numLit>
              <c:formatCode>General</c:formatCode>
              <c:ptCount val="1"/>
              <c:pt idx="0">
                <c:v>19.5</c:v>
              </c:pt>
            </c:numLit>
          </c:yVal>
          <c:smooth val="0"/>
        </c:ser>
        <c:ser>
          <c:idx val="10"/>
          <c:order val="10"/>
          <c:tx>
            <c:v>IBUIVCONT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4.633</c:v>
                </c:pt>
              </c:numLit>
            </c:plus>
            <c:minus>
              <c:numLit>
                <c:formatCode>General</c:formatCode>
                <c:ptCount val="1"/>
                <c:pt idx="0">
                  <c:v>0.75490000000000002</c:v>
                </c:pt>
              </c:numLit>
            </c:minus>
          </c:errBars>
          <c:xVal>
            <c:numRef>
              <c:f>'Random Effects  (Informative)'!$I$15</c:f>
              <c:numCache>
                <c:formatCode>General</c:formatCode>
                <c:ptCount val="1"/>
                <c:pt idx="0">
                  <c:v>0.90500000000000003</c:v>
                </c:pt>
              </c:numCache>
            </c:numRef>
          </c:xVal>
          <c:yVal>
            <c:numLit>
              <c:formatCode>General</c:formatCode>
              <c:ptCount val="1"/>
              <c:pt idx="0">
                <c:v>21.5</c:v>
              </c:pt>
            </c:numLit>
          </c:yVal>
          <c:smooth val="0"/>
        </c:ser>
        <c:ser>
          <c:idx val="11"/>
          <c:order val="11"/>
          <c:tx>
            <c:v>IBUIV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0.75459999999999994</c:v>
                </c:pt>
              </c:numLit>
            </c:plus>
            <c:minus>
              <c:numLit>
                <c:formatCode>General</c:formatCode>
                <c:ptCount val="1"/>
                <c:pt idx="0">
                  <c:v>0.40249999999999997</c:v>
                </c:pt>
              </c:numLit>
            </c:minus>
          </c:errBars>
          <c:xVal>
            <c:numRef>
              <c:f>'Random Effects  (Informative)'!$I$16</c:f>
              <c:numCache>
                <c:formatCode>General</c:formatCode>
                <c:ptCount val="1"/>
                <c:pt idx="0">
                  <c:v>0.89339999999999997</c:v>
                </c:pt>
              </c:numCache>
            </c:numRef>
          </c:xVal>
          <c:yVal>
            <c:numLit>
              <c:formatCode>General</c:formatCode>
              <c:ptCount val="1"/>
              <c:pt idx="0">
                <c:v>23.5</c:v>
              </c:pt>
            </c:numLit>
          </c:yVal>
          <c:smooth val="0"/>
        </c:ser>
        <c:ser>
          <c:idx val="12"/>
          <c:order val="12"/>
          <c:tx>
            <c:v>IBUIV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0.64144647068326976</c:v>
                </c:pt>
              </c:numLit>
            </c:plus>
            <c:minus>
              <c:numLit>
                <c:formatCode>General</c:formatCode>
                <c:ptCount val="1"/>
                <c:pt idx="0">
                  <c:v>0.37659674259911524</c:v>
                </c:pt>
              </c:numLit>
            </c:minus>
          </c:errBars>
          <c:xVal>
            <c:numRef>
              <c:f>'Random Effects  (Informative)'!$I$17</c:f>
              <c:numCache>
                <c:formatCode>0.0000</c:formatCode>
                <c:ptCount val="1"/>
                <c:pt idx="0">
                  <c:v>0.89206066012488849</c:v>
                </c:pt>
              </c:numCache>
            </c:numRef>
          </c:xVal>
          <c:yVal>
            <c:numLit>
              <c:formatCode>General</c:formatCode>
              <c:ptCount val="1"/>
              <c:pt idx="0">
                <c:v>25.5</c:v>
              </c:pt>
            </c:numLit>
          </c:yVal>
          <c:smooth val="0"/>
        </c:ser>
        <c:ser>
          <c:idx val="13"/>
          <c:order val="13"/>
          <c:tx>
            <c:v>IBUIV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1.1240990158714887</c:v>
                </c:pt>
              </c:numLit>
            </c:plus>
            <c:minus>
              <c:numLit>
                <c:formatCode>General</c:formatCode>
                <c:ptCount val="1"/>
                <c:pt idx="0">
                  <c:v>0.49325795862544086</c:v>
                </c:pt>
              </c:numLit>
            </c:minus>
          </c:errBars>
          <c:xVal>
            <c:numRef>
              <c:f>'Random Effects  (Informative)'!$I$18</c:f>
              <c:numCache>
                <c:formatCode>General</c:formatCode>
                <c:ptCount val="1"/>
                <c:pt idx="0">
                  <c:v>0.87950747581354438</c:v>
                </c:pt>
              </c:numCache>
            </c:numRef>
          </c:xVal>
          <c:yVal>
            <c:numLit>
              <c:formatCode>General</c:formatCode>
              <c:ptCount val="1"/>
              <c:pt idx="0">
                <c:v>27.5</c:v>
              </c:pt>
            </c:numLit>
          </c:yVal>
          <c:smooth val="0"/>
        </c:ser>
        <c:ser>
          <c:idx val="14"/>
          <c:order val="14"/>
          <c:tx>
            <c:v>INDOIVCONT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1014.7697892492114</c:v>
                </c:pt>
              </c:numLit>
            </c:plus>
            <c:minus>
              <c:numLit>
                <c:formatCode>General</c:formatCode>
                <c:ptCount val="1"/>
                <c:pt idx="0">
                  <c:v>0.86761753549470599</c:v>
                </c:pt>
              </c:numLit>
            </c:minus>
          </c:errBars>
          <c:xVal>
            <c:numRef>
              <c:f>'Random Effects  (Informative)'!$I$19</c:f>
              <c:numCache>
                <c:formatCode>General</c:formatCode>
                <c:ptCount val="1"/>
                <c:pt idx="0">
                  <c:v>0.87108013937282236</c:v>
                </c:pt>
              </c:numCache>
            </c:numRef>
          </c:xVal>
          <c:yVal>
            <c:numLit>
              <c:formatCode>General</c:formatCode>
              <c:ptCount val="1"/>
              <c:pt idx="0">
                <c:v>29.5</c:v>
              </c:pt>
            </c:numLit>
          </c:yVal>
          <c:smooth val="0"/>
        </c:ser>
        <c:ser>
          <c:idx val="15"/>
          <c:order val="15"/>
          <c:tx>
            <c:v>IBUIVHIGHDOSE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5.1311981339983621</c:v>
                </c:pt>
              </c:numLit>
            </c:plus>
            <c:minus>
              <c:numLit>
                <c:formatCode>General</c:formatCode>
                <c:ptCount val="1"/>
                <c:pt idx="0">
                  <c:v>0.72819542823439343</c:v>
                </c:pt>
              </c:numLit>
            </c:minus>
          </c:errBars>
          <c:xVal>
            <c:numRef>
              <c:f>'Random Effects  (Informative)'!$I$20</c:f>
              <c:numCache>
                <c:formatCode>0.0000</c:formatCode>
                <c:ptCount val="1"/>
                <c:pt idx="0">
                  <c:v>0.85324232081911267</c:v>
                </c:pt>
              </c:numCache>
            </c:numRef>
          </c:xVal>
          <c:yVal>
            <c:numLit>
              <c:formatCode>General</c:formatCode>
              <c:ptCount val="1"/>
              <c:pt idx="0">
                <c:v>31.5</c:v>
              </c:pt>
            </c:numLit>
          </c:yVal>
          <c:smooth val="0"/>
        </c:ser>
        <c:ser>
          <c:idx val="16"/>
          <c:order val="16"/>
          <c:tx>
            <c:v>IBUPO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198.74050911691722</c:v>
                </c:pt>
              </c:numLit>
            </c:plus>
            <c:minus>
              <c:numLit>
                <c:formatCode>General</c:formatCode>
                <c:ptCount val="1"/>
                <c:pt idx="0">
                  <c:v>0.77989552326429645</c:v>
                </c:pt>
              </c:numLit>
            </c:minus>
          </c:errBars>
          <c:xVal>
            <c:numRef>
              <c:f>'Random Effects  (Informative)'!$I$21</c:f>
              <c:numCache>
                <c:formatCode>0.0000</c:formatCode>
                <c:ptCount val="1"/>
                <c:pt idx="0">
                  <c:v>0.78064012490242007</c:v>
                </c:pt>
              </c:numCache>
            </c:numRef>
          </c:xVal>
          <c:yVal>
            <c:numLit>
              <c:formatCode>General</c:formatCode>
              <c:ptCount val="1"/>
              <c:pt idx="0">
                <c:v>33.5</c:v>
              </c:pt>
            </c:numLit>
          </c:yVal>
          <c:smooth val="0"/>
        </c:ser>
        <c:ser>
          <c:idx val="17"/>
          <c:order val="17"/>
          <c:tx>
            <c:v>IBUIVHIGHDOSE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4.3969082268414237</c:v>
                </c:pt>
              </c:numLit>
            </c:plus>
            <c:minus>
              <c:numLit>
                <c:formatCode>General</c:formatCode>
                <c:ptCount val="1"/>
                <c:pt idx="0">
                  <c:v>0.65841733619807774</c:v>
                </c:pt>
              </c:numLit>
            </c:minus>
          </c:errBars>
          <c:xVal>
            <c:numRef>
              <c:f>'Random Effects  (Informative)'!$I$22</c:f>
              <c:numCache>
                <c:formatCode>General</c:formatCode>
                <c:ptCount val="1"/>
                <c:pt idx="0">
                  <c:v>0.77639751552795033</c:v>
                </c:pt>
              </c:numCache>
            </c:numRef>
          </c:xVal>
          <c:yVal>
            <c:numLit>
              <c:formatCode>General</c:formatCode>
              <c:ptCount val="1"/>
              <c:pt idx="0">
                <c:v>35.5</c:v>
              </c:pt>
            </c:numLit>
          </c:yVal>
          <c:smooth val="0"/>
        </c:ser>
        <c:ser>
          <c:idx val="18"/>
          <c:order val="18"/>
          <c:tx>
            <c:v>IBUPOHIGHDOSE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1.8113000000000001</c:v>
                </c:pt>
              </c:numLit>
            </c:plus>
            <c:minus>
              <c:numLit>
                <c:formatCode>General</c:formatCode>
                <c:ptCount val="1"/>
                <c:pt idx="0">
                  <c:v>0.54340000000000011</c:v>
                </c:pt>
              </c:numLit>
            </c:minus>
          </c:errBars>
          <c:xVal>
            <c:numRef>
              <c:f>'Random Effects  (Informative)'!$I$23</c:f>
              <c:numCache>
                <c:formatCode>0.0000</c:formatCode>
                <c:ptCount val="1"/>
                <c:pt idx="0">
                  <c:v>0.75570000000000004</c:v>
                </c:pt>
              </c:numCache>
            </c:numRef>
          </c:xVal>
          <c:yVal>
            <c:numLit>
              <c:formatCode>General</c:formatCode>
              <c:ptCount val="1"/>
              <c:pt idx="0">
                <c:v>37.5</c:v>
              </c:pt>
            </c:numLit>
          </c:yVal>
          <c:smooth val="0"/>
        </c:ser>
        <c:ser>
          <c:idx val="19"/>
          <c:order val="19"/>
          <c:tx>
            <c:v>IBUIV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190.89803950733111</c:v>
                </c:pt>
              </c:numLit>
            </c:plus>
            <c:minus>
              <c:numLit>
                <c:formatCode>General</c:formatCode>
                <c:ptCount val="1"/>
                <c:pt idx="0">
                  <c:v>0.74556094263290762</c:v>
                </c:pt>
              </c:numLit>
            </c:minus>
          </c:errBars>
          <c:xVal>
            <c:numRef>
              <c:f>'Random Effects  (Informative)'!$I$24</c:f>
              <c:numCache>
                <c:formatCode>General</c:formatCode>
                <c:ptCount val="1"/>
                <c:pt idx="0">
                  <c:v>0.74626865671641784</c:v>
                </c:pt>
              </c:numCache>
            </c:numRef>
          </c:xVal>
          <c:yVal>
            <c:numLit>
              <c:formatCode>General</c:formatCode>
              <c:ptCount val="1"/>
              <c:pt idx="0">
                <c:v>39.5</c:v>
              </c:pt>
            </c:numLit>
          </c:yVal>
          <c:smooth val="0"/>
        </c:ser>
        <c:ser>
          <c:idx val="20"/>
          <c:order val="20"/>
          <c:tx>
            <c:v>PARAPO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1.214625109710872</c:v>
                </c:pt>
              </c:numLit>
            </c:plus>
            <c:minus>
              <c:numLit>
                <c:formatCode>General</c:formatCode>
                <c:ptCount val="1"/>
                <c:pt idx="0">
                  <c:v>0.4652212602056392</c:v>
                </c:pt>
              </c:numLit>
            </c:minus>
          </c:errBars>
          <c:xVal>
            <c:numRef>
              <c:f>'Random Effects  (Informative)'!$I$25</c:f>
              <c:numCache>
                <c:formatCode>0.0000</c:formatCode>
                <c:ptCount val="1"/>
                <c:pt idx="0">
                  <c:v>0.73964497041420119</c:v>
                </c:pt>
              </c:numCache>
            </c:numRef>
          </c:xVal>
          <c:yVal>
            <c:numLit>
              <c:formatCode>General</c:formatCode>
              <c:ptCount val="1"/>
              <c:pt idx="0">
                <c:v>41.5</c:v>
              </c:pt>
            </c:numLit>
          </c:yVal>
          <c:smooth val="0"/>
        </c:ser>
        <c:ser>
          <c:idx val="21"/>
          <c:order val="21"/>
          <c:tx>
            <c:v>PLAC_NORX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0.96919999999999995</c:v>
                </c:pt>
              </c:numLit>
            </c:plus>
            <c:minus>
              <c:numLit>
                <c:formatCode>General</c:formatCode>
                <c:ptCount val="1"/>
                <c:pt idx="0">
                  <c:v>0.42110000000000003</c:v>
                </c:pt>
              </c:numLit>
            </c:minus>
          </c:errBars>
          <c:xVal>
            <c:numRef>
              <c:f>'Random Effects  (Informative)'!$I$26</c:f>
              <c:numCache>
                <c:formatCode>0.0000</c:formatCode>
                <c:ptCount val="1"/>
                <c:pt idx="0">
                  <c:v>0.7288</c:v>
                </c:pt>
              </c:numCache>
            </c:numRef>
          </c:xVal>
          <c:yVal>
            <c:numLit>
              <c:formatCode>General</c:formatCode>
              <c:ptCount val="1"/>
              <c:pt idx="0">
                <c:v>43.5</c:v>
              </c:pt>
            </c:numLit>
          </c:yVal>
          <c:smooth val="0"/>
        </c:ser>
        <c:ser>
          <c:idx val="22"/>
          <c:order val="22"/>
          <c:tx>
            <c:v>IBUPOHIGHDOSE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1.4546999999999999</c:v>
                </c:pt>
              </c:numLit>
            </c:plus>
            <c:minus>
              <c:numLit>
                <c:formatCode>General</c:formatCode>
                <c:ptCount val="1"/>
                <c:pt idx="0">
                  <c:v>0.49639999999999995</c:v>
                </c:pt>
              </c:numLit>
            </c:minus>
          </c:errBars>
          <c:xVal>
            <c:numRef>
              <c:f>'Random Effects  (Informative)'!$I$27</c:f>
              <c:numCache>
                <c:formatCode>0.0000</c:formatCode>
                <c:ptCount val="1"/>
                <c:pt idx="0">
                  <c:v>0.72729999999999995</c:v>
                </c:pt>
              </c:numCache>
            </c:numRef>
          </c:xVal>
          <c:yVal>
            <c:numLit>
              <c:formatCode>General</c:formatCode>
              <c:ptCount val="1"/>
              <c:pt idx="0">
                <c:v>45.5</c:v>
              </c:pt>
            </c:numLit>
          </c:yVal>
          <c:smooth val="0"/>
        </c:ser>
        <c:ser>
          <c:idx val="23"/>
          <c:order val="23"/>
          <c:tx>
            <c:v>INDOIV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0.68918954915303532</c:v>
                </c:pt>
              </c:numLit>
            </c:plus>
            <c:minus>
              <c:numLit>
                <c:formatCode>General</c:formatCode>
                <c:ptCount val="1"/>
                <c:pt idx="0">
                  <c:v>0.36388732040905963</c:v>
                </c:pt>
              </c:numLit>
            </c:minus>
          </c:errBars>
          <c:xVal>
            <c:numRef>
              <c:f>'Random Effects  (Informative)'!$I$28</c:f>
              <c:numCache>
                <c:formatCode>General</c:formatCode>
                <c:ptCount val="1"/>
                <c:pt idx="0">
                  <c:v>0.7246376811594204</c:v>
                </c:pt>
              </c:numCache>
            </c:numRef>
          </c:xVal>
          <c:yVal>
            <c:numLit>
              <c:formatCode>General</c:formatCode>
              <c:ptCount val="1"/>
              <c:pt idx="0">
                <c:v>47.5</c:v>
              </c:pt>
            </c:numLit>
          </c:yVal>
          <c:smooth val="0"/>
        </c:ser>
        <c:ser>
          <c:idx val="24"/>
          <c:order val="24"/>
          <c:tx>
            <c:v>IBUIVCONT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1.6901999999999999</c:v>
                </c:pt>
              </c:numLit>
            </c:plus>
            <c:minus>
              <c:numLit>
                <c:formatCode>General</c:formatCode>
                <c:ptCount val="1"/>
                <c:pt idx="0">
                  <c:v>0.51190000000000002</c:v>
                </c:pt>
              </c:numLit>
            </c:minus>
          </c:errBars>
          <c:xVal>
            <c:numRef>
              <c:f>'Random Effects  (Informative)'!$I$29</c:f>
              <c:numCache>
                <c:formatCode>General</c:formatCode>
                <c:ptCount val="1"/>
                <c:pt idx="0">
                  <c:v>0.69479999999999997</c:v>
                </c:pt>
              </c:numCache>
            </c:numRef>
          </c:xVal>
          <c:yVal>
            <c:numLit>
              <c:formatCode>General</c:formatCode>
              <c:ptCount val="1"/>
              <c:pt idx="0">
                <c:v>49.5</c:v>
              </c:pt>
            </c:numLit>
          </c:yVal>
          <c:smooth val="0"/>
        </c:ser>
        <c:ser>
          <c:idx val="25"/>
          <c:order val="25"/>
          <c:tx>
            <c:v>IBUPOHIGHDOSE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1.6560999999999999</c:v>
                </c:pt>
              </c:numLit>
            </c:plus>
            <c:minus>
              <c:numLit>
                <c:formatCode>General</c:formatCode>
                <c:ptCount val="1"/>
                <c:pt idx="0">
                  <c:v>0.49419999999999997</c:v>
                </c:pt>
              </c:numLit>
            </c:minus>
          </c:errBars>
          <c:xVal>
            <c:numRef>
              <c:f>'Random Effects  (Informative)'!$I$30</c:f>
              <c:numCache>
                <c:formatCode>General</c:formatCode>
                <c:ptCount val="1"/>
                <c:pt idx="0">
                  <c:v>0.68389999999999995</c:v>
                </c:pt>
              </c:numCache>
            </c:numRef>
          </c:xVal>
          <c:yVal>
            <c:numLit>
              <c:formatCode>General</c:formatCode>
              <c:ptCount val="1"/>
              <c:pt idx="0">
                <c:v>51.5</c:v>
              </c:pt>
            </c:numLit>
          </c:yVal>
          <c:smooth val="0"/>
        </c:ser>
        <c:ser>
          <c:idx val="26"/>
          <c:order val="26"/>
          <c:tx>
            <c:v>IBUPO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0.78815667236057407</c:v>
                </c:pt>
              </c:numLit>
            </c:plus>
            <c:minus>
              <c:numLit>
                <c:formatCode>General</c:formatCode>
                <c:ptCount val="1"/>
                <c:pt idx="0">
                  <c:v>0.38274161196760764</c:v>
                </c:pt>
              </c:numLit>
            </c:minus>
          </c:errBars>
          <c:xVal>
            <c:numRef>
              <c:f>'Random Effects  (Informative)'!$I$31</c:f>
              <c:numCache>
                <c:formatCode>General</c:formatCode>
                <c:ptCount val="1"/>
                <c:pt idx="0">
                  <c:v>0.68027210884353739</c:v>
                </c:pt>
              </c:numCache>
            </c:numRef>
          </c:xVal>
          <c:yVal>
            <c:numLit>
              <c:formatCode>General</c:formatCode>
              <c:ptCount val="1"/>
              <c:pt idx="0">
                <c:v>53.5</c:v>
              </c:pt>
            </c:numLit>
          </c:yVal>
          <c:smooth val="0"/>
        </c:ser>
        <c:ser>
          <c:idx val="27"/>
          <c:order val="27"/>
          <c:tx>
            <c:v>IBUPOHIGHDOSE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1.6454217821906183</c:v>
                </c:pt>
              </c:numLit>
            </c:plus>
            <c:minus>
              <c:numLit>
                <c:formatCode>General</c:formatCode>
                <c:ptCount val="1"/>
                <c:pt idx="0">
                  <c:v>0.48333963664019286</c:v>
                </c:pt>
              </c:numLit>
            </c:minus>
          </c:errBars>
          <c:xVal>
            <c:numRef>
              <c:f>'Random Effects  (Informative)'!$I$32</c:f>
              <c:numCache>
                <c:formatCode>General</c:formatCode>
                <c:ptCount val="1"/>
                <c:pt idx="0">
                  <c:v>0.67476383265856954</c:v>
                </c:pt>
              </c:numCache>
            </c:numRef>
          </c:xVal>
          <c:yVal>
            <c:numLit>
              <c:formatCode>General</c:formatCode>
              <c:ptCount val="1"/>
              <c:pt idx="0">
                <c:v>55.5</c:v>
              </c:pt>
            </c:numLit>
          </c:yVal>
          <c:smooth val="0"/>
        </c:ser>
        <c:ser>
          <c:idx val="28"/>
          <c:order val="28"/>
          <c:tx>
            <c:v>IBUPOHIGHDOSE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1.8143000000000002</c:v>
                </c:pt>
              </c:numLit>
            </c:plus>
            <c:minus>
              <c:numLit>
                <c:formatCode>General</c:formatCode>
                <c:ptCount val="1"/>
                <c:pt idx="0">
                  <c:v>0.49779999999999996</c:v>
                </c:pt>
              </c:numLit>
            </c:minus>
          </c:errBars>
          <c:xVal>
            <c:numRef>
              <c:f>'Random Effects  (Informative)'!$I$33</c:f>
              <c:numCache>
                <c:formatCode>General</c:formatCode>
                <c:ptCount val="1"/>
                <c:pt idx="0">
                  <c:v>0.66769999999999996</c:v>
                </c:pt>
              </c:numCache>
            </c:numRef>
          </c:xVal>
          <c:yVal>
            <c:numLit>
              <c:formatCode>General</c:formatCode>
              <c:ptCount val="1"/>
              <c:pt idx="0">
                <c:v>57.5</c:v>
              </c:pt>
            </c:numLit>
          </c:yVal>
          <c:smooth val="0"/>
        </c:ser>
        <c:ser>
          <c:idx val="29"/>
          <c:order val="29"/>
          <c:tx>
            <c:v>IBUIVCONT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1.9116</c:v>
                </c:pt>
              </c:numLit>
            </c:plus>
            <c:minus>
              <c:numLit>
                <c:formatCode>General</c:formatCode>
                <c:ptCount val="1"/>
                <c:pt idx="0">
                  <c:v>0.50960000000000005</c:v>
                </c:pt>
              </c:numLit>
            </c:minus>
          </c:errBars>
          <c:xVal>
            <c:numRef>
              <c:f>'Random Effects  (Informative)'!$I$34</c:f>
              <c:numCache>
                <c:formatCode>General</c:formatCode>
                <c:ptCount val="1"/>
                <c:pt idx="0">
                  <c:v>0.66639999999999999</c:v>
                </c:pt>
              </c:numCache>
            </c:numRef>
          </c:xVal>
          <c:yVal>
            <c:numLit>
              <c:formatCode>General</c:formatCode>
              <c:ptCount val="1"/>
              <c:pt idx="0">
                <c:v>59.5</c:v>
              </c:pt>
            </c:numLit>
          </c:yVal>
          <c:smooth val="0"/>
        </c:ser>
        <c:ser>
          <c:idx val="30"/>
          <c:order val="30"/>
          <c:tx>
            <c:v>IBUIV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0.85849012266382596</c:v>
                </c:pt>
              </c:numLit>
            </c:plus>
            <c:minus>
              <c:numLit>
                <c:formatCode>General</c:formatCode>
                <c:ptCount val="1"/>
                <c:pt idx="0">
                  <c:v>0.37462537462537465</c:v>
                </c:pt>
              </c:numLit>
            </c:minus>
          </c:errBars>
          <c:xVal>
            <c:numRef>
              <c:f>'Random Effects  (Informative)'!$I$35</c:f>
              <c:numCache>
                <c:formatCode>General</c:formatCode>
                <c:ptCount val="1"/>
                <c:pt idx="0">
                  <c:v>0.64935064935064934</c:v>
                </c:pt>
              </c:numCache>
            </c:numRef>
          </c:xVal>
          <c:yVal>
            <c:numLit>
              <c:formatCode>General</c:formatCode>
              <c:ptCount val="1"/>
              <c:pt idx="0">
                <c:v>61.5</c:v>
              </c:pt>
            </c:numLit>
          </c:yVal>
          <c:smooth val="0"/>
        </c:ser>
        <c:ser>
          <c:idx val="31"/>
          <c:order val="31"/>
          <c:tx>
            <c:v>IBUIVCONT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1.8123575600230171</c:v>
                </c:pt>
              </c:numLit>
            </c:plus>
            <c:minus>
              <c:numLit>
                <c:formatCode>General</c:formatCode>
                <c:ptCount val="1"/>
                <c:pt idx="0">
                  <c:v>0.47674398338635704</c:v>
                </c:pt>
              </c:numLit>
            </c:minus>
          </c:errBars>
          <c:xVal>
            <c:numRef>
              <c:f>'Random Effects  (Informative)'!$I$36</c:f>
              <c:numCache>
                <c:formatCode>General</c:formatCode>
                <c:ptCount val="1"/>
                <c:pt idx="0">
                  <c:v>0.62073246430788331</c:v>
                </c:pt>
              </c:numCache>
            </c:numRef>
          </c:xVal>
          <c:yVal>
            <c:numLit>
              <c:formatCode>General</c:formatCode>
              <c:ptCount val="1"/>
              <c:pt idx="0">
                <c:v>63.5</c:v>
              </c:pt>
            </c:numLit>
          </c:yVal>
          <c:smooth val="0"/>
        </c:ser>
        <c:ser>
          <c:idx val="32"/>
          <c:order val="32"/>
          <c:tx>
            <c:v>IBUIVCONT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1.9119999999999999</c:v>
                </c:pt>
              </c:numLit>
            </c:plus>
            <c:minus>
              <c:numLit>
                <c:formatCode>General</c:formatCode>
                <c:ptCount val="1"/>
                <c:pt idx="0">
                  <c:v>0.4743</c:v>
                </c:pt>
              </c:numLit>
            </c:minus>
          </c:errBars>
          <c:xVal>
            <c:numRef>
              <c:f>'Random Effects  (Informative)'!$I$37</c:f>
              <c:numCache>
                <c:formatCode>General</c:formatCode>
                <c:ptCount val="1"/>
                <c:pt idx="0">
                  <c:v>0.61699999999999999</c:v>
                </c:pt>
              </c:numCache>
            </c:numRef>
          </c:xVal>
          <c:yVal>
            <c:numLit>
              <c:formatCode>General</c:formatCode>
              <c:ptCount val="1"/>
              <c:pt idx="0">
                <c:v>65.5</c:v>
              </c:pt>
            </c:numLit>
          </c:yVal>
          <c:smooth val="0"/>
        </c:ser>
        <c:ser>
          <c:idx val="33"/>
          <c:order val="33"/>
          <c:tx>
            <c:v>IBUIVCONT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2.1960000000000002</c:v>
                </c:pt>
              </c:numLit>
            </c:plus>
            <c:minus>
              <c:numLit>
                <c:formatCode>General</c:formatCode>
                <c:ptCount val="1"/>
                <c:pt idx="0">
                  <c:v>0.49149999999999999</c:v>
                </c:pt>
              </c:numLit>
            </c:minus>
          </c:errBars>
          <c:xVal>
            <c:numRef>
              <c:f>'Random Effects  (Informative)'!$I$38</c:f>
              <c:numCache>
                <c:formatCode>General</c:formatCode>
                <c:ptCount val="1"/>
                <c:pt idx="0">
                  <c:v>0.61399999999999999</c:v>
                </c:pt>
              </c:numCache>
            </c:numRef>
          </c:xVal>
          <c:yVal>
            <c:numLit>
              <c:formatCode>General</c:formatCode>
              <c:ptCount val="1"/>
              <c:pt idx="0">
                <c:v>67.5</c:v>
              </c:pt>
            </c:numLit>
          </c:yVal>
          <c:smooth val="0"/>
        </c:ser>
        <c:ser>
          <c:idx val="34"/>
          <c:order val="34"/>
          <c:tx>
            <c:v>IBUIVHIGHDOSE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1.8644000000000003</c:v>
                </c:pt>
              </c:numLit>
            </c:plus>
            <c:minus>
              <c:numLit>
                <c:formatCode>General</c:formatCode>
                <c:ptCount val="1"/>
                <c:pt idx="0">
                  <c:v>0.4546</c:v>
                </c:pt>
              </c:numLit>
            </c:minus>
          </c:errBars>
          <c:xVal>
            <c:numRef>
              <c:f>'Random Effects  (Informative)'!$I$39</c:f>
              <c:numCache>
                <c:formatCode>0.0000</c:formatCode>
                <c:ptCount val="1"/>
                <c:pt idx="0">
                  <c:v>0.58960000000000001</c:v>
                </c:pt>
              </c:numCache>
            </c:numRef>
          </c:xVal>
          <c:yVal>
            <c:numLit>
              <c:formatCode>General</c:formatCode>
              <c:ptCount val="1"/>
              <c:pt idx="0">
                <c:v>69.5</c:v>
              </c:pt>
            </c:numLit>
          </c:yVal>
          <c:smooth val="0"/>
        </c:ser>
        <c:ser>
          <c:idx val="35"/>
          <c:order val="35"/>
          <c:tx>
            <c:v>IBUIVHIGHDOSE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2.0695000000000001</c:v>
                </c:pt>
              </c:numLit>
            </c:plus>
            <c:minus>
              <c:numLit>
                <c:formatCode>General</c:formatCode>
                <c:ptCount val="1"/>
                <c:pt idx="0">
                  <c:v>0.4481</c:v>
                </c:pt>
              </c:numLit>
            </c:minus>
          </c:errBars>
          <c:xVal>
            <c:numRef>
              <c:f>'Random Effects  (Informative)'!$I$40</c:f>
              <c:numCache>
                <c:formatCode>0.0000</c:formatCode>
                <c:ptCount val="1"/>
                <c:pt idx="0">
                  <c:v>0.5675</c:v>
                </c:pt>
              </c:numCache>
            </c:numRef>
          </c:xVal>
          <c:yVal>
            <c:numLit>
              <c:formatCode>General</c:formatCode>
              <c:ptCount val="1"/>
              <c:pt idx="0">
                <c:v>71.5</c:v>
              </c:pt>
            </c:numLit>
          </c:yVal>
          <c:smooth val="0"/>
        </c:ser>
        <c:ser>
          <c:idx val="36"/>
          <c:order val="36"/>
          <c:tx>
            <c:v>IBUPOHIGHDOSE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147.87253876432388</c:v>
                </c:pt>
              </c:numLit>
            </c:plus>
            <c:minus>
              <c:numLit>
                <c:formatCode>General</c:formatCode>
                <c:ptCount val="1"/>
                <c:pt idx="0">
                  <c:v>0.56100084965763641</c:v>
                </c:pt>
              </c:numLit>
            </c:minus>
          </c:errBars>
          <c:xVal>
            <c:numRef>
              <c:f>'Random Effects  (Informative)'!$I$41</c:f>
              <c:numCache>
                <c:formatCode>General</c:formatCode>
                <c:ptCount val="1"/>
                <c:pt idx="0">
                  <c:v>0.56148231330713083</c:v>
                </c:pt>
              </c:numCache>
            </c:numRef>
          </c:xVal>
          <c:yVal>
            <c:numLit>
              <c:formatCode>General</c:formatCode>
              <c:ptCount val="1"/>
              <c:pt idx="0">
                <c:v>73.5</c:v>
              </c:pt>
            </c:numLit>
          </c:yVal>
          <c:smooth val="0"/>
        </c:ser>
        <c:ser>
          <c:idx val="37"/>
          <c:order val="37"/>
          <c:tx>
            <c:v>IBUIVHIGHDOSE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1.9670000000000001</c:v>
                </c:pt>
              </c:numLit>
            </c:plus>
            <c:minus>
              <c:numLit>
                <c:formatCode>General</c:formatCode>
                <c:ptCount val="1"/>
                <c:pt idx="0">
                  <c:v>0.4254</c:v>
                </c:pt>
              </c:numLit>
            </c:minus>
          </c:errBars>
          <c:xVal>
            <c:numRef>
              <c:f>'Random Effects  (Informative)'!$I$42</c:f>
              <c:numCache>
                <c:formatCode>General</c:formatCode>
                <c:ptCount val="1"/>
                <c:pt idx="0">
                  <c:v>0.53200000000000003</c:v>
                </c:pt>
              </c:numCache>
            </c:numRef>
          </c:xVal>
          <c:yVal>
            <c:numLit>
              <c:formatCode>General</c:formatCode>
              <c:ptCount val="1"/>
              <c:pt idx="0">
                <c:v>75.5</c:v>
              </c:pt>
            </c:numLit>
          </c:yVal>
          <c:smooth val="0"/>
        </c:ser>
        <c:ser>
          <c:idx val="38"/>
          <c:order val="38"/>
          <c:tx>
            <c:v>IBUIVHIGHDOSE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1.9629555394184734</c:v>
                </c:pt>
              </c:numLit>
            </c:plus>
            <c:minus>
              <c:numLit>
                <c:formatCode>General</c:formatCode>
                <c:ptCount val="1"/>
                <c:pt idx="0">
                  <c:v>0.41866512227800778</c:v>
                </c:pt>
              </c:numLit>
            </c:minus>
          </c:errBars>
          <c:xVal>
            <c:numRef>
              <c:f>'Random Effects  (Informative)'!$I$43</c:f>
              <c:numCache>
                <c:formatCode>0.0000</c:formatCode>
                <c:ptCount val="1"/>
                <c:pt idx="0">
                  <c:v>0.52770448548812665</c:v>
                </c:pt>
              </c:numCache>
            </c:numRef>
          </c:xVal>
          <c:yVal>
            <c:numLit>
              <c:formatCode>General</c:formatCode>
              <c:ptCount val="1"/>
              <c:pt idx="0">
                <c:v>77.5</c:v>
              </c:pt>
            </c:numLit>
          </c:yVal>
          <c:smooth val="0"/>
        </c:ser>
        <c:ser>
          <c:idx val="39"/>
          <c:order val="39"/>
          <c:tx>
            <c:v>IBUIVHIGHDOSE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2.1726999999999999</c:v>
                </c:pt>
              </c:numLit>
            </c:plus>
            <c:minus>
              <c:numLit>
                <c:formatCode>General</c:formatCode>
                <c:ptCount val="1"/>
                <c:pt idx="0">
                  <c:v>0.41792999999999997</c:v>
                </c:pt>
              </c:numLit>
            </c:minus>
          </c:errBars>
          <c:xVal>
            <c:numRef>
              <c:f>'Random Effects  (Informative)'!$I$44</c:f>
              <c:numCache>
                <c:formatCode>General</c:formatCode>
                <c:ptCount val="1"/>
                <c:pt idx="0">
                  <c:v>0.51629999999999998</c:v>
                </c:pt>
              </c:numCache>
            </c:numRef>
          </c:xVal>
          <c:yVal>
            <c:numLit>
              <c:formatCode>General</c:formatCode>
              <c:ptCount val="1"/>
              <c:pt idx="0">
                <c:v>79.5</c:v>
              </c:pt>
            </c:numLit>
          </c:yVal>
          <c:smooth val="0"/>
        </c:ser>
        <c:ser>
          <c:idx val="40"/>
          <c:order val="40"/>
          <c:tx>
            <c:v>IBUIVCONT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144.71866527791551</c:v>
                </c:pt>
              </c:numLit>
            </c:plus>
            <c:minus>
              <c:numLit>
                <c:formatCode>General</c:formatCode>
                <c:ptCount val="1"/>
                <c:pt idx="0">
                  <c:v>0.50309986387293892</c:v>
                </c:pt>
              </c:numLit>
            </c:minus>
          </c:errBars>
          <c:xVal>
            <c:numRef>
              <c:f>'Random Effects  (Informative)'!$I$45</c:f>
              <c:numCache>
                <c:formatCode>General</c:formatCode>
                <c:ptCount val="1"/>
                <c:pt idx="0">
                  <c:v>0.50352467270896273</c:v>
                </c:pt>
              </c:numCache>
            </c:numRef>
          </c:xVal>
          <c:yVal>
            <c:numLit>
              <c:formatCode>General</c:formatCode>
              <c:ptCount val="1"/>
              <c:pt idx="0">
                <c:v>81.5</c:v>
              </c:pt>
            </c:numLit>
          </c:yVal>
          <c:smooth val="0"/>
        </c:ser>
        <c:ser>
          <c:idx val="41"/>
          <c:order val="41"/>
          <c:tx>
            <c:v>IBUPOHIGHDOSE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1.3627526182405978</c:v>
                </c:pt>
              </c:numLit>
            </c:plus>
            <c:minus>
              <c:numLit>
                <c:formatCode>General</c:formatCode>
                <c:ptCount val="1"/>
                <c:pt idx="0">
                  <c:v>0.36713581917644134</c:v>
                </c:pt>
              </c:numLit>
            </c:minus>
          </c:errBars>
          <c:xVal>
            <c:numRef>
              <c:f>'Random Effects  (Informative)'!$I$46</c:f>
              <c:numCache>
                <c:formatCode>0.0000</c:formatCode>
                <c:ptCount val="1"/>
                <c:pt idx="0">
                  <c:v>0.49115913555992141</c:v>
                </c:pt>
              </c:numCache>
            </c:numRef>
          </c:xVal>
          <c:yVal>
            <c:numLit>
              <c:formatCode>General</c:formatCode>
              <c:ptCount val="1"/>
              <c:pt idx="0">
                <c:v>83.5</c:v>
              </c:pt>
            </c:numLit>
          </c:yVal>
          <c:smooth val="0"/>
        </c:ser>
        <c:ser>
          <c:idx val="42"/>
          <c:order val="42"/>
          <c:tx>
            <c:v>IBUIVCONT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1.6173555292218673</c:v>
                </c:pt>
              </c:numLit>
            </c:plus>
            <c:minus>
              <c:numLit>
                <c:formatCode>General</c:formatCode>
                <c:ptCount val="1"/>
                <c:pt idx="0">
                  <c:v>0.35637525132900039</c:v>
                </c:pt>
              </c:numLit>
            </c:minus>
          </c:errBars>
          <c:xVal>
            <c:numRef>
              <c:f>'Random Effects  (Informative)'!$I$47</c:f>
              <c:numCache>
                <c:formatCode>0.0000</c:formatCode>
                <c:ptCount val="1"/>
                <c:pt idx="0">
                  <c:v>0.44662795891022783</c:v>
                </c:pt>
              </c:numCache>
            </c:numRef>
          </c:xVal>
          <c:yVal>
            <c:numLit>
              <c:formatCode>General</c:formatCode>
              <c:ptCount val="1"/>
              <c:pt idx="0">
                <c:v>85.5</c:v>
              </c:pt>
            </c:numLit>
          </c:yVal>
          <c:smooth val="0"/>
        </c:ser>
        <c:ser>
          <c:idx val="43"/>
          <c:order val="43"/>
          <c:tx>
            <c:v>IBUIVHIGHDOSE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124.11221147076577</c:v>
                </c:pt>
              </c:numLit>
            </c:plus>
            <c:minus>
              <c:numLit>
                <c:formatCode>General</c:formatCode>
                <c:ptCount val="1"/>
                <c:pt idx="0">
                  <c:v>0.43589759803053685</c:v>
                </c:pt>
              </c:numLit>
            </c:minus>
          </c:errBars>
          <c:xVal>
            <c:numRef>
              <c:f>'Random Effects  (Informative)'!$I$48</c:f>
              <c:numCache>
                <c:formatCode>General</c:formatCode>
                <c:ptCount val="1"/>
                <c:pt idx="0">
                  <c:v>0.43630017452006986</c:v>
                </c:pt>
              </c:numCache>
            </c:numRef>
          </c:xVal>
          <c:yVal>
            <c:numLit>
              <c:formatCode>General</c:formatCode>
              <c:ptCount val="1"/>
              <c:pt idx="0">
                <c:v>87.5</c:v>
              </c:pt>
            </c:numLit>
          </c:yVal>
          <c:smooth val="0"/>
        </c:ser>
        <c:ser>
          <c:idx val="44"/>
          <c:order val="44"/>
          <c:tx>
            <c:v>IBUIVHIGHDOSE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1.6306980921048271</c:v>
                </c:pt>
              </c:numLit>
            </c:plus>
            <c:minus>
              <c:numLit>
                <c:formatCode>General</c:formatCode>
                <c:ptCount val="1"/>
                <c:pt idx="0">
                  <c:v>0.3127703019636025</c:v>
                </c:pt>
              </c:numLit>
            </c:minus>
          </c:errBars>
          <c:xVal>
            <c:numRef>
              <c:f>'Random Effects  (Informative)'!$I$49</c:f>
              <c:numCache>
                <c:formatCode>General</c:formatCode>
                <c:ptCount val="1"/>
                <c:pt idx="0">
                  <c:v>0.3829950210647261</c:v>
                </c:pt>
              </c:numCache>
            </c:numRef>
          </c:xVal>
          <c:yVal>
            <c:numLit>
              <c:formatCode>General</c:formatCode>
              <c:ptCount val="1"/>
              <c:pt idx="0">
                <c:v>89.5</c:v>
              </c:pt>
            </c:numLit>
          </c:yVal>
          <c:smooth val="0"/>
        </c:ser>
        <c:dLbls>
          <c:showLegendKey val="0"/>
          <c:showVal val="0"/>
          <c:showCatName val="0"/>
          <c:showSerName val="0"/>
          <c:showPercent val="0"/>
          <c:showBubbleSize val="0"/>
        </c:dLbls>
        <c:axId val="304661440"/>
        <c:axId val="312333280"/>
      </c:scatterChart>
      <c:valAx>
        <c:axId val="304661440"/>
        <c:scaling>
          <c:logBase val="10"/>
          <c:orientation val="minMax"/>
        </c:scaling>
        <c:delete val="0"/>
        <c:axPos val="b"/>
        <c:numFmt formatCode="0.0000" sourceLinked="1"/>
        <c:majorTickMark val="out"/>
        <c:minorTickMark val="out"/>
        <c:tickLblPos val="nextTo"/>
        <c:crossAx val="312333280"/>
        <c:crossesAt val="0"/>
        <c:crossBetween val="midCat"/>
      </c:valAx>
      <c:valAx>
        <c:axId val="312333280"/>
        <c:scaling>
          <c:orientation val="minMax"/>
          <c:max val="90"/>
          <c:min val="0"/>
        </c:scaling>
        <c:delete val="0"/>
        <c:axPos val="l"/>
        <c:numFmt formatCode="General" sourceLinked="1"/>
        <c:majorTickMark val="none"/>
        <c:minorTickMark val="none"/>
        <c:tickLblPos val="none"/>
        <c:crossAx val="304661440"/>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3537086058752"/>
          <c:y val="9.2707258806466714E-2"/>
          <c:w val="0.77999769259611773"/>
          <c:h val="0.74626563106439092"/>
        </c:manualLayout>
      </c:layout>
      <c:lineChart>
        <c:grouping val="standard"/>
        <c:varyColors val="0"/>
        <c:ser>
          <c:idx val="0"/>
          <c:order val="0"/>
          <c:tx>
            <c:strRef>
              <c:f>'Rankogram Data'!$M$4</c:f>
              <c:strCache>
                <c:ptCount val="1"/>
                <c:pt idx="0">
                  <c:v>INDOIV</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Data'!$M$5:$M$100</c:f>
              <c:numCache>
                <c:formatCode>General</c:formatCode>
                <c:ptCount val="10"/>
                <c:pt idx="0">
                  <c:v>5.2830000000000004E-3</c:v>
                </c:pt>
                <c:pt idx="1">
                  <c:v>3.2390000000000002E-2</c:v>
                </c:pt>
                <c:pt idx="2">
                  <c:v>7.8350000000000003E-2</c:v>
                </c:pt>
                <c:pt idx="3">
                  <c:v>0.1152</c:v>
                </c:pt>
                <c:pt idx="4">
                  <c:v>0.14080000000000001</c:v>
                </c:pt>
                <c:pt idx="5">
                  <c:v>0.1603</c:v>
                </c:pt>
                <c:pt idx="6">
                  <c:v>0.17660000000000001</c:v>
                </c:pt>
                <c:pt idx="7">
                  <c:v>0.17449999999999999</c:v>
                </c:pt>
                <c:pt idx="8">
                  <c:v>9.7280000000000005E-2</c:v>
                </c:pt>
                <c:pt idx="9">
                  <c:v>1.9349999999999999E-2</c:v>
                </c:pt>
              </c:numCache>
            </c:numRef>
          </c:val>
          <c:smooth val="0"/>
        </c:ser>
        <c:ser>
          <c:idx val="1"/>
          <c:order val="1"/>
          <c:tx>
            <c:strRef>
              <c:f>'Rankogram Data'!$N$4</c:f>
              <c:strCache>
                <c:ptCount val="1"/>
                <c:pt idx="0">
                  <c:v>IBUIV</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Data'!$N$5:$N$100</c:f>
              <c:numCache>
                <c:formatCode>General</c:formatCode>
                <c:ptCount val="10"/>
                <c:pt idx="0">
                  <c:v>5.9080000000000001E-3</c:v>
                </c:pt>
                <c:pt idx="1">
                  <c:v>4.163E-2</c:v>
                </c:pt>
                <c:pt idx="2">
                  <c:v>0.1303</c:v>
                </c:pt>
                <c:pt idx="3">
                  <c:v>0.20100000000000001</c:v>
                </c:pt>
                <c:pt idx="4">
                  <c:v>0.19159999999999999</c:v>
                </c:pt>
                <c:pt idx="5">
                  <c:v>0.16270000000000001</c:v>
                </c:pt>
                <c:pt idx="6">
                  <c:v>0.12559999999999999</c:v>
                </c:pt>
                <c:pt idx="7">
                  <c:v>8.6940000000000003E-2</c:v>
                </c:pt>
                <c:pt idx="8">
                  <c:v>4.3869999999999999E-2</c:v>
                </c:pt>
                <c:pt idx="9">
                  <c:v>1.055E-2</c:v>
                </c:pt>
              </c:numCache>
            </c:numRef>
          </c:val>
          <c:smooth val="0"/>
        </c:ser>
        <c:ser>
          <c:idx val="2"/>
          <c:order val="2"/>
          <c:tx>
            <c:strRef>
              <c:f>'Rankogram Data'!$O$4</c:f>
              <c:strCache>
                <c:ptCount val="1"/>
                <c:pt idx="0">
                  <c:v>IBUPO</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Data'!$O$5:$O$100</c:f>
              <c:numCache>
                <c:formatCode>General</c:formatCode>
                <c:ptCount val="10"/>
                <c:pt idx="0">
                  <c:v>4.4169999999999999E-3</c:v>
                </c:pt>
                <c:pt idx="1">
                  <c:v>3.227E-2</c:v>
                </c:pt>
                <c:pt idx="2">
                  <c:v>9.2240000000000003E-2</c:v>
                </c:pt>
                <c:pt idx="3">
                  <c:v>0.1618</c:v>
                </c:pt>
                <c:pt idx="4">
                  <c:v>0.20169999999999999</c:v>
                </c:pt>
                <c:pt idx="5">
                  <c:v>0.1983</c:v>
                </c:pt>
                <c:pt idx="6">
                  <c:v>0.157</c:v>
                </c:pt>
                <c:pt idx="7">
                  <c:v>0.1028</c:v>
                </c:pt>
                <c:pt idx="8">
                  <c:v>4.1880000000000001E-2</c:v>
                </c:pt>
                <c:pt idx="9">
                  <c:v>7.7079999999999996E-3</c:v>
                </c:pt>
              </c:numCache>
            </c:numRef>
          </c:val>
          <c:smooth val="0"/>
        </c:ser>
        <c:ser>
          <c:idx val="3"/>
          <c:order val="3"/>
          <c:tx>
            <c:strRef>
              <c:f>'Rankogram Data'!$P$4</c:f>
              <c:strCache>
                <c:ptCount val="1"/>
                <c:pt idx="0">
                  <c:v>PARAPO</c:v>
                </c:pt>
              </c:strCache>
            </c:strRef>
          </c:tx>
          <c:spPr>
            <a:ln w="22225" cap="rnd">
              <a:solidFill>
                <a:schemeClr val="accent4"/>
              </a:solidFill>
              <a:round/>
            </a:ln>
            <a:effectLst/>
          </c:spPr>
          <c:marker>
            <c:symbol val="x"/>
            <c:size val="6"/>
            <c:spPr>
              <a:noFill/>
              <a:ln w="9525">
                <a:solidFill>
                  <a:schemeClr val="accent4"/>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Data'!$P$5:$P$100</c:f>
              <c:numCache>
                <c:formatCode>General</c:formatCode>
                <c:ptCount val="10"/>
                <c:pt idx="0">
                  <c:v>1.5679999999999999E-2</c:v>
                </c:pt>
                <c:pt idx="1">
                  <c:v>5.9159999999999997E-2</c:v>
                </c:pt>
                <c:pt idx="2">
                  <c:v>0.1016</c:v>
                </c:pt>
                <c:pt idx="3">
                  <c:v>0.1072</c:v>
                </c:pt>
                <c:pt idx="4">
                  <c:v>0.1026</c:v>
                </c:pt>
                <c:pt idx="5">
                  <c:v>0.1094</c:v>
                </c:pt>
                <c:pt idx="6">
                  <c:v>0.12670000000000001</c:v>
                </c:pt>
                <c:pt idx="7">
                  <c:v>0.1497</c:v>
                </c:pt>
                <c:pt idx="8">
                  <c:v>0.15049999999999999</c:v>
                </c:pt>
                <c:pt idx="9">
                  <c:v>7.7479999999999993E-2</c:v>
                </c:pt>
              </c:numCache>
            </c:numRef>
          </c:val>
          <c:smooth val="0"/>
        </c:ser>
        <c:ser>
          <c:idx val="4"/>
          <c:order val="4"/>
          <c:tx>
            <c:strRef>
              <c:f>'Rankogram Data'!$Q$4</c:f>
              <c:strCache>
                <c:ptCount val="1"/>
                <c:pt idx="0">
                  <c:v>IBUIVHIGHDOSE</c:v>
                </c:pt>
              </c:strCache>
            </c:strRef>
          </c:tx>
          <c:spPr>
            <a:ln w="22225" cap="rnd">
              <a:solidFill>
                <a:schemeClr val="accent5"/>
              </a:solidFill>
              <a:round/>
            </a:ln>
            <a:effectLst/>
          </c:spPr>
          <c:marker>
            <c:symbol val="star"/>
            <c:size val="6"/>
            <c:spPr>
              <a:noFill/>
              <a:ln w="9525">
                <a:solidFill>
                  <a:schemeClr val="accent5"/>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Data'!$Q$5:$Q$100</c:f>
              <c:numCache>
                <c:formatCode>General</c:formatCode>
                <c:ptCount val="10"/>
                <c:pt idx="0">
                  <c:v>0.29160000000000003</c:v>
                </c:pt>
                <c:pt idx="1">
                  <c:v>0.25890000000000002</c:v>
                </c:pt>
                <c:pt idx="2">
                  <c:v>0.13320000000000001</c:v>
                </c:pt>
                <c:pt idx="3">
                  <c:v>6.3009999999999997E-2</c:v>
                </c:pt>
                <c:pt idx="4">
                  <c:v>3.9210000000000002E-2</c:v>
                </c:pt>
                <c:pt idx="5">
                  <c:v>3.4000000000000002E-2</c:v>
                </c:pt>
                <c:pt idx="6">
                  <c:v>3.5220000000000001E-2</c:v>
                </c:pt>
                <c:pt idx="7">
                  <c:v>4.2430000000000002E-2</c:v>
                </c:pt>
                <c:pt idx="8">
                  <c:v>5.849E-2</c:v>
                </c:pt>
                <c:pt idx="9">
                  <c:v>4.3950000000000003E-2</c:v>
                </c:pt>
              </c:numCache>
            </c:numRef>
          </c:val>
          <c:smooth val="0"/>
        </c:ser>
        <c:ser>
          <c:idx val="5"/>
          <c:order val="5"/>
          <c:tx>
            <c:strRef>
              <c:f>'Rankogram Data'!$R$4</c:f>
              <c:strCache>
                <c:ptCount val="1"/>
                <c:pt idx="0">
                  <c:v>IBUPOHIGHDOSE</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Data'!$R$5:$R$100</c:f>
              <c:numCache>
                <c:formatCode>General</c:formatCode>
                <c:ptCount val="10"/>
                <c:pt idx="0">
                  <c:v>0.1578</c:v>
                </c:pt>
                <c:pt idx="1">
                  <c:v>0.22550000000000001</c:v>
                </c:pt>
                <c:pt idx="2">
                  <c:v>0.16739999999999999</c:v>
                </c:pt>
                <c:pt idx="3">
                  <c:v>9.7229999999999997E-2</c:v>
                </c:pt>
                <c:pt idx="4">
                  <c:v>6.3689999999999997E-2</c:v>
                </c:pt>
                <c:pt idx="5">
                  <c:v>5.151E-2</c:v>
                </c:pt>
                <c:pt idx="6">
                  <c:v>5.355E-2</c:v>
                </c:pt>
                <c:pt idx="7">
                  <c:v>6.3509999999999997E-2</c:v>
                </c:pt>
                <c:pt idx="8">
                  <c:v>7.3620000000000005E-2</c:v>
                </c:pt>
                <c:pt idx="9">
                  <c:v>4.614E-2</c:v>
                </c:pt>
              </c:numCache>
            </c:numRef>
          </c:val>
          <c:smooth val="0"/>
        </c:ser>
        <c:ser>
          <c:idx val="6"/>
          <c:order val="6"/>
          <c:tx>
            <c:strRef>
              <c:f>'Rankogram Data'!$S$4</c:f>
              <c:strCache>
                <c:ptCount val="1"/>
                <c:pt idx="0">
                  <c:v>IBUIVCONT</c:v>
                </c:pt>
              </c:strCache>
            </c:strRef>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Data'!$S$5:$S$100</c:f>
              <c:numCache>
                <c:formatCode>General</c:formatCode>
                <c:ptCount val="10"/>
                <c:pt idx="0">
                  <c:v>0.20330000000000001</c:v>
                </c:pt>
                <c:pt idx="1">
                  <c:v>0.23810000000000001</c:v>
                </c:pt>
                <c:pt idx="2">
                  <c:v>0.16289999999999999</c:v>
                </c:pt>
                <c:pt idx="3">
                  <c:v>7.9549999999999996E-2</c:v>
                </c:pt>
                <c:pt idx="4">
                  <c:v>5.1920000000000001E-2</c:v>
                </c:pt>
                <c:pt idx="5">
                  <c:v>4.4839999999999998E-2</c:v>
                </c:pt>
                <c:pt idx="6">
                  <c:v>4.5569999999999999E-2</c:v>
                </c:pt>
                <c:pt idx="7">
                  <c:v>5.5410000000000001E-2</c:v>
                </c:pt>
                <c:pt idx="8">
                  <c:v>6.9529999999999995E-2</c:v>
                </c:pt>
                <c:pt idx="9">
                  <c:v>4.8919999999999998E-2</c:v>
                </c:pt>
              </c:numCache>
            </c:numRef>
          </c:val>
          <c:smooth val="0"/>
        </c:ser>
        <c:ser>
          <c:idx val="7"/>
          <c:order val="7"/>
          <c:tx>
            <c:strRef>
              <c:f>'Rankogram Data'!$T$4</c:f>
              <c:strCache>
                <c:ptCount val="1"/>
                <c:pt idx="0">
                  <c:v>INDOIVCONT</c:v>
                </c:pt>
              </c:strCache>
            </c:strRef>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Data'!$T$5:$T$100</c:f>
              <c:numCache>
                <c:formatCode>General</c:formatCode>
                <c:ptCount val="10"/>
                <c:pt idx="0">
                  <c:v>0.30740000000000001</c:v>
                </c:pt>
                <c:pt idx="1">
                  <c:v>7.1429999999999993E-2</c:v>
                </c:pt>
                <c:pt idx="2">
                  <c:v>4.0500000000000001E-2</c:v>
                </c:pt>
                <c:pt idx="3">
                  <c:v>2.3800000000000002E-2</c:v>
                </c:pt>
                <c:pt idx="4">
                  <c:v>1.5299999999999999E-2</c:v>
                </c:pt>
                <c:pt idx="5">
                  <c:v>1.487E-2</c:v>
                </c:pt>
                <c:pt idx="6">
                  <c:v>1.6379999999999999E-2</c:v>
                </c:pt>
                <c:pt idx="7">
                  <c:v>2.2440000000000002E-2</c:v>
                </c:pt>
                <c:pt idx="8">
                  <c:v>4.3580000000000001E-2</c:v>
                </c:pt>
                <c:pt idx="9">
                  <c:v>0.44419999999999998</c:v>
                </c:pt>
              </c:numCache>
            </c:numRef>
          </c:val>
          <c:smooth val="0"/>
        </c:ser>
        <c:ser>
          <c:idx val="8"/>
          <c:order val="8"/>
          <c:tx>
            <c:strRef>
              <c:f>'Rankogram Data'!$U$4</c:f>
              <c:strCache>
                <c:ptCount val="1"/>
                <c:pt idx="0">
                  <c:v>INDOTHERS</c:v>
                </c:pt>
              </c:strCache>
            </c:strRef>
          </c:tx>
          <c:spPr>
            <a:ln w="22225" cap="rnd">
              <a:solidFill>
                <a:schemeClr val="accent3">
                  <a:lumMod val="60000"/>
                </a:schemeClr>
              </a:solidFill>
              <a:round/>
            </a:ln>
            <a:effectLst/>
          </c:spPr>
          <c:marker>
            <c:symbol val="dash"/>
            <c:size val="6"/>
            <c:spPr>
              <a:solidFill>
                <a:schemeClr val="accent3">
                  <a:lumMod val="60000"/>
                </a:schemeClr>
              </a:solidFill>
              <a:ln w="9525">
                <a:solidFill>
                  <a:schemeClr val="accent3">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Data'!$U$5:$U$100</c:f>
              <c:numCache>
                <c:formatCode>General</c:formatCode>
                <c:ptCount val="10"/>
                <c:pt idx="0">
                  <c:v>2.8579999999999999E-3</c:v>
                </c:pt>
                <c:pt idx="1">
                  <c:v>1.2619999999999999E-2</c:v>
                </c:pt>
                <c:pt idx="2">
                  <c:v>2.4629999999999999E-2</c:v>
                </c:pt>
                <c:pt idx="3">
                  <c:v>3.5950000000000003E-2</c:v>
                </c:pt>
                <c:pt idx="4">
                  <c:v>4.6210000000000001E-2</c:v>
                </c:pt>
                <c:pt idx="5">
                  <c:v>5.824E-2</c:v>
                </c:pt>
                <c:pt idx="6">
                  <c:v>9.1800000000000007E-2</c:v>
                </c:pt>
                <c:pt idx="7">
                  <c:v>0.1545</c:v>
                </c:pt>
                <c:pt idx="8">
                  <c:v>0.31130000000000002</c:v>
                </c:pt>
                <c:pt idx="9">
                  <c:v>0.26190000000000002</c:v>
                </c:pt>
              </c:numCache>
            </c:numRef>
          </c:val>
          <c:smooth val="0"/>
        </c:ser>
        <c:ser>
          <c:idx val="9"/>
          <c:order val="9"/>
          <c:tx>
            <c:strRef>
              <c:f>'Rankogram Data'!$V$4</c:f>
              <c:strCache>
                <c:ptCount val="1"/>
                <c:pt idx="0">
                  <c:v>PLAC_NORX</c:v>
                </c:pt>
              </c:strCache>
            </c:strRef>
          </c:tx>
          <c:spPr>
            <a:ln w="22225" cap="rnd">
              <a:solidFill>
                <a:schemeClr val="accent4">
                  <a:lumMod val="60000"/>
                </a:schemeClr>
              </a:solidFill>
              <a:round/>
            </a:ln>
            <a:effectLst/>
          </c:spPr>
          <c:marker>
            <c:symbol val="diamond"/>
            <c:size val="6"/>
            <c:spPr>
              <a:solidFill>
                <a:schemeClr val="accent4">
                  <a:lumMod val="60000"/>
                </a:schemeClr>
              </a:solidFill>
              <a:ln w="9525">
                <a:solidFill>
                  <a:schemeClr val="accent4">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Data'!$V$5:$V$100</c:f>
              <c:numCache>
                <c:formatCode>General</c:formatCode>
                <c:ptCount val="10"/>
                <c:pt idx="0">
                  <c:v>5.7419999999999997E-3</c:v>
                </c:pt>
                <c:pt idx="1">
                  <c:v>2.7990000000000001E-2</c:v>
                </c:pt>
                <c:pt idx="2">
                  <c:v>6.8849999999999995E-2</c:v>
                </c:pt>
                <c:pt idx="3">
                  <c:v>0.1154</c:v>
                </c:pt>
                <c:pt idx="4">
                  <c:v>0.14710000000000001</c:v>
                </c:pt>
                <c:pt idx="5">
                  <c:v>0.16589999999999999</c:v>
                </c:pt>
                <c:pt idx="6">
                  <c:v>0.1716</c:v>
                </c:pt>
                <c:pt idx="7">
                  <c:v>0.1477</c:v>
                </c:pt>
                <c:pt idx="8">
                  <c:v>0.11</c:v>
                </c:pt>
                <c:pt idx="9">
                  <c:v>3.9789999999999999E-2</c:v>
                </c:pt>
              </c:numCache>
            </c:numRef>
          </c:val>
          <c:smooth val="0"/>
        </c:ser>
        <c:ser>
          <c:idx val="10"/>
          <c:order val="10"/>
          <c:tx>
            <c:strRef>
              <c:f>'Rankogram Data'!$W$4</c:f>
              <c:strCache>
                <c:ptCount val="1"/>
              </c:strCache>
            </c:strRef>
          </c:tx>
          <c:spPr>
            <a:ln w="22225" cap="rnd">
              <a:solidFill>
                <a:schemeClr val="accent5">
                  <a:lumMod val="60000"/>
                </a:schemeClr>
              </a:solidFill>
              <a:round/>
            </a:ln>
            <a:effectLst/>
          </c:spPr>
          <c:marker>
            <c:symbol val="square"/>
            <c:size val="6"/>
            <c:spPr>
              <a:solidFill>
                <a:schemeClr val="accent5">
                  <a:lumMod val="60000"/>
                </a:schemeClr>
              </a:solidFill>
              <a:ln w="9525">
                <a:solidFill>
                  <a:schemeClr val="accent5">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Data'!$W$5:$W$100</c:f>
            </c:numRef>
          </c:val>
          <c:smooth val="0"/>
        </c:ser>
        <c:ser>
          <c:idx val="11"/>
          <c:order val="11"/>
          <c:tx>
            <c:strRef>
              <c:f>'Rankogram Data'!$X$4</c:f>
              <c:strCache>
                <c:ptCount val="1"/>
              </c:strCache>
            </c:strRef>
          </c:tx>
          <c:spPr>
            <a:ln w="22225" cap="rnd">
              <a:solidFill>
                <a:schemeClr val="accent6">
                  <a:lumMod val="60000"/>
                </a:schemeClr>
              </a:solidFill>
              <a:round/>
            </a:ln>
            <a:effectLst/>
          </c:spPr>
          <c:marker>
            <c:symbol val="triangle"/>
            <c:size val="6"/>
            <c:spPr>
              <a:solidFill>
                <a:schemeClr val="accent6">
                  <a:lumMod val="60000"/>
                </a:schemeClr>
              </a:solidFill>
              <a:ln w="9525">
                <a:solidFill>
                  <a:schemeClr val="accent6">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Data'!$X$5:$X$100</c:f>
            </c:numRef>
          </c:val>
          <c:smooth val="0"/>
        </c:ser>
        <c:ser>
          <c:idx val="12"/>
          <c:order val="12"/>
          <c:tx>
            <c:strRef>
              <c:f>'Rankogram Data'!$Y$4</c:f>
              <c:strCache>
                <c:ptCount val="1"/>
              </c:strCache>
            </c:strRef>
          </c:tx>
          <c:spPr>
            <a:ln w="22225" cap="rnd">
              <a:solidFill>
                <a:schemeClr val="accent1">
                  <a:lumMod val="80000"/>
                  <a:lumOff val="20000"/>
                </a:schemeClr>
              </a:solidFill>
              <a:round/>
            </a:ln>
            <a:effectLst/>
          </c:spPr>
          <c:marker>
            <c:symbol val="x"/>
            <c:size val="6"/>
            <c:spPr>
              <a:noFill/>
              <a:ln w="9525">
                <a:solidFill>
                  <a:schemeClr val="accent1">
                    <a:lumMod val="80000"/>
                    <a:lumOff val="2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Data'!$Y$5:$Y$100</c:f>
            </c:numRef>
          </c:val>
          <c:smooth val="0"/>
        </c:ser>
        <c:ser>
          <c:idx val="13"/>
          <c:order val="13"/>
          <c:tx>
            <c:strRef>
              <c:f>'Rankogram Data'!$Z$4</c:f>
              <c:strCache>
                <c:ptCount val="1"/>
              </c:strCache>
            </c:strRef>
          </c:tx>
          <c:spPr>
            <a:ln w="22225" cap="rnd">
              <a:solidFill>
                <a:schemeClr val="accent2">
                  <a:lumMod val="80000"/>
                  <a:lumOff val="20000"/>
                </a:schemeClr>
              </a:solidFill>
              <a:round/>
            </a:ln>
            <a:effectLst/>
          </c:spPr>
          <c:marker>
            <c:symbol val="star"/>
            <c:size val="6"/>
            <c:spPr>
              <a:noFill/>
              <a:ln w="9525">
                <a:solidFill>
                  <a:schemeClr val="accent2">
                    <a:lumMod val="80000"/>
                    <a:lumOff val="2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Data'!$Z$5:$Z$100</c:f>
            </c:numRef>
          </c:val>
          <c:smooth val="0"/>
        </c:ser>
        <c:ser>
          <c:idx val="14"/>
          <c:order val="14"/>
          <c:tx>
            <c:strRef>
              <c:f>'Rankogram Data'!$AA$4</c:f>
              <c:strCache>
                <c:ptCount val="1"/>
              </c:strCache>
            </c:strRef>
          </c:tx>
          <c:spPr>
            <a:ln w="22225" cap="rnd">
              <a:solidFill>
                <a:schemeClr val="accent3">
                  <a:lumMod val="80000"/>
                  <a:lumOff val="20000"/>
                </a:schemeClr>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Data'!$AA$5:$AA$100</c:f>
            </c:numRef>
          </c:val>
          <c:smooth val="0"/>
        </c:ser>
        <c:dLbls>
          <c:showLegendKey val="0"/>
          <c:showVal val="0"/>
          <c:showCatName val="0"/>
          <c:showSerName val="0"/>
          <c:showPercent val="0"/>
          <c:showBubbleSize val="0"/>
        </c:dLbls>
        <c:marker val="1"/>
        <c:smooth val="0"/>
        <c:axId val="312334064"/>
        <c:axId val="312335240"/>
      </c:lineChart>
      <c:catAx>
        <c:axId val="3123340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Rank</a:t>
                </a:r>
              </a:p>
            </c:rich>
          </c:tx>
          <c:layout>
            <c:manualLayout>
              <c:xMode val="edge"/>
              <c:yMode val="edge"/>
              <c:x val="0.38751809869920828"/>
              <c:y val="0.88750082016866638"/>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312335240"/>
        <c:crosses val="autoZero"/>
        <c:auto val="1"/>
        <c:lblAlgn val="ctr"/>
        <c:lblOffset val="100"/>
        <c:noMultiLvlLbl val="0"/>
      </c:catAx>
      <c:valAx>
        <c:axId val="312335240"/>
        <c:scaling>
          <c:orientation val="minMax"/>
          <c:max val="1.05"/>
          <c:min val="0"/>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Probability of Being Ranked</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2334064"/>
        <c:crosses val="autoZero"/>
        <c:crossBetween val="between"/>
        <c:majorUnit val="0.1"/>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833" l="0.70000000000000062" r="0.70000000000000062" t="0.75000000000000833" header="0.30000000000000032" footer="0.30000000000000032"/>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312334848"/>
        <c:axId val="312334456"/>
      </c:scatterChart>
      <c:valAx>
        <c:axId val="312334848"/>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312334456"/>
        <c:crosses val="autoZero"/>
        <c:crossBetween val="midCat"/>
        <c:majorUnit val="0.5"/>
        <c:minorUnit val="0.25"/>
      </c:valAx>
      <c:valAx>
        <c:axId val="312334456"/>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312334848"/>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numCache>
            </c:numRef>
          </c:xVal>
          <c:yVal>
            <c:numRef>
              <c:f>'Inconsistency Data'!$J$6:$J$105</c:f>
              <c:numCache>
                <c:formatCode>General</c:formatCode>
                <c:ptCount val="26"/>
                <c:pt idx="0">
                  <c:v>1.006</c:v>
                </c:pt>
                <c:pt idx="1">
                  <c:v>1.006</c:v>
                </c:pt>
                <c:pt idx="2">
                  <c:v>1.0449999999999999</c:v>
                </c:pt>
                <c:pt idx="3">
                  <c:v>1.048</c:v>
                </c:pt>
                <c:pt idx="4">
                  <c:v>0.94099999999999995</c:v>
                </c:pt>
                <c:pt idx="5">
                  <c:v>0.86450000000000005</c:v>
                </c:pt>
                <c:pt idx="6">
                  <c:v>0.63170000000000004</c:v>
                </c:pt>
                <c:pt idx="7">
                  <c:v>0.71799999999999997</c:v>
                </c:pt>
                <c:pt idx="8">
                  <c:v>0.70909999999999995</c:v>
                </c:pt>
                <c:pt idx="9">
                  <c:v>0.81599999999999995</c:v>
                </c:pt>
                <c:pt idx="10">
                  <c:v>0.68920000000000003</c:v>
                </c:pt>
                <c:pt idx="11">
                  <c:v>0.70530000000000004</c:v>
                </c:pt>
                <c:pt idx="12">
                  <c:v>0.8468</c:v>
                </c:pt>
                <c:pt idx="13">
                  <c:v>0.82150000000000001</c:v>
                </c:pt>
                <c:pt idx="14">
                  <c:v>0.60250000000000004</c:v>
                </c:pt>
                <c:pt idx="15">
                  <c:v>0.94630000000000003</c:v>
                </c:pt>
                <c:pt idx="16">
                  <c:v>1.34</c:v>
                </c:pt>
                <c:pt idx="17">
                  <c:v>1.3160000000000001</c:v>
                </c:pt>
                <c:pt idx="18">
                  <c:v>1.01</c:v>
                </c:pt>
                <c:pt idx="19">
                  <c:v>1.022</c:v>
                </c:pt>
                <c:pt idx="20">
                  <c:v>0.92230000000000001</c:v>
                </c:pt>
                <c:pt idx="21">
                  <c:v>0.95609999999999995</c:v>
                </c:pt>
                <c:pt idx="22">
                  <c:v>1.0329999999999999</c:v>
                </c:pt>
                <c:pt idx="23">
                  <c:v>1.022</c:v>
                </c:pt>
                <c:pt idx="24">
                  <c:v>0.97399999999999998</c:v>
                </c:pt>
                <c:pt idx="25">
                  <c:v>0.90739999999999998</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597818008"/>
        <c:axId val="597818400"/>
      </c:scatterChart>
      <c:valAx>
        <c:axId val="597818008"/>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597818400"/>
        <c:crosses val="autoZero"/>
        <c:crossBetween val="midCat"/>
        <c:majorUnit val="0.5"/>
        <c:minorUnit val="0.25"/>
      </c:valAx>
      <c:valAx>
        <c:axId val="597818400"/>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597818008"/>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twoCellAnchor>
    <xdr:from>
      <xdr:col>10</xdr:col>
      <xdr:colOff>473879</xdr:colOff>
      <xdr:row>33</xdr:row>
      <xdr:rowOff>57954</xdr:rowOff>
    </xdr:from>
    <xdr:to>
      <xdr:col>13</xdr:col>
      <xdr:colOff>161120</xdr:colOff>
      <xdr:row>41</xdr:row>
      <xdr:rowOff>40471</xdr:rowOff>
    </xdr:to>
    <xdr:sp macro="" textlink="">
      <xdr:nvSpPr>
        <xdr:cNvPr id="82" name="A"/>
        <xdr:cNvSpPr/>
      </xdr:nvSpPr>
      <xdr:spPr>
        <a:xfrm>
          <a:off x="8779679" y="6430179"/>
          <a:ext cx="1516041" cy="1516042"/>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a:latin typeface="Garamond" panose="02020404030301010803" pitchFamily="18" charset="0"/>
            </a:rPr>
            <a:t>A</a:t>
          </a:r>
        </a:p>
      </xdr:txBody>
    </xdr:sp>
    <xdr:clientData/>
  </xdr:twoCellAnchor>
  <xdr:twoCellAnchor>
    <xdr:from>
      <xdr:col>12</xdr:col>
      <xdr:colOff>469275</xdr:colOff>
      <xdr:row>53</xdr:row>
      <xdr:rowOff>158125</xdr:rowOff>
    </xdr:from>
    <xdr:to>
      <xdr:col>15</xdr:col>
      <xdr:colOff>318126</xdr:colOff>
      <xdr:row>62</xdr:row>
      <xdr:rowOff>121276</xdr:rowOff>
    </xdr:to>
    <xdr:sp macro="" textlink="">
      <xdr:nvSpPr>
        <xdr:cNvPr id="83" name="B"/>
        <xdr:cNvSpPr/>
      </xdr:nvSpPr>
      <xdr:spPr>
        <a:xfrm>
          <a:off x="9994275" y="10349875"/>
          <a:ext cx="1677651" cy="1677651"/>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a:latin typeface="Garamond" panose="02020404030301010803" pitchFamily="18" charset="0"/>
            </a:rPr>
            <a:t>B</a:t>
          </a:r>
        </a:p>
      </xdr:txBody>
    </xdr:sp>
    <xdr:clientData/>
  </xdr:twoCellAnchor>
  <xdr:twoCellAnchor>
    <xdr:from>
      <xdr:col>18</xdr:col>
      <xdr:colOff>123008</xdr:colOff>
      <xdr:row>66</xdr:row>
      <xdr:rowOff>65857</xdr:rowOff>
    </xdr:from>
    <xdr:to>
      <xdr:col>21</xdr:col>
      <xdr:colOff>156394</xdr:colOff>
      <xdr:row>76</xdr:row>
      <xdr:rowOff>23044</xdr:rowOff>
    </xdr:to>
    <xdr:sp macro="" textlink="">
      <xdr:nvSpPr>
        <xdr:cNvPr id="84" name="C"/>
        <xdr:cNvSpPr/>
      </xdr:nvSpPr>
      <xdr:spPr>
        <a:xfrm>
          <a:off x="13305608" y="12734107"/>
          <a:ext cx="1862186" cy="1862187"/>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a:latin typeface="Garamond" panose="02020404030301010803" pitchFamily="18" charset="0"/>
            </a:rPr>
            <a:t>C</a:t>
          </a:r>
        </a:p>
      </xdr:txBody>
    </xdr:sp>
    <xdr:clientData/>
  </xdr:twoCellAnchor>
  <xdr:twoCellAnchor>
    <xdr:from>
      <xdr:col>25</xdr:col>
      <xdr:colOff>431800</xdr:colOff>
      <xdr:row>68</xdr:row>
      <xdr:rowOff>44450</xdr:rowOff>
    </xdr:from>
    <xdr:to>
      <xdr:col>27</xdr:col>
      <xdr:colOff>355600</xdr:colOff>
      <xdr:row>74</xdr:row>
      <xdr:rowOff>44450</xdr:rowOff>
    </xdr:to>
    <xdr:sp macro="" textlink="">
      <xdr:nvSpPr>
        <xdr:cNvPr id="85" name="D"/>
        <xdr:cNvSpPr/>
      </xdr:nvSpPr>
      <xdr:spPr>
        <a:xfrm>
          <a:off x="17881600" y="13093700"/>
          <a:ext cx="1143000" cy="114300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D</a:t>
          </a:r>
        </a:p>
      </xdr:txBody>
    </xdr:sp>
    <xdr:clientData/>
  </xdr:twoCellAnchor>
  <xdr:twoCellAnchor>
    <xdr:from>
      <xdr:col>31</xdr:col>
      <xdr:colOff>483660</xdr:colOff>
      <xdr:row>56</xdr:row>
      <xdr:rowOff>159810</xdr:rowOff>
    </xdr:from>
    <xdr:to>
      <xdr:col>32</xdr:col>
      <xdr:colOff>405340</xdr:colOff>
      <xdr:row>59</xdr:row>
      <xdr:rowOff>119590</xdr:rowOff>
    </xdr:to>
    <xdr:sp macro="" textlink="">
      <xdr:nvSpPr>
        <xdr:cNvPr id="86" name="E"/>
        <xdr:cNvSpPr/>
      </xdr:nvSpPr>
      <xdr:spPr>
        <a:xfrm>
          <a:off x="21591060" y="10923060"/>
          <a:ext cx="531280" cy="53128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E</a:t>
          </a:r>
        </a:p>
      </xdr:txBody>
    </xdr:sp>
    <xdr:clientData/>
  </xdr:twoCellAnchor>
  <xdr:twoCellAnchor>
    <xdr:from>
      <xdr:col>33</xdr:col>
      <xdr:colOff>579566</xdr:colOff>
      <xdr:row>35</xdr:row>
      <xdr:rowOff>189040</xdr:rowOff>
    </xdr:from>
    <xdr:to>
      <xdr:col>34</xdr:col>
      <xdr:colOff>461835</xdr:colOff>
      <xdr:row>38</xdr:row>
      <xdr:rowOff>109410</xdr:rowOff>
    </xdr:to>
    <xdr:sp macro="" textlink="">
      <xdr:nvSpPr>
        <xdr:cNvPr id="87" name="F"/>
        <xdr:cNvSpPr/>
      </xdr:nvSpPr>
      <xdr:spPr>
        <a:xfrm>
          <a:off x="22906166" y="6942265"/>
          <a:ext cx="491869" cy="49187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F</a:t>
          </a:r>
        </a:p>
      </xdr:txBody>
    </xdr:sp>
    <xdr:clientData/>
  </xdr:twoCellAnchor>
  <xdr:twoCellAnchor>
    <xdr:from>
      <xdr:col>31</xdr:col>
      <xdr:colOff>416303</xdr:colOff>
      <xdr:row>14</xdr:row>
      <xdr:rowOff>187703</xdr:rowOff>
    </xdr:from>
    <xdr:to>
      <xdr:col>32</xdr:col>
      <xdr:colOff>472697</xdr:colOff>
      <xdr:row>18</xdr:row>
      <xdr:rowOff>91697</xdr:rowOff>
    </xdr:to>
    <xdr:sp macro="" textlink="">
      <xdr:nvSpPr>
        <xdr:cNvPr id="88" name="G"/>
        <xdr:cNvSpPr/>
      </xdr:nvSpPr>
      <xdr:spPr>
        <a:xfrm>
          <a:off x="21523703" y="2854703"/>
          <a:ext cx="665994" cy="665994"/>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G</a:t>
          </a:r>
        </a:p>
      </xdr:txBody>
    </xdr:sp>
    <xdr:clientData/>
  </xdr:twoCellAnchor>
  <xdr:twoCellAnchor>
    <xdr:from>
      <xdr:col>26</xdr:col>
      <xdr:colOff>203200</xdr:colOff>
      <xdr:row>2</xdr:row>
      <xdr:rowOff>139700</xdr:rowOff>
    </xdr:from>
    <xdr:to>
      <xdr:col>26</xdr:col>
      <xdr:colOff>584200</xdr:colOff>
      <xdr:row>4</xdr:row>
      <xdr:rowOff>139700</xdr:rowOff>
    </xdr:to>
    <xdr:sp macro="" textlink="">
      <xdr:nvSpPr>
        <xdr:cNvPr id="89" name="H"/>
        <xdr:cNvSpPr/>
      </xdr:nvSpPr>
      <xdr:spPr>
        <a:xfrm>
          <a:off x="18262600" y="520700"/>
          <a:ext cx="381000" cy="38100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H</a:t>
          </a:r>
        </a:p>
      </xdr:txBody>
    </xdr:sp>
    <xdr:clientData/>
  </xdr:twoCellAnchor>
  <xdr:twoCellAnchor>
    <xdr:from>
      <xdr:col>18</xdr:col>
      <xdr:colOff>591813</xdr:colOff>
      <xdr:row>1</xdr:row>
      <xdr:rowOff>58413</xdr:rowOff>
    </xdr:from>
    <xdr:to>
      <xdr:col>20</xdr:col>
      <xdr:colOff>297188</xdr:colOff>
      <xdr:row>6</xdr:row>
      <xdr:rowOff>30487</xdr:rowOff>
    </xdr:to>
    <xdr:sp macro="" textlink="">
      <xdr:nvSpPr>
        <xdr:cNvPr id="90" name="I"/>
        <xdr:cNvSpPr/>
      </xdr:nvSpPr>
      <xdr:spPr>
        <a:xfrm>
          <a:off x="13774413" y="248913"/>
          <a:ext cx="924575" cy="924574"/>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I</a:t>
          </a:r>
        </a:p>
      </xdr:txBody>
    </xdr:sp>
    <xdr:clientData/>
  </xdr:twoCellAnchor>
  <xdr:twoCellAnchor>
    <xdr:from>
      <xdr:col>13</xdr:col>
      <xdr:colOff>46272</xdr:colOff>
      <xdr:row>13</xdr:row>
      <xdr:rowOff>58971</xdr:rowOff>
    </xdr:from>
    <xdr:to>
      <xdr:col>15</xdr:col>
      <xdr:colOff>131529</xdr:colOff>
      <xdr:row>20</xdr:row>
      <xdr:rowOff>20404</xdr:rowOff>
    </xdr:to>
    <xdr:sp macro="" textlink="">
      <xdr:nvSpPr>
        <xdr:cNvPr id="91" name="J"/>
        <xdr:cNvSpPr/>
      </xdr:nvSpPr>
      <xdr:spPr>
        <a:xfrm>
          <a:off x="10180872" y="2535471"/>
          <a:ext cx="1304457" cy="1304458"/>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J</a:t>
          </a:r>
        </a:p>
      </xdr:txBody>
    </xdr:sp>
    <xdr:clientData/>
  </xdr:twoCellAnchor>
  <xdr:twoCellAnchor>
    <xdr:from>
      <xdr:col>14</xdr:col>
      <xdr:colOff>88901</xdr:colOff>
      <xdr:row>20</xdr:row>
      <xdr:rowOff>20404</xdr:rowOff>
    </xdr:from>
    <xdr:to>
      <xdr:col>14</xdr:col>
      <xdr:colOff>88901</xdr:colOff>
      <xdr:row>53</xdr:row>
      <xdr:rowOff>158125</xdr:rowOff>
    </xdr:to>
    <xdr:cxnSp macro="">
      <xdr:nvCxnSpPr>
        <xdr:cNvPr id="92" name="Straight Arrow Connector 91"/>
        <xdr:cNvCxnSpPr>
          <a:stCxn id="83" idx="0"/>
          <a:endCxn id="91" idx="4"/>
        </xdr:cNvCxnSpPr>
      </xdr:nvCxnSpPr>
      <xdr:spPr>
        <a:xfrm flipV="1">
          <a:off x="10833101" y="3839929"/>
          <a:ext cx="0" cy="6509946"/>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548701</xdr:colOff>
      <xdr:row>40</xdr:row>
      <xdr:rowOff>8952</xdr:rowOff>
    </xdr:from>
    <xdr:to>
      <xdr:col>25</xdr:col>
      <xdr:colOff>599188</xdr:colOff>
      <xdr:row>69</xdr:row>
      <xdr:rowOff>21338</xdr:rowOff>
    </xdr:to>
    <xdr:cxnSp macro="">
      <xdr:nvCxnSpPr>
        <xdr:cNvPr id="94" name="Straight Arrow Connector 93"/>
        <xdr:cNvCxnSpPr>
          <a:stCxn id="82" idx="5"/>
          <a:endCxn id="85" idx="1"/>
        </xdr:cNvCxnSpPr>
      </xdr:nvCxnSpPr>
      <xdr:spPr>
        <a:xfrm>
          <a:off x="10073701" y="7724202"/>
          <a:ext cx="7975287" cy="5536886"/>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156394</xdr:colOff>
      <xdr:row>71</xdr:row>
      <xdr:rowOff>44450</xdr:rowOff>
    </xdr:from>
    <xdr:to>
      <xdr:col>25</xdr:col>
      <xdr:colOff>431800</xdr:colOff>
      <xdr:row>71</xdr:row>
      <xdr:rowOff>44451</xdr:rowOff>
    </xdr:to>
    <xdr:cxnSp macro="">
      <xdr:nvCxnSpPr>
        <xdr:cNvPr id="95" name="Straight Arrow Connector 94"/>
        <xdr:cNvCxnSpPr>
          <a:stCxn id="84" idx="6"/>
          <a:endCxn id="85" idx="2"/>
        </xdr:cNvCxnSpPr>
      </xdr:nvCxnSpPr>
      <xdr:spPr>
        <a:xfrm flipV="1">
          <a:off x="15167794" y="13665200"/>
          <a:ext cx="2713806" cy="1"/>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72440</xdr:colOff>
      <xdr:row>61</xdr:row>
      <xdr:rowOff>66090</xdr:rowOff>
    </xdr:from>
    <xdr:to>
      <xdr:col>18</xdr:col>
      <xdr:colOff>395719</xdr:colOff>
      <xdr:row>67</xdr:row>
      <xdr:rowOff>148068</xdr:rowOff>
    </xdr:to>
    <xdr:cxnSp macro="">
      <xdr:nvCxnSpPr>
        <xdr:cNvPr id="96" name="Straight Arrow Connector 95"/>
        <xdr:cNvCxnSpPr>
          <a:stCxn id="83" idx="5"/>
          <a:endCxn id="84" idx="1"/>
        </xdr:cNvCxnSpPr>
      </xdr:nvCxnSpPr>
      <xdr:spPr>
        <a:xfrm>
          <a:off x="11426240" y="11781840"/>
          <a:ext cx="2152079" cy="1224978"/>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88901</xdr:colOff>
      <xdr:row>20</xdr:row>
      <xdr:rowOff>20404</xdr:rowOff>
    </xdr:from>
    <xdr:to>
      <xdr:col>19</xdr:col>
      <xdr:colOff>444501</xdr:colOff>
      <xdr:row>66</xdr:row>
      <xdr:rowOff>65857</xdr:rowOff>
    </xdr:to>
    <xdr:cxnSp macro="">
      <xdr:nvCxnSpPr>
        <xdr:cNvPr id="97" name="Straight Arrow Connector 96"/>
        <xdr:cNvCxnSpPr>
          <a:stCxn id="84" idx="0"/>
          <a:endCxn id="91" idx="4"/>
        </xdr:cNvCxnSpPr>
      </xdr:nvCxnSpPr>
      <xdr:spPr>
        <a:xfrm flipH="1" flipV="1">
          <a:off x="10833101" y="3839929"/>
          <a:ext cx="3403600" cy="8894178"/>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548701</xdr:colOff>
      <xdr:row>40</xdr:row>
      <xdr:rowOff>8952</xdr:rowOff>
    </xdr:from>
    <xdr:to>
      <xdr:col>18</xdr:col>
      <xdr:colOff>395719</xdr:colOff>
      <xdr:row>67</xdr:row>
      <xdr:rowOff>148068</xdr:rowOff>
    </xdr:to>
    <xdr:cxnSp macro="">
      <xdr:nvCxnSpPr>
        <xdr:cNvPr id="98" name="Straight Arrow Connector 97"/>
        <xdr:cNvCxnSpPr>
          <a:stCxn id="82" idx="5"/>
          <a:endCxn id="84" idx="1"/>
        </xdr:cNvCxnSpPr>
      </xdr:nvCxnSpPr>
      <xdr:spPr>
        <a:xfrm>
          <a:off x="10073701" y="7724202"/>
          <a:ext cx="3504618" cy="5282616"/>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548701</xdr:colOff>
      <xdr:row>4</xdr:row>
      <xdr:rowOff>83904</xdr:rowOff>
    </xdr:from>
    <xdr:to>
      <xdr:col>26</xdr:col>
      <xdr:colOff>258996</xdr:colOff>
      <xdr:row>34</xdr:row>
      <xdr:rowOff>89473</xdr:rowOff>
    </xdr:to>
    <xdr:cxnSp macro="">
      <xdr:nvCxnSpPr>
        <xdr:cNvPr id="99" name="Straight Arrow Connector 98"/>
        <xdr:cNvCxnSpPr>
          <a:stCxn id="82" idx="7"/>
          <a:endCxn id="89" idx="3"/>
        </xdr:cNvCxnSpPr>
      </xdr:nvCxnSpPr>
      <xdr:spPr>
        <a:xfrm flipV="1">
          <a:off x="10073701" y="845904"/>
          <a:ext cx="8244695" cy="5806294"/>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318126</xdr:colOff>
      <xdr:row>58</xdr:row>
      <xdr:rowOff>44450</xdr:rowOff>
    </xdr:from>
    <xdr:to>
      <xdr:col>31</xdr:col>
      <xdr:colOff>483660</xdr:colOff>
      <xdr:row>58</xdr:row>
      <xdr:rowOff>44451</xdr:rowOff>
    </xdr:to>
    <xdr:cxnSp macro="">
      <xdr:nvCxnSpPr>
        <xdr:cNvPr id="100" name="Straight Arrow Connector 99"/>
        <xdr:cNvCxnSpPr>
          <a:stCxn id="83" idx="6"/>
          <a:endCxn id="86" idx="2"/>
        </xdr:cNvCxnSpPr>
      </xdr:nvCxnSpPr>
      <xdr:spPr>
        <a:xfrm flipV="1">
          <a:off x="11671926" y="11188700"/>
          <a:ext cx="9919134" cy="1"/>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444501</xdr:colOff>
      <xdr:row>6</xdr:row>
      <xdr:rowOff>30487</xdr:rowOff>
    </xdr:from>
    <xdr:to>
      <xdr:col>19</xdr:col>
      <xdr:colOff>444501</xdr:colOff>
      <xdr:row>66</xdr:row>
      <xdr:rowOff>65857</xdr:rowOff>
    </xdr:to>
    <xdr:cxnSp macro="">
      <xdr:nvCxnSpPr>
        <xdr:cNvPr id="101" name="Straight Arrow Connector 100"/>
        <xdr:cNvCxnSpPr>
          <a:stCxn id="84" idx="0"/>
          <a:endCxn id="90" idx="4"/>
        </xdr:cNvCxnSpPr>
      </xdr:nvCxnSpPr>
      <xdr:spPr>
        <a:xfrm flipV="1">
          <a:off x="14236701" y="1173487"/>
          <a:ext cx="0" cy="11560620"/>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72440</xdr:colOff>
      <xdr:row>17</xdr:row>
      <xdr:rowOff>184664</xdr:rowOff>
    </xdr:from>
    <xdr:to>
      <xdr:col>31</xdr:col>
      <xdr:colOff>513836</xdr:colOff>
      <xdr:row>55</xdr:row>
      <xdr:rowOff>22811</xdr:rowOff>
    </xdr:to>
    <xdr:cxnSp macro="">
      <xdr:nvCxnSpPr>
        <xdr:cNvPr id="102" name="Straight Arrow Connector 101"/>
        <xdr:cNvCxnSpPr>
          <a:stCxn id="83" idx="7"/>
          <a:endCxn id="88" idx="3"/>
        </xdr:cNvCxnSpPr>
      </xdr:nvCxnSpPr>
      <xdr:spPr>
        <a:xfrm flipV="1">
          <a:off x="11426240" y="3423164"/>
          <a:ext cx="10194996" cy="7172397"/>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12700</xdr:colOff>
      <xdr:row>20</xdr:row>
      <xdr:rowOff>20404</xdr:rowOff>
    </xdr:from>
    <xdr:to>
      <xdr:col>14</xdr:col>
      <xdr:colOff>88901</xdr:colOff>
      <xdr:row>33</xdr:row>
      <xdr:rowOff>57954</xdr:rowOff>
    </xdr:to>
    <xdr:cxnSp macro="">
      <xdr:nvCxnSpPr>
        <xdr:cNvPr id="103" name="Straight Arrow Connector 102"/>
        <xdr:cNvCxnSpPr>
          <a:stCxn id="82" idx="0"/>
          <a:endCxn id="91" idx="4"/>
        </xdr:cNvCxnSpPr>
      </xdr:nvCxnSpPr>
      <xdr:spPr>
        <a:xfrm flipV="1">
          <a:off x="9537700" y="3839929"/>
          <a:ext cx="1295401" cy="2590250"/>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12700</xdr:colOff>
      <xdr:row>41</xdr:row>
      <xdr:rowOff>40471</xdr:rowOff>
    </xdr:from>
    <xdr:to>
      <xdr:col>14</xdr:col>
      <xdr:colOff>88901</xdr:colOff>
      <xdr:row>53</xdr:row>
      <xdr:rowOff>158125</xdr:rowOff>
    </xdr:to>
    <xdr:cxnSp macro="">
      <xdr:nvCxnSpPr>
        <xdr:cNvPr id="104" name="Straight Arrow Connector 103"/>
        <xdr:cNvCxnSpPr>
          <a:stCxn id="82" idx="4"/>
          <a:endCxn id="83" idx="0"/>
        </xdr:cNvCxnSpPr>
      </xdr:nvCxnSpPr>
      <xdr:spPr>
        <a:xfrm>
          <a:off x="9537700" y="7946221"/>
          <a:ext cx="1295401" cy="2403654"/>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548701</xdr:colOff>
      <xdr:row>5</xdr:row>
      <xdr:rowOff>85586</xdr:rowOff>
    </xdr:from>
    <xdr:to>
      <xdr:col>19</xdr:col>
      <xdr:colOff>117614</xdr:colOff>
      <xdr:row>34</xdr:row>
      <xdr:rowOff>89473</xdr:rowOff>
    </xdr:to>
    <xdr:cxnSp macro="">
      <xdr:nvCxnSpPr>
        <xdr:cNvPr id="105" name="Straight Arrow Connector 104"/>
        <xdr:cNvCxnSpPr>
          <a:stCxn id="82" idx="7"/>
          <a:endCxn id="90" idx="3"/>
        </xdr:cNvCxnSpPr>
      </xdr:nvCxnSpPr>
      <xdr:spPr>
        <a:xfrm flipV="1">
          <a:off x="10073701" y="1038086"/>
          <a:ext cx="3836113" cy="5614112"/>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493283</xdr:colOff>
      <xdr:row>38</xdr:row>
      <xdr:rowOff>37377</xdr:rowOff>
    </xdr:from>
    <xdr:to>
      <xdr:col>34</xdr:col>
      <xdr:colOff>41999</xdr:colOff>
      <xdr:row>67</xdr:row>
      <xdr:rowOff>148068</xdr:rowOff>
    </xdr:to>
    <xdr:cxnSp macro="">
      <xdr:nvCxnSpPr>
        <xdr:cNvPr id="106" name="Straight Arrow Connector 105"/>
        <xdr:cNvCxnSpPr>
          <a:stCxn id="84" idx="7"/>
          <a:endCxn id="87" idx="3"/>
        </xdr:cNvCxnSpPr>
      </xdr:nvCxnSpPr>
      <xdr:spPr>
        <a:xfrm flipV="1">
          <a:off x="14895083" y="7362102"/>
          <a:ext cx="8083116" cy="5644716"/>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relSizeAnchor xmlns:cdr="http://schemas.openxmlformats.org/drawingml/2006/chartDrawing">
    <cdr:from>
      <cdr:x>0.01021</cdr:x>
      <cdr:y>0.94059</cdr:y>
    </cdr:from>
    <cdr:to>
      <cdr:x>0.31649</cdr:x>
      <cdr:y>0.9629</cdr:y>
    </cdr:to>
    <cdr:sp macro="" textlink="">
      <cdr:nvSpPr>
        <cdr:cNvPr id="448" name="TextBox 447"/>
        <cdr:cNvSpPr txBox="1"/>
      </cdr:nvSpPr>
      <cdr:spPr>
        <a:xfrm xmlns:a="http://schemas.openxmlformats.org/drawingml/2006/main">
          <a:off x="63500" y="21412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INDOIV</a:t>
          </a:r>
        </a:p>
      </cdr:txBody>
    </cdr:sp>
  </cdr:relSizeAnchor>
  <cdr:relSizeAnchor xmlns:cdr="http://schemas.openxmlformats.org/drawingml/2006/chartDrawing">
    <cdr:from>
      <cdr:x>0.75498</cdr:x>
      <cdr:y>0.94059</cdr:y>
    </cdr:from>
    <cdr:to>
      <cdr:x>1</cdr:x>
      <cdr:y>0.95174</cdr:y>
    </cdr:to>
    <cdr:sp macro="" textlink="">
      <cdr:nvSpPr>
        <cdr:cNvPr id="449" name="TextBox 448"/>
        <cdr:cNvSpPr txBox="1"/>
      </cdr:nvSpPr>
      <cdr:spPr>
        <a:xfrm xmlns:a="http://schemas.openxmlformats.org/drawingml/2006/main">
          <a:off x="4815044" y="21412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1.20 (0.00 – 1294.00)</a:t>
          </a:r>
        </a:p>
      </cdr:txBody>
    </cdr:sp>
  </cdr:relSizeAnchor>
  <cdr:relSizeAnchor xmlns:cdr="http://schemas.openxmlformats.org/drawingml/2006/chartDrawing">
    <cdr:from>
      <cdr:x>0.01021</cdr:x>
      <cdr:y>0.91994</cdr:y>
    </cdr:from>
    <cdr:to>
      <cdr:x>0.31649</cdr:x>
      <cdr:y>0.94226</cdr:y>
    </cdr:to>
    <cdr:sp macro="" textlink="">
      <cdr:nvSpPr>
        <cdr:cNvPr id="450" name="TextBox 449"/>
        <cdr:cNvSpPr txBox="1"/>
      </cdr:nvSpPr>
      <cdr:spPr>
        <a:xfrm xmlns:a="http://schemas.openxmlformats.org/drawingml/2006/main">
          <a:off x="63500" y="2094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PLAC_NORX</a:t>
          </a:r>
        </a:p>
      </cdr:txBody>
    </cdr:sp>
  </cdr:relSizeAnchor>
  <cdr:relSizeAnchor xmlns:cdr="http://schemas.openxmlformats.org/drawingml/2006/chartDrawing">
    <cdr:from>
      <cdr:x>0.75498</cdr:x>
      <cdr:y>0.91994</cdr:y>
    </cdr:from>
    <cdr:to>
      <cdr:x>1</cdr:x>
      <cdr:y>0.9311</cdr:y>
    </cdr:to>
    <cdr:sp macro="" textlink="">
      <cdr:nvSpPr>
        <cdr:cNvPr id="451" name="TextBox 450"/>
        <cdr:cNvSpPr txBox="1"/>
      </cdr:nvSpPr>
      <cdr:spPr>
        <a:xfrm xmlns:a="http://schemas.openxmlformats.org/drawingml/2006/main">
          <a:off x="4815044" y="2094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1.19 (0.00 – 1314.75)</a:t>
          </a:r>
        </a:p>
      </cdr:txBody>
    </cdr:sp>
  </cdr:relSizeAnchor>
  <cdr:relSizeAnchor xmlns:cdr="http://schemas.openxmlformats.org/drawingml/2006/chartDrawing">
    <cdr:from>
      <cdr:x>0.01021</cdr:x>
      <cdr:y>0.8993</cdr:y>
    </cdr:from>
    <cdr:to>
      <cdr:x>0.31649</cdr:x>
      <cdr:y>0.92162</cdr:y>
    </cdr:to>
    <cdr:sp macro="" textlink="">
      <cdr:nvSpPr>
        <cdr:cNvPr id="452" name="TextBox 451"/>
        <cdr:cNvSpPr txBox="1"/>
      </cdr:nvSpPr>
      <cdr:spPr>
        <a:xfrm xmlns:a="http://schemas.openxmlformats.org/drawingml/2006/main">
          <a:off x="63500" y="20472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PARAPO</a:t>
          </a:r>
        </a:p>
      </cdr:txBody>
    </cdr:sp>
  </cdr:relSizeAnchor>
  <cdr:relSizeAnchor xmlns:cdr="http://schemas.openxmlformats.org/drawingml/2006/chartDrawing">
    <cdr:from>
      <cdr:x>0.75498</cdr:x>
      <cdr:y>0.8993</cdr:y>
    </cdr:from>
    <cdr:to>
      <cdr:x>1</cdr:x>
      <cdr:y>0.91046</cdr:y>
    </cdr:to>
    <cdr:sp macro="" textlink="">
      <cdr:nvSpPr>
        <cdr:cNvPr id="486" name="TextBox 485"/>
        <cdr:cNvSpPr txBox="1"/>
      </cdr:nvSpPr>
      <cdr:spPr>
        <a:xfrm xmlns:a="http://schemas.openxmlformats.org/drawingml/2006/main">
          <a:off x="4815044" y="20472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1.17 (0.00 – 1299.00)</a:t>
          </a:r>
        </a:p>
      </cdr:txBody>
    </cdr:sp>
  </cdr:relSizeAnchor>
  <cdr:relSizeAnchor xmlns:cdr="http://schemas.openxmlformats.org/drawingml/2006/chartDrawing">
    <cdr:from>
      <cdr:x>0.01021</cdr:x>
      <cdr:y>0.87866</cdr:y>
    </cdr:from>
    <cdr:to>
      <cdr:x>0.31649</cdr:x>
      <cdr:y>0.90098</cdr:y>
    </cdr:to>
    <cdr:sp macro="" textlink="">
      <cdr:nvSpPr>
        <cdr:cNvPr id="487" name="TextBox 486"/>
        <cdr:cNvSpPr txBox="1"/>
      </cdr:nvSpPr>
      <cdr:spPr>
        <a:xfrm xmlns:a="http://schemas.openxmlformats.org/drawingml/2006/main">
          <a:off x="63500" y="20002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PLAC_NORX</a:t>
          </a:r>
        </a:p>
      </cdr:txBody>
    </cdr:sp>
  </cdr:relSizeAnchor>
  <cdr:relSizeAnchor xmlns:cdr="http://schemas.openxmlformats.org/drawingml/2006/chartDrawing">
    <cdr:from>
      <cdr:x>0.75498</cdr:x>
      <cdr:y>0.87866</cdr:y>
    </cdr:from>
    <cdr:to>
      <cdr:x>1</cdr:x>
      <cdr:y>0.88982</cdr:y>
    </cdr:to>
    <cdr:sp macro="" textlink="">
      <cdr:nvSpPr>
        <cdr:cNvPr id="488" name="TextBox 487"/>
        <cdr:cNvSpPr txBox="1"/>
      </cdr:nvSpPr>
      <cdr:spPr>
        <a:xfrm xmlns:a="http://schemas.openxmlformats.org/drawingml/2006/main">
          <a:off x="4815044" y="20002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1.00 (0.54 – 1.85)</a:t>
          </a:r>
        </a:p>
      </cdr:txBody>
    </cdr:sp>
  </cdr:relSizeAnchor>
  <cdr:relSizeAnchor xmlns:cdr="http://schemas.openxmlformats.org/drawingml/2006/chartDrawing">
    <cdr:from>
      <cdr:x>0.01021</cdr:x>
      <cdr:y>0.85802</cdr:y>
    </cdr:from>
    <cdr:to>
      <cdr:x>0.31649</cdr:x>
      <cdr:y>0.88033</cdr:y>
    </cdr:to>
    <cdr:sp macro="" textlink="">
      <cdr:nvSpPr>
        <cdr:cNvPr id="489" name="TextBox 488"/>
        <cdr:cNvSpPr txBox="1"/>
      </cdr:nvSpPr>
      <cdr:spPr>
        <a:xfrm xmlns:a="http://schemas.openxmlformats.org/drawingml/2006/main">
          <a:off x="63500" y="19532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PARAPO</a:t>
          </a:r>
        </a:p>
      </cdr:txBody>
    </cdr:sp>
  </cdr:relSizeAnchor>
  <cdr:relSizeAnchor xmlns:cdr="http://schemas.openxmlformats.org/drawingml/2006/chartDrawing">
    <cdr:from>
      <cdr:x>0.75498</cdr:x>
      <cdr:y>0.85802</cdr:y>
    </cdr:from>
    <cdr:to>
      <cdr:x>1</cdr:x>
      <cdr:y>0.86918</cdr:y>
    </cdr:to>
    <cdr:sp macro="" textlink="">
      <cdr:nvSpPr>
        <cdr:cNvPr id="490" name="TextBox 489"/>
        <cdr:cNvSpPr txBox="1"/>
      </cdr:nvSpPr>
      <cdr:spPr>
        <a:xfrm xmlns:a="http://schemas.openxmlformats.org/drawingml/2006/main">
          <a:off x="4815044" y="19532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0.98 (0.45 – 2.17)</a:t>
          </a:r>
        </a:p>
      </cdr:txBody>
    </cdr:sp>
  </cdr:relSizeAnchor>
  <cdr:relSizeAnchor xmlns:cdr="http://schemas.openxmlformats.org/drawingml/2006/chartDrawing">
    <cdr:from>
      <cdr:x>0.01021</cdr:x>
      <cdr:y>0.83738</cdr:y>
    </cdr:from>
    <cdr:to>
      <cdr:x>0.31649</cdr:x>
      <cdr:y>0.85969</cdr:y>
    </cdr:to>
    <cdr:sp macro="" textlink="">
      <cdr:nvSpPr>
        <cdr:cNvPr id="491" name="TextBox 490"/>
        <cdr:cNvSpPr txBox="1"/>
      </cdr:nvSpPr>
      <cdr:spPr>
        <a:xfrm xmlns:a="http://schemas.openxmlformats.org/drawingml/2006/main">
          <a:off x="63500" y="19062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PLAC_NORX versus PARAPO</a:t>
          </a:r>
        </a:p>
      </cdr:txBody>
    </cdr:sp>
  </cdr:relSizeAnchor>
  <cdr:relSizeAnchor xmlns:cdr="http://schemas.openxmlformats.org/drawingml/2006/chartDrawing">
    <cdr:from>
      <cdr:x>0.75498</cdr:x>
      <cdr:y>0.83738</cdr:y>
    </cdr:from>
    <cdr:to>
      <cdr:x>1</cdr:x>
      <cdr:y>0.84854</cdr:y>
    </cdr:to>
    <cdr:sp macro="" textlink="">
      <cdr:nvSpPr>
        <cdr:cNvPr id="492" name="TextBox 491"/>
        <cdr:cNvSpPr txBox="1"/>
      </cdr:nvSpPr>
      <cdr:spPr>
        <a:xfrm xmlns:a="http://schemas.openxmlformats.org/drawingml/2006/main">
          <a:off x="4815044" y="19062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0.98 (0.43 – 2.27)</a:t>
          </a:r>
        </a:p>
      </cdr:txBody>
    </cdr:sp>
  </cdr:relSizeAnchor>
  <cdr:relSizeAnchor xmlns:cdr="http://schemas.openxmlformats.org/drawingml/2006/chartDrawing">
    <cdr:from>
      <cdr:x>0.01021</cdr:x>
      <cdr:y>0.81674</cdr:y>
    </cdr:from>
    <cdr:to>
      <cdr:x>0.31649</cdr:x>
      <cdr:y>0.83905</cdr:y>
    </cdr:to>
    <cdr:sp macro="" textlink="">
      <cdr:nvSpPr>
        <cdr:cNvPr id="493" name="TextBox 492"/>
        <cdr:cNvSpPr txBox="1"/>
      </cdr:nvSpPr>
      <cdr:spPr>
        <a:xfrm xmlns:a="http://schemas.openxmlformats.org/drawingml/2006/main">
          <a:off x="63500" y="18592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IBUPO</a:t>
          </a:r>
        </a:p>
      </cdr:txBody>
    </cdr:sp>
  </cdr:relSizeAnchor>
  <cdr:relSizeAnchor xmlns:cdr="http://schemas.openxmlformats.org/drawingml/2006/chartDrawing">
    <cdr:from>
      <cdr:x>0.75498</cdr:x>
      <cdr:y>0.81674</cdr:y>
    </cdr:from>
    <cdr:to>
      <cdr:x>1</cdr:x>
      <cdr:y>0.82789</cdr:y>
    </cdr:to>
    <cdr:sp macro="" textlink="">
      <cdr:nvSpPr>
        <cdr:cNvPr id="494" name="TextBox 493"/>
        <cdr:cNvSpPr txBox="1"/>
      </cdr:nvSpPr>
      <cdr:spPr>
        <a:xfrm xmlns:a="http://schemas.openxmlformats.org/drawingml/2006/main">
          <a:off x="4815044" y="18592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0.97 (0.57 – 1.62)</a:t>
          </a:r>
        </a:p>
      </cdr:txBody>
    </cdr:sp>
  </cdr:relSizeAnchor>
  <cdr:relSizeAnchor xmlns:cdr="http://schemas.openxmlformats.org/drawingml/2006/chartDrawing">
    <cdr:from>
      <cdr:x>0.01021</cdr:x>
      <cdr:y>0.79609</cdr:y>
    </cdr:from>
    <cdr:to>
      <cdr:x>0.31649</cdr:x>
      <cdr:y>0.81841</cdr:y>
    </cdr:to>
    <cdr:sp macro="" textlink="">
      <cdr:nvSpPr>
        <cdr:cNvPr id="495" name="TextBox 494"/>
        <cdr:cNvSpPr txBox="1"/>
      </cdr:nvSpPr>
      <cdr:spPr>
        <a:xfrm xmlns:a="http://schemas.openxmlformats.org/drawingml/2006/main">
          <a:off x="63500" y="18122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a:t>
          </a:r>
        </a:p>
      </cdr:txBody>
    </cdr:sp>
  </cdr:relSizeAnchor>
  <cdr:relSizeAnchor xmlns:cdr="http://schemas.openxmlformats.org/drawingml/2006/chartDrawing">
    <cdr:from>
      <cdr:x>0.75498</cdr:x>
      <cdr:y>0.79609</cdr:y>
    </cdr:from>
    <cdr:to>
      <cdr:x>1</cdr:x>
      <cdr:y>0.80725</cdr:y>
    </cdr:to>
    <cdr:sp macro="" textlink="">
      <cdr:nvSpPr>
        <cdr:cNvPr id="496" name="TextBox 495"/>
        <cdr:cNvSpPr txBox="1"/>
      </cdr:nvSpPr>
      <cdr:spPr>
        <a:xfrm xmlns:a="http://schemas.openxmlformats.org/drawingml/2006/main">
          <a:off x="4815044" y="18122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0.93 (0.51 – 1.66)</a:t>
          </a:r>
        </a:p>
      </cdr:txBody>
    </cdr:sp>
  </cdr:relSizeAnchor>
  <cdr:relSizeAnchor xmlns:cdr="http://schemas.openxmlformats.org/drawingml/2006/chartDrawing">
    <cdr:from>
      <cdr:x>0.01021</cdr:x>
      <cdr:y>0.77545</cdr:y>
    </cdr:from>
    <cdr:to>
      <cdr:x>0.31649</cdr:x>
      <cdr:y>0.79777</cdr:y>
    </cdr:to>
    <cdr:sp macro="" textlink="">
      <cdr:nvSpPr>
        <cdr:cNvPr id="497" name="TextBox 496"/>
        <cdr:cNvSpPr txBox="1"/>
      </cdr:nvSpPr>
      <cdr:spPr>
        <a:xfrm xmlns:a="http://schemas.openxmlformats.org/drawingml/2006/main">
          <a:off x="63500" y="17653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PLAC_NORX</a:t>
          </a:r>
        </a:p>
      </cdr:txBody>
    </cdr:sp>
  </cdr:relSizeAnchor>
  <cdr:relSizeAnchor xmlns:cdr="http://schemas.openxmlformats.org/drawingml/2006/chartDrawing">
    <cdr:from>
      <cdr:x>0.75498</cdr:x>
      <cdr:y>0.77545</cdr:y>
    </cdr:from>
    <cdr:to>
      <cdr:x>1</cdr:x>
      <cdr:y>0.78661</cdr:y>
    </cdr:to>
    <cdr:sp macro="" textlink="">
      <cdr:nvSpPr>
        <cdr:cNvPr id="498" name="TextBox 497"/>
        <cdr:cNvSpPr txBox="1"/>
      </cdr:nvSpPr>
      <cdr:spPr>
        <a:xfrm xmlns:a="http://schemas.openxmlformats.org/drawingml/2006/main">
          <a:off x="4815044" y="17653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0.93 (0.56 – 1.56)</a:t>
          </a:r>
        </a:p>
      </cdr:txBody>
    </cdr:sp>
  </cdr:relSizeAnchor>
  <cdr:relSizeAnchor xmlns:cdr="http://schemas.openxmlformats.org/drawingml/2006/chartDrawing">
    <cdr:from>
      <cdr:x>0.01021</cdr:x>
      <cdr:y>0.75481</cdr:y>
    </cdr:from>
    <cdr:to>
      <cdr:x>0.31649</cdr:x>
      <cdr:y>0.77713</cdr:y>
    </cdr:to>
    <cdr:sp macro="" textlink="">
      <cdr:nvSpPr>
        <cdr:cNvPr id="499" name="TextBox 498"/>
        <cdr:cNvSpPr txBox="1"/>
      </cdr:nvSpPr>
      <cdr:spPr>
        <a:xfrm xmlns:a="http://schemas.openxmlformats.org/drawingml/2006/main">
          <a:off x="63500" y="17183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PARAPO</a:t>
          </a:r>
        </a:p>
      </cdr:txBody>
    </cdr:sp>
  </cdr:relSizeAnchor>
  <cdr:relSizeAnchor xmlns:cdr="http://schemas.openxmlformats.org/drawingml/2006/chartDrawing">
    <cdr:from>
      <cdr:x>0.75498</cdr:x>
      <cdr:y>0.75481</cdr:y>
    </cdr:from>
    <cdr:to>
      <cdr:x>1</cdr:x>
      <cdr:y>0.76597</cdr:y>
    </cdr:to>
    <cdr:sp macro="" textlink="">
      <cdr:nvSpPr>
        <cdr:cNvPr id="500" name="TextBox 499"/>
        <cdr:cNvSpPr txBox="1"/>
      </cdr:nvSpPr>
      <cdr:spPr>
        <a:xfrm xmlns:a="http://schemas.openxmlformats.org/drawingml/2006/main">
          <a:off x="4815044" y="17183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0.91 (0.45 – 1.86)</a:t>
          </a:r>
        </a:p>
      </cdr:txBody>
    </cdr:sp>
  </cdr:relSizeAnchor>
  <cdr:relSizeAnchor xmlns:cdr="http://schemas.openxmlformats.org/drawingml/2006/chartDrawing">
    <cdr:from>
      <cdr:x>0.01021</cdr:x>
      <cdr:y>0.73417</cdr:y>
    </cdr:from>
    <cdr:to>
      <cdr:x>0.31649</cdr:x>
      <cdr:y>0.75649</cdr:y>
    </cdr:to>
    <cdr:sp macro="" textlink="">
      <cdr:nvSpPr>
        <cdr:cNvPr id="501" name="TextBox 500"/>
        <cdr:cNvSpPr txBox="1"/>
      </cdr:nvSpPr>
      <cdr:spPr>
        <a:xfrm xmlns:a="http://schemas.openxmlformats.org/drawingml/2006/main">
          <a:off x="63500" y="16713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IBUPOHIGHDOSE</a:t>
          </a:r>
        </a:p>
      </cdr:txBody>
    </cdr:sp>
  </cdr:relSizeAnchor>
  <cdr:relSizeAnchor xmlns:cdr="http://schemas.openxmlformats.org/drawingml/2006/chartDrawing">
    <cdr:from>
      <cdr:x>0.75498</cdr:x>
      <cdr:y>0.73417</cdr:y>
    </cdr:from>
    <cdr:to>
      <cdr:x>1</cdr:x>
      <cdr:y>0.74533</cdr:y>
    </cdr:to>
    <cdr:sp macro="" textlink="">
      <cdr:nvSpPr>
        <cdr:cNvPr id="502" name="TextBox 501"/>
        <cdr:cNvSpPr txBox="1"/>
      </cdr:nvSpPr>
      <cdr:spPr>
        <a:xfrm xmlns:a="http://schemas.openxmlformats.org/drawingml/2006/main">
          <a:off x="4815044" y="16713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0.91 (0.15 – 5.54)</a:t>
          </a:r>
        </a:p>
      </cdr:txBody>
    </cdr:sp>
  </cdr:relSizeAnchor>
  <cdr:relSizeAnchor xmlns:cdr="http://schemas.openxmlformats.org/drawingml/2006/chartDrawing">
    <cdr:from>
      <cdr:x>0.01021</cdr:x>
      <cdr:y>0.71297</cdr:y>
    </cdr:from>
    <cdr:to>
      <cdr:x>0.31649</cdr:x>
      <cdr:y>0.73529</cdr:y>
    </cdr:to>
    <cdr:sp macro="" textlink="">
      <cdr:nvSpPr>
        <cdr:cNvPr id="503" name="TextBox 502"/>
        <cdr:cNvSpPr txBox="1"/>
      </cdr:nvSpPr>
      <cdr:spPr>
        <a:xfrm xmlns:a="http://schemas.openxmlformats.org/drawingml/2006/main">
          <a:off x="63500" y="16230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INDOIV</a:t>
          </a:r>
        </a:p>
      </cdr:txBody>
    </cdr:sp>
  </cdr:relSizeAnchor>
  <cdr:relSizeAnchor xmlns:cdr="http://schemas.openxmlformats.org/drawingml/2006/chartDrawing">
    <cdr:from>
      <cdr:x>0.75498</cdr:x>
      <cdr:y>0.71297</cdr:y>
    </cdr:from>
    <cdr:to>
      <cdr:x>1</cdr:x>
      <cdr:y>0.72413</cdr:y>
    </cdr:to>
    <cdr:sp macro="" textlink="">
      <cdr:nvSpPr>
        <cdr:cNvPr id="504" name="TextBox 503"/>
        <cdr:cNvSpPr txBox="1"/>
      </cdr:nvSpPr>
      <cdr:spPr>
        <a:xfrm xmlns:a="http://schemas.openxmlformats.org/drawingml/2006/main">
          <a:off x="4815044" y="16230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0.89 (0.49 – 1.65)</a:t>
          </a:r>
        </a:p>
      </cdr:txBody>
    </cdr:sp>
  </cdr:relSizeAnchor>
  <cdr:relSizeAnchor xmlns:cdr="http://schemas.openxmlformats.org/drawingml/2006/chartDrawing">
    <cdr:from>
      <cdr:x>0.01021</cdr:x>
      <cdr:y>0.69233</cdr:y>
    </cdr:from>
    <cdr:to>
      <cdr:x>0.31649</cdr:x>
      <cdr:y>0.71464</cdr:y>
    </cdr:to>
    <cdr:sp macro="" textlink="">
      <cdr:nvSpPr>
        <cdr:cNvPr id="505" name="TextBox 504"/>
        <cdr:cNvSpPr txBox="1"/>
      </cdr:nvSpPr>
      <cdr:spPr>
        <a:xfrm xmlns:a="http://schemas.openxmlformats.org/drawingml/2006/main">
          <a:off x="63500" y="15760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PLAC_NORX</a:t>
          </a:r>
        </a:p>
      </cdr:txBody>
    </cdr:sp>
  </cdr:relSizeAnchor>
  <cdr:relSizeAnchor xmlns:cdr="http://schemas.openxmlformats.org/drawingml/2006/chartDrawing">
    <cdr:from>
      <cdr:x>0.75498</cdr:x>
      <cdr:y>0.69233</cdr:y>
    </cdr:from>
    <cdr:to>
      <cdr:x>1</cdr:x>
      <cdr:y>0.70349</cdr:y>
    </cdr:to>
    <cdr:sp macro="" textlink="">
      <cdr:nvSpPr>
        <cdr:cNvPr id="506" name="TextBox 505"/>
        <cdr:cNvSpPr txBox="1"/>
      </cdr:nvSpPr>
      <cdr:spPr>
        <a:xfrm xmlns:a="http://schemas.openxmlformats.org/drawingml/2006/main">
          <a:off x="4815044" y="15760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0.89 (0.52 – 1.53)</a:t>
          </a:r>
        </a:p>
      </cdr:txBody>
    </cdr:sp>
  </cdr:relSizeAnchor>
  <cdr:relSizeAnchor xmlns:cdr="http://schemas.openxmlformats.org/drawingml/2006/chartDrawing">
    <cdr:from>
      <cdr:x>0.01021</cdr:x>
      <cdr:y>0.67169</cdr:y>
    </cdr:from>
    <cdr:to>
      <cdr:x>0.31649</cdr:x>
      <cdr:y>0.694</cdr:y>
    </cdr:to>
    <cdr:sp macro="" textlink="">
      <cdr:nvSpPr>
        <cdr:cNvPr id="507" name="TextBox 506"/>
        <cdr:cNvSpPr txBox="1"/>
      </cdr:nvSpPr>
      <cdr:spPr>
        <a:xfrm xmlns:a="http://schemas.openxmlformats.org/drawingml/2006/main">
          <a:off x="63500" y="15290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PARAPO</a:t>
          </a:r>
        </a:p>
      </cdr:txBody>
    </cdr:sp>
  </cdr:relSizeAnchor>
  <cdr:relSizeAnchor xmlns:cdr="http://schemas.openxmlformats.org/drawingml/2006/chartDrawing">
    <cdr:from>
      <cdr:x>0.75498</cdr:x>
      <cdr:y>0.67169</cdr:y>
    </cdr:from>
    <cdr:to>
      <cdr:x>1</cdr:x>
      <cdr:y>0.68285</cdr:y>
    </cdr:to>
    <cdr:sp macro="" textlink="">
      <cdr:nvSpPr>
        <cdr:cNvPr id="508" name="TextBox 507"/>
        <cdr:cNvSpPr txBox="1"/>
      </cdr:nvSpPr>
      <cdr:spPr>
        <a:xfrm xmlns:a="http://schemas.openxmlformats.org/drawingml/2006/main">
          <a:off x="4815044" y="15290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0.88 (0.39 – 2.00)</a:t>
          </a:r>
        </a:p>
      </cdr:txBody>
    </cdr:sp>
  </cdr:relSizeAnchor>
  <cdr:relSizeAnchor xmlns:cdr="http://schemas.openxmlformats.org/drawingml/2006/chartDrawing">
    <cdr:from>
      <cdr:x>0.01021</cdr:x>
      <cdr:y>0.65105</cdr:y>
    </cdr:from>
    <cdr:to>
      <cdr:x>0.31649</cdr:x>
      <cdr:y>0.67336</cdr:y>
    </cdr:to>
    <cdr:sp macro="" textlink="">
      <cdr:nvSpPr>
        <cdr:cNvPr id="509" name="TextBox 508"/>
        <cdr:cNvSpPr txBox="1"/>
      </cdr:nvSpPr>
      <cdr:spPr>
        <a:xfrm xmlns:a="http://schemas.openxmlformats.org/drawingml/2006/main">
          <a:off x="63500" y="14820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INDOTHERS</a:t>
          </a:r>
        </a:p>
      </cdr:txBody>
    </cdr:sp>
  </cdr:relSizeAnchor>
  <cdr:relSizeAnchor xmlns:cdr="http://schemas.openxmlformats.org/drawingml/2006/chartDrawing">
    <cdr:from>
      <cdr:x>0.75498</cdr:x>
      <cdr:y>0.65105</cdr:y>
    </cdr:from>
    <cdr:to>
      <cdr:x>1</cdr:x>
      <cdr:y>0.6622</cdr:y>
    </cdr:to>
    <cdr:sp macro="" textlink="">
      <cdr:nvSpPr>
        <cdr:cNvPr id="510" name="TextBox 509"/>
        <cdr:cNvSpPr txBox="1"/>
      </cdr:nvSpPr>
      <cdr:spPr>
        <a:xfrm xmlns:a="http://schemas.openxmlformats.org/drawingml/2006/main">
          <a:off x="4815044" y="14820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0.87 (0.00 – 1015.64)</a:t>
          </a:r>
        </a:p>
      </cdr:txBody>
    </cdr:sp>
  </cdr:relSizeAnchor>
  <cdr:relSizeAnchor xmlns:cdr="http://schemas.openxmlformats.org/drawingml/2006/chartDrawing">
    <cdr:from>
      <cdr:x>0.01021</cdr:x>
      <cdr:y>0.6304</cdr:y>
    </cdr:from>
    <cdr:to>
      <cdr:x>0.31649</cdr:x>
      <cdr:y>0.65272</cdr:y>
    </cdr:to>
    <cdr:sp macro="" textlink="">
      <cdr:nvSpPr>
        <cdr:cNvPr id="511" name="TextBox 510"/>
        <cdr:cNvSpPr txBox="1"/>
      </cdr:nvSpPr>
      <cdr:spPr>
        <a:xfrm xmlns:a="http://schemas.openxmlformats.org/drawingml/2006/main">
          <a:off x="63500" y="143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IBUIVCONT</a:t>
          </a:r>
        </a:p>
      </cdr:txBody>
    </cdr:sp>
  </cdr:relSizeAnchor>
  <cdr:relSizeAnchor xmlns:cdr="http://schemas.openxmlformats.org/drawingml/2006/chartDrawing">
    <cdr:from>
      <cdr:x>0.75498</cdr:x>
      <cdr:y>0.6304</cdr:y>
    </cdr:from>
    <cdr:to>
      <cdr:x>1</cdr:x>
      <cdr:y>0.64156</cdr:y>
    </cdr:to>
    <cdr:sp macro="" textlink="">
      <cdr:nvSpPr>
        <cdr:cNvPr id="356" name="TextBox 355"/>
        <cdr:cNvSpPr txBox="1"/>
      </cdr:nvSpPr>
      <cdr:spPr>
        <a:xfrm xmlns:a="http://schemas.openxmlformats.org/drawingml/2006/main">
          <a:off x="4815044" y="143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0.85 (0.13 – 5.98)</a:t>
          </a:r>
        </a:p>
      </cdr:txBody>
    </cdr:sp>
  </cdr:relSizeAnchor>
  <cdr:relSizeAnchor xmlns:cdr="http://schemas.openxmlformats.org/drawingml/2006/chartDrawing">
    <cdr:from>
      <cdr:x>0.01021</cdr:x>
      <cdr:y>0.60976</cdr:y>
    </cdr:from>
    <cdr:to>
      <cdr:x>0.31649</cdr:x>
      <cdr:y>0.63208</cdr:y>
    </cdr:to>
    <cdr:sp macro="" textlink="">
      <cdr:nvSpPr>
        <cdr:cNvPr id="357" name="TextBox 356"/>
        <cdr:cNvSpPr txBox="1"/>
      </cdr:nvSpPr>
      <cdr:spPr>
        <a:xfrm xmlns:a="http://schemas.openxmlformats.org/drawingml/2006/main">
          <a:off x="63500" y="138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INDOIVCONT</a:t>
          </a:r>
        </a:p>
      </cdr:txBody>
    </cdr:sp>
  </cdr:relSizeAnchor>
  <cdr:relSizeAnchor xmlns:cdr="http://schemas.openxmlformats.org/drawingml/2006/chartDrawing">
    <cdr:from>
      <cdr:x>0.75498</cdr:x>
      <cdr:y>0.60976</cdr:y>
    </cdr:from>
    <cdr:to>
      <cdr:x>1</cdr:x>
      <cdr:y>0.62092</cdr:y>
    </cdr:to>
    <cdr:sp macro="" textlink="">
      <cdr:nvSpPr>
        <cdr:cNvPr id="358" name="TextBox 357"/>
        <cdr:cNvSpPr txBox="1"/>
      </cdr:nvSpPr>
      <cdr:spPr>
        <a:xfrm xmlns:a="http://schemas.openxmlformats.org/drawingml/2006/main">
          <a:off x="4815044" y="138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0.78 (0.00 – 199.52)</a:t>
          </a:r>
        </a:p>
      </cdr:txBody>
    </cdr:sp>
  </cdr:relSizeAnchor>
  <cdr:relSizeAnchor xmlns:cdr="http://schemas.openxmlformats.org/drawingml/2006/chartDrawing">
    <cdr:from>
      <cdr:x>0.01021</cdr:x>
      <cdr:y>0.58912</cdr:y>
    </cdr:from>
    <cdr:to>
      <cdr:x>0.31649</cdr:x>
      <cdr:y>0.61144</cdr:y>
    </cdr:to>
    <cdr:sp macro="" textlink="">
      <cdr:nvSpPr>
        <cdr:cNvPr id="359" name="TextBox 358"/>
        <cdr:cNvSpPr txBox="1"/>
      </cdr:nvSpPr>
      <cdr:spPr>
        <a:xfrm xmlns:a="http://schemas.openxmlformats.org/drawingml/2006/main">
          <a:off x="63500" y="134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IBUPOHIGHDOSE</a:t>
          </a:r>
        </a:p>
      </cdr:txBody>
    </cdr:sp>
  </cdr:relSizeAnchor>
  <cdr:relSizeAnchor xmlns:cdr="http://schemas.openxmlformats.org/drawingml/2006/chartDrawing">
    <cdr:from>
      <cdr:x>0.75498</cdr:x>
      <cdr:y>0.58912</cdr:y>
    </cdr:from>
    <cdr:to>
      <cdr:x>1</cdr:x>
      <cdr:y>0.60028</cdr:y>
    </cdr:to>
    <cdr:sp macro="" textlink="">
      <cdr:nvSpPr>
        <cdr:cNvPr id="360" name="TextBox 359"/>
        <cdr:cNvSpPr txBox="1"/>
      </cdr:nvSpPr>
      <cdr:spPr>
        <a:xfrm xmlns:a="http://schemas.openxmlformats.org/drawingml/2006/main">
          <a:off x="4815044" y="134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0.78 (0.12 – 5.17)</a:t>
          </a:r>
        </a:p>
      </cdr:txBody>
    </cdr:sp>
  </cdr:relSizeAnchor>
  <cdr:relSizeAnchor xmlns:cdr="http://schemas.openxmlformats.org/drawingml/2006/chartDrawing">
    <cdr:from>
      <cdr:x>0.01021</cdr:x>
      <cdr:y>0.56848</cdr:y>
    </cdr:from>
    <cdr:to>
      <cdr:x>0.31649</cdr:x>
      <cdr:y>0.59079</cdr:y>
    </cdr:to>
    <cdr:sp macro="" textlink="">
      <cdr:nvSpPr>
        <cdr:cNvPr id="361" name="TextBox 360"/>
        <cdr:cNvSpPr txBox="1"/>
      </cdr:nvSpPr>
      <cdr:spPr>
        <a:xfrm xmlns:a="http://schemas.openxmlformats.org/drawingml/2006/main">
          <a:off x="63500" y="12941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IBUIV</a:t>
          </a:r>
        </a:p>
      </cdr:txBody>
    </cdr:sp>
  </cdr:relSizeAnchor>
  <cdr:relSizeAnchor xmlns:cdr="http://schemas.openxmlformats.org/drawingml/2006/chartDrawing">
    <cdr:from>
      <cdr:x>0.75498</cdr:x>
      <cdr:y>0.56848</cdr:y>
    </cdr:from>
    <cdr:to>
      <cdr:x>1</cdr:x>
      <cdr:y>0.57964</cdr:y>
    </cdr:to>
    <cdr:sp macro="" textlink="">
      <cdr:nvSpPr>
        <cdr:cNvPr id="362" name="TextBox 361"/>
        <cdr:cNvSpPr txBox="1"/>
      </cdr:nvSpPr>
      <cdr:spPr>
        <a:xfrm xmlns:a="http://schemas.openxmlformats.org/drawingml/2006/main">
          <a:off x="4815044" y="12941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0.76 (0.21 – 2.57)</a:t>
          </a:r>
        </a:p>
      </cdr:txBody>
    </cdr:sp>
  </cdr:relSizeAnchor>
  <cdr:relSizeAnchor xmlns:cdr="http://schemas.openxmlformats.org/drawingml/2006/chartDrawing">
    <cdr:from>
      <cdr:x>0.01021</cdr:x>
      <cdr:y>0.54784</cdr:y>
    </cdr:from>
    <cdr:to>
      <cdr:x>0.31649</cdr:x>
      <cdr:y>0.57015</cdr:y>
    </cdr:to>
    <cdr:sp macro="" textlink="">
      <cdr:nvSpPr>
        <cdr:cNvPr id="363" name="TextBox 362"/>
        <cdr:cNvSpPr txBox="1"/>
      </cdr:nvSpPr>
      <cdr:spPr>
        <a:xfrm xmlns:a="http://schemas.openxmlformats.org/drawingml/2006/main">
          <a:off x="63500" y="12471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INDOIVCONT</a:t>
          </a:r>
        </a:p>
      </cdr:txBody>
    </cdr:sp>
  </cdr:relSizeAnchor>
  <cdr:relSizeAnchor xmlns:cdr="http://schemas.openxmlformats.org/drawingml/2006/chartDrawing">
    <cdr:from>
      <cdr:x>0.75498</cdr:x>
      <cdr:y>0.54784</cdr:y>
    </cdr:from>
    <cdr:to>
      <cdr:x>1</cdr:x>
      <cdr:y>0.559</cdr:y>
    </cdr:to>
    <cdr:sp macro="" textlink="">
      <cdr:nvSpPr>
        <cdr:cNvPr id="364" name="TextBox 363"/>
        <cdr:cNvSpPr txBox="1"/>
      </cdr:nvSpPr>
      <cdr:spPr>
        <a:xfrm xmlns:a="http://schemas.openxmlformats.org/drawingml/2006/main">
          <a:off x="4815044" y="12471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0.75 (0.00 – 191.64)</a:t>
          </a:r>
        </a:p>
      </cdr:txBody>
    </cdr:sp>
  </cdr:relSizeAnchor>
  <cdr:relSizeAnchor xmlns:cdr="http://schemas.openxmlformats.org/drawingml/2006/chartDrawing">
    <cdr:from>
      <cdr:x>0.01021</cdr:x>
      <cdr:y>0.5272</cdr:y>
    </cdr:from>
    <cdr:to>
      <cdr:x>0.31649</cdr:x>
      <cdr:y>0.54951</cdr:y>
    </cdr:to>
    <cdr:sp macro="" textlink="">
      <cdr:nvSpPr>
        <cdr:cNvPr id="365" name="TextBox 364"/>
        <cdr:cNvSpPr txBox="1"/>
      </cdr:nvSpPr>
      <cdr:spPr>
        <a:xfrm xmlns:a="http://schemas.openxmlformats.org/drawingml/2006/main">
          <a:off x="63500" y="12001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INDOTHERS</a:t>
          </a:r>
        </a:p>
      </cdr:txBody>
    </cdr:sp>
  </cdr:relSizeAnchor>
  <cdr:relSizeAnchor xmlns:cdr="http://schemas.openxmlformats.org/drawingml/2006/chartDrawing">
    <cdr:from>
      <cdr:x>0.75498</cdr:x>
      <cdr:y>0.5272</cdr:y>
    </cdr:from>
    <cdr:to>
      <cdr:x>1</cdr:x>
      <cdr:y>0.53835</cdr:y>
    </cdr:to>
    <cdr:sp macro="" textlink="">
      <cdr:nvSpPr>
        <cdr:cNvPr id="366" name="TextBox 365"/>
        <cdr:cNvSpPr txBox="1"/>
      </cdr:nvSpPr>
      <cdr:spPr>
        <a:xfrm xmlns:a="http://schemas.openxmlformats.org/drawingml/2006/main">
          <a:off x="4815044" y="12001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0.74 (0.27 – 1.95)</a:t>
          </a:r>
        </a:p>
      </cdr:txBody>
    </cdr:sp>
  </cdr:relSizeAnchor>
  <cdr:relSizeAnchor xmlns:cdr="http://schemas.openxmlformats.org/drawingml/2006/chartDrawing">
    <cdr:from>
      <cdr:x>0.01021</cdr:x>
      <cdr:y>0.50656</cdr:y>
    </cdr:from>
    <cdr:to>
      <cdr:x>0.31649</cdr:x>
      <cdr:y>0.52887</cdr:y>
    </cdr:to>
    <cdr:sp macro="" textlink="">
      <cdr:nvSpPr>
        <cdr:cNvPr id="367" name="TextBox 366"/>
        <cdr:cNvSpPr txBox="1"/>
      </cdr:nvSpPr>
      <cdr:spPr>
        <a:xfrm xmlns:a="http://schemas.openxmlformats.org/drawingml/2006/main">
          <a:off x="63500" y="11531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PLAC_NORX versus INDOTHERS</a:t>
          </a:r>
        </a:p>
      </cdr:txBody>
    </cdr:sp>
  </cdr:relSizeAnchor>
  <cdr:relSizeAnchor xmlns:cdr="http://schemas.openxmlformats.org/drawingml/2006/chartDrawing">
    <cdr:from>
      <cdr:x>0.75498</cdr:x>
      <cdr:y>0.50656</cdr:y>
    </cdr:from>
    <cdr:to>
      <cdr:x>1</cdr:x>
      <cdr:y>0.51771</cdr:y>
    </cdr:to>
    <cdr:sp macro="" textlink="">
      <cdr:nvSpPr>
        <cdr:cNvPr id="368" name="TextBox 367"/>
        <cdr:cNvSpPr txBox="1"/>
      </cdr:nvSpPr>
      <cdr:spPr>
        <a:xfrm xmlns:a="http://schemas.openxmlformats.org/drawingml/2006/main">
          <a:off x="4815044" y="11531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0.73 (0.31 – 1.70)</a:t>
          </a:r>
        </a:p>
      </cdr:txBody>
    </cdr:sp>
  </cdr:relSizeAnchor>
  <cdr:relSizeAnchor xmlns:cdr="http://schemas.openxmlformats.org/drawingml/2006/chartDrawing">
    <cdr:from>
      <cdr:x>0.01021</cdr:x>
      <cdr:y>0.48591</cdr:y>
    </cdr:from>
    <cdr:to>
      <cdr:x>0.31649</cdr:x>
      <cdr:y>0.50823</cdr:y>
    </cdr:to>
    <cdr:sp macro="" textlink="">
      <cdr:nvSpPr>
        <cdr:cNvPr id="369" name="TextBox 368"/>
        <cdr:cNvSpPr txBox="1"/>
      </cdr:nvSpPr>
      <cdr:spPr>
        <a:xfrm xmlns:a="http://schemas.openxmlformats.org/drawingml/2006/main">
          <a:off x="63500" y="11061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IBUPO</a:t>
          </a:r>
        </a:p>
      </cdr:txBody>
    </cdr:sp>
  </cdr:relSizeAnchor>
  <cdr:relSizeAnchor xmlns:cdr="http://schemas.openxmlformats.org/drawingml/2006/chartDrawing">
    <cdr:from>
      <cdr:x>0.75498</cdr:x>
      <cdr:y>0.48591</cdr:y>
    </cdr:from>
    <cdr:to>
      <cdr:x>1</cdr:x>
      <cdr:y>0.49707</cdr:y>
    </cdr:to>
    <cdr:sp macro="" textlink="">
      <cdr:nvSpPr>
        <cdr:cNvPr id="370" name="TextBox 369"/>
        <cdr:cNvSpPr txBox="1"/>
      </cdr:nvSpPr>
      <cdr:spPr>
        <a:xfrm xmlns:a="http://schemas.openxmlformats.org/drawingml/2006/main">
          <a:off x="4815044" y="11061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0.73 (0.23 – 2.18)</a:t>
          </a:r>
        </a:p>
      </cdr:txBody>
    </cdr:sp>
  </cdr:relSizeAnchor>
  <cdr:relSizeAnchor xmlns:cdr="http://schemas.openxmlformats.org/drawingml/2006/chartDrawing">
    <cdr:from>
      <cdr:x>0.01021</cdr:x>
      <cdr:y>0.46527</cdr:y>
    </cdr:from>
    <cdr:to>
      <cdr:x>0.31649</cdr:x>
      <cdr:y>0.48759</cdr:y>
    </cdr:to>
    <cdr:sp macro="" textlink="">
      <cdr:nvSpPr>
        <cdr:cNvPr id="371" name="TextBox 370"/>
        <cdr:cNvSpPr txBox="1"/>
      </cdr:nvSpPr>
      <cdr:spPr>
        <a:xfrm xmlns:a="http://schemas.openxmlformats.org/drawingml/2006/main">
          <a:off x="63500" y="10591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INDOTHERS</a:t>
          </a:r>
        </a:p>
      </cdr:txBody>
    </cdr:sp>
  </cdr:relSizeAnchor>
  <cdr:relSizeAnchor xmlns:cdr="http://schemas.openxmlformats.org/drawingml/2006/chartDrawing">
    <cdr:from>
      <cdr:x>0.75498</cdr:x>
      <cdr:y>0.46527</cdr:y>
    </cdr:from>
    <cdr:to>
      <cdr:x>1</cdr:x>
      <cdr:y>0.47643</cdr:y>
    </cdr:to>
    <cdr:sp macro="" textlink="">
      <cdr:nvSpPr>
        <cdr:cNvPr id="372" name="TextBox 371"/>
        <cdr:cNvSpPr txBox="1"/>
      </cdr:nvSpPr>
      <cdr:spPr>
        <a:xfrm xmlns:a="http://schemas.openxmlformats.org/drawingml/2006/main">
          <a:off x="4815044" y="10591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0.72 (0.36 – 1.41)</a:t>
          </a:r>
        </a:p>
      </cdr:txBody>
    </cdr:sp>
  </cdr:relSizeAnchor>
  <cdr:relSizeAnchor xmlns:cdr="http://schemas.openxmlformats.org/drawingml/2006/chartDrawing">
    <cdr:from>
      <cdr:x>0.01021</cdr:x>
      <cdr:y>0.44463</cdr:y>
    </cdr:from>
    <cdr:to>
      <cdr:x>0.31649</cdr:x>
      <cdr:y>0.46695</cdr:y>
    </cdr:to>
    <cdr:sp macro="" textlink="">
      <cdr:nvSpPr>
        <cdr:cNvPr id="373" name="TextBox 372"/>
        <cdr:cNvSpPr txBox="1"/>
      </cdr:nvSpPr>
      <cdr:spPr>
        <a:xfrm xmlns:a="http://schemas.openxmlformats.org/drawingml/2006/main">
          <a:off x="63500" y="10121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IBUIV</a:t>
          </a:r>
        </a:p>
      </cdr:txBody>
    </cdr:sp>
  </cdr:relSizeAnchor>
  <cdr:relSizeAnchor xmlns:cdr="http://schemas.openxmlformats.org/drawingml/2006/chartDrawing">
    <cdr:from>
      <cdr:x>0.75498</cdr:x>
      <cdr:y>0.44463</cdr:y>
    </cdr:from>
    <cdr:to>
      <cdr:x>1</cdr:x>
      <cdr:y>0.45579</cdr:y>
    </cdr:to>
    <cdr:sp macro="" textlink="">
      <cdr:nvSpPr>
        <cdr:cNvPr id="374" name="TextBox 373"/>
        <cdr:cNvSpPr txBox="1"/>
      </cdr:nvSpPr>
      <cdr:spPr>
        <a:xfrm xmlns:a="http://schemas.openxmlformats.org/drawingml/2006/main">
          <a:off x="4815044" y="10121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0.69 (0.18 – 2.39)</a:t>
          </a:r>
        </a:p>
      </cdr:txBody>
    </cdr:sp>
  </cdr:relSizeAnchor>
  <cdr:relSizeAnchor xmlns:cdr="http://schemas.openxmlformats.org/drawingml/2006/chartDrawing">
    <cdr:from>
      <cdr:x>0.01021</cdr:x>
      <cdr:y>0.42399</cdr:y>
    </cdr:from>
    <cdr:to>
      <cdr:x>0.31649</cdr:x>
      <cdr:y>0.4463</cdr:y>
    </cdr:to>
    <cdr:sp macro="" textlink="">
      <cdr:nvSpPr>
        <cdr:cNvPr id="375" name="TextBox 374"/>
        <cdr:cNvSpPr txBox="1"/>
      </cdr:nvSpPr>
      <cdr:spPr>
        <a:xfrm xmlns:a="http://schemas.openxmlformats.org/drawingml/2006/main">
          <a:off x="63500" y="9652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INDOIV</a:t>
          </a:r>
        </a:p>
      </cdr:txBody>
    </cdr:sp>
  </cdr:relSizeAnchor>
  <cdr:relSizeAnchor xmlns:cdr="http://schemas.openxmlformats.org/drawingml/2006/chartDrawing">
    <cdr:from>
      <cdr:x>0.75498</cdr:x>
      <cdr:y>0.42399</cdr:y>
    </cdr:from>
    <cdr:to>
      <cdr:x>1</cdr:x>
      <cdr:y>0.43515</cdr:y>
    </cdr:to>
    <cdr:sp macro="" textlink="">
      <cdr:nvSpPr>
        <cdr:cNvPr id="376" name="TextBox 375"/>
        <cdr:cNvSpPr txBox="1"/>
      </cdr:nvSpPr>
      <cdr:spPr>
        <a:xfrm xmlns:a="http://schemas.openxmlformats.org/drawingml/2006/main">
          <a:off x="4815044" y="9652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0.68 (0.19 – 2.34)</a:t>
          </a:r>
        </a:p>
      </cdr:txBody>
    </cdr:sp>
  </cdr:relSizeAnchor>
  <cdr:relSizeAnchor xmlns:cdr="http://schemas.openxmlformats.org/drawingml/2006/chartDrawing">
    <cdr:from>
      <cdr:x>0.01021</cdr:x>
      <cdr:y>0.40335</cdr:y>
    </cdr:from>
    <cdr:to>
      <cdr:x>0.31649</cdr:x>
      <cdr:y>0.42566</cdr:y>
    </cdr:to>
    <cdr:sp macro="" textlink="">
      <cdr:nvSpPr>
        <cdr:cNvPr id="377" name="TextBox 376"/>
        <cdr:cNvSpPr txBox="1"/>
      </cdr:nvSpPr>
      <cdr:spPr>
        <a:xfrm xmlns:a="http://schemas.openxmlformats.org/drawingml/2006/main">
          <a:off x="63500" y="9182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INDOTHERS</a:t>
          </a:r>
        </a:p>
      </cdr:txBody>
    </cdr:sp>
  </cdr:relSizeAnchor>
  <cdr:relSizeAnchor xmlns:cdr="http://schemas.openxmlformats.org/drawingml/2006/chartDrawing">
    <cdr:from>
      <cdr:x>0.75498</cdr:x>
      <cdr:y>0.40335</cdr:y>
    </cdr:from>
    <cdr:to>
      <cdr:x>1</cdr:x>
      <cdr:y>0.4145</cdr:y>
    </cdr:to>
    <cdr:sp macro="" textlink="">
      <cdr:nvSpPr>
        <cdr:cNvPr id="378" name="TextBox 377"/>
        <cdr:cNvSpPr txBox="1"/>
      </cdr:nvSpPr>
      <cdr:spPr>
        <a:xfrm xmlns:a="http://schemas.openxmlformats.org/drawingml/2006/main">
          <a:off x="4815044" y="9182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0.68 (0.30 – 1.47)</a:t>
          </a:r>
        </a:p>
      </cdr:txBody>
    </cdr:sp>
  </cdr:relSizeAnchor>
  <cdr:relSizeAnchor xmlns:cdr="http://schemas.openxmlformats.org/drawingml/2006/chartDrawing">
    <cdr:from>
      <cdr:x>0.01021</cdr:x>
      <cdr:y>0.38271</cdr:y>
    </cdr:from>
    <cdr:to>
      <cdr:x>0.31649</cdr:x>
      <cdr:y>0.40502</cdr:y>
    </cdr:to>
    <cdr:sp macro="" textlink="">
      <cdr:nvSpPr>
        <cdr:cNvPr id="379" name="TextBox 378"/>
        <cdr:cNvSpPr txBox="1"/>
      </cdr:nvSpPr>
      <cdr:spPr>
        <a:xfrm xmlns:a="http://schemas.openxmlformats.org/drawingml/2006/main">
          <a:off x="63500" y="8712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PLAC_NORX</a:t>
          </a:r>
        </a:p>
      </cdr:txBody>
    </cdr:sp>
  </cdr:relSizeAnchor>
  <cdr:relSizeAnchor xmlns:cdr="http://schemas.openxmlformats.org/drawingml/2006/chartDrawing">
    <cdr:from>
      <cdr:x>0.75498</cdr:x>
      <cdr:y>0.38271</cdr:y>
    </cdr:from>
    <cdr:to>
      <cdr:x>1</cdr:x>
      <cdr:y>0.39386</cdr:y>
    </cdr:to>
    <cdr:sp macro="" textlink="">
      <cdr:nvSpPr>
        <cdr:cNvPr id="380" name="TextBox 379"/>
        <cdr:cNvSpPr txBox="1"/>
      </cdr:nvSpPr>
      <cdr:spPr>
        <a:xfrm xmlns:a="http://schemas.openxmlformats.org/drawingml/2006/main">
          <a:off x="4815044" y="8712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0.67 (0.19 – 2.32)</a:t>
          </a:r>
        </a:p>
      </cdr:txBody>
    </cdr:sp>
  </cdr:relSizeAnchor>
  <cdr:relSizeAnchor xmlns:cdr="http://schemas.openxmlformats.org/drawingml/2006/chartDrawing">
    <cdr:from>
      <cdr:x>0.01021</cdr:x>
      <cdr:y>0.36206</cdr:y>
    </cdr:from>
    <cdr:to>
      <cdr:x>0.31649</cdr:x>
      <cdr:y>0.38438</cdr:y>
    </cdr:to>
    <cdr:sp macro="" textlink="">
      <cdr:nvSpPr>
        <cdr:cNvPr id="381" name="TextBox 380"/>
        <cdr:cNvSpPr txBox="1"/>
      </cdr:nvSpPr>
      <cdr:spPr>
        <a:xfrm xmlns:a="http://schemas.openxmlformats.org/drawingml/2006/main">
          <a:off x="63500" y="824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PARAPO</a:t>
          </a:r>
        </a:p>
      </cdr:txBody>
    </cdr:sp>
  </cdr:relSizeAnchor>
  <cdr:relSizeAnchor xmlns:cdr="http://schemas.openxmlformats.org/drawingml/2006/chartDrawing">
    <cdr:from>
      <cdr:x>0.75498</cdr:x>
      <cdr:y>0.36206</cdr:y>
    </cdr:from>
    <cdr:to>
      <cdr:x>1</cdr:x>
      <cdr:y>0.37322</cdr:y>
    </cdr:to>
    <cdr:sp macro="" textlink="">
      <cdr:nvSpPr>
        <cdr:cNvPr id="382" name="TextBox 381"/>
        <cdr:cNvSpPr txBox="1"/>
      </cdr:nvSpPr>
      <cdr:spPr>
        <a:xfrm xmlns:a="http://schemas.openxmlformats.org/drawingml/2006/main">
          <a:off x="4815044" y="824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0.67 (0.17 – 2.48)</a:t>
          </a:r>
        </a:p>
      </cdr:txBody>
    </cdr:sp>
  </cdr:relSizeAnchor>
  <cdr:relSizeAnchor xmlns:cdr="http://schemas.openxmlformats.org/drawingml/2006/chartDrawing">
    <cdr:from>
      <cdr:x>0.01021</cdr:x>
      <cdr:y>0.34086</cdr:y>
    </cdr:from>
    <cdr:to>
      <cdr:x>0.31649</cdr:x>
      <cdr:y>0.36318</cdr:y>
    </cdr:to>
    <cdr:sp macro="" textlink="">
      <cdr:nvSpPr>
        <cdr:cNvPr id="383" name="TextBox 382"/>
        <cdr:cNvSpPr txBox="1"/>
      </cdr:nvSpPr>
      <cdr:spPr>
        <a:xfrm xmlns:a="http://schemas.openxmlformats.org/drawingml/2006/main">
          <a:off x="63500" y="7759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IBUPO</a:t>
          </a:r>
        </a:p>
      </cdr:txBody>
    </cdr:sp>
  </cdr:relSizeAnchor>
  <cdr:relSizeAnchor xmlns:cdr="http://schemas.openxmlformats.org/drawingml/2006/chartDrawing">
    <cdr:from>
      <cdr:x>0.75498</cdr:x>
      <cdr:y>0.34086</cdr:y>
    </cdr:from>
    <cdr:to>
      <cdr:x>1</cdr:x>
      <cdr:y>0.35202</cdr:y>
    </cdr:to>
    <cdr:sp macro="" textlink="">
      <cdr:nvSpPr>
        <cdr:cNvPr id="512" name="TextBox 511"/>
        <cdr:cNvSpPr txBox="1"/>
      </cdr:nvSpPr>
      <cdr:spPr>
        <a:xfrm xmlns:a="http://schemas.openxmlformats.org/drawingml/2006/main">
          <a:off x="4815044" y="7759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0.67 (0.16 – 2.58)</a:t>
          </a:r>
        </a:p>
      </cdr:txBody>
    </cdr:sp>
  </cdr:relSizeAnchor>
  <cdr:relSizeAnchor xmlns:cdr="http://schemas.openxmlformats.org/drawingml/2006/chartDrawing">
    <cdr:from>
      <cdr:x>0.01021</cdr:x>
      <cdr:y>0.32022</cdr:y>
    </cdr:from>
    <cdr:to>
      <cdr:x>0.31649</cdr:x>
      <cdr:y>0.34254</cdr:y>
    </cdr:to>
    <cdr:sp macro="" textlink="">
      <cdr:nvSpPr>
        <cdr:cNvPr id="513" name="TextBox 512"/>
        <cdr:cNvSpPr txBox="1"/>
      </cdr:nvSpPr>
      <cdr:spPr>
        <a:xfrm xmlns:a="http://schemas.openxmlformats.org/drawingml/2006/main">
          <a:off x="63500" y="7289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INDOTHERS</a:t>
          </a:r>
        </a:p>
      </cdr:txBody>
    </cdr:sp>
  </cdr:relSizeAnchor>
  <cdr:relSizeAnchor xmlns:cdr="http://schemas.openxmlformats.org/drawingml/2006/chartDrawing">
    <cdr:from>
      <cdr:x>0.75498</cdr:x>
      <cdr:y>0.32022</cdr:y>
    </cdr:from>
    <cdr:to>
      <cdr:x>1</cdr:x>
      <cdr:y>0.33138</cdr:y>
    </cdr:to>
    <cdr:sp macro="" textlink="">
      <cdr:nvSpPr>
        <cdr:cNvPr id="514" name="TextBox 513"/>
        <cdr:cNvSpPr txBox="1"/>
      </cdr:nvSpPr>
      <cdr:spPr>
        <a:xfrm xmlns:a="http://schemas.openxmlformats.org/drawingml/2006/main">
          <a:off x="4815044" y="7289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0.65 (0.27 – 1.51)</a:t>
          </a:r>
        </a:p>
      </cdr:txBody>
    </cdr:sp>
  </cdr:relSizeAnchor>
  <cdr:relSizeAnchor xmlns:cdr="http://schemas.openxmlformats.org/drawingml/2006/chartDrawing">
    <cdr:from>
      <cdr:x>0.01021</cdr:x>
      <cdr:y>0.29958</cdr:y>
    </cdr:from>
    <cdr:to>
      <cdr:x>0.31649</cdr:x>
      <cdr:y>0.3219</cdr:y>
    </cdr:to>
    <cdr:sp macro="" textlink="">
      <cdr:nvSpPr>
        <cdr:cNvPr id="515" name="TextBox 514"/>
        <cdr:cNvSpPr txBox="1"/>
      </cdr:nvSpPr>
      <cdr:spPr>
        <a:xfrm xmlns:a="http://schemas.openxmlformats.org/drawingml/2006/main">
          <a:off x="63500" y="6819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PLAC_NORX</a:t>
          </a:r>
        </a:p>
      </cdr:txBody>
    </cdr:sp>
  </cdr:relSizeAnchor>
  <cdr:relSizeAnchor xmlns:cdr="http://schemas.openxmlformats.org/drawingml/2006/chartDrawing">
    <cdr:from>
      <cdr:x>0.75498</cdr:x>
      <cdr:y>0.29958</cdr:y>
    </cdr:from>
    <cdr:to>
      <cdr:x>1</cdr:x>
      <cdr:y>0.31074</cdr:y>
    </cdr:to>
    <cdr:sp macro="" textlink="">
      <cdr:nvSpPr>
        <cdr:cNvPr id="516" name="TextBox 515"/>
        <cdr:cNvSpPr txBox="1"/>
      </cdr:nvSpPr>
      <cdr:spPr>
        <a:xfrm xmlns:a="http://schemas.openxmlformats.org/drawingml/2006/main">
          <a:off x="4815044" y="6819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0.62 (0.14 – 2.43)</a:t>
          </a:r>
        </a:p>
      </cdr:txBody>
    </cdr:sp>
  </cdr:relSizeAnchor>
  <cdr:relSizeAnchor xmlns:cdr="http://schemas.openxmlformats.org/drawingml/2006/chartDrawing">
    <cdr:from>
      <cdr:x>0.01021</cdr:x>
      <cdr:y>0.27894</cdr:y>
    </cdr:from>
    <cdr:to>
      <cdr:x>0.31649</cdr:x>
      <cdr:y>0.30126</cdr:y>
    </cdr:to>
    <cdr:sp macro="" textlink="">
      <cdr:nvSpPr>
        <cdr:cNvPr id="517" name="TextBox 516"/>
        <cdr:cNvSpPr txBox="1"/>
      </cdr:nvSpPr>
      <cdr:spPr>
        <a:xfrm xmlns:a="http://schemas.openxmlformats.org/drawingml/2006/main">
          <a:off x="63500" y="6350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INDOIV</a:t>
          </a:r>
        </a:p>
      </cdr:txBody>
    </cdr:sp>
  </cdr:relSizeAnchor>
  <cdr:relSizeAnchor xmlns:cdr="http://schemas.openxmlformats.org/drawingml/2006/chartDrawing">
    <cdr:from>
      <cdr:x>0.75498</cdr:x>
      <cdr:y>0.27894</cdr:y>
    </cdr:from>
    <cdr:to>
      <cdr:x>1</cdr:x>
      <cdr:y>0.2901</cdr:y>
    </cdr:to>
    <cdr:sp macro="" textlink="">
      <cdr:nvSpPr>
        <cdr:cNvPr id="518" name="TextBox 517"/>
        <cdr:cNvSpPr txBox="1"/>
      </cdr:nvSpPr>
      <cdr:spPr>
        <a:xfrm xmlns:a="http://schemas.openxmlformats.org/drawingml/2006/main">
          <a:off x="4815044" y="6350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0.62 (0.14 – 2.53)</a:t>
          </a:r>
        </a:p>
      </cdr:txBody>
    </cdr:sp>
  </cdr:relSizeAnchor>
  <cdr:relSizeAnchor xmlns:cdr="http://schemas.openxmlformats.org/drawingml/2006/chartDrawing">
    <cdr:from>
      <cdr:x>0.01021</cdr:x>
      <cdr:y>0.2583</cdr:y>
    </cdr:from>
    <cdr:to>
      <cdr:x>0.31649</cdr:x>
      <cdr:y>0.28061</cdr:y>
    </cdr:to>
    <cdr:sp macro="" textlink="">
      <cdr:nvSpPr>
        <cdr:cNvPr id="519" name="TextBox 518"/>
        <cdr:cNvSpPr txBox="1"/>
      </cdr:nvSpPr>
      <cdr:spPr>
        <a:xfrm xmlns:a="http://schemas.openxmlformats.org/drawingml/2006/main">
          <a:off x="63500" y="5880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PARAPO</a:t>
          </a:r>
        </a:p>
      </cdr:txBody>
    </cdr:sp>
  </cdr:relSizeAnchor>
  <cdr:relSizeAnchor xmlns:cdr="http://schemas.openxmlformats.org/drawingml/2006/chartDrawing">
    <cdr:from>
      <cdr:x>0.75498</cdr:x>
      <cdr:y>0.2583</cdr:y>
    </cdr:from>
    <cdr:to>
      <cdr:x>1</cdr:x>
      <cdr:y>0.26946</cdr:y>
    </cdr:to>
    <cdr:sp macro="" textlink="">
      <cdr:nvSpPr>
        <cdr:cNvPr id="520" name="TextBox 519"/>
        <cdr:cNvSpPr txBox="1"/>
      </cdr:nvSpPr>
      <cdr:spPr>
        <a:xfrm xmlns:a="http://schemas.openxmlformats.org/drawingml/2006/main">
          <a:off x="4815044" y="5880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0.61 (0.12 – 2.81)</a:t>
          </a:r>
        </a:p>
      </cdr:txBody>
    </cdr:sp>
  </cdr:relSizeAnchor>
  <cdr:relSizeAnchor xmlns:cdr="http://schemas.openxmlformats.org/drawingml/2006/chartDrawing">
    <cdr:from>
      <cdr:x>0.01021</cdr:x>
      <cdr:y>0.23766</cdr:y>
    </cdr:from>
    <cdr:to>
      <cdr:x>0.31649</cdr:x>
      <cdr:y>0.25997</cdr:y>
    </cdr:to>
    <cdr:sp macro="" textlink="">
      <cdr:nvSpPr>
        <cdr:cNvPr id="521" name="TextBox 520"/>
        <cdr:cNvSpPr txBox="1"/>
      </cdr:nvSpPr>
      <cdr:spPr>
        <a:xfrm xmlns:a="http://schemas.openxmlformats.org/drawingml/2006/main">
          <a:off x="63500" y="5410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IBUIV</a:t>
          </a:r>
        </a:p>
      </cdr:txBody>
    </cdr:sp>
  </cdr:relSizeAnchor>
  <cdr:relSizeAnchor xmlns:cdr="http://schemas.openxmlformats.org/drawingml/2006/chartDrawing">
    <cdr:from>
      <cdr:x>0.75498</cdr:x>
      <cdr:y>0.23766</cdr:y>
    </cdr:from>
    <cdr:to>
      <cdr:x>1</cdr:x>
      <cdr:y>0.24881</cdr:y>
    </cdr:to>
    <cdr:sp macro="" textlink="">
      <cdr:nvSpPr>
        <cdr:cNvPr id="522" name="TextBox 521"/>
        <cdr:cNvSpPr txBox="1"/>
      </cdr:nvSpPr>
      <cdr:spPr>
        <a:xfrm xmlns:a="http://schemas.openxmlformats.org/drawingml/2006/main">
          <a:off x="4815044" y="5410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0.59 (0.14 – 2.45)</a:t>
          </a:r>
        </a:p>
      </cdr:txBody>
    </cdr:sp>
  </cdr:relSizeAnchor>
  <cdr:relSizeAnchor xmlns:cdr="http://schemas.openxmlformats.org/drawingml/2006/chartDrawing">
    <cdr:from>
      <cdr:x>0.01021</cdr:x>
      <cdr:y>0.21702</cdr:y>
    </cdr:from>
    <cdr:to>
      <cdr:x>0.31649</cdr:x>
      <cdr:y>0.23933</cdr:y>
    </cdr:to>
    <cdr:sp macro="" textlink="">
      <cdr:nvSpPr>
        <cdr:cNvPr id="523" name="TextBox 522"/>
        <cdr:cNvSpPr txBox="1"/>
      </cdr:nvSpPr>
      <cdr:spPr>
        <a:xfrm xmlns:a="http://schemas.openxmlformats.org/drawingml/2006/main">
          <a:off x="63500" y="4940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IBUPO</a:t>
          </a:r>
        </a:p>
      </cdr:txBody>
    </cdr:sp>
  </cdr:relSizeAnchor>
  <cdr:relSizeAnchor xmlns:cdr="http://schemas.openxmlformats.org/drawingml/2006/chartDrawing">
    <cdr:from>
      <cdr:x>0.75498</cdr:x>
      <cdr:y>0.21702</cdr:y>
    </cdr:from>
    <cdr:to>
      <cdr:x>1</cdr:x>
      <cdr:y>0.22817</cdr:y>
    </cdr:to>
    <cdr:sp macro="" textlink="">
      <cdr:nvSpPr>
        <cdr:cNvPr id="524" name="TextBox 523"/>
        <cdr:cNvSpPr txBox="1"/>
      </cdr:nvSpPr>
      <cdr:spPr>
        <a:xfrm xmlns:a="http://schemas.openxmlformats.org/drawingml/2006/main">
          <a:off x="4815044" y="4940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0.57 (0.12 – 2.64)</a:t>
          </a:r>
        </a:p>
      </cdr:txBody>
    </cdr:sp>
  </cdr:relSizeAnchor>
  <cdr:relSizeAnchor xmlns:cdr="http://schemas.openxmlformats.org/drawingml/2006/chartDrawing">
    <cdr:from>
      <cdr:x>0.01021</cdr:x>
      <cdr:y>0.19637</cdr:y>
    </cdr:from>
    <cdr:to>
      <cdr:x>0.31649</cdr:x>
      <cdr:y>0.21869</cdr:y>
    </cdr:to>
    <cdr:sp macro="" textlink="">
      <cdr:nvSpPr>
        <cdr:cNvPr id="525" name="TextBox 524"/>
        <cdr:cNvSpPr txBox="1"/>
      </cdr:nvSpPr>
      <cdr:spPr>
        <a:xfrm xmlns:a="http://schemas.openxmlformats.org/drawingml/2006/main">
          <a:off x="63500" y="4470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INDOIVCONT</a:t>
          </a:r>
        </a:p>
      </cdr:txBody>
    </cdr:sp>
  </cdr:relSizeAnchor>
  <cdr:relSizeAnchor xmlns:cdr="http://schemas.openxmlformats.org/drawingml/2006/chartDrawing">
    <cdr:from>
      <cdr:x>0.75498</cdr:x>
      <cdr:y>0.19637</cdr:y>
    </cdr:from>
    <cdr:to>
      <cdr:x>1</cdr:x>
      <cdr:y>0.20753</cdr:y>
    </cdr:to>
    <cdr:sp macro="" textlink="">
      <cdr:nvSpPr>
        <cdr:cNvPr id="526" name="TextBox 525"/>
        <cdr:cNvSpPr txBox="1"/>
      </cdr:nvSpPr>
      <cdr:spPr>
        <a:xfrm xmlns:a="http://schemas.openxmlformats.org/drawingml/2006/main">
          <a:off x="4815044" y="4470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0.56 (0.00 – 148.43)</a:t>
          </a:r>
        </a:p>
      </cdr:txBody>
    </cdr:sp>
  </cdr:relSizeAnchor>
  <cdr:relSizeAnchor xmlns:cdr="http://schemas.openxmlformats.org/drawingml/2006/chartDrawing">
    <cdr:from>
      <cdr:x>0.01021</cdr:x>
      <cdr:y>0.17573</cdr:y>
    </cdr:from>
    <cdr:to>
      <cdr:x>0.31649</cdr:x>
      <cdr:y>0.19805</cdr:y>
    </cdr:to>
    <cdr:sp macro="" textlink="">
      <cdr:nvSpPr>
        <cdr:cNvPr id="527" name="TextBox 526"/>
        <cdr:cNvSpPr txBox="1"/>
      </cdr:nvSpPr>
      <cdr:spPr>
        <a:xfrm xmlns:a="http://schemas.openxmlformats.org/drawingml/2006/main">
          <a:off x="63500" y="4000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INDOIV</a:t>
          </a:r>
        </a:p>
      </cdr:txBody>
    </cdr:sp>
  </cdr:relSizeAnchor>
  <cdr:relSizeAnchor xmlns:cdr="http://schemas.openxmlformats.org/drawingml/2006/chartDrawing">
    <cdr:from>
      <cdr:x>0.75498</cdr:x>
      <cdr:y>0.17573</cdr:y>
    </cdr:from>
    <cdr:to>
      <cdr:x>1</cdr:x>
      <cdr:y>0.18689</cdr:y>
    </cdr:to>
    <cdr:sp macro="" textlink="">
      <cdr:nvSpPr>
        <cdr:cNvPr id="528" name="TextBox 527"/>
        <cdr:cNvSpPr txBox="1"/>
      </cdr:nvSpPr>
      <cdr:spPr>
        <a:xfrm xmlns:a="http://schemas.openxmlformats.org/drawingml/2006/main">
          <a:off x="4815044" y="4000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0.53 (0.11 – 2.50)</a:t>
          </a:r>
        </a:p>
      </cdr:txBody>
    </cdr:sp>
  </cdr:relSizeAnchor>
  <cdr:relSizeAnchor xmlns:cdr="http://schemas.openxmlformats.org/drawingml/2006/chartDrawing">
    <cdr:from>
      <cdr:x>0.01021</cdr:x>
      <cdr:y>0.15509</cdr:y>
    </cdr:from>
    <cdr:to>
      <cdr:x>0.31649</cdr:x>
      <cdr:y>0.17741</cdr:y>
    </cdr:to>
    <cdr:sp macro="" textlink="">
      <cdr:nvSpPr>
        <cdr:cNvPr id="529" name="TextBox 528"/>
        <cdr:cNvSpPr txBox="1"/>
      </cdr:nvSpPr>
      <cdr:spPr>
        <a:xfrm xmlns:a="http://schemas.openxmlformats.org/drawingml/2006/main">
          <a:off x="63500" y="3530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PLAC_NORX</a:t>
          </a:r>
        </a:p>
      </cdr:txBody>
    </cdr:sp>
  </cdr:relSizeAnchor>
  <cdr:relSizeAnchor xmlns:cdr="http://schemas.openxmlformats.org/drawingml/2006/chartDrawing">
    <cdr:from>
      <cdr:x>0.75498</cdr:x>
      <cdr:y>0.15509</cdr:y>
    </cdr:from>
    <cdr:to>
      <cdr:x>1</cdr:x>
      <cdr:y>0.16625</cdr:y>
    </cdr:to>
    <cdr:sp macro="" textlink="">
      <cdr:nvSpPr>
        <cdr:cNvPr id="530" name="TextBox 529"/>
        <cdr:cNvSpPr txBox="1"/>
      </cdr:nvSpPr>
      <cdr:spPr>
        <a:xfrm xmlns:a="http://schemas.openxmlformats.org/drawingml/2006/main">
          <a:off x="4815044" y="3530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0.53 (0.11 – 2.49)</a:t>
          </a:r>
        </a:p>
      </cdr:txBody>
    </cdr:sp>
  </cdr:relSizeAnchor>
  <cdr:relSizeAnchor xmlns:cdr="http://schemas.openxmlformats.org/drawingml/2006/chartDrawing">
    <cdr:from>
      <cdr:x>0.01021</cdr:x>
      <cdr:y>0.13445</cdr:y>
    </cdr:from>
    <cdr:to>
      <cdr:x>0.31649</cdr:x>
      <cdr:y>0.15676</cdr:y>
    </cdr:to>
    <cdr:sp macro="" textlink="">
      <cdr:nvSpPr>
        <cdr:cNvPr id="531" name="TextBox 530"/>
        <cdr:cNvSpPr txBox="1"/>
      </cdr:nvSpPr>
      <cdr:spPr>
        <a:xfrm xmlns:a="http://schemas.openxmlformats.org/drawingml/2006/main">
          <a:off x="63500" y="3060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PARAPO</a:t>
          </a:r>
        </a:p>
      </cdr:txBody>
    </cdr:sp>
  </cdr:relSizeAnchor>
  <cdr:relSizeAnchor xmlns:cdr="http://schemas.openxmlformats.org/drawingml/2006/chartDrawing">
    <cdr:from>
      <cdr:x>0.75498</cdr:x>
      <cdr:y>0.13445</cdr:y>
    </cdr:from>
    <cdr:to>
      <cdr:x>1</cdr:x>
      <cdr:y>0.14561</cdr:y>
    </cdr:to>
    <cdr:sp macro="" textlink="">
      <cdr:nvSpPr>
        <cdr:cNvPr id="532" name="TextBox 531"/>
        <cdr:cNvSpPr txBox="1"/>
      </cdr:nvSpPr>
      <cdr:spPr>
        <a:xfrm xmlns:a="http://schemas.openxmlformats.org/drawingml/2006/main">
          <a:off x="4815044" y="3060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0.52 (0.10 – 2.69)</a:t>
          </a:r>
        </a:p>
      </cdr:txBody>
    </cdr:sp>
  </cdr:relSizeAnchor>
  <cdr:relSizeAnchor xmlns:cdr="http://schemas.openxmlformats.org/drawingml/2006/chartDrawing">
    <cdr:from>
      <cdr:x>0.01021</cdr:x>
      <cdr:y>0.11381</cdr:y>
    </cdr:from>
    <cdr:to>
      <cdr:x>0.31649</cdr:x>
      <cdr:y>0.13612</cdr:y>
    </cdr:to>
    <cdr:sp macro="" textlink="">
      <cdr:nvSpPr>
        <cdr:cNvPr id="533" name="TextBox 532"/>
        <cdr:cNvSpPr txBox="1"/>
      </cdr:nvSpPr>
      <cdr:spPr>
        <a:xfrm xmlns:a="http://schemas.openxmlformats.org/drawingml/2006/main">
          <a:off x="63500" y="2590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INDOIVCONT</a:t>
          </a:r>
        </a:p>
      </cdr:txBody>
    </cdr:sp>
  </cdr:relSizeAnchor>
  <cdr:relSizeAnchor xmlns:cdr="http://schemas.openxmlformats.org/drawingml/2006/chartDrawing">
    <cdr:from>
      <cdr:x>0.75498</cdr:x>
      <cdr:y>0.11381</cdr:y>
    </cdr:from>
    <cdr:to>
      <cdr:x>1</cdr:x>
      <cdr:y>0.12497</cdr:y>
    </cdr:to>
    <cdr:sp macro="" textlink="">
      <cdr:nvSpPr>
        <cdr:cNvPr id="534" name="TextBox 533"/>
        <cdr:cNvSpPr txBox="1"/>
      </cdr:nvSpPr>
      <cdr:spPr>
        <a:xfrm xmlns:a="http://schemas.openxmlformats.org/drawingml/2006/main">
          <a:off x="4815044" y="2590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0.50 (0.00 – 145.22)</a:t>
          </a:r>
        </a:p>
      </cdr:txBody>
    </cdr:sp>
  </cdr:relSizeAnchor>
  <cdr:relSizeAnchor xmlns:cdr="http://schemas.openxmlformats.org/drawingml/2006/chartDrawing">
    <cdr:from>
      <cdr:x>0.01021</cdr:x>
      <cdr:y>0.09317</cdr:y>
    </cdr:from>
    <cdr:to>
      <cdr:x>0.31649</cdr:x>
      <cdr:y>0.11548</cdr:y>
    </cdr:to>
    <cdr:sp macro="" textlink="">
      <cdr:nvSpPr>
        <cdr:cNvPr id="535" name="TextBox 534"/>
        <cdr:cNvSpPr txBox="1"/>
      </cdr:nvSpPr>
      <cdr:spPr>
        <a:xfrm xmlns:a="http://schemas.openxmlformats.org/drawingml/2006/main">
          <a:off x="63500" y="2120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INDOTHERS</a:t>
          </a:r>
        </a:p>
      </cdr:txBody>
    </cdr:sp>
  </cdr:relSizeAnchor>
  <cdr:relSizeAnchor xmlns:cdr="http://schemas.openxmlformats.org/drawingml/2006/chartDrawing">
    <cdr:from>
      <cdr:x>0.75498</cdr:x>
      <cdr:y>0.09317</cdr:y>
    </cdr:from>
    <cdr:to>
      <cdr:x>1</cdr:x>
      <cdr:y>0.10432</cdr:y>
    </cdr:to>
    <cdr:sp macro="" textlink="">
      <cdr:nvSpPr>
        <cdr:cNvPr id="536" name="TextBox 535"/>
        <cdr:cNvSpPr txBox="1"/>
      </cdr:nvSpPr>
      <cdr:spPr>
        <a:xfrm xmlns:a="http://schemas.openxmlformats.org/drawingml/2006/main">
          <a:off x="4815044" y="2120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0.49 (0.12 – 1.85)</a:t>
          </a:r>
        </a:p>
      </cdr:txBody>
    </cdr:sp>
  </cdr:relSizeAnchor>
  <cdr:relSizeAnchor xmlns:cdr="http://schemas.openxmlformats.org/drawingml/2006/chartDrawing">
    <cdr:from>
      <cdr:x>0.01021</cdr:x>
      <cdr:y>0.07252</cdr:y>
    </cdr:from>
    <cdr:to>
      <cdr:x>0.31649</cdr:x>
      <cdr:y>0.09484</cdr:y>
    </cdr:to>
    <cdr:sp macro="" textlink="">
      <cdr:nvSpPr>
        <cdr:cNvPr id="537" name="TextBox 536"/>
        <cdr:cNvSpPr txBox="1"/>
      </cdr:nvSpPr>
      <cdr:spPr>
        <a:xfrm xmlns:a="http://schemas.openxmlformats.org/drawingml/2006/main">
          <a:off x="63500" y="16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INDOTHERS</a:t>
          </a:r>
        </a:p>
      </cdr:txBody>
    </cdr:sp>
  </cdr:relSizeAnchor>
  <cdr:relSizeAnchor xmlns:cdr="http://schemas.openxmlformats.org/drawingml/2006/chartDrawing">
    <cdr:from>
      <cdr:x>0.75498</cdr:x>
      <cdr:y>0.07252</cdr:y>
    </cdr:from>
    <cdr:to>
      <cdr:x>1</cdr:x>
      <cdr:y>0.08368</cdr:y>
    </cdr:to>
    <cdr:sp macro="" textlink="">
      <cdr:nvSpPr>
        <cdr:cNvPr id="538" name="TextBox 537"/>
        <cdr:cNvSpPr txBox="1"/>
      </cdr:nvSpPr>
      <cdr:spPr>
        <a:xfrm xmlns:a="http://schemas.openxmlformats.org/drawingml/2006/main">
          <a:off x="4815044" y="16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0.45 (0.09 – 2.06)</a:t>
          </a:r>
        </a:p>
      </cdr:txBody>
    </cdr:sp>
  </cdr:relSizeAnchor>
  <cdr:relSizeAnchor xmlns:cdr="http://schemas.openxmlformats.org/drawingml/2006/chartDrawing">
    <cdr:from>
      <cdr:x>0.01021</cdr:x>
      <cdr:y>0.05188</cdr:y>
    </cdr:from>
    <cdr:to>
      <cdr:x>0.31649</cdr:x>
      <cdr:y>0.0742</cdr:y>
    </cdr:to>
    <cdr:sp macro="" textlink="">
      <cdr:nvSpPr>
        <cdr:cNvPr id="539" name="TextBox 538"/>
        <cdr:cNvSpPr txBox="1"/>
      </cdr:nvSpPr>
      <cdr:spPr>
        <a:xfrm xmlns:a="http://schemas.openxmlformats.org/drawingml/2006/main">
          <a:off x="63500" y="11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INDOIVCONT</a:t>
          </a:r>
        </a:p>
      </cdr:txBody>
    </cdr:sp>
  </cdr:relSizeAnchor>
  <cdr:relSizeAnchor xmlns:cdr="http://schemas.openxmlformats.org/drawingml/2006/chartDrawing">
    <cdr:from>
      <cdr:x>0.75498</cdr:x>
      <cdr:y>0.05188</cdr:y>
    </cdr:from>
    <cdr:to>
      <cdr:x>1</cdr:x>
      <cdr:y>0.06304</cdr:y>
    </cdr:to>
    <cdr:sp macro="" textlink="">
      <cdr:nvSpPr>
        <cdr:cNvPr id="540" name="TextBox 539"/>
        <cdr:cNvSpPr txBox="1"/>
      </cdr:nvSpPr>
      <cdr:spPr>
        <a:xfrm xmlns:a="http://schemas.openxmlformats.org/drawingml/2006/main">
          <a:off x="4815044" y="11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0.44 (0.00 – 124.55)</a:t>
          </a:r>
        </a:p>
      </cdr:txBody>
    </cdr:sp>
  </cdr:relSizeAnchor>
  <cdr:relSizeAnchor xmlns:cdr="http://schemas.openxmlformats.org/drawingml/2006/chartDrawing">
    <cdr:from>
      <cdr:x>0.01021</cdr:x>
      <cdr:y>0.03124</cdr:y>
    </cdr:from>
    <cdr:to>
      <cdr:x>0.31649</cdr:x>
      <cdr:y>0.05356</cdr:y>
    </cdr:to>
    <cdr:sp macro="" textlink="">
      <cdr:nvSpPr>
        <cdr:cNvPr id="541" name="TextBox 540"/>
        <cdr:cNvSpPr txBox="1"/>
      </cdr:nvSpPr>
      <cdr:spPr>
        <a:xfrm xmlns:a="http://schemas.openxmlformats.org/drawingml/2006/main">
          <a:off x="63500" y="7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INDOTHERS</a:t>
          </a:r>
        </a:p>
      </cdr:txBody>
    </cdr:sp>
  </cdr:relSizeAnchor>
  <cdr:relSizeAnchor xmlns:cdr="http://schemas.openxmlformats.org/drawingml/2006/chartDrawing">
    <cdr:from>
      <cdr:x>0.75498</cdr:x>
      <cdr:y>0.03124</cdr:y>
    </cdr:from>
    <cdr:to>
      <cdr:x>1</cdr:x>
      <cdr:y>0.0424</cdr:y>
    </cdr:to>
    <cdr:sp macro="" textlink="">
      <cdr:nvSpPr>
        <cdr:cNvPr id="542" name="TextBox 541"/>
        <cdr:cNvSpPr txBox="1"/>
      </cdr:nvSpPr>
      <cdr:spPr>
        <a:xfrm xmlns:a="http://schemas.openxmlformats.org/drawingml/2006/main">
          <a:off x="4815044" y="7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0.38 (0.07 – 2.01)</a:t>
          </a:r>
        </a:p>
      </cdr:txBody>
    </cdr:sp>
  </cdr:relSizeAnchor>
  <cdr:relSizeAnchor xmlns:cdr="http://schemas.openxmlformats.org/drawingml/2006/chartDrawing">
    <cdr:from>
      <cdr:x>0.01021</cdr:x>
      <cdr:y>0.00279</cdr:y>
    </cdr:from>
    <cdr:to>
      <cdr:x>0.41858</cdr:x>
      <cdr:y>0.0251</cdr:y>
    </cdr:to>
    <cdr:sp macro="" textlink="">
      <cdr:nvSpPr>
        <cdr:cNvPr id="543" name="TextBox 542"/>
        <cdr:cNvSpPr txBox="1"/>
      </cdr:nvSpPr>
      <cdr:spPr>
        <a:xfrm xmlns:a="http://schemas.openxmlformats.org/drawingml/2006/main">
          <a:off x="63500" y="63500"/>
          <a:ext cx="2540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Treatment 1 vs. Treatment 2</a:t>
          </a:r>
        </a:p>
      </cdr:txBody>
    </cdr:sp>
  </cdr:relSizeAnchor>
  <cdr:relSizeAnchor xmlns:cdr="http://schemas.openxmlformats.org/drawingml/2006/chartDrawing">
    <cdr:from>
      <cdr:x>0.75498</cdr:x>
      <cdr:y>0.00279</cdr:y>
    </cdr:from>
    <cdr:to>
      <cdr:x>1</cdr:x>
      <cdr:y>0.0251</cdr:y>
    </cdr:to>
    <cdr:sp macro="" textlink="">
      <cdr:nvSpPr>
        <cdr:cNvPr id="544" name="TextBox 543"/>
        <cdr:cNvSpPr txBox="1"/>
      </cdr:nvSpPr>
      <cdr:spPr>
        <a:xfrm xmlns:a="http://schemas.openxmlformats.org/drawingml/2006/main">
          <a:off x="4815044" y="63500"/>
          <a:ext cx="1524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O.R. (95% Cr.I.)</a:t>
          </a:r>
        </a:p>
      </cdr:txBody>
    </cdr:sp>
  </cdr:relSizeAnchor>
  <cdr:relSizeAnchor xmlns:cdr="http://schemas.openxmlformats.org/drawingml/2006/chartDrawing">
    <cdr:from>
      <cdr:x>0.3573</cdr:x>
      <cdr:y>0.97155</cdr:y>
    </cdr:from>
    <cdr:to>
      <cdr:x>0.60233</cdr:x>
      <cdr:y>0.98271</cdr:y>
    </cdr:to>
    <cdr:sp macro="" textlink="">
      <cdr:nvSpPr>
        <cdr:cNvPr id="545" name="TextBox 544"/>
        <cdr:cNvSpPr txBox="1"/>
      </cdr:nvSpPr>
      <cdr:spPr>
        <a:xfrm xmlns:a="http://schemas.openxmlformats.org/drawingml/2006/main">
          <a:off x="2222364" y="2211705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1</a:t>
          </a:r>
        </a:p>
      </cdr:txBody>
    </cdr:sp>
  </cdr:relSizeAnchor>
  <cdr:relSizeAnchor xmlns:cdr="http://schemas.openxmlformats.org/drawingml/2006/chartDrawing">
    <cdr:from>
      <cdr:x>0.56996</cdr:x>
      <cdr:y>0.97155</cdr:y>
    </cdr:from>
    <cdr:to>
      <cdr:x>0.81498</cdr:x>
      <cdr:y>0.98271</cdr:y>
    </cdr:to>
    <cdr:sp macro="" textlink="">
      <cdr:nvSpPr>
        <cdr:cNvPr id="546" name="TextBox 545"/>
        <cdr:cNvSpPr txBox="1"/>
      </cdr:nvSpPr>
      <cdr:spPr>
        <a:xfrm xmlns:a="http://schemas.openxmlformats.org/drawingml/2006/main">
          <a:off x="3545044" y="2211705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2</a:t>
          </a:r>
        </a:p>
      </cdr:txBody>
    </cdr:sp>
  </cdr:relSizeAnchor>
  <cdr:relSizeAnchor xmlns:cdr="http://schemas.openxmlformats.org/drawingml/2006/chartDrawing">
    <cdr:from>
      <cdr:x>0.47981</cdr:x>
      <cdr:y>0.98271</cdr:y>
    </cdr:from>
    <cdr:to>
      <cdr:x>0.81998</cdr:x>
      <cdr:y>0.99386</cdr:y>
    </cdr:to>
    <cdr:sp macro="" textlink="">
      <cdr:nvSpPr>
        <cdr:cNvPr id="547" name="TextBox 546"/>
        <cdr:cNvSpPr txBox="1"/>
      </cdr:nvSpPr>
      <cdr:spPr>
        <a:xfrm xmlns:a="http://schemas.openxmlformats.org/drawingml/2006/main">
          <a:off x="2984363" y="22371050"/>
          <a:ext cx="2115745"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Random Effects  (Non-Informative Prior)</a:t>
          </a:r>
        </a:p>
      </cdr:txBody>
    </cdr:sp>
  </cdr:relSizeAnchor>
  <cdr:relSizeAnchor xmlns:cdr="http://schemas.openxmlformats.org/drawingml/2006/chartDrawing">
    <cdr:from>
      <cdr:x>0.01021</cdr:x>
      <cdr:y>0.96039</cdr:y>
    </cdr:from>
    <cdr:to>
      <cdr:x>0.32227</cdr:x>
      <cdr:y>0.97713</cdr:y>
    </cdr:to>
    <cdr:sp macro="" textlink="">
      <cdr:nvSpPr>
        <cdr:cNvPr id="548" name="TextBox 547"/>
        <cdr:cNvSpPr txBox="1"/>
      </cdr:nvSpPr>
      <cdr:spPr>
        <a:xfrm xmlns:a="http://schemas.openxmlformats.org/drawingml/2006/main">
          <a:off x="63500" y="21863050"/>
          <a:ext cx="1940984"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800"/>
            <a:t>Heterogeneity (Non-Informative) = 0.1146 
95% CrI (0.0378 – 0.3073)</a:t>
          </a:r>
        </a:p>
      </cdr:txBody>
    </cdr:sp>
  </cdr:relSizeAnchor>
  <cdr:relSizeAnchor xmlns:cdr="http://schemas.openxmlformats.org/drawingml/2006/chartDrawing">
    <cdr:from>
      <cdr:x>0.01021</cdr:x>
      <cdr:y>0.97155</cdr:y>
    </cdr:from>
    <cdr:to>
      <cdr:x>0.29607</cdr:x>
      <cdr:y>0.98828</cdr:y>
    </cdr:to>
    <cdr:sp macro="" textlink="">
      <cdr:nvSpPr>
        <cdr:cNvPr id="549" name="TextBox 548"/>
        <cdr:cNvSpPr txBox="1"/>
      </cdr:nvSpPr>
      <cdr:spPr>
        <a:xfrm xmlns:a="http://schemas.openxmlformats.org/drawingml/2006/main">
          <a:off x="63500" y="22117050"/>
          <a:ext cx="1778000"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endParaRPr lang="en-US" sz="800"/>
        </a:p>
      </cdr:txBody>
    </cdr:sp>
  </cdr:rel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29" t="s">
        <v>250</v>
      </c>
      <c r="D30" s="229"/>
      <c r="E30" s="229"/>
      <c r="F30" s="229"/>
      <c r="G30" s="229"/>
      <c r="H30" s="229"/>
      <c r="I30" s="229"/>
      <c r="J30" s="229"/>
      <c r="K30" s="229"/>
      <c r="L30" s="229"/>
      <c r="M30" s="229"/>
    </row>
    <row r="31" spans="3:13" x14ac:dyDescent="0.25">
      <c r="C31" s="229"/>
      <c r="D31" s="229"/>
      <c r="E31" s="229"/>
      <c r="F31" s="229"/>
      <c r="G31" s="229"/>
      <c r="H31" s="229"/>
      <c r="I31" s="229"/>
      <c r="J31" s="229"/>
      <c r="K31" s="229"/>
      <c r="L31" s="229"/>
      <c r="M31" s="229"/>
    </row>
    <row r="32" spans="3:13" x14ac:dyDescent="0.25">
      <c r="C32" s="229"/>
      <c r="D32" s="229"/>
      <c r="E32" s="229"/>
      <c r="F32" s="229"/>
      <c r="G32" s="229"/>
      <c r="H32" s="229"/>
      <c r="I32" s="229"/>
      <c r="J32" s="229"/>
      <c r="K32" s="229"/>
      <c r="L32" s="229"/>
      <c r="M32" s="229"/>
    </row>
    <row r="33" spans="3:13" x14ac:dyDescent="0.25">
      <c r="C33" s="229"/>
      <c r="D33" s="229"/>
      <c r="E33" s="229"/>
      <c r="F33" s="229"/>
      <c r="G33" s="229"/>
      <c r="H33" s="229"/>
      <c r="I33" s="229"/>
      <c r="J33" s="229"/>
      <c r="K33" s="229"/>
      <c r="L33" s="229"/>
      <c r="M33" s="229"/>
    </row>
    <row r="34" spans="3:13" x14ac:dyDescent="0.25">
      <c r="C34" s="229"/>
      <c r="D34" s="229"/>
      <c r="E34" s="229"/>
      <c r="F34" s="229"/>
      <c r="G34" s="229"/>
      <c r="H34" s="229"/>
      <c r="I34" s="229"/>
      <c r="J34" s="229"/>
      <c r="K34" s="229"/>
      <c r="L34" s="229"/>
      <c r="M34" s="229"/>
    </row>
    <row r="35" spans="3:13" x14ac:dyDescent="0.25">
      <c r="C35" s="229"/>
      <c r="D35" s="229"/>
      <c r="E35" s="229"/>
      <c r="F35" s="229"/>
      <c r="G35" s="229"/>
      <c r="H35" s="229"/>
      <c r="I35" s="229"/>
      <c r="J35" s="229"/>
      <c r="K35" s="229"/>
      <c r="L35" s="229"/>
      <c r="M35" s="229"/>
    </row>
    <row r="36" spans="3:13" x14ac:dyDescent="0.25">
      <c r="C36" s="229"/>
      <c r="D36" s="229"/>
      <c r="E36" s="229"/>
      <c r="F36" s="229"/>
      <c r="G36" s="229"/>
      <c r="H36" s="229"/>
      <c r="I36" s="229"/>
      <c r="J36" s="229"/>
      <c r="K36" s="229"/>
      <c r="L36" s="229"/>
      <c r="M36" s="229"/>
    </row>
    <row r="37" spans="3:13" x14ac:dyDescent="0.25">
      <c r="C37" s="229"/>
      <c r="D37" s="229"/>
      <c r="E37" s="229"/>
      <c r="F37" s="229"/>
      <c r="G37" s="229"/>
      <c r="H37" s="229"/>
      <c r="I37" s="229"/>
      <c r="J37" s="229"/>
      <c r="K37" s="229"/>
      <c r="L37" s="229"/>
      <c r="M37" s="229"/>
    </row>
    <row r="38" spans="3:13" x14ac:dyDescent="0.25">
      <c r="C38" s="229"/>
      <c r="D38" s="229"/>
      <c r="E38" s="229"/>
      <c r="F38" s="229"/>
      <c r="G38" s="229"/>
      <c r="H38" s="229"/>
      <c r="I38" s="229"/>
      <c r="J38" s="229"/>
      <c r="K38" s="229"/>
      <c r="L38" s="229"/>
      <c r="M38" s="229"/>
    </row>
    <row r="39" spans="3:13" x14ac:dyDescent="0.25">
      <c r="C39" s="229"/>
      <c r="D39" s="229"/>
      <c r="E39" s="229"/>
      <c r="F39" s="229"/>
      <c r="G39" s="229"/>
      <c r="H39" s="229"/>
      <c r="I39" s="229"/>
      <c r="J39" s="229"/>
      <c r="K39" s="229"/>
      <c r="L39" s="229"/>
      <c r="M39" s="229"/>
    </row>
    <row r="40" spans="3:13" x14ac:dyDescent="0.25">
      <c r="C40" s="229"/>
      <c r="D40" s="229"/>
      <c r="E40" s="229"/>
      <c r="F40" s="229"/>
      <c r="G40" s="229"/>
      <c r="H40" s="229"/>
      <c r="I40" s="229"/>
      <c r="J40" s="229"/>
      <c r="K40" s="229"/>
      <c r="L40" s="229"/>
      <c r="M40" s="229"/>
    </row>
    <row r="41" spans="3:13" x14ac:dyDescent="0.25">
      <c r="C41" s="229"/>
      <c r="D41" s="229"/>
      <c r="E41" s="229"/>
      <c r="F41" s="229"/>
      <c r="G41" s="229"/>
      <c r="H41" s="229"/>
      <c r="I41" s="229"/>
      <c r="J41" s="229"/>
      <c r="K41" s="229"/>
      <c r="L41" s="229"/>
      <c r="M41" s="229"/>
    </row>
    <row r="42" spans="3:13" x14ac:dyDescent="0.25">
      <c r="C42" s="229"/>
      <c r="D42" s="229"/>
      <c r="E42" s="229"/>
      <c r="F42" s="229"/>
      <c r="G42" s="229"/>
      <c r="H42" s="229"/>
      <c r="I42" s="229"/>
      <c r="J42" s="229"/>
      <c r="K42" s="229"/>
      <c r="L42" s="229"/>
      <c r="M42" s="229"/>
    </row>
    <row r="43" spans="3:13" x14ac:dyDescent="0.25">
      <c r="C43" s="229"/>
      <c r="D43" s="229"/>
      <c r="E43" s="229"/>
      <c r="F43" s="229"/>
      <c r="G43" s="229"/>
      <c r="H43" s="229"/>
      <c r="I43" s="229"/>
      <c r="J43" s="229"/>
      <c r="K43" s="229"/>
      <c r="L43" s="229"/>
      <c r="M43" s="229"/>
    </row>
    <row r="44" spans="3:13" x14ac:dyDescent="0.25">
      <c r="C44" s="229"/>
      <c r="D44" s="229"/>
      <c r="E44" s="229"/>
      <c r="F44" s="229"/>
      <c r="G44" s="229"/>
      <c r="H44" s="229"/>
      <c r="I44" s="229"/>
      <c r="J44" s="229"/>
      <c r="K44" s="229"/>
      <c r="L44" s="229"/>
      <c r="M44" s="229"/>
    </row>
    <row r="45" spans="3:13" x14ac:dyDescent="0.25">
      <c r="C45" s="229"/>
      <c r="D45" s="229"/>
      <c r="E45" s="229"/>
      <c r="F45" s="229"/>
      <c r="G45" s="229"/>
      <c r="H45" s="229"/>
      <c r="I45" s="229"/>
      <c r="J45" s="229"/>
      <c r="K45" s="229"/>
      <c r="L45" s="229"/>
      <c r="M45" s="229"/>
    </row>
    <row r="46" spans="3:13" x14ac:dyDescent="0.25">
      <c r="C46" s="229"/>
      <c r="D46" s="229"/>
      <c r="E46" s="229"/>
      <c r="F46" s="229"/>
      <c r="G46" s="229"/>
      <c r="H46" s="229"/>
      <c r="I46" s="229"/>
      <c r="J46" s="229"/>
      <c r="K46" s="229"/>
      <c r="L46" s="229"/>
      <c r="M46" s="229"/>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22" zoomScale="120" zoomScaleNormal="120" workbookViewId="0">
      <selection activeCell="C31" sqref="C31"/>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40000</v>
      </c>
      <c r="F9" s="230" t="s">
        <v>118</v>
      </c>
      <c r="G9" s="231"/>
      <c r="H9" s="232"/>
    </row>
    <row r="10" spans="2:16" ht="15.75" thickBot="1" x14ac:dyDescent="0.3">
      <c r="B10" s="20"/>
      <c r="C10" s="18" t="s">
        <v>36</v>
      </c>
      <c r="D10" s="174">
        <v>40000</v>
      </c>
      <c r="F10" s="233"/>
      <c r="G10" s="234"/>
      <c r="H10" s="235"/>
    </row>
    <row r="11" spans="2:16" ht="15.75" customHeight="1" thickTop="1" x14ac:dyDescent="0.25">
      <c r="B11" s="20"/>
      <c r="C11" s="18" t="s">
        <v>68</v>
      </c>
      <c r="D11" s="168" t="b">
        <v>1</v>
      </c>
      <c r="F11" s="230" t="s">
        <v>117</v>
      </c>
      <c r="G11" s="231"/>
      <c r="H11" s="232"/>
    </row>
    <row r="12" spans="2:16" ht="15.75" thickBot="1" x14ac:dyDescent="0.3">
      <c r="B12" s="20"/>
      <c r="C12" s="18" t="s">
        <v>67</v>
      </c>
      <c r="D12" s="169" t="b">
        <v>1</v>
      </c>
      <c r="F12" s="239"/>
      <c r="G12" s="240"/>
      <c r="H12" s="241"/>
    </row>
    <row r="13" spans="2:16" ht="34.5" customHeight="1" thickTop="1" thickBot="1" x14ac:dyDescent="0.3">
      <c r="B13" s="21" t="s">
        <v>71</v>
      </c>
    </row>
    <row r="14" spans="2:16" ht="15.75" customHeight="1" thickTop="1" x14ac:dyDescent="0.25">
      <c r="B14" s="20"/>
      <c r="C14" s="18" t="s">
        <v>136</v>
      </c>
      <c r="D14" s="167">
        <v>0</v>
      </c>
      <c r="F14" s="230" t="s">
        <v>119</v>
      </c>
      <c r="G14" s="231"/>
      <c r="H14" s="232"/>
    </row>
    <row r="15" spans="2:16" ht="15" customHeight="1" x14ac:dyDescent="0.25">
      <c r="B15" s="20"/>
      <c r="C15" s="18" t="s">
        <v>137</v>
      </c>
      <c r="D15" s="168">
        <v>2</v>
      </c>
      <c r="F15" s="239"/>
      <c r="G15" s="240"/>
      <c r="H15" s="241"/>
    </row>
    <row r="16" spans="2:16" ht="15" customHeight="1" x14ac:dyDescent="0.25">
      <c r="B16" s="20"/>
      <c r="C16" s="18" t="s">
        <v>270</v>
      </c>
      <c r="D16" s="168">
        <v>1</v>
      </c>
      <c r="F16" s="239"/>
      <c r="G16" s="240"/>
      <c r="H16" s="241"/>
    </row>
    <row r="17" spans="2:8" ht="15.75" customHeight="1" thickBot="1" x14ac:dyDescent="0.3">
      <c r="B17" s="20"/>
      <c r="C17" s="18" t="s">
        <v>271</v>
      </c>
      <c r="D17" s="169">
        <v>2</v>
      </c>
      <c r="F17" s="233"/>
      <c r="G17" s="234"/>
      <c r="H17" s="235"/>
    </row>
    <row r="18" spans="2:8" ht="33.75" customHeight="1" thickTop="1" thickBot="1" x14ac:dyDescent="0.3">
      <c r="B18" s="21" t="s">
        <v>115</v>
      </c>
    </row>
    <row r="19" spans="2:8" ht="35.25" customHeight="1" thickTop="1" thickBot="1" x14ac:dyDescent="0.3">
      <c r="C19" s="24" t="s">
        <v>34</v>
      </c>
      <c r="D19" s="170" t="s">
        <v>298</v>
      </c>
      <c r="E19" t="s">
        <v>82</v>
      </c>
      <c r="F19" s="236" t="s">
        <v>133</v>
      </c>
      <c r="G19" s="237"/>
      <c r="H19" s="238"/>
    </row>
    <row r="20" spans="2:8" ht="33" customHeight="1" thickTop="1" x14ac:dyDescent="0.25">
      <c r="C20" s="25" t="s">
        <v>48</v>
      </c>
      <c r="D20" s="170" t="s">
        <v>314</v>
      </c>
      <c r="F20" s="230" t="s">
        <v>138</v>
      </c>
      <c r="G20" s="231"/>
      <c r="H20" s="232"/>
    </row>
    <row r="21" spans="2:8" ht="33" customHeight="1" thickBot="1" x14ac:dyDescent="0.3">
      <c r="C21" s="24" t="s">
        <v>49</v>
      </c>
      <c r="D21" s="170" t="s">
        <v>315</v>
      </c>
      <c r="F21" s="233"/>
      <c r="G21" s="234"/>
      <c r="H21" s="235"/>
    </row>
    <row r="22" spans="2:8" ht="15.75" customHeight="1" thickTop="1" x14ac:dyDescent="0.25">
      <c r="C22" s="18" t="s">
        <v>56</v>
      </c>
      <c r="D22" s="171" t="s">
        <v>58</v>
      </c>
      <c r="F22" s="230" t="s">
        <v>120</v>
      </c>
      <c r="G22" s="231"/>
      <c r="H22" s="232"/>
    </row>
    <row r="23" spans="2:8" ht="15.75" thickBot="1" x14ac:dyDescent="0.3">
      <c r="C23" s="18" t="s">
        <v>57</v>
      </c>
      <c r="D23" s="171" t="s">
        <v>59</v>
      </c>
      <c r="F23" s="233"/>
      <c r="G23" s="234"/>
      <c r="H23" s="235"/>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273</v>
      </c>
      <c r="D30" s="176" t="b">
        <v>1</v>
      </c>
      <c r="F30" s="236" t="s">
        <v>274</v>
      </c>
      <c r="G30" s="237"/>
      <c r="H30" s="238"/>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1" zoomScale="80" zoomScaleNormal="80" workbookViewId="0">
      <selection activeCell="I27" sqref="I27:X27"/>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25</v>
      </c>
      <c r="D2" s="142" t="s">
        <v>14</v>
      </c>
      <c r="G2" s="60"/>
      <c r="H2" s="60"/>
    </row>
    <row r="3" spans="3:34" ht="19.5" thickBot="1" x14ac:dyDescent="0.35">
      <c r="C3" s="143">
        <f>COUNTIF(E5:AH5,"&lt;&gt;")</f>
        <v>10</v>
      </c>
      <c r="D3" s="142" t="s">
        <v>15</v>
      </c>
      <c r="E3" s="244" t="s">
        <v>231</v>
      </c>
      <c r="F3" s="245"/>
      <c r="G3" s="245"/>
      <c r="H3" s="245"/>
      <c r="I3" s="245"/>
      <c r="J3" s="245"/>
      <c r="K3" s="245"/>
      <c r="L3" s="245"/>
      <c r="M3" s="245"/>
      <c r="N3" s="245"/>
      <c r="O3" s="245"/>
      <c r="P3" s="245"/>
      <c r="Q3" s="245"/>
      <c r="R3" s="245"/>
      <c r="S3" s="245"/>
      <c r="T3" s="245"/>
      <c r="U3" s="245"/>
      <c r="V3" s="245"/>
      <c r="W3" s="245"/>
      <c r="X3" s="245"/>
      <c r="Y3" s="245"/>
      <c r="Z3" s="245"/>
      <c r="AA3" s="245"/>
      <c r="AB3" s="245"/>
      <c r="AC3" s="245"/>
      <c r="AD3" s="245"/>
      <c r="AE3" s="245"/>
      <c r="AF3" s="245"/>
      <c r="AG3" s="245"/>
      <c r="AH3" s="246"/>
    </row>
    <row r="4" spans="3:34" ht="15.75" thickBot="1" x14ac:dyDescent="0.3">
      <c r="C4" s="143">
        <f>COUNTIF(F7:F56,"&lt;&gt;")</f>
        <v>11</v>
      </c>
      <c r="D4" s="142" t="s">
        <v>114</v>
      </c>
      <c r="E4" s="242">
        <v>1</v>
      </c>
      <c r="F4" s="243"/>
      <c r="G4" s="242">
        <f>E4+1</f>
        <v>2</v>
      </c>
      <c r="H4" s="243"/>
      <c r="I4" s="242">
        <f>G4+1</f>
        <v>3</v>
      </c>
      <c r="J4" s="243"/>
      <c r="K4" s="242">
        <f>I4+1</f>
        <v>4</v>
      </c>
      <c r="L4" s="243"/>
      <c r="M4" s="242">
        <f>K4+1</f>
        <v>5</v>
      </c>
      <c r="N4" s="243"/>
      <c r="O4" s="242">
        <f>M4+1</f>
        <v>6</v>
      </c>
      <c r="P4" s="243"/>
      <c r="Q4" s="242">
        <f>O4+1</f>
        <v>7</v>
      </c>
      <c r="R4" s="243"/>
      <c r="S4" s="242">
        <f>Q4+1</f>
        <v>8</v>
      </c>
      <c r="T4" s="243"/>
      <c r="U4" s="242">
        <f>S4+1</f>
        <v>9</v>
      </c>
      <c r="V4" s="243"/>
      <c r="W4" s="242">
        <f>U4+1</f>
        <v>10</v>
      </c>
      <c r="X4" s="243"/>
      <c r="Y4" s="242">
        <f>W4+1</f>
        <v>11</v>
      </c>
      <c r="Z4" s="243"/>
      <c r="AA4" s="242">
        <f>Y4+1</f>
        <v>12</v>
      </c>
      <c r="AB4" s="243"/>
      <c r="AC4" s="242">
        <f>AA4+1</f>
        <v>13</v>
      </c>
      <c r="AD4" s="243"/>
      <c r="AE4" s="242">
        <f>AC4+1</f>
        <v>14</v>
      </c>
      <c r="AF4" s="243"/>
      <c r="AG4" s="242">
        <f>AE4+1</f>
        <v>15</v>
      </c>
      <c r="AH4" s="243"/>
    </row>
    <row r="5" spans="3:34" ht="19.5" customHeight="1" thickBot="1" x14ac:dyDescent="0.3">
      <c r="C5" s="254" t="s">
        <v>9</v>
      </c>
      <c r="D5" s="140" t="s">
        <v>241</v>
      </c>
      <c r="E5" s="252" t="s">
        <v>352</v>
      </c>
      <c r="F5" s="253"/>
      <c r="G5" s="250" t="s">
        <v>353</v>
      </c>
      <c r="H5" s="251"/>
      <c r="I5" s="250" t="s">
        <v>354</v>
      </c>
      <c r="J5" s="251"/>
      <c r="K5" s="250" t="s">
        <v>355</v>
      </c>
      <c r="L5" s="251"/>
      <c r="M5" s="250" t="s">
        <v>356</v>
      </c>
      <c r="N5" s="251"/>
      <c r="O5" s="250" t="s">
        <v>357</v>
      </c>
      <c r="P5" s="251"/>
      <c r="Q5" s="250" t="s">
        <v>358</v>
      </c>
      <c r="R5" s="251"/>
      <c r="S5" s="250" t="s">
        <v>359</v>
      </c>
      <c r="T5" s="251"/>
      <c r="U5" s="250" t="s">
        <v>360</v>
      </c>
      <c r="V5" s="251"/>
      <c r="W5" s="250" t="s">
        <v>361</v>
      </c>
      <c r="X5" s="251"/>
      <c r="Y5" s="250"/>
      <c r="Z5" s="251"/>
      <c r="AA5" s="250"/>
      <c r="AB5" s="251"/>
      <c r="AC5" s="250"/>
      <c r="AD5" s="251"/>
      <c r="AE5" s="250"/>
      <c r="AF5" s="251"/>
      <c r="AG5" s="250"/>
      <c r="AH5" s="251"/>
    </row>
    <row r="6" spans="3:34" ht="32.25" customHeight="1" thickBot="1" x14ac:dyDescent="0.3">
      <c r="C6" s="255"/>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2</v>
      </c>
      <c r="E7" s="62"/>
      <c r="F7" s="63"/>
      <c r="G7" s="62">
        <v>25</v>
      </c>
      <c r="H7" s="63">
        <v>68</v>
      </c>
      <c r="I7" s="62"/>
      <c r="J7" s="63"/>
      <c r="K7" s="62"/>
      <c r="L7" s="63"/>
      <c r="M7" s="62"/>
      <c r="N7" s="63"/>
      <c r="O7" s="62"/>
      <c r="P7" s="63"/>
      <c r="Q7" s="62"/>
      <c r="R7" s="63"/>
      <c r="S7" s="62"/>
      <c r="T7" s="63"/>
      <c r="U7" s="62"/>
      <c r="V7" s="63"/>
      <c r="W7" s="62">
        <v>25</v>
      </c>
      <c r="X7" s="63">
        <v>68</v>
      </c>
      <c r="Y7" s="62"/>
      <c r="Z7" s="63"/>
      <c r="AA7" s="62"/>
      <c r="AB7" s="63"/>
      <c r="AC7" s="62"/>
      <c r="AD7" s="63"/>
      <c r="AE7" s="62"/>
      <c r="AF7" s="63"/>
      <c r="AG7" s="62"/>
      <c r="AH7" s="63"/>
    </row>
    <row r="8" spans="3:34" x14ac:dyDescent="0.25">
      <c r="C8" s="79">
        <v>2</v>
      </c>
      <c r="D8" s="61">
        <v>4</v>
      </c>
      <c r="E8" s="62">
        <v>7</v>
      </c>
      <c r="F8" s="63">
        <v>39</v>
      </c>
      <c r="G8" s="62"/>
      <c r="H8" s="63"/>
      <c r="I8" s="62"/>
      <c r="J8" s="63"/>
      <c r="K8" s="62">
        <v>8</v>
      </c>
      <c r="L8" s="63">
        <v>38</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7</v>
      </c>
      <c r="E9" s="62"/>
      <c r="F9" s="63"/>
      <c r="G9" s="62"/>
      <c r="H9" s="63"/>
      <c r="I9" s="62">
        <v>10</v>
      </c>
      <c r="J9" s="63">
        <v>80</v>
      </c>
      <c r="K9" s="62">
        <v>9</v>
      </c>
      <c r="L9" s="63">
        <v>80</v>
      </c>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8</v>
      </c>
      <c r="E10" s="62"/>
      <c r="F10" s="63"/>
      <c r="G10" s="62">
        <v>4</v>
      </c>
      <c r="H10" s="63">
        <v>34</v>
      </c>
      <c r="I10" s="62">
        <v>5</v>
      </c>
      <c r="J10" s="63">
        <v>36</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9</v>
      </c>
      <c r="E11" s="62"/>
      <c r="F11" s="63"/>
      <c r="G11" s="62">
        <v>6</v>
      </c>
      <c r="H11" s="63">
        <v>50</v>
      </c>
      <c r="I11" s="62">
        <v>8</v>
      </c>
      <c r="J11" s="63">
        <v>52</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10</v>
      </c>
      <c r="E12" s="62"/>
      <c r="F12" s="63"/>
      <c r="G12" s="62"/>
      <c r="H12" s="63"/>
      <c r="I12" s="62">
        <v>5</v>
      </c>
      <c r="J12" s="63">
        <v>33</v>
      </c>
      <c r="K12" s="62"/>
      <c r="L12" s="63"/>
      <c r="M12" s="62"/>
      <c r="N12" s="63"/>
      <c r="O12" s="62"/>
      <c r="P12" s="63"/>
      <c r="Q12" s="62"/>
      <c r="R12" s="63"/>
      <c r="S12" s="62"/>
      <c r="T12" s="63"/>
      <c r="U12" s="62"/>
      <c r="V12" s="63"/>
      <c r="W12" s="62">
        <v>6</v>
      </c>
      <c r="X12" s="63">
        <v>33</v>
      </c>
      <c r="Y12" s="62"/>
      <c r="Z12" s="63"/>
      <c r="AA12" s="62"/>
      <c r="AB12" s="63"/>
      <c r="AC12" s="62"/>
      <c r="AD12" s="63"/>
      <c r="AE12" s="62"/>
      <c r="AF12" s="63"/>
      <c r="AG12" s="62"/>
      <c r="AH12" s="63"/>
    </row>
    <row r="13" spans="3:34" x14ac:dyDescent="0.25">
      <c r="C13" s="79">
        <v>7</v>
      </c>
      <c r="D13" s="61">
        <v>11</v>
      </c>
      <c r="E13" s="62"/>
      <c r="F13" s="63"/>
      <c r="G13" s="62">
        <v>13</v>
      </c>
      <c r="H13" s="63">
        <v>32</v>
      </c>
      <c r="I13" s="62">
        <v>12</v>
      </c>
      <c r="J13" s="63">
        <v>32</v>
      </c>
      <c r="K13" s="62"/>
      <c r="L13" s="63"/>
      <c r="M13" s="62"/>
      <c r="N13" s="63"/>
      <c r="O13" s="62"/>
      <c r="P13" s="63"/>
      <c r="Q13" s="62"/>
      <c r="R13" s="63"/>
      <c r="S13" s="62"/>
      <c r="T13" s="63"/>
      <c r="U13" s="62"/>
      <c r="V13" s="63"/>
      <c r="W13" s="62"/>
      <c r="X13" s="63"/>
      <c r="Y13" s="62"/>
      <c r="Z13" s="63"/>
      <c r="AA13" s="62"/>
      <c r="AB13" s="63"/>
      <c r="AC13" s="62"/>
      <c r="AD13" s="63"/>
      <c r="AE13" s="62"/>
      <c r="AF13" s="63"/>
      <c r="AG13" s="62"/>
      <c r="AH13" s="63"/>
    </row>
    <row r="14" spans="3:34" x14ac:dyDescent="0.25">
      <c r="C14" s="79">
        <v>8</v>
      </c>
      <c r="D14" s="61">
        <v>13</v>
      </c>
      <c r="E14" s="62">
        <v>1</v>
      </c>
      <c r="F14" s="63">
        <v>15</v>
      </c>
      <c r="G14" s="62"/>
      <c r="H14" s="63"/>
      <c r="I14" s="62">
        <v>3</v>
      </c>
      <c r="J14" s="63">
        <v>15</v>
      </c>
      <c r="K14" s="62"/>
      <c r="L14" s="63"/>
      <c r="M14" s="62"/>
      <c r="N14" s="63"/>
      <c r="O14" s="62"/>
      <c r="P14" s="63"/>
      <c r="Q14" s="62"/>
      <c r="R14" s="63"/>
      <c r="S14" s="62"/>
      <c r="T14" s="63"/>
      <c r="U14" s="62"/>
      <c r="V14" s="63"/>
      <c r="W14" s="62"/>
      <c r="X14" s="63"/>
      <c r="Y14" s="62"/>
      <c r="Z14" s="63"/>
      <c r="AA14" s="62"/>
      <c r="AB14" s="63"/>
      <c r="AC14" s="62"/>
      <c r="AD14" s="63"/>
      <c r="AE14" s="62"/>
      <c r="AF14" s="63"/>
      <c r="AG14" s="62"/>
      <c r="AH14" s="63"/>
    </row>
    <row r="15" spans="3:34" x14ac:dyDescent="0.25">
      <c r="C15" s="79">
        <v>9</v>
      </c>
      <c r="D15" s="61">
        <v>14</v>
      </c>
      <c r="E15" s="62">
        <v>0</v>
      </c>
      <c r="F15" s="63">
        <v>14</v>
      </c>
      <c r="G15" s="62"/>
      <c r="H15" s="63"/>
      <c r="I15" s="62"/>
      <c r="J15" s="63"/>
      <c r="K15" s="62"/>
      <c r="L15" s="63"/>
      <c r="M15" s="62"/>
      <c r="N15" s="63"/>
      <c r="O15" s="62"/>
      <c r="P15" s="63"/>
      <c r="Q15" s="62"/>
      <c r="R15" s="63"/>
      <c r="S15" s="62">
        <v>0</v>
      </c>
      <c r="T15" s="63">
        <v>18</v>
      </c>
      <c r="U15" s="62"/>
      <c r="V15" s="63"/>
      <c r="W15" s="62"/>
      <c r="X15" s="63"/>
      <c r="Y15" s="62"/>
      <c r="Z15" s="63"/>
      <c r="AA15" s="62"/>
      <c r="AB15" s="63"/>
      <c r="AC15" s="62"/>
      <c r="AD15" s="63"/>
      <c r="AE15" s="62"/>
      <c r="AF15" s="63"/>
      <c r="AG15" s="62"/>
      <c r="AH15" s="63"/>
    </row>
    <row r="16" spans="3:34" x14ac:dyDescent="0.25">
      <c r="C16" s="79">
        <v>10</v>
      </c>
      <c r="D16" s="61">
        <v>18</v>
      </c>
      <c r="E16" s="62"/>
      <c r="F16" s="63"/>
      <c r="G16" s="62">
        <v>6</v>
      </c>
      <c r="H16" s="63">
        <v>35</v>
      </c>
      <c r="I16" s="62"/>
      <c r="J16" s="63"/>
      <c r="K16" s="62"/>
      <c r="L16" s="63"/>
      <c r="M16" s="62">
        <v>4</v>
      </c>
      <c r="N16" s="63">
        <v>35</v>
      </c>
      <c r="O16" s="62"/>
      <c r="P16" s="63"/>
      <c r="Q16" s="62"/>
      <c r="R16" s="63"/>
      <c r="S16" s="62"/>
      <c r="T16" s="63"/>
      <c r="U16" s="62"/>
      <c r="V16" s="63"/>
      <c r="W16" s="62"/>
      <c r="X16" s="63"/>
      <c r="Y16" s="62"/>
      <c r="Z16" s="63"/>
      <c r="AA16" s="62"/>
      <c r="AB16" s="63"/>
      <c r="AC16" s="62"/>
      <c r="AD16" s="63"/>
      <c r="AE16" s="62"/>
      <c r="AF16" s="63"/>
      <c r="AG16" s="62"/>
      <c r="AH16" s="63"/>
    </row>
    <row r="17" spans="3:34" x14ac:dyDescent="0.25">
      <c r="C17" s="79">
        <v>11</v>
      </c>
      <c r="D17" s="61">
        <v>19</v>
      </c>
      <c r="E17" s="62"/>
      <c r="F17" s="63"/>
      <c r="G17" s="62"/>
      <c r="H17" s="63"/>
      <c r="I17" s="62">
        <v>5</v>
      </c>
      <c r="J17" s="63">
        <v>18</v>
      </c>
      <c r="K17" s="62"/>
      <c r="L17" s="63"/>
      <c r="M17" s="62"/>
      <c r="N17" s="63"/>
      <c r="O17" s="62"/>
      <c r="P17" s="63"/>
      <c r="Q17" s="62"/>
      <c r="R17" s="63"/>
      <c r="S17" s="62"/>
      <c r="T17" s="63"/>
      <c r="U17" s="62">
        <v>7</v>
      </c>
      <c r="V17" s="63">
        <v>18</v>
      </c>
      <c r="W17" s="62"/>
      <c r="X17" s="63"/>
      <c r="Y17" s="62"/>
      <c r="Z17" s="63"/>
      <c r="AA17" s="62"/>
      <c r="AB17" s="63"/>
      <c r="AC17" s="62"/>
      <c r="AD17" s="63"/>
      <c r="AE17" s="62"/>
      <c r="AF17" s="63"/>
      <c r="AG17" s="62"/>
      <c r="AH17" s="63"/>
    </row>
    <row r="18" spans="3:34" x14ac:dyDescent="0.25">
      <c r="C18" s="79">
        <v>12</v>
      </c>
      <c r="D18" s="61">
        <v>25</v>
      </c>
      <c r="E18" s="62"/>
      <c r="F18" s="63"/>
      <c r="G18" s="62">
        <v>7</v>
      </c>
      <c r="H18" s="63">
        <v>56</v>
      </c>
      <c r="I18" s="62"/>
      <c r="J18" s="63"/>
      <c r="K18" s="62"/>
      <c r="L18" s="63"/>
      <c r="M18" s="62"/>
      <c r="N18" s="63"/>
      <c r="O18" s="62"/>
      <c r="P18" s="63"/>
      <c r="Q18" s="62">
        <v>5</v>
      </c>
      <c r="R18" s="63">
        <v>55</v>
      </c>
      <c r="S18" s="62"/>
      <c r="T18" s="63"/>
      <c r="U18" s="62"/>
      <c r="V18" s="63"/>
      <c r="W18" s="62"/>
      <c r="X18" s="63"/>
      <c r="Y18" s="62"/>
      <c r="Z18" s="63"/>
      <c r="AA18" s="62"/>
      <c r="AB18" s="63"/>
      <c r="AC18" s="62"/>
      <c r="AD18" s="63"/>
      <c r="AE18" s="62"/>
      <c r="AF18" s="63"/>
      <c r="AG18" s="62"/>
      <c r="AH18" s="63"/>
    </row>
    <row r="19" spans="3:34" x14ac:dyDescent="0.25">
      <c r="C19" s="79">
        <v>13</v>
      </c>
      <c r="D19" s="61">
        <v>33</v>
      </c>
      <c r="E19" s="62">
        <v>12</v>
      </c>
      <c r="F19" s="63">
        <v>35</v>
      </c>
      <c r="G19" s="62"/>
      <c r="H19" s="63"/>
      <c r="I19" s="62"/>
      <c r="J19" s="63"/>
      <c r="K19" s="62"/>
      <c r="L19" s="63"/>
      <c r="M19" s="62"/>
      <c r="N19" s="63"/>
      <c r="O19" s="62"/>
      <c r="P19" s="63"/>
      <c r="Q19" s="62"/>
      <c r="R19" s="63"/>
      <c r="S19" s="62"/>
      <c r="T19" s="63"/>
      <c r="U19" s="62"/>
      <c r="V19" s="63"/>
      <c r="W19" s="62">
        <v>8</v>
      </c>
      <c r="X19" s="63">
        <v>35</v>
      </c>
      <c r="Y19" s="62"/>
      <c r="Z19" s="63"/>
      <c r="AA19" s="62"/>
      <c r="AB19" s="63"/>
      <c r="AC19" s="62"/>
      <c r="AD19" s="63"/>
      <c r="AE19" s="62"/>
      <c r="AF19" s="63"/>
      <c r="AG19" s="62"/>
      <c r="AH19" s="63"/>
    </row>
    <row r="20" spans="3:34" x14ac:dyDescent="0.25">
      <c r="C20" s="79">
        <v>14</v>
      </c>
      <c r="D20" s="61">
        <v>35</v>
      </c>
      <c r="E20" s="62">
        <v>4</v>
      </c>
      <c r="F20" s="63">
        <v>20</v>
      </c>
      <c r="G20" s="62">
        <v>3</v>
      </c>
      <c r="H20" s="63">
        <v>20</v>
      </c>
      <c r="I20" s="62"/>
      <c r="J20" s="63"/>
      <c r="K20" s="62"/>
      <c r="L20" s="63"/>
      <c r="M20" s="62"/>
      <c r="N20" s="63"/>
      <c r="O20" s="62"/>
      <c r="P20" s="63"/>
      <c r="Q20" s="62"/>
      <c r="R20" s="63"/>
      <c r="S20" s="62"/>
      <c r="T20" s="63"/>
      <c r="U20" s="62"/>
      <c r="V20" s="63"/>
      <c r="W20" s="62"/>
      <c r="X20" s="63"/>
      <c r="Y20" s="62"/>
      <c r="Z20" s="63"/>
      <c r="AA20" s="62"/>
      <c r="AB20" s="63"/>
      <c r="AC20" s="62"/>
      <c r="AD20" s="63"/>
      <c r="AE20" s="62"/>
      <c r="AF20" s="63"/>
      <c r="AG20" s="62"/>
      <c r="AH20" s="63"/>
    </row>
    <row r="21" spans="3:34" x14ac:dyDescent="0.25">
      <c r="C21" s="79">
        <v>15</v>
      </c>
      <c r="D21" s="61">
        <v>46</v>
      </c>
      <c r="E21" s="62"/>
      <c r="F21" s="63"/>
      <c r="G21" s="62"/>
      <c r="H21" s="63"/>
      <c r="I21" s="62">
        <v>10</v>
      </c>
      <c r="J21" s="63">
        <v>31</v>
      </c>
      <c r="K21" s="62"/>
      <c r="L21" s="63"/>
      <c r="M21" s="62"/>
      <c r="N21" s="63"/>
      <c r="O21" s="62"/>
      <c r="P21" s="63"/>
      <c r="Q21" s="62"/>
      <c r="R21" s="63"/>
      <c r="S21" s="62"/>
      <c r="T21" s="63"/>
      <c r="U21" s="62"/>
      <c r="V21" s="63"/>
      <c r="W21" s="62">
        <v>10</v>
      </c>
      <c r="X21" s="63">
        <v>31</v>
      </c>
      <c r="Y21" s="62"/>
      <c r="Z21" s="63"/>
      <c r="AA21" s="62"/>
      <c r="AB21" s="63"/>
      <c r="AC21" s="62"/>
      <c r="AD21" s="63"/>
      <c r="AE21" s="62"/>
      <c r="AF21" s="63"/>
      <c r="AG21" s="62"/>
      <c r="AH21" s="63"/>
    </row>
    <row r="22" spans="3:34" x14ac:dyDescent="0.25">
      <c r="C22" s="79">
        <v>16</v>
      </c>
      <c r="D22" s="61">
        <v>48</v>
      </c>
      <c r="E22" s="62">
        <v>9</v>
      </c>
      <c r="F22" s="63">
        <v>46</v>
      </c>
      <c r="G22" s="62"/>
      <c r="H22" s="63"/>
      <c r="I22" s="62"/>
      <c r="J22" s="63"/>
      <c r="K22" s="62"/>
      <c r="L22" s="63"/>
      <c r="M22" s="62"/>
      <c r="N22" s="63"/>
      <c r="O22" s="62"/>
      <c r="P22" s="63"/>
      <c r="Q22" s="62"/>
      <c r="R22" s="63"/>
      <c r="S22" s="62"/>
      <c r="T22" s="63"/>
      <c r="U22" s="62">
        <v>9</v>
      </c>
      <c r="V22" s="63">
        <v>47</v>
      </c>
      <c r="W22" s="62"/>
      <c r="X22" s="63"/>
      <c r="Y22" s="62"/>
      <c r="Z22" s="63"/>
      <c r="AA22" s="62"/>
      <c r="AB22" s="63"/>
      <c r="AC22" s="62"/>
      <c r="AD22" s="63"/>
      <c r="AE22" s="62"/>
      <c r="AF22" s="63"/>
      <c r="AG22" s="62"/>
      <c r="AH22" s="63"/>
    </row>
    <row r="23" spans="3:34" x14ac:dyDescent="0.25">
      <c r="C23" s="79">
        <v>17</v>
      </c>
      <c r="D23" s="61">
        <v>50</v>
      </c>
      <c r="E23" s="62">
        <v>4</v>
      </c>
      <c r="F23" s="63">
        <v>31</v>
      </c>
      <c r="G23" s="62">
        <v>3</v>
      </c>
      <c r="H23" s="63">
        <v>32</v>
      </c>
      <c r="I23" s="62"/>
      <c r="J23" s="63"/>
      <c r="K23" s="62"/>
      <c r="L23" s="63"/>
      <c r="M23" s="62"/>
      <c r="N23" s="63"/>
      <c r="O23" s="62"/>
      <c r="P23" s="63"/>
      <c r="Q23" s="62"/>
      <c r="R23" s="63"/>
      <c r="S23" s="62"/>
      <c r="T23" s="63"/>
      <c r="U23" s="62"/>
      <c r="V23" s="63"/>
      <c r="W23" s="62"/>
      <c r="X23" s="63"/>
      <c r="Y23" s="62"/>
      <c r="Z23" s="63"/>
      <c r="AA23" s="62"/>
      <c r="AB23" s="63"/>
      <c r="AC23" s="62"/>
      <c r="AD23" s="63"/>
      <c r="AE23" s="62"/>
      <c r="AF23" s="63"/>
      <c r="AG23" s="62"/>
      <c r="AH23" s="63"/>
    </row>
    <row r="24" spans="3:34" x14ac:dyDescent="0.25">
      <c r="C24" s="79">
        <v>18</v>
      </c>
      <c r="D24" s="61">
        <v>52</v>
      </c>
      <c r="E24" s="62">
        <v>7</v>
      </c>
      <c r="F24" s="63">
        <v>31</v>
      </c>
      <c r="G24" s="62"/>
      <c r="H24" s="63"/>
      <c r="I24" s="62"/>
      <c r="J24" s="63"/>
      <c r="K24" s="62"/>
      <c r="L24" s="63"/>
      <c r="M24" s="62"/>
      <c r="N24" s="63"/>
      <c r="O24" s="62"/>
      <c r="P24" s="63"/>
      <c r="Q24" s="62"/>
      <c r="R24" s="63"/>
      <c r="S24" s="62"/>
      <c r="T24" s="63"/>
      <c r="U24" s="62">
        <v>11</v>
      </c>
      <c r="V24" s="63">
        <v>30</v>
      </c>
      <c r="W24" s="62"/>
      <c r="X24" s="63"/>
      <c r="Y24" s="62"/>
      <c r="Z24" s="63"/>
      <c r="AA24" s="62"/>
      <c r="AB24" s="63"/>
      <c r="AC24" s="62"/>
      <c r="AD24" s="63"/>
      <c r="AE24" s="62"/>
      <c r="AF24" s="63"/>
      <c r="AG24" s="62"/>
      <c r="AH24" s="63"/>
    </row>
    <row r="25" spans="3:34" x14ac:dyDescent="0.25">
      <c r="C25" s="79">
        <v>19</v>
      </c>
      <c r="D25" s="61">
        <v>56</v>
      </c>
      <c r="E25" s="62"/>
      <c r="F25" s="63"/>
      <c r="G25" s="62"/>
      <c r="H25" s="63"/>
      <c r="I25" s="62">
        <v>11</v>
      </c>
      <c r="J25" s="63">
        <v>30</v>
      </c>
      <c r="K25" s="62"/>
      <c r="L25" s="63"/>
      <c r="M25" s="62"/>
      <c r="N25" s="63"/>
      <c r="O25" s="62">
        <v>9</v>
      </c>
      <c r="P25" s="63">
        <v>30</v>
      </c>
      <c r="Q25" s="62"/>
      <c r="R25" s="63"/>
      <c r="S25" s="62"/>
      <c r="T25" s="63"/>
      <c r="U25" s="62"/>
      <c r="V25" s="63"/>
      <c r="W25" s="62"/>
      <c r="X25" s="63"/>
      <c r="Y25" s="62"/>
      <c r="Z25" s="63"/>
      <c r="AA25" s="62"/>
      <c r="AB25" s="63"/>
      <c r="AC25" s="62"/>
      <c r="AD25" s="63"/>
      <c r="AE25" s="62"/>
      <c r="AF25" s="63"/>
      <c r="AG25" s="62"/>
      <c r="AH25" s="63"/>
    </row>
    <row r="26" spans="3:34" x14ac:dyDescent="0.25">
      <c r="C26" s="79">
        <v>20</v>
      </c>
      <c r="D26" s="61">
        <v>57</v>
      </c>
      <c r="E26" s="62">
        <v>5</v>
      </c>
      <c r="F26" s="63">
        <v>24</v>
      </c>
      <c r="G26" s="62">
        <v>5</v>
      </c>
      <c r="H26" s="63">
        <v>22</v>
      </c>
      <c r="I26" s="62"/>
      <c r="J26" s="63"/>
      <c r="K26" s="62"/>
      <c r="L26" s="63"/>
      <c r="M26" s="62"/>
      <c r="N26" s="63"/>
      <c r="O26" s="62"/>
      <c r="P26" s="63"/>
      <c r="Q26" s="62"/>
      <c r="R26" s="63"/>
      <c r="S26" s="62"/>
      <c r="T26" s="63"/>
      <c r="U26" s="62"/>
      <c r="V26" s="63"/>
      <c r="W26" s="62"/>
      <c r="X26" s="63"/>
      <c r="Y26" s="62"/>
      <c r="Z26" s="63"/>
      <c r="AA26" s="62"/>
      <c r="AB26" s="63"/>
      <c r="AC26" s="62"/>
      <c r="AD26" s="63"/>
      <c r="AE26" s="62"/>
      <c r="AF26" s="63"/>
      <c r="AG26" s="62"/>
      <c r="AH26" s="63"/>
    </row>
    <row r="27" spans="3:34" x14ac:dyDescent="0.25">
      <c r="C27" s="79">
        <v>21</v>
      </c>
      <c r="D27" s="61">
        <v>60</v>
      </c>
      <c r="E27" s="62"/>
      <c r="F27" s="63"/>
      <c r="G27" s="62"/>
      <c r="H27" s="63"/>
      <c r="I27" s="62">
        <v>13</v>
      </c>
      <c r="J27" s="63">
        <v>32</v>
      </c>
      <c r="K27" s="62"/>
      <c r="L27" s="63"/>
      <c r="M27" s="62"/>
      <c r="N27" s="63"/>
      <c r="O27" s="62"/>
      <c r="P27" s="63"/>
      <c r="Q27" s="62"/>
      <c r="R27" s="63"/>
      <c r="S27" s="62"/>
      <c r="T27" s="63"/>
      <c r="U27" s="62"/>
      <c r="V27" s="63"/>
      <c r="W27" s="62">
        <v>19</v>
      </c>
      <c r="X27" s="63">
        <v>32</v>
      </c>
      <c r="Y27" s="62"/>
      <c r="Z27" s="63"/>
      <c r="AA27" s="62"/>
      <c r="AB27" s="63"/>
      <c r="AC27" s="62"/>
      <c r="AD27" s="63"/>
      <c r="AE27" s="62"/>
      <c r="AF27" s="63"/>
      <c r="AG27" s="62"/>
      <c r="AH27" s="63"/>
    </row>
    <row r="28" spans="3:34" x14ac:dyDescent="0.25">
      <c r="C28" s="79">
        <v>22</v>
      </c>
      <c r="D28" s="61">
        <v>61</v>
      </c>
      <c r="E28" s="62">
        <v>2</v>
      </c>
      <c r="F28" s="63">
        <v>12</v>
      </c>
      <c r="G28" s="62"/>
      <c r="H28" s="63"/>
      <c r="I28" s="62"/>
      <c r="J28" s="63"/>
      <c r="K28" s="62"/>
      <c r="L28" s="63"/>
      <c r="M28" s="62"/>
      <c r="N28" s="63"/>
      <c r="O28" s="62"/>
      <c r="P28" s="63"/>
      <c r="Q28" s="62"/>
      <c r="R28" s="63"/>
      <c r="S28" s="62"/>
      <c r="T28" s="63"/>
      <c r="U28" s="62"/>
      <c r="V28" s="63"/>
      <c r="W28" s="62">
        <v>2</v>
      </c>
      <c r="X28" s="63">
        <v>12</v>
      </c>
      <c r="Y28" s="62"/>
      <c r="Z28" s="63"/>
      <c r="AA28" s="62"/>
      <c r="AB28" s="63"/>
      <c r="AC28" s="62"/>
      <c r="AD28" s="63"/>
      <c r="AE28" s="62"/>
      <c r="AF28" s="63"/>
      <c r="AG28" s="62"/>
      <c r="AH28" s="63"/>
    </row>
    <row r="29" spans="3:34" x14ac:dyDescent="0.25">
      <c r="C29" s="79">
        <v>23</v>
      </c>
      <c r="D29" s="61">
        <v>64</v>
      </c>
      <c r="E29" s="62"/>
      <c r="F29" s="63"/>
      <c r="G29" s="62"/>
      <c r="H29" s="63"/>
      <c r="I29" s="62">
        <v>1</v>
      </c>
      <c r="J29" s="63">
        <v>12</v>
      </c>
      <c r="K29" s="62"/>
      <c r="L29" s="63"/>
      <c r="M29" s="62"/>
      <c r="N29" s="63"/>
      <c r="O29" s="62"/>
      <c r="P29" s="63"/>
      <c r="Q29" s="62"/>
      <c r="R29" s="63"/>
      <c r="S29" s="62"/>
      <c r="T29" s="63"/>
      <c r="U29" s="62">
        <v>1</v>
      </c>
      <c r="V29" s="63">
        <v>11</v>
      </c>
      <c r="W29" s="62"/>
      <c r="X29" s="63"/>
      <c r="Y29" s="62"/>
      <c r="Z29" s="63"/>
      <c r="AA29" s="62"/>
      <c r="AB29" s="63"/>
      <c r="AC29" s="62"/>
      <c r="AD29" s="63"/>
      <c r="AE29" s="62"/>
      <c r="AF29" s="63"/>
      <c r="AG29" s="62"/>
      <c r="AH29" s="63"/>
    </row>
    <row r="30" spans="3:34" x14ac:dyDescent="0.25">
      <c r="C30" s="79">
        <v>24</v>
      </c>
      <c r="D30" s="61">
        <v>65</v>
      </c>
      <c r="E30" s="62">
        <v>2</v>
      </c>
      <c r="F30" s="63">
        <v>18</v>
      </c>
      <c r="G30" s="62"/>
      <c r="H30" s="63"/>
      <c r="I30" s="62">
        <v>3</v>
      </c>
      <c r="J30" s="63">
        <v>16</v>
      </c>
      <c r="K30" s="62"/>
      <c r="L30" s="63"/>
      <c r="M30" s="62"/>
      <c r="N30" s="63"/>
      <c r="O30" s="62"/>
      <c r="P30" s="63"/>
      <c r="Q30" s="62"/>
      <c r="R30" s="63"/>
      <c r="S30" s="62"/>
      <c r="T30" s="63"/>
      <c r="U30" s="62"/>
      <c r="V30" s="63"/>
      <c r="W30" s="62"/>
      <c r="X30" s="63"/>
      <c r="Y30" s="62"/>
      <c r="Z30" s="63"/>
      <c r="AA30" s="62"/>
      <c r="AB30" s="63"/>
      <c r="AC30" s="62"/>
      <c r="AD30" s="63"/>
      <c r="AE30" s="62"/>
      <c r="AF30" s="63"/>
      <c r="AG30" s="62"/>
      <c r="AH30" s="63"/>
    </row>
    <row r="31" spans="3:34" x14ac:dyDescent="0.25">
      <c r="C31" s="79">
        <v>25</v>
      </c>
      <c r="D31" s="61">
        <v>68</v>
      </c>
      <c r="E31" s="62"/>
      <c r="F31" s="63"/>
      <c r="G31" s="62"/>
      <c r="H31" s="63"/>
      <c r="I31" s="62">
        <v>4</v>
      </c>
      <c r="J31" s="63">
        <v>43</v>
      </c>
      <c r="K31" s="62">
        <v>5</v>
      </c>
      <c r="L31" s="63">
        <v>44</v>
      </c>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c r="E32" s="62"/>
      <c r="F32" s="63"/>
      <c r="G32" s="62"/>
      <c r="H32" s="63"/>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c r="E33" s="62"/>
      <c r="F33" s="63"/>
      <c r="G33" s="62"/>
      <c r="H33" s="63"/>
      <c r="I33" s="62"/>
      <c r="J33" s="63"/>
      <c r="K33" s="62"/>
      <c r="L33" s="63"/>
      <c r="M33" s="62"/>
      <c r="N33" s="63"/>
      <c r="O33" s="62"/>
      <c r="P33" s="63"/>
      <c r="Q33" s="62"/>
      <c r="R33" s="63"/>
      <c r="S33" s="62"/>
      <c r="T33" s="63"/>
      <c r="U33" s="62"/>
      <c r="V33" s="63"/>
      <c r="W33" s="62"/>
      <c r="X33" s="63"/>
      <c r="Y33" s="62"/>
      <c r="Z33" s="63"/>
      <c r="AA33" s="62"/>
      <c r="AB33" s="63"/>
      <c r="AC33" s="62"/>
      <c r="AD33" s="63"/>
      <c r="AE33" s="62"/>
      <c r="AF33" s="63"/>
      <c r="AG33" s="62"/>
      <c r="AH33" s="63"/>
    </row>
    <row r="34" spans="3:34" x14ac:dyDescent="0.25">
      <c r="C34" s="79">
        <v>28</v>
      </c>
      <c r="D34" s="61"/>
      <c r="E34" s="62"/>
      <c r="F34" s="63"/>
      <c r="G34" s="62"/>
      <c r="H34" s="63"/>
      <c r="I34" s="62"/>
      <c r="J34" s="63"/>
      <c r="K34" s="62"/>
      <c r="L34" s="63"/>
      <c r="M34" s="62"/>
      <c r="N34" s="63"/>
      <c r="O34" s="62"/>
      <c r="P34" s="63"/>
      <c r="Q34" s="62"/>
      <c r="R34" s="63"/>
      <c r="S34" s="62"/>
      <c r="T34" s="63"/>
      <c r="U34" s="62"/>
      <c r="V34" s="63"/>
      <c r="W34" s="62"/>
      <c r="X34" s="63"/>
      <c r="Y34" s="62"/>
      <c r="Z34" s="63"/>
      <c r="AA34" s="62"/>
      <c r="AB34" s="63"/>
      <c r="AC34" s="62"/>
      <c r="AD34" s="63"/>
      <c r="AE34" s="62"/>
      <c r="AF34" s="63"/>
      <c r="AG34" s="62"/>
      <c r="AH34" s="63"/>
    </row>
    <row r="35" spans="3:34" x14ac:dyDescent="0.25">
      <c r="C35" s="79">
        <v>29</v>
      </c>
      <c r="D35" s="61"/>
      <c r="E35" s="62"/>
      <c r="F35" s="63"/>
      <c r="G35" s="62"/>
      <c r="H35" s="63"/>
      <c r="I35" s="62"/>
      <c r="J35" s="63"/>
      <c r="K35" s="62"/>
      <c r="L35" s="63"/>
      <c r="M35" s="62"/>
      <c r="N35" s="63"/>
      <c r="O35" s="62"/>
      <c r="P35" s="63"/>
      <c r="Q35" s="62"/>
      <c r="R35" s="63"/>
      <c r="S35" s="62"/>
      <c r="T35" s="63"/>
      <c r="U35" s="62"/>
      <c r="V35" s="63"/>
      <c r="W35" s="62"/>
      <c r="X35" s="63"/>
      <c r="Y35" s="62"/>
      <c r="Z35" s="63"/>
      <c r="AA35" s="62"/>
      <c r="AB35" s="63"/>
      <c r="AC35" s="62"/>
      <c r="AD35" s="63"/>
      <c r="AE35" s="62"/>
      <c r="AF35" s="63"/>
      <c r="AG35" s="62"/>
      <c r="AH35" s="63"/>
    </row>
    <row r="36" spans="3:34" x14ac:dyDescent="0.25">
      <c r="C36" s="79">
        <v>30</v>
      </c>
      <c r="D36" s="61"/>
      <c r="E36" s="62"/>
      <c r="F36" s="63"/>
      <c r="G36" s="62"/>
      <c r="H36" s="63"/>
      <c r="I36" s="62"/>
      <c r="J36" s="63"/>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79">
        <v>31</v>
      </c>
      <c r="D37" s="61"/>
      <c r="E37" s="62"/>
      <c r="F37" s="63"/>
      <c r="G37" s="62"/>
      <c r="H37" s="63"/>
      <c r="I37" s="62"/>
      <c r="J37" s="63"/>
      <c r="K37" s="62"/>
      <c r="L37" s="63"/>
      <c r="M37" s="62"/>
      <c r="N37" s="63"/>
      <c r="O37" s="62"/>
      <c r="P37" s="63"/>
      <c r="Q37" s="62"/>
      <c r="R37" s="63"/>
      <c r="S37" s="62"/>
      <c r="T37" s="63"/>
      <c r="U37" s="62"/>
      <c r="V37" s="63"/>
      <c r="W37" s="62"/>
      <c r="X37" s="63"/>
      <c r="Y37" s="62"/>
      <c r="Z37" s="63"/>
      <c r="AA37" s="62"/>
      <c r="AB37" s="63"/>
      <c r="AC37" s="62"/>
      <c r="AD37" s="63"/>
      <c r="AE37" s="62"/>
      <c r="AF37" s="63"/>
      <c r="AG37" s="62"/>
      <c r="AH37" s="63"/>
    </row>
    <row r="38" spans="3:34" x14ac:dyDescent="0.25">
      <c r="C38" s="79">
        <v>32</v>
      </c>
      <c r="D38" s="61"/>
      <c r="E38" s="62"/>
      <c r="F38" s="63"/>
      <c r="G38" s="62"/>
      <c r="H38" s="63"/>
      <c r="I38" s="62"/>
      <c r="J38" s="63"/>
      <c r="K38" s="62"/>
      <c r="L38" s="63"/>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79">
        <v>33</v>
      </c>
      <c r="D39" s="61"/>
      <c r="E39" s="62"/>
      <c r="F39" s="63"/>
      <c r="G39" s="62"/>
      <c r="H39" s="63"/>
      <c r="I39" s="62"/>
      <c r="J39" s="63"/>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c r="E40" s="62"/>
      <c r="F40" s="63"/>
      <c r="G40" s="62"/>
      <c r="H40" s="63"/>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c r="E41" s="62"/>
      <c r="F41" s="63"/>
      <c r="G41" s="62"/>
      <c r="H41" s="63"/>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c r="E42" s="62"/>
      <c r="F42" s="63"/>
      <c r="G42" s="62"/>
      <c r="H42" s="63"/>
      <c r="I42" s="62"/>
      <c r="J42" s="63"/>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c r="E43" s="62"/>
      <c r="F43" s="63"/>
      <c r="G43" s="62"/>
      <c r="H43" s="63"/>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18</v>
      </c>
      <c r="D57" s="77">
        <f>SUM(patient_totals)</f>
        <v>1681</v>
      </c>
      <c r="E57" s="247">
        <f>IF(SUM(F7:F56)=0,"",SUM(F7:F56))</f>
        <v>285</v>
      </c>
      <c r="F57" s="248"/>
      <c r="G57" s="247">
        <f>IF(SUM(H7:H56)=0,"",SUM(H7:H56))</f>
        <v>349</v>
      </c>
      <c r="H57" s="248"/>
      <c r="I57" s="247">
        <f>IF(SUM(J7:J56)=0,"",SUM(J7:J56))</f>
        <v>430</v>
      </c>
      <c r="J57" s="248"/>
      <c r="K57" s="247">
        <f>IF(SUM(L7:L56)=0,"",SUM(L7:L56))</f>
        <v>162</v>
      </c>
      <c r="L57" s="248"/>
      <c r="M57" s="247">
        <f>IF(SUM(N7:N56)=0,"",SUM(N7:N56))</f>
        <v>35</v>
      </c>
      <c r="N57" s="248"/>
      <c r="O57" s="247">
        <f>IF(SUM(P7:P56)=0,"",SUM(P7:P56))</f>
        <v>30</v>
      </c>
      <c r="P57" s="248"/>
      <c r="Q57" s="247">
        <f>IF(SUM(R7:R56)=0,"",SUM(R7:R56))</f>
        <v>55</v>
      </c>
      <c r="R57" s="248"/>
      <c r="S57" s="247">
        <f>IF(SUM(T7:T56)=0,"",SUM(T7:T56))</f>
        <v>18</v>
      </c>
      <c r="T57" s="248"/>
      <c r="U57" s="247">
        <f>IF(SUM(V7:V56)=0,"",SUM(V7:V56))</f>
        <v>106</v>
      </c>
      <c r="V57" s="248"/>
      <c r="W57" s="247">
        <f>IF(SUM(X7:X56)=0,"",SUM(X7:X56))</f>
        <v>211</v>
      </c>
      <c r="X57" s="248"/>
      <c r="Y57" s="247" t="str">
        <f>IF(SUM(Z7:Z56)=0,"",SUM(Z7:Z56))</f>
        <v/>
      </c>
      <c r="Z57" s="248"/>
      <c r="AA57" s="247" t="str">
        <f>IF(SUM(AB7:AB56)=0,"",SUM(AB7:AB56))</f>
        <v/>
      </c>
      <c r="AB57" s="248"/>
      <c r="AC57" s="247" t="str">
        <f>IF(SUM(AD7:AD56)=0,"",SUM(AD7:AD56))</f>
        <v/>
      </c>
      <c r="AD57" s="248"/>
      <c r="AE57" s="247" t="str">
        <f>IF(SUM(AF7:AF56)=0,"",SUM(AF7:AF56))</f>
        <v/>
      </c>
      <c r="AF57" s="248"/>
      <c r="AG57" s="249" t="str">
        <f>IF(SUM(AH7:AH56)=0,"",SUM(AH7:AH56))</f>
        <v/>
      </c>
      <c r="AH57" s="248"/>
    </row>
  </sheetData>
  <sheetProtection selectLockedCells="1"/>
  <mergeCells count="47">
    <mergeCell ref="C5:C6"/>
    <mergeCell ref="E4:F4"/>
    <mergeCell ref="G4:H4"/>
    <mergeCell ref="I4:J4"/>
    <mergeCell ref="O5:P5"/>
    <mergeCell ref="Q5:R5"/>
    <mergeCell ref="S5:T5"/>
    <mergeCell ref="E5:F5"/>
    <mergeCell ref="G5:H5"/>
    <mergeCell ref="I5:J5"/>
    <mergeCell ref="K5:L5"/>
    <mergeCell ref="M5:N5"/>
    <mergeCell ref="AA5:AB5"/>
    <mergeCell ref="AC5:AD5"/>
    <mergeCell ref="AE5:AF5"/>
    <mergeCell ref="AG5:AH5"/>
    <mergeCell ref="U5:V5"/>
    <mergeCell ref="W5:X5"/>
    <mergeCell ref="Y5:Z5"/>
    <mergeCell ref="E57:F57"/>
    <mergeCell ref="G57:H57"/>
    <mergeCell ref="I57:J57"/>
    <mergeCell ref="K57:L57"/>
    <mergeCell ref="M57:N57"/>
    <mergeCell ref="O57:P57"/>
    <mergeCell ref="Q57:R57"/>
    <mergeCell ref="S57:T57"/>
    <mergeCell ref="U57:V57"/>
    <mergeCell ref="W57:X57"/>
    <mergeCell ref="Y57:Z57"/>
    <mergeCell ref="AA57:AB57"/>
    <mergeCell ref="AC57:AD57"/>
    <mergeCell ref="AE57:AF57"/>
    <mergeCell ref="AG57:AH57"/>
    <mergeCell ref="AE4:AF4"/>
    <mergeCell ref="AG4:AH4"/>
    <mergeCell ref="E3:AH3"/>
    <mergeCell ref="U4:V4"/>
    <mergeCell ref="W4:X4"/>
    <mergeCell ref="Y4:Z4"/>
    <mergeCell ref="AA4:AB4"/>
    <mergeCell ref="AC4:AD4"/>
    <mergeCell ref="K4:L4"/>
    <mergeCell ref="M4:N4"/>
    <mergeCell ref="O4:P4"/>
    <mergeCell ref="Q4:R4"/>
    <mergeCell ref="S4:T4"/>
  </mergeCells>
  <conditionalFormatting sqref="D8">
    <cfRule type="expression" dxfId="82" priority="83">
      <formula>$D7&lt;&gt;""</formula>
    </cfRule>
  </conditionalFormatting>
  <conditionalFormatting sqref="D9">
    <cfRule type="expression" dxfId="81" priority="82">
      <formula>$D8&lt;&gt;""</formula>
    </cfRule>
  </conditionalFormatting>
  <conditionalFormatting sqref="D10:D56">
    <cfRule type="expression" dxfId="80" priority="81">
      <formula>$D9&lt;&gt;""</formula>
    </cfRule>
  </conditionalFormatting>
  <conditionalFormatting sqref="G5:H5">
    <cfRule type="expression" dxfId="79" priority="80">
      <formula>E$5&lt;&gt;""</formula>
    </cfRule>
  </conditionalFormatting>
  <conditionalFormatting sqref="I5:AH5">
    <cfRule type="expression" dxfId="78" priority="79">
      <formula>G$5&lt;&gt;""</formula>
    </cfRule>
  </conditionalFormatting>
  <conditionalFormatting sqref="E7">
    <cfRule type="expression" dxfId="77" priority="76">
      <formula>AND($D7&lt;&gt;"",E$5&lt;&gt;"")</formula>
    </cfRule>
  </conditionalFormatting>
  <conditionalFormatting sqref="F7">
    <cfRule type="expression" dxfId="76" priority="75">
      <formula>AND($D7&lt;&gt;"",E$5&lt;&gt;"")</formula>
    </cfRule>
  </conditionalFormatting>
  <conditionalFormatting sqref="E8:E16 E21:E56">
    <cfRule type="expression" dxfId="75" priority="74">
      <formula>AND($D8&lt;&gt;"",E$5&lt;&gt;"")</formula>
    </cfRule>
  </conditionalFormatting>
  <conditionalFormatting sqref="F8:F16 F21:F56">
    <cfRule type="expression" dxfId="74" priority="73">
      <formula>AND($D8&lt;&gt;"",E$5&lt;&gt;"")</formula>
    </cfRule>
  </conditionalFormatting>
  <conditionalFormatting sqref="G7">
    <cfRule type="expression" dxfId="73" priority="72">
      <formula>AND($D7&lt;&gt;"",G$5&lt;&gt;"")</formula>
    </cfRule>
  </conditionalFormatting>
  <conditionalFormatting sqref="H7">
    <cfRule type="expression" dxfId="72" priority="71">
      <formula>AND($D7&lt;&gt;"",G$5&lt;&gt;"")</formula>
    </cfRule>
  </conditionalFormatting>
  <conditionalFormatting sqref="I7 K7 M7 O7 Q7 S7 U7 W7 Y7 AA7 AC7 AE7 AG7">
    <cfRule type="expression" dxfId="71" priority="70">
      <formula>AND($D7&lt;&gt;"",I$5&lt;&gt;"")</formula>
    </cfRule>
  </conditionalFormatting>
  <conditionalFormatting sqref="J7 L7 N7 P7 R7 T7 V7 X7 Z7 AB7 AD7 AF7 AH7">
    <cfRule type="expression" dxfId="70" priority="69">
      <formula>AND($D7&lt;&gt;"",I$5&lt;&gt;"")</formula>
    </cfRule>
  </conditionalFormatting>
  <conditionalFormatting sqref="G8:G12 G15 G23:G56">
    <cfRule type="expression" dxfId="69" priority="68">
      <formula>AND($D8&lt;&gt;"",G$5&lt;&gt;"")</formula>
    </cfRule>
  </conditionalFormatting>
  <conditionalFormatting sqref="H8:H12 H15 H23:H56">
    <cfRule type="expression" dxfId="68" priority="67">
      <formula>AND($D8&lt;&gt;"",G$5&lt;&gt;"")</formula>
    </cfRule>
  </conditionalFormatting>
  <conditionalFormatting sqref="I8:I11 O8:O17 Q8:Q17 S8:S17 U8:U18 W8:W14 Y8:Y56 AA8:AA56 AC8:AC56 AE8:AE56 AG8:AG56 K8:K11 M8:M17 K13:K17 I23:I56 W16:W18 K23:K56 M23:M56 S22:S56 Q22:Q56 O22:O56 W20:W56 U20:U56">
    <cfRule type="expression" dxfId="67" priority="66">
      <formula>AND($D8&lt;&gt;"",I$5&lt;&gt;"")</formula>
    </cfRule>
  </conditionalFormatting>
  <conditionalFormatting sqref="J8:J11 P8:P17 R8:R17 T8:T17 V8:V18 X8:X14 Z8:Z56 AB8:AB56 AD8:AD56 AF8:AF56 AH8:AH56 L8:L11 N8:N17 L13:L17 J23:J56 X16:X18 L23:L56 N23:N56 T22:T56 R22:R56 P22:P56 X20:X56 V20:V56">
    <cfRule type="expression" dxfId="66" priority="65">
      <formula>AND($D8&lt;&gt;"",I$5&lt;&gt;"")</formula>
    </cfRule>
  </conditionalFormatting>
  <conditionalFormatting sqref="M11:M17">
    <cfRule type="expression" dxfId="65" priority="64">
      <formula>AND($D11&lt;&gt;"",M$5&lt;&gt;"")</formula>
    </cfRule>
  </conditionalFormatting>
  <conditionalFormatting sqref="N11:N17">
    <cfRule type="expression" dxfId="64" priority="63">
      <formula>AND($D11&lt;&gt;"",M$5&lt;&gt;"")</formula>
    </cfRule>
  </conditionalFormatting>
  <conditionalFormatting sqref="M7">
    <cfRule type="expression" dxfId="63" priority="62">
      <formula>AND($D7&lt;&gt;"",M$5&lt;&gt;"")</formula>
    </cfRule>
  </conditionalFormatting>
  <conditionalFormatting sqref="N7">
    <cfRule type="expression" dxfId="62" priority="61">
      <formula>AND($D7&lt;&gt;"",M$5&lt;&gt;"")</formula>
    </cfRule>
  </conditionalFormatting>
  <conditionalFormatting sqref="K11">
    <cfRule type="expression" dxfId="61" priority="60">
      <formula>AND($D11&lt;&gt;"",K$5&lt;&gt;"")</formula>
    </cfRule>
  </conditionalFormatting>
  <conditionalFormatting sqref="L11">
    <cfRule type="expression" dxfId="60" priority="59">
      <formula>AND($D11&lt;&gt;"",K$5&lt;&gt;"")</formula>
    </cfRule>
  </conditionalFormatting>
  <conditionalFormatting sqref="K11">
    <cfRule type="expression" dxfId="59" priority="58">
      <formula>AND($D11&lt;&gt;"",K$5&lt;&gt;"")</formula>
    </cfRule>
  </conditionalFormatting>
  <conditionalFormatting sqref="L11">
    <cfRule type="expression" dxfId="58" priority="57">
      <formula>AND($D11&lt;&gt;"",K$5&lt;&gt;"")</formula>
    </cfRule>
  </conditionalFormatting>
  <conditionalFormatting sqref="M8">
    <cfRule type="expression" dxfId="57" priority="56">
      <formula>AND($D8&lt;&gt;"",M$5&lt;&gt;"")</formula>
    </cfRule>
  </conditionalFormatting>
  <conditionalFormatting sqref="N8">
    <cfRule type="expression" dxfId="56" priority="55">
      <formula>AND($D8&lt;&gt;"",M$5&lt;&gt;"")</formula>
    </cfRule>
  </conditionalFormatting>
  <conditionalFormatting sqref="G5:H5">
    <cfRule type="expression" dxfId="55" priority="54">
      <formula>E$5&lt;&gt;""</formula>
    </cfRule>
  </conditionalFormatting>
  <conditionalFormatting sqref="I5:R5">
    <cfRule type="expression" dxfId="54" priority="53">
      <formula>G$5&lt;&gt;""</formula>
    </cfRule>
  </conditionalFormatting>
  <conditionalFormatting sqref="G5:H5">
    <cfRule type="expression" dxfId="53" priority="52">
      <formula>E$5&lt;&gt;""</formula>
    </cfRule>
  </conditionalFormatting>
  <conditionalFormatting sqref="I5:R5">
    <cfRule type="expression" dxfId="52" priority="51">
      <formula>G$5&lt;&gt;""</formula>
    </cfRule>
  </conditionalFormatting>
  <conditionalFormatting sqref="K12 I12">
    <cfRule type="expression" dxfId="51" priority="50">
      <formula>AND($D12&lt;&gt;"",I$5&lt;&gt;"")</formula>
    </cfRule>
  </conditionalFormatting>
  <conditionalFormatting sqref="L12 J12">
    <cfRule type="expression" dxfId="50" priority="49">
      <formula>AND($D12&lt;&gt;"",I$5&lt;&gt;"")</formula>
    </cfRule>
  </conditionalFormatting>
  <conditionalFormatting sqref="G13">
    <cfRule type="expression" dxfId="49" priority="48">
      <formula>AND($D13&lt;&gt;"",G$5&lt;&gt;"")</formula>
    </cfRule>
  </conditionalFormatting>
  <conditionalFormatting sqref="H13">
    <cfRule type="expression" dxfId="48" priority="47">
      <formula>AND($D13&lt;&gt;"",G$5&lt;&gt;"")</formula>
    </cfRule>
  </conditionalFormatting>
  <conditionalFormatting sqref="I13">
    <cfRule type="expression" dxfId="47" priority="46">
      <formula>AND($D13&lt;&gt;"",I$5&lt;&gt;"")</formula>
    </cfRule>
  </conditionalFormatting>
  <conditionalFormatting sqref="J13">
    <cfRule type="expression" dxfId="46" priority="45">
      <formula>AND($D13&lt;&gt;"",I$5&lt;&gt;"")</formula>
    </cfRule>
  </conditionalFormatting>
  <conditionalFormatting sqref="G14">
    <cfRule type="expression" dxfId="45" priority="44">
      <formula>AND($D14&lt;&gt;"",G$5&lt;&gt;"")</formula>
    </cfRule>
  </conditionalFormatting>
  <conditionalFormatting sqref="H14">
    <cfRule type="expression" dxfId="44" priority="43">
      <formula>AND($D14&lt;&gt;"",G$5&lt;&gt;"")</formula>
    </cfRule>
  </conditionalFormatting>
  <conditionalFormatting sqref="I14">
    <cfRule type="expression" dxfId="43" priority="42">
      <formula>AND($D14&lt;&gt;"",I$5&lt;&gt;"")</formula>
    </cfRule>
  </conditionalFormatting>
  <conditionalFormatting sqref="J14">
    <cfRule type="expression" dxfId="42" priority="41">
      <formula>AND($D14&lt;&gt;"",I$5&lt;&gt;"")</formula>
    </cfRule>
  </conditionalFormatting>
  <conditionalFormatting sqref="I15">
    <cfRule type="expression" dxfId="41" priority="40">
      <formula>AND($D15&lt;&gt;"",I$5&lt;&gt;"")</formula>
    </cfRule>
  </conditionalFormatting>
  <conditionalFormatting sqref="J15">
    <cfRule type="expression" dxfId="40" priority="39">
      <formula>AND($D15&lt;&gt;"",I$5&lt;&gt;"")</formula>
    </cfRule>
  </conditionalFormatting>
  <conditionalFormatting sqref="W15">
    <cfRule type="expression" dxfId="39" priority="38">
      <formula>AND($D15&lt;&gt;"",W$5&lt;&gt;"")</formula>
    </cfRule>
  </conditionalFormatting>
  <conditionalFormatting sqref="X15">
    <cfRule type="expression" dxfId="38" priority="37">
      <formula>AND($D15&lt;&gt;"",W$5&lt;&gt;"")</formula>
    </cfRule>
  </conditionalFormatting>
  <conditionalFormatting sqref="G16">
    <cfRule type="expression" dxfId="37" priority="36">
      <formula>AND($D16&lt;&gt;"",G$5&lt;&gt;"")</formula>
    </cfRule>
  </conditionalFormatting>
  <conditionalFormatting sqref="H16">
    <cfRule type="expression" dxfId="36" priority="35">
      <formula>AND($D16&lt;&gt;"",G$5&lt;&gt;"")</formula>
    </cfRule>
  </conditionalFormatting>
  <conditionalFormatting sqref="I16">
    <cfRule type="expression" dxfId="35" priority="34">
      <formula>AND($D16&lt;&gt;"",I$5&lt;&gt;"")</formula>
    </cfRule>
  </conditionalFormatting>
  <conditionalFormatting sqref="J16">
    <cfRule type="expression" dxfId="34" priority="33">
      <formula>AND($D16&lt;&gt;"",I$5&lt;&gt;"")</formula>
    </cfRule>
  </conditionalFormatting>
  <conditionalFormatting sqref="E17">
    <cfRule type="expression" dxfId="33" priority="32">
      <formula>AND($D17&lt;&gt;"",E$5&lt;&gt;"")</formula>
    </cfRule>
  </conditionalFormatting>
  <conditionalFormatting sqref="F17">
    <cfRule type="expression" dxfId="32" priority="31">
      <formula>AND($D17&lt;&gt;"",E$5&lt;&gt;"")</formula>
    </cfRule>
  </conditionalFormatting>
  <conditionalFormatting sqref="G17">
    <cfRule type="expression" dxfId="31" priority="30">
      <formula>AND($D17&lt;&gt;"",G$5&lt;&gt;"")</formula>
    </cfRule>
  </conditionalFormatting>
  <conditionalFormatting sqref="H17">
    <cfRule type="expression" dxfId="30" priority="29">
      <formula>AND($D17&lt;&gt;"",G$5&lt;&gt;"")</formula>
    </cfRule>
  </conditionalFormatting>
  <conditionalFormatting sqref="I17">
    <cfRule type="expression" dxfId="29" priority="28">
      <formula>AND($D17&lt;&gt;"",I$5&lt;&gt;"")</formula>
    </cfRule>
  </conditionalFormatting>
  <conditionalFormatting sqref="J17">
    <cfRule type="expression" dxfId="28" priority="27">
      <formula>AND($D17&lt;&gt;"",I$5&lt;&gt;"")</formula>
    </cfRule>
  </conditionalFormatting>
  <conditionalFormatting sqref="E18">
    <cfRule type="expression" dxfId="27" priority="26">
      <formula>AND($D18&lt;&gt;"",E$5&lt;&gt;"")</formula>
    </cfRule>
  </conditionalFormatting>
  <conditionalFormatting sqref="F18">
    <cfRule type="expression" dxfId="26" priority="25">
      <formula>AND($D18&lt;&gt;"",E$5&lt;&gt;"")</formula>
    </cfRule>
  </conditionalFormatting>
  <conditionalFormatting sqref="G18">
    <cfRule type="expression" dxfId="25" priority="24">
      <formula>AND($D18&lt;&gt;"",G$5&lt;&gt;"")</formula>
    </cfRule>
  </conditionalFormatting>
  <conditionalFormatting sqref="H18">
    <cfRule type="expression" dxfId="24" priority="23">
      <formula>AND($D18&lt;&gt;"",G$5&lt;&gt;"")</formula>
    </cfRule>
  </conditionalFormatting>
  <conditionalFormatting sqref="I18 K18 M18 S18 Q18 O18">
    <cfRule type="expression" dxfId="23" priority="22">
      <formula>AND($D18&lt;&gt;"",I$5&lt;&gt;"")</formula>
    </cfRule>
  </conditionalFormatting>
  <conditionalFormatting sqref="J18 L18 N18 T18 R18 P18">
    <cfRule type="expression" dxfId="22" priority="21">
      <formula>AND($D18&lt;&gt;"",I$5&lt;&gt;"")</formula>
    </cfRule>
  </conditionalFormatting>
  <conditionalFormatting sqref="E19">
    <cfRule type="expression" dxfId="21" priority="20">
      <formula>AND($D19&lt;&gt;"",E$5&lt;&gt;"")</formula>
    </cfRule>
  </conditionalFormatting>
  <conditionalFormatting sqref="F19">
    <cfRule type="expression" dxfId="20" priority="19">
      <formula>AND($D19&lt;&gt;"",E$5&lt;&gt;"")</formula>
    </cfRule>
  </conditionalFormatting>
  <conditionalFormatting sqref="G19">
    <cfRule type="expression" dxfId="19" priority="18">
      <formula>AND($D19&lt;&gt;"",G$5&lt;&gt;"")</formula>
    </cfRule>
  </conditionalFormatting>
  <conditionalFormatting sqref="H19">
    <cfRule type="expression" dxfId="18" priority="17">
      <formula>AND($D19&lt;&gt;"",G$5&lt;&gt;"")</formula>
    </cfRule>
  </conditionalFormatting>
  <conditionalFormatting sqref="I19 K19 M19 S19 Q19 O19 W19 U19">
    <cfRule type="expression" dxfId="17" priority="16">
      <formula>AND($D19&lt;&gt;"",I$5&lt;&gt;"")</formula>
    </cfRule>
  </conditionalFormatting>
  <conditionalFormatting sqref="J19 L19 N19 T19 R19 P19 X19 V19">
    <cfRule type="expression" dxfId="16" priority="15">
      <formula>AND($D19&lt;&gt;"",I$5&lt;&gt;"")</formula>
    </cfRule>
  </conditionalFormatting>
  <conditionalFormatting sqref="E20">
    <cfRule type="expression" dxfId="15" priority="14">
      <formula>AND($D20&lt;&gt;"",E$5&lt;&gt;"")</formula>
    </cfRule>
  </conditionalFormatting>
  <conditionalFormatting sqref="F20">
    <cfRule type="expression" dxfId="14" priority="13">
      <formula>AND($D20&lt;&gt;"",E$5&lt;&gt;"")</formula>
    </cfRule>
  </conditionalFormatting>
  <conditionalFormatting sqref="G20">
    <cfRule type="expression" dxfId="13" priority="12">
      <formula>AND($D20&lt;&gt;"",G$5&lt;&gt;"")</formula>
    </cfRule>
  </conditionalFormatting>
  <conditionalFormatting sqref="H20">
    <cfRule type="expression" dxfId="12" priority="11">
      <formula>AND($D20&lt;&gt;"",G$5&lt;&gt;"")</formula>
    </cfRule>
  </conditionalFormatting>
  <conditionalFormatting sqref="I20 K20 M20 S20 Q20 O20">
    <cfRule type="expression" dxfId="11" priority="10">
      <formula>AND($D20&lt;&gt;"",I$5&lt;&gt;"")</formula>
    </cfRule>
  </conditionalFormatting>
  <conditionalFormatting sqref="J20 L20 N20 T20 R20 P20">
    <cfRule type="expression" dxfId="10" priority="9">
      <formula>AND($D20&lt;&gt;"",I$5&lt;&gt;"")</formula>
    </cfRule>
  </conditionalFormatting>
  <conditionalFormatting sqref="G21">
    <cfRule type="expression" dxfId="9" priority="8">
      <formula>AND($D21&lt;&gt;"",G$5&lt;&gt;"")</formula>
    </cfRule>
  </conditionalFormatting>
  <conditionalFormatting sqref="H21">
    <cfRule type="expression" dxfId="8" priority="7">
      <formula>AND($D21&lt;&gt;"",G$5&lt;&gt;"")</formula>
    </cfRule>
  </conditionalFormatting>
  <conditionalFormatting sqref="I21 K21 M21 S21 Q21 O21">
    <cfRule type="expression" dxfId="7" priority="6">
      <formula>AND($D21&lt;&gt;"",I$5&lt;&gt;"")</formula>
    </cfRule>
  </conditionalFormatting>
  <conditionalFormatting sqref="J21 L21 N21 T21 R21 P21">
    <cfRule type="expression" dxfId="6" priority="5">
      <formula>AND($D21&lt;&gt;"",I$5&lt;&gt;"")</formula>
    </cfRule>
  </conditionalFormatting>
  <conditionalFormatting sqref="G22">
    <cfRule type="expression" dxfId="5" priority="4">
      <formula>AND($D22&lt;&gt;"",G$5&lt;&gt;"")</formula>
    </cfRule>
  </conditionalFormatting>
  <conditionalFormatting sqref="H22">
    <cfRule type="expression" dxfId="4" priority="3">
      <formula>AND($D22&lt;&gt;"",G$5&lt;&gt;"")</formula>
    </cfRule>
  </conditionalFormatting>
  <conditionalFormatting sqref="I22 K22 M22">
    <cfRule type="expression" dxfId="3" priority="2">
      <formula>AND($D22&lt;&gt;"",I$5&lt;&gt;"")</formula>
    </cfRule>
  </conditionalFormatting>
  <conditionalFormatting sqref="J22 L22 N22">
    <cfRule type="expression" dxfId="2" priority="1">
      <formula>AND($D22&lt;&gt;"",I$5&lt;&gt;"")</formula>
    </cfRule>
  </conditionalFormatting>
  <dataValidations count="1">
    <dataValidation type="custom" allowBlank="1" showInputMessage="1" showErrorMessage="1" sqref="D19">
      <formula1>D18&lt;&gt;""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272</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2,10</v>
      </c>
      <c r="F5" s="31">
        <f>IFERROR(INDEX('WINBUGS data'!$F$17:$ZZ$65,MATCH($C5,'WINBUGS data'!$F$17:$F$65,0),MATCH("t[,"&amp;F$4 &amp;"]",'WINBUGS data'!$F$16:$ZZ$16,0)),"")</f>
        <v>2</v>
      </c>
      <c r="G5" s="31">
        <f>IFERROR(INDEX('WINBUGS data'!$F$17:$ZZ$65,MATCH($C5,'WINBUGS data'!$F$17:$F$65,0),MATCH("t[,"&amp;G$4 &amp;"]",'WINBUGS data'!$F$16:$ZZ$16,0)),"")</f>
        <v>10</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NA</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1,4</v>
      </c>
      <c r="F6" s="31">
        <f>IFERROR(INDEX('WINBUGS data'!$F$17:$ZZ$65,MATCH($C6,'WINBUGS data'!$F$17:$F$65,0),MATCH("t[,"&amp;F$4 &amp;"]",'WINBUGS data'!$F$16:$ZZ$16,0)),"")</f>
        <v>1</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NA</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3,4</v>
      </c>
      <c r="F7" s="31">
        <f>IFERROR(INDEX('WINBUGS data'!$F$17:$ZZ$65,MATCH($C7,'WINBUGS data'!$F$17:$F$65,0),MATCH("t[,"&amp;F$4 &amp;"]",'WINBUGS data'!$F$16:$ZZ$16,0)),"")</f>
        <v>3</v>
      </c>
      <c r="G7" s="31">
        <f>IFERROR(INDEX('WINBUGS data'!$F$17:$ZZ$65,MATCH($C7,'WINBUGS data'!$F$17:$F$65,0),MATCH("t[,"&amp;G$4 &amp;"]",'WINBUGS data'!$F$16:$ZZ$16,0)),"")</f>
        <v>4</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NA</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NA</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NA</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3,10</v>
      </c>
      <c r="F10" s="31">
        <f>IFERROR(INDEX('WINBUGS data'!$F$17:$ZZ$65,MATCH($C10,'WINBUGS data'!$F$17:$F$65,0),MATCH("t[,"&amp;F$4 &amp;"]",'WINBUGS data'!$F$16:$ZZ$16,0)),"")</f>
        <v>3</v>
      </c>
      <c r="G10" s="31">
        <f>IFERROR(INDEX('WINBUGS data'!$F$17:$ZZ$65,MATCH($C10,'WINBUGS data'!$F$17:$F$65,0),MATCH("t[,"&amp;G$4 &amp;"]",'WINBUGS data'!$F$16:$ZZ$16,0)),"")</f>
        <v>10</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NA</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2,3</v>
      </c>
      <c r="F11" s="31">
        <f>IFERROR(INDEX('WINBUGS data'!$F$17:$ZZ$65,MATCH($C11,'WINBUGS data'!$F$17:$F$65,0),MATCH("t[,"&amp;F$4 &amp;"]",'WINBUGS data'!$F$16:$ZZ$16,0)),"")</f>
        <v>2</v>
      </c>
      <c r="G11" s="31">
        <f>IFERROR(INDEX('WINBUGS data'!$F$17:$ZZ$65,MATCH($C11,'WINBUGS data'!$F$17:$F$65,0),MATCH("t[,"&amp;G$4 &amp;"]",'WINBUGS data'!$F$16:$ZZ$16,0)),"")</f>
        <v>3</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NA</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1,3</v>
      </c>
      <c r="F12" s="31">
        <f>IFERROR(INDEX('WINBUGS data'!$F$17:$ZZ$65,MATCH($C12,'WINBUGS data'!$F$17:$F$65,0),MATCH("t[,"&amp;F$4 &amp;"]",'WINBUGS data'!$F$16:$ZZ$16,0)),"")</f>
        <v>1</v>
      </c>
      <c r="G12" s="31">
        <f>IFERROR(INDEX('WINBUGS data'!$F$17:$ZZ$65,MATCH($C12,'WINBUGS data'!$F$17:$F$65,0),MATCH("t[,"&amp;G$4 &amp;"]",'WINBUGS data'!$F$16:$ZZ$16,0)),"")</f>
        <v>3</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NA</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1,8</v>
      </c>
      <c r="F13" s="31">
        <f>IFERROR(INDEX('WINBUGS data'!$F$17:$ZZ$65,MATCH($C13,'WINBUGS data'!$F$17:$F$65,0),MATCH("t[,"&amp;F$4 &amp;"]",'WINBUGS data'!$F$16:$ZZ$16,0)),"")</f>
        <v>1</v>
      </c>
      <c r="G13" s="31">
        <f>IFERROR(INDEX('WINBUGS data'!$F$17:$ZZ$65,MATCH($C13,'WINBUGS data'!$F$17:$F$65,0),MATCH("t[,"&amp;G$4 &amp;"]",'WINBUGS data'!$F$16:$ZZ$16,0)),"")</f>
        <v>8</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NA</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2,5</v>
      </c>
      <c r="F14" s="31">
        <f>IFERROR(INDEX('WINBUGS data'!$F$17:$ZZ$65,MATCH($C14,'WINBUGS data'!$F$17:$F$65,0),MATCH("t[,"&amp;F$4 &amp;"]",'WINBUGS data'!$F$16:$ZZ$16,0)),"")</f>
        <v>2</v>
      </c>
      <c r="G14" s="31">
        <f>IFERROR(INDEX('WINBUGS data'!$F$17:$ZZ$65,MATCH($C14,'WINBUGS data'!$F$17:$F$65,0),MATCH("t[,"&amp;G$4 &amp;"]",'WINBUGS data'!$F$16:$ZZ$16,0)),"")</f>
        <v>5</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NA</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3,9</v>
      </c>
      <c r="F15" s="31">
        <f>IFERROR(INDEX('WINBUGS data'!$F$17:$ZZ$65,MATCH($C15,'WINBUGS data'!$F$17:$F$65,0),MATCH("t[,"&amp;F$4 &amp;"]",'WINBUGS data'!$F$16:$ZZ$16,0)),"")</f>
        <v>3</v>
      </c>
      <c r="G15" s="31">
        <f>IFERROR(INDEX('WINBUGS data'!$F$17:$ZZ$65,MATCH($C15,'WINBUGS data'!$F$17:$F$65,0),MATCH("t[,"&amp;G$4 &amp;"]",'WINBUGS data'!$F$16:$ZZ$16,0)),"")</f>
        <v>9</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NA</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2,7</v>
      </c>
      <c r="F16" s="31">
        <f>IFERROR(INDEX('WINBUGS data'!$F$17:$ZZ$65,MATCH($C16,'WINBUGS data'!$F$17:$F$65,0),MATCH("t[,"&amp;F$4 &amp;"]",'WINBUGS data'!$F$16:$ZZ$16,0)),"")</f>
        <v>2</v>
      </c>
      <c r="G16" s="31">
        <f>IFERROR(INDEX('WINBUGS data'!$F$17:$ZZ$65,MATCH($C16,'WINBUGS data'!$F$17:$F$65,0),MATCH("t[,"&amp;G$4 &amp;"]",'WINBUGS data'!$F$16:$ZZ$16,0)),"")</f>
        <v>7</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NA</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1,10</v>
      </c>
      <c r="F17" s="31">
        <f>IFERROR(INDEX('WINBUGS data'!$F$17:$ZZ$65,MATCH($C17,'WINBUGS data'!$F$17:$F$65,0),MATCH("t[,"&amp;F$4 &amp;"]",'WINBUGS data'!$F$16:$ZZ$16,0)),"")</f>
        <v>1</v>
      </c>
      <c r="G17" s="31">
        <f>IFERROR(INDEX('WINBUGS data'!$F$17:$ZZ$65,MATCH($C17,'WINBUGS data'!$F$17:$F$65,0),MATCH("t[,"&amp;G$4 &amp;"]",'WINBUGS data'!$F$16:$ZZ$16,0)),"")</f>
        <v>10</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NA</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1,2</v>
      </c>
      <c r="F18" s="31">
        <f>IFERROR(INDEX('WINBUGS data'!$F$17:$ZZ$65,MATCH($C18,'WINBUGS data'!$F$17:$F$65,0),MATCH("t[,"&amp;F$4 &amp;"]",'WINBUGS data'!$F$16:$ZZ$16,0)),"")</f>
        <v>1</v>
      </c>
      <c r="G18" s="31">
        <f>IFERROR(INDEX('WINBUGS data'!$F$17:$ZZ$65,MATCH($C18,'WINBUGS data'!$F$17:$F$65,0),MATCH("t[,"&amp;G$4 &amp;"]",'WINBUGS data'!$F$16:$ZZ$16,0)),"")</f>
        <v>2</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NA</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3,10</v>
      </c>
      <c r="F19" s="31">
        <f>IFERROR(INDEX('WINBUGS data'!$F$17:$ZZ$65,MATCH($C19,'WINBUGS data'!$F$17:$F$65,0),MATCH("t[,"&amp;F$4 &amp;"]",'WINBUGS data'!$F$16:$ZZ$16,0)),"")</f>
        <v>3</v>
      </c>
      <c r="G19" s="31">
        <f>IFERROR(INDEX('WINBUGS data'!$F$17:$ZZ$65,MATCH($C19,'WINBUGS data'!$F$17:$F$65,0),MATCH("t[,"&amp;G$4 &amp;"]",'WINBUGS data'!$F$16:$ZZ$16,0)),"")</f>
        <v>10</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NA</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1,9</v>
      </c>
      <c r="F20" s="31">
        <f>IFERROR(INDEX('WINBUGS data'!$F$17:$ZZ$65,MATCH($C20,'WINBUGS data'!$F$17:$F$65,0),MATCH("t[,"&amp;F$4 &amp;"]",'WINBUGS data'!$F$16:$ZZ$16,0)),"")</f>
        <v>1</v>
      </c>
      <c r="G20" s="31">
        <f>IFERROR(INDEX('WINBUGS data'!$F$17:$ZZ$65,MATCH($C20,'WINBUGS data'!$F$17:$F$65,0),MATCH("t[,"&amp;G$4 &amp;"]",'WINBUGS data'!$F$16:$ZZ$16,0)),"")</f>
        <v>9</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NA</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1,2</v>
      </c>
      <c r="F21" s="31">
        <f>IFERROR(INDEX('WINBUGS data'!$F$17:$ZZ$65,MATCH($C21,'WINBUGS data'!$F$17:$F$65,0),MATCH("t[,"&amp;F$4 &amp;"]",'WINBUGS data'!$F$16:$ZZ$16,0)),"")</f>
        <v>1</v>
      </c>
      <c r="G21" s="31">
        <f>IFERROR(INDEX('WINBUGS data'!$F$17:$ZZ$65,MATCH($C21,'WINBUGS data'!$F$17:$F$65,0),MATCH("t[,"&amp;G$4 &amp;"]",'WINBUGS data'!$F$16:$ZZ$16,0)),"")</f>
        <v>2</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NA</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1,9</v>
      </c>
      <c r="F22" s="31">
        <f>IFERROR(INDEX('WINBUGS data'!$F$17:$ZZ$65,MATCH($C22,'WINBUGS data'!$F$17:$F$65,0),MATCH("t[,"&amp;F$4 &amp;"]",'WINBUGS data'!$F$16:$ZZ$16,0)),"")</f>
        <v>1</v>
      </c>
      <c r="G22" s="31">
        <f>IFERROR(INDEX('WINBUGS data'!$F$17:$ZZ$65,MATCH($C22,'WINBUGS data'!$F$17:$F$65,0),MATCH("t[,"&amp;G$4 &amp;"]",'WINBUGS data'!$F$16:$ZZ$16,0)),"")</f>
        <v>9</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NA</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3,6</v>
      </c>
      <c r="F23" s="31">
        <f>IFERROR(INDEX('WINBUGS data'!$F$17:$ZZ$65,MATCH($C23,'WINBUGS data'!$F$17:$F$65,0),MATCH("t[,"&amp;F$4 &amp;"]",'WINBUGS data'!$F$16:$ZZ$16,0)),"")</f>
        <v>3</v>
      </c>
      <c r="G23" s="31">
        <f>IFERROR(INDEX('WINBUGS data'!$F$17:$ZZ$65,MATCH($C23,'WINBUGS data'!$F$17:$F$65,0),MATCH("t[,"&amp;G$4 &amp;"]",'WINBUGS data'!$F$16:$ZZ$16,0)),"")</f>
        <v>6</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NA</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1,2</v>
      </c>
      <c r="F24" s="31">
        <f>IFERROR(INDEX('WINBUGS data'!$F$17:$ZZ$65,MATCH($C24,'WINBUGS data'!$F$17:$F$65,0),MATCH("t[,"&amp;F$4 &amp;"]",'WINBUGS data'!$F$16:$ZZ$16,0)),"")</f>
        <v>1</v>
      </c>
      <c r="G24" s="31">
        <f>IFERROR(INDEX('WINBUGS data'!$F$17:$ZZ$65,MATCH($C24,'WINBUGS data'!$F$17:$F$65,0),MATCH("t[,"&amp;G$4 &amp;"]",'WINBUGS data'!$F$16:$ZZ$16,0)),"")</f>
        <v>2</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NA</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3,10</v>
      </c>
      <c r="F25" s="31">
        <f>IFERROR(INDEX('WINBUGS data'!$F$17:$ZZ$65,MATCH($C25,'WINBUGS data'!$F$17:$F$65,0),MATCH("t[,"&amp;F$4 &amp;"]",'WINBUGS data'!$F$16:$ZZ$16,0)),"")</f>
        <v>3</v>
      </c>
      <c r="G25" s="31">
        <f>IFERROR(INDEX('WINBUGS data'!$F$17:$ZZ$65,MATCH($C25,'WINBUGS data'!$F$17:$F$65,0),MATCH("t[,"&amp;G$4 &amp;"]",'WINBUGS data'!$F$16:$ZZ$16,0)),"")</f>
        <v>10</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NA</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1,10</v>
      </c>
      <c r="F26" s="31">
        <f>IFERROR(INDEX('WINBUGS data'!$F$17:$ZZ$65,MATCH($C26,'WINBUGS data'!$F$17:$F$65,0),MATCH("t[,"&amp;F$4 &amp;"]",'WINBUGS data'!$F$16:$ZZ$16,0)),"")</f>
        <v>1</v>
      </c>
      <c r="G26" s="31">
        <f>IFERROR(INDEX('WINBUGS data'!$F$17:$ZZ$65,MATCH($C26,'WINBUGS data'!$F$17:$F$65,0),MATCH("t[,"&amp;G$4 &amp;"]",'WINBUGS data'!$F$16:$ZZ$16,0)),"")</f>
        <v>10</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NA</v>
      </c>
      <c r="O26" s="31" t="str">
        <f>IFERROR(INDEX('WINBUGS data'!$F$17:$ZZ$65,MATCH($C26,'WINBUGS data'!$F$17:$F$65,0),MATCH("t[,"&amp;O$4 &amp;"]",'WINBUGS data'!$F$16:$ZZ$16,0)),"")</f>
        <v>NA</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3,9</v>
      </c>
      <c r="F27" s="31">
        <f>IFERROR(INDEX('WINBUGS data'!$F$17:$ZZ$65,MATCH($C27,'WINBUGS data'!$F$17:$F$65,0),MATCH("t[,"&amp;F$4 &amp;"]",'WINBUGS data'!$F$16:$ZZ$16,0)),"")</f>
        <v>3</v>
      </c>
      <c r="G27" s="31">
        <f>IFERROR(INDEX('WINBUGS data'!$F$17:$ZZ$65,MATCH($C27,'WINBUGS data'!$F$17:$F$65,0),MATCH("t[,"&amp;G$4 &amp;"]",'WINBUGS data'!$F$16:$ZZ$16,0)),"")</f>
        <v>9</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NA</v>
      </c>
      <c r="O27" s="31" t="str">
        <f>IFERROR(INDEX('WINBUGS data'!$F$17:$ZZ$65,MATCH($C27,'WINBUGS data'!$F$17:$F$65,0),MATCH("t[,"&amp;O$4 &amp;"]",'WINBUGS data'!$F$16:$ZZ$16,0)),"")</f>
        <v>NA</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1,3</v>
      </c>
      <c r="F28" s="31">
        <f>IFERROR(INDEX('WINBUGS data'!$F$17:$ZZ$65,MATCH($C28,'WINBUGS data'!$F$17:$F$65,0),MATCH("t[,"&amp;F$4 &amp;"]",'WINBUGS data'!$F$16:$ZZ$16,0)),"")</f>
        <v>1</v>
      </c>
      <c r="G28" s="31">
        <f>IFERROR(INDEX('WINBUGS data'!$F$17:$ZZ$65,MATCH($C28,'WINBUGS data'!$F$17:$F$65,0),MATCH("t[,"&amp;G$4 &amp;"]",'WINBUGS data'!$F$16:$ZZ$16,0)),"")</f>
        <v>3</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NA</v>
      </c>
      <c r="O28" s="31" t="str">
        <f>IFERROR(INDEX('WINBUGS data'!$F$17:$ZZ$65,MATCH($C28,'WINBUGS data'!$F$17:$F$65,0),MATCH("t[,"&amp;O$4 &amp;"]",'WINBUGS data'!$F$16:$ZZ$16,0)),"")</f>
        <v>NA</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3,4</v>
      </c>
      <c r="F29" s="31">
        <f>IFERROR(INDEX('WINBUGS data'!$F$17:$ZZ$65,MATCH($C29,'WINBUGS data'!$F$17:$F$65,0),MATCH("t[,"&amp;F$4 &amp;"]",'WINBUGS data'!$F$16:$ZZ$16,0)),"")</f>
        <v>3</v>
      </c>
      <c r="G29" s="31">
        <f>IFERROR(INDEX('WINBUGS data'!$F$17:$ZZ$65,MATCH($C29,'WINBUGS data'!$F$17:$F$65,0),MATCH("t[,"&amp;G$4 &amp;"]",'WINBUGS data'!$F$16:$ZZ$16,0)),"")</f>
        <v>4</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NA</v>
      </c>
      <c r="O29" s="31" t="str">
        <f>IFERROR(INDEX('WINBUGS data'!$F$17:$ZZ$65,MATCH($C29,'WINBUGS data'!$F$17:$F$65,0),MATCH("t[,"&amp;O$4 &amp;"]",'WINBUGS data'!$F$16:$ZZ$16,0)),"")</f>
        <v>NA</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t="str">
        <f>IF('WINBUGS data'!F42&lt;&gt;"",'WINBUGS data'!F42,"")</f>
        <v/>
      </c>
      <c r="D30" s="31" t="str">
        <f>IFERROR(INDEX('WINBUGS data'!$F$17:$ZZ$65,MATCH(C30,'WINBUGS data'!$F$17:$F$65,0),MATCH("na[]",'WINBUGS data'!$F$16:$ZZ$16,0)),"")</f>
        <v/>
      </c>
      <c r="E30" s="31" t="str">
        <f t="shared" si="0"/>
        <v/>
      </c>
      <c r="F30" s="31" t="str">
        <f>IFERROR(INDEX('WINBUGS data'!$F$17:$ZZ$65,MATCH($C30,'WINBUGS data'!$F$17:$F$65,0),MATCH("t[,"&amp;F$4 &amp;"]",'WINBUGS data'!$F$16:$ZZ$16,0)),"")</f>
        <v/>
      </c>
      <c r="G30" s="31" t="str">
        <f>IFERROR(INDEX('WINBUGS data'!$F$17:$ZZ$65,MATCH($C30,'WINBUGS data'!$F$17:$F$65,0),MATCH("t[,"&amp;G$4 &amp;"]",'WINBUGS data'!$F$16:$ZZ$16,0)),"")</f>
        <v/>
      </c>
      <c r="H30" s="31" t="str">
        <f>IFERROR(INDEX('WINBUGS data'!$F$17:$ZZ$65,MATCH($C30,'WINBUGS data'!$F$17:$F$65,0),MATCH("t[,"&amp;H$4 &amp;"]",'WINBUGS data'!$F$16:$ZZ$16,0)),"")</f>
        <v/>
      </c>
      <c r="I30" s="31" t="str">
        <f>IFERROR(INDEX('WINBUGS data'!$F$17:$ZZ$65,MATCH($C30,'WINBUGS data'!$F$17:$F$65,0),MATCH("t[,"&amp;I$4 &amp;"]",'WINBUGS data'!$F$16:$ZZ$16,0)),"")</f>
        <v/>
      </c>
      <c r="J30" s="31" t="str">
        <f>IFERROR(INDEX('WINBUGS data'!$F$17:$ZZ$65,MATCH($C30,'WINBUGS data'!$F$17:$F$65,0),MATCH("t[,"&amp;J$4 &amp;"]",'WINBUGS data'!$F$16:$ZZ$16,0)),"")</f>
        <v/>
      </c>
      <c r="K30" s="31" t="str">
        <f>IFERROR(INDEX('WINBUGS data'!$F$17:$ZZ$65,MATCH($C30,'WINBUGS data'!$F$17:$F$65,0),MATCH("t[,"&amp;K$4 &amp;"]",'WINBUGS data'!$F$16:$ZZ$16,0)),"")</f>
        <v/>
      </c>
      <c r="L30" s="31" t="str">
        <f>IFERROR(INDEX('WINBUGS data'!$F$17:$ZZ$65,MATCH($C30,'WINBUGS data'!$F$17:$F$65,0),MATCH("t[,"&amp;L$4 &amp;"]",'WINBUGS data'!$F$16:$ZZ$16,0)),"")</f>
        <v/>
      </c>
      <c r="M30" s="31" t="str">
        <f>IFERROR(INDEX('WINBUGS data'!$F$17:$ZZ$65,MATCH($C30,'WINBUGS data'!$F$17:$F$65,0),MATCH("t[,"&amp;M$4 &amp;"]",'WINBUGS data'!$F$16:$ZZ$16,0)),"")</f>
        <v/>
      </c>
      <c r="N30" s="31" t="str">
        <f>IFERROR(INDEX('WINBUGS data'!$F$17:$ZZ$65,MATCH($C30,'WINBUGS data'!$F$17:$F$65,0),MATCH("t[,"&amp;N$4 &amp;"]",'WINBUGS data'!$F$16:$ZZ$16,0)),"")</f>
        <v/>
      </c>
      <c r="O30" s="31" t="str">
        <f>IFERROR(INDEX('WINBUGS data'!$F$17:$ZZ$65,MATCH($C30,'WINBUGS data'!$F$17:$F$65,0),MATCH("t[,"&amp;O$4 &amp;"]",'WINBUGS data'!$F$16:$ZZ$16,0)),"")</f>
        <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t="str">
        <f>IF('WINBUGS data'!F43&lt;&gt;"",'WINBUGS data'!F43,"")</f>
        <v/>
      </c>
      <c r="D31" s="31" t="str">
        <f>IFERROR(INDEX('WINBUGS data'!$F$17:$ZZ$65,MATCH(C31,'WINBUGS data'!$F$17:$F$65,0),MATCH("na[]",'WINBUGS data'!$F$16:$ZZ$16,0)),"")</f>
        <v/>
      </c>
      <c r="E31" s="31" t="str">
        <f t="shared" si="0"/>
        <v/>
      </c>
      <c r="F31" s="31" t="str">
        <f>IFERROR(INDEX('WINBUGS data'!$F$17:$ZZ$65,MATCH($C31,'WINBUGS data'!$F$17:$F$65,0),MATCH("t[,"&amp;F$4 &amp;"]",'WINBUGS data'!$F$16:$ZZ$16,0)),"")</f>
        <v/>
      </c>
      <c r="G31" s="31" t="str">
        <f>IFERROR(INDEX('WINBUGS data'!$F$17:$ZZ$65,MATCH($C31,'WINBUGS data'!$F$17:$F$65,0),MATCH("t[,"&amp;G$4 &amp;"]",'WINBUGS data'!$F$16:$ZZ$16,0)),"")</f>
        <v/>
      </c>
      <c r="H31" s="31" t="str">
        <f>IFERROR(INDEX('WINBUGS data'!$F$17:$ZZ$65,MATCH($C31,'WINBUGS data'!$F$17:$F$65,0),MATCH("t[,"&amp;H$4 &amp;"]",'WINBUGS data'!$F$16:$ZZ$16,0)),"")</f>
        <v/>
      </c>
      <c r="I31" s="31" t="str">
        <f>IFERROR(INDEX('WINBUGS data'!$F$17:$ZZ$65,MATCH($C31,'WINBUGS data'!$F$17:$F$65,0),MATCH("t[,"&amp;I$4 &amp;"]",'WINBUGS data'!$F$16:$ZZ$16,0)),"")</f>
        <v/>
      </c>
      <c r="J31" s="31" t="str">
        <f>IFERROR(INDEX('WINBUGS data'!$F$17:$ZZ$65,MATCH($C31,'WINBUGS data'!$F$17:$F$65,0),MATCH("t[,"&amp;J$4 &amp;"]",'WINBUGS data'!$F$16:$ZZ$16,0)),"")</f>
        <v/>
      </c>
      <c r="K31" s="31" t="str">
        <f>IFERROR(INDEX('WINBUGS data'!$F$17:$ZZ$65,MATCH($C31,'WINBUGS data'!$F$17:$F$65,0),MATCH("t[,"&amp;K$4 &amp;"]",'WINBUGS data'!$F$16:$ZZ$16,0)),"")</f>
        <v/>
      </c>
      <c r="L31" s="31" t="str">
        <f>IFERROR(INDEX('WINBUGS data'!$F$17:$ZZ$65,MATCH($C31,'WINBUGS data'!$F$17:$F$65,0),MATCH("t[,"&amp;L$4 &amp;"]",'WINBUGS data'!$F$16:$ZZ$16,0)),"")</f>
        <v/>
      </c>
      <c r="M31" s="31" t="str">
        <f>IFERROR(INDEX('WINBUGS data'!$F$17:$ZZ$65,MATCH($C31,'WINBUGS data'!$F$17:$F$65,0),MATCH("t[,"&amp;M$4 &amp;"]",'WINBUGS data'!$F$16:$ZZ$16,0)),"")</f>
        <v/>
      </c>
      <c r="N31" s="31" t="str">
        <f>IFERROR(INDEX('WINBUGS data'!$F$17:$ZZ$65,MATCH($C31,'WINBUGS data'!$F$17:$F$65,0),MATCH("t[,"&amp;N$4 &amp;"]",'WINBUGS data'!$F$16:$ZZ$16,0)),"")</f>
        <v/>
      </c>
      <c r="O31" s="31" t="str">
        <f>IFERROR(INDEX('WINBUGS data'!$F$17:$ZZ$65,MATCH($C31,'WINBUGS data'!$F$17:$F$65,0),MATCH("t[,"&amp;O$4 &amp;"]",'WINBUGS data'!$F$16:$ZZ$16,0)),"")</f>
        <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t="str">
        <f>IF('WINBUGS data'!F44&lt;&gt;"",'WINBUGS data'!F44,"")</f>
        <v/>
      </c>
      <c r="D32" s="31" t="str">
        <f>IFERROR(INDEX('WINBUGS data'!$F$17:$ZZ$65,MATCH(C32,'WINBUGS data'!$F$17:$F$65,0),MATCH("na[]",'WINBUGS data'!$F$16:$ZZ$16,0)),"")</f>
        <v/>
      </c>
      <c r="E32" s="31" t="str">
        <f t="shared" si="0"/>
        <v/>
      </c>
      <c r="F32" s="31" t="str">
        <f>IFERROR(INDEX('WINBUGS data'!$F$17:$ZZ$65,MATCH($C32,'WINBUGS data'!$F$17:$F$65,0),MATCH("t[,"&amp;F$4 &amp;"]",'WINBUGS data'!$F$16:$ZZ$16,0)),"")</f>
        <v/>
      </c>
      <c r="G32" s="31" t="str">
        <f>IFERROR(INDEX('WINBUGS data'!$F$17:$ZZ$65,MATCH($C32,'WINBUGS data'!$F$17:$F$65,0),MATCH("t[,"&amp;G$4 &amp;"]",'WINBUGS data'!$F$16:$ZZ$16,0)),"")</f>
        <v/>
      </c>
      <c r="H32" s="31" t="str">
        <f>IFERROR(INDEX('WINBUGS data'!$F$17:$ZZ$65,MATCH($C32,'WINBUGS data'!$F$17:$F$65,0),MATCH("t[,"&amp;H$4 &amp;"]",'WINBUGS data'!$F$16:$ZZ$16,0)),"")</f>
        <v/>
      </c>
      <c r="I32" s="31" t="str">
        <f>IFERROR(INDEX('WINBUGS data'!$F$17:$ZZ$65,MATCH($C32,'WINBUGS data'!$F$17:$F$65,0),MATCH("t[,"&amp;I$4 &amp;"]",'WINBUGS data'!$F$16:$ZZ$16,0)),"")</f>
        <v/>
      </c>
      <c r="J32" s="31" t="str">
        <f>IFERROR(INDEX('WINBUGS data'!$F$17:$ZZ$65,MATCH($C32,'WINBUGS data'!$F$17:$F$65,0),MATCH("t[,"&amp;J$4 &amp;"]",'WINBUGS data'!$F$16:$ZZ$16,0)),"")</f>
        <v/>
      </c>
      <c r="K32" s="31" t="str">
        <f>IFERROR(INDEX('WINBUGS data'!$F$17:$ZZ$65,MATCH($C32,'WINBUGS data'!$F$17:$F$65,0),MATCH("t[,"&amp;K$4 &amp;"]",'WINBUGS data'!$F$16:$ZZ$16,0)),"")</f>
        <v/>
      </c>
      <c r="L32" s="31" t="str">
        <f>IFERROR(INDEX('WINBUGS data'!$F$17:$ZZ$65,MATCH($C32,'WINBUGS data'!$F$17:$F$65,0),MATCH("t[,"&amp;L$4 &amp;"]",'WINBUGS data'!$F$16:$ZZ$16,0)),"")</f>
        <v/>
      </c>
      <c r="M32" s="31" t="str">
        <f>IFERROR(INDEX('WINBUGS data'!$F$17:$ZZ$65,MATCH($C32,'WINBUGS data'!$F$17:$F$65,0),MATCH("t[,"&amp;M$4 &amp;"]",'WINBUGS data'!$F$16:$ZZ$16,0)),"")</f>
        <v/>
      </c>
      <c r="N32" s="31" t="str">
        <f>IFERROR(INDEX('WINBUGS data'!$F$17:$ZZ$65,MATCH($C32,'WINBUGS data'!$F$17:$F$65,0),MATCH("t[,"&amp;N$4 &amp;"]",'WINBUGS data'!$F$16:$ZZ$16,0)),"")</f>
        <v/>
      </c>
      <c r="O32" s="31" t="str">
        <f>IFERROR(INDEX('WINBUGS data'!$F$17:$ZZ$65,MATCH($C32,'WINBUGS data'!$F$17:$F$65,0),MATCH("t[,"&amp;O$4 &amp;"]",'WINBUGS data'!$F$16:$ZZ$16,0)),"")</f>
        <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t="str">
        <f>IF('WINBUGS data'!F45&lt;&gt;"",'WINBUGS data'!F45,"")</f>
        <v/>
      </c>
      <c r="D33" s="31" t="str">
        <f>IFERROR(INDEX('WINBUGS data'!$F$17:$ZZ$65,MATCH(C33,'WINBUGS data'!$F$17:$F$65,0),MATCH("na[]",'WINBUGS data'!$F$16:$ZZ$16,0)),"")</f>
        <v/>
      </c>
      <c r="E33" s="31" t="str">
        <f t="shared" si="0"/>
        <v/>
      </c>
      <c r="F33" s="31" t="str">
        <f>IFERROR(INDEX('WINBUGS data'!$F$17:$ZZ$65,MATCH($C33,'WINBUGS data'!$F$17:$F$65,0),MATCH("t[,"&amp;F$4 &amp;"]",'WINBUGS data'!$F$16:$ZZ$16,0)),"")</f>
        <v/>
      </c>
      <c r="G33" s="31" t="str">
        <f>IFERROR(INDEX('WINBUGS data'!$F$17:$ZZ$65,MATCH($C33,'WINBUGS data'!$F$17:$F$65,0),MATCH("t[,"&amp;G$4 &amp;"]",'WINBUGS data'!$F$16:$ZZ$16,0)),"")</f>
        <v/>
      </c>
      <c r="H33" s="31" t="str">
        <f>IFERROR(INDEX('WINBUGS data'!$F$17:$ZZ$65,MATCH($C33,'WINBUGS data'!$F$17:$F$65,0),MATCH("t[,"&amp;H$4 &amp;"]",'WINBUGS data'!$F$16:$ZZ$16,0)),"")</f>
        <v/>
      </c>
      <c r="I33" s="31" t="str">
        <f>IFERROR(INDEX('WINBUGS data'!$F$17:$ZZ$65,MATCH($C33,'WINBUGS data'!$F$17:$F$65,0),MATCH("t[,"&amp;I$4 &amp;"]",'WINBUGS data'!$F$16:$ZZ$16,0)),"")</f>
        <v/>
      </c>
      <c r="J33" s="31" t="str">
        <f>IFERROR(INDEX('WINBUGS data'!$F$17:$ZZ$65,MATCH($C33,'WINBUGS data'!$F$17:$F$65,0),MATCH("t[,"&amp;J$4 &amp;"]",'WINBUGS data'!$F$16:$ZZ$16,0)),"")</f>
        <v/>
      </c>
      <c r="K33" s="31" t="str">
        <f>IFERROR(INDEX('WINBUGS data'!$F$17:$ZZ$65,MATCH($C33,'WINBUGS data'!$F$17:$F$65,0),MATCH("t[,"&amp;K$4 &amp;"]",'WINBUGS data'!$F$16:$ZZ$16,0)),"")</f>
        <v/>
      </c>
      <c r="L33" s="31" t="str">
        <f>IFERROR(INDEX('WINBUGS data'!$F$17:$ZZ$65,MATCH($C33,'WINBUGS data'!$F$17:$F$65,0),MATCH("t[,"&amp;L$4 &amp;"]",'WINBUGS data'!$F$16:$ZZ$16,0)),"")</f>
        <v/>
      </c>
      <c r="M33" s="31" t="str">
        <f>IFERROR(INDEX('WINBUGS data'!$F$17:$ZZ$65,MATCH($C33,'WINBUGS data'!$F$17:$F$65,0),MATCH("t[,"&amp;M$4 &amp;"]",'WINBUGS data'!$F$16:$ZZ$16,0)),"")</f>
        <v/>
      </c>
      <c r="N33" s="31" t="str">
        <f>IFERROR(INDEX('WINBUGS data'!$F$17:$ZZ$65,MATCH($C33,'WINBUGS data'!$F$17:$F$65,0),MATCH("t[,"&amp;N$4 &amp;"]",'WINBUGS data'!$F$16:$ZZ$16,0)),"")</f>
        <v/>
      </c>
      <c r="O33" s="31" t="str">
        <f>IFERROR(INDEX('WINBUGS data'!$F$17:$ZZ$65,MATCH($C33,'WINBUGS data'!$F$17:$F$65,0),MATCH("t[,"&amp;O$4 &amp;"]",'WINBUGS data'!$F$16:$ZZ$16,0)),"")</f>
        <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t="str">
        <f>IF('WINBUGS data'!F46&lt;&gt;"",'WINBUGS data'!F46,"")</f>
        <v/>
      </c>
      <c r="D34" s="31" t="str">
        <f>IFERROR(INDEX('WINBUGS data'!$F$17:$ZZ$65,MATCH(C34,'WINBUGS data'!$F$17:$F$65,0),MATCH("na[]",'WINBUGS data'!$F$16:$ZZ$16,0)),"")</f>
        <v/>
      </c>
      <c r="E34" s="31" t="str">
        <f t="shared" si="0"/>
        <v/>
      </c>
      <c r="F34" s="31" t="str">
        <f>IFERROR(INDEX('WINBUGS data'!$F$17:$ZZ$65,MATCH($C34,'WINBUGS data'!$F$17:$F$65,0),MATCH("t[,"&amp;F$4 &amp;"]",'WINBUGS data'!$F$16:$ZZ$16,0)),"")</f>
        <v/>
      </c>
      <c r="G34" s="31" t="str">
        <f>IFERROR(INDEX('WINBUGS data'!$F$17:$ZZ$65,MATCH($C34,'WINBUGS data'!$F$17:$F$65,0),MATCH("t[,"&amp;G$4 &amp;"]",'WINBUGS data'!$F$16:$ZZ$16,0)),"")</f>
        <v/>
      </c>
      <c r="H34" s="31" t="str">
        <f>IFERROR(INDEX('WINBUGS data'!$F$17:$ZZ$65,MATCH($C34,'WINBUGS data'!$F$17:$F$65,0),MATCH("t[,"&amp;H$4 &amp;"]",'WINBUGS data'!$F$16:$ZZ$16,0)),"")</f>
        <v/>
      </c>
      <c r="I34" s="31" t="str">
        <f>IFERROR(INDEX('WINBUGS data'!$F$17:$ZZ$65,MATCH($C34,'WINBUGS data'!$F$17:$F$65,0),MATCH("t[,"&amp;I$4 &amp;"]",'WINBUGS data'!$F$16:$ZZ$16,0)),"")</f>
        <v/>
      </c>
      <c r="J34" s="31" t="str">
        <f>IFERROR(INDEX('WINBUGS data'!$F$17:$ZZ$65,MATCH($C34,'WINBUGS data'!$F$17:$F$65,0),MATCH("t[,"&amp;J$4 &amp;"]",'WINBUGS data'!$F$16:$ZZ$16,0)),"")</f>
        <v/>
      </c>
      <c r="K34" s="31" t="str">
        <f>IFERROR(INDEX('WINBUGS data'!$F$17:$ZZ$65,MATCH($C34,'WINBUGS data'!$F$17:$F$65,0),MATCH("t[,"&amp;K$4 &amp;"]",'WINBUGS data'!$F$16:$ZZ$16,0)),"")</f>
        <v/>
      </c>
      <c r="L34" s="31" t="str">
        <f>IFERROR(INDEX('WINBUGS data'!$F$17:$ZZ$65,MATCH($C34,'WINBUGS data'!$F$17:$F$65,0),MATCH("t[,"&amp;L$4 &amp;"]",'WINBUGS data'!$F$16:$ZZ$16,0)),"")</f>
        <v/>
      </c>
      <c r="M34" s="31" t="str">
        <f>IFERROR(INDEX('WINBUGS data'!$F$17:$ZZ$65,MATCH($C34,'WINBUGS data'!$F$17:$F$65,0),MATCH("t[,"&amp;M$4 &amp;"]",'WINBUGS data'!$F$16:$ZZ$16,0)),"")</f>
        <v/>
      </c>
      <c r="N34" s="31" t="str">
        <f>IFERROR(INDEX('WINBUGS data'!$F$17:$ZZ$65,MATCH($C34,'WINBUGS data'!$F$17:$F$65,0),MATCH("t[,"&amp;N$4 &amp;"]",'WINBUGS data'!$F$16:$ZZ$16,0)),"")</f>
        <v/>
      </c>
      <c r="O34" s="31" t="str">
        <f>IFERROR(INDEX('WINBUGS data'!$F$17:$ZZ$65,MATCH($C34,'WINBUGS data'!$F$17:$F$65,0),MATCH("t[,"&amp;O$4 &amp;"]",'WINBUGS data'!$F$16:$ZZ$16,0)),"")</f>
        <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t="str">
        <f>IF('WINBUGS data'!F47&lt;&gt;"",'WINBUGS data'!F47,"")</f>
        <v/>
      </c>
      <c r="D35" s="31" t="str">
        <f>IFERROR(INDEX('WINBUGS data'!$F$17:$ZZ$65,MATCH(C35,'WINBUGS data'!$F$17:$F$65,0),MATCH("na[]",'WINBUGS data'!$F$16:$ZZ$16,0)),"")</f>
        <v/>
      </c>
      <c r="E35" s="31" t="str">
        <f t="shared" si="0"/>
        <v/>
      </c>
      <c r="F35" s="31" t="str">
        <f>IFERROR(INDEX('WINBUGS data'!$F$17:$ZZ$65,MATCH($C35,'WINBUGS data'!$F$17:$F$65,0),MATCH("t[,"&amp;F$4 &amp;"]",'WINBUGS data'!$F$16:$ZZ$16,0)),"")</f>
        <v/>
      </c>
      <c r="G35" s="31" t="str">
        <f>IFERROR(INDEX('WINBUGS data'!$F$17:$ZZ$65,MATCH($C35,'WINBUGS data'!$F$17:$F$65,0),MATCH("t[,"&amp;G$4 &amp;"]",'WINBUGS data'!$F$16:$ZZ$16,0)),"")</f>
        <v/>
      </c>
      <c r="H35" s="31" t="str">
        <f>IFERROR(INDEX('WINBUGS data'!$F$17:$ZZ$65,MATCH($C35,'WINBUGS data'!$F$17:$F$65,0),MATCH("t[,"&amp;H$4 &amp;"]",'WINBUGS data'!$F$16:$ZZ$16,0)),"")</f>
        <v/>
      </c>
      <c r="I35" s="31" t="str">
        <f>IFERROR(INDEX('WINBUGS data'!$F$17:$ZZ$65,MATCH($C35,'WINBUGS data'!$F$17:$F$65,0),MATCH("t[,"&amp;I$4 &amp;"]",'WINBUGS data'!$F$16:$ZZ$16,0)),"")</f>
        <v/>
      </c>
      <c r="J35" s="31" t="str">
        <f>IFERROR(INDEX('WINBUGS data'!$F$17:$ZZ$65,MATCH($C35,'WINBUGS data'!$F$17:$F$65,0),MATCH("t[,"&amp;J$4 &amp;"]",'WINBUGS data'!$F$16:$ZZ$16,0)),"")</f>
        <v/>
      </c>
      <c r="K35" s="31" t="str">
        <f>IFERROR(INDEX('WINBUGS data'!$F$17:$ZZ$65,MATCH($C35,'WINBUGS data'!$F$17:$F$65,0),MATCH("t[,"&amp;K$4 &amp;"]",'WINBUGS data'!$F$16:$ZZ$16,0)),"")</f>
        <v/>
      </c>
      <c r="L35" s="31" t="str">
        <f>IFERROR(INDEX('WINBUGS data'!$F$17:$ZZ$65,MATCH($C35,'WINBUGS data'!$F$17:$F$65,0),MATCH("t[,"&amp;L$4 &amp;"]",'WINBUGS data'!$F$16:$ZZ$16,0)),"")</f>
        <v/>
      </c>
      <c r="M35" s="31" t="str">
        <f>IFERROR(INDEX('WINBUGS data'!$F$17:$ZZ$65,MATCH($C35,'WINBUGS data'!$F$17:$F$65,0),MATCH("t[,"&amp;M$4 &amp;"]",'WINBUGS data'!$F$16:$ZZ$16,0)),"")</f>
        <v/>
      </c>
      <c r="N35" s="31" t="str">
        <f>IFERROR(INDEX('WINBUGS data'!$F$17:$ZZ$65,MATCH($C35,'WINBUGS data'!$F$17:$F$65,0),MATCH("t[,"&amp;N$4 &amp;"]",'WINBUGS data'!$F$16:$ZZ$16,0)),"")</f>
        <v/>
      </c>
      <c r="O35" s="31" t="str">
        <f>IFERROR(INDEX('WINBUGS data'!$F$17:$ZZ$65,MATCH($C35,'WINBUGS data'!$F$17:$F$65,0),MATCH("t[,"&amp;O$4 &amp;"]",'WINBUGS data'!$F$16:$ZZ$16,0)),"")</f>
        <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t="str">
        <f>IF('WINBUGS data'!F48&lt;&gt;"",'WINBUGS data'!F48,"")</f>
        <v/>
      </c>
      <c r="D36" s="31" t="str">
        <f>IFERROR(INDEX('WINBUGS data'!$F$17:$ZZ$65,MATCH(C36,'WINBUGS data'!$F$17:$F$65,0),MATCH("na[]",'WINBUGS data'!$F$16:$ZZ$16,0)),"")</f>
        <v/>
      </c>
      <c r="E36" s="31" t="str">
        <f t="shared" si="0"/>
        <v/>
      </c>
      <c r="F36" s="31" t="str">
        <f>IFERROR(INDEX('WINBUGS data'!$F$17:$ZZ$65,MATCH($C36,'WINBUGS data'!$F$17:$F$65,0),MATCH("t[,"&amp;F$4 &amp;"]",'WINBUGS data'!$F$16:$ZZ$16,0)),"")</f>
        <v/>
      </c>
      <c r="G36" s="31" t="str">
        <f>IFERROR(INDEX('WINBUGS data'!$F$17:$ZZ$65,MATCH($C36,'WINBUGS data'!$F$17:$F$65,0),MATCH("t[,"&amp;G$4 &amp;"]",'WINBUGS data'!$F$16:$ZZ$16,0)),"")</f>
        <v/>
      </c>
      <c r="H36" s="31" t="str">
        <f>IFERROR(INDEX('WINBUGS data'!$F$17:$ZZ$65,MATCH($C36,'WINBUGS data'!$F$17:$F$65,0),MATCH("t[,"&amp;H$4 &amp;"]",'WINBUGS data'!$F$16:$ZZ$16,0)),"")</f>
        <v/>
      </c>
      <c r="I36" s="31" t="str">
        <f>IFERROR(INDEX('WINBUGS data'!$F$17:$ZZ$65,MATCH($C36,'WINBUGS data'!$F$17:$F$65,0),MATCH("t[,"&amp;I$4 &amp;"]",'WINBUGS data'!$F$16:$ZZ$16,0)),"")</f>
        <v/>
      </c>
      <c r="J36" s="31" t="str">
        <f>IFERROR(INDEX('WINBUGS data'!$F$17:$ZZ$65,MATCH($C36,'WINBUGS data'!$F$17:$F$65,0),MATCH("t[,"&amp;J$4 &amp;"]",'WINBUGS data'!$F$16:$ZZ$16,0)),"")</f>
        <v/>
      </c>
      <c r="K36" s="31" t="str">
        <f>IFERROR(INDEX('WINBUGS data'!$F$17:$ZZ$65,MATCH($C36,'WINBUGS data'!$F$17:$F$65,0),MATCH("t[,"&amp;K$4 &amp;"]",'WINBUGS data'!$F$16:$ZZ$16,0)),"")</f>
        <v/>
      </c>
      <c r="L36" s="31" t="str">
        <f>IFERROR(INDEX('WINBUGS data'!$F$17:$ZZ$65,MATCH($C36,'WINBUGS data'!$F$17:$F$65,0),MATCH("t[,"&amp;L$4 &amp;"]",'WINBUGS data'!$F$16:$ZZ$16,0)),"")</f>
        <v/>
      </c>
      <c r="M36" s="31" t="str">
        <f>IFERROR(INDEX('WINBUGS data'!$F$17:$ZZ$65,MATCH($C36,'WINBUGS data'!$F$17:$F$65,0),MATCH("t[,"&amp;M$4 &amp;"]",'WINBUGS data'!$F$16:$ZZ$16,0)),"")</f>
        <v/>
      </c>
      <c r="N36" s="31" t="str">
        <f>IFERROR(INDEX('WINBUGS data'!$F$17:$ZZ$65,MATCH($C36,'WINBUGS data'!$F$17:$F$65,0),MATCH("t[,"&amp;N$4 &amp;"]",'WINBUGS data'!$F$16:$ZZ$16,0)),"")</f>
        <v/>
      </c>
      <c r="O36" s="31" t="str">
        <f>IFERROR(INDEX('WINBUGS data'!$F$17:$ZZ$65,MATCH($C36,'WINBUGS data'!$F$17:$F$65,0),MATCH("t[,"&amp;O$4 &amp;"]",'WINBUGS data'!$F$16:$ZZ$16,0)),"")</f>
        <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t="str">
        <f>IF('WINBUGS data'!F49&lt;&gt;"",'WINBUGS data'!F49,"")</f>
        <v/>
      </c>
      <c r="D37" s="31" t="str">
        <f>IFERROR(INDEX('WINBUGS data'!$F$17:$ZZ$65,MATCH(C37,'WINBUGS data'!$F$17:$F$65,0),MATCH("na[]",'WINBUGS data'!$F$16:$ZZ$16,0)),"")</f>
        <v/>
      </c>
      <c r="E37" s="31" t="str">
        <f t="shared" si="0"/>
        <v/>
      </c>
      <c r="F37" s="31" t="str">
        <f>IFERROR(INDEX('WINBUGS data'!$F$17:$ZZ$65,MATCH($C37,'WINBUGS data'!$F$17:$F$65,0),MATCH("t[,"&amp;F$4 &amp;"]",'WINBUGS data'!$F$16:$ZZ$16,0)),"")</f>
        <v/>
      </c>
      <c r="G37" s="31" t="str">
        <f>IFERROR(INDEX('WINBUGS data'!$F$17:$ZZ$65,MATCH($C37,'WINBUGS data'!$F$17:$F$65,0),MATCH("t[,"&amp;G$4 &amp;"]",'WINBUGS data'!$F$16:$ZZ$16,0)),"")</f>
        <v/>
      </c>
      <c r="H37" s="31" t="str">
        <f>IFERROR(INDEX('WINBUGS data'!$F$17:$ZZ$65,MATCH($C37,'WINBUGS data'!$F$17:$F$65,0),MATCH("t[,"&amp;H$4 &amp;"]",'WINBUGS data'!$F$16:$ZZ$16,0)),"")</f>
        <v/>
      </c>
      <c r="I37" s="31" t="str">
        <f>IFERROR(INDEX('WINBUGS data'!$F$17:$ZZ$65,MATCH($C37,'WINBUGS data'!$F$17:$F$65,0),MATCH("t[,"&amp;I$4 &amp;"]",'WINBUGS data'!$F$16:$ZZ$16,0)),"")</f>
        <v/>
      </c>
      <c r="J37" s="31" t="str">
        <f>IFERROR(INDEX('WINBUGS data'!$F$17:$ZZ$65,MATCH($C37,'WINBUGS data'!$F$17:$F$65,0),MATCH("t[,"&amp;J$4 &amp;"]",'WINBUGS data'!$F$16:$ZZ$16,0)),"")</f>
        <v/>
      </c>
      <c r="K37" s="31" t="str">
        <f>IFERROR(INDEX('WINBUGS data'!$F$17:$ZZ$65,MATCH($C37,'WINBUGS data'!$F$17:$F$65,0),MATCH("t[,"&amp;K$4 &amp;"]",'WINBUGS data'!$F$16:$ZZ$16,0)),"")</f>
        <v/>
      </c>
      <c r="L37" s="31" t="str">
        <f>IFERROR(INDEX('WINBUGS data'!$F$17:$ZZ$65,MATCH($C37,'WINBUGS data'!$F$17:$F$65,0),MATCH("t[,"&amp;L$4 &amp;"]",'WINBUGS data'!$F$16:$ZZ$16,0)),"")</f>
        <v/>
      </c>
      <c r="M37" s="31" t="str">
        <f>IFERROR(INDEX('WINBUGS data'!$F$17:$ZZ$65,MATCH($C37,'WINBUGS data'!$F$17:$F$65,0),MATCH("t[,"&amp;M$4 &amp;"]",'WINBUGS data'!$F$16:$ZZ$16,0)),"")</f>
        <v/>
      </c>
      <c r="N37" s="31" t="str">
        <f>IFERROR(INDEX('WINBUGS data'!$F$17:$ZZ$65,MATCH($C37,'WINBUGS data'!$F$17:$F$65,0),MATCH("t[,"&amp;N$4 &amp;"]",'WINBUGS data'!$F$16:$ZZ$16,0)),"")</f>
        <v/>
      </c>
      <c r="O37" s="31" t="str">
        <f>IFERROR(INDEX('WINBUGS data'!$F$17:$ZZ$65,MATCH($C37,'WINBUGS data'!$F$17:$F$65,0),MATCH("t[,"&amp;O$4 &amp;"]",'WINBUGS data'!$F$16:$ZZ$16,0)),"")</f>
        <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t="str">
        <f>IF('WINBUGS data'!F50&lt;&gt;"",'WINBUGS data'!F50,"")</f>
        <v/>
      </c>
      <c r="D38" s="31" t="str">
        <f>IFERROR(INDEX('WINBUGS data'!$F$17:$ZZ$65,MATCH(C38,'WINBUGS data'!$F$17:$F$65,0),MATCH("na[]",'WINBUGS data'!$F$16:$ZZ$16,0)),"")</f>
        <v/>
      </c>
      <c r="E38" s="31" t="str">
        <f t="shared" si="0"/>
        <v/>
      </c>
      <c r="F38" s="31" t="str">
        <f>IFERROR(INDEX('WINBUGS data'!$F$17:$ZZ$65,MATCH($C38,'WINBUGS data'!$F$17:$F$65,0),MATCH("t[,"&amp;F$4 &amp;"]",'WINBUGS data'!$F$16:$ZZ$16,0)),"")</f>
        <v/>
      </c>
      <c r="G38" s="31" t="str">
        <f>IFERROR(INDEX('WINBUGS data'!$F$17:$ZZ$65,MATCH($C38,'WINBUGS data'!$F$17:$F$65,0),MATCH("t[,"&amp;G$4 &amp;"]",'WINBUGS data'!$F$16:$ZZ$16,0)),"")</f>
        <v/>
      </c>
      <c r="H38" s="31" t="str">
        <f>IFERROR(INDEX('WINBUGS data'!$F$17:$ZZ$65,MATCH($C38,'WINBUGS data'!$F$17:$F$65,0),MATCH("t[,"&amp;H$4 &amp;"]",'WINBUGS data'!$F$16:$ZZ$16,0)),"")</f>
        <v/>
      </c>
      <c r="I38" s="31" t="str">
        <f>IFERROR(INDEX('WINBUGS data'!$F$17:$ZZ$65,MATCH($C38,'WINBUGS data'!$F$17:$F$65,0),MATCH("t[,"&amp;I$4 &amp;"]",'WINBUGS data'!$F$16:$ZZ$16,0)),"")</f>
        <v/>
      </c>
      <c r="J38" s="31" t="str">
        <f>IFERROR(INDEX('WINBUGS data'!$F$17:$ZZ$65,MATCH($C38,'WINBUGS data'!$F$17:$F$65,0),MATCH("t[,"&amp;J$4 &amp;"]",'WINBUGS data'!$F$16:$ZZ$16,0)),"")</f>
        <v/>
      </c>
      <c r="K38" s="31" t="str">
        <f>IFERROR(INDEX('WINBUGS data'!$F$17:$ZZ$65,MATCH($C38,'WINBUGS data'!$F$17:$F$65,0),MATCH("t[,"&amp;K$4 &amp;"]",'WINBUGS data'!$F$16:$ZZ$16,0)),"")</f>
        <v/>
      </c>
      <c r="L38" s="31" t="str">
        <f>IFERROR(INDEX('WINBUGS data'!$F$17:$ZZ$65,MATCH($C38,'WINBUGS data'!$F$17:$F$65,0),MATCH("t[,"&amp;L$4 &amp;"]",'WINBUGS data'!$F$16:$ZZ$16,0)),"")</f>
        <v/>
      </c>
      <c r="M38" s="31" t="str">
        <f>IFERROR(INDEX('WINBUGS data'!$F$17:$ZZ$65,MATCH($C38,'WINBUGS data'!$F$17:$F$65,0),MATCH("t[,"&amp;M$4 &amp;"]",'WINBUGS data'!$F$16:$ZZ$16,0)),"")</f>
        <v/>
      </c>
      <c r="N38" s="31" t="str">
        <f>IFERROR(INDEX('WINBUGS data'!$F$17:$ZZ$65,MATCH($C38,'WINBUGS data'!$F$17:$F$65,0),MATCH("t[,"&amp;N$4 &amp;"]",'WINBUGS data'!$F$16:$ZZ$16,0)),"")</f>
        <v/>
      </c>
      <c r="O38" s="31" t="str">
        <f>IFERROR(INDEX('WINBUGS data'!$F$17:$ZZ$65,MATCH($C38,'WINBUGS data'!$F$17:$F$65,0),MATCH("t[,"&amp;O$4 &amp;"]",'WINBUGS data'!$F$16:$ZZ$16,0)),"")</f>
        <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t="str">
        <f>IF('WINBUGS data'!F51&lt;&gt;"",'WINBUGS data'!F51,"")</f>
        <v/>
      </c>
      <c r="D39" s="31" t="str">
        <f>IFERROR(INDEX('WINBUGS data'!$F$17:$ZZ$65,MATCH(C39,'WINBUGS data'!$F$17:$F$65,0),MATCH("na[]",'WINBUGS data'!$F$16:$ZZ$16,0)),"")</f>
        <v/>
      </c>
      <c r="E39" s="31" t="str">
        <f t="shared" si="0"/>
        <v/>
      </c>
      <c r="F39" s="31" t="str">
        <f>IFERROR(INDEX('WINBUGS data'!$F$17:$ZZ$65,MATCH($C39,'WINBUGS data'!$F$17:$F$65,0),MATCH("t[,"&amp;F$4 &amp;"]",'WINBUGS data'!$F$16:$ZZ$16,0)),"")</f>
        <v/>
      </c>
      <c r="G39" s="31" t="str">
        <f>IFERROR(INDEX('WINBUGS data'!$F$17:$ZZ$65,MATCH($C39,'WINBUGS data'!$F$17:$F$65,0),MATCH("t[,"&amp;G$4 &amp;"]",'WINBUGS data'!$F$16:$ZZ$16,0)),"")</f>
        <v/>
      </c>
      <c r="H39" s="31" t="str">
        <f>IFERROR(INDEX('WINBUGS data'!$F$17:$ZZ$65,MATCH($C39,'WINBUGS data'!$F$17:$F$65,0),MATCH("t[,"&amp;H$4 &amp;"]",'WINBUGS data'!$F$16:$ZZ$16,0)),"")</f>
        <v/>
      </c>
      <c r="I39" s="31" t="str">
        <f>IFERROR(INDEX('WINBUGS data'!$F$17:$ZZ$65,MATCH($C39,'WINBUGS data'!$F$17:$F$65,0),MATCH("t[,"&amp;I$4 &amp;"]",'WINBUGS data'!$F$16:$ZZ$16,0)),"")</f>
        <v/>
      </c>
      <c r="J39" s="31" t="str">
        <f>IFERROR(INDEX('WINBUGS data'!$F$17:$ZZ$65,MATCH($C39,'WINBUGS data'!$F$17:$F$65,0),MATCH("t[,"&amp;J$4 &amp;"]",'WINBUGS data'!$F$16:$ZZ$16,0)),"")</f>
        <v/>
      </c>
      <c r="K39" s="31" t="str">
        <f>IFERROR(INDEX('WINBUGS data'!$F$17:$ZZ$65,MATCH($C39,'WINBUGS data'!$F$17:$F$65,0),MATCH("t[,"&amp;K$4 &amp;"]",'WINBUGS data'!$F$16:$ZZ$16,0)),"")</f>
        <v/>
      </c>
      <c r="L39" s="31" t="str">
        <f>IFERROR(INDEX('WINBUGS data'!$F$17:$ZZ$65,MATCH($C39,'WINBUGS data'!$F$17:$F$65,0),MATCH("t[,"&amp;L$4 &amp;"]",'WINBUGS data'!$F$16:$ZZ$16,0)),"")</f>
        <v/>
      </c>
      <c r="M39" s="31" t="str">
        <f>IFERROR(INDEX('WINBUGS data'!$F$17:$ZZ$65,MATCH($C39,'WINBUGS data'!$F$17:$F$65,0),MATCH("t[,"&amp;M$4 &amp;"]",'WINBUGS data'!$F$16:$ZZ$16,0)),"")</f>
        <v/>
      </c>
      <c r="N39" s="31" t="str">
        <f>IFERROR(INDEX('WINBUGS data'!$F$17:$ZZ$65,MATCH($C39,'WINBUGS data'!$F$17:$F$65,0),MATCH("t[,"&amp;N$4 &amp;"]",'WINBUGS data'!$F$16:$ZZ$16,0)),"")</f>
        <v/>
      </c>
      <c r="O39" s="31" t="str">
        <f>IFERROR(INDEX('WINBUGS data'!$F$17:$ZZ$65,MATCH($C39,'WINBUGS data'!$F$17:$F$65,0),MATCH("t[,"&amp;O$4 &amp;"]",'WINBUGS data'!$F$16:$ZZ$16,0)),"")</f>
        <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t="str">
        <f>IF('WINBUGS data'!F52&lt;&gt;"",'WINBUGS data'!F52,"")</f>
        <v/>
      </c>
      <c r="D40" s="31" t="str">
        <f>IFERROR(INDEX('WINBUGS data'!$F$17:$ZZ$65,MATCH(C40,'WINBUGS data'!$F$17:$F$65,0),MATCH("na[]",'WINBUGS data'!$F$16:$ZZ$16,0)),"")</f>
        <v/>
      </c>
      <c r="E40" s="31" t="str">
        <f t="shared" si="0"/>
        <v/>
      </c>
      <c r="F40" s="31" t="str">
        <f>IFERROR(INDEX('WINBUGS data'!$F$17:$ZZ$65,MATCH($C40,'WINBUGS data'!$F$17:$F$65,0),MATCH("t[,"&amp;F$4 &amp;"]",'WINBUGS data'!$F$16:$ZZ$16,0)),"")</f>
        <v/>
      </c>
      <c r="G40" s="31" t="str">
        <f>IFERROR(INDEX('WINBUGS data'!$F$17:$ZZ$65,MATCH($C40,'WINBUGS data'!$F$17:$F$65,0),MATCH("t[,"&amp;G$4 &amp;"]",'WINBUGS data'!$F$16:$ZZ$16,0)),"")</f>
        <v/>
      </c>
      <c r="H40" s="31" t="str">
        <f>IFERROR(INDEX('WINBUGS data'!$F$17:$ZZ$65,MATCH($C40,'WINBUGS data'!$F$17:$F$65,0),MATCH("t[,"&amp;H$4 &amp;"]",'WINBUGS data'!$F$16:$ZZ$16,0)),"")</f>
        <v/>
      </c>
      <c r="I40" s="31" t="str">
        <f>IFERROR(INDEX('WINBUGS data'!$F$17:$ZZ$65,MATCH($C40,'WINBUGS data'!$F$17:$F$65,0),MATCH("t[,"&amp;I$4 &amp;"]",'WINBUGS data'!$F$16:$ZZ$16,0)),"")</f>
        <v/>
      </c>
      <c r="J40" s="31" t="str">
        <f>IFERROR(INDEX('WINBUGS data'!$F$17:$ZZ$65,MATCH($C40,'WINBUGS data'!$F$17:$F$65,0),MATCH("t[,"&amp;J$4 &amp;"]",'WINBUGS data'!$F$16:$ZZ$16,0)),"")</f>
        <v/>
      </c>
      <c r="K40" s="31" t="str">
        <f>IFERROR(INDEX('WINBUGS data'!$F$17:$ZZ$65,MATCH($C40,'WINBUGS data'!$F$17:$F$65,0),MATCH("t[,"&amp;K$4 &amp;"]",'WINBUGS data'!$F$16:$ZZ$16,0)),"")</f>
        <v/>
      </c>
      <c r="L40" s="31" t="str">
        <f>IFERROR(INDEX('WINBUGS data'!$F$17:$ZZ$65,MATCH($C40,'WINBUGS data'!$F$17:$F$65,0),MATCH("t[,"&amp;L$4 &amp;"]",'WINBUGS data'!$F$16:$ZZ$16,0)),"")</f>
        <v/>
      </c>
      <c r="M40" s="31" t="str">
        <f>IFERROR(INDEX('WINBUGS data'!$F$17:$ZZ$65,MATCH($C40,'WINBUGS data'!$F$17:$F$65,0),MATCH("t[,"&amp;M$4 &amp;"]",'WINBUGS data'!$F$16:$ZZ$16,0)),"")</f>
        <v/>
      </c>
      <c r="N40" s="31" t="str">
        <f>IFERROR(INDEX('WINBUGS data'!$F$17:$ZZ$65,MATCH($C40,'WINBUGS data'!$F$17:$F$65,0),MATCH("t[,"&amp;N$4 &amp;"]",'WINBUGS data'!$F$16:$ZZ$16,0)),"")</f>
        <v/>
      </c>
      <c r="O40" s="31" t="str">
        <f>IFERROR(INDEX('WINBUGS data'!$F$17:$ZZ$65,MATCH($C40,'WINBUGS data'!$F$17:$F$65,0),MATCH("t[,"&amp;O$4 &amp;"]",'WINBUGS data'!$F$16:$ZZ$16,0)),"")</f>
        <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t="str">
        <f>IF('WINBUGS data'!F53&lt;&gt;"",'WINBUGS data'!F53,"")</f>
        <v/>
      </c>
      <c r="D41" s="31" t="str">
        <f>IFERROR(INDEX('WINBUGS data'!$F$17:$ZZ$65,MATCH(C41,'WINBUGS data'!$F$17:$F$65,0),MATCH("na[]",'WINBUGS data'!$F$16:$ZZ$16,0)),"")</f>
        <v/>
      </c>
      <c r="E41" s="31" t="str">
        <f t="shared" si="0"/>
        <v/>
      </c>
      <c r="F41" s="31" t="str">
        <f>IFERROR(INDEX('WINBUGS data'!$F$17:$ZZ$65,MATCH($C41,'WINBUGS data'!$F$17:$F$65,0),MATCH("t[,"&amp;F$4 &amp;"]",'WINBUGS data'!$F$16:$ZZ$16,0)),"")</f>
        <v/>
      </c>
      <c r="G41" s="31" t="str">
        <f>IFERROR(INDEX('WINBUGS data'!$F$17:$ZZ$65,MATCH($C41,'WINBUGS data'!$F$17:$F$65,0),MATCH("t[,"&amp;G$4 &amp;"]",'WINBUGS data'!$F$16:$ZZ$16,0)),"")</f>
        <v/>
      </c>
      <c r="H41" s="31" t="str">
        <f>IFERROR(INDEX('WINBUGS data'!$F$17:$ZZ$65,MATCH($C41,'WINBUGS data'!$F$17:$F$65,0),MATCH("t[,"&amp;H$4 &amp;"]",'WINBUGS data'!$F$16:$ZZ$16,0)),"")</f>
        <v/>
      </c>
      <c r="I41" s="31" t="str">
        <f>IFERROR(INDEX('WINBUGS data'!$F$17:$ZZ$65,MATCH($C41,'WINBUGS data'!$F$17:$F$65,0),MATCH("t[,"&amp;I$4 &amp;"]",'WINBUGS data'!$F$16:$ZZ$16,0)),"")</f>
        <v/>
      </c>
      <c r="J41" s="31" t="str">
        <f>IFERROR(INDEX('WINBUGS data'!$F$17:$ZZ$65,MATCH($C41,'WINBUGS data'!$F$17:$F$65,0),MATCH("t[,"&amp;J$4 &amp;"]",'WINBUGS data'!$F$16:$ZZ$16,0)),"")</f>
        <v/>
      </c>
      <c r="K41" s="31" t="str">
        <f>IFERROR(INDEX('WINBUGS data'!$F$17:$ZZ$65,MATCH($C41,'WINBUGS data'!$F$17:$F$65,0),MATCH("t[,"&amp;K$4 &amp;"]",'WINBUGS data'!$F$16:$ZZ$16,0)),"")</f>
        <v/>
      </c>
      <c r="L41" s="31" t="str">
        <f>IFERROR(INDEX('WINBUGS data'!$F$17:$ZZ$65,MATCH($C41,'WINBUGS data'!$F$17:$F$65,0),MATCH("t[,"&amp;L$4 &amp;"]",'WINBUGS data'!$F$16:$ZZ$16,0)),"")</f>
        <v/>
      </c>
      <c r="M41" s="31" t="str">
        <f>IFERROR(INDEX('WINBUGS data'!$F$17:$ZZ$65,MATCH($C41,'WINBUGS data'!$F$17:$F$65,0),MATCH("t[,"&amp;M$4 &amp;"]",'WINBUGS data'!$F$16:$ZZ$16,0)),"")</f>
        <v/>
      </c>
      <c r="N41" s="31" t="str">
        <f>IFERROR(INDEX('WINBUGS data'!$F$17:$ZZ$65,MATCH($C41,'WINBUGS data'!$F$17:$F$65,0),MATCH("t[,"&amp;N$4 &amp;"]",'WINBUGS data'!$F$16:$ZZ$16,0)),"")</f>
        <v/>
      </c>
      <c r="O41" s="31" t="str">
        <f>IFERROR(INDEX('WINBUGS data'!$F$17:$ZZ$65,MATCH($C41,'WINBUGS data'!$F$17:$F$65,0),MATCH("t[,"&amp;O$4 &amp;"]",'WINBUGS data'!$F$16:$ZZ$16,0)),"")</f>
        <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L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8" ht="87" customHeight="1" thickBot="1" x14ac:dyDescent="0.3">
      <c r="J1" s="22" t="s">
        <v>121</v>
      </c>
    </row>
    <row r="2" spans="2:38" ht="19.5" thickBot="1" x14ac:dyDescent="0.35">
      <c r="B2" s="256" t="s">
        <v>13</v>
      </c>
      <c r="C2" s="257"/>
      <c r="H2" s="9" t="s">
        <v>264</v>
      </c>
      <c r="I2" s="10"/>
      <c r="J2" s="10"/>
      <c r="K2" s="10"/>
      <c r="L2" s="10"/>
      <c r="M2" s="10"/>
      <c r="N2" s="10"/>
      <c r="O2" s="10"/>
      <c r="P2" s="10"/>
      <c r="Q2" s="10"/>
      <c r="R2" s="10"/>
      <c r="S2" s="10"/>
      <c r="T2" s="10"/>
    </row>
    <row r="3" spans="2:38" ht="15.75" thickBot="1" x14ac:dyDescent="0.3">
      <c r="B3" s="4" t="s">
        <v>8</v>
      </c>
      <c r="C3" s="3" t="s">
        <v>7</v>
      </c>
      <c r="H3" t="s">
        <v>802</v>
      </c>
    </row>
    <row r="4" spans="2:38" x14ac:dyDescent="0.25">
      <c r="B4" s="5" t="str">
        <f>IF('DATA Input'!E5="","",'DATA Input'!E5)</f>
        <v>INDOIV</v>
      </c>
      <c r="C4" s="1">
        <f>IF(B4="","",1)</f>
        <v>1</v>
      </c>
      <c r="H4" t="s">
        <v>803</v>
      </c>
    </row>
    <row r="5" spans="2:38" x14ac:dyDescent="0.25">
      <c r="B5" s="5" t="str">
        <f>IF('DATA Input'!G5="","",'DATA Input'!G5)</f>
        <v>IBUIV</v>
      </c>
      <c r="C5" s="1">
        <f>IF(B5="","",C4+1)</f>
        <v>2</v>
      </c>
      <c r="H5" t="s">
        <v>804</v>
      </c>
    </row>
    <row r="6" spans="2:38" ht="15.75" x14ac:dyDescent="0.25">
      <c r="B6" s="5" t="str">
        <f>IF('DATA Input'!I5="","",'DATA Input'!I5)</f>
        <v>IBUPO</v>
      </c>
      <c r="C6" s="1">
        <f t="shared" ref="C6:C18" si="0">IF(B6="","",C5+1)</f>
        <v>3</v>
      </c>
      <c r="H6" s="9" t="s">
        <v>265</v>
      </c>
      <c r="I6" s="10"/>
      <c r="J6" s="10"/>
      <c r="K6" s="10"/>
      <c r="L6" s="10"/>
      <c r="M6" s="10"/>
      <c r="N6" s="10"/>
      <c r="O6" s="10"/>
      <c r="P6" s="10"/>
      <c r="Q6" s="10"/>
      <c r="R6" s="10"/>
      <c r="S6" s="10"/>
      <c r="T6" s="10"/>
    </row>
    <row r="7" spans="2:38" x14ac:dyDescent="0.25">
      <c r="B7" s="5" t="str">
        <f>IF('DATA Input'!K$5="","",'DATA Input'!K$5)</f>
        <v>PARAPO</v>
      </c>
      <c r="C7" s="1">
        <f t="shared" si="0"/>
        <v>4</v>
      </c>
      <c r="H7" t="s">
        <v>805</v>
      </c>
    </row>
    <row r="8" spans="2:38" x14ac:dyDescent="0.25">
      <c r="B8" s="5" t="str">
        <f>IF('DATA Input'!M$5="","",'DATA Input'!M$5)</f>
        <v>IBUIVHIGHDOSE</v>
      </c>
      <c r="C8" s="1">
        <f t="shared" si="0"/>
        <v>5</v>
      </c>
      <c r="H8" t="s">
        <v>806</v>
      </c>
    </row>
    <row r="9" spans="2:38" x14ac:dyDescent="0.25">
      <c r="B9" s="5" t="str">
        <f>IF('DATA Input'!O$5="","",'DATA Input'!O$5)</f>
        <v>IBUPOHIGHDOSE</v>
      </c>
      <c r="C9" s="1">
        <f t="shared" si="0"/>
        <v>6</v>
      </c>
      <c r="H9" t="s">
        <v>807</v>
      </c>
    </row>
    <row r="10" spans="2:38" ht="15.75" x14ac:dyDescent="0.25">
      <c r="B10" s="5" t="str">
        <f>IF('DATA Input'!Q$5="","",'DATA Input'!Q$5)</f>
        <v>IBUIVCONT</v>
      </c>
      <c r="C10" s="1">
        <f t="shared" si="0"/>
        <v>7</v>
      </c>
      <c r="H10" s="9" t="s">
        <v>266</v>
      </c>
      <c r="I10" s="10"/>
      <c r="J10" s="10"/>
      <c r="K10" s="10"/>
      <c r="L10" s="10"/>
      <c r="M10" s="10"/>
      <c r="N10" s="10"/>
      <c r="O10" s="10"/>
      <c r="P10" s="10"/>
      <c r="Q10" s="10"/>
      <c r="R10" s="10"/>
      <c r="S10" s="10"/>
      <c r="T10" s="10"/>
    </row>
    <row r="11" spans="2:38" x14ac:dyDescent="0.25">
      <c r="B11" s="5" t="str">
        <f>IF('DATA Input'!S$5="","",'DATA Input'!S$5)</f>
        <v>INDOIVCONT</v>
      </c>
      <c r="C11" s="1">
        <f t="shared" si="0"/>
        <v>8</v>
      </c>
      <c r="H11" t="s">
        <v>808</v>
      </c>
    </row>
    <row r="12" spans="2:38" x14ac:dyDescent="0.25">
      <c r="B12" s="5" t="str">
        <f>IF('DATA Input'!U$5="","",'DATA Input'!U$5)</f>
        <v>INDOTHERS</v>
      </c>
      <c r="C12" s="1">
        <f t="shared" si="0"/>
        <v>9</v>
      </c>
      <c r="F12" s="172" t="s">
        <v>269</v>
      </c>
      <c r="G12" s="146"/>
      <c r="H12" s="54" t="s">
        <v>809</v>
      </c>
      <c r="I12" s="19"/>
      <c r="J12" s="19"/>
      <c r="K12" s="19"/>
      <c r="L12" s="19"/>
      <c r="M12" s="19"/>
      <c r="N12" s="19"/>
      <c r="O12" s="19"/>
      <c r="P12" s="19"/>
      <c r="Q12" s="19"/>
      <c r="R12" s="19"/>
      <c r="S12" s="19"/>
      <c r="T12" s="19"/>
      <c r="U12" s="19"/>
      <c r="V12" s="19"/>
      <c r="W12" s="19"/>
      <c r="X12" s="19"/>
    </row>
    <row r="13" spans="2:38" x14ac:dyDescent="0.25">
      <c r="B13" s="5" t="str">
        <f>IF('DATA Input'!W$5="","",'DATA Input'!W$5)</f>
        <v>PLAC_NORX</v>
      </c>
      <c r="C13" s="1">
        <f t="shared" si="0"/>
        <v>10</v>
      </c>
      <c r="F13" s="8"/>
      <c r="G13" s="16"/>
      <c r="H13" s="54" t="s">
        <v>810</v>
      </c>
      <c r="I13" s="19"/>
      <c r="J13" s="19"/>
      <c r="K13" s="19"/>
      <c r="L13" s="19"/>
      <c r="M13" s="19"/>
      <c r="N13" s="19"/>
      <c r="O13" s="19"/>
      <c r="P13" s="19"/>
      <c r="Q13" s="19"/>
      <c r="R13" s="19"/>
      <c r="S13" s="19"/>
      <c r="T13" s="19"/>
      <c r="U13" s="19"/>
      <c r="V13" s="19"/>
      <c r="W13" s="19"/>
      <c r="X13" s="19"/>
    </row>
    <row r="14" spans="2:38"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8" x14ac:dyDescent="0.25">
      <c r="B15" s="5" t="str">
        <f>IF('DATA Input'!AA$5="","",'DATA Input'!AA$5)</f>
        <v/>
      </c>
      <c r="C15" s="1" t="str">
        <f t="shared" si="0"/>
        <v/>
      </c>
      <c r="F15" s="8"/>
      <c r="G15" s="16"/>
      <c r="H15" s="148" t="s">
        <v>801</v>
      </c>
      <c r="I15" s="19"/>
      <c r="J15" s="19"/>
      <c r="K15" s="19"/>
      <c r="L15" s="19"/>
      <c r="M15" s="19"/>
      <c r="N15" s="19"/>
      <c r="O15" s="19"/>
      <c r="P15" s="19"/>
      <c r="Q15" s="19"/>
      <c r="R15" s="19"/>
      <c r="S15" s="19"/>
      <c r="T15" s="19"/>
      <c r="U15" s="19"/>
      <c r="V15" s="19"/>
      <c r="W15" s="19"/>
      <c r="X15" s="19"/>
    </row>
    <row r="16" spans="2:38" x14ac:dyDescent="0.25">
      <c r="B16" s="5" t="str">
        <f>IF('DATA Input'!AC$5="","",'DATA Input'!AC$5)</f>
        <v/>
      </c>
      <c r="C16" s="1" t="str">
        <f t="shared" si="0"/>
        <v/>
      </c>
      <c r="F16" s="220" t="s">
        <v>267</v>
      </c>
      <c r="G16" s="220" t="s">
        <v>10</v>
      </c>
      <c r="H16" s="16" t="s">
        <v>0</v>
      </c>
      <c r="I16" s="16" t="s">
        <v>1</v>
      </c>
      <c r="J16" s="16" t="s">
        <v>2</v>
      </c>
      <c r="K16" s="16" t="s">
        <v>3</v>
      </c>
      <c r="L16" s="16" t="s">
        <v>42</v>
      </c>
      <c r="M16" s="16" t="s">
        <v>43</v>
      </c>
      <c r="N16" s="16" t="s">
        <v>44</v>
      </c>
      <c r="O16" s="16" t="s">
        <v>45</v>
      </c>
      <c r="P16" s="16" t="s">
        <v>251</v>
      </c>
      <c r="Q16" s="16" t="s">
        <v>252</v>
      </c>
      <c r="R16" s="16" t="s">
        <v>362</v>
      </c>
      <c r="S16" s="16" t="s">
        <v>363</v>
      </c>
      <c r="T16" s="16" t="s">
        <v>364</v>
      </c>
      <c r="U16" s="16" t="s">
        <v>365</v>
      </c>
      <c r="V16" s="16" t="s">
        <v>366</v>
      </c>
      <c r="W16" s="16" t="s">
        <v>367</v>
      </c>
      <c r="X16" s="19" t="s">
        <v>368</v>
      </c>
      <c r="Y16" t="s">
        <v>369</v>
      </c>
      <c r="Z16" t="s">
        <v>370</v>
      </c>
      <c r="AA16" t="s">
        <v>371</v>
      </c>
      <c r="AB16" t="s">
        <v>4</v>
      </c>
      <c r="AC16" t="s">
        <v>5</v>
      </c>
      <c r="AD16" t="s">
        <v>46</v>
      </c>
      <c r="AE16" t="s">
        <v>47</v>
      </c>
      <c r="AF16" t="s">
        <v>253</v>
      </c>
      <c r="AG16" t="s">
        <v>372</v>
      </c>
      <c r="AH16" t="s">
        <v>373</v>
      </c>
      <c r="AI16" t="s">
        <v>374</v>
      </c>
      <c r="AJ16" t="s">
        <v>375</v>
      </c>
      <c r="AK16" t="s">
        <v>376</v>
      </c>
      <c r="AL16" t="s">
        <v>6</v>
      </c>
    </row>
    <row r="17" spans="2:38" x14ac:dyDescent="0.25">
      <c r="B17" s="5" t="str">
        <f>IF('DATA Input'!AE$5="","",'DATA Input'!AE$5)</f>
        <v/>
      </c>
      <c r="C17" s="1" t="str">
        <f t="shared" si="0"/>
        <v/>
      </c>
      <c r="F17" s="16">
        <v>1</v>
      </c>
      <c r="G17" s="104">
        <v>2</v>
      </c>
      <c r="H17" s="144">
        <v>25</v>
      </c>
      <c r="I17" s="144">
        <v>68</v>
      </c>
      <c r="J17" s="144">
        <v>25</v>
      </c>
      <c r="K17" s="144">
        <v>68</v>
      </c>
      <c r="L17" s="144" t="s">
        <v>377</v>
      </c>
      <c r="M17" s="144">
        <v>1</v>
      </c>
      <c r="N17" s="19" t="s">
        <v>377</v>
      </c>
      <c r="O17" s="19">
        <v>1</v>
      </c>
      <c r="P17" s="19" t="s">
        <v>377</v>
      </c>
      <c r="Q17" s="19">
        <v>1</v>
      </c>
      <c r="R17" s="19" t="s">
        <v>377</v>
      </c>
      <c r="S17" s="19">
        <v>1</v>
      </c>
      <c r="T17" s="19" t="s">
        <v>377</v>
      </c>
      <c r="U17" s="19">
        <v>1</v>
      </c>
      <c r="V17" s="19" t="s">
        <v>377</v>
      </c>
      <c r="W17" s="19">
        <v>1</v>
      </c>
      <c r="X17" s="19" t="s">
        <v>377</v>
      </c>
      <c r="Y17">
        <v>1</v>
      </c>
      <c r="Z17" t="s">
        <v>377</v>
      </c>
      <c r="AA17">
        <v>1</v>
      </c>
      <c r="AB17">
        <v>2</v>
      </c>
      <c r="AC17">
        <v>10</v>
      </c>
      <c r="AD17" t="s">
        <v>377</v>
      </c>
      <c r="AE17" t="s">
        <v>377</v>
      </c>
      <c r="AF17" t="s">
        <v>377</v>
      </c>
      <c r="AG17" t="s">
        <v>377</v>
      </c>
      <c r="AH17" t="s">
        <v>377</v>
      </c>
      <c r="AI17" t="s">
        <v>377</v>
      </c>
      <c r="AJ17" t="s">
        <v>377</v>
      </c>
      <c r="AK17" t="s">
        <v>377</v>
      </c>
      <c r="AL17">
        <v>2</v>
      </c>
    </row>
    <row r="18" spans="2:38" ht="15.75" thickBot="1" x14ac:dyDescent="0.3">
      <c r="B18" s="6" t="str">
        <f>IF('DATA Input'!AG$5="","",'DATA Input'!AG$5)</f>
        <v/>
      </c>
      <c r="C18" s="2" t="str">
        <f t="shared" si="0"/>
        <v/>
      </c>
      <c r="F18" s="16">
        <v>2</v>
      </c>
      <c r="G18" s="104">
        <v>4</v>
      </c>
      <c r="H18" s="19">
        <v>7</v>
      </c>
      <c r="I18" s="19">
        <v>39</v>
      </c>
      <c r="J18" s="19">
        <v>8</v>
      </c>
      <c r="K18" s="19">
        <v>38</v>
      </c>
      <c r="L18" s="19" t="s">
        <v>377</v>
      </c>
      <c r="M18" s="19">
        <v>1</v>
      </c>
      <c r="N18" s="19" t="s">
        <v>377</v>
      </c>
      <c r="O18" s="19">
        <v>1</v>
      </c>
      <c r="P18" s="19" t="s">
        <v>377</v>
      </c>
      <c r="Q18" s="19">
        <v>1</v>
      </c>
      <c r="R18" s="19" t="s">
        <v>377</v>
      </c>
      <c r="S18" s="19">
        <v>1</v>
      </c>
      <c r="T18" s="19" t="s">
        <v>377</v>
      </c>
      <c r="U18" s="19">
        <v>1</v>
      </c>
      <c r="V18" s="19" t="s">
        <v>377</v>
      </c>
      <c r="W18" s="19">
        <v>1</v>
      </c>
      <c r="X18" s="19" t="s">
        <v>377</v>
      </c>
      <c r="Y18">
        <v>1</v>
      </c>
      <c r="Z18" t="s">
        <v>377</v>
      </c>
      <c r="AA18">
        <v>1</v>
      </c>
      <c r="AB18">
        <v>1</v>
      </c>
      <c r="AC18">
        <v>4</v>
      </c>
      <c r="AD18" t="s">
        <v>377</v>
      </c>
      <c r="AE18" t="s">
        <v>377</v>
      </c>
      <c r="AF18" t="s">
        <v>377</v>
      </c>
      <c r="AG18" t="s">
        <v>377</v>
      </c>
      <c r="AH18" t="s">
        <v>377</v>
      </c>
      <c r="AI18" t="s">
        <v>377</v>
      </c>
      <c r="AJ18" t="s">
        <v>377</v>
      </c>
      <c r="AK18" t="s">
        <v>377</v>
      </c>
      <c r="AL18">
        <v>2</v>
      </c>
    </row>
    <row r="19" spans="2:38" x14ac:dyDescent="0.25">
      <c r="F19" s="16">
        <v>3</v>
      </c>
      <c r="G19" s="104">
        <v>7</v>
      </c>
      <c r="H19" s="19">
        <v>10</v>
      </c>
      <c r="I19" s="19">
        <v>80</v>
      </c>
      <c r="J19" s="19">
        <v>9</v>
      </c>
      <c r="K19" s="19">
        <v>80</v>
      </c>
      <c r="L19" s="19" t="s">
        <v>377</v>
      </c>
      <c r="M19" s="19">
        <v>1</v>
      </c>
      <c r="N19" s="19" t="s">
        <v>377</v>
      </c>
      <c r="O19" s="19">
        <v>1</v>
      </c>
      <c r="P19" s="19" t="s">
        <v>377</v>
      </c>
      <c r="Q19" s="19">
        <v>1</v>
      </c>
      <c r="R19" s="19" t="s">
        <v>377</v>
      </c>
      <c r="S19" s="19">
        <v>1</v>
      </c>
      <c r="T19" s="19" t="s">
        <v>377</v>
      </c>
      <c r="U19" s="19">
        <v>1</v>
      </c>
      <c r="V19" s="19" t="s">
        <v>377</v>
      </c>
      <c r="W19" s="19">
        <v>1</v>
      </c>
      <c r="X19" s="19" t="s">
        <v>377</v>
      </c>
      <c r="Y19">
        <v>1</v>
      </c>
      <c r="Z19" t="s">
        <v>377</v>
      </c>
      <c r="AA19">
        <v>1</v>
      </c>
      <c r="AB19">
        <v>3</v>
      </c>
      <c r="AC19">
        <v>4</v>
      </c>
      <c r="AD19" t="s">
        <v>377</v>
      </c>
      <c r="AE19" t="s">
        <v>377</v>
      </c>
      <c r="AF19" t="s">
        <v>377</v>
      </c>
      <c r="AG19" t="s">
        <v>377</v>
      </c>
      <c r="AH19" t="s">
        <v>377</v>
      </c>
      <c r="AI19" t="s">
        <v>377</v>
      </c>
      <c r="AJ19" t="s">
        <v>377</v>
      </c>
      <c r="AK19" t="s">
        <v>377</v>
      </c>
      <c r="AL19">
        <v>2</v>
      </c>
    </row>
    <row r="20" spans="2:38" x14ac:dyDescent="0.25">
      <c r="F20" s="16">
        <v>4</v>
      </c>
      <c r="G20" s="104">
        <v>8</v>
      </c>
      <c r="H20" s="19">
        <v>4</v>
      </c>
      <c r="I20" s="19">
        <v>34</v>
      </c>
      <c r="J20" s="19">
        <v>5</v>
      </c>
      <c r="K20" s="19">
        <v>36</v>
      </c>
      <c r="L20" s="19" t="s">
        <v>377</v>
      </c>
      <c r="M20" s="19">
        <v>1</v>
      </c>
      <c r="N20" s="19" t="s">
        <v>377</v>
      </c>
      <c r="O20" s="19">
        <v>1</v>
      </c>
      <c r="P20" s="19" t="s">
        <v>377</v>
      </c>
      <c r="Q20" s="19">
        <v>1</v>
      </c>
      <c r="R20" s="19" t="s">
        <v>377</v>
      </c>
      <c r="S20" s="19">
        <v>1</v>
      </c>
      <c r="T20" s="19" t="s">
        <v>377</v>
      </c>
      <c r="U20" s="19">
        <v>1</v>
      </c>
      <c r="V20" s="19" t="s">
        <v>377</v>
      </c>
      <c r="W20" s="19">
        <v>1</v>
      </c>
      <c r="X20" s="19" t="s">
        <v>377</v>
      </c>
      <c r="Y20">
        <v>1</v>
      </c>
      <c r="Z20" t="s">
        <v>377</v>
      </c>
      <c r="AA20">
        <v>1</v>
      </c>
      <c r="AB20">
        <v>2</v>
      </c>
      <c r="AC20">
        <v>3</v>
      </c>
      <c r="AD20" t="s">
        <v>377</v>
      </c>
      <c r="AE20" t="s">
        <v>377</v>
      </c>
      <c r="AF20" t="s">
        <v>377</v>
      </c>
      <c r="AG20" t="s">
        <v>377</v>
      </c>
      <c r="AH20" t="s">
        <v>377</v>
      </c>
      <c r="AI20" t="s">
        <v>377</v>
      </c>
      <c r="AJ20" t="s">
        <v>377</v>
      </c>
      <c r="AK20" t="s">
        <v>377</v>
      </c>
      <c r="AL20">
        <v>2</v>
      </c>
    </row>
    <row r="21" spans="2:38" x14ac:dyDescent="0.25">
      <c r="F21" s="16">
        <v>5</v>
      </c>
      <c r="G21" s="104">
        <v>9</v>
      </c>
      <c r="H21" s="19">
        <v>0.4375</v>
      </c>
      <c r="I21" s="19">
        <v>14.4375</v>
      </c>
      <c r="J21" s="19">
        <v>0.5625</v>
      </c>
      <c r="K21" s="19">
        <v>18.5625</v>
      </c>
      <c r="L21" s="19" t="s">
        <v>377</v>
      </c>
      <c r="M21" s="19">
        <v>1</v>
      </c>
      <c r="N21" s="19" t="s">
        <v>377</v>
      </c>
      <c r="O21" s="19">
        <v>1</v>
      </c>
      <c r="P21" s="19" t="s">
        <v>377</v>
      </c>
      <c r="Q21" s="19">
        <v>1</v>
      </c>
      <c r="R21" s="19" t="s">
        <v>377</v>
      </c>
      <c r="S21" s="19">
        <v>1</v>
      </c>
      <c r="T21" s="19" t="s">
        <v>377</v>
      </c>
      <c r="U21" s="19">
        <v>1</v>
      </c>
      <c r="V21" s="19" t="s">
        <v>377</v>
      </c>
      <c r="W21" s="19">
        <v>1</v>
      </c>
      <c r="X21" s="19" t="s">
        <v>377</v>
      </c>
      <c r="Y21">
        <v>1</v>
      </c>
      <c r="Z21" t="s">
        <v>377</v>
      </c>
      <c r="AA21">
        <v>1</v>
      </c>
      <c r="AB21">
        <v>2</v>
      </c>
      <c r="AC21">
        <v>3</v>
      </c>
      <c r="AD21" t="s">
        <v>377</v>
      </c>
      <c r="AE21" t="s">
        <v>377</v>
      </c>
      <c r="AF21" t="s">
        <v>377</v>
      </c>
      <c r="AG21" t="s">
        <v>377</v>
      </c>
      <c r="AH21" t="s">
        <v>377</v>
      </c>
      <c r="AI21" t="s">
        <v>377</v>
      </c>
      <c r="AJ21" t="s">
        <v>377</v>
      </c>
      <c r="AK21" t="s">
        <v>377</v>
      </c>
      <c r="AL21">
        <v>2</v>
      </c>
    </row>
    <row r="22" spans="2:38" x14ac:dyDescent="0.25">
      <c r="F22" s="16">
        <v>6</v>
      </c>
      <c r="G22" s="104">
        <v>10</v>
      </c>
      <c r="H22" s="19">
        <v>5</v>
      </c>
      <c r="I22" s="19">
        <v>33</v>
      </c>
      <c r="J22" s="19">
        <v>6</v>
      </c>
      <c r="K22" s="19">
        <v>33</v>
      </c>
      <c r="L22" s="19" t="s">
        <v>377</v>
      </c>
      <c r="M22" s="19">
        <v>1</v>
      </c>
      <c r="N22" s="19" t="s">
        <v>377</v>
      </c>
      <c r="O22" s="19">
        <v>1</v>
      </c>
      <c r="P22" s="19" t="s">
        <v>377</v>
      </c>
      <c r="Q22" s="19">
        <v>1</v>
      </c>
      <c r="R22" s="19" t="s">
        <v>377</v>
      </c>
      <c r="S22" s="19">
        <v>1</v>
      </c>
      <c r="T22" s="19" t="s">
        <v>377</v>
      </c>
      <c r="U22" s="19">
        <v>1</v>
      </c>
      <c r="V22" s="19" t="s">
        <v>377</v>
      </c>
      <c r="W22" s="19">
        <v>1</v>
      </c>
      <c r="X22" s="19" t="s">
        <v>377</v>
      </c>
      <c r="Y22">
        <v>1</v>
      </c>
      <c r="Z22" t="s">
        <v>377</v>
      </c>
      <c r="AA22">
        <v>1</v>
      </c>
      <c r="AB22">
        <v>3</v>
      </c>
      <c r="AC22">
        <v>10</v>
      </c>
      <c r="AD22" t="s">
        <v>377</v>
      </c>
      <c r="AE22" t="s">
        <v>377</v>
      </c>
      <c r="AF22" t="s">
        <v>377</v>
      </c>
      <c r="AG22" t="s">
        <v>377</v>
      </c>
      <c r="AH22" t="s">
        <v>377</v>
      </c>
      <c r="AI22" t="s">
        <v>377</v>
      </c>
      <c r="AJ22" t="s">
        <v>377</v>
      </c>
      <c r="AK22" t="s">
        <v>377</v>
      </c>
      <c r="AL22">
        <v>2</v>
      </c>
    </row>
    <row r="23" spans="2:38" x14ac:dyDescent="0.25">
      <c r="F23" s="16">
        <v>7</v>
      </c>
      <c r="G23" s="104">
        <v>11</v>
      </c>
      <c r="H23" s="19">
        <v>13</v>
      </c>
      <c r="I23" s="19">
        <v>32</v>
      </c>
      <c r="J23" s="19">
        <v>12</v>
      </c>
      <c r="K23" s="19">
        <v>32</v>
      </c>
      <c r="L23" s="19" t="s">
        <v>377</v>
      </c>
      <c r="M23" s="19">
        <v>1</v>
      </c>
      <c r="N23" s="19" t="s">
        <v>377</v>
      </c>
      <c r="O23" s="19">
        <v>1</v>
      </c>
      <c r="P23" s="19" t="s">
        <v>377</v>
      </c>
      <c r="Q23" s="19">
        <v>1</v>
      </c>
      <c r="R23" s="19" t="s">
        <v>377</v>
      </c>
      <c r="S23" s="19">
        <v>1</v>
      </c>
      <c r="T23" s="19" t="s">
        <v>377</v>
      </c>
      <c r="U23" s="19">
        <v>1</v>
      </c>
      <c r="V23" s="19" t="s">
        <v>377</v>
      </c>
      <c r="W23" s="19">
        <v>1</v>
      </c>
      <c r="X23" s="19" t="s">
        <v>377</v>
      </c>
      <c r="Y23">
        <v>1</v>
      </c>
      <c r="Z23" t="s">
        <v>377</v>
      </c>
      <c r="AA23">
        <v>1</v>
      </c>
      <c r="AB23">
        <v>2</v>
      </c>
      <c r="AC23">
        <v>3</v>
      </c>
      <c r="AD23" t="s">
        <v>377</v>
      </c>
      <c r="AE23" t="s">
        <v>377</v>
      </c>
      <c r="AF23" t="s">
        <v>377</v>
      </c>
      <c r="AG23" t="s">
        <v>377</v>
      </c>
      <c r="AH23" t="s">
        <v>377</v>
      </c>
      <c r="AI23" t="s">
        <v>377</v>
      </c>
      <c r="AJ23" t="s">
        <v>377</v>
      </c>
      <c r="AK23" t="s">
        <v>377</v>
      </c>
      <c r="AL23">
        <v>2</v>
      </c>
    </row>
    <row r="24" spans="2:38" x14ac:dyDescent="0.25">
      <c r="F24" s="16">
        <v>8</v>
      </c>
      <c r="G24" s="104">
        <v>13</v>
      </c>
      <c r="H24" s="19">
        <v>1</v>
      </c>
      <c r="I24" s="19">
        <v>15</v>
      </c>
      <c r="J24" s="19">
        <v>3</v>
      </c>
      <c r="K24" s="19">
        <v>15</v>
      </c>
      <c r="L24" s="19" t="s">
        <v>377</v>
      </c>
      <c r="M24" s="19">
        <v>1</v>
      </c>
      <c r="N24" s="19" t="s">
        <v>377</v>
      </c>
      <c r="O24" s="19">
        <v>1</v>
      </c>
      <c r="P24" s="19" t="s">
        <v>377</v>
      </c>
      <c r="Q24" s="19">
        <v>1</v>
      </c>
      <c r="R24" s="19" t="s">
        <v>377</v>
      </c>
      <c r="S24" s="19">
        <v>1</v>
      </c>
      <c r="T24" s="19" t="s">
        <v>377</v>
      </c>
      <c r="U24" s="19">
        <v>1</v>
      </c>
      <c r="V24" s="19" t="s">
        <v>377</v>
      </c>
      <c r="W24" s="19">
        <v>1</v>
      </c>
      <c r="X24" s="19" t="s">
        <v>377</v>
      </c>
      <c r="Y24">
        <v>1</v>
      </c>
      <c r="Z24" t="s">
        <v>377</v>
      </c>
      <c r="AA24">
        <v>1</v>
      </c>
      <c r="AB24">
        <v>1</v>
      </c>
      <c r="AC24">
        <v>3</v>
      </c>
      <c r="AD24" t="s">
        <v>377</v>
      </c>
      <c r="AE24" t="s">
        <v>377</v>
      </c>
      <c r="AF24" t="s">
        <v>377</v>
      </c>
      <c r="AG24" t="s">
        <v>377</v>
      </c>
      <c r="AH24" t="s">
        <v>377</v>
      </c>
      <c r="AI24" t="s">
        <v>377</v>
      </c>
      <c r="AJ24" t="s">
        <v>377</v>
      </c>
      <c r="AK24" t="s">
        <v>377</v>
      </c>
      <c r="AL24">
        <v>2</v>
      </c>
    </row>
    <row r="25" spans="2:38" x14ac:dyDescent="0.25">
      <c r="F25" s="16">
        <v>9</v>
      </c>
      <c r="G25" s="104">
        <v>14</v>
      </c>
      <c r="H25" s="19">
        <v>0</v>
      </c>
      <c r="I25" s="19">
        <v>14</v>
      </c>
      <c r="J25" s="19">
        <v>0</v>
      </c>
      <c r="K25" s="19">
        <v>18</v>
      </c>
      <c r="L25" s="19" t="s">
        <v>377</v>
      </c>
      <c r="M25" s="19">
        <v>1</v>
      </c>
      <c r="N25" s="19" t="s">
        <v>377</v>
      </c>
      <c r="O25" s="19">
        <v>1</v>
      </c>
      <c r="P25" s="19" t="s">
        <v>377</v>
      </c>
      <c r="Q25" s="19">
        <v>1</v>
      </c>
      <c r="R25" s="19" t="s">
        <v>377</v>
      </c>
      <c r="S25" s="19">
        <v>1</v>
      </c>
      <c r="T25" s="19" t="s">
        <v>377</v>
      </c>
      <c r="U25" s="19">
        <v>1</v>
      </c>
      <c r="V25" s="19" t="s">
        <v>377</v>
      </c>
      <c r="W25" s="19">
        <v>1</v>
      </c>
      <c r="X25" s="19" t="s">
        <v>377</v>
      </c>
      <c r="Y25">
        <v>1</v>
      </c>
      <c r="Z25" t="s">
        <v>377</v>
      </c>
      <c r="AA25">
        <v>1</v>
      </c>
      <c r="AB25">
        <v>1</v>
      </c>
      <c r="AC25">
        <v>8</v>
      </c>
      <c r="AD25" t="s">
        <v>377</v>
      </c>
      <c r="AE25" t="s">
        <v>377</v>
      </c>
      <c r="AF25" t="s">
        <v>377</v>
      </c>
      <c r="AG25" t="s">
        <v>377</v>
      </c>
      <c r="AH25" t="s">
        <v>377</v>
      </c>
      <c r="AI25" t="s">
        <v>377</v>
      </c>
      <c r="AJ25" t="s">
        <v>377</v>
      </c>
      <c r="AK25" t="s">
        <v>377</v>
      </c>
      <c r="AL25">
        <v>2</v>
      </c>
    </row>
    <row r="26" spans="2:38" x14ac:dyDescent="0.25">
      <c r="F26" s="16">
        <v>10</v>
      </c>
      <c r="G26" s="104">
        <v>18</v>
      </c>
      <c r="H26" s="19">
        <v>6</v>
      </c>
      <c r="I26" s="19">
        <v>35</v>
      </c>
      <c r="J26" s="19">
        <v>4</v>
      </c>
      <c r="K26" s="19">
        <v>35</v>
      </c>
      <c r="L26" s="19" t="s">
        <v>377</v>
      </c>
      <c r="M26" s="19">
        <v>1</v>
      </c>
      <c r="N26" s="19" t="s">
        <v>377</v>
      </c>
      <c r="O26" s="19">
        <v>1</v>
      </c>
      <c r="P26" s="19" t="s">
        <v>377</v>
      </c>
      <c r="Q26" s="19">
        <v>1</v>
      </c>
      <c r="R26" s="19" t="s">
        <v>377</v>
      </c>
      <c r="S26" s="19">
        <v>1</v>
      </c>
      <c r="T26" s="19" t="s">
        <v>377</v>
      </c>
      <c r="U26" s="19">
        <v>1</v>
      </c>
      <c r="V26" s="19" t="s">
        <v>377</v>
      </c>
      <c r="W26" s="19">
        <v>1</v>
      </c>
      <c r="X26" s="19" t="s">
        <v>377</v>
      </c>
      <c r="Y26">
        <v>1</v>
      </c>
      <c r="Z26" t="s">
        <v>377</v>
      </c>
      <c r="AA26">
        <v>1</v>
      </c>
      <c r="AB26">
        <v>2</v>
      </c>
      <c r="AC26">
        <v>5</v>
      </c>
      <c r="AD26" t="s">
        <v>377</v>
      </c>
      <c r="AE26" t="s">
        <v>377</v>
      </c>
      <c r="AF26" t="s">
        <v>377</v>
      </c>
      <c r="AG26" t="s">
        <v>377</v>
      </c>
      <c r="AH26" t="s">
        <v>377</v>
      </c>
      <c r="AI26" t="s">
        <v>377</v>
      </c>
      <c r="AJ26" t="s">
        <v>377</v>
      </c>
      <c r="AK26" t="s">
        <v>377</v>
      </c>
      <c r="AL26">
        <v>2</v>
      </c>
    </row>
    <row r="27" spans="2:38" x14ac:dyDescent="0.25">
      <c r="F27" s="16">
        <v>11</v>
      </c>
      <c r="G27" s="104">
        <v>19</v>
      </c>
      <c r="H27" s="19">
        <v>5</v>
      </c>
      <c r="I27" s="16">
        <v>18</v>
      </c>
      <c r="J27" s="16">
        <v>7</v>
      </c>
      <c r="K27" s="16">
        <v>18</v>
      </c>
      <c r="L27" s="16" t="s">
        <v>377</v>
      </c>
      <c r="M27" s="16">
        <v>1</v>
      </c>
      <c r="N27" s="16" t="s">
        <v>377</v>
      </c>
      <c r="O27" s="16">
        <v>1</v>
      </c>
      <c r="P27" s="16" t="s">
        <v>377</v>
      </c>
      <c r="Q27" s="16">
        <v>1</v>
      </c>
      <c r="R27" s="16" t="s">
        <v>377</v>
      </c>
      <c r="S27" s="16">
        <v>1</v>
      </c>
      <c r="T27" s="16" t="s">
        <v>377</v>
      </c>
      <c r="U27" s="16">
        <v>1</v>
      </c>
      <c r="V27" s="16" t="s">
        <v>377</v>
      </c>
      <c r="W27" s="16">
        <v>1</v>
      </c>
      <c r="X27" s="16" t="s">
        <v>377</v>
      </c>
      <c r="Y27">
        <v>1</v>
      </c>
      <c r="Z27" t="s">
        <v>377</v>
      </c>
      <c r="AA27">
        <v>1</v>
      </c>
      <c r="AB27">
        <v>3</v>
      </c>
      <c r="AC27">
        <v>9</v>
      </c>
      <c r="AD27" t="s">
        <v>377</v>
      </c>
      <c r="AE27" t="s">
        <v>377</v>
      </c>
      <c r="AF27" t="s">
        <v>377</v>
      </c>
      <c r="AG27" t="s">
        <v>377</v>
      </c>
      <c r="AH27" t="s">
        <v>377</v>
      </c>
      <c r="AI27" t="s">
        <v>377</v>
      </c>
      <c r="AJ27" t="s">
        <v>377</v>
      </c>
      <c r="AK27" t="s">
        <v>377</v>
      </c>
      <c r="AL27">
        <v>2</v>
      </c>
    </row>
    <row r="28" spans="2:38" x14ac:dyDescent="0.25">
      <c r="F28" s="16">
        <v>12</v>
      </c>
      <c r="G28" s="104">
        <v>25</v>
      </c>
      <c r="H28" s="16">
        <v>7</v>
      </c>
      <c r="I28" s="16">
        <v>56</v>
      </c>
      <c r="J28" s="16">
        <v>5</v>
      </c>
      <c r="K28" s="16">
        <v>55</v>
      </c>
      <c r="L28" s="16" t="s">
        <v>377</v>
      </c>
      <c r="M28" s="16">
        <v>1</v>
      </c>
      <c r="N28" s="16" t="s">
        <v>377</v>
      </c>
      <c r="O28" s="16">
        <v>1</v>
      </c>
      <c r="P28" s="16" t="s">
        <v>377</v>
      </c>
      <c r="Q28" s="16">
        <v>1</v>
      </c>
      <c r="R28" s="16" t="s">
        <v>377</v>
      </c>
      <c r="S28" s="16">
        <v>1</v>
      </c>
      <c r="T28" s="16" t="s">
        <v>377</v>
      </c>
      <c r="U28" s="16">
        <v>1</v>
      </c>
      <c r="V28" s="16" t="s">
        <v>377</v>
      </c>
      <c r="W28" s="16">
        <v>1</v>
      </c>
      <c r="X28" s="16" t="s">
        <v>377</v>
      </c>
      <c r="Y28">
        <v>1</v>
      </c>
      <c r="Z28" t="s">
        <v>377</v>
      </c>
      <c r="AA28">
        <v>1</v>
      </c>
      <c r="AB28">
        <v>2</v>
      </c>
      <c r="AC28">
        <v>7</v>
      </c>
      <c r="AD28" t="s">
        <v>377</v>
      </c>
      <c r="AE28" t="s">
        <v>377</v>
      </c>
      <c r="AF28" t="s">
        <v>377</v>
      </c>
      <c r="AG28" t="s">
        <v>377</v>
      </c>
      <c r="AH28" t="s">
        <v>377</v>
      </c>
      <c r="AI28" t="s">
        <v>377</v>
      </c>
      <c r="AJ28" t="s">
        <v>377</v>
      </c>
      <c r="AK28" t="s">
        <v>377</v>
      </c>
      <c r="AL28">
        <v>2</v>
      </c>
    </row>
    <row r="29" spans="2:38" x14ac:dyDescent="0.25">
      <c r="F29" s="16">
        <v>13</v>
      </c>
      <c r="G29" s="104">
        <v>33</v>
      </c>
      <c r="H29" s="16">
        <v>12</v>
      </c>
      <c r="I29" s="16">
        <v>35</v>
      </c>
      <c r="J29" s="16">
        <v>8</v>
      </c>
      <c r="K29" s="16">
        <v>35</v>
      </c>
      <c r="L29" s="16" t="s">
        <v>377</v>
      </c>
      <c r="M29" s="16">
        <v>1</v>
      </c>
      <c r="N29" s="16" t="s">
        <v>377</v>
      </c>
      <c r="O29" s="16">
        <v>1</v>
      </c>
      <c r="P29" s="16" t="s">
        <v>377</v>
      </c>
      <c r="Q29" s="16">
        <v>1</v>
      </c>
      <c r="R29" s="16" t="s">
        <v>377</v>
      </c>
      <c r="S29" s="16">
        <v>1</v>
      </c>
      <c r="T29" s="16" t="s">
        <v>377</v>
      </c>
      <c r="U29" s="16">
        <v>1</v>
      </c>
      <c r="V29" s="16" t="s">
        <v>377</v>
      </c>
      <c r="W29" s="16">
        <v>1</v>
      </c>
      <c r="X29" s="16" t="s">
        <v>377</v>
      </c>
      <c r="Y29">
        <v>1</v>
      </c>
      <c r="Z29" t="s">
        <v>377</v>
      </c>
      <c r="AA29">
        <v>1</v>
      </c>
      <c r="AB29">
        <v>1</v>
      </c>
      <c r="AC29">
        <v>10</v>
      </c>
      <c r="AD29" t="s">
        <v>377</v>
      </c>
      <c r="AE29" t="s">
        <v>377</v>
      </c>
      <c r="AF29" t="s">
        <v>377</v>
      </c>
      <c r="AG29" t="s">
        <v>377</v>
      </c>
      <c r="AH29" t="s">
        <v>377</v>
      </c>
      <c r="AI29" t="s">
        <v>377</v>
      </c>
      <c r="AJ29" t="s">
        <v>377</v>
      </c>
      <c r="AK29" t="s">
        <v>377</v>
      </c>
      <c r="AL29">
        <v>2</v>
      </c>
    </row>
    <row r="30" spans="2:38" x14ac:dyDescent="0.25">
      <c r="F30" s="16">
        <v>14</v>
      </c>
      <c r="G30" s="104">
        <v>35</v>
      </c>
      <c r="H30" s="16">
        <v>4</v>
      </c>
      <c r="I30" s="16">
        <v>20</v>
      </c>
      <c r="J30" s="16">
        <v>3</v>
      </c>
      <c r="K30" s="16">
        <v>20</v>
      </c>
      <c r="L30" s="16" t="s">
        <v>377</v>
      </c>
      <c r="M30" s="16">
        <v>1</v>
      </c>
      <c r="N30" s="16" t="s">
        <v>377</v>
      </c>
      <c r="O30" s="16">
        <v>1</v>
      </c>
      <c r="P30" s="16" t="s">
        <v>377</v>
      </c>
      <c r="Q30" s="16">
        <v>1</v>
      </c>
      <c r="R30" s="16" t="s">
        <v>377</v>
      </c>
      <c r="S30" s="16">
        <v>1</v>
      </c>
      <c r="T30" s="16" t="s">
        <v>377</v>
      </c>
      <c r="U30" s="16">
        <v>1</v>
      </c>
      <c r="V30" s="16" t="s">
        <v>377</v>
      </c>
      <c r="W30" s="16">
        <v>1</v>
      </c>
      <c r="X30" s="16" t="s">
        <v>377</v>
      </c>
      <c r="Y30">
        <v>1</v>
      </c>
      <c r="Z30" t="s">
        <v>377</v>
      </c>
      <c r="AA30">
        <v>1</v>
      </c>
      <c r="AB30">
        <v>1</v>
      </c>
      <c r="AC30">
        <v>2</v>
      </c>
      <c r="AD30" t="s">
        <v>377</v>
      </c>
      <c r="AE30" t="s">
        <v>377</v>
      </c>
      <c r="AF30" t="s">
        <v>377</v>
      </c>
      <c r="AG30" t="s">
        <v>377</v>
      </c>
      <c r="AH30" t="s">
        <v>377</v>
      </c>
      <c r="AI30" t="s">
        <v>377</v>
      </c>
      <c r="AJ30" t="s">
        <v>377</v>
      </c>
      <c r="AK30" t="s">
        <v>377</v>
      </c>
      <c r="AL30">
        <v>2</v>
      </c>
    </row>
    <row r="31" spans="2:38" x14ac:dyDescent="0.25">
      <c r="F31" s="16">
        <v>15</v>
      </c>
      <c r="G31" s="104">
        <v>46</v>
      </c>
      <c r="H31" s="16">
        <v>10</v>
      </c>
      <c r="I31" s="16">
        <v>31</v>
      </c>
      <c r="J31" s="16">
        <v>10</v>
      </c>
      <c r="K31" s="16">
        <v>31</v>
      </c>
      <c r="L31" s="16" t="s">
        <v>377</v>
      </c>
      <c r="M31" s="16">
        <v>1</v>
      </c>
      <c r="N31" s="16" t="s">
        <v>377</v>
      </c>
      <c r="O31" s="16">
        <v>1</v>
      </c>
      <c r="P31" s="16" t="s">
        <v>377</v>
      </c>
      <c r="Q31" s="16">
        <v>1</v>
      </c>
      <c r="R31" s="16" t="s">
        <v>377</v>
      </c>
      <c r="S31" s="16">
        <v>1</v>
      </c>
      <c r="T31" s="16" t="s">
        <v>377</v>
      </c>
      <c r="U31" s="16">
        <v>1</v>
      </c>
      <c r="V31" s="16" t="s">
        <v>377</v>
      </c>
      <c r="W31" s="16">
        <v>1</v>
      </c>
      <c r="X31" s="16" t="s">
        <v>377</v>
      </c>
      <c r="Y31">
        <v>1</v>
      </c>
      <c r="Z31" t="s">
        <v>377</v>
      </c>
      <c r="AA31">
        <v>1</v>
      </c>
      <c r="AB31">
        <v>3</v>
      </c>
      <c r="AC31">
        <v>10</v>
      </c>
      <c r="AD31" t="s">
        <v>377</v>
      </c>
      <c r="AE31" t="s">
        <v>377</v>
      </c>
      <c r="AF31" t="s">
        <v>377</v>
      </c>
      <c r="AG31" t="s">
        <v>377</v>
      </c>
      <c r="AH31" t="s">
        <v>377</v>
      </c>
      <c r="AI31" t="s">
        <v>377</v>
      </c>
      <c r="AJ31" t="s">
        <v>377</v>
      </c>
      <c r="AK31" t="s">
        <v>377</v>
      </c>
      <c r="AL31">
        <v>2</v>
      </c>
    </row>
    <row r="32" spans="2:38" x14ac:dyDescent="0.25">
      <c r="F32" s="16">
        <v>16</v>
      </c>
      <c r="G32" s="104">
        <v>48</v>
      </c>
      <c r="H32" s="16">
        <v>9</v>
      </c>
      <c r="I32" s="16">
        <v>46</v>
      </c>
      <c r="J32" s="16">
        <v>9</v>
      </c>
      <c r="K32" s="16">
        <v>47</v>
      </c>
      <c r="L32" s="16" t="s">
        <v>377</v>
      </c>
      <c r="M32" s="16">
        <v>1</v>
      </c>
      <c r="N32" s="16" t="s">
        <v>377</v>
      </c>
      <c r="O32" s="16">
        <v>1</v>
      </c>
      <c r="P32" s="16" t="s">
        <v>377</v>
      </c>
      <c r="Q32" s="16">
        <v>1</v>
      </c>
      <c r="R32" s="16" t="s">
        <v>377</v>
      </c>
      <c r="S32" s="16">
        <v>1</v>
      </c>
      <c r="T32" s="16" t="s">
        <v>377</v>
      </c>
      <c r="U32" s="16">
        <v>1</v>
      </c>
      <c r="V32" s="16" t="s">
        <v>377</v>
      </c>
      <c r="W32" s="16">
        <v>1</v>
      </c>
      <c r="X32" s="16" t="s">
        <v>377</v>
      </c>
      <c r="Y32">
        <v>1</v>
      </c>
      <c r="Z32" t="s">
        <v>377</v>
      </c>
      <c r="AA32">
        <v>1</v>
      </c>
      <c r="AB32">
        <v>1</v>
      </c>
      <c r="AC32">
        <v>9</v>
      </c>
      <c r="AD32" t="s">
        <v>377</v>
      </c>
      <c r="AE32" t="s">
        <v>377</v>
      </c>
      <c r="AF32" t="s">
        <v>377</v>
      </c>
      <c r="AG32" t="s">
        <v>377</v>
      </c>
      <c r="AH32" t="s">
        <v>377</v>
      </c>
      <c r="AI32" t="s">
        <v>377</v>
      </c>
      <c r="AJ32" t="s">
        <v>377</v>
      </c>
      <c r="AK32" t="s">
        <v>377</v>
      </c>
      <c r="AL32">
        <v>2</v>
      </c>
    </row>
    <row r="33" spans="6:38" x14ac:dyDescent="0.25">
      <c r="F33" s="16">
        <v>17</v>
      </c>
      <c r="G33" s="104">
        <v>50</v>
      </c>
      <c r="H33" s="16">
        <v>4</v>
      </c>
      <c r="I33" s="16">
        <v>31</v>
      </c>
      <c r="J33" s="16">
        <v>3</v>
      </c>
      <c r="K33" s="16">
        <v>32</v>
      </c>
      <c r="L33" s="16" t="s">
        <v>377</v>
      </c>
      <c r="M33" s="16">
        <v>1</v>
      </c>
      <c r="N33" s="16" t="s">
        <v>377</v>
      </c>
      <c r="O33" s="16">
        <v>1</v>
      </c>
      <c r="P33" s="16" t="s">
        <v>377</v>
      </c>
      <c r="Q33" s="16">
        <v>1</v>
      </c>
      <c r="R33" s="16" t="s">
        <v>377</v>
      </c>
      <c r="S33" s="16">
        <v>1</v>
      </c>
      <c r="T33" s="16" t="s">
        <v>377</v>
      </c>
      <c r="U33" s="16">
        <v>1</v>
      </c>
      <c r="V33" s="16" t="s">
        <v>377</v>
      </c>
      <c r="W33" s="16">
        <v>1</v>
      </c>
      <c r="X33" s="16" t="s">
        <v>377</v>
      </c>
      <c r="Y33">
        <v>1</v>
      </c>
      <c r="Z33" t="s">
        <v>377</v>
      </c>
      <c r="AA33">
        <v>1</v>
      </c>
      <c r="AB33">
        <v>1</v>
      </c>
      <c r="AC33">
        <v>2</v>
      </c>
      <c r="AD33" t="s">
        <v>377</v>
      </c>
      <c r="AE33" t="s">
        <v>377</v>
      </c>
      <c r="AF33" t="s">
        <v>377</v>
      </c>
      <c r="AG33" t="s">
        <v>377</v>
      </c>
      <c r="AH33" t="s">
        <v>377</v>
      </c>
      <c r="AI33" t="s">
        <v>377</v>
      </c>
      <c r="AJ33" t="s">
        <v>377</v>
      </c>
      <c r="AK33" t="s">
        <v>377</v>
      </c>
      <c r="AL33">
        <v>2</v>
      </c>
    </row>
    <row r="34" spans="6:38" x14ac:dyDescent="0.25">
      <c r="F34" s="16">
        <v>18</v>
      </c>
      <c r="G34" s="104">
        <v>52</v>
      </c>
      <c r="H34" s="16">
        <v>7</v>
      </c>
      <c r="I34" s="16">
        <v>31</v>
      </c>
      <c r="J34" s="16">
        <v>11</v>
      </c>
      <c r="K34" s="16">
        <v>30</v>
      </c>
      <c r="L34" s="16" t="s">
        <v>377</v>
      </c>
      <c r="M34" s="16">
        <v>1</v>
      </c>
      <c r="N34" s="16" t="s">
        <v>377</v>
      </c>
      <c r="O34" s="16">
        <v>1</v>
      </c>
      <c r="P34" s="16" t="s">
        <v>377</v>
      </c>
      <c r="Q34" s="16">
        <v>1</v>
      </c>
      <c r="R34" s="16" t="s">
        <v>377</v>
      </c>
      <c r="S34" s="16">
        <v>1</v>
      </c>
      <c r="T34" s="16" t="s">
        <v>377</v>
      </c>
      <c r="U34" s="16">
        <v>1</v>
      </c>
      <c r="V34" s="16" t="s">
        <v>377</v>
      </c>
      <c r="W34" s="16">
        <v>1</v>
      </c>
      <c r="X34" s="16" t="s">
        <v>377</v>
      </c>
      <c r="Y34">
        <v>1</v>
      </c>
      <c r="Z34" t="s">
        <v>377</v>
      </c>
      <c r="AA34">
        <v>1</v>
      </c>
      <c r="AB34">
        <v>1</v>
      </c>
      <c r="AC34">
        <v>9</v>
      </c>
      <c r="AD34" t="s">
        <v>377</v>
      </c>
      <c r="AE34" t="s">
        <v>377</v>
      </c>
      <c r="AF34" t="s">
        <v>377</v>
      </c>
      <c r="AG34" t="s">
        <v>377</v>
      </c>
      <c r="AH34" t="s">
        <v>377</v>
      </c>
      <c r="AI34" t="s">
        <v>377</v>
      </c>
      <c r="AJ34" t="s">
        <v>377</v>
      </c>
      <c r="AK34" t="s">
        <v>377</v>
      </c>
      <c r="AL34">
        <v>2</v>
      </c>
    </row>
    <row r="35" spans="6:38" x14ac:dyDescent="0.25">
      <c r="F35" s="16">
        <v>19</v>
      </c>
      <c r="G35" s="104">
        <v>56</v>
      </c>
      <c r="H35" s="16">
        <v>11</v>
      </c>
      <c r="I35" s="16">
        <v>30</v>
      </c>
      <c r="J35" s="16">
        <v>9</v>
      </c>
      <c r="K35" s="16">
        <v>30</v>
      </c>
      <c r="L35" s="16" t="s">
        <v>377</v>
      </c>
      <c r="M35" s="16">
        <v>1</v>
      </c>
      <c r="N35" s="16" t="s">
        <v>377</v>
      </c>
      <c r="O35" s="16">
        <v>1</v>
      </c>
      <c r="P35" s="16" t="s">
        <v>377</v>
      </c>
      <c r="Q35" s="16">
        <v>1</v>
      </c>
      <c r="R35" s="16" t="s">
        <v>377</v>
      </c>
      <c r="S35" s="16">
        <v>1</v>
      </c>
      <c r="T35" s="16" t="s">
        <v>377</v>
      </c>
      <c r="U35" s="16">
        <v>1</v>
      </c>
      <c r="V35" s="16" t="s">
        <v>377</v>
      </c>
      <c r="W35" s="16">
        <v>1</v>
      </c>
      <c r="X35" s="16" t="s">
        <v>377</v>
      </c>
      <c r="Y35">
        <v>1</v>
      </c>
      <c r="Z35" t="s">
        <v>377</v>
      </c>
      <c r="AA35">
        <v>1</v>
      </c>
      <c r="AB35">
        <v>3</v>
      </c>
      <c r="AC35">
        <v>6</v>
      </c>
      <c r="AD35" t="s">
        <v>377</v>
      </c>
      <c r="AE35" t="s">
        <v>377</v>
      </c>
      <c r="AF35" t="s">
        <v>377</v>
      </c>
      <c r="AG35" t="s">
        <v>377</v>
      </c>
      <c r="AH35" t="s">
        <v>377</v>
      </c>
      <c r="AI35" t="s">
        <v>377</v>
      </c>
      <c r="AJ35" t="s">
        <v>377</v>
      </c>
      <c r="AK35" t="s">
        <v>377</v>
      </c>
      <c r="AL35">
        <v>2</v>
      </c>
    </row>
    <row r="36" spans="6:38" x14ac:dyDescent="0.25">
      <c r="F36" s="16">
        <v>20</v>
      </c>
      <c r="G36" s="104">
        <v>57</v>
      </c>
      <c r="H36" s="16">
        <v>5</v>
      </c>
      <c r="I36" s="16">
        <v>24</v>
      </c>
      <c r="J36" s="16">
        <v>5</v>
      </c>
      <c r="K36" s="16">
        <v>22</v>
      </c>
      <c r="L36" s="16" t="s">
        <v>377</v>
      </c>
      <c r="M36" s="16">
        <v>1</v>
      </c>
      <c r="N36" s="16" t="s">
        <v>377</v>
      </c>
      <c r="O36" s="16">
        <v>1</v>
      </c>
      <c r="P36" s="16" t="s">
        <v>377</v>
      </c>
      <c r="Q36" s="16">
        <v>1</v>
      </c>
      <c r="R36" s="16" t="s">
        <v>377</v>
      </c>
      <c r="S36" s="16">
        <v>1</v>
      </c>
      <c r="T36" s="16" t="s">
        <v>377</v>
      </c>
      <c r="U36" s="16">
        <v>1</v>
      </c>
      <c r="V36" s="16" t="s">
        <v>377</v>
      </c>
      <c r="W36" s="16">
        <v>1</v>
      </c>
      <c r="X36" s="16" t="s">
        <v>377</v>
      </c>
      <c r="Y36">
        <v>1</v>
      </c>
      <c r="Z36" t="s">
        <v>377</v>
      </c>
      <c r="AA36">
        <v>1</v>
      </c>
      <c r="AB36">
        <v>1</v>
      </c>
      <c r="AC36">
        <v>2</v>
      </c>
      <c r="AD36" t="s">
        <v>377</v>
      </c>
      <c r="AE36" t="s">
        <v>377</v>
      </c>
      <c r="AF36" t="s">
        <v>377</v>
      </c>
      <c r="AG36" t="s">
        <v>377</v>
      </c>
      <c r="AH36" t="s">
        <v>377</v>
      </c>
      <c r="AI36" t="s">
        <v>377</v>
      </c>
      <c r="AJ36" t="s">
        <v>377</v>
      </c>
      <c r="AK36" t="s">
        <v>377</v>
      </c>
      <c r="AL36">
        <v>2</v>
      </c>
    </row>
    <row r="37" spans="6:38" x14ac:dyDescent="0.25">
      <c r="F37" s="16">
        <v>21</v>
      </c>
      <c r="G37" s="104">
        <v>60</v>
      </c>
      <c r="H37" s="16">
        <v>13</v>
      </c>
      <c r="I37" s="16">
        <v>32</v>
      </c>
      <c r="J37" s="16">
        <v>19</v>
      </c>
      <c r="K37" s="16">
        <v>32</v>
      </c>
      <c r="L37" s="16" t="s">
        <v>377</v>
      </c>
      <c r="M37" s="16">
        <v>1</v>
      </c>
      <c r="N37" s="16" t="s">
        <v>377</v>
      </c>
      <c r="O37" s="16">
        <v>1</v>
      </c>
      <c r="P37" s="16" t="s">
        <v>377</v>
      </c>
      <c r="Q37" s="16">
        <v>1</v>
      </c>
      <c r="R37" s="16" t="s">
        <v>377</v>
      </c>
      <c r="S37" s="16">
        <v>1</v>
      </c>
      <c r="T37" s="16" t="s">
        <v>377</v>
      </c>
      <c r="U37" s="16">
        <v>1</v>
      </c>
      <c r="V37" s="16" t="s">
        <v>377</v>
      </c>
      <c r="W37" s="16">
        <v>1</v>
      </c>
      <c r="X37" s="16" t="s">
        <v>377</v>
      </c>
      <c r="Y37">
        <v>1</v>
      </c>
      <c r="Z37" t="s">
        <v>377</v>
      </c>
      <c r="AA37">
        <v>1</v>
      </c>
      <c r="AB37">
        <v>3</v>
      </c>
      <c r="AC37">
        <v>10</v>
      </c>
      <c r="AD37" t="s">
        <v>377</v>
      </c>
      <c r="AE37" t="s">
        <v>377</v>
      </c>
      <c r="AF37" t="s">
        <v>377</v>
      </c>
      <c r="AG37" t="s">
        <v>377</v>
      </c>
      <c r="AH37" t="s">
        <v>377</v>
      </c>
      <c r="AI37" t="s">
        <v>377</v>
      </c>
      <c r="AJ37" t="s">
        <v>377</v>
      </c>
      <c r="AK37" t="s">
        <v>377</v>
      </c>
      <c r="AL37">
        <v>2</v>
      </c>
    </row>
    <row r="38" spans="6:38" x14ac:dyDescent="0.25">
      <c r="F38" s="16">
        <v>22</v>
      </c>
      <c r="G38" s="104">
        <v>61</v>
      </c>
      <c r="H38" s="16">
        <v>2</v>
      </c>
      <c r="I38" s="16">
        <v>12</v>
      </c>
      <c r="J38" s="16">
        <v>2</v>
      </c>
      <c r="K38" s="16">
        <v>12</v>
      </c>
      <c r="L38" s="16" t="s">
        <v>377</v>
      </c>
      <c r="M38" s="16">
        <v>1</v>
      </c>
      <c r="N38" s="16" t="s">
        <v>377</v>
      </c>
      <c r="O38" s="16">
        <v>1</v>
      </c>
      <c r="P38" s="16" t="s">
        <v>377</v>
      </c>
      <c r="Q38" s="16">
        <v>1</v>
      </c>
      <c r="R38" s="16" t="s">
        <v>377</v>
      </c>
      <c r="S38" s="16">
        <v>1</v>
      </c>
      <c r="T38" s="16" t="s">
        <v>377</v>
      </c>
      <c r="U38" s="16">
        <v>1</v>
      </c>
      <c r="V38" s="16" t="s">
        <v>377</v>
      </c>
      <c r="W38" s="16">
        <v>1</v>
      </c>
      <c r="X38" s="16" t="s">
        <v>377</v>
      </c>
      <c r="Y38">
        <v>1</v>
      </c>
      <c r="Z38" t="s">
        <v>377</v>
      </c>
      <c r="AA38">
        <v>1</v>
      </c>
      <c r="AB38">
        <v>1</v>
      </c>
      <c r="AC38">
        <v>10</v>
      </c>
      <c r="AD38" t="s">
        <v>377</v>
      </c>
      <c r="AE38" t="s">
        <v>377</v>
      </c>
      <c r="AF38" t="s">
        <v>377</v>
      </c>
      <c r="AG38" t="s">
        <v>377</v>
      </c>
      <c r="AH38" t="s">
        <v>377</v>
      </c>
      <c r="AI38" t="s">
        <v>377</v>
      </c>
      <c r="AJ38" t="s">
        <v>377</v>
      </c>
      <c r="AK38" t="s">
        <v>377</v>
      </c>
      <c r="AL38">
        <v>2</v>
      </c>
    </row>
    <row r="39" spans="6:38" x14ac:dyDescent="0.25">
      <c r="F39" s="16">
        <v>23</v>
      </c>
      <c r="G39" s="104">
        <v>64</v>
      </c>
      <c r="H39" s="16">
        <v>1</v>
      </c>
      <c r="I39" s="16">
        <v>12</v>
      </c>
      <c r="J39" s="16">
        <v>1</v>
      </c>
      <c r="K39" s="16">
        <v>11</v>
      </c>
      <c r="L39" s="16" t="s">
        <v>377</v>
      </c>
      <c r="M39" s="16">
        <v>1</v>
      </c>
      <c r="N39" s="16" t="s">
        <v>377</v>
      </c>
      <c r="O39" s="16">
        <v>1</v>
      </c>
      <c r="P39" s="16" t="s">
        <v>377</v>
      </c>
      <c r="Q39" s="16">
        <v>1</v>
      </c>
      <c r="R39" s="16" t="s">
        <v>377</v>
      </c>
      <c r="S39" s="16">
        <v>1</v>
      </c>
      <c r="T39" s="16" t="s">
        <v>377</v>
      </c>
      <c r="U39" s="16">
        <v>1</v>
      </c>
      <c r="V39" s="16" t="s">
        <v>377</v>
      </c>
      <c r="W39" s="16">
        <v>1</v>
      </c>
      <c r="X39" s="16" t="s">
        <v>377</v>
      </c>
      <c r="Y39">
        <v>1</v>
      </c>
      <c r="Z39" t="s">
        <v>377</v>
      </c>
      <c r="AA39">
        <v>1</v>
      </c>
      <c r="AB39">
        <v>3</v>
      </c>
      <c r="AC39">
        <v>9</v>
      </c>
      <c r="AD39" t="s">
        <v>377</v>
      </c>
      <c r="AE39" t="s">
        <v>377</v>
      </c>
      <c r="AF39" t="s">
        <v>377</v>
      </c>
      <c r="AG39" t="s">
        <v>377</v>
      </c>
      <c r="AH39" t="s">
        <v>377</v>
      </c>
      <c r="AI39" t="s">
        <v>377</v>
      </c>
      <c r="AJ39" t="s">
        <v>377</v>
      </c>
      <c r="AK39" t="s">
        <v>377</v>
      </c>
      <c r="AL39">
        <v>2</v>
      </c>
    </row>
    <row r="40" spans="6:38" x14ac:dyDescent="0.25">
      <c r="F40" s="16">
        <v>24</v>
      </c>
      <c r="G40" s="104">
        <v>65</v>
      </c>
      <c r="H40" s="16">
        <v>2</v>
      </c>
      <c r="I40" s="16">
        <v>18</v>
      </c>
      <c r="J40" s="16">
        <v>3</v>
      </c>
      <c r="K40" s="16">
        <v>16</v>
      </c>
      <c r="L40" s="16" t="s">
        <v>377</v>
      </c>
      <c r="M40" s="16">
        <v>1</v>
      </c>
      <c r="N40" s="16" t="s">
        <v>377</v>
      </c>
      <c r="O40" s="16">
        <v>1</v>
      </c>
      <c r="P40" s="16" t="s">
        <v>377</v>
      </c>
      <c r="Q40" s="16">
        <v>1</v>
      </c>
      <c r="R40" s="16" t="s">
        <v>377</v>
      </c>
      <c r="S40" s="16">
        <v>1</v>
      </c>
      <c r="T40" s="16" t="s">
        <v>377</v>
      </c>
      <c r="U40" s="16">
        <v>1</v>
      </c>
      <c r="V40" s="16" t="s">
        <v>377</v>
      </c>
      <c r="W40" s="16">
        <v>1</v>
      </c>
      <c r="X40" t="s">
        <v>377</v>
      </c>
      <c r="Y40">
        <v>1</v>
      </c>
      <c r="Z40" t="s">
        <v>377</v>
      </c>
      <c r="AA40">
        <v>1</v>
      </c>
      <c r="AB40">
        <v>1</v>
      </c>
      <c r="AC40">
        <v>3</v>
      </c>
      <c r="AD40" t="s">
        <v>377</v>
      </c>
      <c r="AE40" t="s">
        <v>377</v>
      </c>
      <c r="AF40" t="s">
        <v>377</v>
      </c>
      <c r="AG40" t="s">
        <v>377</v>
      </c>
      <c r="AH40" t="s">
        <v>377</v>
      </c>
      <c r="AI40" t="s">
        <v>377</v>
      </c>
      <c r="AJ40" t="s">
        <v>377</v>
      </c>
      <c r="AK40" t="s">
        <v>377</v>
      </c>
      <c r="AL40">
        <v>2</v>
      </c>
    </row>
    <row r="41" spans="6:38" x14ac:dyDescent="0.25">
      <c r="F41" s="16">
        <v>25</v>
      </c>
      <c r="G41" s="104">
        <v>68</v>
      </c>
      <c r="H41" s="16">
        <v>4</v>
      </c>
      <c r="I41" s="16">
        <v>43</v>
      </c>
      <c r="J41" s="16">
        <v>5</v>
      </c>
      <c r="K41" s="16">
        <v>44</v>
      </c>
      <c r="L41" s="16" t="s">
        <v>377</v>
      </c>
      <c r="M41" s="16">
        <v>1</v>
      </c>
      <c r="N41" s="16" t="s">
        <v>377</v>
      </c>
      <c r="O41" s="16">
        <v>1</v>
      </c>
      <c r="P41" s="16" t="s">
        <v>377</v>
      </c>
      <c r="Q41" s="16">
        <v>1</v>
      </c>
      <c r="R41" s="16" t="s">
        <v>377</v>
      </c>
      <c r="S41" s="16">
        <v>1</v>
      </c>
      <c r="T41" s="16" t="s">
        <v>377</v>
      </c>
      <c r="U41" s="16">
        <v>1</v>
      </c>
      <c r="V41" s="16" t="s">
        <v>377</v>
      </c>
      <c r="W41" s="16">
        <v>1</v>
      </c>
      <c r="X41" t="s">
        <v>377</v>
      </c>
      <c r="Y41">
        <v>1</v>
      </c>
      <c r="Z41" t="s">
        <v>377</v>
      </c>
      <c r="AA41">
        <v>1</v>
      </c>
      <c r="AB41">
        <v>3</v>
      </c>
      <c r="AC41">
        <v>4</v>
      </c>
      <c r="AD41" t="s">
        <v>377</v>
      </c>
      <c r="AE41" t="s">
        <v>377</v>
      </c>
      <c r="AF41" t="s">
        <v>377</v>
      </c>
      <c r="AG41" t="s">
        <v>377</v>
      </c>
      <c r="AH41" t="s">
        <v>377</v>
      </c>
      <c r="AI41" t="s">
        <v>377</v>
      </c>
      <c r="AJ41" t="s">
        <v>377</v>
      </c>
      <c r="AK41" t="s">
        <v>377</v>
      </c>
      <c r="AL41">
        <v>2</v>
      </c>
    </row>
    <row r="42" spans="6:38" x14ac:dyDescent="0.25">
      <c r="F42" s="16"/>
      <c r="G42" s="104"/>
      <c r="H42" s="16" t="s">
        <v>378</v>
      </c>
      <c r="I42" s="16"/>
      <c r="J42" s="16"/>
      <c r="K42" s="16"/>
      <c r="L42" s="16"/>
      <c r="M42" s="16"/>
      <c r="N42" s="16"/>
      <c r="O42" s="16"/>
      <c r="P42" s="16"/>
      <c r="Q42" s="16"/>
      <c r="R42" s="16"/>
      <c r="S42" s="16"/>
      <c r="T42" s="16"/>
      <c r="U42" s="16"/>
      <c r="V42" s="16"/>
      <c r="W42" s="16"/>
    </row>
    <row r="43" spans="6:38" x14ac:dyDescent="0.25">
      <c r="F43" s="16"/>
      <c r="G43" s="104"/>
      <c r="H43" s="16"/>
      <c r="I43" s="16"/>
      <c r="J43" s="16"/>
      <c r="K43" s="16"/>
      <c r="L43" s="16"/>
      <c r="M43" s="16"/>
      <c r="N43" s="16"/>
      <c r="O43" s="16"/>
      <c r="P43" s="16"/>
      <c r="Q43" s="16"/>
      <c r="R43" s="16"/>
      <c r="S43" s="16"/>
      <c r="T43" s="16"/>
      <c r="U43" s="16"/>
      <c r="V43" s="16"/>
      <c r="W43" s="16"/>
    </row>
    <row r="44" spans="6:38" x14ac:dyDescent="0.25">
      <c r="F44" s="16"/>
      <c r="G44" s="104"/>
      <c r="H44" s="16"/>
      <c r="I44" s="16"/>
      <c r="J44" s="16"/>
      <c r="K44" s="16"/>
      <c r="L44" s="16"/>
      <c r="M44" s="16"/>
      <c r="N44" s="16"/>
      <c r="O44" s="16"/>
      <c r="P44" s="16"/>
      <c r="Q44" s="16"/>
      <c r="R44" s="16"/>
      <c r="S44" s="16"/>
      <c r="T44" s="16"/>
      <c r="U44" s="16"/>
      <c r="V44" s="16"/>
      <c r="W44" s="16"/>
    </row>
    <row r="45" spans="6:38" x14ac:dyDescent="0.25">
      <c r="F45" s="16"/>
      <c r="G45" s="104"/>
      <c r="H45" s="16"/>
      <c r="I45" s="16"/>
      <c r="J45" s="16"/>
      <c r="K45" s="16"/>
      <c r="L45" s="16"/>
      <c r="M45" s="16"/>
      <c r="N45" s="16"/>
      <c r="O45" s="16"/>
      <c r="P45" s="16"/>
      <c r="Q45" s="16"/>
      <c r="R45" s="16"/>
      <c r="S45" s="16"/>
      <c r="T45" s="16"/>
      <c r="U45" s="16"/>
      <c r="V45" s="16"/>
      <c r="W45" s="16"/>
    </row>
    <row r="46" spans="6:38" x14ac:dyDescent="0.25">
      <c r="F46" s="16"/>
      <c r="G46" s="104"/>
    </row>
    <row r="47" spans="6:38" x14ac:dyDescent="0.25">
      <c r="F47" s="16"/>
      <c r="G47" s="104"/>
    </row>
    <row r="48" spans="6:38" x14ac:dyDescent="0.25">
      <c r="F48" s="16"/>
      <c r="G48" s="104"/>
    </row>
    <row r="49" spans="6:7" x14ac:dyDescent="0.25">
      <c r="F49" s="16"/>
      <c r="G49" s="104"/>
    </row>
    <row r="50" spans="6:7" x14ac:dyDescent="0.25">
      <c r="F50" s="16"/>
      <c r="G50" s="104"/>
    </row>
    <row r="51" spans="6:7" x14ac:dyDescent="0.25">
      <c r="F51" s="16"/>
      <c r="G51" s="104"/>
    </row>
    <row r="52" spans="6:7" x14ac:dyDescent="0.25">
      <c r="F52" s="16"/>
      <c r="G52" s="104"/>
    </row>
    <row r="53" spans="6:7" x14ac:dyDescent="0.25">
      <c r="F53" s="16"/>
      <c r="G53" s="104"/>
    </row>
    <row r="54" spans="6:7" x14ac:dyDescent="0.25">
      <c r="F54" s="16"/>
      <c r="G54" s="104"/>
    </row>
    <row r="55" spans="6:7" x14ac:dyDescent="0.25">
      <c r="F55" s="16"/>
      <c r="G55" s="104"/>
    </row>
    <row r="56" spans="6:7" x14ac:dyDescent="0.25">
      <c r="F56" s="16"/>
      <c r="G56" s="104"/>
    </row>
    <row r="57" spans="6:7" x14ac:dyDescent="0.25">
      <c r="F57" s="16"/>
      <c r="G57" s="104"/>
    </row>
    <row r="58" spans="6:7" x14ac:dyDescent="0.25">
      <c r="F58" s="16"/>
      <c r="G58" s="104"/>
    </row>
    <row r="59" spans="6:7" x14ac:dyDescent="0.25">
      <c r="G59" s="104"/>
    </row>
    <row r="60" spans="6:7" x14ac:dyDescent="0.25">
      <c r="G60" s="104"/>
    </row>
    <row r="61" spans="6:7" x14ac:dyDescent="0.25">
      <c r="G61" s="104"/>
    </row>
    <row r="62" spans="6:7"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6" t="s">
        <v>13</v>
      </c>
      <c r="C2" s="257"/>
      <c r="H2" s="9" t="s">
        <v>127</v>
      </c>
      <c r="I2" s="10"/>
      <c r="J2" s="10"/>
      <c r="K2" s="10"/>
      <c r="L2" s="10"/>
      <c r="M2" s="10"/>
      <c r="N2" s="10"/>
      <c r="O2" s="10"/>
      <c r="P2" s="10"/>
      <c r="Q2" s="10"/>
      <c r="R2" s="10"/>
      <c r="S2" s="10"/>
      <c r="T2" s="10"/>
    </row>
    <row r="3" spans="2:26" ht="15.75" thickBot="1" x14ac:dyDescent="0.3">
      <c r="B3" s="4" t="s">
        <v>8</v>
      </c>
      <c r="C3" s="3" t="s">
        <v>7</v>
      </c>
      <c r="H3" t="s">
        <v>822</v>
      </c>
    </row>
    <row r="4" spans="2:26" x14ac:dyDescent="0.25">
      <c r="B4" s="5" t="str">
        <f>IF('DATA Input'!E5="","",'DATA Input'!E5)</f>
        <v>INDOIV</v>
      </c>
      <c r="C4" s="1">
        <f>IF(B4="","",1)</f>
        <v>1</v>
      </c>
      <c r="H4" t="s">
        <v>823</v>
      </c>
    </row>
    <row r="5" spans="2:26" x14ac:dyDescent="0.25">
      <c r="B5" s="5" t="str">
        <f>IF('DATA Input'!G5="","",'DATA Input'!G5)</f>
        <v>IBUIV</v>
      </c>
      <c r="C5" s="1">
        <f>IF(B5="","",C4+1)</f>
        <v>2</v>
      </c>
      <c r="H5" t="s">
        <v>824</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749</v>
      </c>
    </row>
    <row r="8" spans="2:26" x14ac:dyDescent="0.25">
      <c r="B8" s="5" t="str">
        <f>IF('DATA Input'!M$5="","",'DATA Input'!M$5)</f>
        <v>IBUIVHIGHDOSE</v>
      </c>
      <c r="C8" s="1">
        <f t="shared" si="0"/>
        <v>5</v>
      </c>
      <c r="H8" t="s">
        <v>750</v>
      </c>
    </row>
    <row r="9" spans="2:26" x14ac:dyDescent="0.25">
      <c r="B9" s="5" t="str">
        <f>IF('DATA Input'!O$5="","",'DATA Input'!O$5)</f>
        <v>IBUPOHIGHDOSE</v>
      </c>
      <c r="C9" s="1">
        <f t="shared" si="0"/>
        <v>6</v>
      </c>
      <c r="H9" t="s">
        <v>751</v>
      </c>
    </row>
    <row r="10" spans="2:26" x14ac:dyDescent="0.25">
      <c r="B10" s="5" t="str">
        <f>IF('DATA Input'!Q$5="","",'DATA Input'!Q$5)</f>
        <v>IBUIVCONT</v>
      </c>
      <c r="C10" s="1">
        <f t="shared" si="0"/>
        <v>7</v>
      </c>
      <c r="H10" s="258" t="s">
        <v>128</v>
      </c>
      <c r="I10" s="258"/>
      <c r="J10" s="258"/>
      <c r="K10" s="258"/>
      <c r="L10" s="258"/>
      <c r="M10" s="258"/>
      <c r="N10" s="258"/>
      <c r="O10" s="258"/>
      <c r="P10" s="258"/>
      <c r="Q10" s="258"/>
      <c r="R10" s="258"/>
      <c r="S10" s="258"/>
      <c r="T10" s="258"/>
      <c r="U10" s="258"/>
      <c r="V10" s="258"/>
      <c r="W10" s="258"/>
    </row>
    <row r="11" spans="2:26" x14ac:dyDescent="0.25">
      <c r="B11" s="5" t="str">
        <f>IF('DATA Input'!S$5="","",'DATA Input'!S$5)</f>
        <v>INDOIVCONT</v>
      </c>
      <c r="C11" s="1">
        <f t="shared" si="0"/>
        <v>8</v>
      </c>
      <c r="H11" t="s">
        <v>801</v>
      </c>
    </row>
    <row r="12" spans="2:26" x14ac:dyDescent="0.25">
      <c r="B12" s="5" t="str">
        <f>IF('DATA Input'!U$5="","",'DATA Input'!U$5)</f>
        <v>INDOTHERS</v>
      </c>
      <c r="C12" s="1">
        <f t="shared" si="0"/>
        <v>9</v>
      </c>
      <c r="F12" s="51"/>
      <c r="G12" s="7"/>
      <c r="H12" s="16"/>
      <c r="I12" s="16"/>
      <c r="J12" s="16"/>
      <c r="K12" s="16"/>
      <c r="L12" s="16"/>
      <c r="M12" s="16"/>
      <c r="N12" s="16"/>
      <c r="O12" s="16"/>
      <c r="P12" s="16"/>
      <c r="Q12" s="16"/>
    </row>
    <row r="13" spans="2:26" x14ac:dyDescent="0.25">
      <c r="B13" s="5" t="str">
        <f>IF('DATA Input'!W$5="","",'DATA Input'!W$5)</f>
        <v>PLAC_NORX</v>
      </c>
      <c r="C13" s="1">
        <f t="shared" si="0"/>
        <v>10</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T148"/>
  <sheetViews>
    <sheetView showGridLines="0" topLeftCell="A7" workbookViewId="0">
      <selection activeCell="T7" sqref="T7"/>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20" ht="16.5" thickBot="1" x14ac:dyDescent="0.3">
      <c r="D5" s="204" t="s">
        <v>281</v>
      </c>
    </row>
    <row r="6" spans="4:20" ht="15.75" thickBot="1" x14ac:dyDescent="0.3">
      <c r="D6" s="207" t="s">
        <v>275</v>
      </c>
      <c r="E6" s="208" t="s">
        <v>276</v>
      </c>
    </row>
    <row r="7" spans="4:20" x14ac:dyDescent="0.25">
      <c r="D7" s="205" t="s">
        <v>288</v>
      </c>
      <c r="E7" s="206">
        <f>num_treatments</f>
        <v>10</v>
      </c>
      <c r="T7">
        <v>2</v>
      </c>
    </row>
    <row r="8" spans="4:20" x14ac:dyDescent="0.25">
      <c r="D8" s="179" t="s">
        <v>14</v>
      </c>
      <c r="E8" s="181">
        <f>num_studies</f>
        <v>25</v>
      </c>
    </row>
    <row r="9" spans="4:20" x14ac:dyDescent="0.25">
      <c r="D9" s="179" t="s">
        <v>289</v>
      </c>
      <c r="E9" s="182">
        <f>max_total</f>
        <v>1681</v>
      </c>
    </row>
    <row r="10" spans="4:20" x14ac:dyDescent="0.25">
      <c r="D10" s="179" t="s">
        <v>290</v>
      </c>
      <c r="E10" s="182">
        <f>SUM('DATA Input'!E7:E55,'DATA Input'!G7:G56,'DATA Input'!I7:I56,'DATA Input'!K7:K56,'DATA Input'!M7:M56,'DATA Input'!O7:O56,'DATA Input'!Q7:Q56,'DATA Input'!S7:S56,'DATA Input'!U7:U56,'DATA Input'!W7:W56,'DATA Input'!Y7:Y56,'DATA Input'!AA7:AA56,'DATA Input'!AC7:AC56,'DATA Input'!AE7:AE56,'DATA Input'!AG7:AG56)</f>
        <v>353</v>
      </c>
    </row>
    <row r="11" spans="4:20" x14ac:dyDescent="0.25">
      <c r="D11" s="179" t="s">
        <v>291</v>
      </c>
      <c r="E11" s="181">
        <f>COMBIN(E7,2)</f>
        <v>45</v>
      </c>
    </row>
    <row r="12" spans="4:20" x14ac:dyDescent="0.25">
      <c r="D12" s="179" t="s">
        <v>292</v>
      </c>
      <c r="E12" s="181">
        <f>Unique_connections(list)</f>
        <v>14</v>
      </c>
    </row>
    <row r="13" spans="4:20" x14ac:dyDescent="0.25">
      <c r="D13" s="179" t="s">
        <v>293</v>
      </c>
      <c r="E13" s="181">
        <f ca="1">COUNTIF(OFFSET('WINBUGS data'!G17:G66,0,MATCH("na[]",'WINBUGS data'!H16:BE16,0)),"2")</f>
        <v>25</v>
      </c>
    </row>
    <row r="14" spans="4:20" x14ac:dyDescent="0.25">
      <c r="D14" s="179" t="s">
        <v>294</v>
      </c>
      <c r="E14" s="181">
        <f ca="1">COUNTIF(OFFSET('WINBUGS data'!G17:G66,0,MATCH("na[]",'WINBUGS data'!H16:BE16,0)),"&gt;2")</f>
        <v>0</v>
      </c>
    </row>
    <row r="15" spans="4:20" x14ac:dyDescent="0.25">
      <c r="D15" s="179" t="s">
        <v>297</v>
      </c>
      <c r="E15" s="181">
        <f>No_zero('DATA Input'!E7:AH56)</f>
        <v>24</v>
      </c>
    </row>
    <row r="16" spans="4:20" x14ac:dyDescent="0.25">
      <c r="D16" s="179" t="s">
        <v>295</v>
      </c>
      <c r="E16" s="181">
        <f>num_studies-E15</f>
        <v>1</v>
      </c>
    </row>
    <row r="17" spans="4:11" ht="15.75" thickBot="1" x14ac:dyDescent="0.3">
      <c r="D17" s="180" t="s">
        <v>296</v>
      </c>
      <c r="E17" s="183">
        <f>All_zero('DATA Input'!E7:AH56)</f>
        <v>1</v>
      </c>
    </row>
    <row r="18" spans="4:11" x14ac:dyDescent="0.25">
      <c r="D18" s="177"/>
    </row>
    <row r="19" spans="4:11" hidden="1" x14ac:dyDescent="0.25">
      <c r="D19" s="177"/>
    </row>
    <row r="20" spans="4:11" x14ac:dyDescent="0.25">
      <c r="D20" s="177"/>
    </row>
    <row r="21" spans="4:11" ht="16.5" thickBot="1" x14ac:dyDescent="0.3">
      <c r="D21" s="259" t="s">
        <v>287</v>
      </c>
      <c r="E21" s="259"/>
      <c r="F21" s="259"/>
    </row>
    <row r="22" spans="4:11" ht="8.25" hidden="1" customHeight="1" thickBot="1" x14ac:dyDescent="0.3">
      <c r="D22" s="194" t="s">
        <v>278</v>
      </c>
      <c r="E22" s="194"/>
      <c r="F22" s="194"/>
      <c r="G22" s="194"/>
      <c r="H22" s="194"/>
      <c r="I22" s="194"/>
      <c r="J22" s="194"/>
      <c r="K22" s="47"/>
    </row>
    <row r="23" spans="4:11" ht="15.75" thickBot="1" x14ac:dyDescent="0.3">
      <c r="D23" s="212" t="s">
        <v>278</v>
      </c>
      <c r="E23" s="213" t="s">
        <v>284</v>
      </c>
      <c r="F23" s="213" t="s">
        <v>279</v>
      </c>
      <c r="G23" s="213" t="s">
        <v>280</v>
      </c>
      <c r="H23" s="213" t="s">
        <v>285</v>
      </c>
      <c r="I23" s="213" t="s">
        <v>282</v>
      </c>
      <c r="J23" s="208" t="s">
        <v>283</v>
      </c>
    </row>
    <row r="24" spans="4:11" x14ac:dyDescent="0.25">
      <c r="D24" s="205" t="str">
        <f>IF('DATA Input'!$E$5="","",'DATA Input'!$E$5)</f>
        <v>INDOIV</v>
      </c>
      <c r="E24" s="209">
        <f>COUNTIF('DATA Input'!$F$7:$F$56,"&lt;&gt;")</f>
        <v>11</v>
      </c>
      <c r="F24" s="209">
        <f>SUM('DATA Input'!$E$7:$E$56)</f>
        <v>53</v>
      </c>
      <c r="G24" s="209">
        <f>SUM('DATA Input'!$F$7:$F$56)</f>
        <v>285</v>
      </c>
      <c r="H24" s="210">
        <f>F24/G24</f>
        <v>0.18596491228070175</v>
      </c>
      <c r="I24" s="210">
        <f>MinRate(1,'DATA Input'!$E$7:$AH$56)</f>
        <v>6.6666670143604279E-2</v>
      </c>
      <c r="J24" s="211">
        <f>MaxRate(1,'DATA Input'!$E$7:$AH$56)</f>
        <v>0.34285715222358704</v>
      </c>
    </row>
    <row r="25" spans="4:11" x14ac:dyDescent="0.25">
      <c r="D25" s="179" t="str">
        <f>IF('DATA Input'!$G$5="","",'DATA Input'!$G$5)</f>
        <v>IBUIV</v>
      </c>
      <c r="E25" s="185">
        <f>COUNTIF('DATA Input'!$H$7:$H$56,"&lt;&gt;")</f>
        <v>9</v>
      </c>
      <c r="F25" s="184">
        <f>SUM('DATA Input'!$G$7:$G$56)</f>
        <v>72</v>
      </c>
      <c r="G25" s="185">
        <f>SUM('DATA Input'!$H$7:$H$56)</f>
        <v>349</v>
      </c>
      <c r="H25" s="188">
        <f t="shared" ref="H25:H38" si="0">F25/G25</f>
        <v>0.20630372492836677</v>
      </c>
      <c r="I25" s="188">
        <f>MinRate(2,'DATA Input'!$E$7:$AH$56)</f>
        <v>9.375E-2</v>
      </c>
      <c r="J25" s="190">
        <f>MaxRate(2,'DATA Input'!$E$7:$AH$56)</f>
        <v>0.40625</v>
      </c>
    </row>
    <row r="26" spans="4:11" x14ac:dyDescent="0.25">
      <c r="D26" s="179" t="str">
        <f>IF('DATA Input'!$I$5="","",'DATA Input'!$I$5)</f>
        <v>IBUPO</v>
      </c>
      <c r="E26" s="185">
        <f>COUNTIF('DATA Input'!$J$7:$J$56,"&lt;&gt;")</f>
        <v>13</v>
      </c>
      <c r="F26" s="184">
        <f>SUM('DATA Input'!$I$7:$I$56)</f>
        <v>90</v>
      </c>
      <c r="G26" s="185">
        <f>SUM('DATA Input'!$J$7:$J$56)</f>
        <v>430</v>
      </c>
      <c r="H26" s="188">
        <f t="shared" si="0"/>
        <v>0.20930232558139536</v>
      </c>
      <c r="I26" s="188">
        <f>MinRate(3,'DATA Input'!$E$7:$AH$56)</f>
        <v>8.3333335816860199E-2</v>
      </c>
      <c r="J26" s="190">
        <f>MaxRate(3,'DATA Input'!$E$7:$AH$56)</f>
        <v>0.40625</v>
      </c>
    </row>
    <row r="27" spans="4:11" x14ac:dyDescent="0.25">
      <c r="D27" s="179" t="str">
        <f>IF('DATA Input'!$K$5="","",'DATA Input'!$K$5)</f>
        <v>PARAPO</v>
      </c>
      <c r="E27" s="184">
        <f>COUNTIF('DATA Input'!$L$7:$L$56,"&lt;&gt;")</f>
        <v>3</v>
      </c>
      <c r="F27" s="184">
        <f>SUM('DATA Input'!$K$7:$K$56)</f>
        <v>22</v>
      </c>
      <c r="G27" s="184">
        <f>SUM('DATA Input'!$L$7:$L$56)</f>
        <v>162</v>
      </c>
      <c r="H27" s="188">
        <f t="shared" si="0"/>
        <v>0.13580246913580246</v>
      </c>
      <c r="I27" s="188">
        <f>MinRate(4,'DATA Input'!$E$7:$AH$56)</f>
        <v>0.11249999701976776</v>
      </c>
      <c r="J27" s="190">
        <f>MaxRate(4,'DATA Input'!$E$7:$AH$56)</f>
        <v>0.21052631735801697</v>
      </c>
    </row>
    <row r="28" spans="4:11" x14ac:dyDescent="0.25">
      <c r="D28" s="179" t="str">
        <f>IF('DATA Input'!$M$5="","",'DATA Input'!$M$5)</f>
        <v>IBUIVHIGHDOSE</v>
      </c>
      <c r="E28" s="184">
        <f>COUNTIF('DATA Input'!$N$7:$N$56,"&lt;&gt;")</f>
        <v>1</v>
      </c>
      <c r="F28" s="184">
        <f>SUM('DATA Input'!$M$7:$M$56)</f>
        <v>4</v>
      </c>
      <c r="G28" s="184">
        <f>SUM('DATA Input'!$N$7:$N$56)</f>
        <v>35</v>
      </c>
      <c r="H28" s="188">
        <f t="shared" si="0"/>
        <v>0.11428571428571428</v>
      </c>
      <c r="I28" s="188">
        <f>MinRate(5,'DATA Input'!$E$7:$AH$56)</f>
        <v>0.11428571492433548</v>
      </c>
      <c r="J28" s="190">
        <f>MaxRate(5,'DATA Input'!$E$7:$AH$56)</f>
        <v>0.11428571492433548</v>
      </c>
    </row>
    <row r="29" spans="4:11" x14ac:dyDescent="0.25">
      <c r="D29" s="179" t="str">
        <f>IF('DATA Input'!$O$5="","",'DATA Input'!$O$5)</f>
        <v>IBUPOHIGHDOSE</v>
      </c>
      <c r="E29" s="184">
        <f>COUNTIF('DATA Input'!$P$7:$P$56,"&lt;&gt;")</f>
        <v>1</v>
      </c>
      <c r="F29" s="184">
        <f>SUM('DATA Input'!$O$7:$O$56)</f>
        <v>9</v>
      </c>
      <c r="G29" s="184">
        <f>SUM('DATA Input'!$P$7:$P$56)</f>
        <v>30</v>
      </c>
      <c r="H29" s="188">
        <f t="shared" si="0"/>
        <v>0.3</v>
      </c>
      <c r="I29" s="188">
        <f>MinRate(6,'DATA Input'!$E$7:$AH$56)</f>
        <v>0.30000001192092896</v>
      </c>
      <c r="J29" s="190">
        <f>MaxRate(6,'DATA Input'!$E$7:$AH$56)</f>
        <v>0.30000001192092896</v>
      </c>
    </row>
    <row r="30" spans="4:11" x14ac:dyDescent="0.25">
      <c r="D30" s="179" t="str">
        <f>IF('DATA Input'!$Q$5="","",'DATA Input'!$Q$5)</f>
        <v>IBUIVCONT</v>
      </c>
      <c r="E30" s="184">
        <f>COUNTIF('DATA Input'!$R$7:$R$56,"&lt;&gt;")</f>
        <v>1</v>
      </c>
      <c r="F30" s="184">
        <f>SUM('DATA Input'!$Q$7:$Q$56)</f>
        <v>5</v>
      </c>
      <c r="G30" s="184">
        <f>SUM('DATA Input'!$R$7:$R$56)</f>
        <v>55</v>
      </c>
      <c r="H30" s="188">
        <f t="shared" si="0"/>
        <v>9.0909090909090912E-2</v>
      </c>
      <c r="I30" s="188">
        <f>MinRate(7,'DATA Input'!$E$7:$AH$56)</f>
        <v>9.0909093618392944E-2</v>
      </c>
      <c r="J30" s="190">
        <f>MaxRate(7,'DATA Input'!$E$7:$AH$56)</f>
        <v>9.0909093618392944E-2</v>
      </c>
    </row>
    <row r="31" spans="4:11" x14ac:dyDescent="0.25">
      <c r="D31" s="179" t="str">
        <f>IF('DATA Input'!$S$5="","",'DATA Input'!$S$5)</f>
        <v>INDOIVCONT</v>
      </c>
      <c r="E31" s="184">
        <f>COUNTIF('DATA Input'!$T$7:$T$56,"&lt;&gt;")</f>
        <v>1</v>
      </c>
      <c r="F31" s="184">
        <f>SUM('DATA Input'!$S$7:$S$56)</f>
        <v>0</v>
      </c>
      <c r="G31" s="184">
        <f>SUM('DATA Input'!$T$7:$T$56)</f>
        <v>18</v>
      </c>
      <c r="H31" s="188">
        <f t="shared" si="0"/>
        <v>0</v>
      </c>
      <c r="I31" s="188">
        <f>MinRate(8,'DATA Input'!$E$7:$AH$56)</f>
        <v>1</v>
      </c>
      <c r="J31" s="190">
        <f>MaxRate(8,'DATA Input'!$E$7:$AH$56)</f>
        <v>0</v>
      </c>
    </row>
    <row r="32" spans="4:11" x14ac:dyDescent="0.25">
      <c r="D32" s="179" t="str">
        <f>IF('DATA Input'!$U$5="","",'DATA Input'!$U$5)</f>
        <v>INDOTHERS</v>
      </c>
      <c r="E32" s="184">
        <f>COUNTIF('DATA Input'!$V$7:$V$56,"&lt;&gt;")</f>
        <v>4</v>
      </c>
      <c r="F32" s="184">
        <f>SUM('DATA Input'!$U$7:$U$56)</f>
        <v>28</v>
      </c>
      <c r="G32" s="184">
        <f>SUM('DATA Input'!$V$7:$V$56)</f>
        <v>106</v>
      </c>
      <c r="H32" s="188">
        <f t="shared" si="0"/>
        <v>0.26415094339622641</v>
      </c>
      <c r="I32" s="188">
        <f>MinRate(9,'DATA Input'!$E$7:$AH$56)</f>
        <v>9.0909093618392944E-2</v>
      </c>
      <c r="J32" s="190">
        <f>MaxRate(9,'DATA Input'!$E$7:$AH$56)</f>
        <v>0.3888888955116272</v>
      </c>
    </row>
    <row r="33" spans="4:10" ht="15.75" thickBot="1" x14ac:dyDescent="0.3">
      <c r="D33" s="179" t="str">
        <f>IF('DATA Input'!$W$5="","",'DATA Input'!$W$5)</f>
        <v>PLAC_NORX</v>
      </c>
      <c r="E33" s="184">
        <f>COUNTIF('DATA Input'!$X$7:$X$56,"&lt;&gt;")</f>
        <v>6</v>
      </c>
      <c r="F33" s="184">
        <f>SUM('DATA Input'!$W$7:$W$56)</f>
        <v>70</v>
      </c>
      <c r="G33" s="184">
        <f>SUM('DATA Input'!$X$7:$X$56)</f>
        <v>211</v>
      </c>
      <c r="H33" s="188">
        <f t="shared" si="0"/>
        <v>0.33175355450236965</v>
      </c>
      <c r="I33" s="188">
        <f>MinRate(10,'DATA Input'!$E$7:$AH$56)</f>
        <v>0.1666666716337204</v>
      </c>
      <c r="J33" s="190">
        <f>MaxRate(10,'DATA Input'!$E$7:$AH$56)</f>
        <v>0.59375</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59" t="s">
        <v>286</v>
      </c>
      <c r="E41" s="259"/>
      <c r="F41" s="259"/>
    </row>
    <row r="42" spans="4:10" ht="15.75" thickBot="1" x14ac:dyDescent="0.3">
      <c r="D42" s="214" t="s">
        <v>277</v>
      </c>
      <c r="E42" s="213" t="s">
        <v>284</v>
      </c>
      <c r="F42" s="213" t="s">
        <v>280</v>
      </c>
      <c r="G42" s="208" t="s">
        <v>279</v>
      </c>
    </row>
    <row r="43" spans="4:10" x14ac:dyDescent="0.25">
      <c r="D43" s="216" t="s">
        <v>380</v>
      </c>
      <c r="E43" s="195">
        <v>1</v>
      </c>
      <c r="F43" s="196">
        <v>136</v>
      </c>
      <c r="G43" s="197">
        <v>50</v>
      </c>
    </row>
    <row r="44" spans="4:10" x14ac:dyDescent="0.25">
      <c r="D44" s="179" t="s">
        <v>382</v>
      </c>
      <c r="E44" s="184">
        <v>1</v>
      </c>
      <c r="F44" s="185">
        <v>77</v>
      </c>
      <c r="G44" s="182">
        <v>15</v>
      </c>
    </row>
    <row r="45" spans="4:10" x14ac:dyDescent="0.25">
      <c r="D45" s="179" t="s">
        <v>384</v>
      </c>
      <c r="E45" s="184">
        <v>2</v>
      </c>
      <c r="F45" s="185">
        <v>247</v>
      </c>
      <c r="G45" s="182">
        <v>28</v>
      </c>
    </row>
    <row r="46" spans="4:10" x14ac:dyDescent="0.25">
      <c r="D46" s="179" t="s">
        <v>385</v>
      </c>
      <c r="E46" s="184">
        <v>3</v>
      </c>
      <c r="F46" s="185">
        <v>236</v>
      </c>
      <c r="G46" s="182">
        <v>48</v>
      </c>
    </row>
    <row r="47" spans="4:10" x14ac:dyDescent="0.25">
      <c r="D47" s="179" t="s">
        <v>383</v>
      </c>
      <c r="E47" s="184">
        <v>3</v>
      </c>
      <c r="F47" s="185">
        <v>192</v>
      </c>
      <c r="G47" s="182">
        <v>63</v>
      </c>
    </row>
    <row r="48" spans="4:10" x14ac:dyDescent="0.25">
      <c r="D48" s="179" t="s">
        <v>379</v>
      </c>
      <c r="E48" s="184">
        <v>2</v>
      </c>
      <c r="F48" s="185">
        <v>64</v>
      </c>
      <c r="G48" s="182">
        <v>9</v>
      </c>
    </row>
    <row r="49" spans="4:7" x14ac:dyDescent="0.25">
      <c r="D49" s="179" t="s">
        <v>386</v>
      </c>
      <c r="E49" s="184">
        <v>1</v>
      </c>
      <c r="F49" s="185">
        <v>32</v>
      </c>
      <c r="G49" s="182">
        <v>0</v>
      </c>
    </row>
    <row r="50" spans="4:7" x14ac:dyDescent="0.25">
      <c r="D50" s="178" t="s">
        <v>388</v>
      </c>
      <c r="E50" s="184">
        <v>1</v>
      </c>
      <c r="F50" s="185">
        <v>70</v>
      </c>
      <c r="G50" s="182">
        <v>10</v>
      </c>
    </row>
    <row r="51" spans="4:7" x14ac:dyDescent="0.25">
      <c r="D51" s="217" t="s">
        <v>389</v>
      </c>
      <c r="E51" s="198">
        <v>2</v>
      </c>
      <c r="F51" s="200">
        <v>59</v>
      </c>
      <c r="G51" s="201">
        <v>14</v>
      </c>
    </row>
    <row r="52" spans="4:7" x14ac:dyDescent="0.25">
      <c r="D52" s="217" t="s">
        <v>391</v>
      </c>
      <c r="E52" s="198">
        <v>1</v>
      </c>
      <c r="F52" s="200">
        <v>111</v>
      </c>
      <c r="G52" s="201">
        <v>12</v>
      </c>
    </row>
    <row r="53" spans="4:7" x14ac:dyDescent="0.25">
      <c r="D53" s="217" t="s">
        <v>387</v>
      </c>
      <c r="E53" s="198">
        <v>2</v>
      </c>
      <c r="F53" s="200">
        <v>94</v>
      </c>
      <c r="G53" s="201">
        <v>24</v>
      </c>
    </row>
    <row r="54" spans="4:7" x14ac:dyDescent="0.25">
      <c r="D54" s="217" t="s">
        <v>390</v>
      </c>
      <c r="E54" s="198">
        <v>3</v>
      </c>
      <c r="F54" s="200">
        <v>149</v>
      </c>
      <c r="G54" s="201">
        <v>24</v>
      </c>
    </row>
    <row r="55" spans="4:7" x14ac:dyDescent="0.25">
      <c r="D55" s="217" t="s">
        <v>381</v>
      </c>
      <c r="E55" s="198">
        <v>2</v>
      </c>
      <c r="F55" s="200">
        <v>154</v>
      </c>
      <c r="G55" s="201">
        <v>36</v>
      </c>
    </row>
    <row r="56" spans="4:7" ht="15.75" thickBot="1" x14ac:dyDescent="0.3">
      <c r="D56" s="217" t="s">
        <v>392</v>
      </c>
      <c r="E56" s="198">
        <v>1</v>
      </c>
      <c r="F56" s="200">
        <v>60</v>
      </c>
      <c r="G56" s="201">
        <v>20</v>
      </c>
    </row>
    <row r="57" spans="4:7" hidden="1" x14ac:dyDescent="0.25">
      <c r="D57" s="217"/>
      <c r="E57" s="198"/>
      <c r="F57" s="200"/>
      <c r="G57" s="201"/>
    </row>
    <row r="58" spans="4:7" ht="15.75" hidden="1" thickBot="1" x14ac:dyDescent="0.3">
      <c r="D58" s="217"/>
      <c r="E58" s="198"/>
      <c r="F58" s="200"/>
      <c r="G58" s="201"/>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55" zoomScaleNormal="55" workbookViewId="0">
      <selection activeCell="H36" sqref="H36"/>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44" t="s">
        <v>13</v>
      </c>
      <c r="C23" s="246"/>
    </row>
    <row r="24" spans="2:3" ht="15.75" thickBot="1" x14ac:dyDescent="0.3">
      <c r="B24" s="99" t="s">
        <v>8</v>
      </c>
      <c r="C24" s="95" t="s">
        <v>234</v>
      </c>
    </row>
    <row r="25" spans="2:3" x14ac:dyDescent="0.25">
      <c r="B25" s="100" t="str">
        <f>'WINBUGS data'!B4</f>
        <v>INDOIV</v>
      </c>
      <c r="C25" s="96" t="s">
        <v>299</v>
      </c>
    </row>
    <row r="26" spans="2:3" x14ac:dyDescent="0.25">
      <c r="B26" s="101" t="str">
        <f>'WINBUGS data'!B5</f>
        <v>IBUIV</v>
      </c>
      <c r="C26" s="97" t="s">
        <v>300</v>
      </c>
    </row>
    <row r="27" spans="2:3" x14ac:dyDescent="0.25">
      <c r="B27" s="101" t="str">
        <f>'WINBUGS data'!B6</f>
        <v>IBUPO</v>
      </c>
      <c r="C27" s="97" t="s">
        <v>301</v>
      </c>
    </row>
    <row r="28" spans="2:3" x14ac:dyDescent="0.25">
      <c r="B28" s="101" t="str">
        <f>'WINBUGS data'!B7</f>
        <v>PARAPO</v>
      </c>
      <c r="C28" s="97" t="s">
        <v>302</v>
      </c>
    </row>
    <row r="29" spans="2:3" x14ac:dyDescent="0.25">
      <c r="B29" s="101" t="str">
        <f>'WINBUGS data'!B8</f>
        <v>IBUIVHIGHDOSE</v>
      </c>
      <c r="C29" s="97" t="s">
        <v>303</v>
      </c>
    </row>
    <row r="30" spans="2:3" x14ac:dyDescent="0.25">
      <c r="B30" s="101" t="str">
        <f>'WINBUGS data'!B9</f>
        <v>IBUPOHIGHDOSE</v>
      </c>
      <c r="C30" s="97" t="s">
        <v>304</v>
      </c>
    </row>
    <row r="31" spans="2:3" x14ac:dyDescent="0.25">
      <c r="B31" s="101" t="str">
        <f>'WINBUGS data'!B10</f>
        <v>IBUIVCONT</v>
      </c>
      <c r="C31" s="97" t="s">
        <v>305</v>
      </c>
    </row>
    <row r="32" spans="2:3" x14ac:dyDescent="0.25">
      <c r="B32" s="101" t="str">
        <f>'WINBUGS data'!B11</f>
        <v>INDOIVCONT</v>
      </c>
      <c r="C32" s="97" t="s">
        <v>306</v>
      </c>
    </row>
    <row r="33" spans="2:3" x14ac:dyDescent="0.25">
      <c r="B33" s="101" t="str">
        <f>'WINBUGS data'!B12</f>
        <v>INDOTHERS</v>
      </c>
      <c r="C33" s="97" t="s">
        <v>307</v>
      </c>
    </row>
    <row r="34" spans="2:3" x14ac:dyDescent="0.25">
      <c r="B34" s="101" t="str">
        <f>'WINBUGS data'!B13</f>
        <v>PLAC_NORX</v>
      </c>
      <c r="C34" s="97" t="s">
        <v>308</v>
      </c>
    </row>
    <row r="35" spans="2:3" x14ac:dyDescent="0.25">
      <c r="B35" s="101" t="str">
        <f>'WINBUGS data'!B14</f>
        <v/>
      </c>
      <c r="C35" s="97" t="s">
        <v>309</v>
      </c>
    </row>
    <row r="36" spans="2:3" x14ac:dyDescent="0.25">
      <c r="B36" s="101" t="str">
        <f>'WINBUGS data'!B15</f>
        <v/>
      </c>
      <c r="C36" s="97" t="s">
        <v>310</v>
      </c>
    </row>
    <row r="37" spans="2:3" x14ac:dyDescent="0.25">
      <c r="B37" s="101" t="str">
        <f>'WINBUGS data'!B16</f>
        <v/>
      </c>
      <c r="C37" s="97" t="s">
        <v>311</v>
      </c>
    </row>
    <row r="38" spans="2:3" x14ac:dyDescent="0.25">
      <c r="B38" s="101" t="str">
        <f>'WINBUGS data'!B17</f>
        <v/>
      </c>
      <c r="C38" s="97" t="s">
        <v>312</v>
      </c>
    </row>
    <row r="39" spans="2:3" ht="15.75" thickBot="1" x14ac:dyDescent="0.3">
      <c r="B39" s="102" t="str">
        <f>'WINBUGS data'!B18</f>
        <v/>
      </c>
      <c r="C39" s="98" t="s">
        <v>313</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67" zoomScaleNormal="100" workbookViewId="0">
      <selection activeCell="D5" sqref="D5"/>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0" t="s">
        <v>233</v>
      </c>
      <c r="C5" s="82" t="s">
        <v>217</v>
      </c>
      <c r="D5" s="90" t="s">
        <v>223</v>
      </c>
      <c r="U5" s="11"/>
      <c r="Y5" t="s">
        <v>220</v>
      </c>
      <c r="Z5" t="str">
        <f ca="1">'Random Effects  (Informative)'!A1</f>
        <v>Random Effects  (Informative)</v>
      </c>
    </row>
    <row r="6" spans="1:26" ht="15.75" thickBot="1" x14ac:dyDescent="0.3">
      <c r="A6" s="92"/>
      <c r="B6" s="261"/>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workbookViewId="0">
      <selection activeCell="C11" sqref="C11"/>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223</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356</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827</v>
      </c>
      <c r="G6" s="223" t="s">
        <v>358</v>
      </c>
      <c r="H6" s="70"/>
      <c r="I6" s="70"/>
      <c r="J6" s="70"/>
      <c r="K6" s="70"/>
      <c r="L6" s="70"/>
      <c r="M6" s="70"/>
      <c r="N6" s="70"/>
      <c r="O6" s="70"/>
      <c r="P6" s="70"/>
      <c r="Q6" s="70"/>
      <c r="R6" s="70"/>
      <c r="S6" s="70"/>
      <c r="Y6" t="s">
        <v>826</v>
      </c>
    </row>
    <row r="7" spans="2:26" ht="39.950000000000003" customHeight="1" thickBot="1" x14ac:dyDescent="0.3">
      <c r="E7" s="69"/>
      <c r="F7" s="225" t="s">
        <v>828</v>
      </c>
      <c r="G7" s="224" t="s">
        <v>836</v>
      </c>
      <c r="H7" s="223" t="s">
        <v>357</v>
      </c>
      <c r="I7" s="70"/>
      <c r="J7" s="70"/>
      <c r="K7" s="70"/>
      <c r="L7" s="70"/>
      <c r="M7" s="70"/>
      <c r="N7" s="70"/>
      <c r="O7" s="70"/>
      <c r="P7" s="70"/>
      <c r="Q7" s="70"/>
      <c r="R7" s="70"/>
      <c r="S7" s="70"/>
    </row>
    <row r="8" spans="2:26" ht="39.950000000000003" customHeight="1" thickBot="1" x14ac:dyDescent="0.3">
      <c r="E8" s="69"/>
      <c r="F8" s="225" t="s">
        <v>829</v>
      </c>
      <c r="G8" s="221" t="s">
        <v>837</v>
      </c>
      <c r="H8" s="224" t="s">
        <v>844</v>
      </c>
      <c r="I8" s="223" t="s">
        <v>353</v>
      </c>
      <c r="J8" s="70"/>
      <c r="K8" s="70"/>
      <c r="L8" s="70"/>
      <c r="M8" s="70"/>
      <c r="N8" s="70"/>
      <c r="O8" s="70"/>
      <c r="P8" s="70"/>
      <c r="Q8" s="70"/>
      <c r="R8" s="70"/>
      <c r="S8" s="70"/>
    </row>
    <row r="9" spans="2:26" ht="39.950000000000003" customHeight="1" thickBot="1" x14ac:dyDescent="0.3">
      <c r="E9" s="69"/>
      <c r="F9" s="225" t="s">
        <v>830</v>
      </c>
      <c r="G9" s="221" t="s">
        <v>838</v>
      </c>
      <c r="H9" s="221" t="s">
        <v>845</v>
      </c>
      <c r="I9" s="224" t="s">
        <v>851</v>
      </c>
      <c r="J9" s="223" t="s">
        <v>354</v>
      </c>
      <c r="K9" s="70"/>
      <c r="L9" s="70"/>
      <c r="M9" s="70"/>
      <c r="N9" s="70"/>
      <c r="O9" s="70"/>
      <c r="P9" s="70"/>
      <c r="Q9" s="70"/>
      <c r="R9" s="70"/>
      <c r="S9" s="70"/>
    </row>
    <row r="10" spans="2:26" ht="39.950000000000003" customHeight="1" thickBot="1" x14ac:dyDescent="0.3">
      <c r="E10" s="69"/>
      <c r="F10" s="225" t="s">
        <v>831</v>
      </c>
      <c r="G10" s="221" t="s">
        <v>839</v>
      </c>
      <c r="H10" s="221" t="s">
        <v>846</v>
      </c>
      <c r="I10" s="221" t="s">
        <v>852</v>
      </c>
      <c r="J10" s="224" t="s">
        <v>857</v>
      </c>
      <c r="K10" s="223" t="s">
        <v>359</v>
      </c>
      <c r="L10" s="70"/>
      <c r="M10" s="70"/>
      <c r="N10" s="70"/>
      <c r="O10" s="70"/>
      <c r="P10" s="70"/>
      <c r="Q10" s="70"/>
      <c r="R10" s="70"/>
      <c r="S10" s="70"/>
    </row>
    <row r="11" spans="2:26" ht="39.950000000000003" customHeight="1" thickBot="1" x14ac:dyDescent="0.3">
      <c r="E11" s="69"/>
      <c r="F11" s="225" t="s">
        <v>832</v>
      </c>
      <c r="G11" s="221" t="s">
        <v>840</v>
      </c>
      <c r="H11" s="221" t="s">
        <v>847</v>
      </c>
      <c r="I11" s="221" t="s">
        <v>853</v>
      </c>
      <c r="J11" s="221" t="s">
        <v>858</v>
      </c>
      <c r="K11" s="224" t="s">
        <v>862</v>
      </c>
      <c r="L11" s="223" t="s">
        <v>352</v>
      </c>
      <c r="M11" s="70"/>
      <c r="N11" s="70"/>
      <c r="O11" s="70"/>
      <c r="P11" s="70"/>
      <c r="Q11" s="70"/>
      <c r="R11" s="70"/>
      <c r="S11" s="70"/>
    </row>
    <row r="12" spans="2:26" ht="39.950000000000003" customHeight="1" thickBot="1" x14ac:dyDescent="0.3">
      <c r="E12" s="69"/>
      <c r="F12" s="225" t="s">
        <v>833</v>
      </c>
      <c r="G12" s="221" t="s">
        <v>841</v>
      </c>
      <c r="H12" s="221" t="s">
        <v>848</v>
      </c>
      <c r="I12" s="221" t="s">
        <v>854</v>
      </c>
      <c r="J12" s="221" t="s">
        <v>859</v>
      </c>
      <c r="K12" s="221" t="s">
        <v>863</v>
      </c>
      <c r="L12" s="224" t="s">
        <v>866</v>
      </c>
      <c r="M12" s="223" t="s">
        <v>361</v>
      </c>
      <c r="N12" s="70"/>
      <c r="O12" s="70"/>
      <c r="P12" s="70"/>
      <c r="Q12" s="70"/>
      <c r="R12" s="70"/>
      <c r="S12" s="70"/>
    </row>
    <row r="13" spans="2:26" ht="39.950000000000003" customHeight="1" thickBot="1" x14ac:dyDescent="0.3">
      <c r="E13" s="69"/>
      <c r="F13" s="225" t="s">
        <v>834</v>
      </c>
      <c r="G13" s="221" t="s">
        <v>842</v>
      </c>
      <c r="H13" s="221" t="s">
        <v>849</v>
      </c>
      <c r="I13" s="221" t="s">
        <v>855</v>
      </c>
      <c r="J13" s="221" t="s">
        <v>860</v>
      </c>
      <c r="K13" s="221" t="s">
        <v>864</v>
      </c>
      <c r="L13" s="221" t="s">
        <v>867</v>
      </c>
      <c r="M13" s="224" t="s">
        <v>869</v>
      </c>
      <c r="N13" s="223" t="s">
        <v>355</v>
      </c>
      <c r="O13" s="70"/>
      <c r="P13" s="70"/>
      <c r="Q13" s="70"/>
      <c r="R13" s="70"/>
      <c r="S13" s="70"/>
    </row>
    <row r="14" spans="2:26" ht="39.950000000000003" customHeight="1" thickBot="1" x14ac:dyDescent="0.3">
      <c r="E14" s="69"/>
      <c r="F14" s="226" t="s">
        <v>835</v>
      </c>
      <c r="G14" s="222" t="s">
        <v>843</v>
      </c>
      <c r="H14" s="222" t="s">
        <v>850</v>
      </c>
      <c r="I14" s="222" t="s">
        <v>856</v>
      </c>
      <c r="J14" s="222" t="s">
        <v>861</v>
      </c>
      <c r="K14" s="222" t="s">
        <v>865</v>
      </c>
      <c r="L14" s="222" t="s">
        <v>868</v>
      </c>
      <c r="M14" s="222" t="s">
        <v>870</v>
      </c>
      <c r="N14" s="228" t="s">
        <v>871</v>
      </c>
      <c r="O14" s="223" t="s">
        <v>360</v>
      </c>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tabSelected="1" topLeftCell="A7" workbookViewId="0">
      <selection activeCell="V21" sqref="V21"/>
    </sheetView>
  </sheetViews>
  <sheetFormatPr defaultRowHeight="15" x14ac:dyDescent="0.25"/>
  <cols>
    <col min="2" max="2" width="11.85546875" customWidth="1"/>
    <col min="3" max="3" width="33" customWidth="1"/>
    <col min="13" max="27" width="9.140625" customWidth="1"/>
  </cols>
  <sheetData>
    <row r="2" spans="2:30" hidden="1" x14ac:dyDescent="0.25">
      <c r="B2" t="s">
        <v>263</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223</v>
      </c>
    </row>
    <row r="8" spans="2:30" ht="15.75" thickBot="1" x14ac:dyDescent="0.3">
      <c r="B8" s="67" t="s">
        <v>260</v>
      </c>
      <c r="C8" s="84" t="s">
        <v>258</v>
      </c>
    </row>
    <row r="9" spans="2:30" ht="15.75" hidden="1" thickBot="1" x14ac:dyDescent="0.3">
      <c r="B9" s="67" t="s">
        <v>208</v>
      </c>
      <c r="C9" s="84" t="s">
        <v>357</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356</v>
      </c>
      <c r="D15" s="107">
        <v>0.7319</v>
      </c>
    </row>
    <row r="16" spans="2:30" x14ac:dyDescent="0.25">
      <c r="C16" s="108" t="s">
        <v>358</v>
      </c>
      <c r="D16" s="109">
        <v>0.67869999999999997</v>
      </c>
    </row>
    <row r="17" spans="2:5" x14ac:dyDescent="0.25">
      <c r="C17" s="108" t="s">
        <v>357</v>
      </c>
      <c r="D17" s="109">
        <v>0.65169999999999995</v>
      </c>
    </row>
    <row r="18" spans="2:5" x14ac:dyDescent="0.25">
      <c r="C18" s="108" t="s">
        <v>353</v>
      </c>
      <c r="D18" s="109">
        <v>0.52300000000000002</v>
      </c>
    </row>
    <row r="19" spans="2:5" x14ac:dyDescent="0.25">
      <c r="C19" s="108" t="s">
        <v>354</v>
      </c>
      <c r="D19" s="109">
        <v>0.49270000000000003</v>
      </c>
    </row>
    <row r="20" spans="2:5" x14ac:dyDescent="0.25">
      <c r="C20" s="108" t="s">
        <v>359</v>
      </c>
      <c r="D20" s="109">
        <v>0.44869999999999999</v>
      </c>
    </row>
    <row r="21" spans="2:5" x14ac:dyDescent="0.25">
      <c r="C21" s="108" t="s">
        <v>352</v>
      </c>
      <c r="D21" s="109">
        <v>0.42970000000000003</v>
      </c>
    </row>
    <row r="22" spans="2:5" x14ac:dyDescent="0.25">
      <c r="C22" s="108" t="s">
        <v>361</v>
      </c>
      <c r="D22" s="109">
        <v>0.41880000000000001</v>
      </c>
    </row>
    <row r="23" spans="2:5" x14ac:dyDescent="0.25">
      <c r="C23" s="108" t="s">
        <v>355</v>
      </c>
      <c r="D23" s="109">
        <v>0.41660000000000003</v>
      </c>
    </row>
    <row r="24" spans="2:5" x14ac:dyDescent="0.25">
      <c r="C24" s="108" t="s">
        <v>360</v>
      </c>
      <c r="D24" s="109">
        <v>0.20830000000000001</v>
      </c>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3" t="s">
        <v>37</v>
      </c>
      <c r="E4" s="264"/>
      <c r="F4" s="264"/>
      <c r="G4" s="264"/>
      <c r="H4" s="265"/>
      <c r="I4" s="263" t="s">
        <v>226</v>
      </c>
      <c r="J4" s="264"/>
      <c r="K4" s="264"/>
      <c r="L4" s="264"/>
      <c r="M4" s="265"/>
      <c r="N4" s="40"/>
      <c r="O4" s="266" t="s">
        <v>212</v>
      </c>
      <c r="P4" s="267"/>
      <c r="Q4" s="267"/>
      <c r="R4" s="267"/>
      <c r="S4" s="267"/>
      <c r="T4" s="267"/>
      <c r="U4" s="267"/>
      <c r="V4" s="268"/>
    </row>
    <row r="5" spans="1:35" ht="15.75" thickBot="1" x14ac:dyDescent="0.3">
      <c r="D5" s="269" t="s">
        <v>209</v>
      </c>
      <c r="E5" s="270"/>
      <c r="F5" s="270" t="s">
        <v>210</v>
      </c>
      <c r="G5" s="270"/>
      <c r="H5" s="2" t="s">
        <v>211</v>
      </c>
      <c r="I5" s="269" t="s">
        <v>209</v>
      </c>
      <c r="J5" s="270"/>
      <c r="K5" s="270" t="s">
        <v>210</v>
      </c>
      <c r="L5" s="270"/>
      <c r="M5" s="2" t="s">
        <v>211</v>
      </c>
      <c r="O5" s="117" t="s">
        <v>207</v>
      </c>
      <c r="P5" s="118" t="s">
        <v>208</v>
      </c>
      <c r="Q5" s="46"/>
      <c r="R5" s="46" t="s">
        <v>10</v>
      </c>
      <c r="S5" s="119"/>
      <c r="T5" s="86" t="s">
        <v>213</v>
      </c>
      <c r="U5" s="86" t="s">
        <v>214</v>
      </c>
      <c r="V5" s="65">
        <v>1</v>
      </c>
      <c r="Z5" t="str">
        <f>R5</f>
        <v>Study Name</v>
      </c>
      <c r="AB5" s="262"/>
      <c r="AC5" s="262"/>
      <c r="AD5" s="262"/>
      <c r="AE5" s="262"/>
      <c r="AH5" s="19"/>
      <c r="AI5" s="19"/>
    </row>
    <row r="6" spans="1:35" x14ac:dyDescent="0.25">
      <c r="A6">
        <v>0</v>
      </c>
      <c r="B6">
        <v>0</v>
      </c>
      <c r="D6" s="26"/>
      <c r="E6" s="31"/>
      <c r="F6" s="31"/>
      <c r="G6" s="31"/>
      <c r="H6" s="1" t="str">
        <f>IF(D6="","",G6-E6)</f>
        <v/>
      </c>
      <c r="I6" s="26" t="s">
        <v>483</v>
      </c>
      <c r="J6" s="31">
        <v>1.006</v>
      </c>
      <c r="K6" s="31"/>
      <c r="L6" s="31"/>
      <c r="M6" s="1">
        <f>IF(I6="","",L6-J6)</f>
        <v>-1.006</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484</v>
      </c>
      <c r="J7" s="31">
        <v>1.006</v>
      </c>
      <c r="K7" s="31"/>
      <c r="L7" s="31"/>
      <c r="M7" s="1">
        <f t="shared" ref="M7:M70" si="5">IF(I7="","",L7-J7)</f>
        <v>-1.006</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485</v>
      </c>
      <c r="J8" s="31">
        <v>1.0449999999999999</v>
      </c>
      <c r="K8" s="31"/>
      <c r="L8" s="31"/>
      <c r="M8" s="1">
        <f t="shared" si="5"/>
        <v>-1.0449999999999999</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t="s">
        <v>486</v>
      </c>
      <c r="J9" s="31">
        <v>1.048</v>
      </c>
      <c r="K9" s="31"/>
      <c r="L9" s="31"/>
      <c r="M9" s="1">
        <f t="shared" si="5"/>
        <v>-1.048</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t="s">
        <v>487</v>
      </c>
      <c r="J10" s="31">
        <v>0.94099999999999995</v>
      </c>
      <c r="K10" s="31"/>
      <c r="L10" s="31"/>
      <c r="M10" s="1">
        <f t="shared" si="5"/>
        <v>-0.94099999999999995</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t="s">
        <v>488</v>
      </c>
      <c r="J11" s="31">
        <v>0.86450000000000005</v>
      </c>
      <c r="K11" s="31"/>
      <c r="L11" s="31"/>
      <c r="M11" s="1">
        <f t="shared" si="5"/>
        <v>-0.86450000000000005</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t="s">
        <v>489</v>
      </c>
      <c r="J12" s="31">
        <v>0.63170000000000004</v>
      </c>
      <c r="K12" s="31"/>
      <c r="L12" s="31"/>
      <c r="M12" s="1">
        <f t="shared" si="5"/>
        <v>-0.63170000000000004</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t="s">
        <v>490</v>
      </c>
      <c r="J13" s="31">
        <v>0.71799999999999997</v>
      </c>
      <c r="K13" s="31"/>
      <c r="L13" s="31"/>
      <c r="M13" s="1">
        <f t="shared" si="5"/>
        <v>-0.71799999999999997</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t="s">
        <v>491</v>
      </c>
      <c r="J14" s="31">
        <v>0.70909999999999995</v>
      </c>
      <c r="K14" s="31"/>
      <c r="L14" s="31"/>
      <c r="M14" s="1">
        <f t="shared" si="5"/>
        <v>-0.70909999999999995</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t="s">
        <v>492</v>
      </c>
      <c r="J15" s="31">
        <v>0.81599999999999995</v>
      </c>
      <c r="K15" s="31"/>
      <c r="L15" s="31"/>
      <c r="M15" s="1">
        <f t="shared" si="5"/>
        <v>-0.81599999999999995</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t="s">
        <v>493</v>
      </c>
      <c r="J16" s="31">
        <v>0.68920000000000003</v>
      </c>
      <c r="K16" s="31"/>
      <c r="L16" s="31"/>
      <c r="M16" s="1">
        <f t="shared" si="5"/>
        <v>-0.68920000000000003</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t="s">
        <v>494</v>
      </c>
      <c r="J17" s="31">
        <v>0.70530000000000004</v>
      </c>
      <c r="K17" s="31"/>
      <c r="L17" s="31"/>
      <c r="M17" s="1">
        <f t="shared" si="5"/>
        <v>-0.70530000000000004</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t="s">
        <v>495</v>
      </c>
      <c r="J18" s="31">
        <v>0.8468</v>
      </c>
      <c r="K18" s="31"/>
      <c r="L18" s="31"/>
      <c r="M18" s="1">
        <f t="shared" si="5"/>
        <v>-0.8468</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t="s">
        <v>496</v>
      </c>
      <c r="J19" s="31">
        <v>0.82150000000000001</v>
      </c>
      <c r="K19" s="31"/>
      <c r="L19" s="31"/>
      <c r="M19" s="1">
        <f t="shared" si="5"/>
        <v>-0.82150000000000001</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t="s">
        <v>497</v>
      </c>
      <c r="J20" s="31">
        <v>0.60250000000000004</v>
      </c>
      <c r="K20" s="31"/>
      <c r="L20" s="31"/>
      <c r="M20" s="1">
        <f t="shared" si="5"/>
        <v>-0.60250000000000004</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t="s">
        <v>498</v>
      </c>
      <c r="J21" s="31">
        <v>0.94630000000000003</v>
      </c>
      <c r="K21" s="31"/>
      <c r="L21" s="31"/>
      <c r="M21" s="1">
        <f t="shared" si="5"/>
        <v>-0.94630000000000003</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t="s">
        <v>499</v>
      </c>
      <c r="J22" s="31">
        <v>1.34</v>
      </c>
      <c r="K22" s="31"/>
      <c r="L22" s="31"/>
      <c r="M22" s="1">
        <f t="shared" si="5"/>
        <v>-1.34</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t="s">
        <v>500</v>
      </c>
      <c r="J23" s="31">
        <v>1.3160000000000001</v>
      </c>
      <c r="K23" s="31"/>
      <c r="L23" s="31"/>
      <c r="M23" s="1">
        <f t="shared" si="5"/>
        <v>-1.3160000000000001</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t="s">
        <v>501</v>
      </c>
      <c r="J24" s="31">
        <v>1.01</v>
      </c>
      <c r="K24" s="31"/>
      <c r="L24" s="31"/>
      <c r="M24" s="1">
        <f t="shared" si="5"/>
        <v>-1.01</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t="s">
        <v>502</v>
      </c>
      <c r="J25" s="31">
        <v>1.022</v>
      </c>
      <c r="K25" s="31"/>
      <c r="L25" s="31"/>
      <c r="M25" s="1">
        <f t="shared" si="5"/>
        <v>-1.022</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t="s">
        <v>503</v>
      </c>
      <c r="J26" s="39">
        <v>0.92230000000000001</v>
      </c>
      <c r="K26" s="39"/>
      <c r="L26" s="39"/>
      <c r="M26" s="52">
        <f t="shared" si="5"/>
        <v>-0.92230000000000001</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t="s">
        <v>504</v>
      </c>
      <c r="J27" s="39">
        <v>0.95609999999999995</v>
      </c>
      <c r="K27" s="39"/>
      <c r="L27" s="39"/>
      <c r="M27" s="52">
        <f t="shared" si="5"/>
        <v>-0.95609999999999995</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t="s">
        <v>505</v>
      </c>
      <c r="J28" s="39">
        <v>1.0329999999999999</v>
      </c>
      <c r="K28" s="39"/>
      <c r="L28" s="39"/>
      <c r="M28" s="52">
        <f t="shared" si="5"/>
        <v>-1.0329999999999999</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t="s">
        <v>506</v>
      </c>
      <c r="J29" s="39">
        <v>1.022</v>
      </c>
      <c r="K29" s="39"/>
      <c r="L29" s="39"/>
      <c r="M29" s="52">
        <f t="shared" si="5"/>
        <v>-1.022</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t="s">
        <v>507</v>
      </c>
      <c r="J30" s="39">
        <v>0.97399999999999998</v>
      </c>
      <c r="K30" s="39"/>
      <c r="L30" s="39"/>
      <c r="M30" s="52">
        <f t="shared" si="5"/>
        <v>-0.97399999999999998</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t="s">
        <v>508</v>
      </c>
      <c r="J31" s="39">
        <v>0.90739999999999998</v>
      </c>
      <c r="K31" s="39"/>
      <c r="L31" s="39"/>
      <c r="M31" s="52">
        <f t="shared" si="5"/>
        <v>-0.90739999999999998</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t="s">
        <v>509</v>
      </c>
      <c r="J32" s="39">
        <v>0.76219999999999999</v>
      </c>
      <c r="K32" s="39"/>
      <c r="L32" s="39"/>
      <c r="M32" s="52">
        <f t="shared" si="5"/>
        <v>-0.76219999999999999</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t="s">
        <v>510</v>
      </c>
      <c r="J33" s="39">
        <v>0.65369999999999995</v>
      </c>
      <c r="K33" s="39"/>
      <c r="L33" s="39"/>
      <c r="M33" s="52">
        <f t="shared" si="5"/>
        <v>-0.65369999999999995</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t="s">
        <v>511</v>
      </c>
      <c r="J34" s="39">
        <v>0.92889999999999995</v>
      </c>
      <c r="K34" s="39"/>
      <c r="L34" s="39"/>
      <c r="M34" s="52">
        <f t="shared" si="5"/>
        <v>-0.92889999999999995</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t="s">
        <v>512</v>
      </c>
      <c r="J35" s="39">
        <v>0.86829999999999996</v>
      </c>
      <c r="K35" s="39"/>
      <c r="L35" s="39"/>
      <c r="M35" s="52">
        <f t="shared" si="5"/>
        <v>-0.86829999999999996</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t="s">
        <v>513</v>
      </c>
      <c r="J36" s="39">
        <v>1.042</v>
      </c>
      <c r="K36" s="39"/>
      <c r="L36" s="39"/>
      <c r="M36" s="52">
        <f t="shared" si="5"/>
        <v>-1.042</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t="s">
        <v>514</v>
      </c>
      <c r="J37" s="39">
        <v>0.92230000000000001</v>
      </c>
      <c r="K37" s="39"/>
      <c r="L37" s="39"/>
      <c r="M37" s="52">
        <f t="shared" si="5"/>
        <v>-0.92230000000000001</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t="s">
        <v>515</v>
      </c>
      <c r="J38" s="39">
        <v>0.78090000000000004</v>
      </c>
      <c r="K38" s="39"/>
      <c r="L38" s="39"/>
      <c r="M38" s="52">
        <f t="shared" si="5"/>
        <v>-0.78090000000000004</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t="s">
        <v>516</v>
      </c>
      <c r="J39" s="39">
        <v>0.65500000000000003</v>
      </c>
      <c r="K39" s="39"/>
      <c r="L39" s="39"/>
      <c r="M39" s="52">
        <f t="shared" si="5"/>
        <v>-0.65500000000000003</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t="s">
        <v>517</v>
      </c>
      <c r="J40" s="39">
        <v>0.877</v>
      </c>
      <c r="K40" s="39"/>
      <c r="L40" s="39"/>
      <c r="M40" s="52">
        <f t="shared" si="5"/>
        <v>-0.877</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t="s">
        <v>518</v>
      </c>
      <c r="J41" s="39">
        <v>0.97660000000000002</v>
      </c>
      <c r="K41" s="39"/>
      <c r="L41" s="39"/>
      <c r="M41" s="52">
        <f t="shared" si="5"/>
        <v>-0.97660000000000002</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t="s">
        <v>519</v>
      </c>
      <c r="J42" s="39">
        <v>1.0209999999999999</v>
      </c>
      <c r="K42" s="39"/>
      <c r="L42" s="39"/>
      <c r="M42" s="52">
        <f t="shared" si="5"/>
        <v>-1.0209999999999999</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t="s">
        <v>520</v>
      </c>
      <c r="J43" s="39">
        <v>1.0169999999999999</v>
      </c>
      <c r="K43" s="39"/>
      <c r="L43" s="39"/>
      <c r="M43" s="52">
        <f t="shared" si="5"/>
        <v>-1.0169999999999999</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t="s">
        <v>521</v>
      </c>
      <c r="J44" s="39">
        <v>0.76600000000000001</v>
      </c>
      <c r="K44" s="39"/>
      <c r="L44" s="39"/>
      <c r="M44" s="52">
        <f t="shared" si="5"/>
        <v>-0.76600000000000001</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t="s">
        <v>522</v>
      </c>
      <c r="J45" s="39">
        <v>0.83279999999999998</v>
      </c>
      <c r="K45" s="39"/>
      <c r="L45" s="39"/>
      <c r="M45" s="52">
        <f t="shared" si="5"/>
        <v>-0.83279999999999998</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t="s">
        <v>523</v>
      </c>
      <c r="J46" s="39">
        <v>0.98040000000000005</v>
      </c>
      <c r="K46" s="39"/>
      <c r="L46" s="39"/>
      <c r="M46" s="52">
        <f t="shared" si="5"/>
        <v>-0.98040000000000005</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t="s">
        <v>524</v>
      </c>
      <c r="J47" s="39">
        <v>0.98340000000000005</v>
      </c>
      <c r="K47" s="39"/>
      <c r="L47" s="39"/>
      <c r="M47" s="52">
        <f t="shared" si="5"/>
        <v>-0.98340000000000005</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t="s">
        <v>525</v>
      </c>
      <c r="J48" s="39">
        <v>0.68879999999999997</v>
      </c>
      <c r="K48" s="39"/>
      <c r="L48" s="39"/>
      <c r="M48" s="52">
        <f t="shared" si="5"/>
        <v>-0.68879999999999997</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t="s">
        <v>526</v>
      </c>
      <c r="J49" s="39">
        <v>0.75980000000000003</v>
      </c>
      <c r="K49" s="39"/>
      <c r="L49" s="39"/>
      <c r="M49" s="52">
        <f t="shared" si="5"/>
        <v>-0.75980000000000003</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t="s">
        <v>527</v>
      </c>
      <c r="J50" s="39">
        <v>0.71109999999999995</v>
      </c>
      <c r="K50" s="39"/>
      <c r="L50" s="39"/>
      <c r="M50" s="52">
        <f t="shared" si="5"/>
        <v>-0.71109999999999995</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t="s">
        <v>528</v>
      </c>
      <c r="J51" s="39">
        <v>0.65180000000000005</v>
      </c>
      <c r="K51" s="39"/>
      <c r="L51" s="39"/>
      <c r="M51" s="52">
        <f t="shared" si="5"/>
        <v>-0.65180000000000005</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t="s">
        <v>529</v>
      </c>
      <c r="J52" s="39">
        <v>0.91100000000000003</v>
      </c>
      <c r="K52" s="39"/>
      <c r="L52" s="39"/>
      <c r="M52" s="52">
        <f t="shared" si="5"/>
        <v>-0.91100000000000003</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t="s">
        <v>530</v>
      </c>
      <c r="J53" s="39">
        <v>0.84530000000000005</v>
      </c>
      <c r="K53" s="39"/>
      <c r="L53" s="39"/>
      <c r="M53" s="52">
        <f t="shared" si="5"/>
        <v>-0.84530000000000005</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t="s">
        <v>531</v>
      </c>
      <c r="J54" s="39">
        <v>0.70950000000000002</v>
      </c>
      <c r="K54" s="39"/>
      <c r="L54" s="39"/>
      <c r="M54" s="52">
        <f t="shared" si="5"/>
        <v>-0.70950000000000002</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t="s">
        <v>532</v>
      </c>
      <c r="J55" s="39">
        <v>0.82020000000000004</v>
      </c>
      <c r="K55" s="39"/>
      <c r="L55" s="39"/>
      <c r="M55" s="52">
        <f t="shared" si="5"/>
        <v>-0.82020000000000004</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c r="J56" s="39"/>
      <c r="K56" s="39"/>
      <c r="L56" s="39"/>
      <c r="M56" s="52" t="str">
        <f t="shared" si="5"/>
        <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c r="J57" s="39"/>
      <c r="K57" s="39"/>
      <c r="L57" s="39"/>
      <c r="M57" s="52" t="str">
        <f t="shared" si="5"/>
        <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c r="J58" s="39"/>
      <c r="K58" s="39"/>
      <c r="L58" s="39"/>
      <c r="M58" s="52" t="str">
        <f t="shared" si="5"/>
        <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c r="J59" s="39"/>
      <c r="K59" s="39"/>
      <c r="L59" s="39"/>
      <c r="M59" s="52" t="str">
        <f t="shared" si="5"/>
        <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c r="J60" s="39"/>
      <c r="K60" s="39"/>
      <c r="L60" s="39"/>
      <c r="M60" s="52" t="str">
        <f t="shared" si="5"/>
        <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c r="J61" s="39"/>
      <c r="K61" s="39"/>
      <c r="L61" s="39"/>
      <c r="M61" s="52" t="str">
        <f t="shared" si="5"/>
        <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c r="J62" s="39"/>
      <c r="K62" s="39"/>
      <c r="L62" s="39"/>
      <c r="M62" s="52" t="str">
        <f t="shared" si="5"/>
        <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c r="J63" s="39"/>
      <c r="K63" s="39"/>
      <c r="L63" s="39"/>
      <c r="M63" s="52" t="str">
        <f t="shared" si="5"/>
        <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c r="J64" s="39"/>
      <c r="K64" s="39"/>
      <c r="L64" s="39"/>
      <c r="M64" s="52" t="str">
        <f t="shared" si="5"/>
        <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c r="J65" s="39"/>
      <c r="K65" s="39"/>
      <c r="L65" s="39"/>
      <c r="M65" s="52" t="str">
        <f t="shared" si="5"/>
        <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c r="J66" s="39"/>
      <c r="K66" s="39"/>
      <c r="L66" s="39"/>
      <c r="M66" s="52" t="str">
        <f t="shared" si="5"/>
        <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c r="J67" s="39"/>
      <c r="K67" s="39"/>
      <c r="L67" s="39"/>
      <c r="M67" s="52" t="str">
        <f t="shared" si="5"/>
        <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c r="J68" s="39"/>
      <c r="K68" s="39"/>
      <c r="L68" s="39"/>
      <c r="M68" s="52" t="str">
        <f t="shared" si="5"/>
        <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c r="J69" s="39"/>
      <c r="K69" s="39"/>
      <c r="L69" s="39"/>
      <c r="M69" s="52" t="str">
        <f t="shared" si="5"/>
        <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c r="J70" s="39"/>
      <c r="K70" s="39"/>
      <c r="L70" s="39"/>
      <c r="M70" s="52" t="str">
        <f t="shared" si="5"/>
        <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c r="J71" s="39"/>
      <c r="K71" s="39"/>
      <c r="L71" s="39"/>
      <c r="M71" s="52" t="str">
        <f t="shared" ref="M71:M105" si="12">IF(I71="","",L71-J71)</f>
        <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c r="J72" s="39"/>
      <c r="K72" s="39"/>
      <c r="L72" s="39"/>
      <c r="M72" s="52" t="str">
        <f t="shared" si="12"/>
        <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c r="J73" s="39"/>
      <c r="K73" s="39"/>
      <c r="L73" s="39"/>
      <c r="M73" s="52" t="str">
        <f t="shared" si="12"/>
        <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c r="J74" s="39"/>
      <c r="K74" s="39"/>
      <c r="L74" s="39"/>
      <c r="M74" s="52" t="str">
        <f t="shared" si="12"/>
        <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c r="J75" s="39"/>
      <c r="K75" s="39"/>
      <c r="L75" s="39"/>
      <c r="M75" s="52" t="str">
        <f t="shared" si="12"/>
        <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c r="J76" s="39"/>
      <c r="K76" s="39"/>
      <c r="L76" s="39"/>
      <c r="M76" s="52" t="str">
        <f t="shared" si="12"/>
        <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c r="J77" s="39"/>
      <c r="K77" s="39"/>
      <c r="L77" s="39"/>
      <c r="M77" s="52" t="str">
        <f t="shared" si="12"/>
        <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c r="J78" s="39"/>
      <c r="K78" s="39"/>
      <c r="L78" s="39"/>
      <c r="M78" s="52" t="str">
        <f t="shared" si="12"/>
        <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c r="J79" s="39"/>
      <c r="K79" s="39"/>
      <c r="L79" s="39"/>
      <c r="M79" s="52" t="str">
        <f t="shared" si="12"/>
        <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1" t="s">
        <v>246</v>
      </c>
      <c r="F3" s="272"/>
      <c r="G3" s="273"/>
      <c r="J3" s="271" t="s">
        <v>247</v>
      </c>
      <c r="K3" s="272"/>
      <c r="L3" s="273"/>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
      </c>
      <c r="J5" s="122" t="str">
        <f ca="1">IF(INDIRECT(CONCATENATE("'",'Inconsistency Data'!$I$4,"'!O5"))="","",INDIRECT(CONCATENATE("'",'Inconsistency Data'!$I$4,"'!O5")))</f>
        <v/>
      </c>
      <c r="K5" s="123" t="str">
        <f ca="1">IF(INDIRECT(CONCATENATE("'",'Inconsistency Data'!$I$4,"'!Q5"))="","",INDIRECT(CONCATENATE("'",'Inconsistency Data'!$I$4,"'!Q5")))</f>
        <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
      </c>
      <c r="J6" s="126" t="str">
        <f ca="1">IF(INDIRECT(CONCATENATE("'",'Inconsistency Data'!$I$4,"'!O6"))="","",INDIRECT(CONCATENATE("'",'Inconsistency Data'!$I$4,"'!O6")))</f>
        <v/>
      </c>
      <c r="K6" s="127" t="str">
        <f ca="1">IF(INDIRECT(CONCATENATE("'",'Inconsistency Data'!$I$4,"'!Q6"))="","",INDIRECT(CONCATENATE("'",'Inconsistency Data'!$I$4,"'!Q6")))</f>
        <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
      </c>
      <c r="J7" s="126" t="str">
        <f ca="1">IF(INDIRECT(CONCATENATE("'",'Inconsistency Data'!$I$4,"'!O7"))="","",INDIRECT(CONCATENATE("'",'Inconsistency Data'!$I$4,"'!O7")))</f>
        <v/>
      </c>
      <c r="K7" s="127" t="str">
        <f ca="1">IF(INDIRECT(CONCATENATE("'",'Inconsistency Data'!$I$4,"'!Q7"))="","",INDIRECT(CONCATENATE("'",'Inconsistency Data'!$I$4,"'!Q7")))</f>
        <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
      </c>
      <c r="J8" s="126" t="str">
        <f ca="1">IF(INDIRECT(CONCATENATE("'",'Inconsistency Data'!$I$4,"'!O8"))="","",INDIRECT(CONCATENATE("'",'Inconsistency Data'!$I$4,"'!O8")))</f>
        <v/>
      </c>
      <c r="K8" s="127" t="str">
        <f ca="1">IF(INDIRECT(CONCATENATE("'",'Inconsistency Data'!$I$4,"'!Q8"))="","",INDIRECT(CONCATENATE("'",'Inconsistency Data'!$I$4,"'!Q8")))</f>
        <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
      </c>
      <c r="J9" s="126" t="str">
        <f ca="1">IF(INDIRECT(CONCATENATE("'",'Inconsistency Data'!$I$4,"'!O9"))="","",INDIRECT(CONCATENATE("'",'Inconsistency Data'!$I$4,"'!O9")))</f>
        <v/>
      </c>
      <c r="K9" s="127" t="str">
        <f ca="1">IF(INDIRECT(CONCATENATE("'",'Inconsistency Data'!$I$4,"'!Q9"))="","",INDIRECT(CONCATENATE("'",'Inconsistency Data'!$I$4,"'!Q9")))</f>
        <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
      </c>
      <c r="J10" s="126" t="str">
        <f ca="1">IF(INDIRECT(CONCATENATE("'",'Inconsistency Data'!$I$4,"'!O10"))="","",INDIRECT(CONCATENATE("'",'Inconsistency Data'!$I$4,"'!O10")))</f>
        <v/>
      </c>
      <c r="K10" s="127" t="str">
        <f ca="1">IF(INDIRECT(CONCATENATE("'",'Inconsistency Data'!$I$4,"'!Q10"))="","",INDIRECT(CONCATENATE("'",'Inconsistency Data'!$I$4,"'!Q10")))</f>
        <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
      </c>
      <c r="J11" s="126" t="str">
        <f ca="1">IF(INDIRECT(CONCATENATE("'",'Inconsistency Data'!$I$4,"'!O11"))="","",INDIRECT(CONCATENATE("'",'Inconsistency Data'!$I$4,"'!O11")))</f>
        <v/>
      </c>
      <c r="K11" s="127" t="str">
        <f ca="1">IF(INDIRECT(CONCATENATE("'",'Inconsistency Data'!$I$4,"'!Q11"))="","",INDIRECT(CONCATENATE("'",'Inconsistency Data'!$I$4,"'!Q11")))</f>
        <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
      </c>
      <c r="J12" s="126" t="str">
        <f ca="1">IF(INDIRECT(CONCATENATE("'",'Inconsistency Data'!$I$4,"'!O12"))="","",INDIRECT(CONCATENATE("'",'Inconsistency Data'!$I$4,"'!O12")))</f>
        <v/>
      </c>
      <c r="K12" s="127" t="str">
        <f ca="1">IF(INDIRECT(CONCATENATE("'",'Inconsistency Data'!$I$4,"'!Q12"))="","",INDIRECT(CONCATENATE("'",'Inconsistency Data'!$I$4,"'!Q12")))</f>
        <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
      </c>
      <c r="J13" s="126" t="str">
        <f ca="1">IF(INDIRECT(CONCATENATE("'",'Inconsistency Data'!$I$4,"'!O13"))="","",INDIRECT(CONCATENATE("'",'Inconsistency Data'!$I$4,"'!O13")))</f>
        <v/>
      </c>
      <c r="K13" s="127" t="str">
        <f ca="1">IF(INDIRECT(CONCATENATE("'",'Inconsistency Data'!$I$4,"'!Q13"))="","",INDIRECT(CONCATENATE("'",'Inconsistency Data'!$I$4,"'!Q13")))</f>
        <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
      </c>
      <c r="J14" s="126" t="str">
        <f ca="1">IF(INDIRECT(CONCATENATE("'",'Inconsistency Data'!$I$4,"'!O14"))="","",INDIRECT(CONCATENATE("'",'Inconsistency Data'!$I$4,"'!O14")))</f>
        <v/>
      </c>
      <c r="K14" s="127" t="str">
        <f ca="1">IF(INDIRECT(CONCATENATE("'",'Inconsistency Data'!$I$4,"'!Q14"))="","",INDIRECT(CONCATENATE("'",'Inconsistency Data'!$I$4,"'!Q14")))</f>
        <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
      </c>
      <c r="J15" s="126" t="str">
        <f ca="1">IF(INDIRECT(CONCATENATE("'",'Inconsistency Data'!$I$4,"'!O15"))="","",INDIRECT(CONCATENATE("'",'Inconsistency Data'!$I$4,"'!O15")))</f>
        <v/>
      </c>
      <c r="K15" s="127" t="str">
        <f ca="1">IF(INDIRECT(CONCATENATE("'",'Inconsistency Data'!$I$4,"'!Q15"))="","",INDIRECT(CONCATENATE("'",'Inconsistency Data'!$I$4,"'!Q15")))</f>
        <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
      </c>
      <c r="J16" s="126" t="str">
        <f ca="1">IF(INDIRECT(CONCATENATE("'",'Inconsistency Data'!$I$4,"'!O16"))="","",INDIRECT(CONCATENATE("'",'Inconsistency Data'!$I$4,"'!O16")))</f>
        <v/>
      </c>
      <c r="K16" s="127" t="str">
        <f ca="1">IF(INDIRECT(CONCATENATE("'",'Inconsistency Data'!$I$4,"'!Q16"))="","",INDIRECT(CONCATENATE("'",'Inconsistency Data'!$I$4,"'!Q16")))</f>
        <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
      </c>
      <c r="J17" s="126" t="str">
        <f ca="1">IF(INDIRECT(CONCATENATE("'",'Inconsistency Data'!$I$4,"'!O17"))="","",INDIRECT(CONCATENATE("'",'Inconsistency Data'!$I$4,"'!O17")))</f>
        <v/>
      </c>
      <c r="K17" s="127" t="str">
        <f ca="1">IF(INDIRECT(CONCATENATE("'",'Inconsistency Data'!$I$4,"'!Q17"))="","",INDIRECT(CONCATENATE("'",'Inconsistency Data'!$I$4,"'!Q17")))</f>
        <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
      </c>
      <c r="J18" s="126" t="str">
        <f ca="1">IF(INDIRECT(CONCATENATE("'",'Inconsistency Data'!$I$4,"'!O18"))="","",INDIRECT(CONCATENATE("'",'Inconsistency Data'!$I$4,"'!O18")))</f>
        <v/>
      </c>
      <c r="K18" s="127" t="str">
        <f ca="1">IF(INDIRECT(CONCATENATE("'",'Inconsistency Data'!$I$4,"'!Q18"))="","",INDIRECT(CONCATENATE("'",'Inconsistency Data'!$I$4,"'!Q18")))</f>
        <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
      </c>
      <c r="J19" s="126" t="str">
        <f ca="1">IF(INDIRECT(CONCATENATE("'",'Inconsistency Data'!$I$4,"'!O19"))="","",INDIRECT(CONCATENATE("'",'Inconsistency Data'!$I$4,"'!O19")))</f>
        <v/>
      </c>
      <c r="K19" s="127" t="str">
        <f ca="1">IF(INDIRECT(CONCATENATE("'",'Inconsistency Data'!$I$4,"'!Q19"))="","",INDIRECT(CONCATENATE("'",'Inconsistency Data'!$I$4,"'!Q19")))</f>
        <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
      </c>
      <c r="J20" s="126" t="str">
        <f ca="1">IF(INDIRECT(CONCATENATE("'",'Inconsistency Data'!$I$4,"'!O20"))="","",INDIRECT(CONCATENATE("'",'Inconsistency Data'!$I$4,"'!O20")))</f>
        <v/>
      </c>
      <c r="K20" s="127" t="str">
        <f ca="1">IF(INDIRECT(CONCATENATE("'",'Inconsistency Data'!$I$4,"'!Q20"))="","",INDIRECT(CONCATENATE("'",'Inconsistency Data'!$I$4,"'!Q20")))</f>
        <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
      </c>
      <c r="J21" s="126" t="str">
        <f ca="1">IF(INDIRECT(CONCATENATE("'",'Inconsistency Data'!$I$4,"'!O21"))="","",INDIRECT(CONCATENATE("'",'Inconsistency Data'!$I$4,"'!O21")))</f>
        <v/>
      </c>
      <c r="K21" s="127" t="str">
        <f ca="1">IF(INDIRECT(CONCATENATE("'",'Inconsistency Data'!$I$4,"'!Q21"))="","",INDIRECT(CONCATENATE("'",'Inconsistency Data'!$I$4,"'!Q21")))</f>
        <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
      </c>
      <c r="J22" s="126" t="str">
        <f ca="1">IF(INDIRECT(CONCATENATE("'",'Inconsistency Data'!$I$4,"'!O22"))="","",INDIRECT(CONCATENATE("'",'Inconsistency Data'!$I$4,"'!O22")))</f>
        <v/>
      </c>
      <c r="K22" s="127" t="str">
        <f ca="1">IF(INDIRECT(CONCATENATE("'",'Inconsistency Data'!$I$4,"'!Q22"))="","",INDIRECT(CONCATENATE("'",'Inconsistency Data'!$I$4,"'!Q22")))</f>
        <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
      </c>
      <c r="J23" s="126" t="str">
        <f ca="1">IF(INDIRECT(CONCATENATE("'",'Inconsistency Data'!$I$4,"'!O23"))="","",INDIRECT(CONCATENATE("'",'Inconsistency Data'!$I$4,"'!O23")))</f>
        <v/>
      </c>
      <c r="K23" s="127" t="str">
        <f ca="1">IF(INDIRECT(CONCATENATE("'",'Inconsistency Data'!$I$4,"'!Q23"))="","",INDIRECT(CONCATENATE("'",'Inconsistency Data'!$I$4,"'!Q23")))</f>
        <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
      </c>
      <c r="J24" s="126" t="str">
        <f ca="1">IF(INDIRECT(CONCATENATE("'",'Inconsistency Data'!$I$4,"'!O24"))="","",INDIRECT(CONCATENATE("'",'Inconsistency Data'!$I$4,"'!O24")))</f>
        <v/>
      </c>
      <c r="K24" s="127" t="str">
        <f ca="1">IF(INDIRECT(CONCATENATE("'",'Inconsistency Data'!$I$4,"'!Q24"))="","",INDIRECT(CONCATENATE("'",'Inconsistency Data'!$I$4,"'!Q24")))</f>
        <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
      </c>
      <c r="J25" s="126" t="str">
        <f ca="1">IF(INDIRECT(CONCATENATE("'",'Inconsistency Data'!$I$4,"'!O25"))="","",INDIRECT(CONCATENATE("'",'Inconsistency Data'!$I$4,"'!O25")))</f>
        <v/>
      </c>
      <c r="K25" s="127" t="str">
        <f ca="1">IF(INDIRECT(CONCATENATE("'",'Inconsistency Data'!$I$4,"'!Q25"))="","",INDIRECT(CONCATENATE("'",'Inconsistency Data'!$I$4,"'!Q25")))</f>
        <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
      </c>
      <c r="J26" s="126" t="str">
        <f ca="1">IF(INDIRECT(CONCATENATE("'",'Inconsistency Data'!$I$4,"'!O26"))="","",INDIRECT(CONCATENATE("'",'Inconsistency Data'!$I$4,"'!O26")))</f>
        <v/>
      </c>
      <c r="K26" s="127" t="str">
        <f ca="1">IF(INDIRECT(CONCATENATE("'",'Inconsistency Data'!$I$4,"'!Q26"))="","",INDIRECT(CONCATENATE("'",'Inconsistency Data'!$I$4,"'!Q26")))</f>
        <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
      </c>
      <c r="J27" s="126" t="str">
        <f ca="1">IF(INDIRECT(CONCATENATE("'",'Inconsistency Data'!$I$4,"'!O27"))="","",INDIRECT(CONCATENATE("'",'Inconsistency Data'!$I$4,"'!O27")))</f>
        <v/>
      </c>
      <c r="K27" s="127" t="str">
        <f ca="1">IF(INDIRECT(CONCATENATE("'",'Inconsistency Data'!$I$4,"'!Q27"))="","",INDIRECT(CONCATENATE("'",'Inconsistency Data'!$I$4,"'!Q27")))</f>
        <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
      </c>
      <c r="J28" s="126" t="str">
        <f ca="1">IF(INDIRECT(CONCATENATE("'",'Inconsistency Data'!$I$4,"'!O28"))="","",INDIRECT(CONCATENATE("'",'Inconsistency Data'!$I$4,"'!O28")))</f>
        <v/>
      </c>
      <c r="K28" s="127" t="str">
        <f ca="1">IF(INDIRECT(CONCATENATE("'",'Inconsistency Data'!$I$4,"'!Q28"))="","",INDIRECT(CONCATENATE("'",'Inconsistency Data'!$I$4,"'!Q28")))</f>
        <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
      </c>
      <c r="J29" s="126" t="str">
        <f ca="1">IF(INDIRECT(CONCATENATE("'",'Inconsistency Data'!$I$4,"'!O29"))="","",INDIRECT(CONCATENATE("'",'Inconsistency Data'!$I$4,"'!O29")))</f>
        <v/>
      </c>
      <c r="K29" s="127" t="str">
        <f ca="1">IF(INDIRECT(CONCATENATE("'",'Inconsistency Data'!$I$4,"'!Q29"))="","",INDIRECT(CONCATENATE("'",'Inconsistency Data'!$I$4,"'!Q29")))</f>
        <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
      </c>
      <c r="J30" s="126" t="str">
        <f ca="1">IF(INDIRECT(CONCATENATE("'",'Inconsistency Data'!$I$4,"'!O30"))="","",INDIRECT(CONCATENATE("'",'Inconsistency Data'!$I$4,"'!O30")))</f>
        <v/>
      </c>
      <c r="K30" s="127" t="str">
        <f ca="1">IF(INDIRECT(CONCATENATE("'",'Inconsistency Data'!$I$4,"'!Q30"))="","",INDIRECT(CONCATENATE("'",'Inconsistency Data'!$I$4,"'!Q30")))</f>
        <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
      </c>
      <c r="J31" s="126" t="str">
        <f ca="1">IF(INDIRECT(CONCATENATE("'",'Inconsistency Data'!$I$4,"'!O31"))="","",INDIRECT(CONCATENATE("'",'Inconsistency Data'!$I$4,"'!O31")))</f>
        <v/>
      </c>
      <c r="K31" s="127" t="str">
        <f ca="1">IF(INDIRECT(CONCATENATE("'",'Inconsistency Data'!$I$4,"'!Q31"))="","",INDIRECT(CONCATENATE("'",'Inconsistency Data'!$I$4,"'!Q31")))</f>
        <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
      </c>
      <c r="J32" s="126" t="str">
        <f ca="1">IF(INDIRECT(CONCATENATE("'",'Inconsistency Data'!$I$4,"'!O32"))="","",INDIRECT(CONCATENATE("'",'Inconsistency Data'!$I$4,"'!O32")))</f>
        <v/>
      </c>
      <c r="K32" s="127" t="str">
        <f ca="1">IF(INDIRECT(CONCATENATE("'",'Inconsistency Data'!$I$4,"'!Q32"))="","",INDIRECT(CONCATENATE("'",'Inconsistency Data'!$I$4,"'!Q32")))</f>
        <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
      </c>
      <c r="J33" s="126" t="str">
        <f ca="1">IF(INDIRECT(CONCATENATE("'",'Inconsistency Data'!$I$4,"'!O33"))="","",INDIRECT(CONCATENATE("'",'Inconsistency Data'!$I$4,"'!O33")))</f>
        <v/>
      </c>
      <c r="K33" s="127" t="str">
        <f ca="1">IF(INDIRECT(CONCATENATE("'",'Inconsistency Data'!$I$4,"'!Q33"))="","",INDIRECT(CONCATENATE("'",'Inconsistency Data'!$I$4,"'!Q33")))</f>
        <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
      </c>
      <c r="J34" s="126" t="str">
        <f ca="1">IF(INDIRECT(CONCATENATE("'",'Inconsistency Data'!$I$4,"'!O34"))="","",INDIRECT(CONCATENATE("'",'Inconsistency Data'!$I$4,"'!O34")))</f>
        <v/>
      </c>
      <c r="K34" s="127" t="str">
        <f ca="1">IF(INDIRECT(CONCATENATE("'",'Inconsistency Data'!$I$4,"'!Q34"))="","",INDIRECT(CONCATENATE("'",'Inconsistency Data'!$I$4,"'!Q34")))</f>
        <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
      </c>
      <c r="J35" s="126" t="str">
        <f ca="1">IF(INDIRECT(CONCATENATE("'",'Inconsistency Data'!$I$4,"'!O35"))="","",INDIRECT(CONCATENATE("'",'Inconsistency Data'!$I$4,"'!O35")))</f>
        <v/>
      </c>
      <c r="K35" s="127" t="str">
        <f ca="1">IF(INDIRECT(CONCATENATE("'",'Inconsistency Data'!$I$4,"'!Q35"))="","",INDIRECT(CONCATENATE("'",'Inconsistency Data'!$I$4,"'!Q35")))</f>
        <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
      </c>
      <c r="J36" s="126" t="str">
        <f ca="1">IF(INDIRECT(CONCATENATE("'",'Inconsistency Data'!$I$4,"'!O36"))="","",INDIRECT(CONCATENATE("'",'Inconsistency Data'!$I$4,"'!O36")))</f>
        <v/>
      </c>
      <c r="K36" s="127" t="str">
        <f ca="1">IF(INDIRECT(CONCATENATE("'",'Inconsistency Data'!$I$4,"'!Q36"))="","",INDIRECT(CONCATENATE("'",'Inconsistency Data'!$I$4,"'!Q36")))</f>
        <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
      </c>
      <c r="J37" s="126" t="str">
        <f ca="1">IF(INDIRECT(CONCATENATE("'",'Inconsistency Data'!$I$4,"'!O37"))="","",INDIRECT(CONCATENATE("'",'Inconsistency Data'!$I$4,"'!O37")))</f>
        <v/>
      </c>
      <c r="K37" s="127" t="str">
        <f ca="1">IF(INDIRECT(CONCATENATE("'",'Inconsistency Data'!$I$4,"'!Q37"))="","",INDIRECT(CONCATENATE("'",'Inconsistency Data'!$I$4,"'!Q37")))</f>
        <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
      </c>
      <c r="J38" s="126" t="str">
        <f ca="1">IF(INDIRECT(CONCATENATE("'",'Inconsistency Data'!$I$4,"'!O38"))="","",INDIRECT(CONCATENATE("'",'Inconsistency Data'!$I$4,"'!O38")))</f>
        <v/>
      </c>
      <c r="K38" s="127" t="str">
        <f ca="1">IF(INDIRECT(CONCATENATE("'",'Inconsistency Data'!$I$4,"'!Q38"))="","",INDIRECT(CONCATENATE("'",'Inconsistency Data'!$I$4,"'!Q38")))</f>
        <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
      </c>
      <c r="J39" s="126" t="str">
        <f ca="1">IF(INDIRECT(CONCATENATE("'",'Inconsistency Data'!$I$4,"'!O39"))="","",INDIRECT(CONCATENATE("'",'Inconsistency Data'!$I$4,"'!O39")))</f>
        <v/>
      </c>
      <c r="K39" s="127" t="str">
        <f ca="1">IF(INDIRECT(CONCATENATE("'",'Inconsistency Data'!$I$4,"'!Q39"))="","",INDIRECT(CONCATENATE("'",'Inconsistency Data'!$I$4,"'!Q39")))</f>
        <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
      </c>
      <c r="J40" s="126" t="str">
        <f ca="1">IF(INDIRECT(CONCATENATE("'",'Inconsistency Data'!$I$4,"'!O40"))="","",INDIRECT(CONCATENATE("'",'Inconsistency Data'!$I$4,"'!O40")))</f>
        <v/>
      </c>
      <c r="K40" s="127" t="str">
        <f ca="1">IF(INDIRECT(CONCATENATE("'",'Inconsistency Data'!$I$4,"'!Q40"))="","",INDIRECT(CONCATENATE("'",'Inconsistency Data'!$I$4,"'!Q40")))</f>
        <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
      </c>
      <c r="J41" s="126" t="str">
        <f ca="1">IF(INDIRECT(CONCATENATE("'",'Inconsistency Data'!$I$4,"'!O41"))="","",INDIRECT(CONCATENATE("'",'Inconsistency Data'!$I$4,"'!O41")))</f>
        <v/>
      </c>
      <c r="K41" s="127" t="str">
        <f ca="1">IF(INDIRECT(CONCATENATE("'",'Inconsistency Data'!$I$4,"'!Q41"))="","",INDIRECT(CONCATENATE("'",'Inconsistency Data'!$I$4,"'!Q41")))</f>
        <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
      </c>
      <c r="J42" s="126" t="str">
        <f ca="1">IF(INDIRECT(CONCATENATE("'",'Inconsistency Data'!$I$4,"'!O42"))="","",INDIRECT(CONCATENATE("'",'Inconsistency Data'!$I$4,"'!O42")))</f>
        <v/>
      </c>
      <c r="K42" s="127" t="str">
        <f ca="1">IF(INDIRECT(CONCATENATE("'",'Inconsistency Data'!$I$4,"'!Q42"))="","",INDIRECT(CONCATENATE("'",'Inconsistency Data'!$I$4,"'!Q42")))</f>
        <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
      </c>
      <c r="J43" s="126" t="str">
        <f ca="1">IF(INDIRECT(CONCATENATE("'",'Inconsistency Data'!$I$4,"'!O43"))="","",INDIRECT(CONCATENATE("'",'Inconsistency Data'!$I$4,"'!O43")))</f>
        <v/>
      </c>
      <c r="K43" s="127" t="str">
        <f ca="1">IF(INDIRECT(CONCATENATE("'",'Inconsistency Data'!$I$4,"'!Q43"))="","",INDIRECT(CONCATENATE("'",'Inconsistency Data'!$I$4,"'!Q43")))</f>
        <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
      </c>
      <c r="J44" s="126" t="str">
        <f ca="1">IF(INDIRECT(CONCATENATE("'",'Inconsistency Data'!$I$4,"'!O44"))="","",INDIRECT(CONCATENATE("'",'Inconsistency Data'!$I$4,"'!O44")))</f>
        <v/>
      </c>
      <c r="K44" s="127" t="str">
        <f ca="1">IF(INDIRECT(CONCATENATE("'",'Inconsistency Data'!$I$4,"'!Q44"))="","",INDIRECT(CONCATENATE("'",'Inconsistency Data'!$I$4,"'!Q44")))</f>
        <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
      </c>
      <c r="J45" s="126" t="str">
        <f ca="1">IF(INDIRECT(CONCATENATE("'",'Inconsistency Data'!$I$4,"'!O45"))="","",INDIRECT(CONCATENATE("'",'Inconsistency Data'!$I$4,"'!O45")))</f>
        <v/>
      </c>
      <c r="K45" s="127" t="str">
        <f ca="1">IF(INDIRECT(CONCATENATE("'",'Inconsistency Data'!$I$4,"'!Q45"))="","",INDIRECT(CONCATENATE("'",'Inconsistency Data'!$I$4,"'!Q45")))</f>
        <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
      </c>
      <c r="J46" s="126" t="str">
        <f ca="1">IF(INDIRECT(CONCATENATE("'",'Inconsistency Data'!$I$4,"'!O46"))="","",INDIRECT(CONCATENATE("'",'Inconsistency Data'!$I$4,"'!O46")))</f>
        <v/>
      </c>
      <c r="K46" s="127" t="str">
        <f ca="1">IF(INDIRECT(CONCATENATE("'",'Inconsistency Data'!$I$4,"'!Q46"))="","",INDIRECT(CONCATENATE("'",'Inconsistency Data'!$I$4,"'!Q46")))</f>
        <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
      </c>
      <c r="J47" s="126" t="str">
        <f ca="1">IF(INDIRECT(CONCATENATE("'",'Inconsistency Data'!$I$4,"'!O47"))="","",INDIRECT(CONCATENATE("'",'Inconsistency Data'!$I$4,"'!O47")))</f>
        <v/>
      </c>
      <c r="K47" s="127" t="str">
        <f ca="1">IF(INDIRECT(CONCATENATE("'",'Inconsistency Data'!$I$4,"'!Q47"))="","",INDIRECT(CONCATENATE("'",'Inconsistency Data'!$I$4,"'!Q47")))</f>
        <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
      </c>
      <c r="J48" s="126" t="str">
        <f ca="1">IF(INDIRECT(CONCATENATE("'",'Inconsistency Data'!$I$4,"'!O48"))="","",INDIRECT(CONCATENATE("'",'Inconsistency Data'!$I$4,"'!O48")))</f>
        <v/>
      </c>
      <c r="K48" s="127" t="str">
        <f ca="1">IF(INDIRECT(CONCATENATE("'",'Inconsistency Data'!$I$4,"'!Q48"))="","",INDIRECT(CONCATENATE("'",'Inconsistency Data'!$I$4,"'!Q48")))</f>
        <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
      </c>
      <c r="J49" s="126" t="str">
        <f ca="1">IF(INDIRECT(CONCATENATE("'",'Inconsistency Data'!$I$4,"'!O49"))="","",INDIRECT(CONCATENATE("'",'Inconsistency Data'!$I$4,"'!O49")))</f>
        <v/>
      </c>
      <c r="K49" s="127" t="str">
        <f ca="1">IF(INDIRECT(CONCATENATE("'",'Inconsistency Data'!$I$4,"'!Q49"))="","",INDIRECT(CONCATENATE("'",'Inconsistency Data'!$I$4,"'!Q49")))</f>
        <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348"/>
  <sheetViews>
    <sheetView showGridLines="0" topLeftCell="A79"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E33:H94"/>
  <sheetViews>
    <sheetView showGridLines="0" topLeftCell="A79" workbookViewId="0">
      <selection activeCell="J91" sqref="J91"/>
    </sheetView>
  </sheetViews>
  <sheetFormatPr defaultRowHeight="15" x14ac:dyDescent="0.25"/>
  <sheetData>
    <row r="33" spans="6:8" x14ac:dyDescent="0.25">
      <c r="F33" s="12"/>
      <c r="H33" s="12"/>
    </row>
    <row r="49" spans="5:6" x14ac:dyDescent="0.25">
      <c r="E49" s="13"/>
    </row>
    <row r="54" spans="5:6" x14ac:dyDescent="0.25">
      <c r="F54" s="13"/>
    </row>
    <row r="58" spans="5:6" x14ac:dyDescent="0.25">
      <c r="F58" s="13"/>
    </row>
    <row r="59" spans="5:6" x14ac:dyDescent="0.25">
      <c r="F59" s="13"/>
    </row>
    <row r="60" spans="5:6" x14ac:dyDescent="0.25">
      <c r="F60" s="13"/>
    </row>
    <row r="63" spans="5:6" x14ac:dyDescent="0.25">
      <c r="F63" s="13"/>
    </row>
    <row r="66" spans="5:6" x14ac:dyDescent="0.25">
      <c r="F66" s="13"/>
    </row>
    <row r="67" spans="5:6" x14ac:dyDescent="0.25">
      <c r="F67" s="13"/>
    </row>
    <row r="69" spans="5:6" x14ac:dyDescent="0.25">
      <c r="F69" s="13"/>
    </row>
    <row r="70" spans="5:6" x14ac:dyDescent="0.25">
      <c r="F70" s="13"/>
    </row>
    <row r="71" spans="5:6" x14ac:dyDescent="0.25">
      <c r="F71" s="13"/>
    </row>
    <row r="72" spans="5:6" x14ac:dyDescent="0.25">
      <c r="F72" s="13"/>
    </row>
    <row r="73" spans="5:6" x14ac:dyDescent="0.25">
      <c r="F73" s="13"/>
    </row>
    <row r="74" spans="5:6" x14ac:dyDescent="0.25">
      <c r="F74" s="13"/>
    </row>
    <row r="75" spans="5:6" x14ac:dyDescent="0.25">
      <c r="F75" s="13"/>
    </row>
    <row r="76" spans="5:6" x14ac:dyDescent="0.25">
      <c r="F76" s="13"/>
    </row>
    <row r="77" spans="5:6" x14ac:dyDescent="0.25">
      <c r="F77" s="13"/>
    </row>
    <row r="78" spans="5:6" x14ac:dyDescent="0.25">
      <c r="F78" s="13"/>
    </row>
    <row r="79" spans="5:6" x14ac:dyDescent="0.25">
      <c r="F79" s="13"/>
    </row>
    <row r="80" spans="5:6" x14ac:dyDescent="0.25">
      <c r="E80" s="13"/>
    </row>
    <row r="94" spans="5:5" x14ac:dyDescent="0.25">
      <c r="E94" s="13"/>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301"/>
  <sheetViews>
    <sheetView showGridLines="0" topLeftCell="A31" workbookViewId="0">
      <selection activeCell="F34" sqref="F34:H78"/>
    </sheetView>
  </sheetViews>
  <sheetFormatPr defaultRowHeight="15" x14ac:dyDescent="0.25"/>
  <sheetData>
    <row r="1" spans="1:1" hidden="1" x14ac:dyDescent="0.25">
      <c r="A1" t="s">
        <v>393</v>
      </c>
    </row>
    <row r="2" spans="1:1" hidden="1" x14ac:dyDescent="0.25">
      <c r="A2" t="s">
        <v>742</v>
      </c>
    </row>
    <row r="3" spans="1:1" hidden="1" x14ac:dyDescent="0.25">
      <c r="A3" t="s">
        <v>398</v>
      </c>
    </row>
    <row r="4" spans="1:1" hidden="1" x14ac:dyDescent="0.25">
      <c r="A4" t="s">
        <v>399</v>
      </c>
    </row>
    <row r="5" spans="1:1" hidden="1" x14ac:dyDescent="0.25">
      <c r="A5" t="s">
        <v>400</v>
      </c>
    </row>
    <row r="6" spans="1:1" hidden="1" x14ac:dyDescent="0.25">
      <c r="A6" t="s">
        <v>401</v>
      </c>
    </row>
    <row r="7" spans="1:1" hidden="1" x14ac:dyDescent="0.25">
      <c r="A7" t="s">
        <v>400</v>
      </c>
    </row>
    <row r="8" spans="1:1" hidden="1" x14ac:dyDescent="0.25">
      <c r="A8" t="s">
        <v>21</v>
      </c>
    </row>
    <row r="9" spans="1:1" hidden="1" x14ac:dyDescent="0.25">
      <c r="A9" t="s">
        <v>402</v>
      </c>
    </row>
    <row r="10" spans="1:1" hidden="1" x14ac:dyDescent="0.25">
      <c r="A10" t="s">
        <v>743</v>
      </c>
    </row>
    <row r="11" spans="1:1" hidden="1" x14ac:dyDescent="0.25">
      <c r="A11" t="s">
        <v>744</v>
      </c>
    </row>
    <row r="12" spans="1:1" hidden="1" x14ac:dyDescent="0.25">
      <c r="A12" t="s">
        <v>745</v>
      </c>
    </row>
    <row r="13" spans="1:1" hidden="1" x14ac:dyDescent="0.25">
      <c r="A13" t="s">
        <v>744</v>
      </c>
    </row>
    <row r="14" spans="1:1" hidden="1" x14ac:dyDescent="0.25">
      <c r="A14" t="s">
        <v>746</v>
      </c>
    </row>
    <row r="15" spans="1:1" hidden="1" x14ac:dyDescent="0.25">
      <c r="A15" t="s">
        <v>744</v>
      </c>
    </row>
    <row r="16" spans="1:1" hidden="1" x14ac:dyDescent="0.25">
      <c r="A16" t="s">
        <v>23</v>
      </c>
    </row>
    <row r="17" spans="1:1" hidden="1" x14ac:dyDescent="0.25">
      <c r="A17" t="s">
        <v>747</v>
      </c>
    </row>
    <row r="18" spans="1:1" hidden="1" x14ac:dyDescent="0.25">
      <c r="A18" t="s">
        <v>396</v>
      </c>
    </row>
    <row r="19" spans="1:1" hidden="1" x14ac:dyDescent="0.25">
      <c r="A19" t="s">
        <v>403</v>
      </c>
    </row>
    <row r="20" spans="1:1" hidden="1" x14ac:dyDescent="0.25">
      <c r="A20" t="s">
        <v>404</v>
      </c>
    </row>
    <row r="21" spans="1:1" hidden="1" x14ac:dyDescent="0.25">
      <c r="A21" t="s">
        <v>405</v>
      </c>
    </row>
    <row r="22" spans="1:1" hidden="1" x14ac:dyDescent="0.25">
      <c r="A22" t="s">
        <v>406</v>
      </c>
    </row>
    <row r="23" spans="1:1" hidden="1" x14ac:dyDescent="0.25">
      <c r="A23" t="s">
        <v>407</v>
      </c>
    </row>
    <row r="24" spans="1:1" hidden="1" x14ac:dyDescent="0.25">
      <c r="A24" t="s">
        <v>408</v>
      </c>
    </row>
    <row r="25" spans="1:1" hidden="1" x14ac:dyDescent="0.25">
      <c r="A25" t="s">
        <v>409</v>
      </c>
    </row>
    <row r="26" spans="1:1" hidden="1" x14ac:dyDescent="0.25">
      <c r="A26" t="s">
        <v>197</v>
      </c>
    </row>
    <row r="27" spans="1:1" hidden="1" x14ac:dyDescent="0.25">
      <c r="A27" t="s">
        <v>199</v>
      </c>
    </row>
    <row r="28" spans="1:1" hidden="1" x14ac:dyDescent="0.25">
      <c r="A28" t="s">
        <v>261</v>
      </c>
    </row>
    <row r="29" spans="1:1" hidden="1" x14ac:dyDescent="0.25">
      <c r="A29" t="s">
        <v>396</v>
      </c>
    </row>
    <row r="30" spans="1:1" hidden="1" x14ac:dyDescent="0.25">
      <c r="A30" t="s">
        <v>397</v>
      </c>
    </row>
    <row r="32" spans="1:1" x14ac:dyDescent="0.25">
      <c r="A32" t="s">
        <v>410</v>
      </c>
    </row>
    <row r="33" spans="2:10" x14ac:dyDescent="0.25">
      <c r="B33" t="s">
        <v>411</v>
      </c>
      <c r="C33" t="s">
        <v>412</v>
      </c>
      <c r="D33" t="s">
        <v>413</v>
      </c>
      <c r="E33" t="s">
        <v>414</v>
      </c>
      <c r="F33" s="12">
        <v>2.5000000000000001E-2</v>
      </c>
      <c r="G33" t="s">
        <v>415</v>
      </c>
      <c r="H33" s="12">
        <v>0.97499999999999998</v>
      </c>
      <c r="I33" t="s">
        <v>416</v>
      </c>
      <c r="J33" t="s">
        <v>417</v>
      </c>
    </row>
    <row r="34" spans="2:10" x14ac:dyDescent="0.25">
      <c r="B34" t="s">
        <v>418</v>
      </c>
      <c r="C34">
        <v>0.94010000000000005</v>
      </c>
      <c r="D34">
        <v>0.29780000000000001</v>
      </c>
      <c r="E34">
        <v>7.1329999999999996E-3</v>
      </c>
      <c r="F34">
        <v>0.4909</v>
      </c>
      <c r="G34">
        <v>0.89339999999999997</v>
      </c>
      <c r="H34">
        <v>1.6479999999999999</v>
      </c>
      <c r="I34">
        <v>40001</v>
      </c>
      <c r="J34">
        <v>120000</v>
      </c>
    </row>
    <row r="35" spans="2:10" x14ac:dyDescent="0.25">
      <c r="B35" t="s">
        <v>419</v>
      </c>
      <c r="C35">
        <v>0.97399999999999998</v>
      </c>
      <c r="D35">
        <v>0.29530000000000001</v>
      </c>
      <c r="E35">
        <v>7.11E-3</v>
      </c>
      <c r="F35">
        <v>0.51319999999999999</v>
      </c>
      <c r="G35">
        <v>0.93330000000000002</v>
      </c>
      <c r="H35">
        <v>1.6619999999999999</v>
      </c>
      <c r="I35">
        <v>40001</v>
      </c>
      <c r="J35">
        <v>120000</v>
      </c>
    </row>
    <row r="36" spans="2:10" x14ac:dyDescent="0.25">
      <c r="B36" t="s">
        <v>420</v>
      </c>
      <c r="C36">
        <v>1.1040000000000001</v>
      </c>
      <c r="D36">
        <v>0.4607</v>
      </c>
      <c r="E36">
        <v>9.5329999999999998E-3</v>
      </c>
      <c r="F36">
        <v>0.46029999999999999</v>
      </c>
      <c r="G36">
        <v>1.0169999999999999</v>
      </c>
      <c r="H36">
        <v>2.23</v>
      </c>
      <c r="I36">
        <v>40001</v>
      </c>
      <c r="J36">
        <v>120000</v>
      </c>
    </row>
    <row r="37" spans="2:10" x14ac:dyDescent="0.25">
      <c r="B37" t="s">
        <v>421</v>
      </c>
      <c r="C37">
        <v>0.72519999999999996</v>
      </c>
      <c r="D37">
        <v>0.69840000000000002</v>
      </c>
      <c r="E37">
        <v>1.537E-2</v>
      </c>
      <c r="F37">
        <v>0.1066</v>
      </c>
      <c r="G37">
        <v>0.53200000000000003</v>
      </c>
      <c r="H37">
        <v>2.4990000000000001</v>
      </c>
      <c r="I37">
        <v>40001</v>
      </c>
      <c r="J37">
        <v>120000</v>
      </c>
    </row>
    <row r="38" spans="2:10" x14ac:dyDescent="0.25">
      <c r="B38" t="s">
        <v>422</v>
      </c>
      <c r="C38">
        <v>0.82609999999999995</v>
      </c>
      <c r="D38">
        <v>0.57609999999999995</v>
      </c>
      <c r="E38">
        <v>1.0800000000000001E-2</v>
      </c>
      <c r="F38">
        <v>0.18970000000000001</v>
      </c>
      <c r="G38">
        <v>0.68389999999999995</v>
      </c>
      <c r="H38">
        <v>2.34</v>
      </c>
      <c r="I38">
        <v>40001</v>
      </c>
      <c r="J38">
        <v>120000</v>
      </c>
    </row>
    <row r="39" spans="2:10" x14ac:dyDescent="0.25">
      <c r="B39" t="s">
        <v>423</v>
      </c>
      <c r="C39">
        <v>0.8014</v>
      </c>
      <c r="D39">
        <v>0.69350000000000001</v>
      </c>
      <c r="E39">
        <v>1.418E-2</v>
      </c>
      <c r="F39">
        <v>0.14269999999999999</v>
      </c>
      <c r="G39">
        <v>0.61699999999999999</v>
      </c>
      <c r="H39">
        <v>2.5289999999999999</v>
      </c>
      <c r="I39">
        <v>40001</v>
      </c>
      <c r="J39">
        <v>120000</v>
      </c>
    </row>
    <row r="40" spans="2:10" x14ac:dyDescent="0.25">
      <c r="B40" t="s">
        <v>424</v>
      </c>
      <c r="C40">
        <v>414.5</v>
      </c>
      <c r="D40">
        <v>5058</v>
      </c>
      <c r="E40">
        <v>147.69999999999999</v>
      </c>
      <c r="F40">
        <v>4.8120000000000003E-3</v>
      </c>
      <c r="G40">
        <v>1.2010000000000001</v>
      </c>
      <c r="H40">
        <v>1294</v>
      </c>
      <c r="I40">
        <v>40001</v>
      </c>
      <c r="J40">
        <v>120000</v>
      </c>
    </row>
    <row r="41" spans="2:10" x14ac:dyDescent="0.25">
      <c r="B41" t="s">
        <v>425</v>
      </c>
      <c r="C41">
        <v>1.47</v>
      </c>
      <c r="D41">
        <v>0.53469999999999995</v>
      </c>
      <c r="E41">
        <v>1.0919999999999999E-2</v>
      </c>
      <c r="F41">
        <v>0.70730000000000004</v>
      </c>
      <c r="G41">
        <v>1.38</v>
      </c>
      <c r="H41">
        <v>2.7719999999999998</v>
      </c>
      <c r="I41">
        <v>40001</v>
      </c>
      <c r="J41">
        <v>120000</v>
      </c>
    </row>
    <row r="42" spans="2:10" x14ac:dyDescent="0.25">
      <c r="B42" t="s">
        <v>426</v>
      </c>
      <c r="C42">
        <v>1.0529999999999999</v>
      </c>
      <c r="D42">
        <v>0.33750000000000002</v>
      </c>
      <c r="E42">
        <v>7.2820000000000003E-3</v>
      </c>
      <c r="F42">
        <v>0.54139999999999999</v>
      </c>
      <c r="G42">
        <v>1.002</v>
      </c>
      <c r="H42">
        <v>1.851</v>
      </c>
      <c r="I42">
        <v>40001</v>
      </c>
      <c r="J42">
        <v>120000</v>
      </c>
    </row>
    <row r="43" spans="2:10" x14ac:dyDescent="0.25">
      <c r="B43" t="s">
        <v>427</v>
      </c>
      <c r="C43">
        <v>1.077</v>
      </c>
      <c r="D43">
        <v>0.29360000000000003</v>
      </c>
      <c r="E43">
        <v>5.7980000000000002E-3</v>
      </c>
      <c r="F43">
        <v>0.61860000000000004</v>
      </c>
      <c r="G43">
        <v>1.036</v>
      </c>
      <c r="H43">
        <v>1.7649999999999999</v>
      </c>
      <c r="I43">
        <v>40001</v>
      </c>
      <c r="J43">
        <v>120000</v>
      </c>
    </row>
    <row r="44" spans="2:10" x14ac:dyDescent="0.25">
      <c r="B44" t="s">
        <v>428</v>
      </c>
      <c r="C44">
        <v>1.2410000000000001</v>
      </c>
      <c r="D44">
        <v>0.5464</v>
      </c>
      <c r="E44">
        <v>1.065E-2</v>
      </c>
      <c r="F44">
        <v>0.49909999999999999</v>
      </c>
      <c r="G44">
        <v>1.137</v>
      </c>
      <c r="H44">
        <v>2.589</v>
      </c>
      <c r="I44">
        <v>40001</v>
      </c>
      <c r="J44">
        <v>120000</v>
      </c>
    </row>
    <row r="45" spans="2:10" x14ac:dyDescent="0.25">
      <c r="B45" t="s">
        <v>429</v>
      </c>
      <c r="C45">
        <v>0.76749999999999996</v>
      </c>
      <c r="D45">
        <v>0.64680000000000004</v>
      </c>
      <c r="E45">
        <v>1.3509999999999999E-2</v>
      </c>
      <c r="F45">
        <v>0.13500000000000001</v>
      </c>
      <c r="G45">
        <v>0.58960000000000001</v>
      </c>
      <c r="H45">
        <v>2.4540000000000002</v>
      </c>
      <c r="I45">
        <v>40001</v>
      </c>
      <c r="J45">
        <v>120000</v>
      </c>
    </row>
    <row r="46" spans="2:10" x14ac:dyDescent="0.25">
      <c r="B46" t="s">
        <v>430</v>
      </c>
      <c r="C46">
        <v>0.91820000000000002</v>
      </c>
      <c r="D46">
        <v>0.62970000000000004</v>
      </c>
      <c r="E46">
        <v>1.0919999999999999E-2</v>
      </c>
      <c r="F46">
        <v>0.21229999999999999</v>
      </c>
      <c r="G46">
        <v>0.75570000000000004</v>
      </c>
      <c r="H46">
        <v>2.5670000000000002</v>
      </c>
      <c r="I46">
        <v>40001</v>
      </c>
      <c r="J46">
        <v>120000</v>
      </c>
    </row>
    <row r="47" spans="2:10" x14ac:dyDescent="0.25">
      <c r="B47" t="s">
        <v>431</v>
      </c>
      <c r="C47">
        <v>0.84809999999999997</v>
      </c>
      <c r="D47">
        <v>0.61619999999999997</v>
      </c>
      <c r="E47">
        <v>1.174E-2</v>
      </c>
      <c r="F47">
        <v>0.18290000000000001</v>
      </c>
      <c r="G47">
        <v>0.69479999999999997</v>
      </c>
      <c r="H47">
        <v>2.3849999999999998</v>
      </c>
      <c r="I47">
        <v>40001</v>
      </c>
      <c r="J47">
        <v>120000</v>
      </c>
    </row>
    <row r="48" spans="2:10" x14ac:dyDescent="0.25">
      <c r="B48" t="s">
        <v>432</v>
      </c>
      <c r="C48">
        <v>482.4</v>
      </c>
      <c r="D48">
        <v>6022</v>
      </c>
      <c r="E48">
        <v>171.2</v>
      </c>
      <c r="F48">
        <v>5.2180000000000004E-3</v>
      </c>
      <c r="G48">
        <v>1.34</v>
      </c>
      <c r="H48">
        <v>1413</v>
      </c>
      <c r="I48">
        <v>40001</v>
      </c>
      <c r="J48">
        <v>120000</v>
      </c>
    </row>
    <row r="49" spans="2:10" x14ac:dyDescent="0.25">
      <c r="B49" t="s">
        <v>433</v>
      </c>
      <c r="C49">
        <v>1.6930000000000001</v>
      </c>
      <c r="D49">
        <v>0.77210000000000001</v>
      </c>
      <c r="E49">
        <v>1.6899999999999998E-2</v>
      </c>
      <c r="F49">
        <v>0.66320000000000001</v>
      </c>
      <c r="G49">
        <v>1.54</v>
      </c>
      <c r="H49">
        <v>3.64</v>
      </c>
      <c r="I49">
        <v>40001</v>
      </c>
      <c r="J49">
        <v>120000</v>
      </c>
    </row>
    <row r="50" spans="2:10" x14ac:dyDescent="0.25">
      <c r="B50" t="s">
        <v>434</v>
      </c>
      <c r="C50">
        <v>1.163</v>
      </c>
      <c r="D50">
        <v>0.32990000000000003</v>
      </c>
      <c r="E50">
        <v>5.6049999999999997E-3</v>
      </c>
      <c r="F50">
        <v>0.65210000000000001</v>
      </c>
      <c r="G50">
        <v>1.121</v>
      </c>
      <c r="H50">
        <v>1.94</v>
      </c>
      <c r="I50">
        <v>40001</v>
      </c>
      <c r="J50">
        <v>120000</v>
      </c>
    </row>
    <row r="51" spans="2:10" x14ac:dyDescent="0.25">
      <c r="B51" t="s">
        <v>435</v>
      </c>
      <c r="C51">
        <v>1.1659999999999999</v>
      </c>
      <c r="D51">
        <v>0.4345</v>
      </c>
      <c r="E51">
        <v>8.4700000000000001E-3</v>
      </c>
      <c r="F51">
        <v>0.53890000000000005</v>
      </c>
      <c r="G51">
        <v>1.093</v>
      </c>
      <c r="H51">
        <v>2.2160000000000002</v>
      </c>
      <c r="I51">
        <v>40001</v>
      </c>
      <c r="J51">
        <v>120000</v>
      </c>
    </row>
    <row r="52" spans="2:10" x14ac:dyDescent="0.25">
      <c r="B52" t="s">
        <v>436</v>
      </c>
      <c r="C52">
        <v>0.76490000000000002</v>
      </c>
      <c r="D52">
        <v>0.70899999999999996</v>
      </c>
      <c r="E52">
        <v>1.503E-2</v>
      </c>
      <c r="F52">
        <v>0.11940000000000001</v>
      </c>
      <c r="G52">
        <v>0.5675</v>
      </c>
      <c r="H52">
        <v>2.637</v>
      </c>
      <c r="I52">
        <v>40001</v>
      </c>
      <c r="J52">
        <v>120000</v>
      </c>
    </row>
    <row r="53" spans="2:10" x14ac:dyDescent="0.25">
      <c r="B53" t="s">
        <v>437</v>
      </c>
      <c r="C53">
        <v>0.85240000000000005</v>
      </c>
      <c r="D53">
        <v>0.52110000000000001</v>
      </c>
      <c r="E53">
        <v>8.9029999999999995E-3</v>
      </c>
      <c r="F53">
        <v>0.23089999999999999</v>
      </c>
      <c r="G53">
        <v>0.72729999999999995</v>
      </c>
      <c r="H53">
        <v>2.1819999999999999</v>
      </c>
      <c r="I53">
        <v>40001</v>
      </c>
      <c r="J53">
        <v>120000</v>
      </c>
    </row>
    <row r="54" spans="2:10" x14ac:dyDescent="0.25">
      <c r="B54" t="s">
        <v>438</v>
      </c>
      <c r="C54">
        <v>0.84770000000000001</v>
      </c>
      <c r="D54">
        <v>0.67</v>
      </c>
      <c r="E54">
        <v>1.2760000000000001E-2</v>
      </c>
      <c r="F54">
        <v>0.15679999999999999</v>
      </c>
      <c r="G54">
        <v>0.66639999999999999</v>
      </c>
      <c r="H54">
        <v>2.5779999999999998</v>
      </c>
      <c r="I54">
        <v>40001</v>
      </c>
      <c r="J54">
        <v>120000</v>
      </c>
    </row>
    <row r="55" spans="2:10" x14ac:dyDescent="0.25">
      <c r="B55" t="s">
        <v>439</v>
      </c>
      <c r="C55">
        <v>422.3</v>
      </c>
      <c r="D55">
        <v>4630</v>
      </c>
      <c r="E55">
        <v>141.9</v>
      </c>
      <c r="F55">
        <v>5.012E-3</v>
      </c>
      <c r="G55">
        <v>1.2809999999999999</v>
      </c>
      <c r="H55">
        <v>1343</v>
      </c>
      <c r="I55">
        <v>40001</v>
      </c>
      <c r="J55">
        <v>120000</v>
      </c>
    </row>
    <row r="56" spans="2:10" x14ac:dyDescent="0.25">
      <c r="B56" t="s">
        <v>440</v>
      </c>
      <c r="C56">
        <v>1.61</v>
      </c>
      <c r="D56">
        <v>0.68679999999999997</v>
      </c>
      <c r="E56">
        <v>1.519E-2</v>
      </c>
      <c r="F56">
        <v>0.68100000000000005</v>
      </c>
      <c r="G56">
        <v>1.47</v>
      </c>
      <c r="H56">
        <v>3.3610000000000002</v>
      </c>
      <c r="I56">
        <v>40001</v>
      </c>
      <c r="J56">
        <v>120000</v>
      </c>
    </row>
    <row r="57" spans="2:10" x14ac:dyDescent="0.25">
      <c r="B57" t="s">
        <v>441</v>
      </c>
      <c r="C57">
        <v>1.1140000000000001</v>
      </c>
      <c r="D57">
        <v>0.29699999999999999</v>
      </c>
      <c r="E57">
        <v>5.5189999999999996E-3</v>
      </c>
      <c r="F57">
        <v>0.64139999999999997</v>
      </c>
      <c r="G57">
        <v>1.0760000000000001</v>
      </c>
      <c r="H57">
        <v>1.794</v>
      </c>
      <c r="I57">
        <v>40001</v>
      </c>
      <c r="J57">
        <v>120000</v>
      </c>
    </row>
    <row r="58" spans="2:10" x14ac:dyDescent="0.25">
      <c r="B58" t="s">
        <v>442</v>
      </c>
      <c r="C58">
        <v>0.73770000000000002</v>
      </c>
      <c r="D58">
        <v>0.78049999999999997</v>
      </c>
      <c r="E58">
        <v>1.5699999999999999E-2</v>
      </c>
      <c r="F58">
        <v>9.8369999999999999E-2</v>
      </c>
      <c r="G58">
        <v>0.51629999999999998</v>
      </c>
      <c r="H58">
        <v>2.6890000000000001</v>
      </c>
      <c r="I58">
        <v>40001</v>
      </c>
      <c r="J58">
        <v>120000</v>
      </c>
    </row>
    <row r="59" spans="2:10" x14ac:dyDescent="0.25">
      <c r="B59" t="s">
        <v>443</v>
      </c>
      <c r="C59">
        <v>0.83320000000000005</v>
      </c>
      <c r="D59">
        <v>0.62429999999999997</v>
      </c>
      <c r="E59">
        <v>1.098E-2</v>
      </c>
      <c r="F59">
        <v>0.1699</v>
      </c>
      <c r="G59">
        <v>0.66769999999999996</v>
      </c>
      <c r="H59">
        <v>2.4820000000000002</v>
      </c>
      <c r="I59">
        <v>40001</v>
      </c>
      <c r="J59">
        <v>120000</v>
      </c>
    </row>
    <row r="60" spans="2:10" x14ac:dyDescent="0.25">
      <c r="B60" t="s">
        <v>444</v>
      </c>
      <c r="C60">
        <v>0.8216</v>
      </c>
      <c r="D60">
        <v>0.74919999999999998</v>
      </c>
      <c r="E60">
        <v>1.4120000000000001E-2</v>
      </c>
      <c r="F60">
        <v>0.1225</v>
      </c>
      <c r="G60">
        <v>0.61399999999999999</v>
      </c>
      <c r="H60">
        <v>2.81</v>
      </c>
      <c r="I60">
        <v>40001</v>
      </c>
      <c r="J60">
        <v>120000</v>
      </c>
    </row>
    <row r="61" spans="2:10" x14ac:dyDescent="0.25">
      <c r="B61" t="s">
        <v>445</v>
      </c>
      <c r="C61">
        <v>398.4</v>
      </c>
      <c r="D61">
        <v>4837</v>
      </c>
      <c r="E61">
        <v>136.19999999999999</v>
      </c>
      <c r="F61">
        <v>4.509E-3</v>
      </c>
      <c r="G61">
        <v>1.1739999999999999</v>
      </c>
      <c r="H61">
        <v>1299</v>
      </c>
      <c r="I61">
        <v>40001</v>
      </c>
      <c r="J61">
        <v>120000</v>
      </c>
    </row>
    <row r="62" spans="2:10" x14ac:dyDescent="0.25">
      <c r="B62" t="s">
        <v>446</v>
      </c>
      <c r="C62">
        <v>1.54</v>
      </c>
      <c r="D62">
        <v>0.82279999999999998</v>
      </c>
      <c r="E62">
        <v>1.661E-2</v>
      </c>
      <c r="F62">
        <v>0.51170000000000004</v>
      </c>
      <c r="G62">
        <v>1.3520000000000001</v>
      </c>
      <c r="H62">
        <v>3.6440000000000001</v>
      </c>
      <c r="I62">
        <v>40001</v>
      </c>
      <c r="J62">
        <v>120000</v>
      </c>
    </row>
    <row r="63" spans="2:10" x14ac:dyDescent="0.25">
      <c r="B63" t="s">
        <v>447</v>
      </c>
      <c r="C63">
        <v>1.0780000000000001</v>
      </c>
      <c r="D63">
        <v>0.48270000000000002</v>
      </c>
      <c r="E63">
        <v>9.0900000000000009E-3</v>
      </c>
      <c r="F63">
        <v>0.4304</v>
      </c>
      <c r="G63">
        <v>0.98250000000000004</v>
      </c>
      <c r="H63">
        <v>2.2719999999999998</v>
      </c>
      <c r="I63">
        <v>40001</v>
      </c>
      <c r="J63">
        <v>120000</v>
      </c>
    </row>
    <row r="64" spans="2:10" x14ac:dyDescent="0.25">
      <c r="B64" t="s">
        <v>448</v>
      </c>
      <c r="C64">
        <v>2.036</v>
      </c>
      <c r="D64">
        <v>2.5579999999999998</v>
      </c>
      <c r="E64">
        <v>4.7570000000000001E-2</v>
      </c>
      <c r="F64">
        <v>0.1933</v>
      </c>
      <c r="G64">
        <v>1.288</v>
      </c>
      <c r="H64">
        <v>8.4760000000000009</v>
      </c>
      <c r="I64">
        <v>40001</v>
      </c>
      <c r="J64">
        <v>120000</v>
      </c>
    </row>
    <row r="65" spans="2:10" x14ac:dyDescent="0.25">
      <c r="B65" t="s">
        <v>449</v>
      </c>
      <c r="C65">
        <v>1.8879999999999999</v>
      </c>
      <c r="D65">
        <v>2.5329999999999999</v>
      </c>
      <c r="E65">
        <v>4.8890000000000003E-2</v>
      </c>
      <c r="F65">
        <v>0.1671</v>
      </c>
      <c r="G65">
        <v>1.1719999999999999</v>
      </c>
      <c r="H65">
        <v>7.9969999999999999</v>
      </c>
      <c r="I65">
        <v>40001</v>
      </c>
      <c r="J65">
        <v>120000</v>
      </c>
    </row>
    <row r="66" spans="2:10" x14ac:dyDescent="0.25">
      <c r="B66" t="s">
        <v>450</v>
      </c>
      <c r="C66">
        <v>909.4</v>
      </c>
      <c r="D66">
        <v>14420</v>
      </c>
      <c r="E66">
        <v>325.60000000000002</v>
      </c>
      <c r="F66">
        <v>8.0289999999999997E-3</v>
      </c>
      <c r="G66">
        <v>2.2919999999999998</v>
      </c>
      <c r="H66">
        <v>2484</v>
      </c>
      <c r="I66">
        <v>40001</v>
      </c>
      <c r="J66">
        <v>120000</v>
      </c>
    </row>
    <row r="67" spans="2:10" x14ac:dyDescent="0.25">
      <c r="B67" t="s">
        <v>451</v>
      </c>
      <c r="C67">
        <v>3.79</v>
      </c>
      <c r="D67">
        <v>4.1459999999999999</v>
      </c>
      <c r="E67">
        <v>8.931E-2</v>
      </c>
      <c r="F67">
        <v>0.49659999999999999</v>
      </c>
      <c r="G67">
        <v>2.6110000000000002</v>
      </c>
      <c r="H67">
        <v>14.24</v>
      </c>
      <c r="I67">
        <v>40001</v>
      </c>
      <c r="J67">
        <v>120000</v>
      </c>
    </row>
    <row r="68" spans="2:10" x14ac:dyDescent="0.25">
      <c r="B68" t="s">
        <v>452</v>
      </c>
      <c r="C68">
        <v>2.605</v>
      </c>
      <c r="D68">
        <v>2.59</v>
      </c>
      <c r="E68">
        <v>5.314E-2</v>
      </c>
      <c r="F68">
        <v>0.40150000000000002</v>
      </c>
      <c r="G68">
        <v>1.895</v>
      </c>
      <c r="H68">
        <v>9.1709999999999994</v>
      </c>
      <c r="I68">
        <v>40001</v>
      </c>
      <c r="J68">
        <v>120000</v>
      </c>
    </row>
    <row r="69" spans="2:10" x14ac:dyDescent="0.25">
      <c r="B69" t="s">
        <v>453</v>
      </c>
      <c r="C69">
        <v>1.3839999999999999</v>
      </c>
      <c r="D69">
        <v>1.571</v>
      </c>
      <c r="E69">
        <v>2.8539999999999999E-2</v>
      </c>
      <c r="F69">
        <v>0.15010000000000001</v>
      </c>
      <c r="G69">
        <v>0.90500000000000003</v>
      </c>
      <c r="H69">
        <v>5.5380000000000003</v>
      </c>
      <c r="I69">
        <v>40001</v>
      </c>
      <c r="J69">
        <v>120000</v>
      </c>
    </row>
    <row r="70" spans="2:10" x14ac:dyDescent="0.25">
      <c r="B70" t="s">
        <v>454</v>
      </c>
      <c r="C70">
        <v>747.6</v>
      </c>
      <c r="D70">
        <v>9242</v>
      </c>
      <c r="E70">
        <v>269.39999999999998</v>
      </c>
      <c r="F70">
        <v>6.7369999999999999E-3</v>
      </c>
      <c r="G70">
        <v>1.7809999999999999</v>
      </c>
      <c r="H70">
        <v>2077</v>
      </c>
      <c r="I70">
        <v>40001</v>
      </c>
      <c r="J70">
        <v>120000</v>
      </c>
    </row>
    <row r="71" spans="2:10" x14ac:dyDescent="0.25">
      <c r="B71" t="s">
        <v>455</v>
      </c>
      <c r="C71">
        <v>2.6080000000000001</v>
      </c>
      <c r="D71">
        <v>2.0859999999999999</v>
      </c>
      <c r="E71">
        <v>3.7949999999999998E-2</v>
      </c>
      <c r="F71">
        <v>0.53939999999999999</v>
      </c>
      <c r="G71">
        <v>2.036</v>
      </c>
      <c r="H71">
        <v>8.0630000000000006</v>
      </c>
      <c r="I71">
        <v>40001</v>
      </c>
      <c r="J71">
        <v>120000</v>
      </c>
    </row>
    <row r="72" spans="2:10" x14ac:dyDescent="0.25">
      <c r="B72" t="s">
        <v>456</v>
      </c>
      <c r="C72">
        <v>1.821</v>
      </c>
      <c r="D72">
        <v>1.3080000000000001</v>
      </c>
      <c r="E72">
        <v>2.299E-2</v>
      </c>
      <c r="F72">
        <v>0.43099999999999999</v>
      </c>
      <c r="G72">
        <v>1.482</v>
      </c>
      <c r="H72">
        <v>5.2240000000000002</v>
      </c>
      <c r="I72">
        <v>40001</v>
      </c>
      <c r="J72">
        <v>120000</v>
      </c>
    </row>
    <row r="73" spans="2:10" x14ac:dyDescent="0.25">
      <c r="B73" t="s">
        <v>457</v>
      </c>
      <c r="C73">
        <v>989.2</v>
      </c>
      <c r="D73">
        <v>15040</v>
      </c>
      <c r="E73">
        <v>371.1</v>
      </c>
      <c r="F73">
        <v>6.8859999999999998E-3</v>
      </c>
      <c r="G73">
        <v>1.986</v>
      </c>
      <c r="H73">
        <v>2354</v>
      </c>
      <c r="I73">
        <v>40001</v>
      </c>
      <c r="J73">
        <v>120000</v>
      </c>
    </row>
    <row r="74" spans="2:10" x14ac:dyDescent="0.25">
      <c r="B74" t="s">
        <v>458</v>
      </c>
      <c r="C74">
        <v>3.085</v>
      </c>
      <c r="D74">
        <v>3.0529999999999999</v>
      </c>
      <c r="E74">
        <v>6.1080000000000002E-2</v>
      </c>
      <c r="F74">
        <v>0.48449999999999999</v>
      </c>
      <c r="G74">
        <v>2.2389999999999999</v>
      </c>
      <c r="H74">
        <v>11.08</v>
      </c>
      <c r="I74">
        <v>40001</v>
      </c>
      <c r="J74">
        <v>120000</v>
      </c>
    </row>
    <row r="75" spans="2:10" x14ac:dyDescent="0.25">
      <c r="B75" t="s">
        <v>459</v>
      </c>
      <c r="C75">
        <v>2.125</v>
      </c>
      <c r="D75">
        <v>1.91</v>
      </c>
      <c r="E75">
        <v>3.619E-2</v>
      </c>
      <c r="F75">
        <v>0.41099999999999998</v>
      </c>
      <c r="G75">
        <v>1.611</v>
      </c>
      <c r="H75">
        <v>6.9450000000000003</v>
      </c>
      <c r="I75">
        <v>40001</v>
      </c>
      <c r="J75">
        <v>120000</v>
      </c>
    </row>
    <row r="76" spans="2:10" x14ac:dyDescent="0.25">
      <c r="B76" t="s">
        <v>460</v>
      </c>
      <c r="C76">
        <v>81.77</v>
      </c>
      <c r="D76">
        <v>1348</v>
      </c>
      <c r="E76">
        <v>32.549999999999997</v>
      </c>
      <c r="F76" s="13">
        <v>9.8459999999999997E-4</v>
      </c>
      <c r="G76">
        <v>1.1479999999999999</v>
      </c>
      <c r="H76">
        <v>288.8</v>
      </c>
      <c r="I76">
        <v>40001</v>
      </c>
      <c r="J76">
        <v>120000</v>
      </c>
    </row>
    <row r="77" spans="2:10" x14ac:dyDescent="0.25">
      <c r="B77" t="s">
        <v>461</v>
      </c>
      <c r="C77">
        <v>56.57</v>
      </c>
      <c r="D77">
        <v>692.5</v>
      </c>
      <c r="E77">
        <v>19.75</v>
      </c>
      <c r="F77" s="13">
        <v>7.6059999999999995E-4</v>
      </c>
      <c r="G77">
        <v>0.84019999999999995</v>
      </c>
      <c r="H77">
        <v>218.1</v>
      </c>
      <c r="I77">
        <v>40001</v>
      </c>
      <c r="J77">
        <v>120000</v>
      </c>
    </row>
    <row r="78" spans="2:10" x14ac:dyDescent="0.25">
      <c r="B78" t="s">
        <v>462</v>
      </c>
      <c r="C78">
        <v>0.79469999999999996</v>
      </c>
      <c r="D78">
        <v>0.35759999999999997</v>
      </c>
      <c r="E78">
        <v>7.234E-3</v>
      </c>
      <c r="F78">
        <v>0.30769999999999997</v>
      </c>
      <c r="G78">
        <v>0.7288</v>
      </c>
      <c r="H78">
        <v>1.698</v>
      </c>
      <c r="I78">
        <v>40001</v>
      </c>
      <c r="J78">
        <v>120000</v>
      </c>
    </row>
    <row r="79" spans="2:10" x14ac:dyDescent="0.25">
      <c r="B79" t="s">
        <v>463</v>
      </c>
      <c r="C79">
        <v>0.42970000000000003</v>
      </c>
      <c r="D79">
        <v>0.22220000000000001</v>
      </c>
      <c r="E79">
        <v>5.4599999999999996E-3</v>
      </c>
      <c r="F79">
        <v>0.1111</v>
      </c>
      <c r="G79">
        <v>0.44440000000000002</v>
      </c>
      <c r="H79">
        <v>0.88890000000000002</v>
      </c>
      <c r="I79">
        <v>40001</v>
      </c>
      <c r="J79">
        <v>120000</v>
      </c>
    </row>
    <row r="80" spans="2:10" x14ac:dyDescent="0.25">
      <c r="B80" t="s">
        <v>464</v>
      </c>
      <c r="C80">
        <v>0.52300000000000002</v>
      </c>
      <c r="D80">
        <v>0.2084</v>
      </c>
      <c r="E80">
        <v>4.1079999999999997E-3</v>
      </c>
      <c r="F80">
        <v>0.1111</v>
      </c>
      <c r="G80">
        <v>0.55559999999999998</v>
      </c>
      <c r="H80">
        <v>0.88890000000000002</v>
      </c>
      <c r="I80">
        <v>40001</v>
      </c>
      <c r="J80">
        <v>120000</v>
      </c>
    </row>
    <row r="81" spans="2:10" x14ac:dyDescent="0.25">
      <c r="B81" t="s">
        <v>465</v>
      </c>
      <c r="C81">
        <v>0.49270000000000003</v>
      </c>
      <c r="D81">
        <v>0.1983</v>
      </c>
      <c r="E81">
        <v>3.9950000000000003E-3</v>
      </c>
      <c r="F81">
        <v>0.1111</v>
      </c>
      <c r="G81">
        <v>0.44440000000000002</v>
      </c>
      <c r="H81">
        <v>0.88890000000000002</v>
      </c>
      <c r="I81">
        <v>40001</v>
      </c>
      <c r="J81">
        <v>120000</v>
      </c>
    </row>
    <row r="82" spans="2:10" x14ac:dyDescent="0.25">
      <c r="B82" t="s">
        <v>466</v>
      </c>
      <c r="C82">
        <v>0.41660000000000003</v>
      </c>
      <c r="D82">
        <v>0.27310000000000001</v>
      </c>
      <c r="E82">
        <v>5.2230000000000002E-3</v>
      </c>
      <c r="F82">
        <v>0</v>
      </c>
      <c r="G82">
        <v>0.33329999999999999</v>
      </c>
      <c r="H82">
        <v>0.88890000000000002</v>
      </c>
      <c r="I82">
        <v>40001</v>
      </c>
      <c r="J82">
        <v>120000</v>
      </c>
    </row>
    <row r="83" spans="2:10" x14ac:dyDescent="0.25">
      <c r="B83" t="s">
        <v>467</v>
      </c>
      <c r="C83">
        <v>0.7319</v>
      </c>
      <c r="D83">
        <v>0.30759999999999998</v>
      </c>
      <c r="E83">
        <v>6.4650000000000003E-3</v>
      </c>
      <c r="F83">
        <v>0</v>
      </c>
      <c r="G83">
        <v>0.88890000000000002</v>
      </c>
      <c r="H83">
        <v>1</v>
      </c>
      <c r="I83">
        <v>40001</v>
      </c>
      <c r="J83">
        <v>120000</v>
      </c>
    </row>
    <row r="84" spans="2:10" x14ac:dyDescent="0.25">
      <c r="B84" t="s">
        <v>468</v>
      </c>
      <c r="C84">
        <v>0.65169999999999995</v>
      </c>
      <c r="D84">
        <v>0.30909999999999999</v>
      </c>
      <c r="E84">
        <v>5.6579999999999998E-3</v>
      </c>
      <c r="F84">
        <v>0</v>
      </c>
      <c r="G84">
        <v>0.77780000000000005</v>
      </c>
      <c r="H84">
        <v>1</v>
      </c>
      <c r="I84">
        <v>40001</v>
      </c>
      <c r="J84">
        <v>120000</v>
      </c>
    </row>
    <row r="85" spans="2:10" x14ac:dyDescent="0.25">
      <c r="B85" t="s">
        <v>469</v>
      </c>
      <c r="C85">
        <v>0.67869999999999997</v>
      </c>
      <c r="D85">
        <v>0.3135</v>
      </c>
      <c r="E85">
        <v>6.0499999999999998E-3</v>
      </c>
      <c r="F85">
        <v>0</v>
      </c>
      <c r="G85">
        <v>0.77780000000000005</v>
      </c>
      <c r="H85">
        <v>1</v>
      </c>
      <c r="I85">
        <v>40001</v>
      </c>
      <c r="J85">
        <v>120000</v>
      </c>
    </row>
    <row r="86" spans="2:10" x14ac:dyDescent="0.25">
      <c r="B86" t="s">
        <v>470</v>
      </c>
      <c r="C86">
        <v>0.44869999999999999</v>
      </c>
      <c r="D86">
        <v>0.45689999999999997</v>
      </c>
      <c r="E86">
        <v>1.5699999999999999E-2</v>
      </c>
      <c r="F86">
        <v>0</v>
      </c>
      <c r="G86">
        <v>0.22220000000000001</v>
      </c>
      <c r="H86">
        <v>1</v>
      </c>
      <c r="I86">
        <v>40001</v>
      </c>
      <c r="J86">
        <v>120000</v>
      </c>
    </row>
    <row r="87" spans="2:10" x14ac:dyDescent="0.25">
      <c r="B87" t="s">
        <v>471</v>
      </c>
      <c r="C87">
        <v>0.20830000000000001</v>
      </c>
      <c r="D87">
        <v>0.21859999999999999</v>
      </c>
      <c r="E87">
        <v>4.5970000000000004E-3</v>
      </c>
      <c r="F87">
        <v>0</v>
      </c>
      <c r="G87">
        <v>0.1111</v>
      </c>
      <c r="H87">
        <v>0.77780000000000005</v>
      </c>
      <c r="I87">
        <v>40001</v>
      </c>
      <c r="J87">
        <v>120000</v>
      </c>
    </row>
    <row r="88" spans="2:10" x14ac:dyDescent="0.25">
      <c r="B88" t="s">
        <v>472</v>
      </c>
      <c r="C88">
        <v>0.41880000000000001</v>
      </c>
      <c r="D88">
        <v>0.22650000000000001</v>
      </c>
      <c r="E88">
        <v>4.1190000000000003E-3</v>
      </c>
      <c r="F88">
        <v>0</v>
      </c>
      <c r="G88">
        <v>0.44440000000000002</v>
      </c>
      <c r="H88">
        <v>0.88890000000000002</v>
      </c>
      <c r="I88">
        <v>40001</v>
      </c>
      <c r="J88">
        <v>120000</v>
      </c>
    </row>
    <row r="89" spans="2:10" x14ac:dyDescent="0.25">
      <c r="B89" t="s">
        <v>473</v>
      </c>
      <c r="C89">
        <v>5.2830000000000004E-3</v>
      </c>
      <c r="D89">
        <v>7.2489999999999999E-2</v>
      </c>
      <c r="E89" s="13">
        <v>8.5209999999999995E-4</v>
      </c>
      <c r="F89">
        <v>0</v>
      </c>
      <c r="G89">
        <v>0</v>
      </c>
      <c r="H89">
        <v>0</v>
      </c>
      <c r="I89">
        <v>40001</v>
      </c>
      <c r="J89">
        <v>120000</v>
      </c>
    </row>
    <row r="90" spans="2:10" x14ac:dyDescent="0.25">
      <c r="B90" t="s">
        <v>474</v>
      </c>
      <c r="C90">
        <v>5.9080000000000001E-3</v>
      </c>
      <c r="D90">
        <v>7.664E-2</v>
      </c>
      <c r="E90" s="13">
        <v>7.8180000000000003E-4</v>
      </c>
      <c r="F90">
        <v>0</v>
      </c>
      <c r="G90">
        <v>0</v>
      </c>
      <c r="H90">
        <v>0</v>
      </c>
      <c r="I90">
        <v>40001</v>
      </c>
      <c r="J90">
        <v>120000</v>
      </c>
    </row>
    <row r="91" spans="2:10" x14ac:dyDescent="0.25">
      <c r="B91" t="s">
        <v>475</v>
      </c>
      <c r="C91">
        <v>4.4169999999999999E-3</v>
      </c>
      <c r="D91">
        <v>6.6309999999999994E-2</v>
      </c>
      <c r="E91" s="13">
        <v>6.9800000000000005E-4</v>
      </c>
      <c r="F91">
        <v>0</v>
      </c>
      <c r="G91">
        <v>0</v>
      </c>
      <c r="H91">
        <v>0</v>
      </c>
      <c r="I91">
        <v>40001</v>
      </c>
      <c r="J91">
        <v>120000</v>
      </c>
    </row>
    <row r="92" spans="2:10" x14ac:dyDescent="0.25">
      <c r="B92" t="s">
        <v>476</v>
      </c>
      <c r="C92">
        <v>1.5679999999999999E-2</v>
      </c>
      <c r="D92">
        <v>0.1242</v>
      </c>
      <c r="E92">
        <v>1.4549999999999999E-3</v>
      </c>
      <c r="F92">
        <v>0</v>
      </c>
      <c r="G92">
        <v>0</v>
      </c>
      <c r="H92">
        <v>0</v>
      </c>
      <c r="I92">
        <v>40001</v>
      </c>
      <c r="J92">
        <v>120000</v>
      </c>
    </row>
    <row r="93" spans="2:10" x14ac:dyDescent="0.25">
      <c r="B93" t="s">
        <v>477</v>
      </c>
      <c r="C93">
        <v>0.29160000000000003</v>
      </c>
      <c r="D93">
        <v>0.45450000000000002</v>
      </c>
      <c r="E93">
        <v>9.4039999999999992E-3</v>
      </c>
      <c r="F93">
        <v>0</v>
      </c>
      <c r="G93">
        <v>0</v>
      </c>
      <c r="H93">
        <v>1</v>
      </c>
      <c r="I93">
        <v>40001</v>
      </c>
      <c r="J93">
        <v>120000</v>
      </c>
    </row>
    <row r="94" spans="2:10" x14ac:dyDescent="0.25">
      <c r="B94" t="s">
        <v>478</v>
      </c>
      <c r="C94">
        <v>0.1578</v>
      </c>
      <c r="D94">
        <v>0.36459999999999998</v>
      </c>
      <c r="E94">
        <v>6.6150000000000002E-3</v>
      </c>
      <c r="F94">
        <v>0</v>
      </c>
      <c r="G94">
        <v>0</v>
      </c>
      <c r="H94">
        <v>1</v>
      </c>
      <c r="I94">
        <v>40001</v>
      </c>
      <c r="J94">
        <v>120000</v>
      </c>
    </row>
    <row r="95" spans="2:10" x14ac:dyDescent="0.25">
      <c r="B95" t="s">
        <v>479</v>
      </c>
      <c r="C95">
        <v>0.20330000000000001</v>
      </c>
      <c r="D95">
        <v>0.40239999999999998</v>
      </c>
      <c r="E95">
        <v>7.4739999999999997E-3</v>
      </c>
      <c r="F95">
        <v>0</v>
      </c>
      <c r="G95">
        <v>0</v>
      </c>
      <c r="H95">
        <v>1</v>
      </c>
      <c r="I95">
        <v>40001</v>
      </c>
      <c r="J95">
        <v>120000</v>
      </c>
    </row>
    <row r="96" spans="2:10" x14ac:dyDescent="0.25">
      <c r="B96" t="s">
        <v>480</v>
      </c>
      <c r="C96">
        <v>0.30740000000000001</v>
      </c>
      <c r="D96">
        <v>0.46139999999999998</v>
      </c>
      <c r="E96">
        <v>1.461E-2</v>
      </c>
      <c r="F96">
        <v>0</v>
      </c>
      <c r="G96">
        <v>0</v>
      </c>
      <c r="H96">
        <v>1</v>
      </c>
      <c r="I96">
        <v>40001</v>
      </c>
      <c r="J96">
        <v>120000</v>
      </c>
    </row>
    <row r="97" spans="2:10" x14ac:dyDescent="0.25">
      <c r="B97" t="s">
        <v>481</v>
      </c>
      <c r="C97">
        <v>2.8579999999999999E-3</v>
      </c>
      <c r="D97">
        <v>5.339E-2</v>
      </c>
      <c r="E97" s="13">
        <v>4.8589999999999999E-4</v>
      </c>
      <c r="F97">
        <v>0</v>
      </c>
      <c r="G97">
        <v>0</v>
      </c>
      <c r="H97">
        <v>0</v>
      </c>
      <c r="I97">
        <v>40001</v>
      </c>
      <c r="J97">
        <v>120000</v>
      </c>
    </row>
    <row r="98" spans="2:10" x14ac:dyDescent="0.25">
      <c r="B98" t="s">
        <v>482</v>
      </c>
      <c r="C98">
        <v>5.7419999999999997E-3</v>
      </c>
      <c r="D98">
        <v>7.5560000000000002E-2</v>
      </c>
      <c r="E98" s="13">
        <v>8.3040000000000002E-4</v>
      </c>
      <c r="F98">
        <v>0</v>
      </c>
      <c r="G98">
        <v>0</v>
      </c>
      <c r="H98">
        <v>0</v>
      </c>
      <c r="I98">
        <v>40001</v>
      </c>
      <c r="J98">
        <v>120000</v>
      </c>
    </row>
    <row r="99" spans="2:10" x14ac:dyDescent="0.25">
      <c r="B99" t="s">
        <v>483</v>
      </c>
      <c r="C99">
        <v>0.84209999999999996</v>
      </c>
      <c r="D99">
        <v>1.1890000000000001</v>
      </c>
      <c r="E99">
        <v>7.3020000000000003E-3</v>
      </c>
      <c r="F99" s="13">
        <v>8.7069999999999997E-4</v>
      </c>
      <c r="G99">
        <v>0.38119999999999998</v>
      </c>
      <c r="H99">
        <v>4.1909999999999998</v>
      </c>
      <c r="I99">
        <v>40001</v>
      </c>
      <c r="J99">
        <v>120000</v>
      </c>
    </row>
    <row r="100" spans="2:10" x14ac:dyDescent="0.25">
      <c r="B100" t="s">
        <v>484</v>
      </c>
      <c r="C100">
        <v>0.82220000000000004</v>
      </c>
      <c r="D100">
        <v>1.1579999999999999</v>
      </c>
      <c r="E100">
        <v>6.3610000000000003E-3</v>
      </c>
      <c r="F100" s="13">
        <v>8.3659999999999995E-4</v>
      </c>
      <c r="G100">
        <v>0.37490000000000001</v>
      </c>
      <c r="H100">
        <v>4.1399999999999997</v>
      </c>
      <c r="I100">
        <v>40001</v>
      </c>
      <c r="J100">
        <v>120000</v>
      </c>
    </row>
    <row r="101" spans="2:10" x14ac:dyDescent="0.25">
      <c r="B101" t="s">
        <v>485</v>
      </c>
      <c r="C101">
        <v>0.75639999999999996</v>
      </c>
      <c r="D101">
        <v>1.0820000000000001</v>
      </c>
      <c r="E101">
        <v>6.5570000000000003E-3</v>
      </c>
      <c r="F101" s="13">
        <v>6.4050000000000001E-4</v>
      </c>
      <c r="G101">
        <v>0.3382</v>
      </c>
      <c r="H101">
        <v>3.84</v>
      </c>
      <c r="I101">
        <v>40001</v>
      </c>
      <c r="J101">
        <v>120000</v>
      </c>
    </row>
    <row r="102" spans="2:10" x14ac:dyDescent="0.25">
      <c r="B102" t="s">
        <v>486</v>
      </c>
      <c r="C102">
        <v>0.82820000000000005</v>
      </c>
      <c r="D102">
        <v>1.149</v>
      </c>
      <c r="E102">
        <v>8.0590000000000002E-3</v>
      </c>
      <c r="F102" s="13">
        <v>8.1150000000000005E-4</v>
      </c>
      <c r="G102">
        <v>0.3856</v>
      </c>
      <c r="H102">
        <v>4.1120000000000001</v>
      </c>
      <c r="I102">
        <v>40001</v>
      </c>
      <c r="J102">
        <v>120000</v>
      </c>
    </row>
    <row r="103" spans="2:10" x14ac:dyDescent="0.25">
      <c r="B103" t="s">
        <v>487</v>
      </c>
      <c r="C103">
        <v>0.89880000000000004</v>
      </c>
      <c r="D103">
        <v>1.2430000000000001</v>
      </c>
      <c r="E103">
        <v>1.04E-2</v>
      </c>
      <c r="F103" s="13">
        <v>9.3070000000000002E-4</v>
      </c>
      <c r="G103">
        <v>0.41739999999999999</v>
      </c>
      <c r="H103">
        <v>4.4340000000000002</v>
      </c>
      <c r="I103">
        <v>40001</v>
      </c>
      <c r="J103">
        <v>120000</v>
      </c>
    </row>
    <row r="104" spans="2:10" x14ac:dyDescent="0.25">
      <c r="B104" t="s">
        <v>488</v>
      </c>
      <c r="C104">
        <v>0.7984</v>
      </c>
      <c r="D104">
        <v>1.1399999999999999</v>
      </c>
      <c r="E104">
        <v>7.1900000000000002E-3</v>
      </c>
      <c r="F104" s="13">
        <v>7.7229999999999996E-4</v>
      </c>
      <c r="G104">
        <v>0.3599</v>
      </c>
      <c r="H104">
        <v>4.0209999999999999</v>
      </c>
      <c r="I104">
        <v>40001</v>
      </c>
      <c r="J104">
        <v>120000</v>
      </c>
    </row>
    <row r="105" spans="2:10" x14ac:dyDescent="0.25">
      <c r="B105" t="s">
        <v>489</v>
      </c>
      <c r="C105">
        <v>0.56259999999999999</v>
      </c>
      <c r="D105">
        <v>0.80700000000000005</v>
      </c>
      <c r="E105">
        <v>3.0349999999999999E-3</v>
      </c>
      <c r="F105" s="13">
        <v>5.4379999999999999E-4</v>
      </c>
      <c r="G105">
        <v>0.251</v>
      </c>
      <c r="H105">
        <v>2.843</v>
      </c>
      <c r="I105">
        <v>40001</v>
      </c>
      <c r="J105">
        <v>120000</v>
      </c>
    </row>
    <row r="106" spans="2:10" x14ac:dyDescent="0.25">
      <c r="B106" t="s">
        <v>490</v>
      </c>
      <c r="C106">
        <v>0.66510000000000002</v>
      </c>
      <c r="D106">
        <v>0.92159999999999997</v>
      </c>
      <c r="E106">
        <v>3.4390000000000002E-3</v>
      </c>
      <c r="F106" s="13">
        <v>6.7380000000000001E-4</v>
      </c>
      <c r="G106">
        <v>0.31130000000000002</v>
      </c>
      <c r="H106">
        <v>3.2639999999999998</v>
      </c>
      <c r="I106">
        <v>40001</v>
      </c>
      <c r="J106">
        <v>120000</v>
      </c>
    </row>
    <row r="107" spans="2:10" x14ac:dyDescent="0.25">
      <c r="B107" t="s">
        <v>491</v>
      </c>
      <c r="C107">
        <v>0.64829999999999999</v>
      </c>
      <c r="D107">
        <v>0.93230000000000002</v>
      </c>
      <c r="E107">
        <v>4.8250000000000003E-3</v>
      </c>
      <c r="F107" s="13">
        <v>5.8819999999999999E-4</v>
      </c>
      <c r="G107">
        <v>0.29149999999999998</v>
      </c>
      <c r="H107">
        <v>3.306</v>
      </c>
      <c r="I107">
        <v>40001</v>
      </c>
      <c r="J107">
        <v>120000</v>
      </c>
    </row>
    <row r="108" spans="2:10" x14ac:dyDescent="0.25">
      <c r="B108" t="s">
        <v>492</v>
      </c>
      <c r="C108">
        <v>0.77239999999999998</v>
      </c>
      <c r="D108">
        <v>1.0589999999999999</v>
      </c>
      <c r="E108">
        <v>5.2220000000000001E-3</v>
      </c>
      <c r="F108" s="13">
        <v>7.8799999999999996E-4</v>
      </c>
      <c r="G108">
        <v>0.36249999999999999</v>
      </c>
      <c r="H108">
        <v>3.7669999999999999</v>
      </c>
      <c r="I108">
        <v>40001</v>
      </c>
      <c r="J108">
        <v>120000</v>
      </c>
    </row>
    <row r="109" spans="2:10" x14ac:dyDescent="0.25">
      <c r="B109" t="s">
        <v>493</v>
      </c>
      <c r="C109">
        <v>0.58389999999999997</v>
      </c>
      <c r="D109">
        <v>0.83220000000000005</v>
      </c>
      <c r="E109">
        <v>3.2100000000000002E-3</v>
      </c>
      <c r="F109" s="13">
        <v>5.5460000000000004E-4</v>
      </c>
      <c r="G109">
        <v>0.26169999999999999</v>
      </c>
      <c r="H109">
        <v>2.9460000000000002</v>
      </c>
      <c r="I109">
        <v>40001</v>
      </c>
      <c r="J109">
        <v>120000</v>
      </c>
    </row>
    <row r="110" spans="2:10" x14ac:dyDescent="0.25">
      <c r="B110" t="s">
        <v>494</v>
      </c>
      <c r="C110">
        <v>0.65910000000000002</v>
      </c>
      <c r="D110">
        <v>0.91969999999999996</v>
      </c>
      <c r="E110">
        <v>3.5609999999999999E-3</v>
      </c>
      <c r="F110" s="13">
        <v>6.6969999999999996E-4</v>
      </c>
      <c r="G110">
        <v>0.30209999999999998</v>
      </c>
      <c r="H110">
        <v>3.2949999999999999</v>
      </c>
      <c r="I110">
        <v>40001</v>
      </c>
      <c r="J110">
        <v>120000</v>
      </c>
    </row>
    <row r="111" spans="2:10" x14ac:dyDescent="0.25">
      <c r="B111" t="s">
        <v>495</v>
      </c>
      <c r="C111">
        <v>0.71130000000000004</v>
      </c>
      <c r="D111">
        <v>0.99619999999999997</v>
      </c>
      <c r="E111">
        <v>5.3309999999999998E-3</v>
      </c>
      <c r="F111" s="13">
        <v>7.45E-4</v>
      </c>
      <c r="G111">
        <v>0.32569999999999999</v>
      </c>
      <c r="H111">
        <v>3.536</v>
      </c>
      <c r="I111">
        <v>40001</v>
      </c>
      <c r="J111">
        <v>120000</v>
      </c>
    </row>
    <row r="112" spans="2:10" x14ac:dyDescent="0.25">
      <c r="B112" t="s">
        <v>496</v>
      </c>
      <c r="C112">
        <v>0.69320000000000004</v>
      </c>
      <c r="D112">
        <v>0.98970000000000002</v>
      </c>
      <c r="E112">
        <v>4.8419999999999999E-3</v>
      </c>
      <c r="F112" s="13">
        <v>6.7230000000000002E-4</v>
      </c>
      <c r="G112">
        <v>0.31240000000000001</v>
      </c>
      <c r="H112">
        <v>3.4940000000000002</v>
      </c>
      <c r="I112">
        <v>40001</v>
      </c>
      <c r="J112">
        <v>120000</v>
      </c>
    </row>
    <row r="113" spans="2:10" x14ac:dyDescent="0.25">
      <c r="B113" t="s">
        <v>497</v>
      </c>
      <c r="C113">
        <v>1.0589999999999999</v>
      </c>
      <c r="D113">
        <v>1.2869999999999999</v>
      </c>
      <c r="E113">
        <v>8.2570000000000005E-3</v>
      </c>
      <c r="F113">
        <v>1.389E-3</v>
      </c>
      <c r="G113">
        <v>0.59309999999999996</v>
      </c>
      <c r="H113">
        <v>4.6029999999999998</v>
      </c>
      <c r="I113">
        <v>40001</v>
      </c>
      <c r="J113">
        <v>120000</v>
      </c>
    </row>
    <row r="114" spans="2:10" x14ac:dyDescent="0.25">
      <c r="B114" t="s">
        <v>498</v>
      </c>
      <c r="C114">
        <v>1.3740000000000001</v>
      </c>
      <c r="D114">
        <v>1.6220000000000001</v>
      </c>
      <c r="E114">
        <v>9.5259999999999997E-3</v>
      </c>
      <c r="F114">
        <v>2E-3</v>
      </c>
      <c r="G114">
        <v>0.79869999999999997</v>
      </c>
      <c r="H114">
        <v>5.8090000000000002</v>
      </c>
      <c r="I114">
        <v>40001</v>
      </c>
      <c r="J114">
        <v>120000</v>
      </c>
    </row>
    <row r="115" spans="2:10" x14ac:dyDescent="0.25">
      <c r="B115" t="s">
        <v>499</v>
      </c>
      <c r="C115">
        <v>1.2769999999999999</v>
      </c>
      <c r="D115">
        <v>1.641</v>
      </c>
      <c r="E115">
        <v>4.972E-2</v>
      </c>
      <c r="F115">
        <v>1.3489999999999999E-3</v>
      </c>
      <c r="G115">
        <v>0.61599999999999999</v>
      </c>
      <c r="H115">
        <v>5.9589999999999996</v>
      </c>
      <c r="I115">
        <v>40001</v>
      </c>
      <c r="J115">
        <v>120000</v>
      </c>
    </row>
    <row r="116" spans="2:10" x14ac:dyDescent="0.25">
      <c r="B116" t="s">
        <v>500</v>
      </c>
      <c r="C116">
        <v>1.198</v>
      </c>
      <c r="D116">
        <v>1.5660000000000001</v>
      </c>
      <c r="E116">
        <v>3.8370000000000001E-2</v>
      </c>
      <c r="F116">
        <v>1.3129999999999999E-3</v>
      </c>
      <c r="G116">
        <v>0.58819999999999995</v>
      </c>
      <c r="H116">
        <v>5.6459999999999999</v>
      </c>
      <c r="I116">
        <v>40001</v>
      </c>
      <c r="J116">
        <v>120000</v>
      </c>
    </row>
    <row r="117" spans="2:10" x14ac:dyDescent="0.25">
      <c r="B117" t="s">
        <v>501</v>
      </c>
      <c r="C117">
        <v>1.0149999999999999</v>
      </c>
      <c r="D117">
        <v>1.431</v>
      </c>
      <c r="E117">
        <v>1.3350000000000001E-2</v>
      </c>
      <c r="F117">
        <v>1.024E-3</v>
      </c>
      <c r="G117">
        <v>0.46329999999999999</v>
      </c>
      <c r="H117">
        <v>5.12</v>
      </c>
      <c r="I117">
        <v>40001</v>
      </c>
      <c r="J117">
        <v>120000</v>
      </c>
    </row>
    <row r="118" spans="2:10" x14ac:dyDescent="0.25">
      <c r="B118" t="s">
        <v>502</v>
      </c>
      <c r="C118">
        <v>1.022</v>
      </c>
      <c r="D118">
        <v>1.4430000000000001</v>
      </c>
      <c r="E118">
        <v>1.7239999999999998E-2</v>
      </c>
      <c r="F118" s="13">
        <v>9.8909999999999992E-4</v>
      </c>
      <c r="G118">
        <v>0.46650000000000003</v>
      </c>
      <c r="H118">
        <v>5.1219999999999999</v>
      </c>
      <c r="I118">
        <v>40001</v>
      </c>
      <c r="J118">
        <v>120000</v>
      </c>
    </row>
    <row r="119" spans="2:10" x14ac:dyDescent="0.25">
      <c r="B119" t="s">
        <v>503</v>
      </c>
      <c r="C119">
        <v>0.64800000000000002</v>
      </c>
      <c r="D119">
        <v>0.91659999999999997</v>
      </c>
      <c r="E119">
        <v>5.0020000000000004E-3</v>
      </c>
      <c r="F119" s="13">
        <v>6.2810000000000003E-4</v>
      </c>
      <c r="G119">
        <v>0.29730000000000001</v>
      </c>
      <c r="H119">
        <v>3.2480000000000002</v>
      </c>
      <c r="I119">
        <v>40001</v>
      </c>
      <c r="J119">
        <v>120000</v>
      </c>
    </row>
    <row r="120" spans="2:10" x14ac:dyDescent="0.25">
      <c r="B120" t="s">
        <v>504</v>
      </c>
      <c r="C120">
        <v>0.71840000000000004</v>
      </c>
      <c r="D120">
        <v>1.004</v>
      </c>
      <c r="E120">
        <v>4.8149999999999998E-3</v>
      </c>
      <c r="F120" s="13">
        <v>7.3379999999999995E-4</v>
      </c>
      <c r="G120">
        <v>0.32900000000000001</v>
      </c>
      <c r="H120">
        <v>3.5910000000000002</v>
      </c>
      <c r="I120">
        <v>40001</v>
      </c>
      <c r="J120">
        <v>120000</v>
      </c>
    </row>
    <row r="121" spans="2:10" x14ac:dyDescent="0.25">
      <c r="B121" t="s">
        <v>505</v>
      </c>
      <c r="C121">
        <v>1.01</v>
      </c>
      <c r="D121">
        <v>1.4319999999999999</v>
      </c>
      <c r="E121">
        <v>1.162E-2</v>
      </c>
      <c r="F121">
        <v>1.0089999999999999E-3</v>
      </c>
      <c r="G121">
        <v>0.46029999999999999</v>
      </c>
      <c r="H121">
        <v>5.0629999999999997</v>
      </c>
      <c r="I121">
        <v>40001</v>
      </c>
      <c r="J121">
        <v>120000</v>
      </c>
    </row>
    <row r="122" spans="2:10" x14ac:dyDescent="0.25">
      <c r="B122" t="s">
        <v>506</v>
      </c>
      <c r="C122">
        <v>1.0229999999999999</v>
      </c>
      <c r="D122">
        <v>1.4590000000000001</v>
      </c>
      <c r="E122">
        <v>1.546E-2</v>
      </c>
      <c r="F122">
        <v>1.07E-3</v>
      </c>
      <c r="G122">
        <v>0.46289999999999998</v>
      </c>
      <c r="H122">
        <v>5.1870000000000003</v>
      </c>
      <c r="I122">
        <v>40001</v>
      </c>
      <c r="J122">
        <v>120000</v>
      </c>
    </row>
    <row r="123" spans="2:10" x14ac:dyDescent="0.25">
      <c r="B123" t="s">
        <v>507</v>
      </c>
      <c r="C123">
        <v>1.2450000000000001</v>
      </c>
      <c r="D123">
        <v>1.569</v>
      </c>
      <c r="E123">
        <v>1.444E-2</v>
      </c>
      <c r="F123">
        <v>1.542E-3</v>
      </c>
      <c r="G123">
        <v>0.65580000000000005</v>
      </c>
      <c r="H123">
        <v>5.63</v>
      </c>
      <c r="I123">
        <v>40001</v>
      </c>
      <c r="J123">
        <v>120000</v>
      </c>
    </row>
    <row r="124" spans="2:10" x14ac:dyDescent="0.25">
      <c r="B124" t="s">
        <v>508</v>
      </c>
      <c r="C124">
        <v>1.1259999999999999</v>
      </c>
      <c r="D124">
        <v>1.474</v>
      </c>
      <c r="E124">
        <v>1.2789999999999999E-2</v>
      </c>
      <c r="F124">
        <v>1.273E-3</v>
      </c>
      <c r="G124">
        <v>0.56599999999999995</v>
      </c>
      <c r="H124">
        <v>5.2610000000000001</v>
      </c>
      <c r="I124">
        <v>40001</v>
      </c>
      <c r="J124">
        <v>120000</v>
      </c>
    </row>
    <row r="125" spans="2:10" x14ac:dyDescent="0.25">
      <c r="B125" t="s">
        <v>509</v>
      </c>
      <c r="C125">
        <v>0.69130000000000003</v>
      </c>
      <c r="D125">
        <v>0.95679999999999998</v>
      </c>
      <c r="E125">
        <v>4.4019999999999997E-3</v>
      </c>
      <c r="F125" s="13">
        <v>6.7969999999999999E-4</v>
      </c>
      <c r="G125">
        <v>0.32329999999999998</v>
      </c>
      <c r="H125">
        <v>3.4359999999999999</v>
      </c>
      <c r="I125">
        <v>40001</v>
      </c>
      <c r="J125">
        <v>120000</v>
      </c>
    </row>
    <row r="126" spans="2:10" x14ac:dyDescent="0.25">
      <c r="B126" t="s">
        <v>510</v>
      </c>
      <c r="C126">
        <v>0.57230000000000003</v>
      </c>
      <c r="D126">
        <v>0.82399999999999995</v>
      </c>
      <c r="E126">
        <v>3.6419999999999998E-3</v>
      </c>
      <c r="F126" s="13">
        <v>5.6170000000000005E-4</v>
      </c>
      <c r="G126">
        <v>0.25629999999999997</v>
      </c>
      <c r="H126">
        <v>2.92</v>
      </c>
      <c r="I126">
        <v>40001</v>
      </c>
      <c r="J126">
        <v>120000</v>
      </c>
    </row>
    <row r="127" spans="2:10" x14ac:dyDescent="0.25">
      <c r="B127" t="s">
        <v>511</v>
      </c>
      <c r="C127">
        <v>0.65059999999999996</v>
      </c>
      <c r="D127">
        <v>0.91349999999999998</v>
      </c>
      <c r="E127">
        <v>3.8920000000000001E-3</v>
      </c>
      <c r="F127" s="13">
        <v>6.5070000000000004E-4</v>
      </c>
      <c r="G127">
        <v>0.2994</v>
      </c>
      <c r="H127">
        <v>3.2610000000000001</v>
      </c>
      <c r="I127">
        <v>40001</v>
      </c>
      <c r="J127">
        <v>120000</v>
      </c>
    </row>
    <row r="128" spans="2:10" x14ac:dyDescent="0.25">
      <c r="B128" t="s">
        <v>512</v>
      </c>
      <c r="C128">
        <v>0.6421</v>
      </c>
      <c r="D128">
        <v>0.90639999999999998</v>
      </c>
      <c r="E128">
        <v>3.3760000000000001E-3</v>
      </c>
      <c r="F128" s="13">
        <v>6.1649999999999997E-4</v>
      </c>
      <c r="G128">
        <v>0.29189999999999999</v>
      </c>
      <c r="H128">
        <v>3.226</v>
      </c>
      <c r="I128">
        <v>40001</v>
      </c>
      <c r="J128">
        <v>120000</v>
      </c>
    </row>
    <row r="129" spans="2:10" x14ac:dyDescent="0.25">
      <c r="B129" t="s">
        <v>513</v>
      </c>
      <c r="C129">
        <v>0.97550000000000003</v>
      </c>
      <c r="D129">
        <v>1.3140000000000001</v>
      </c>
      <c r="E129">
        <v>1.2319999999999999E-2</v>
      </c>
      <c r="F129">
        <v>1.073E-3</v>
      </c>
      <c r="G129">
        <v>0.4708</v>
      </c>
      <c r="H129">
        <v>4.7229999999999999</v>
      </c>
      <c r="I129">
        <v>40001</v>
      </c>
      <c r="J129">
        <v>120000</v>
      </c>
    </row>
    <row r="130" spans="2:10" x14ac:dyDescent="0.25">
      <c r="B130" t="s">
        <v>514</v>
      </c>
      <c r="C130">
        <v>0.86229999999999996</v>
      </c>
      <c r="D130">
        <v>1.2190000000000001</v>
      </c>
      <c r="E130">
        <v>7.8320000000000004E-3</v>
      </c>
      <c r="F130" s="13">
        <v>8.5249999999999996E-4</v>
      </c>
      <c r="G130">
        <v>0.38979999999999998</v>
      </c>
      <c r="H130">
        <v>4.2889999999999997</v>
      </c>
      <c r="I130">
        <v>40001</v>
      </c>
      <c r="J130">
        <v>120000</v>
      </c>
    </row>
    <row r="131" spans="2:10" x14ac:dyDescent="0.25">
      <c r="B131" t="s">
        <v>515</v>
      </c>
      <c r="C131">
        <v>0.70720000000000005</v>
      </c>
      <c r="D131">
        <v>0.97829999999999995</v>
      </c>
      <c r="E131">
        <v>4.744E-3</v>
      </c>
      <c r="F131" s="13">
        <v>7.1389999999999995E-4</v>
      </c>
      <c r="G131">
        <v>0.33050000000000002</v>
      </c>
      <c r="H131">
        <v>3.4740000000000002</v>
      </c>
      <c r="I131">
        <v>40001</v>
      </c>
      <c r="J131">
        <v>120000</v>
      </c>
    </row>
    <row r="132" spans="2:10" x14ac:dyDescent="0.25">
      <c r="B132" t="s">
        <v>516</v>
      </c>
      <c r="C132">
        <v>0.57069999999999999</v>
      </c>
      <c r="D132">
        <v>0.82269999999999999</v>
      </c>
      <c r="E132">
        <v>3.774E-3</v>
      </c>
      <c r="F132" s="13">
        <v>5.6150000000000004E-4</v>
      </c>
      <c r="G132">
        <v>0.25640000000000002</v>
      </c>
      <c r="H132">
        <v>2.895</v>
      </c>
      <c r="I132">
        <v>40001</v>
      </c>
      <c r="J132">
        <v>120000</v>
      </c>
    </row>
    <row r="133" spans="2:10" x14ac:dyDescent="0.25">
      <c r="B133" t="s">
        <v>517</v>
      </c>
      <c r="C133">
        <v>0.83050000000000002</v>
      </c>
      <c r="D133">
        <v>1.159</v>
      </c>
      <c r="E133">
        <v>8.94E-3</v>
      </c>
      <c r="F133" s="13">
        <v>8.7909999999999996E-4</v>
      </c>
      <c r="G133">
        <v>0.3826</v>
      </c>
      <c r="H133">
        <v>4.1260000000000003</v>
      </c>
      <c r="I133">
        <v>40001</v>
      </c>
      <c r="J133">
        <v>120000</v>
      </c>
    </row>
    <row r="134" spans="2:10" x14ac:dyDescent="0.25">
      <c r="B134" t="s">
        <v>518</v>
      </c>
      <c r="C134">
        <v>0.93130000000000002</v>
      </c>
      <c r="D134">
        <v>1.2729999999999999</v>
      </c>
      <c r="E134">
        <v>9.1330000000000005E-3</v>
      </c>
      <c r="F134" s="13">
        <v>8.876E-4</v>
      </c>
      <c r="G134">
        <v>0.43609999999999999</v>
      </c>
      <c r="H134">
        <v>4.5549999999999997</v>
      </c>
      <c r="I134">
        <v>40001</v>
      </c>
      <c r="J134">
        <v>120000</v>
      </c>
    </row>
    <row r="135" spans="2:10" x14ac:dyDescent="0.25">
      <c r="B135" t="s">
        <v>519</v>
      </c>
      <c r="C135">
        <v>1.0029999999999999</v>
      </c>
      <c r="D135">
        <v>1.417</v>
      </c>
      <c r="E135">
        <v>9.7439999999999992E-3</v>
      </c>
      <c r="F135" s="13">
        <v>9.8090000000000004E-4</v>
      </c>
      <c r="G135">
        <v>0.45350000000000001</v>
      </c>
      <c r="H135">
        <v>5.0540000000000003</v>
      </c>
      <c r="I135">
        <v>40001</v>
      </c>
      <c r="J135">
        <v>120000</v>
      </c>
    </row>
    <row r="136" spans="2:10" x14ac:dyDescent="0.25">
      <c r="B136" t="s">
        <v>520</v>
      </c>
      <c r="C136">
        <v>1.008</v>
      </c>
      <c r="D136">
        <v>1.4259999999999999</v>
      </c>
      <c r="E136">
        <v>1.09E-2</v>
      </c>
      <c r="F136">
        <v>1.0219999999999999E-3</v>
      </c>
      <c r="G136">
        <v>0.4607</v>
      </c>
      <c r="H136">
        <v>5.032</v>
      </c>
      <c r="I136">
        <v>40001</v>
      </c>
      <c r="J136">
        <v>120000</v>
      </c>
    </row>
    <row r="137" spans="2:10" x14ac:dyDescent="0.25">
      <c r="B137" t="s">
        <v>521</v>
      </c>
      <c r="C137">
        <v>0.64780000000000004</v>
      </c>
      <c r="D137">
        <v>0.92200000000000004</v>
      </c>
      <c r="E137">
        <v>4.1809999999999998E-3</v>
      </c>
      <c r="F137" s="13">
        <v>6.2719999999999996E-4</v>
      </c>
      <c r="G137">
        <v>0.29160000000000003</v>
      </c>
      <c r="H137">
        <v>3.2530000000000001</v>
      </c>
      <c r="I137">
        <v>40001</v>
      </c>
      <c r="J137">
        <v>120000</v>
      </c>
    </row>
    <row r="138" spans="2:10" x14ac:dyDescent="0.25">
      <c r="B138" t="s">
        <v>522</v>
      </c>
      <c r="C138">
        <v>0.66869999999999996</v>
      </c>
      <c r="D138">
        <v>0.92730000000000001</v>
      </c>
      <c r="E138">
        <v>5.3709999999999999E-3</v>
      </c>
      <c r="F138" s="13">
        <v>6.7000000000000002E-4</v>
      </c>
      <c r="G138">
        <v>0.31059999999999999</v>
      </c>
      <c r="H138">
        <v>3.302</v>
      </c>
      <c r="I138">
        <v>40001</v>
      </c>
      <c r="J138">
        <v>120000</v>
      </c>
    </row>
    <row r="139" spans="2:10" x14ac:dyDescent="0.25">
      <c r="B139" t="s">
        <v>523</v>
      </c>
      <c r="C139">
        <v>1.4550000000000001</v>
      </c>
      <c r="D139">
        <v>1.73</v>
      </c>
      <c r="E139">
        <v>1.3769999999999999E-2</v>
      </c>
      <c r="F139">
        <v>1.9680000000000001E-3</v>
      </c>
      <c r="G139">
        <v>0.84189999999999998</v>
      </c>
      <c r="H139">
        <v>6.1829999999999998</v>
      </c>
      <c r="I139">
        <v>40001</v>
      </c>
      <c r="J139">
        <v>120000</v>
      </c>
    </row>
    <row r="140" spans="2:10" x14ac:dyDescent="0.25">
      <c r="B140" t="s">
        <v>524</v>
      </c>
      <c r="C140">
        <v>1.452</v>
      </c>
      <c r="D140">
        <v>1.7150000000000001</v>
      </c>
      <c r="E140">
        <v>1.3169999999999999E-2</v>
      </c>
      <c r="F140">
        <v>2.248E-3</v>
      </c>
      <c r="G140">
        <v>0.84519999999999995</v>
      </c>
      <c r="H140">
        <v>6.1210000000000004</v>
      </c>
      <c r="I140">
        <v>40001</v>
      </c>
      <c r="J140">
        <v>120000</v>
      </c>
    </row>
    <row r="141" spans="2:10" x14ac:dyDescent="0.25">
      <c r="B141" t="s">
        <v>525</v>
      </c>
      <c r="C141">
        <v>0.56950000000000001</v>
      </c>
      <c r="D141">
        <v>0.79779999999999995</v>
      </c>
      <c r="E141">
        <v>2.594E-3</v>
      </c>
      <c r="F141" s="13">
        <v>5.7370000000000001E-4</v>
      </c>
      <c r="G141">
        <v>0.2636</v>
      </c>
      <c r="H141">
        <v>2.8090000000000002</v>
      </c>
      <c r="I141">
        <v>40001</v>
      </c>
      <c r="J141">
        <v>120000</v>
      </c>
    </row>
    <row r="142" spans="2:10" x14ac:dyDescent="0.25">
      <c r="B142" t="s">
        <v>526</v>
      </c>
      <c r="C142">
        <v>0.56810000000000005</v>
      </c>
      <c r="D142">
        <v>0.79720000000000002</v>
      </c>
      <c r="E142">
        <v>2.5490000000000001E-3</v>
      </c>
      <c r="F142" s="13">
        <v>5.819E-4</v>
      </c>
      <c r="G142">
        <v>0.2616</v>
      </c>
      <c r="H142">
        <v>2.831</v>
      </c>
      <c r="I142">
        <v>40001</v>
      </c>
      <c r="J142">
        <v>120000</v>
      </c>
    </row>
    <row r="143" spans="2:10" x14ac:dyDescent="0.25">
      <c r="B143" t="s">
        <v>527</v>
      </c>
      <c r="C143">
        <v>0.61280000000000001</v>
      </c>
      <c r="D143">
        <v>0.84399999999999997</v>
      </c>
      <c r="E143">
        <v>3.2079999999999999E-3</v>
      </c>
      <c r="F143" s="13">
        <v>6.3299999999999999E-4</v>
      </c>
      <c r="G143">
        <v>0.28499999999999998</v>
      </c>
      <c r="H143">
        <v>3.0310000000000001</v>
      </c>
      <c r="I143">
        <v>40001</v>
      </c>
      <c r="J143">
        <v>120000</v>
      </c>
    </row>
    <row r="144" spans="2:10" x14ac:dyDescent="0.25">
      <c r="B144" t="s">
        <v>528</v>
      </c>
      <c r="C144">
        <v>0.59050000000000002</v>
      </c>
      <c r="D144">
        <v>0.83420000000000005</v>
      </c>
      <c r="E144">
        <v>2.6740000000000002E-3</v>
      </c>
      <c r="F144" s="13">
        <v>5.7859999999999997E-4</v>
      </c>
      <c r="G144">
        <v>0.26879999999999998</v>
      </c>
      <c r="H144">
        <v>2.9889999999999999</v>
      </c>
      <c r="I144">
        <v>40001</v>
      </c>
      <c r="J144">
        <v>120000</v>
      </c>
    </row>
    <row r="145" spans="2:10" x14ac:dyDescent="0.25">
      <c r="B145" t="s">
        <v>529</v>
      </c>
      <c r="C145">
        <v>0.70779999999999998</v>
      </c>
      <c r="D145">
        <v>1.0009999999999999</v>
      </c>
      <c r="E145">
        <v>5.4549999999999998E-3</v>
      </c>
      <c r="F145" s="13">
        <v>6.625E-4</v>
      </c>
      <c r="G145">
        <v>0.32169999999999999</v>
      </c>
      <c r="H145">
        <v>3.556</v>
      </c>
      <c r="I145">
        <v>40001</v>
      </c>
      <c r="J145">
        <v>120000</v>
      </c>
    </row>
    <row r="146" spans="2:10" x14ac:dyDescent="0.25">
      <c r="B146" t="s">
        <v>530</v>
      </c>
      <c r="C146">
        <v>0.90159999999999996</v>
      </c>
      <c r="D146">
        <v>1.1659999999999999</v>
      </c>
      <c r="E146">
        <v>6.8539999999999998E-3</v>
      </c>
      <c r="F146">
        <v>1.0560000000000001E-3</v>
      </c>
      <c r="G146">
        <v>0.45960000000000001</v>
      </c>
      <c r="H146">
        <v>4.1769999999999996</v>
      </c>
      <c r="I146">
        <v>40001</v>
      </c>
      <c r="J146">
        <v>120000</v>
      </c>
    </row>
    <row r="147" spans="2:10" x14ac:dyDescent="0.25">
      <c r="B147" t="s">
        <v>531</v>
      </c>
      <c r="C147">
        <v>0.61709999999999998</v>
      </c>
      <c r="D147">
        <v>0.88129999999999997</v>
      </c>
      <c r="E147">
        <v>4.0010000000000002E-3</v>
      </c>
      <c r="F147" s="13">
        <v>6.1950000000000004E-4</v>
      </c>
      <c r="G147">
        <v>0.27900000000000003</v>
      </c>
      <c r="H147">
        <v>3.137</v>
      </c>
      <c r="I147">
        <v>40001</v>
      </c>
      <c r="J147">
        <v>120000</v>
      </c>
    </row>
    <row r="148" spans="2:10" x14ac:dyDescent="0.25">
      <c r="B148" t="s">
        <v>532</v>
      </c>
      <c r="C148">
        <v>0.71779999999999999</v>
      </c>
      <c r="D148">
        <v>1.0009999999999999</v>
      </c>
      <c r="E148">
        <v>4.5440000000000003E-3</v>
      </c>
      <c r="F148" s="13">
        <v>7.0859999999999999E-4</v>
      </c>
      <c r="G148">
        <v>0.33119999999999999</v>
      </c>
      <c r="H148">
        <v>3.569</v>
      </c>
      <c r="I148">
        <v>40001</v>
      </c>
      <c r="J148">
        <v>120000</v>
      </c>
    </row>
    <row r="149" spans="2:10" x14ac:dyDescent="0.25">
      <c r="B149" t="s">
        <v>533</v>
      </c>
      <c r="C149">
        <v>5.2830000000000004E-3</v>
      </c>
      <c r="D149">
        <v>7.2489999999999999E-2</v>
      </c>
      <c r="E149" s="13">
        <v>8.5209999999999995E-4</v>
      </c>
      <c r="F149">
        <v>0</v>
      </c>
      <c r="G149">
        <v>0</v>
      </c>
      <c r="H149">
        <v>0</v>
      </c>
      <c r="I149">
        <v>40001</v>
      </c>
      <c r="J149">
        <v>120000</v>
      </c>
    </row>
    <row r="150" spans="2:10" x14ac:dyDescent="0.25">
      <c r="B150" t="s">
        <v>534</v>
      </c>
      <c r="C150">
        <v>3.2390000000000002E-2</v>
      </c>
      <c r="D150">
        <v>0.17699999999999999</v>
      </c>
      <c r="E150">
        <v>2.3800000000000002E-3</v>
      </c>
      <c r="F150">
        <v>0</v>
      </c>
      <c r="G150">
        <v>0</v>
      </c>
      <c r="H150">
        <v>1</v>
      </c>
      <c r="I150">
        <v>40001</v>
      </c>
      <c r="J150">
        <v>120000</v>
      </c>
    </row>
    <row r="151" spans="2:10" x14ac:dyDescent="0.25">
      <c r="B151" t="s">
        <v>535</v>
      </c>
      <c r="C151">
        <v>7.8350000000000003E-2</v>
      </c>
      <c r="D151">
        <v>0.26869999999999999</v>
      </c>
      <c r="E151">
        <v>3.6340000000000001E-3</v>
      </c>
      <c r="F151">
        <v>0</v>
      </c>
      <c r="G151">
        <v>0</v>
      </c>
      <c r="H151">
        <v>1</v>
      </c>
      <c r="I151">
        <v>40001</v>
      </c>
      <c r="J151">
        <v>120000</v>
      </c>
    </row>
    <row r="152" spans="2:10" x14ac:dyDescent="0.25">
      <c r="B152" t="s">
        <v>536</v>
      </c>
      <c r="C152">
        <v>0.1152</v>
      </c>
      <c r="D152">
        <v>0.31919999999999998</v>
      </c>
      <c r="E152">
        <v>3.8070000000000001E-3</v>
      </c>
      <c r="F152">
        <v>0</v>
      </c>
      <c r="G152">
        <v>0</v>
      </c>
      <c r="H152">
        <v>1</v>
      </c>
      <c r="I152">
        <v>40001</v>
      </c>
      <c r="J152">
        <v>120000</v>
      </c>
    </row>
    <row r="153" spans="2:10" x14ac:dyDescent="0.25">
      <c r="B153" t="s">
        <v>537</v>
      </c>
      <c r="C153">
        <v>0.14080000000000001</v>
      </c>
      <c r="D153">
        <v>0.3478</v>
      </c>
      <c r="E153">
        <v>3.5109999999999998E-3</v>
      </c>
      <c r="F153">
        <v>0</v>
      </c>
      <c r="G153">
        <v>0</v>
      </c>
      <c r="H153">
        <v>1</v>
      </c>
      <c r="I153">
        <v>40001</v>
      </c>
      <c r="J153">
        <v>120000</v>
      </c>
    </row>
    <row r="154" spans="2:10" x14ac:dyDescent="0.25">
      <c r="B154" t="s">
        <v>538</v>
      </c>
      <c r="C154">
        <v>0.1603</v>
      </c>
      <c r="D154">
        <v>0.3669</v>
      </c>
      <c r="E154">
        <v>3.545E-3</v>
      </c>
      <c r="F154">
        <v>0</v>
      </c>
      <c r="G154">
        <v>0</v>
      </c>
      <c r="H154">
        <v>1</v>
      </c>
      <c r="I154">
        <v>40001</v>
      </c>
      <c r="J154">
        <v>120000</v>
      </c>
    </row>
    <row r="155" spans="2:10" x14ac:dyDescent="0.25">
      <c r="B155" t="s">
        <v>539</v>
      </c>
      <c r="C155">
        <v>0.17660000000000001</v>
      </c>
      <c r="D155">
        <v>0.38129999999999997</v>
      </c>
      <c r="E155">
        <v>3.8700000000000002E-3</v>
      </c>
      <c r="F155">
        <v>0</v>
      </c>
      <c r="G155">
        <v>0</v>
      </c>
      <c r="H155">
        <v>1</v>
      </c>
      <c r="I155">
        <v>40001</v>
      </c>
      <c r="J155">
        <v>120000</v>
      </c>
    </row>
    <row r="156" spans="2:10" x14ac:dyDescent="0.25">
      <c r="B156" t="s">
        <v>540</v>
      </c>
      <c r="C156">
        <v>0.17449999999999999</v>
      </c>
      <c r="D156">
        <v>0.37959999999999999</v>
      </c>
      <c r="E156">
        <v>5.0889999999999998E-3</v>
      </c>
      <c r="F156">
        <v>0</v>
      </c>
      <c r="G156">
        <v>0</v>
      </c>
      <c r="H156">
        <v>1</v>
      </c>
      <c r="I156">
        <v>40001</v>
      </c>
      <c r="J156">
        <v>120000</v>
      </c>
    </row>
    <row r="157" spans="2:10" x14ac:dyDescent="0.25">
      <c r="B157" t="s">
        <v>541</v>
      </c>
      <c r="C157">
        <v>9.7280000000000005E-2</v>
      </c>
      <c r="D157">
        <v>0.29630000000000001</v>
      </c>
      <c r="E157">
        <v>4.7920000000000003E-3</v>
      </c>
      <c r="F157">
        <v>0</v>
      </c>
      <c r="G157">
        <v>0</v>
      </c>
      <c r="H157">
        <v>1</v>
      </c>
      <c r="I157">
        <v>40001</v>
      </c>
      <c r="J157">
        <v>120000</v>
      </c>
    </row>
    <row r="158" spans="2:10" x14ac:dyDescent="0.25">
      <c r="B158" t="s">
        <v>542</v>
      </c>
      <c r="C158">
        <v>1.9349999999999999E-2</v>
      </c>
      <c r="D158">
        <v>0.13780000000000001</v>
      </c>
      <c r="E158">
        <v>2.0209999999999998E-3</v>
      </c>
      <c r="F158">
        <v>0</v>
      </c>
      <c r="G158">
        <v>0</v>
      </c>
      <c r="H158">
        <v>0</v>
      </c>
      <c r="I158">
        <v>40001</v>
      </c>
      <c r="J158">
        <v>120000</v>
      </c>
    </row>
    <row r="159" spans="2:10" x14ac:dyDescent="0.25">
      <c r="B159" t="s">
        <v>543</v>
      </c>
      <c r="C159">
        <v>5.9080000000000001E-3</v>
      </c>
      <c r="D159">
        <v>7.664E-2</v>
      </c>
      <c r="E159" s="13">
        <v>7.8180000000000003E-4</v>
      </c>
      <c r="F159">
        <v>0</v>
      </c>
      <c r="G159">
        <v>0</v>
      </c>
      <c r="H159">
        <v>0</v>
      </c>
      <c r="I159">
        <v>40001</v>
      </c>
      <c r="J159">
        <v>120000</v>
      </c>
    </row>
    <row r="160" spans="2:10" x14ac:dyDescent="0.25">
      <c r="B160" t="s">
        <v>544</v>
      </c>
      <c r="C160">
        <v>4.163E-2</v>
      </c>
      <c r="D160">
        <v>0.19969999999999999</v>
      </c>
      <c r="E160">
        <v>2.3939999999999999E-3</v>
      </c>
      <c r="F160">
        <v>0</v>
      </c>
      <c r="G160">
        <v>0</v>
      </c>
      <c r="H160">
        <v>1</v>
      </c>
      <c r="I160">
        <v>40001</v>
      </c>
      <c r="J160">
        <v>120000</v>
      </c>
    </row>
    <row r="161" spans="2:10" x14ac:dyDescent="0.25">
      <c r="B161" t="s">
        <v>545</v>
      </c>
      <c r="C161">
        <v>0.1303</v>
      </c>
      <c r="D161">
        <v>0.33660000000000001</v>
      </c>
      <c r="E161">
        <v>4.1219999999999998E-3</v>
      </c>
      <c r="F161">
        <v>0</v>
      </c>
      <c r="G161">
        <v>0</v>
      </c>
      <c r="H161">
        <v>1</v>
      </c>
      <c r="I161">
        <v>40001</v>
      </c>
      <c r="J161">
        <v>120000</v>
      </c>
    </row>
    <row r="162" spans="2:10" x14ac:dyDescent="0.25">
      <c r="B162" t="s">
        <v>546</v>
      </c>
      <c r="C162">
        <v>0.20100000000000001</v>
      </c>
      <c r="D162">
        <v>0.4007</v>
      </c>
      <c r="E162">
        <v>4.3090000000000003E-3</v>
      </c>
      <c r="F162">
        <v>0</v>
      </c>
      <c r="G162">
        <v>0</v>
      </c>
      <c r="H162">
        <v>1</v>
      </c>
      <c r="I162">
        <v>40001</v>
      </c>
      <c r="J162">
        <v>120000</v>
      </c>
    </row>
    <row r="163" spans="2:10" x14ac:dyDescent="0.25">
      <c r="B163" t="s">
        <v>547</v>
      </c>
      <c r="C163">
        <v>0.19159999999999999</v>
      </c>
      <c r="D163">
        <v>0.39350000000000002</v>
      </c>
      <c r="E163">
        <v>3.5739999999999999E-3</v>
      </c>
      <c r="F163">
        <v>0</v>
      </c>
      <c r="G163">
        <v>0</v>
      </c>
      <c r="H163">
        <v>1</v>
      </c>
      <c r="I163">
        <v>40001</v>
      </c>
      <c r="J163">
        <v>120000</v>
      </c>
    </row>
    <row r="164" spans="2:10" x14ac:dyDescent="0.25">
      <c r="B164" t="s">
        <v>548</v>
      </c>
      <c r="C164">
        <v>0.16270000000000001</v>
      </c>
      <c r="D164">
        <v>0.36909999999999998</v>
      </c>
      <c r="E164">
        <v>3.1549999999999998E-3</v>
      </c>
      <c r="F164">
        <v>0</v>
      </c>
      <c r="G164">
        <v>0</v>
      </c>
      <c r="H164">
        <v>1</v>
      </c>
      <c r="I164">
        <v>40001</v>
      </c>
      <c r="J164">
        <v>120000</v>
      </c>
    </row>
    <row r="165" spans="2:10" x14ac:dyDescent="0.25">
      <c r="B165" t="s">
        <v>549</v>
      </c>
      <c r="C165">
        <v>0.12559999999999999</v>
      </c>
      <c r="D165">
        <v>0.33139999999999997</v>
      </c>
      <c r="E165">
        <v>3.215E-3</v>
      </c>
      <c r="F165">
        <v>0</v>
      </c>
      <c r="G165">
        <v>0</v>
      </c>
      <c r="H165">
        <v>1</v>
      </c>
      <c r="I165">
        <v>40001</v>
      </c>
      <c r="J165">
        <v>120000</v>
      </c>
    </row>
    <row r="166" spans="2:10" x14ac:dyDescent="0.25">
      <c r="B166" t="s">
        <v>550</v>
      </c>
      <c r="C166">
        <v>8.6940000000000003E-2</v>
      </c>
      <c r="D166">
        <v>0.28170000000000001</v>
      </c>
      <c r="E166">
        <v>3.241E-3</v>
      </c>
      <c r="F166">
        <v>0</v>
      </c>
      <c r="G166">
        <v>0</v>
      </c>
      <c r="H166">
        <v>1</v>
      </c>
      <c r="I166">
        <v>40001</v>
      </c>
      <c r="J166">
        <v>120000</v>
      </c>
    </row>
    <row r="167" spans="2:10" x14ac:dyDescent="0.25">
      <c r="B167" t="s">
        <v>551</v>
      </c>
      <c r="C167">
        <v>4.3869999999999999E-2</v>
      </c>
      <c r="D167">
        <v>0.20480000000000001</v>
      </c>
      <c r="E167">
        <v>2.369E-3</v>
      </c>
      <c r="F167">
        <v>0</v>
      </c>
      <c r="G167">
        <v>0</v>
      </c>
      <c r="H167">
        <v>1</v>
      </c>
      <c r="I167">
        <v>40001</v>
      </c>
      <c r="J167">
        <v>120000</v>
      </c>
    </row>
    <row r="168" spans="2:10" x14ac:dyDescent="0.25">
      <c r="B168" t="s">
        <v>552</v>
      </c>
      <c r="C168">
        <v>1.055E-2</v>
      </c>
      <c r="D168">
        <v>0.1022</v>
      </c>
      <c r="E168">
        <v>1.2030000000000001E-3</v>
      </c>
      <c r="F168">
        <v>0</v>
      </c>
      <c r="G168">
        <v>0</v>
      </c>
      <c r="H168">
        <v>0</v>
      </c>
      <c r="I168">
        <v>40001</v>
      </c>
      <c r="J168">
        <v>120000</v>
      </c>
    </row>
    <row r="169" spans="2:10" x14ac:dyDescent="0.25">
      <c r="B169" t="s">
        <v>553</v>
      </c>
      <c r="C169">
        <v>4.4169999999999999E-3</v>
      </c>
      <c r="D169">
        <v>6.6309999999999994E-2</v>
      </c>
      <c r="E169" s="13">
        <v>6.9800000000000005E-4</v>
      </c>
      <c r="F169">
        <v>0</v>
      </c>
      <c r="G169">
        <v>0</v>
      </c>
      <c r="H169">
        <v>0</v>
      </c>
      <c r="I169">
        <v>40001</v>
      </c>
      <c r="J169">
        <v>120000</v>
      </c>
    </row>
    <row r="170" spans="2:10" x14ac:dyDescent="0.25">
      <c r="B170" t="s">
        <v>554</v>
      </c>
      <c r="C170">
        <v>3.227E-2</v>
      </c>
      <c r="D170">
        <v>0.1767</v>
      </c>
      <c r="E170">
        <v>2.2079999999999999E-3</v>
      </c>
      <c r="F170">
        <v>0</v>
      </c>
      <c r="G170">
        <v>0</v>
      </c>
      <c r="H170">
        <v>1</v>
      </c>
      <c r="I170">
        <v>40001</v>
      </c>
      <c r="J170">
        <v>120000</v>
      </c>
    </row>
    <row r="171" spans="2:10" x14ac:dyDescent="0.25">
      <c r="B171" t="s">
        <v>555</v>
      </c>
      <c r="C171">
        <v>9.2240000000000003E-2</v>
      </c>
      <c r="D171">
        <v>0.28939999999999999</v>
      </c>
      <c r="E171">
        <v>3.4840000000000001E-3</v>
      </c>
      <c r="F171">
        <v>0</v>
      </c>
      <c r="G171">
        <v>0</v>
      </c>
      <c r="H171">
        <v>1</v>
      </c>
      <c r="I171">
        <v>40001</v>
      </c>
      <c r="J171">
        <v>120000</v>
      </c>
    </row>
    <row r="172" spans="2:10" x14ac:dyDescent="0.25">
      <c r="B172" t="s">
        <v>556</v>
      </c>
      <c r="C172">
        <v>0.1618</v>
      </c>
      <c r="D172">
        <v>0.36820000000000003</v>
      </c>
      <c r="E172">
        <v>3.8639999999999998E-3</v>
      </c>
      <c r="F172">
        <v>0</v>
      </c>
      <c r="G172">
        <v>0</v>
      </c>
      <c r="H172">
        <v>1</v>
      </c>
      <c r="I172">
        <v>40001</v>
      </c>
      <c r="J172">
        <v>120000</v>
      </c>
    </row>
    <row r="173" spans="2:10" x14ac:dyDescent="0.25">
      <c r="B173" t="s">
        <v>557</v>
      </c>
      <c r="C173">
        <v>0.20169999999999999</v>
      </c>
      <c r="D173">
        <v>0.40129999999999999</v>
      </c>
      <c r="E173">
        <v>3.6979999999999999E-3</v>
      </c>
      <c r="F173">
        <v>0</v>
      </c>
      <c r="G173">
        <v>0</v>
      </c>
      <c r="H173">
        <v>1</v>
      </c>
      <c r="I173">
        <v>40001</v>
      </c>
      <c r="J173">
        <v>120000</v>
      </c>
    </row>
    <row r="174" spans="2:10" x14ac:dyDescent="0.25">
      <c r="B174" t="s">
        <v>558</v>
      </c>
      <c r="C174">
        <v>0.1983</v>
      </c>
      <c r="D174">
        <v>0.3987</v>
      </c>
      <c r="E174">
        <v>3.6340000000000001E-3</v>
      </c>
      <c r="F174">
        <v>0</v>
      </c>
      <c r="G174">
        <v>0</v>
      </c>
      <c r="H174">
        <v>1</v>
      </c>
      <c r="I174">
        <v>40001</v>
      </c>
      <c r="J174">
        <v>120000</v>
      </c>
    </row>
    <row r="175" spans="2:10" x14ac:dyDescent="0.25">
      <c r="B175" t="s">
        <v>559</v>
      </c>
      <c r="C175">
        <v>0.157</v>
      </c>
      <c r="D175">
        <v>0.36380000000000001</v>
      </c>
      <c r="E175">
        <v>3.8080000000000002E-3</v>
      </c>
      <c r="F175">
        <v>0</v>
      </c>
      <c r="G175">
        <v>0</v>
      </c>
      <c r="H175">
        <v>1</v>
      </c>
      <c r="I175">
        <v>40001</v>
      </c>
      <c r="J175">
        <v>120000</v>
      </c>
    </row>
    <row r="176" spans="2:10" x14ac:dyDescent="0.25">
      <c r="B176" t="s">
        <v>560</v>
      </c>
      <c r="C176">
        <v>0.1028</v>
      </c>
      <c r="D176">
        <v>0.30370000000000003</v>
      </c>
      <c r="E176">
        <v>3.496E-3</v>
      </c>
      <c r="F176">
        <v>0</v>
      </c>
      <c r="G176">
        <v>0</v>
      </c>
      <c r="H176">
        <v>1</v>
      </c>
      <c r="I176">
        <v>40001</v>
      </c>
      <c r="J176">
        <v>120000</v>
      </c>
    </row>
    <row r="177" spans="2:10" x14ac:dyDescent="0.25">
      <c r="B177" t="s">
        <v>561</v>
      </c>
      <c r="C177">
        <v>4.1880000000000001E-2</v>
      </c>
      <c r="D177">
        <v>0.20030000000000001</v>
      </c>
      <c r="E177">
        <v>2.4780000000000002E-3</v>
      </c>
      <c r="F177">
        <v>0</v>
      </c>
      <c r="G177">
        <v>0</v>
      </c>
      <c r="H177">
        <v>1</v>
      </c>
      <c r="I177">
        <v>40001</v>
      </c>
      <c r="J177">
        <v>120000</v>
      </c>
    </row>
    <row r="178" spans="2:10" x14ac:dyDescent="0.25">
      <c r="B178" t="s">
        <v>562</v>
      </c>
      <c r="C178">
        <v>7.7079999999999996E-3</v>
      </c>
      <c r="D178">
        <v>8.7459999999999996E-2</v>
      </c>
      <c r="E178" s="13">
        <v>9.1929999999999996E-4</v>
      </c>
      <c r="F178">
        <v>0</v>
      </c>
      <c r="G178">
        <v>0</v>
      </c>
      <c r="H178">
        <v>0</v>
      </c>
      <c r="I178">
        <v>40001</v>
      </c>
      <c r="J178">
        <v>120000</v>
      </c>
    </row>
    <row r="179" spans="2:10" x14ac:dyDescent="0.25">
      <c r="B179" t="s">
        <v>563</v>
      </c>
      <c r="C179">
        <v>1.5679999999999999E-2</v>
      </c>
      <c r="D179">
        <v>0.1242</v>
      </c>
      <c r="E179">
        <v>1.4549999999999999E-3</v>
      </c>
      <c r="F179">
        <v>0</v>
      </c>
      <c r="G179">
        <v>0</v>
      </c>
      <c r="H179">
        <v>0</v>
      </c>
      <c r="I179">
        <v>40001</v>
      </c>
      <c r="J179">
        <v>120000</v>
      </c>
    </row>
    <row r="180" spans="2:10" x14ac:dyDescent="0.25">
      <c r="B180" t="s">
        <v>564</v>
      </c>
      <c r="C180">
        <v>5.9159999999999997E-2</v>
      </c>
      <c r="D180">
        <v>0.2359</v>
      </c>
      <c r="E180">
        <v>2.885E-3</v>
      </c>
      <c r="F180">
        <v>0</v>
      </c>
      <c r="G180">
        <v>0</v>
      </c>
      <c r="H180">
        <v>1</v>
      </c>
      <c r="I180">
        <v>40001</v>
      </c>
      <c r="J180">
        <v>120000</v>
      </c>
    </row>
    <row r="181" spans="2:10" x14ac:dyDescent="0.25">
      <c r="B181" t="s">
        <v>565</v>
      </c>
      <c r="C181">
        <v>0.1016</v>
      </c>
      <c r="D181">
        <v>0.30209999999999998</v>
      </c>
      <c r="E181">
        <v>3.3760000000000001E-3</v>
      </c>
      <c r="F181">
        <v>0</v>
      </c>
      <c r="G181">
        <v>0</v>
      </c>
      <c r="H181">
        <v>1</v>
      </c>
      <c r="I181">
        <v>40001</v>
      </c>
      <c r="J181">
        <v>120000</v>
      </c>
    </row>
    <row r="182" spans="2:10" x14ac:dyDescent="0.25">
      <c r="B182" t="s">
        <v>566</v>
      </c>
      <c r="C182">
        <v>0.1072</v>
      </c>
      <c r="D182">
        <v>0.30930000000000002</v>
      </c>
      <c r="E182">
        <v>2.794E-3</v>
      </c>
      <c r="F182">
        <v>0</v>
      </c>
      <c r="G182">
        <v>0</v>
      </c>
      <c r="H182">
        <v>1</v>
      </c>
      <c r="I182">
        <v>40001</v>
      </c>
      <c r="J182">
        <v>120000</v>
      </c>
    </row>
    <row r="183" spans="2:10" x14ac:dyDescent="0.25">
      <c r="B183" t="s">
        <v>567</v>
      </c>
      <c r="C183">
        <v>0.1026</v>
      </c>
      <c r="D183">
        <v>0.3034</v>
      </c>
      <c r="E183">
        <v>2.4529999999999999E-3</v>
      </c>
      <c r="F183">
        <v>0</v>
      </c>
      <c r="G183">
        <v>0</v>
      </c>
      <c r="H183">
        <v>1</v>
      </c>
      <c r="I183">
        <v>40001</v>
      </c>
      <c r="J183">
        <v>120000</v>
      </c>
    </row>
    <row r="184" spans="2:10" x14ac:dyDescent="0.25">
      <c r="B184" t="s">
        <v>568</v>
      </c>
      <c r="C184">
        <v>0.1094</v>
      </c>
      <c r="D184">
        <v>0.31219999999999998</v>
      </c>
      <c r="E184">
        <v>2.2910000000000001E-3</v>
      </c>
      <c r="F184">
        <v>0</v>
      </c>
      <c r="G184">
        <v>0</v>
      </c>
      <c r="H184">
        <v>1</v>
      </c>
      <c r="I184">
        <v>40001</v>
      </c>
      <c r="J184">
        <v>120000</v>
      </c>
    </row>
    <row r="185" spans="2:10" x14ac:dyDescent="0.25">
      <c r="B185" t="s">
        <v>569</v>
      </c>
      <c r="C185">
        <v>0.12670000000000001</v>
      </c>
      <c r="D185">
        <v>0.3327</v>
      </c>
      <c r="E185">
        <v>2.7529999999999998E-3</v>
      </c>
      <c r="F185">
        <v>0</v>
      </c>
      <c r="G185">
        <v>0</v>
      </c>
      <c r="H185">
        <v>1</v>
      </c>
      <c r="I185">
        <v>40001</v>
      </c>
      <c r="J185">
        <v>120000</v>
      </c>
    </row>
    <row r="186" spans="2:10" x14ac:dyDescent="0.25">
      <c r="B186" t="s">
        <v>570</v>
      </c>
      <c r="C186">
        <v>0.1497</v>
      </c>
      <c r="D186">
        <v>0.35680000000000001</v>
      </c>
      <c r="E186">
        <v>3.2959999999999999E-3</v>
      </c>
      <c r="F186">
        <v>0</v>
      </c>
      <c r="G186">
        <v>0</v>
      </c>
      <c r="H186">
        <v>1</v>
      </c>
      <c r="I186">
        <v>40001</v>
      </c>
      <c r="J186">
        <v>120000</v>
      </c>
    </row>
    <row r="187" spans="2:10" x14ac:dyDescent="0.25">
      <c r="B187" t="s">
        <v>571</v>
      </c>
      <c r="C187">
        <v>0.15049999999999999</v>
      </c>
      <c r="D187">
        <v>0.35749999999999998</v>
      </c>
      <c r="E187">
        <v>4.4669999999999996E-3</v>
      </c>
      <c r="F187">
        <v>0</v>
      </c>
      <c r="G187">
        <v>0</v>
      </c>
      <c r="H187">
        <v>1</v>
      </c>
      <c r="I187">
        <v>40001</v>
      </c>
      <c r="J187">
        <v>120000</v>
      </c>
    </row>
    <row r="188" spans="2:10" x14ac:dyDescent="0.25">
      <c r="B188" t="s">
        <v>572</v>
      </c>
      <c r="C188">
        <v>7.7479999999999993E-2</v>
      </c>
      <c r="D188">
        <v>0.26729999999999998</v>
      </c>
      <c r="E188">
        <v>4.7499999999999999E-3</v>
      </c>
      <c r="F188">
        <v>0</v>
      </c>
      <c r="G188">
        <v>0</v>
      </c>
      <c r="H188">
        <v>1</v>
      </c>
      <c r="I188">
        <v>40001</v>
      </c>
      <c r="J188">
        <v>120000</v>
      </c>
    </row>
    <row r="189" spans="2:10" x14ac:dyDescent="0.25">
      <c r="B189" t="s">
        <v>573</v>
      </c>
      <c r="C189">
        <v>0.29160000000000003</v>
      </c>
      <c r="D189">
        <v>0.45450000000000002</v>
      </c>
      <c r="E189">
        <v>9.4039999999999992E-3</v>
      </c>
      <c r="F189">
        <v>0</v>
      </c>
      <c r="G189">
        <v>0</v>
      </c>
      <c r="H189">
        <v>1</v>
      </c>
      <c r="I189">
        <v>40001</v>
      </c>
      <c r="J189">
        <v>120000</v>
      </c>
    </row>
    <row r="190" spans="2:10" x14ac:dyDescent="0.25">
      <c r="B190" t="s">
        <v>574</v>
      </c>
      <c r="C190">
        <v>0.25890000000000002</v>
      </c>
      <c r="D190">
        <v>0.438</v>
      </c>
      <c r="E190">
        <v>6.2129999999999998E-3</v>
      </c>
      <c r="F190">
        <v>0</v>
      </c>
      <c r="G190">
        <v>0</v>
      </c>
      <c r="H190">
        <v>1</v>
      </c>
      <c r="I190">
        <v>40001</v>
      </c>
      <c r="J190">
        <v>120000</v>
      </c>
    </row>
    <row r="191" spans="2:10" x14ac:dyDescent="0.25">
      <c r="B191" t="s">
        <v>575</v>
      </c>
      <c r="C191">
        <v>0.13320000000000001</v>
      </c>
      <c r="D191">
        <v>0.33979999999999999</v>
      </c>
      <c r="E191">
        <v>3.9350000000000001E-3</v>
      </c>
      <c r="F191">
        <v>0</v>
      </c>
      <c r="G191">
        <v>0</v>
      </c>
      <c r="H191">
        <v>1</v>
      </c>
      <c r="I191">
        <v>40001</v>
      </c>
      <c r="J191">
        <v>120000</v>
      </c>
    </row>
    <row r="192" spans="2:10" x14ac:dyDescent="0.25">
      <c r="B192" t="s">
        <v>576</v>
      </c>
      <c r="C192">
        <v>6.3009999999999997E-2</v>
      </c>
      <c r="D192">
        <v>0.24299999999999999</v>
      </c>
      <c r="E192">
        <v>2.006E-3</v>
      </c>
      <c r="F192">
        <v>0</v>
      </c>
      <c r="G192">
        <v>0</v>
      </c>
      <c r="H192">
        <v>1</v>
      </c>
      <c r="I192">
        <v>40001</v>
      </c>
      <c r="J192">
        <v>120000</v>
      </c>
    </row>
    <row r="193" spans="2:10" x14ac:dyDescent="0.25">
      <c r="B193" t="s">
        <v>577</v>
      </c>
      <c r="C193">
        <v>3.9210000000000002E-2</v>
      </c>
      <c r="D193">
        <v>0.19409999999999999</v>
      </c>
      <c r="E193">
        <v>1.305E-3</v>
      </c>
      <c r="F193">
        <v>0</v>
      </c>
      <c r="G193">
        <v>0</v>
      </c>
      <c r="H193">
        <v>1</v>
      </c>
      <c r="I193">
        <v>40001</v>
      </c>
      <c r="J193">
        <v>120000</v>
      </c>
    </row>
    <row r="194" spans="2:10" x14ac:dyDescent="0.25">
      <c r="B194" t="s">
        <v>578</v>
      </c>
      <c r="C194">
        <v>3.4000000000000002E-2</v>
      </c>
      <c r="D194">
        <v>0.1812</v>
      </c>
      <c r="E194">
        <v>1.178E-3</v>
      </c>
      <c r="F194">
        <v>0</v>
      </c>
      <c r="G194">
        <v>0</v>
      </c>
      <c r="H194">
        <v>1</v>
      </c>
      <c r="I194">
        <v>40001</v>
      </c>
      <c r="J194">
        <v>120000</v>
      </c>
    </row>
    <row r="195" spans="2:10" x14ac:dyDescent="0.25">
      <c r="B195" t="s">
        <v>579</v>
      </c>
      <c r="C195">
        <v>3.5220000000000001E-2</v>
      </c>
      <c r="D195">
        <v>0.18429999999999999</v>
      </c>
      <c r="E195">
        <v>1.322E-3</v>
      </c>
      <c r="F195">
        <v>0</v>
      </c>
      <c r="G195">
        <v>0</v>
      </c>
      <c r="H195">
        <v>1</v>
      </c>
      <c r="I195">
        <v>40001</v>
      </c>
      <c r="J195">
        <v>120000</v>
      </c>
    </row>
    <row r="196" spans="2:10" x14ac:dyDescent="0.25">
      <c r="B196" t="s">
        <v>580</v>
      </c>
      <c r="C196">
        <v>4.2430000000000002E-2</v>
      </c>
      <c r="D196">
        <v>0.2016</v>
      </c>
      <c r="E196">
        <v>1.897E-3</v>
      </c>
      <c r="F196">
        <v>0</v>
      </c>
      <c r="G196">
        <v>0</v>
      </c>
      <c r="H196">
        <v>1</v>
      </c>
      <c r="I196">
        <v>40001</v>
      </c>
      <c r="J196">
        <v>120000</v>
      </c>
    </row>
    <row r="197" spans="2:10" x14ac:dyDescent="0.25">
      <c r="B197" t="s">
        <v>581</v>
      </c>
      <c r="C197">
        <v>5.849E-2</v>
      </c>
      <c r="D197">
        <v>0.23469999999999999</v>
      </c>
      <c r="E197">
        <v>3.3180000000000002E-3</v>
      </c>
      <c r="F197">
        <v>0</v>
      </c>
      <c r="G197">
        <v>0</v>
      </c>
      <c r="H197">
        <v>1</v>
      </c>
      <c r="I197">
        <v>40001</v>
      </c>
      <c r="J197">
        <v>120000</v>
      </c>
    </row>
    <row r="198" spans="2:10" x14ac:dyDescent="0.25">
      <c r="B198" t="s">
        <v>582</v>
      </c>
      <c r="C198">
        <v>4.3950000000000003E-2</v>
      </c>
      <c r="D198">
        <v>0.20499999999999999</v>
      </c>
      <c r="E198">
        <v>3.2720000000000002E-3</v>
      </c>
      <c r="F198">
        <v>0</v>
      </c>
      <c r="G198">
        <v>0</v>
      </c>
      <c r="H198">
        <v>1</v>
      </c>
      <c r="I198">
        <v>40001</v>
      </c>
      <c r="J198">
        <v>120000</v>
      </c>
    </row>
    <row r="199" spans="2:10" x14ac:dyDescent="0.25">
      <c r="B199" t="s">
        <v>583</v>
      </c>
      <c r="C199">
        <v>0.1578</v>
      </c>
      <c r="D199">
        <v>0.36459999999999998</v>
      </c>
      <c r="E199">
        <v>6.6150000000000002E-3</v>
      </c>
      <c r="F199">
        <v>0</v>
      </c>
      <c r="G199">
        <v>0</v>
      </c>
      <c r="H199">
        <v>1</v>
      </c>
      <c r="I199">
        <v>40001</v>
      </c>
      <c r="J199">
        <v>120000</v>
      </c>
    </row>
    <row r="200" spans="2:10" x14ac:dyDescent="0.25">
      <c r="B200" t="s">
        <v>584</v>
      </c>
      <c r="C200">
        <v>0.22550000000000001</v>
      </c>
      <c r="D200">
        <v>0.41789999999999999</v>
      </c>
      <c r="E200">
        <v>5.2649999999999997E-3</v>
      </c>
      <c r="F200">
        <v>0</v>
      </c>
      <c r="G200">
        <v>0</v>
      </c>
      <c r="H200">
        <v>1</v>
      </c>
      <c r="I200">
        <v>40001</v>
      </c>
      <c r="J200">
        <v>120000</v>
      </c>
    </row>
    <row r="201" spans="2:10" x14ac:dyDescent="0.25">
      <c r="B201" t="s">
        <v>585</v>
      </c>
      <c r="C201">
        <v>0.16739999999999999</v>
      </c>
      <c r="D201">
        <v>0.37340000000000001</v>
      </c>
      <c r="E201">
        <v>3.777E-3</v>
      </c>
      <c r="F201">
        <v>0</v>
      </c>
      <c r="G201">
        <v>0</v>
      </c>
      <c r="H201">
        <v>1</v>
      </c>
      <c r="I201">
        <v>40001</v>
      </c>
      <c r="J201">
        <v>120000</v>
      </c>
    </row>
    <row r="202" spans="2:10" x14ac:dyDescent="0.25">
      <c r="B202" t="s">
        <v>586</v>
      </c>
      <c r="C202">
        <v>9.7229999999999997E-2</v>
      </c>
      <c r="D202">
        <v>0.29630000000000001</v>
      </c>
      <c r="E202">
        <v>2.6719999999999999E-3</v>
      </c>
      <c r="F202">
        <v>0</v>
      </c>
      <c r="G202">
        <v>0</v>
      </c>
      <c r="H202">
        <v>1</v>
      </c>
      <c r="I202">
        <v>40001</v>
      </c>
      <c r="J202">
        <v>120000</v>
      </c>
    </row>
    <row r="203" spans="2:10" x14ac:dyDescent="0.25">
      <c r="B203" t="s">
        <v>587</v>
      </c>
      <c r="C203">
        <v>6.3689999999999997E-2</v>
      </c>
      <c r="D203">
        <v>0.2442</v>
      </c>
      <c r="E203">
        <v>1.7099999999999999E-3</v>
      </c>
      <c r="F203">
        <v>0</v>
      </c>
      <c r="G203">
        <v>0</v>
      </c>
      <c r="H203">
        <v>1</v>
      </c>
      <c r="I203">
        <v>40001</v>
      </c>
      <c r="J203">
        <v>120000</v>
      </c>
    </row>
    <row r="204" spans="2:10" x14ac:dyDescent="0.25">
      <c r="B204" t="s">
        <v>588</v>
      </c>
      <c r="C204">
        <v>5.151E-2</v>
      </c>
      <c r="D204">
        <v>0.221</v>
      </c>
      <c r="E204">
        <v>1.346E-3</v>
      </c>
      <c r="F204">
        <v>0</v>
      </c>
      <c r="G204">
        <v>0</v>
      </c>
      <c r="H204">
        <v>1</v>
      </c>
      <c r="I204">
        <v>40001</v>
      </c>
      <c r="J204">
        <v>120000</v>
      </c>
    </row>
    <row r="205" spans="2:10" x14ac:dyDescent="0.25">
      <c r="B205" t="s">
        <v>589</v>
      </c>
      <c r="C205">
        <v>5.355E-2</v>
      </c>
      <c r="D205">
        <v>0.22509999999999999</v>
      </c>
      <c r="E205">
        <v>1.5479999999999999E-3</v>
      </c>
      <c r="F205">
        <v>0</v>
      </c>
      <c r="G205">
        <v>0</v>
      </c>
      <c r="H205">
        <v>1</v>
      </c>
      <c r="I205">
        <v>40001</v>
      </c>
      <c r="J205">
        <v>120000</v>
      </c>
    </row>
    <row r="206" spans="2:10" x14ac:dyDescent="0.25">
      <c r="B206" t="s">
        <v>590</v>
      </c>
      <c r="C206">
        <v>6.3509999999999997E-2</v>
      </c>
      <c r="D206">
        <v>0.24390000000000001</v>
      </c>
      <c r="E206">
        <v>2.1740000000000002E-3</v>
      </c>
      <c r="F206">
        <v>0</v>
      </c>
      <c r="G206">
        <v>0</v>
      </c>
      <c r="H206">
        <v>1</v>
      </c>
      <c r="I206">
        <v>40001</v>
      </c>
      <c r="J206">
        <v>120000</v>
      </c>
    </row>
    <row r="207" spans="2:10" x14ac:dyDescent="0.25">
      <c r="B207" t="s">
        <v>591</v>
      </c>
      <c r="C207">
        <v>7.3620000000000005E-2</v>
      </c>
      <c r="D207">
        <v>0.26119999999999999</v>
      </c>
      <c r="E207">
        <v>2.9949999999999998E-3</v>
      </c>
      <c r="F207">
        <v>0</v>
      </c>
      <c r="G207">
        <v>0</v>
      </c>
      <c r="H207">
        <v>1</v>
      </c>
      <c r="I207">
        <v>40001</v>
      </c>
      <c r="J207">
        <v>120000</v>
      </c>
    </row>
    <row r="208" spans="2:10" x14ac:dyDescent="0.25">
      <c r="B208" t="s">
        <v>592</v>
      </c>
      <c r="C208">
        <v>4.614E-2</v>
      </c>
      <c r="D208">
        <v>0.20979999999999999</v>
      </c>
      <c r="E208">
        <v>2.9619999999999998E-3</v>
      </c>
      <c r="F208">
        <v>0</v>
      </c>
      <c r="G208">
        <v>0</v>
      </c>
      <c r="H208">
        <v>1</v>
      </c>
      <c r="I208">
        <v>40001</v>
      </c>
      <c r="J208">
        <v>120000</v>
      </c>
    </row>
    <row r="209" spans="2:10" x14ac:dyDescent="0.25">
      <c r="B209" t="s">
        <v>593</v>
      </c>
      <c r="C209">
        <v>0.20330000000000001</v>
      </c>
      <c r="D209">
        <v>0.40239999999999998</v>
      </c>
      <c r="E209">
        <v>7.4739999999999997E-3</v>
      </c>
      <c r="F209">
        <v>0</v>
      </c>
      <c r="G209">
        <v>0</v>
      </c>
      <c r="H209">
        <v>1</v>
      </c>
      <c r="I209">
        <v>40001</v>
      </c>
      <c r="J209">
        <v>120000</v>
      </c>
    </row>
    <row r="210" spans="2:10" x14ac:dyDescent="0.25">
      <c r="B210" t="s">
        <v>594</v>
      </c>
      <c r="C210">
        <v>0.23810000000000001</v>
      </c>
      <c r="D210">
        <v>0.4259</v>
      </c>
      <c r="E210">
        <v>5.215E-3</v>
      </c>
      <c r="F210">
        <v>0</v>
      </c>
      <c r="G210">
        <v>0</v>
      </c>
      <c r="H210">
        <v>1</v>
      </c>
      <c r="I210">
        <v>40001</v>
      </c>
      <c r="J210">
        <v>120000</v>
      </c>
    </row>
    <row r="211" spans="2:10" x14ac:dyDescent="0.25">
      <c r="B211" t="s">
        <v>595</v>
      </c>
      <c r="C211">
        <v>0.16289999999999999</v>
      </c>
      <c r="D211">
        <v>0.36930000000000002</v>
      </c>
      <c r="E211">
        <v>4.1469999999999996E-3</v>
      </c>
      <c r="F211">
        <v>0</v>
      </c>
      <c r="G211">
        <v>0</v>
      </c>
      <c r="H211">
        <v>1</v>
      </c>
      <c r="I211">
        <v>40001</v>
      </c>
      <c r="J211">
        <v>120000</v>
      </c>
    </row>
    <row r="212" spans="2:10" x14ac:dyDescent="0.25">
      <c r="B212" t="s">
        <v>596</v>
      </c>
      <c r="C212">
        <v>7.9549999999999996E-2</v>
      </c>
      <c r="D212">
        <v>0.27060000000000001</v>
      </c>
      <c r="E212">
        <v>2.4199999999999998E-3</v>
      </c>
      <c r="F212">
        <v>0</v>
      </c>
      <c r="G212">
        <v>0</v>
      </c>
      <c r="H212">
        <v>1</v>
      </c>
      <c r="I212">
        <v>40001</v>
      </c>
      <c r="J212">
        <v>120000</v>
      </c>
    </row>
    <row r="213" spans="2:10" x14ac:dyDescent="0.25">
      <c r="B213" t="s">
        <v>597</v>
      </c>
      <c r="C213">
        <v>5.1920000000000001E-2</v>
      </c>
      <c r="D213">
        <v>0.22189999999999999</v>
      </c>
      <c r="E213">
        <v>1.42E-3</v>
      </c>
      <c r="F213">
        <v>0</v>
      </c>
      <c r="G213">
        <v>0</v>
      </c>
      <c r="H213">
        <v>1</v>
      </c>
      <c r="I213">
        <v>40001</v>
      </c>
      <c r="J213">
        <v>120000</v>
      </c>
    </row>
    <row r="214" spans="2:10" x14ac:dyDescent="0.25">
      <c r="B214" t="s">
        <v>598</v>
      </c>
      <c r="C214">
        <v>4.4839999999999998E-2</v>
      </c>
      <c r="D214">
        <v>0.20699999999999999</v>
      </c>
      <c r="E214">
        <v>1.3450000000000001E-3</v>
      </c>
      <c r="F214">
        <v>0</v>
      </c>
      <c r="G214">
        <v>0</v>
      </c>
      <c r="H214">
        <v>1</v>
      </c>
      <c r="I214">
        <v>40001</v>
      </c>
      <c r="J214">
        <v>120000</v>
      </c>
    </row>
    <row r="215" spans="2:10" x14ac:dyDescent="0.25">
      <c r="B215" t="s">
        <v>599</v>
      </c>
      <c r="C215">
        <v>4.5569999999999999E-2</v>
      </c>
      <c r="D215">
        <v>0.20849999999999999</v>
      </c>
      <c r="E215">
        <v>1.5499999999999999E-3</v>
      </c>
      <c r="F215">
        <v>0</v>
      </c>
      <c r="G215">
        <v>0</v>
      </c>
      <c r="H215">
        <v>1</v>
      </c>
      <c r="I215">
        <v>40001</v>
      </c>
      <c r="J215">
        <v>120000</v>
      </c>
    </row>
    <row r="216" spans="2:10" x14ac:dyDescent="0.25">
      <c r="B216" t="s">
        <v>600</v>
      </c>
      <c r="C216">
        <v>5.5410000000000001E-2</v>
      </c>
      <c r="D216">
        <v>0.2288</v>
      </c>
      <c r="E216">
        <v>2.1299999999999999E-3</v>
      </c>
      <c r="F216">
        <v>0</v>
      </c>
      <c r="G216">
        <v>0</v>
      </c>
      <c r="H216">
        <v>1</v>
      </c>
      <c r="I216">
        <v>40001</v>
      </c>
      <c r="J216">
        <v>120000</v>
      </c>
    </row>
    <row r="217" spans="2:10" x14ac:dyDescent="0.25">
      <c r="B217" t="s">
        <v>601</v>
      </c>
      <c r="C217">
        <v>6.9529999999999995E-2</v>
      </c>
      <c r="D217">
        <v>0.25430000000000003</v>
      </c>
      <c r="E217">
        <v>3.2590000000000002E-3</v>
      </c>
      <c r="F217">
        <v>0</v>
      </c>
      <c r="G217">
        <v>0</v>
      </c>
      <c r="H217">
        <v>1</v>
      </c>
      <c r="I217">
        <v>40001</v>
      </c>
      <c r="J217">
        <v>120000</v>
      </c>
    </row>
    <row r="218" spans="2:10" x14ac:dyDescent="0.25">
      <c r="B218" t="s">
        <v>602</v>
      </c>
      <c r="C218">
        <v>4.8919999999999998E-2</v>
      </c>
      <c r="D218">
        <v>0.2157</v>
      </c>
      <c r="E218">
        <v>3.326E-3</v>
      </c>
      <c r="F218">
        <v>0</v>
      </c>
      <c r="G218">
        <v>0</v>
      </c>
      <c r="H218">
        <v>1</v>
      </c>
      <c r="I218">
        <v>40001</v>
      </c>
      <c r="J218">
        <v>120000</v>
      </c>
    </row>
    <row r="219" spans="2:10" x14ac:dyDescent="0.25">
      <c r="B219" t="s">
        <v>603</v>
      </c>
      <c r="C219">
        <v>0.30740000000000001</v>
      </c>
      <c r="D219">
        <v>0.46139999999999998</v>
      </c>
      <c r="E219">
        <v>1.461E-2</v>
      </c>
      <c r="F219">
        <v>0</v>
      </c>
      <c r="G219">
        <v>0</v>
      </c>
      <c r="H219">
        <v>1</v>
      </c>
      <c r="I219">
        <v>40001</v>
      </c>
      <c r="J219">
        <v>120000</v>
      </c>
    </row>
    <row r="220" spans="2:10" x14ac:dyDescent="0.25">
      <c r="B220" t="s">
        <v>604</v>
      </c>
      <c r="C220">
        <v>7.1429999999999993E-2</v>
      </c>
      <c r="D220">
        <v>0.25750000000000001</v>
      </c>
      <c r="E220">
        <v>3.8539999999999998E-3</v>
      </c>
      <c r="F220">
        <v>0</v>
      </c>
      <c r="G220">
        <v>0</v>
      </c>
      <c r="H220">
        <v>1</v>
      </c>
      <c r="I220">
        <v>40001</v>
      </c>
      <c r="J220">
        <v>120000</v>
      </c>
    </row>
    <row r="221" spans="2:10" x14ac:dyDescent="0.25">
      <c r="B221" t="s">
        <v>605</v>
      </c>
      <c r="C221">
        <v>4.0500000000000001E-2</v>
      </c>
      <c r="D221">
        <v>0.1971</v>
      </c>
      <c r="E221">
        <v>2.405E-3</v>
      </c>
      <c r="F221">
        <v>0</v>
      </c>
      <c r="G221">
        <v>0</v>
      </c>
      <c r="H221">
        <v>1</v>
      </c>
      <c r="I221">
        <v>40001</v>
      </c>
      <c r="J221">
        <v>120000</v>
      </c>
    </row>
    <row r="222" spans="2:10" x14ac:dyDescent="0.25">
      <c r="B222" t="s">
        <v>606</v>
      </c>
      <c r="C222">
        <v>2.3800000000000002E-2</v>
      </c>
      <c r="D222">
        <v>0.15240000000000001</v>
      </c>
      <c r="E222">
        <v>1.462E-3</v>
      </c>
      <c r="F222">
        <v>0</v>
      </c>
      <c r="G222">
        <v>0</v>
      </c>
      <c r="H222">
        <v>0</v>
      </c>
      <c r="I222">
        <v>40001</v>
      </c>
      <c r="J222">
        <v>120000</v>
      </c>
    </row>
    <row r="223" spans="2:10" x14ac:dyDescent="0.25">
      <c r="B223" t="s">
        <v>607</v>
      </c>
      <c r="C223">
        <v>1.5299999999999999E-2</v>
      </c>
      <c r="D223">
        <v>0.1227</v>
      </c>
      <c r="E223" s="13">
        <v>9.5180000000000004E-4</v>
      </c>
      <c r="F223">
        <v>0</v>
      </c>
      <c r="G223">
        <v>0</v>
      </c>
      <c r="H223">
        <v>0</v>
      </c>
      <c r="I223">
        <v>40001</v>
      </c>
      <c r="J223">
        <v>120000</v>
      </c>
    </row>
    <row r="224" spans="2:10" x14ac:dyDescent="0.25">
      <c r="B224" t="s">
        <v>608</v>
      </c>
      <c r="C224">
        <v>1.487E-2</v>
      </c>
      <c r="D224">
        <v>0.1211</v>
      </c>
      <c r="E224" s="13">
        <v>9.0479999999999998E-4</v>
      </c>
      <c r="F224">
        <v>0</v>
      </c>
      <c r="G224">
        <v>0</v>
      </c>
      <c r="H224">
        <v>0</v>
      </c>
      <c r="I224">
        <v>40001</v>
      </c>
      <c r="J224">
        <v>120000</v>
      </c>
    </row>
    <row r="225" spans="2:10" x14ac:dyDescent="0.25">
      <c r="B225" t="s">
        <v>609</v>
      </c>
      <c r="C225">
        <v>1.6379999999999999E-2</v>
      </c>
      <c r="D225">
        <v>0.12690000000000001</v>
      </c>
      <c r="E225">
        <v>1.023E-3</v>
      </c>
      <c r="F225">
        <v>0</v>
      </c>
      <c r="G225">
        <v>0</v>
      </c>
      <c r="H225">
        <v>0</v>
      </c>
      <c r="I225">
        <v>40001</v>
      </c>
      <c r="J225">
        <v>120000</v>
      </c>
    </row>
    <row r="226" spans="2:10" x14ac:dyDescent="0.25">
      <c r="B226" t="s">
        <v>610</v>
      </c>
      <c r="C226">
        <v>2.2440000000000002E-2</v>
      </c>
      <c r="D226">
        <v>0.14810000000000001</v>
      </c>
      <c r="E226">
        <v>1.3079999999999999E-3</v>
      </c>
      <c r="F226">
        <v>0</v>
      </c>
      <c r="G226">
        <v>0</v>
      </c>
      <c r="H226">
        <v>0</v>
      </c>
      <c r="I226">
        <v>40001</v>
      </c>
      <c r="J226">
        <v>120000</v>
      </c>
    </row>
    <row r="227" spans="2:10" x14ac:dyDescent="0.25">
      <c r="B227" t="s">
        <v>611</v>
      </c>
      <c r="C227">
        <v>4.3580000000000001E-2</v>
      </c>
      <c r="D227">
        <v>0.20419999999999999</v>
      </c>
      <c r="E227">
        <v>2.4610000000000001E-3</v>
      </c>
      <c r="F227">
        <v>0</v>
      </c>
      <c r="G227">
        <v>0</v>
      </c>
      <c r="H227">
        <v>1</v>
      </c>
      <c r="I227">
        <v>40001</v>
      </c>
      <c r="J227">
        <v>120000</v>
      </c>
    </row>
    <row r="228" spans="2:10" x14ac:dyDescent="0.25">
      <c r="B228" t="s">
        <v>612</v>
      </c>
      <c r="C228">
        <v>0.44419999999999998</v>
      </c>
      <c r="D228">
        <v>0.49690000000000001</v>
      </c>
      <c r="E228">
        <v>1.626E-2</v>
      </c>
      <c r="F228">
        <v>0</v>
      </c>
      <c r="G228">
        <v>0</v>
      </c>
      <c r="H228">
        <v>1</v>
      </c>
      <c r="I228">
        <v>40001</v>
      </c>
      <c r="J228">
        <v>120000</v>
      </c>
    </row>
    <row r="229" spans="2:10" x14ac:dyDescent="0.25">
      <c r="B229" t="s">
        <v>613</v>
      </c>
      <c r="C229">
        <v>2.8579999999999999E-3</v>
      </c>
      <c r="D229">
        <v>5.339E-2</v>
      </c>
      <c r="E229" s="13">
        <v>4.8589999999999999E-4</v>
      </c>
      <c r="F229">
        <v>0</v>
      </c>
      <c r="G229">
        <v>0</v>
      </c>
      <c r="H229">
        <v>0</v>
      </c>
      <c r="I229">
        <v>40001</v>
      </c>
      <c r="J229">
        <v>120000</v>
      </c>
    </row>
    <row r="230" spans="2:10" x14ac:dyDescent="0.25">
      <c r="B230" t="s">
        <v>614</v>
      </c>
      <c r="C230">
        <v>1.2619999999999999E-2</v>
      </c>
      <c r="D230">
        <v>0.1116</v>
      </c>
      <c r="E230">
        <v>1.2979999999999999E-3</v>
      </c>
      <c r="F230">
        <v>0</v>
      </c>
      <c r="G230">
        <v>0</v>
      </c>
      <c r="H230">
        <v>0</v>
      </c>
      <c r="I230">
        <v>40001</v>
      </c>
      <c r="J230">
        <v>120000</v>
      </c>
    </row>
    <row r="231" spans="2:10" x14ac:dyDescent="0.25">
      <c r="B231" t="s">
        <v>615</v>
      </c>
      <c r="C231">
        <v>2.4629999999999999E-2</v>
      </c>
      <c r="D231">
        <v>0.155</v>
      </c>
      <c r="E231">
        <v>1.6249999999999999E-3</v>
      </c>
      <c r="F231">
        <v>0</v>
      </c>
      <c r="G231">
        <v>0</v>
      </c>
      <c r="H231">
        <v>0</v>
      </c>
      <c r="I231">
        <v>40001</v>
      </c>
      <c r="J231">
        <v>120000</v>
      </c>
    </row>
    <row r="232" spans="2:10" x14ac:dyDescent="0.25">
      <c r="B232" t="s">
        <v>616</v>
      </c>
      <c r="C232">
        <v>3.5950000000000003E-2</v>
      </c>
      <c r="D232">
        <v>0.1862</v>
      </c>
      <c r="E232">
        <v>1.792E-3</v>
      </c>
      <c r="F232">
        <v>0</v>
      </c>
      <c r="G232">
        <v>0</v>
      </c>
      <c r="H232">
        <v>1</v>
      </c>
      <c r="I232">
        <v>40001</v>
      </c>
      <c r="J232">
        <v>120000</v>
      </c>
    </row>
    <row r="233" spans="2:10" x14ac:dyDescent="0.25">
      <c r="B233" t="s">
        <v>617</v>
      </c>
      <c r="C233">
        <v>4.6210000000000001E-2</v>
      </c>
      <c r="D233">
        <v>0.2099</v>
      </c>
      <c r="E233">
        <v>1.835E-3</v>
      </c>
      <c r="F233">
        <v>0</v>
      </c>
      <c r="G233">
        <v>0</v>
      </c>
      <c r="H233">
        <v>1</v>
      </c>
      <c r="I233">
        <v>40001</v>
      </c>
      <c r="J233">
        <v>120000</v>
      </c>
    </row>
    <row r="234" spans="2:10" x14ac:dyDescent="0.25">
      <c r="B234" t="s">
        <v>618</v>
      </c>
      <c r="C234">
        <v>5.824E-2</v>
      </c>
      <c r="D234">
        <v>0.23419999999999999</v>
      </c>
      <c r="E234">
        <v>2.036E-3</v>
      </c>
      <c r="F234">
        <v>0</v>
      </c>
      <c r="G234">
        <v>0</v>
      </c>
      <c r="H234">
        <v>1</v>
      </c>
      <c r="I234">
        <v>40001</v>
      </c>
      <c r="J234">
        <v>120000</v>
      </c>
    </row>
    <row r="235" spans="2:10" x14ac:dyDescent="0.25">
      <c r="B235" t="s">
        <v>619</v>
      </c>
      <c r="C235">
        <v>9.1800000000000007E-2</v>
      </c>
      <c r="D235">
        <v>0.28870000000000001</v>
      </c>
      <c r="E235">
        <v>2.7339999999999999E-3</v>
      </c>
      <c r="F235">
        <v>0</v>
      </c>
      <c r="G235">
        <v>0</v>
      </c>
      <c r="H235">
        <v>1</v>
      </c>
      <c r="I235">
        <v>40001</v>
      </c>
      <c r="J235">
        <v>120000</v>
      </c>
    </row>
    <row r="236" spans="2:10" x14ac:dyDescent="0.25">
      <c r="B236" t="s">
        <v>620</v>
      </c>
      <c r="C236">
        <v>0.1545</v>
      </c>
      <c r="D236">
        <v>0.3614</v>
      </c>
      <c r="E236">
        <v>3.4619999999999998E-3</v>
      </c>
      <c r="F236">
        <v>0</v>
      </c>
      <c r="G236">
        <v>0</v>
      </c>
      <c r="H236">
        <v>1</v>
      </c>
      <c r="I236">
        <v>40001</v>
      </c>
      <c r="J236">
        <v>120000</v>
      </c>
    </row>
    <row r="237" spans="2:10" x14ac:dyDescent="0.25">
      <c r="B237" t="s">
        <v>621</v>
      </c>
      <c r="C237">
        <v>0.31130000000000002</v>
      </c>
      <c r="D237">
        <v>0.46300000000000002</v>
      </c>
      <c r="E237">
        <v>7.2189999999999997E-3</v>
      </c>
      <c r="F237">
        <v>0</v>
      </c>
      <c r="G237">
        <v>0</v>
      </c>
      <c r="H237">
        <v>1</v>
      </c>
      <c r="I237">
        <v>40001</v>
      </c>
      <c r="J237">
        <v>120000</v>
      </c>
    </row>
    <row r="238" spans="2:10" x14ac:dyDescent="0.25">
      <c r="B238" t="s">
        <v>622</v>
      </c>
      <c r="C238">
        <v>0.26190000000000002</v>
      </c>
      <c r="D238">
        <v>0.43969999999999998</v>
      </c>
      <c r="E238">
        <v>9.972E-3</v>
      </c>
      <c r="F238">
        <v>0</v>
      </c>
      <c r="G238">
        <v>0</v>
      </c>
      <c r="H238">
        <v>1</v>
      </c>
      <c r="I238">
        <v>40001</v>
      </c>
      <c r="J238">
        <v>120000</v>
      </c>
    </row>
    <row r="239" spans="2:10" x14ac:dyDescent="0.25">
      <c r="B239" t="s">
        <v>623</v>
      </c>
      <c r="C239">
        <v>5.7419999999999997E-3</v>
      </c>
      <c r="D239">
        <v>7.5560000000000002E-2</v>
      </c>
      <c r="E239" s="13">
        <v>8.3040000000000002E-4</v>
      </c>
      <c r="F239">
        <v>0</v>
      </c>
      <c r="G239">
        <v>0</v>
      </c>
      <c r="H239">
        <v>0</v>
      </c>
      <c r="I239">
        <v>40001</v>
      </c>
      <c r="J239">
        <v>120000</v>
      </c>
    </row>
    <row r="240" spans="2:10" x14ac:dyDescent="0.25">
      <c r="B240" t="s">
        <v>624</v>
      </c>
      <c r="C240">
        <v>2.7990000000000001E-2</v>
      </c>
      <c r="D240">
        <v>0.16489999999999999</v>
      </c>
      <c r="E240">
        <v>1.807E-3</v>
      </c>
      <c r="F240">
        <v>0</v>
      </c>
      <c r="G240">
        <v>0</v>
      </c>
      <c r="H240">
        <v>1</v>
      </c>
      <c r="I240">
        <v>40001</v>
      </c>
      <c r="J240">
        <v>120000</v>
      </c>
    </row>
    <row r="241" spans="2:10" x14ac:dyDescent="0.25">
      <c r="B241" t="s">
        <v>625</v>
      </c>
      <c r="C241">
        <v>6.8849999999999995E-2</v>
      </c>
      <c r="D241">
        <v>0.25319999999999998</v>
      </c>
      <c r="E241">
        <v>2.5609999999999999E-3</v>
      </c>
      <c r="F241">
        <v>0</v>
      </c>
      <c r="G241">
        <v>0</v>
      </c>
      <c r="H241">
        <v>1</v>
      </c>
      <c r="I241">
        <v>40001</v>
      </c>
      <c r="J241">
        <v>120000</v>
      </c>
    </row>
    <row r="242" spans="2:10" x14ac:dyDescent="0.25">
      <c r="B242" t="s">
        <v>626</v>
      </c>
      <c r="C242">
        <v>0.1154</v>
      </c>
      <c r="D242">
        <v>0.31950000000000001</v>
      </c>
      <c r="E242">
        <v>3.1380000000000002E-3</v>
      </c>
      <c r="F242">
        <v>0</v>
      </c>
      <c r="G242">
        <v>0</v>
      </c>
      <c r="H242">
        <v>1</v>
      </c>
      <c r="I242">
        <v>40001</v>
      </c>
      <c r="J242">
        <v>120000</v>
      </c>
    </row>
    <row r="243" spans="2:10" x14ac:dyDescent="0.25">
      <c r="B243" t="s">
        <v>627</v>
      </c>
      <c r="C243">
        <v>0.14710000000000001</v>
      </c>
      <c r="D243">
        <v>0.35420000000000001</v>
      </c>
      <c r="E243">
        <v>2.9459999999999998E-3</v>
      </c>
      <c r="F243">
        <v>0</v>
      </c>
      <c r="G243">
        <v>0</v>
      </c>
      <c r="H243">
        <v>1</v>
      </c>
      <c r="I243">
        <v>40001</v>
      </c>
      <c r="J243">
        <v>120000</v>
      </c>
    </row>
    <row r="244" spans="2:10" x14ac:dyDescent="0.25">
      <c r="B244" t="s">
        <v>628</v>
      </c>
      <c r="C244">
        <v>0.16589999999999999</v>
      </c>
      <c r="D244">
        <v>0.372</v>
      </c>
      <c r="E244">
        <v>2.8500000000000001E-3</v>
      </c>
      <c r="F244">
        <v>0</v>
      </c>
      <c r="G244">
        <v>0</v>
      </c>
      <c r="H244">
        <v>1</v>
      </c>
      <c r="I244">
        <v>40001</v>
      </c>
      <c r="J244">
        <v>120000</v>
      </c>
    </row>
    <row r="245" spans="2:10" x14ac:dyDescent="0.25">
      <c r="B245" t="s">
        <v>629</v>
      </c>
      <c r="C245">
        <v>0.1716</v>
      </c>
      <c r="D245">
        <v>0.377</v>
      </c>
      <c r="E245">
        <v>3.2550000000000001E-3</v>
      </c>
      <c r="F245">
        <v>0</v>
      </c>
      <c r="G245">
        <v>0</v>
      </c>
      <c r="H245">
        <v>1</v>
      </c>
      <c r="I245">
        <v>40001</v>
      </c>
      <c r="J245">
        <v>120000</v>
      </c>
    </row>
    <row r="246" spans="2:10" x14ac:dyDescent="0.25">
      <c r="B246" t="s">
        <v>630</v>
      </c>
      <c r="C246">
        <v>0.1477</v>
      </c>
      <c r="D246">
        <v>0.3548</v>
      </c>
      <c r="E246">
        <v>3.3899999999999998E-3</v>
      </c>
      <c r="F246">
        <v>0</v>
      </c>
      <c r="G246">
        <v>0</v>
      </c>
      <c r="H246">
        <v>1</v>
      </c>
      <c r="I246">
        <v>40001</v>
      </c>
      <c r="J246">
        <v>120000</v>
      </c>
    </row>
    <row r="247" spans="2:10" x14ac:dyDescent="0.25">
      <c r="B247" t="s">
        <v>631</v>
      </c>
      <c r="C247">
        <v>0.11</v>
      </c>
      <c r="D247">
        <v>0.31290000000000001</v>
      </c>
      <c r="E247">
        <v>3.8779999999999999E-3</v>
      </c>
      <c r="F247">
        <v>0</v>
      </c>
      <c r="G247">
        <v>0</v>
      </c>
      <c r="H247">
        <v>1</v>
      </c>
      <c r="I247">
        <v>40001</v>
      </c>
      <c r="J247">
        <v>120000</v>
      </c>
    </row>
    <row r="248" spans="2:10" x14ac:dyDescent="0.25">
      <c r="B248" t="s">
        <v>632</v>
      </c>
      <c r="C248">
        <v>3.9789999999999999E-2</v>
      </c>
      <c r="D248">
        <v>0.19550000000000001</v>
      </c>
      <c r="E248">
        <v>2.6580000000000002E-3</v>
      </c>
      <c r="F248">
        <v>0</v>
      </c>
      <c r="G248">
        <v>0</v>
      </c>
      <c r="H248">
        <v>1</v>
      </c>
      <c r="I248">
        <v>40001</v>
      </c>
      <c r="J248">
        <v>120000</v>
      </c>
    </row>
    <row r="249" spans="2:10" x14ac:dyDescent="0.25">
      <c r="B249" t="s">
        <v>633</v>
      </c>
      <c r="C249">
        <v>1.6639999999999999</v>
      </c>
      <c r="D249">
        <v>1.696</v>
      </c>
      <c r="E249">
        <v>1.281E-2</v>
      </c>
      <c r="F249">
        <v>4.3450000000000003E-2</v>
      </c>
      <c r="G249">
        <v>1.1319999999999999</v>
      </c>
      <c r="H249">
        <v>6.2670000000000003</v>
      </c>
      <c r="I249">
        <v>40001</v>
      </c>
      <c r="J249">
        <v>120000</v>
      </c>
    </row>
    <row r="250" spans="2:10" x14ac:dyDescent="0.25">
      <c r="B250" t="s">
        <v>634</v>
      </c>
      <c r="C250">
        <v>1.585</v>
      </c>
      <c r="D250">
        <v>1.6359999999999999</v>
      </c>
      <c r="E250">
        <v>1.3849999999999999E-2</v>
      </c>
      <c r="F250">
        <v>3.8640000000000001E-2</v>
      </c>
      <c r="G250">
        <v>1.077</v>
      </c>
      <c r="H250">
        <v>6.016</v>
      </c>
      <c r="I250">
        <v>40001</v>
      </c>
      <c r="J250">
        <v>120000</v>
      </c>
    </row>
    <row r="251" spans="2:10" x14ac:dyDescent="0.25">
      <c r="B251" t="s">
        <v>635</v>
      </c>
      <c r="C251">
        <v>1.6970000000000001</v>
      </c>
      <c r="D251">
        <v>1.712</v>
      </c>
      <c r="E251">
        <v>1.687E-2</v>
      </c>
      <c r="F251">
        <v>4.2500000000000003E-2</v>
      </c>
      <c r="G251">
        <v>1.1679999999999999</v>
      </c>
      <c r="H251">
        <v>6.2679999999999998</v>
      </c>
      <c r="I251">
        <v>40001</v>
      </c>
      <c r="J251">
        <v>120000</v>
      </c>
    </row>
    <row r="252" spans="2:10" x14ac:dyDescent="0.25">
      <c r="B252" t="s">
        <v>636</v>
      </c>
      <c r="C252">
        <v>1.228</v>
      </c>
      <c r="D252">
        <v>1.468</v>
      </c>
      <c r="E252">
        <v>5.9490000000000003E-3</v>
      </c>
      <c r="F252">
        <v>2.3890000000000002E-2</v>
      </c>
      <c r="G252">
        <v>0.72230000000000005</v>
      </c>
      <c r="H252">
        <v>5.3310000000000004</v>
      </c>
      <c r="I252">
        <v>40001</v>
      </c>
      <c r="J252">
        <v>120000</v>
      </c>
    </row>
    <row r="253" spans="2:10" x14ac:dyDescent="0.25">
      <c r="B253" t="s">
        <v>637</v>
      </c>
      <c r="C253">
        <v>1.421</v>
      </c>
      <c r="D253">
        <v>1.52</v>
      </c>
      <c r="E253">
        <v>9.3290000000000005E-3</v>
      </c>
      <c r="F253">
        <v>3.619E-2</v>
      </c>
      <c r="G253">
        <v>0.94489999999999996</v>
      </c>
      <c r="H253">
        <v>5.5869999999999997</v>
      </c>
      <c r="I253">
        <v>40001</v>
      </c>
      <c r="J253">
        <v>120000</v>
      </c>
    </row>
    <row r="254" spans="2:10" x14ac:dyDescent="0.25">
      <c r="B254" t="s">
        <v>638</v>
      </c>
      <c r="C254">
        <v>1.2430000000000001</v>
      </c>
      <c r="D254">
        <v>1.4670000000000001</v>
      </c>
      <c r="E254">
        <v>6.1000000000000004E-3</v>
      </c>
      <c r="F254">
        <v>2.3910000000000001E-2</v>
      </c>
      <c r="G254">
        <v>0.74</v>
      </c>
      <c r="H254">
        <v>5.3470000000000004</v>
      </c>
      <c r="I254">
        <v>40001</v>
      </c>
      <c r="J254">
        <v>120000</v>
      </c>
    </row>
    <row r="255" spans="2:10" x14ac:dyDescent="0.25">
      <c r="B255" t="s">
        <v>639</v>
      </c>
      <c r="C255">
        <v>1.4039999999999999</v>
      </c>
      <c r="D255">
        <v>1.534</v>
      </c>
      <c r="E255">
        <v>9.4319999999999994E-3</v>
      </c>
      <c r="F255">
        <v>3.2009999999999997E-2</v>
      </c>
      <c r="G255">
        <v>0.91449999999999998</v>
      </c>
      <c r="H255">
        <v>5.6059999999999999</v>
      </c>
      <c r="I255">
        <v>40001</v>
      </c>
      <c r="J255">
        <v>120000</v>
      </c>
    </row>
    <row r="256" spans="2:10" x14ac:dyDescent="0.25">
      <c r="B256" t="s">
        <v>640</v>
      </c>
      <c r="C256">
        <v>2.4329999999999998</v>
      </c>
      <c r="D256">
        <v>1.625</v>
      </c>
      <c r="E256">
        <v>1.6160000000000001E-2</v>
      </c>
      <c r="F256">
        <v>0.54559999999999997</v>
      </c>
      <c r="G256">
        <v>2.0339999999999998</v>
      </c>
      <c r="H256">
        <v>6.7590000000000003</v>
      </c>
      <c r="I256">
        <v>40001</v>
      </c>
      <c r="J256">
        <v>120000</v>
      </c>
    </row>
    <row r="257" spans="2:10" x14ac:dyDescent="0.25">
      <c r="B257" t="s">
        <v>641</v>
      </c>
      <c r="C257">
        <v>2.4750000000000001</v>
      </c>
      <c r="D257">
        <v>2.278</v>
      </c>
      <c r="E257">
        <v>5.9490000000000001E-2</v>
      </c>
      <c r="F257">
        <v>6.6379999999999995E-2</v>
      </c>
      <c r="G257">
        <v>1.8180000000000001</v>
      </c>
      <c r="H257">
        <v>8.3960000000000008</v>
      </c>
      <c r="I257">
        <v>40001</v>
      </c>
      <c r="J257">
        <v>120000</v>
      </c>
    </row>
    <row r="258" spans="2:10" x14ac:dyDescent="0.25">
      <c r="B258" t="s">
        <v>642</v>
      </c>
      <c r="C258">
        <v>2.036</v>
      </c>
      <c r="D258">
        <v>2.0390000000000001</v>
      </c>
      <c r="E258">
        <v>2.69E-2</v>
      </c>
      <c r="F258">
        <v>5.1290000000000002E-2</v>
      </c>
      <c r="G258">
        <v>1.4119999999999999</v>
      </c>
      <c r="H258">
        <v>7.5330000000000004</v>
      </c>
      <c r="I258">
        <v>40001</v>
      </c>
      <c r="J258">
        <v>120000</v>
      </c>
    </row>
    <row r="259" spans="2:10" x14ac:dyDescent="0.25">
      <c r="B259" t="s">
        <v>643</v>
      </c>
      <c r="C259">
        <v>1.3660000000000001</v>
      </c>
      <c r="D259">
        <v>1.518</v>
      </c>
      <c r="E259">
        <v>9.1859999999999997E-3</v>
      </c>
      <c r="F259">
        <v>3.058E-2</v>
      </c>
      <c r="G259">
        <v>0.86909999999999998</v>
      </c>
      <c r="H259">
        <v>5.585</v>
      </c>
      <c r="I259">
        <v>40001</v>
      </c>
      <c r="J259">
        <v>120000</v>
      </c>
    </row>
    <row r="260" spans="2:10" x14ac:dyDescent="0.25">
      <c r="B260" t="s">
        <v>644</v>
      </c>
      <c r="C260">
        <v>2.0329999999999999</v>
      </c>
      <c r="D260">
        <v>2.0499999999999998</v>
      </c>
      <c r="E260">
        <v>2.3859999999999999E-2</v>
      </c>
      <c r="F260">
        <v>5.1119999999999999E-2</v>
      </c>
      <c r="G260">
        <v>1.405</v>
      </c>
      <c r="H260">
        <v>7.5730000000000004</v>
      </c>
      <c r="I260">
        <v>40001</v>
      </c>
      <c r="J260">
        <v>120000</v>
      </c>
    </row>
    <row r="261" spans="2:10" x14ac:dyDescent="0.25">
      <c r="B261" t="s">
        <v>645</v>
      </c>
      <c r="C261">
        <v>2.3719999999999999</v>
      </c>
      <c r="D261">
        <v>1.9350000000000001</v>
      </c>
      <c r="E261">
        <v>2.6419999999999999E-2</v>
      </c>
      <c r="F261">
        <v>0.11360000000000001</v>
      </c>
      <c r="G261">
        <v>1.9039999999999999</v>
      </c>
      <c r="H261">
        <v>7.3159999999999998</v>
      </c>
      <c r="I261">
        <v>40001</v>
      </c>
      <c r="J261">
        <v>120000</v>
      </c>
    </row>
    <row r="262" spans="2:10" x14ac:dyDescent="0.25">
      <c r="B262" t="s">
        <v>646</v>
      </c>
      <c r="C262">
        <v>1.264</v>
      </c>
      <c r="D262">
        <v>1.488</v>
      </c>
      <c r="E262">
        <v>7.5830000000000003E-3</v>
      </c>
      <c r="F262">
        <v>2.5149999999999999E-2</v>
      </c>
      <c r="G262">
        <v>0.75619999999999998</v>
      </c>
      <c r="H262">
        <v>5.4340000000000002</v>
      </c>
      <c r="I262">
        <v>40001</v>
      </c>
      <c r="J262">
        <v>120000</v>
      </c>
    </row>
    <row r="263" spans="2:10" x14ac:dyDescent="0.25">
      <c r="B263" t="s">
        <v>647</v>
      </c>
      <c r="C263">
        <v>1.2929999999999999</v>
      </c>
      <c r="D263">
        <v>1.478</v>
      </c>
      <c r="E263">
        <v>6.5779999999999996E-3</v>
      </c>
      <c r="F263">
        <v>2.734E-2</v>
      </c>
      <c r="G263">
        <v>0.79790000000000005</v>
      </c>
      <c r="H263">
        <v>5.4390000000000001</v>
      </c>
      <c r="I263">
        <v>40001</v>
      </c>
      <c r="J263">
        <v>120000</v>
      </c>
    </row>
    <row r="264" spans="2:10" x14ac:dyDescent="0.25">
      <c r="B264" t="s">
        <v>648</v>
      </c>
      <c r="C264">
        <v>1.8380000000000001</v>
      </c>
      <c r="D264">
        <v>1.772</v>
      </c>
      <c r="E264">
        <v>1.9359999999999999E-2</v>
      </c>
      <c r="F264">
        <v>5.3420000000000002E-2</v>
      </c>
      <c r="G264">
        <v>1.32</v>
      </c>
      <c r="H264">
        <v>6.54</v>
      </c>
      <c r="I264">
        <v>40001</v>
      </c>
      <c r="J264">
        <v>120000</v>
      </c>
    </row>
    <row r="265" spans="2:10" x14ac:dyDescent="0.25">
      <c r="B265" t="s">
        <v>649</v>
      </c>
      <c r="C265">
        <v>1.278</v>
      </c>
      <c r="D265">
        <v>1.4870000000000001</v>
      </c>
      <c r="E265">
        <v>7.9989999999999992E-3</v>
      </c>
      <c r="F265">
        <v>2.7150000000000001E-2</v>
      </c>
      <c r="G265">
        <v>0.78039999999999998</v>
      </c>
      <c r="H265">
        <v>5.4169999999999998</v>
      </c>
      <c r="I265">
        <v>40001</v>
      </c>
      <c r="J265">
        <v>120000</v>
      </c>
    </row>
    <row r="266" spans="2:10" x14ac:dyDescent="0.25">
      <c r="B266" t="s">
        <v>650</v>
      </c>
      <c r="C266">
        <v>1.762</v>
      </c>
      <c r="D266">
        <v>1.6910000000000001</v>
      </c>
      <c r="E266">
        <v>1.7319999999999999E-2</v>
      </c>
      <c r="F266">
        <v>5.1970000000000002E-2</v>
      </c>
      <c r="G266">
        <v>1.2729999999999999</v>
      </c>
      <c r="H266">
        <v>6.234</v>
      </c>
      <c r="I266">
        <v>40001</v>
      </c>
      <c r="J266">
        <v>120000</v>
      </c>
    </row>
    <row r="267" spans="2:10" x14ac:dyDescent="0.25">
      <c r="B267" t="s">
        <v>651</v>
      </c>
      <c r="C267">
        <v>2.0099999999999998</v>
      </c>
      <c r="D267">
        <v>2.0150000000000001</v>
      </c>
      <c r="E267">
        <v>1.9609999999999999E-2</v>
      </c>
      <c r="F267">
        <v>5.049E-2</v>
      </c>
      <c r="G267">
        <v>1.391</v>
      </c>
      <c r="H267">
        <v>7.367</v>
      </c>
      <c r="I267">
        <v>40001</v>
      </c>
      <c r="J267">
        <v>120000</v>
      </c>
    </row>
    <row r="268" spans="2:10" x14ac:dyDescent="0.25">
      <c r="B268" t="s">
        <v>652</v>
      </c>
      <c r="C268">
        <v>1.3169999999999999</v>
      </c>
      <c r="D268">
        <v>1.504</v>
      </c>
      <c r="E268">
        <v>8.9479999999999994E-3</v>
      </c>
      <c r="F268">
        <v>2.93E-2</v>
      </c>
      <c r="G268">
        <v>0.81950000000000001</v>
      </c>
      <c r="H268">
        <v>5.4820000000000002</v>
      </c>
      <c r="I268">
        <v>40001</v>
      </c>
      <c r="J268">
        <v>120000</v>
      </c>
    </row>
    <row r="269" spans="2:10" x14ac:dyDescent="0.25">
      <c r="B269" t="s">
        <v>653</v>
      </c>
      <c r="C269">
        <v>2.907</v>
      </c>
      <c r="D269">
        <v>2.0430000000000001</v>
      </c>
      <c r="E269">
        <v>2.571E-2</v>
      </c>
      <c r="F269">
        <v>0.26090000000000002</v>
      </c>
      <c r="G269">
        <v>2.4889999999999999</v>
      </c>
      <c r="H269">
        <v>7.9740000000000002</v>
      </c>
      <c r="I269">
        <v>40001</v>
      </c>
      <c r="J269">
        <v>120000</v>
      </c>
    </row>
    <row r="270" spans="2:10" x14ac:dyDescent="0.25">
      <c r="B270" t="s">
        <v>654</v>
      </c>
      <c r="C270">
        <v>1.1379999999999999</v>
      </c>
      <c r="D270">
        <v>1.478</v>
      </c>
      <c r="E270">
        <v>4.81E-3</v>
      </c>
      <c r="F270">
        <v>1.6029999999999999E-2</v>
      </c>
      <c r="G270">
        <v>0.59289999999999998</v>
      </c>
      <c r="H270">
        <v>5.3140000000000001</v>
      </c>
      <c r="I270">
        <v>40001</v>
      </c>
      <c r="J270">
        <v>120000</v>
      </c>
    </row>
    <row r="271" spans="2:10" x14ac:dyDescent="0.25">
      <c r="B271" t="s">
        <v>655</v>
      </c>
      <c r="C271">
        <v>1.2030000000000001</v>
      </c>
      <c r="D271">
        <v>1.542</v>
      </c>
      <c r="E271">
        <v>5.4860000000000004E-3</v>
      </c>
      <c r="F271">
        <v>1.864E-2</v>
      </c>
      <c r="G271">
        <v>0.63670000000000004</v>
      </c>
      <c r="H271">
        <v>5.5979999999999999</v>
      </c>
      <c r="I271">
        <v>40001</v>
      </c>
      <c r="J271">
        <v>120000</v>
      </c>
    </row>
    <row r="272" spans="2:10" x14ac:dyDescent="0.25">
      <c r="B272" t="s">
        <v>656</v>
      </c>
      <c r="C272">
        <v>1.609</v>
      </c>
      <c r="D272">
        <v>1.532</v>
      </c>
      <c r="E272">
        <v>1.1520000000000001E-2</v>
      </c>
      <c r="F272">
        <v>0.10390000000000001</v>
      </c>
      <c r="G272">
        <v>1.1559999999999999</v>
      </c>
      <c r="H272">
        <v>5.8159999999999998</v>
      </c>
      <c r="I272">
        <v>40001</v>
      </c>
      <c r="J272">
        <v>120000</v>
      </c>
    </row>
    <row r="273" spans="1:10" x14ac:dyDescent="0.25">
      <c r="B273" t="s">
        <v>657</v>
      </c>
      <c r="C273">
        <v>1.335</v>
      </c>
      <c r="D273">
        <v>1.52</v>
      </c>
      <c r="E273">
        <v>7.796E-3</v>
      </c>
      <c r="F273">
        <v>2.8129999999999999E-2</v>
      </c>
      <c r="G273">
        <v>0.83</v>
      </c>
      <c r="H273">
        <v>5.5620000000000003</v>
      </c>
      <c r="I273">
        <v>40001</v>
      </c>
      <c r="J273">
        <v>120000</v>
      </c>
    </row>
    <row r="274" spans="1:10" x14ac:dyDescent="0.25">
      <c r="B274" t="s">
        <v>658</v>
      </c>
      <c r="C274">
        <v>6.133</v>
      </c>
      <c r="D274">
        <v>2</v>
      </c>
      <c r="E274">
        <v>4.9140000000000003E-2</v>
      </c>
      <c r="F274">
        <v>2</v>
      </c>
      <c r="G274">
        <v>6</v>
      </c>
      <c r="H274">
        <v>9</v>
      </c>
      <c r="I274">
        <v>40001</v>
      </c>
      <c r="J274">
        <v>120000</v>
      </c>
    </row>
    <row r="275" spans="1:10" x14ac:dyDescent="0.25">
      <c r="B275" t="s">
        <v>659</v>
      </c>
      <c r="C275">
        <v>5.2930000000000001</v>
      </c>
      <c r="D275">
        <v>1.8759999999999999</v>
      </c>
      <c r="E275">
        <v>3.6979999999999999E-2</v>
      </c>
      <c r="F275">
        <v>2</v>
      </c>
      <c r="G275">
        <v>5</v>
      </c>
      <c r="H275">
        <v>9</v>
      </c>
      <c r="I275">
        <v>40001</v>
      </c>
      <c r="J275">
        <v>120000</v>
      </c>
    </row>
    <row r="276" spans="1:10" x14ac:dyDescent="0.25">
      <c r="B276" t="s">
        <v>660</v>
      </c>
      <c r="C276">
        <v>5.5659999999999998</v>
      </c>
      <c r="D276">
        <v>1.7849999999999999</v>
      </c>
      <c r="E276">
        <v>3.5959999999999999E-2</v>
      </c>
      <c r="F276">
        <v>2</v>
      </c>
      <c r="G276">
        <v>6</v>
      </c>
      <c r="H276">
        <v>9</v>
      </c>
      <c r="I276">
        <v>40001</v>
      </c>
      <c r="J276">
        <v>120000</v>
      </c>
    </row>
    <row r="277" spans="1:10" x14ac:dyDescent="0.25">
      <c r="B277" t="s">
        <v>661</v>
      </c>
      <c r="C277">
        <v>6.2510000000000003</v>
      </c>
      <c r="D277">
        <v>2.4580000000000002</v>
      </c>
      <c r="E277">
        <v>4.7E-2</v>
      </c>
      <c r="F277">
        <v>2</v>
      </c>
      <c r="G277">
        <v>7</v>
      </c>
      <c r="H277">
        <v>10</v>
      </c>
      <c r="I277">
        <v>40001</v>
      </c>
      <c r="J277">
        <v>120000</v>
      </c>
    </row>
    <row r="278" spans="1:10" x14ac:dyDescent="0.25">
      <c r="B278" t="s">
        <v>662</v>
      </c>
      <c r="C278">
        <v>3.4129999999999998</v>
      </c>
      <c r="D278">
        <v>2.7679999999999998</v>
      </c>
      <c r="E278">
        <v>5.8180000000000003E-2</v>
      </c>
      <c r="F278">
        <v>1</v>
      </c>
      <c r="G278">
        <v>2</v>
      </c>
      <c r="H278">
        <v>10</v>
      </c>
      <c r="I278">
        <v>40001</v>
      </c>
      <c r="J278">
        <v>120000</v>
      </c>
    </row>
    <row r="279" spans="1:10" x14ac:dyDescent="0.25">
      <c r="B279" t="s">
        <v>663</v>
      </c>
      <c r="C279">
        <v>4.1340000000000003</v>
      </c>
      <c r="D279">
        <v>2.782</v>
      </c>
      <c r="E279">
        <v>5.092E-2</v>
      </c>
      <c r="F279">
        <v>1</v>
      </c>
      <c r="G279">
        <v>3</v>
      </c>
      <c r="H279">
        <v>10</v>
      </c>
      <c r="I279">
        <v>40001</v>
      </c>
      <c r="J279">
        <v>120000</v>
      </c>
    </row>
    <row r="280" spans="1:10" x14ac:dyDescent="0.25">
      <c r="B280" t="s">
        <v>664</v>
      </c>
      <c r="C280">
        <v>3.8919999999999999</v>
      </c>
      <c r="D280">
        <v>2.8210000000000002</v>
      </c>
      <c r="E280">
        <v>5.4449999999999998E-2</v>
      </c>
      <c r="F280">
        <v>1</v>
      </c>
      <c r="G280">
        <v>3</v>
      </c>
      <c r="H280">
        <v>10</v>
      </c>
      <c r="I280">
        <v>40001</v>
      </c>
      <c r="J280">
        <v>120000</v>
      </c>
    </row>
    <row r="281" spans="1:10" x14ac:dyDescent="0.25">
      <c r="B281" t="s">
        <v>665</v>
      </c>
      <c r="C281">
        <v>5.9619999999999997</v>
      </c>
      <c r="D281">
        <v>4.1120000000000001</v>
      </c>
      <c r="E281">
        <v>0.14130000000000001</v>
      </c>
      <c r="F281">
        <v>1</v>
      </c>
      <c r="G281">
        <v>8</v>
      </c>
      <c r="H281">
        <v>10</v>
      </c>
      <c r="I281">
        <v>40001</v>
      </c>
      <c r="J281">
        <v>120000</v>
      </c>
    </row>
    <row r="282" spans="1:10" x14ac:dyDescent="0.25">
      <c r="B282" t="s">
        <v>666</v>
      </c>
      <c r="C282">
        <v>8.125</v>
      </c>
      <c r="D282">
        <v>1.9670000000000001</v>
      </c>
      <c r="E282">
        <v>4.1369999999999997E-2</v>
      </c>
      <c r="F282">
        <v>3</v>
      </c>
      <c r="G282">
        <v>9</v>
      </c>
      <c r="H282">
        <v>10</v>
      </c>
      <c r="I282">
        <v>40001</v>
      </c>
      <c r="J282">
        <v>120000</v>
      </c>
    </row>
    <row r="283" spans="1:10" x14ac:dyDescent="0.25">
      <c r="B283" t="s">
        <v>667</v>
      </c>
      <c r="C283">
        <v>6.2309999999999999</v>
      </c>
      <c r="D283">
        <v>2.0379999999999998</v>
      </c>
      <c r="E283">
        <v>3.7069999999999999E-2</v>
      </c>
      <c r="F283">
        <v>2</v>
      </c>
      <c r="G283">
        <v>6</v>
      </c>
      <c r="H283">
        <v>10</v>
      </c>
      <c r="I283">
        <v>40001</v>
      </c>
      <c r="J283">
        <v>120000</v>
      </c>
    </row>
    <row r="284" spans="1:10" x14ac:dyDescent="0.25">
      <c r="B284" t="s">
        <v>748</v>
      </c>
      <c r="C284">
        <v>0.12970000000000001</v>
      </c>
      <c r="D284">
        <v>7.0440000000000003E-2</v>
      </c>
      <c r="E284">
        <v>1.0820000000000001E-3</v>
      </c>
      <c r="F284">
        <v>3.78E-2</v>
      </c>
      <c r="G284">
        <v>0.11459999999999999</v>
      </c>
      <c r="H284">
        <v>0.30730000000000002</v>
      </c>
      <c r="I284">
        <v>40001</v>
      </c>
      <c r="J284">
        <v>120000</v>
      </c>
    </row>
    <row r="285" spans="1:10" x14ac:dyDescent="0.25">
      <c r="B285" t="s">
        <v>668</v>
      </c>
      <c r="C285">
        <v>41.91</v>
      </c>
      <c r="D285">
        <v>8.5060000000000002</v>
      </c>
      <c r="E285">
        <v>8.7580000000000005E-2</v>
      </c>
      <c r="F285">
        <v>27.14</v>
      </c>
      <c r="G285">
        <v>41.27</v>
      </c>
      <c r="H285">
        <v>60.29</v>
      </c>
      <c r="I285">
        <v>40001</v>
      </c>
      <c r="J285">
        <v>120000</v>
      </c>
    </row>
    <row r="286" spans="1:10" x14ac:dyDescent="0.25">
      <c r="A286" t="s">
        <v>669</v>
      </c>
    </row>
    <row r="288" spans="1:10" x14ac:dyDescent="0.25">
      <c r="A288" t="s">
        <v>670</v>
      </c>
    </row>
    <row r="289" spans="1:5" x14ac:dyDescent="0.25">
      <c r="A289" t="s">
        <v>671</v>
      </c>
    </row>
    <row r="290" spans="1:5" x14ac:dyDescent="0.25">
      <c r="B290" t="s">
        <v>672</v>
      </c>
      <c r="C290" t="s">
        <v>673</v>
      </c>
      <c r="D290" t="s">
        <v>674</v>
      </c>
      <c r="E290" t="s">
        <v>670</v>
      </c>
    </row>
    <row r="291" spans="1:5" x14ac:dyDescent="0.25">
      <c r="A291" t="s">
        <v>675</v>
      </c>
      <c r="B291">
        <v>206.74100000000001</v>
      </c>
      <c r="C291">
        <v>172.57900000000001</v>
      </c>
      <c r="D291">
        <v>34.161999999999999</v>
      </c>
      <c r="E291">
        <v>240.90299999999999</v>
      </c>
    </row>
    <row r="292" spans="1:5" x14ac:dyDescent="0.25">
      <c r="A292" t="s">
        <v>676</v>
      </c>
      <c r="B292">
        <v>206.74100000000001</v>
      </c>
      <c r="C292">
        <v>172.57900000000001</v>
      </c>
      <c r="D292">
        <v>34.161999999999999</v>
      </c>
      <c r="E292">
        <v>240.90299999999999</v>
      </c>
    </row>
    <row r="293" spans="1:5" x14ac:dyDescent="0.25">
      <c r="A293" t="s">
        <v>677</v>
      </c>
    </row>
    <row r="295" spans="1:5" x14ac:dyDescent="0.25">
      <c r="A295" t="s">
        <v>678</v>
      </c>
    </row>
    <row r="297" spans="1:5" x14ac:dyDescent="0.25">
      <c r="A297" t="s">
        <v>679</v>
      </c>
    </row>
    <row r="299" spans="1:5" x14ac:dyDescent="0.25">
      <c r="A299" t="s">
        <v>680</v>
      </c>
    </row>
    <row r="301" spans="1:5" x14ac:dyDescent="0.25">
      <c r="A301" t="s">
        <v>811</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23"/>
  <sheetViews>
    <sheetView showGridLines="0" topLeftCell="A24" workbookViewId="0">
      <selection activeCell="H27" sqref="H27:H71"/>
    </sheetView>
  </sheetViews>
  <sheetFormatPr defaultRowHeight="15" x14ac:dyDescent="0.25"/>
  <sheetData>
    <row r="1" spans="1:1" hidden="1" x14ac:dyDescent="0.25">
      <c r="A1" t="s">
        <v>393</v>
      </c>
    </row>
    <row r="2" spans="1:1" hidden="1" x14ac:dyDescent="0.25">
      <c r="A2" t="s">
        <v>797</v>
      </c>
    </row>
    <row r="3" spans="1:1" hidden="1" x14ac:dyDescent="0.25">
      <c r="A3" t="s">
        <v>398</v>
      </c>
    </row>
    <row r="4" spans="1:1" hidden="1" x14ac:dyDescent="0.25">
      <c r="A4" t="s">
        <v>394</v>
      </c>
    </row>
    <row r="5" spans="1:1" hidden="1" x14ac:dyDescent="0.25">
      <c r="A5" t="s">
        <v>400</v>
      </c>
    </row>
    <row r="6" spans="1:1" hidden="1" x14ac:dyDescent="0.25">
      <c r="A6" t="s">
        <v>395</v>
      </c>
    </row>
    <row r="7" spans="1:1" hidden="1" x14ac:dyDescent="0.25">
      <c r="A7" t="s">
        <v>400</v>
      </c>
    </row>
    <row r="8" spans="1:1" hidden="1" x14ac:dyDescent="0.25">
      <c r="A8" t="s">
        <v>21</v>
      </c>
    </row>
    <row r="9" spans="1:1" hidden="1" x14ac:dyDescent="0.25">
      <c r="A9" t="s">
        <v>402</v>
      </c>
    </row>
    <row r="10" spans="1:1" hidden="1" x14ac:dyDescent="0.25">
      <c r="A10" t="s">
        <v>798</v>
      </c>
    </row>
    <row r="11" spans="1:1" hidden="1" x14ac:dyDescent="0.25">
      <c r="A11" t="s">
        <v>744</v>
      </c>
    </row>
    <row r="12" spans="1:1" hidden="1" x14ac:dyDescent="0.25">
      <c r="A12" t="s">
        <v>799</v>
      </c>
    </row>
    <row r="13" spans="1:1" hidden="1" x14ac:dyDescent="0.25">
      <c r="A13" t="s">
        <v>744</v>
      </c>
    </row>
    <row r="14" spans="1:1" hidden="1" x14ac:dyDescent="0.25">
      <c r="A14" t="s">
        <v>800</v>
      </c>
    </row>
    <row r="15" spans="1:1" hidden="1" x14ac:dyDescent="0.25">
      <c r="A15" t="s">
        <v>744</v>
      </c>
    </row>
    <row r="16" spans="1:1" hidden="1" x14ac:dyDescent="0.25">
      <c r="A16" t="s">
        <v>23</v>
      </c>
    </row>
    <row r="17" spans="1:10" hidden="1" x14ac:dyDescent="0.25">
      <c r="A17" t="s">
        <v>747</v>
      </c>
    </row>
    <row r="18" spans="1:10" hidden="1" x14ac:dyDescent="0.25">
      <c r="A18" t="s">
        <v>396</v>
      </c>
    </row>
    <row r="19" spans="1:10" hidden="1" x14ac:dyDescent="0.25">
      <c r="A19" t="s">
        <v>197</v>
      </c>
    </row>
    <row r="20" spans="1:10" hidden="1" x14ac:dyDescent="0.25">
      <c r="A20" t="s">
        <v>198</v>
      </c>
    </row>
    <row r="21" spans="1:10" hidden="1" x14ac:dyDescent="0.25">
      <c r="A21" t="s">
        <v>199</v>
      </c>
    </row>
    <row r="22" spans="1:10" hidden="1" x14ac:dyDescent="0.25">
      <c r="A22" t="s">
        <v>396</v>
      </c>
    </row>
    <row r="23" spans="1:10" hidden="1" x14ac:dyDescent="0.25">
      <c r="A23" t="s">
        <v>397</v>
      </c>
    </row>
    <row r="25" spans="1:10" x14ac:dyDescent="0.25">
      <c r="A25" t="s">
        <v>410</v>
      </c>
    </row>
    <row r="26" spans="1:10" x14ac:dyDescent="0.25">
      <c r="B26" t="s">
        <v>411</v>
      </c>
      <c r="C26" t="s">
        <v>412</v>
      </c>
      <c r="D26" t="s">
        <v>413</v>
      </c>
      <c r="E26" t="s">
        <v>414</v>
      </c>
      <c r="F26" s="12">
        <v>2.5000000000000001E-2</v>
      </c>
      <c r="G26" t="s">
        <v>415</v>
      </c>
      <c r="H26" s="12">
        <v>0.97499999999999998</v>
      </c>
      <c r="I26" t="s">
        <v>416</v>
      </c>
      <c r="J26" t="s">
        <v>417</v>
      </c>
    </row>
    <row r="27" spans="1:10" x14ac:dyDescent="0.25">
      <c r="B27" t="s">
        <v>752</v>
      </c>
      <c r="C27">
        <v>-0.17849999999999999</v>
      </c>
      <c r="D27">
        <v>0.48089999999999999</v>
      </c>
      <c r="E27">
        <v>8.7329999999999994E-3</v>
      </c>
      <c r="F27">
        <v>-1.131</v>
      </c>
      <c r="G27">
        <v>-0.17499999999999999</v>
      </c>
      <c r="H27">
        <v>0.76659999999999995</v>
      </c>
      <c r="I27">
        <v>40001</v>
      </c>
      <c r="J27">
        <v>120000</v>
      </c>
    </row>
    <row r="28" spans="1:10" x14ac:dyDescent="0.25">
      <c r="B28" t="s">
        <v>753</v>
      </c>
      <c r="C28">
        <v>0.99099999999999999</v>
      </c>
      <c r="D28">
        <v>0.81989999999999996</v>
      </c>
      <c r="E28">
        <v>1.8270000000000002E-2</v>
      </c>
      <c r="F28">
        <v>-0.56640000000000001</v>
      </c>
      <c r="G28">
        <v>0.96299999999999997</v>
      </c>
      <c r="H28">
        <v>2.7160000000000002</v>
      </c>
      <c r="I28">
        <v>40001</v>
      </c>
      <c r="J28">
        <v>120000</v>
      </c>
    </row>
    <row r="29" spans="1:10" x14ac:dyDescent="0.25">
      <c r="B29" t="s">
        <v>754</v>
      </c>
      <c r="C29">
        <v>0.19539999999999999</v>
      </c>
      <c r="D29">
        <v>0.67410000000000003</v>
      </c>
      <c r="E29">
        <v>1.227E-2</v>
      </c>
      <c r="F29">
        <v>-1.1299999999999999</v>
      </c>
      <c r="G29">
        <v>0.19170000000000001</v>
      </c>
      <c r="H29">
        <v>1.528</v>
      </c>
      <c r="I29">
        <v>40001</v>
      </c>
      <c r="J29">
        <v>120000</v>
      </c>
    </row>
    <row r="30" spans="1:10" x14ac:dyDescent="0.25">
      <c r="B30" t="s">
        <v>755</v>
      </c>
      <c r="C30">
        <v>0.21179999999999999</v>
      </c>
      <c r="D30">
        <v>100.1</v>
      </c>
      <c r="E30">
        <v>0.29299999999999998</v>
      </c>
      <c r="F30">
        <v>-196.3</v>
      </c>
      <c r="G30">
        <v>0.20680000000000001</v>
      </c>
      <c r="H30">
        <v>195.4</v>
      </c>
      <c r="I30">
        <v>40001</v>
      </c>
      <c r="J30">
        <v>120000</v>
      </c>
    </row>
    <row r="31" spans="1:10" x14ac:dyDescent="0.25">
      <c r="B31" t="s">
        <v>756</v>
      </c>
      <c r="C31">
        <v>0.1207</v>
      </c>
      <c r="D31">
        <v>99.89</v>
      </c>
      <c r="E31">
        <v>0.28910000000000002</v>
      </c>
      <c r="F31">
        <v>-195.4</v>
      </c>
      <c r="G31">
        <v>-5.2440000000000001E-2</v>
      </c>
      <c r="H31">
        <v>196</v>
      </c>
      <c r="I31">
        <v>40001</v>
      </c>
      <c r="J31">
        <v>120000</v>
      </c>
    </row>
    <row r="32" spans="1:10" x14ac:dyDescent="0.25">
      <c r="B32" t="s">
        <v>757</v>
      </c>
      <c r="C32">
        <v>-0.41820000000000002</v>
      </c>
      <c r="D32">
        <v>99.8</v>
      </c>
      <c r="E32">
        <v>0.2959</v>
      </c>
      <c r="F32">
        <v>-195.7</v>
      </c>
      <c r="G32">
        <v>-0.65600000000000003</v>
      </c>
      <c r="H32">
        <v>195.7</v>
      </c>
      <c r="I32">
        <v>40001</v>
      </c>
      <c r="J32">
        <v>120000</v>
      </c>
    </row>
    <row r="33" spans="2:10" x14ac:dyDescent="0.25">
      <c r="B33" t="s">
        <v>758</v>
      </c>
      <c r="C33">
        <v>0.32350000000000001</v>
      </c>
      <c r="D33">
        <v>3.4060000000000001</v>
      </c>
      <c r="E33">
        <v>0.1192</v>
      </c>
      <c r="F33">
        <v>-6.1829999999999998</v>
      </c>
      <c r="G33">
        <v>0.19470000000000001</v>
      </c>
      <c r="H33">
        <v>7.3540000000000001</v>
      </c>
      <c r="I33">
        <v>40001</v>
      </c>
      <c r="J33">
        <v>120000</v>
      </c>
    </row>
    <row r="34" spans="2:10" x14ac:dyDescent="0.25">
      <c r="B34" t="s">
        <v>759</v>
      </c>
      <c r="C34">
        <v>0.33210000000000001</v>
      </c>
      <c r="D34">
        <v>0.44140000000000001</v>
      </c>
      <c r="E34">
        <v>6.9829999999999996E-3</v>
      </c>
      <c r="F34">
        <v>-0.52839999999999998</v>
      </c>
      <c r="G34">
        <v>0.32369999999999999</v>
      </c>
      <c r="H34">
        <v>1.2130000000000001</v>
      </c>
      <c r="I34">
        <v>40001</v>
      </c>
      <c r="J34">
        <v>120000</v>
      </c>
    </row>
    <row r="35" spans="2:10" x14ac:dyDescent="0.25">
      <c r="B35" t="s">
        <v>760</v>
      </c>
      <c r="C35">
        <v>-0.45329999999999998</v>
      </c>
      <c r="D35">
        <v>0.54269999999999996</v>
      </c>
      <c r="E35">
        <v>9.4990000000000005E-3</v>
      </c>
      <c r="F35">
        <v>-1.5109999999999999</v>
      </c>
      <c r="G35">
        <v>-0.45810000000000001</v>
      </c>
      <c r="H35">
        <v>0.6109</v>
      </c>
      <c r="I35">
        <v>40001</v>
      </c>
      <c r="J35">
        <v>120000</v>
      </c>
    </row>
    <row r="36" spans="2:10" x14ac:dyDescent="0.25">
      <c r="B36" t="s">
        <v>761</v>
      </c>
      <c r="C36">
        <v>9.6990000000000007E-2</v>
      </c>
      <c r="D36">
        <v>0.37859999999999999</v>
      </c>
      <c r="E36">
        <v>6.1060000000000003E-3</v>
      </c>
      <c r="F36">
        <v>-0.64949999999999997</v>
      </c>
      <c r="G36">
        <v>9.6259999999999998E-2</v>
      </c>
      <c r="H36">
        <v>0.84940000000000004</v>
      </c>
      <c r="I36">
        <v>40001</v>
      </c>
      <c r="J36">
        <v>120000</v>
      </c>
    </row>
    <row r="37" spans="2:10" x14ac:dyDescent="0.25">
      <c r="B37" t="s">
        <v>762</v>
      </c>
      <c r="C37">
        <v>-2.5680000000000001E-2</v>
      </c>
      <c r="D37">
        <v>100.5</v>
      </c>
      <c r="E37">
        <v>0.2928</v>
      </c>
      <c r="F37">
        <v>-198.3</v>
      </c>
      <c r="G37">
        <v>2.1260000000000001E-2</v>
      </c>
      <c r="H37">
        <v>195.8</v>
      </c>
      <c r="I37">
        <v>40001</v>
      </c>
      <c r="J37">
        <v>120000</v>
      </c>
    </row>
    <row r="38" spans="2:10" x14ac:dyDescent="0.25">
      <c r="B38" t="s">
        <v>763</v>
      </c>
      <c r="C38">
        <v>-0.52890000000000004</v>
      </c>
      <c r="D38">
        <v>0.77300000000000002</v>
      </c>
      <c r="E38">
        <v>1.4069999999999999E-2</v>
      </c>
      <c r="F38">
        <v>-2.073</v>
      </c>
      <c r="G38">
        <v>-0.51749999999999996</v>
      </c>
      <c r="H38">
        <v>1.0029999999999999</v>
      </c>
      <c r="I38">
        <v>40001</v>
      </c>
      <c r="J38">
        <v>120000</v>
      </c>
    </row>
    <row r="39" spans="2:10" x14ac:dyDescent="0.25">
      <c r="B39" t="s">
        <v>764</v>
      </c>
      <c r="C39">
        <v>0.24579999999999999</v>
      </c>
      <c r="D39">
        <v>99.83</v>
      </c>
      <c r="E39">
        <v>0.27989999999999998</v>
      </c>
      <c r="F39">
        <v>-195.1</v>
      </c>
      <c r="G39">
        <v>2.1860000000000001E-2</v>
      </c>
      <c r="H39">
        <v>196.6</v>
      </c>
      <c r="I39">
        <v>40001</v>
      </c>
      <c r="J39">
        <v>120000</v>
      </c>
    </row>
    <row r="40" spans="2:10" x14ac:dyDescent="0.25">
      <c r="B40" t="s">
        <v>765</v>
      </c>
      <c r="C40">
        <v>-0.3634</v>
      </c>
      <c r="D40">
        <v>0.71060000000000001</v>
      </c>
      <c r="E40">
        <v>1.274E-2</v>
      </c>
      <c r="F40">
        <v>-1.7869999999999999</v>
      </c>
      <c r="G40">
        <v>-0.35020000000000001</v>
      </c>
      <c r="H40">
        <v>1.0129999999999999</v>
      </c>
      <c r="I40">
        <v>40001</v>
      </c>
      <c r="J40">
        <v>120000</v>
      </c>
    </row>
    <row r="41" spans="2:10" x14ac:dyDescent="0.25">
      <c r="B41" t="s">
        <v>766</v>
      </c>
      <c r="C41">
        <v>0.2334</v>
      </c>
      <c r="D41">
        <v>100.2</v>
      </c>
      <c r="E41">
        <v>0.29199999999999998</v>
      </c>
      <c r="F41">
        <v>-196.2</v>
      </c>
      <c r="G41">
        <v>1.7219999999999999E-2</v>
      </c>
      <c r="H41">
        <v>196.6</v>
      </c>
      <c r="I41">
        <v>40001</v>
      </c>
      <c r="J41">
        <v>120000</v>
      </c>
    </row>
    <row r="42" spans="2:10" x14ac:dyDescent="0.25">
      <c r="B42" t="s">
        <v>767</v>
      </c>
      <c r="C42">
        <v>-2.511E-2</v>
      </c>
      <c r="D42">
        <v>100</v>
      </c>
      <c r="E42">
        <v>0.28220000000000001</v>
      </c>
      <c r="F42">
        <v>-195.6</v>
      </c>
      <c r="G42">
        <v>8.5639999999999994E-2</v>
      </c>
      <c r="H42">
        <v>196.4</v>
      </c>
      <c r="I42">
        <v>40001</v>
      </c>
      <c r="J42">
        <v>120000</v>
      </c>
    </row>
    <row r="43" spans="2:10" x14ac:dyDescent="0.25">
      <c r="B43" t="s">
        <v>768</v>
      </c>
      <c r="C43">
        <v>-8.2699999999999996E-3</v>
      </c>
      <c r="D43">
        <v>0.46050000000000002</v>
      </c>
      <c r="E43">
        <v>5.7109999999999999E-3</v>
      </c>
      <c r="F43">
        <v>-0.91210000000000002</v>
      </c>
      <c r="G43">
        <v>-5.4299999999999999E-3</v>
      </c>
      <c r="H43">
        <v>0.91779999999999995</v>
      </c>
      <c r="I43">
        <v>40001</v>
      </c>
      <c r="J43">
        <v>120000</v>
      </c>
    </row>
    <row r="44" spans="2:10" x14ac:dyDescent="0.25">
      <c r="B44" t="s">
        <v>769</v>
      </c>
      <c r="C44">
        <v>8.2760000000000004E-3</v>
      </c>
      <c r="D44">
        <v>0.46639999999999998</v>
      </c>
      <c r="E44">
        <v>7.9430000000000004E-3</v>
      </c>
      <c r="F44">
        <v>-0.88729999999999998</v>
      </c>
      <c r="G44">
        <v>7.2249999999999997E-3</v>
      </c>
      <c r="H44">
        <v>0.92359999999999998</v>
      </c>
      <c r="I44">
        <v>40001</v>
      </c>
      <c r="J44">
        <v>120000</v>
      </c>
    </row>
    <row r="45" spans="2:10" x14ac:dyDescent="0.25">
      <c r="B45" t="s">
        <v>770</v>
      </c>
      <c r="C45">
        <v>0.4088</v>
      </c>
      <c r="D45">
        <v>100</v>
      </c>
      <c r="E45">
        <v>0.28549999999999998</v>
      </c>
      <c r="F45">
        <v>-195.2</v>
      </c>
      <c r="G45">
        <v>0.6946</v>
      </c>
      <c r="H45">
        <v>196.6</v>
      </c>
      <c r="I45">
        <v>40001</v>
      </c>
      <c r="J45">
        <v>120000</v>
      </c>
    </row>
    <row r="46" spans="2:10" x14ac:dyDescent="0.25">
      <c r="B46" t="s">
        <v>771</v>
      </c>
      <c r="C46">
        <v>-0.30919999999999997</v>
      </c>
      <c r="D46">
        <v>0.63380000000000003</v>
      </c>
      <c r="E46">
        <v>1.027E-2</v>
      </c>
      <c r="F46">
        <v>-1.5669999999999999</v>
      </c>
      <c r="G46">
        <v>-0.29949999999999999</v>
      </c>
      <c r="H46">
        <v>0.94940000000000002</v>
      </c>
      <c r="I46">
        <v>40001</v>
      </c>
      <c r="J46">
        <v>120000</v>
      </c>
    </row>
    <row r="47" spans="2:10" x14ac:dyDescent="0.25">
      <c r="B47" t="s">
        <v>772</v>
      </c>
      <c r="C47">
        <v>0.52410000000000001</v>
      </c>
      <c r="D47">
        <v>100.2</v>
      </c>
      <c r="E47">
        <v>0.3004</v>
      </c>
      <c r="F47">
        <v>-195.4</v>
      </c>
      <c r="G47">
        <v>0.52500000000000002</v>
      </c>
      <c r="H47">
        <v>196.5</v>
      </c>
      <c r="I47">
        <v>40001</v>
      </c>
      <c r="J47">
        <v>120000</v>
      </c>
    </row>
    <row r="48" spans="2:10" x14ac:dyDescent="0.25">
      <c r="B48" t="s">
        <v>773</v>
      </c>
      <c r="C48">
        <v>-7.2029999999999997E-2</v>
      </c>
      <c r="D48">
        <v>99.85</v>
      </c>
      <c r="E48">
        <v>0.2878</v>
      </c>
      <c r="F48">
        <v>-195.9</v>
      </c>
      <c r="G48">
        <v>2.7890000000000002E-2</v>
      </c>
      <c r="H48">
        <v>195.7</v>
      </c>
      <c r="I48">
        <v>40001</v>
      </c>
      <c r="J48">
        <v>120000</v>
      </c>
    </row>
    <row r="49" spans="2:10" x14ac:dyDescent="0.25">
      <c r="B49" t="s">
        <v>774</v>
      </c>
      <c r="C49">
        <v>0.44819999999999999</v>
      </c>
      <c r="D49">
        <v>0.70840000000000003</v>
      </c>
      <c r="E49">
        <v>1.469E-2</v>
      </c>
      <c r="F49">
        <v>-0.95689999999999997</v>
      </c>
      <c r="G49">
        <v>0.441</v>
      </c>
      <c r="H49">
        <v>1.819</v>
      </c>
      <c r="I49">
        <v>40001</v>
      </c>
      <c r="J49">
        <v>120000</v>
      </c>
    </row>
    <row r="50" spans="2:10" x14ac:dyDescent="0.25">
      <c r="B50" t="s">
        <v>775</v>
      </c>
      <c r="C50">
        <v>0.36299999999999999</v>
      </c>
      <c r="D50">
        <v>0.3715</v>
      </c>
      <c r="E50">
        <v>6.149E-3</v>
      </c>
      <c r="F50">
        <v>-0.35580000000000001</v>
      </c>
      <c r="G50">
        <v>0.36249999999999999</v>
      </c>
      <c r="H50">
        <v>1.099</v>
      </c>
      <c r="I50">
        <v>40001</v>
      </c>
      <c r="J50">
        <v>120000</v>
      </c>
    </row>
    <row r="51" spans="2:10" x14ac:dyDescent="0.25">
      <c r="B51" t="s">
        <v>776</v>
      </c>
      <c r="C51">
        <v>0.19259999999999999</v>
      </c>
      <c r="D51">
        <v>99.97</v>
      </c>
      <c r="E51">
        <v>0.30120000000000002</v>
      </c>
      <c r="F51">
        <v>-195.7</v>
      </c>
      <c r="G51">
        <v>0.13139999999999999</v>
      </c>
      <c r="H51">
        <v>195.2</v>
      </c>
      <c r="I51">
        <v>40001</v>
      </c>
      <c r="J51">
        <v>120000</v>
      </c>
    </row>
    <row r="52" spans="2:10" x14ac:dyDescent="0.25">
      <c r="B52" t="s">
        <v>777</v>
      </c>
      <c r="C52">
        <v>-0.14779999999999999</v>
      </c>
      <c r="D52">
        <v>100.1</v>
      </c>
      <c r="E52">
        <v>0.30099999999999999</v>
      </c>
      <c r="F52">
        <v>-196.1</v>
      </c>
      <c r="G52">
        <v>-5.8409999999999997E-2</v>
      </c>
      <c r="H52">
        <v>194.5</v>
      </c>
      <c r="I52">
        <v>40001</v>
      </c>
      <c r="J52">
        <v>120000</v>
      </c>
    </row>
    <row r="53" spans="2:10" x14ac:dyDescent="0.25">
      <c r="B53" t="s">
        <v>778</v>
      </c>
      <c r="C53">
        <v>0.32190000000000002</v>
      </c>
      <c r="D53">
        <v>99.85</v>
      </c>
      <c r="E53">
        <v>0.2928</v>
      </c>
      <c r="F53">
        <v>-195.2</v>
      </c>
      <c r="G53">
        <v>0.48649999999999999</v>
      </c>
      <c r="H53">
        <v>195.9</v>
      </c>
      <c r="I53">
        <v>40001</v>
      </c>
      <c r="J53">
        <v>120000</v>
      </c>
    </row>
    <row r="54" spans="2:10" x14ac:dyDescent="0.25">
      <c r="B54" t="s">
        <v>779</v>
      </c>
      <c r="C54">
        <v>0.56220000000000003</v>
      </c>
      <c r="D54">
        <v>99.84</v>
      </c>
      <c r="E54">
        <v>0.28050000000000003</v>
      </c>
      <c r="F54">
        <v>-195.9</v>
      </c>
      <c r="G54">
        <v>0.85580000000000001</v>
      </c>
      <c r="H54">
        <v>196.3</v>
      </c>
      <c r="I54">
        <v>40001</v>
      </c>
      <c r="J54">
        <v>120000</v>
      </c>
    </row>
    <row r="55" spans="2:10" x14ac:dyDescent="0.25">
      <c r="B55" t="s">
        <v>780</v>
      </c>
      <c r="C55">
        <v>-0.25280000000000002</v>
      </c>
      <c r="D55">
        <v>100.1</v>
      </c>
      <c r="E55">
        <v>0.28079999999999999</v>
      </c>
      <c r="F55">
        <v>-194.9</v>
      </c>
      <c r="G55">
        <v>-0.45729999999999998</v>
      </c>
      <c r="H55">
        <v>196.5</v>
      </c>
      <c r="I55">
        <v>40001</v>
      </c>
      <c r="J55">
        <v>120000</v>
      </c>
    </row>
    <row r="56" spans="2:10" x14ac:dyDescent="0.25">
      <c r="B56" t="s">
        <v>781</v>
      </c>
      <c r="C56">
        <v>-0.31280000000000002</v>
      </c>
      <c r="D56">
        <v>99.79</v>
      </c>
      <c r="E56">
        <v>0.28149999999999997</v>
      </c>
      <c r="F56">
        <v>-196.3</v>
      </c>
      <c r="G56">
        <v>-0.57740000000000002</v>
      </c>
      <c r="H56">
        <v>195.2</v>
      </c>
      <c r="I56">
        <v>40001</v>
      </c>
      <c r="J56">
        <v>120000</v>
      </c>
    </row>
    <row r="57" spans="2:10" x14ac:dyDescent="0.25">
      <c r="B57" t="s">
        <v>782</v>
      </c>
      <c r="C57">
        <v>9.5390000000000003E-2</v>
      </c>
      <c r="D57">
        <v>100.1</v>
      </c>
      <c r="E57">
        <v>0.2959</v>
      </c>
      <c r="F57">
        <v>-196</v>
      </c>
      <c r="G57">
        <v>6.8589999999999998E-2</v>
      </c>
      <c r="H57">
        <v>195.7</v>
      </c>
      <c r="I57">
        <v>40001</v>
      </c>
      <c r="J57">
        <v>120000</v>
      </c>
    </row>
    <row r="58" spans="2:10" x14ac:dyDescent="0.25">
      <c r="B58" t="s">
        <v>783</v>
      </c>
      <c r="C58">
        <v>-0.1239</v>
      </c>
      <c r="D58">
        <v>100.1</v>
      </c>
      <c r="E58">
        <v>0.29430000000000001</v>
      </c>
      <c r="F58">
        <v>-195.9</v>
      </c>
      <c r="G58">
        <v>-0.20430000000000001</v>
      </c>
      <c r="H58">
        <v>196</v>
      </c>
      <c r="I58">
        <v>40001</v>
      </c>
      <c r="J58">
        <v>120000</v>
      </c>
    </row>
    <row r="59" spans="2:10" x14ac:dyDescent="0.25">
      <c r="B59" t="s">
        <v>784</v>
      </c>
      <c r="C59">
        <v>-0.13739999999999999</v>
      </c>
      <c r="D59">
        <v>99.98</v>
      </c>
      <c r="E59">
        <v>0.29570000000000002</v>
      </c>
      <c r="F59">
        <v>-194.7</v>
      </c>
      <c r="G59">
        <v>-0.32779999999999998</v>
      </c>
      <c r="H59">
        <v>197.3</v>
      </c>
      <c r="I59">
        <v>40001</v>
      </c>
      <c r="J59">
        <v>120000</v>
      </c>
    </row>
    <row r="60" spans="2:10" x14ac:dyDescent="0.25">
      <c r="B60" t="s">
        <v>785</v>
      </c>
      <c r="C60">
        <v>-6.5189999999999998E-2</v>
      </c>
      <c r="D60">
        <v>100.1</v>
      </c>
      <c r="E60">
        <v>0.29239999999999999</v>
      </c>
      <c r="F60">
        <v>-197.1</v>
      </c>
      <c r="G60">
        <v>0.28689999999999999</v>
      </c>
      <c r="H60">
        <v>195.5</v>
      </c>
      <c r="I60">
        <v>40001</v>
      </c>
      <c r="J60">
        <v>120000</v>
      </c>
    </row>
    <row r="61" spans="2:10" x14ac:dyDescent="0.25">
      <c r="B61" t="s">
        <v>786</v>
      </c>
      <c r="C61">
        <v>0.28899999999999998</v>
      </c>
      <c r="D61">
        <v>100.3</v>
      </c>
      <c r="E61">
        <v>0.3014</v>
      </c>
      <c r="F61">
        <v>-196.6</v>
      </c>
      <c r="G61">
        <v>0.23280000000000001</v>
      </c>
      <c r="H61">
        <v>197.2</v>
      </c>
      <c r="I61">
        <v>40001</v>
      </c>
      <c r="J61">
        <v>120000</v>
      </c>
    </row>
    <row r="62" spans="2:10" x14ac:dyDescent="0.25">
      <c r="B62" t="s">
        <v>787</v>
      </c>
      <c r="C62">
        <v>-0.5534</v>
      </c>
      <c r="D62">
        <v>100</v>
      </c>
      <c r="E62">
        <v>0.28520000000000001</v>
      </c>
      <c r="F62">
        <v>-195.5</v>
      </c>
      <c r="G62">
        <v>-0.30890000000000001</v>
      </c>
      <c r="H62">
        <v>195.4</v>
      </c>
      <c r="I62">
        <v>40001</v>
      </c>
      <c r="J62">
        <v>120000</v>
      </c>
    </row>
    <row r="63" spans="2:10" x14ac:dyDescent="0.25">
      <c r="B63" t="s">
        <v>788</v>
      </c>
      <c r="C63">
        <v>0.13589999999999999</v>
      </c>
      <c r="D63">
        <v>100.3</v>
      </c>
      <c r="E63">
        <v>0.28160000000000002</v>
      </c>
      <c r="F63">
        <v>-195.9</v>
      </c>
      <c r="G63">
        <v>-0.1069</v>
      </c>
      <c r="H63">
        <v>197</v>
      </c>
      <c r="I63">
        <v>40001</v>
      </c>
      <c r="J63">
        <v>120000</v>
      </c>
    </row>
    <row r="64" spans="2:10" x14ac:dyDescent="0.25">
      <c r="B64" t="s">
        <v>789</v>
      </c>
      <c r="C64">
        <v>-0.28170000000000001</v>
      </c>
      <c r="D64">
        <v>100.2</v>
      </c>
      <c r="E64">
        <v>0.2974</v>
      </c>
      <c r="F64">
        <v>-196.8</v>
      </c>
      <c r="G64">
        <v>-0.52470000000000006</v>
      </c>
      <c r="H64">
        <v>195.5</v>
      </c>
      <c r="I64">
        <v>40001</v>
      </c>
      <c r="J64">
        <v>120000</v>
      </c>
    </row>
    <row r="65" spans="2:10" x14ac:dyDescent="0.25">
      <c r="B65" t="s">
        <v>790</v>
      </c>
      <c r="C65">
        <v>-0.37719999999999998</v>
      </c>
      <c r="D65">
        <v>99.79</v>
      </c>
      <c r="E65">
        <v>0.28160000000000002</v>
      </c>
      <c r="F65">
        <v>-194.8</v>
      </c>
      <c r="G65">
        <v>-1.0049999999999999</v>
      </c>
      <c r="H65">
        <v>196.1</v>
      </c>
      <c r="I65">
        <v>40001</v>
      </c>
      <c r="J65">
        <v>120000</v>
      </c>
    </row>
    <row r="66" spans="2:10" x14ac:dyDescent="0.25">
      <c r="B66" t="s">
        <v>791</v>
      </c>
      <c r="C66">
        <v>-0.86909999999999998</v>
      </c>
      <c r="D66">
        <v>100.1</v>
      </c>
      <c r="E66">
        <v>0.29110000000000003</v>
      </c>
      <c r="F66">
        <v>-196.8</v>
      </c>
      <c r="G66">
        <v>-1.1599999999999999</v>
      </c>
      <c r="H66">
        <v>195.9</v>
      </c>
      <c r="I66">
        <v>40001</v>
      </c>
      <c r="J66">
        <v>120000</v>
      </c>
    </row>
    <row r="67" spans="2:10" x14ac:dyDescent="0.25">
      <c r="B67" t="s">
        <v>792</v>
      </c>
      <c r="C67">
        <v>0.1258</v>
      </c>
      <c r="D67">
        <v>99.9</v>
      </c>
      <c r="E67">
        <v>0.27910000000000001</v>
      </c>
      <c r="F67">
        <v>-194.8</v>
      </c>
      <c r="G67">
        <v>0.3165</v>
      </c>
      <c r="H67">
        <v>196.8</v>
      </c>
      <c r="I67">
        <v>40001</v>
      </c>
      <c r="J67">
        <v>120000</v>
      </c>
    </row>
    <row r="68" spans="2:10" x14ac:dyDescent="0.25">
      <c r="B68" t="s">
        <v>793</v>
      </c>
      <c r="C68">
        <v>0.43509999999999999</v>
      </c>
      <c r="D68">
        <v>100.1</v>
      </c>
      <c r="E68">
        <v>0.30470000000000003</v>
      </c>
      <c r="F68">
        <v>-195.6</v>
      </c>
      <c r="G68">
        <v>0.6966</v>
      </c>
      <c r="H68">
        <v>196.5</v>
      </c>
      <c r="I68">
        <v>40001</v>
      </c>
      <c r="J68">
        <v>120000</v>
      </c>
    </row>
    <row r="69" spans="2:10" x14ac:dyDescent="0.25">
      <c r="B69" t="s">
        <v>794</v>
      </c>
      <c r="C69">
        <v>-0.1741</v>
      </c>
      <c r="D69">
        <v>100</v>
      </c>
      <c r="E69">
        <v>0.29430000000000001</v>
      </c>
      <c r="F69">
        <v>-196</v>
      </c>
      <c r="G69">
        <v>-0.2797</v>
      </c>
      <c r="H69">
        <v>196.5</v>
      </c>
      <c r="I69">
        <v>40001</v>
      </c>
      <c r="J69">
        <v>120000</v>
      </c>
    </row>
    <row r="70" spans="2:10" x14ac:dyDescent="0.25">
      <c r="B70" t="s">
        <v>795</v>
      </c>
      <c r="C70">
        <v>0.1014</v>
      </c>
      <c r="D70">
        <v>100.1</v>
      </c>
      <c r="E70">
        <v>0.28260000000000002</v>
      </c>
      <c r="F70">
        <v>-196.2</v>
      </c>
      <c r="G70">
        <v>0.38979999999999998</v>
      </c>
      <c r="H70">
        <v>195.6</v>
      </c>
      <c r="I70">
        <v>40001</v>
      </c>
      <c r="J70">
        <v>120000</v>
      </c>
    </row>
    <row r="71" spans="2:10" x14ac:dyDescent="0.25">
      <c r="B71" t="s">
        <v>796</v>
      </c>
      <c r="C71">
        <v>-4.1549999999999998E-3</v>
      </c>
      <c r="D71">
        <v>100</v>
      </c>
      <c r="E71">
        <v>0.29260000000000003</v>
      </c>
      <c r="F71">
        <v>-197.3</v>
      </c>
      <c r="G71">
        <v>0.24329999999999999</v>
      </c>
      <c r="H71">
        <v>195.5</v>
      </c>
      <c r="I71">
        <v>40001</v>
      </c>
      <c r="J71">
        <v>120000</v>
      </c>
    </row>
    <row r="72" spans="2:10" x14ac:dyDescent="0.25">
      <c r="B72" t="s">
        <v>483</v>
      </c>
      <c r="C72">
        <v>1.006</v>
      </c>
      <c r="D72">
        <v>1.4390000000000001</v>
      </c>
      <c r="E72">
        <v>1.0540000000000001E-2</v>
      </c>
      <c r="F72" s="13">
        <v>9.9839999999999998E-4</v>
      </c>
      <c r="G72">
        <v>0.45229999999999998</v>
      </c>
      <c r="H72">
        <v>5.0860000000000003</v>
      </c>
      <c r="I72">
        <v>40001</v>
      </c>
      <c r="J72">
        <v>120000</v>
      </c>
    </row>
    <row r="73" spans="2:10" x14ac:dyDescent="0.25">
      <c r="B73" t="s">
        <v>484</v>
      </c>
      <c r="C73">
        <v>1.006</v>
      </c>
      <c r="D73">
        <v>1.425</v>
      </c>
      <c r="E73">
        <v>1.026E-2</v>
      </c>
      <c r="F73" s="13">
        <v>9.2690000000000003E-4</v>
      </c>
      <c r="G73">
        <v>0.45429999999999998</v>
      </c>
      <c r="H73">
        <v>5.0720000000000001</v>
      </c>
      <c r="I73">
        <v>40001</v>
      </c>
      <c r="J73">
        <v>120000</v>
      </c>
    </row>
    <row r="74" spans="2:10" x14ac:dyDescent="0.25">
      <c r="B74" t="s">
        <v>485</v>
      </c>
      <c r="C74">
        <v>1.0449999999999999</v>
      </c>
      <c r="D74">
        <v>1.466</v>
      </c>
      <c r="E74">
        <v>1.524E-2</v>
      </c>
      <c r="F74">
        <v>1.016E-3</v>
      </c>
      <c r="G74">
        <v>0.4778</v>
      </c>
      <c r="H74">
        <v>5.2480000000000002</v>
      </c>
      <c r="I74">
        <v>40001</v>
      </c>
      <c r="J74">
        <v>120000</v>
      </c>
    </row>
    <row r="75" spans="2:10" x14ac:dyDescent="0.25">
      <c r="B75" t="s">
        <v>486</v>
      </c>
      <c r="C75">
        <v>1.048</v>
      </c>
      <c r="D75">
        <v>1.4850000000000001</v>
      </c>
      <c r="E75">
        <v>1.491E-2</v>
      </c>
      <c r="F75">
        <v>1.059E-3</v>
      </c>
      <c r="G75">
        <v>0.4798</v>
      </c>
      <c r="H75">
        <v>5.2519999999999998</v>
      </c>
      <c r="I75">
        <v>40001</v>
      </c>
      <c r="J75">
        <v>120000</v>
      </c>
    </row>
    <row r="76" spans="2:10" x14ac:dyDescent="0.25">
      <c r="B76" t="s">
        <v>487</v>
      </c>
      <c r="C76">
        <v>0.94099999999999995</v>
      </c>
      <c r="D76">
        <v>1.325</v>
      </c>
      <c r="E76">
        <v>1.3169999999999999E-2</v>
      </c>
      <c r="F76" s="13">
        <v>9.8679999999999992E-4</v>
      </c>
      <c r="G76">
        <v>0.42920000000000003</v>
      </c>
      <c r="H76">
        <v>4.6890000000000001</v>
      </c>
      <c r="I76">
        <v>40001</v>
      </c>
      <c r="J76">
        <v>120000</v>
      </c>
    </row>
    <row r="77" spans="2:10" x14ac:dyDescent="0.25">
      <c r="B77" t="s">
        <v>488</v>
      </c>
      <c r="C77">
        <v>0.86450000000000005</v>
      </c>
      <c r="D77">
        <v>1.2210000000000001</v>
      </c>
      <c r="E77">
        <v>8.4419999999999999E-3</v>
      </c>
      <c r="F77" s="13">
        <v>8.4999999999999995E-4</v>
      </c>
      <c r="G77">
        <v>0.39629999999999999</v>
      </c>
      <c r="H77">
        <v>4.3220000000000001</v>
      </c>
      <c r="I77">
        <v>40001</v>
      </c>
      <c r="J77">
        <v>120000</v>
      </c>
    </row>
    <row r="78" spans="2:10" x14ac:dyDescent="0.25">
      <c r="B78" t="s">
        <v>489</v>
      </c>
      <c r="C78">
        <v>0.63170000000000004</v>
      </c>
      <c r="D78">
        <v>0.90169999999999995</v>
      </c>
      <c r="E78">
        <v>3.9899999999999996E-3</v>
      </c>
      <c r="F78" s="13">
        <v>5.9570000000000001E-4</v>
      </c>
      <c r="G78">
        <v>0.28589999999999999</v>
      </c>
      <c r="H78">
        <v>3.1680000000000001</v>
      </c>
      <c r="I78">
        <v>40001</v>
      </c>
      <c r="J78">
        <v>120000</v>
      </c>
    </row>
    <row r="79" spans="2:10" x14ac:dyDescent="0.25">
      <c r="B79" t="s">
        <v>490</v>
      </c>
      <c r="C79">
        <v>0.71799999999999997</v>
      </c>
      <c r="D79">
        <v>1.008</v>
      </c>
      <c r="E79">
        <v>4.1450000000000002E-3</v>
      </c>
      <c r="F79" s="13">
        <v>6.4510000000000001E-4</v>
      </c>
      <c r="G79">
        <v>0.32829999999999998</v>
      </c>
      <c r="H79">
        <v>3.5830000000000002</v>
      </c>
      <c r="I79">
        <v>40001</v>
      </c>
      <c r="J79">
        <v>120000</v>
      </c>
    </row>
    <row r="80" spans="2:10" x14ac:dyDescent="0.25">
      <c r="B80" t="s">
        <v>491</v>
      </c>
      <c r="C80">
        <v>0.70909999999999995</v>
      </c>
      <c r="D80">
        <v>1.0189999999999999</v>
      </c>
      <c r="E80">
        <v>5.5319999999999996E-3</v>
      </c>
      <c r="F80" s="13">
        <v>6.7179999999999996E-4</v>
      </c>
      <c r="G80">
        <v>0.31819999999999998</v>
      </c>
      <c r="H80">
        <v>3.5960000000000001</v>
      </c>
      <c r="I80">
        <v>40001</v>
      </c>
      <c r="J80">
        <v>120000</v>
      </c>
    </row>
    <row r="81" spans="2:10" x14ac:dyDescent="0.25">
      <c r="B81" t="s">
        <v>492</v>
      </c>
      <c r="C81">
        <v>0.81599999999999995</v>
      </c>
      <c r="D81">
        <v>1.141</v>
      </c>
      <c r="E81">
        <v>5.9800000000000001E-3</v>
      </c>
      <c r="F81" s="13">
        <v>8.8610000000000002E-4</v>
      </c>
      <c r="G81">
        <v>0.376</v>
      </c>
      <c r="H81">
        <v>4.0529999999999999</v>
      </c>
      <c r="I81">
        <v>40001</v>
      </c>
      <c r="J81">
        <v>120000</v>
      </c>
    </row>
    <row r="82" spans="2:10" x14ac:dyDescent="0.25">
      <c r="B82" t="s">
        <v>493</v>
      </c>
      <c r="C82">
        <v>0.68920000000000003</v>
      </c>
      <c r="D82">
        <v>0.96199999999999997</v>
      </c>
      <c r="E82">
        <v>5.7650000000000002E-3</v>
      </c>
      <c r="F82" s="13">
        <v>6.9749999999999999E-4</v>
      </c>
      <c r="G82">
        <v>0.31680000000000003</v>
      </c>
      <c r="H82">
        <v>3.427</v>
      </c>
      <c r="I82">
        <v>40001</v>
      </c>
      <c r="J82">
        <v>120000</v>
      </c>
    </row>
    <row r="83" spans="2:10" x14ac:dyDescent="0.25">
      <c r="B83" t="s">
        <v>494</v>
      </c>
      <c r="C83">
        <v>0.70530000000000004</v>
      </c>
      <c r="D83">
        <v>0.99750000000000005</v>
      </c>
      <c r="E83">
        <v>3.8830000000000002E-3</v>
      </c>
      <c r="F83" s="13">
        <v>7.1009999999999997E-4</v>
      </c>
      <c r="G83">
        <v>0.3206</v>
      </c>
      <c r="H83">
        <v>3.548</v>
      </c>
      <c r="I83">
        <v>40001</v>
      </c>
      <c r="J83">
        <v>120000</v>
      </c>
    </row>
    <row r="84" spans="2:10" x14ac:dyDescent="0.25">
      <c r="B84" t="s">
        <v>495</v>
      </c>
      <c r="C84">
        <v>0.8468</v>
      </c>
      <c r="D84">
        <v>1.1879999999999999</v>
      </c>
      <c r="E84">
        <v>7.718E-3</v>
      </c>
      <c r="F84" s="13">
        <v>8.2589999999999996E-4</v>
      </c>
      <c r="G84">
        <v>0.38840000000000002</v>
      </c>
      <c r="H84">
        <v>4.2249999999999996</v>
      </c>
      <c r="I84">
        <v>40001</v>
      </c>
      <c r="J84">
        <v>120000</v>
      </c>
    </row>
    <row r="85" spans="2:10" x14ac:dyDescent="0.25">
      <c r="B85" t="s">
        <v>496</v>
      </c>
      <c r="C85">
        <v>0.82150000000000001</v>
      </c>
      <c r="D85">
        <v>1.171</v>
      </c>
      <c r="E85">
        <v>7.1729999999999997E-3</v>
      </c>
      <c r="F85" s="13">
        <v>7.9739999999999998E-4</v>
      </c>
      <c r="G85">
        <v>0.37030000000000002</v>
      </c>
      <c r="H85">
        <v>4.1769999999999996</v>
      </c>
      <c r="I85">
        <v>40001</v>
      </c>
      <c r="J85">
        <v>120000</v>
      </c>
    </row>
    <row r="86" spans="2:10" x14ac:dyDescent="0.25">
      <c r="B86" t="s">
        <v>497</v>
      </c>
      <c r="C86">
        <v>0.60250000000000004</v>
      </c>
      <c r="D86">
        <v>0.88019999999999998</v>
      </c>
      <c r="E86">
        <v>7.9139999999999992E-3</v>
      </c>
      <c r="F86" s="13">
        <v>5.8350000000000003E-4</v>
      </c>
      <c r="G86">
        <v>0.26619999999999999</v>
      </c>
      <c r="H86">
        <v>3.0819999999999999</v>
      </c>
      <c r="I86">
        <v>40001</v>
      </c>
      <c r="J86">
        <v>120000</v>
      </c>
    </row>
    <row r="87" spans="2:10" x14ac:dyDescent="0.25">
      <c r="B87" t="s">
        <v>498</v>
      </c>
      <c r="C87">
        <v>0.94630000000000003</v>
      </c>
      <c r="D87">
        <v>1.3109999999999999</v>
      </c>
      <c r="E87">
        <v>7.8300000000000002E-3</v>
      </c>
      <c r="F87" s="13">
        <v>9.0530000000000005E-4</v>
      </c>
      <c r="G87">
        <v>0.43809999999999999</v>
      </c>
      <c r="H87">
        <v>4.6920000000000002</v>
      </c>
      <c r="I87">
        <v>40001</v>
      </c>
      <c r="J87">
        <v>120000</v>
      </c>
    </row>
    <row r="88" spans="2:10" x14ac:dyDescent="0.25">
      <c r="B88" t="s">
        <v>499</v>
      </c>
      <c r="C88">
        <v>1.34</v>
      </c>
      <c r="D88">
        <v>1.823</v>
      </c>
      <c r="E88">
        <v>5.4210000000000001E-2</v>
      </c>
      <c r="F88">
        <v>1.387E-3</v>
      </c>
      <c r="G88">
        <v>0.64419999999999999</v>
      </c>
      <c r="H88">
        <v>6.31</v>
      </c>
      <c r="I88">
        <v>40001</v>
      </c>
      <c r="J88">
        <v>120000</v>
      </c>
    </row>
    <row r="89" spans="2:10" x14ac:dyDescent="0.25">
      <c r="B89" t="s">
        <v>500</v>
      </c>
      <c r="C89">
        <v>1.3160000000000001</v>
      </c>
      <c r="D89">
        <v>1.764</v>
      </c>
      <c r="E89">
        <v>4.394E-2</v>
      </c>
      <c r="F89">
        <v>1.3370000000000001E-3</v>
      </c>
      <c r="G89">
        <v>0.63129999999999997</v>
      </c>
      <c r="H89">
        <v>6.37</v>
      </c>
      <c r="I89">
        <v>40001</v>
      </c>
      <c r="J89">
        <v>120000</v>
      </c>
    </row>
    <row r="90" spans="2:10" x14ac:dyDescent="0.25">
      <c r="B90" t="s">
        <v>501</v>
      </c>
      <c r="C90">
        <v>1.01</v>
      </c>
      <c r="D90">
        <v>1.4330000000000001</v>
      </c>
      <c r="E90">
        <v>1.3100000000000001E-2</v>
      </c>
      <c r="F90" s="13">
        <v>9.8259999999999992E-4</v>
      </c>
      <c r="G90">
        <v>0.45760000000000001</v>
      </c>
      <c r="H90">
        <v>5.0609999999999999</v>
      </c>
      <c r="I90">
        <v>40001</v>
      </c>
      <c r="J90">
        <v>120000</v>
      </c>
    </row>
    <row r="91" spans="2:10" x14ac:dyDescent="0.25">
      <c r="B91" t="s">
        <v>502</v>
      </c>
      <c r="C91">
        <v>1.022</v>
      </c>
      <c r="D91">
        <v>1.44</v>
      </c>
      <c r="E91">
        <v>1.469E-2</v>
      </c>
      <c r="F91" s="13">
        <v>9.703E-4</v>
      </c>
      <c r="G91">
        <v>0.46789999999999998</v>
      </c>
      <c r="H91">
        <v>5.1369999999999996</v>
      </c>
      <c r="I91">
        <v>40001</v>
      </c>
      <c r="J91">
        <v>120000</v>
      </c>
    </row>
    <row r="92" spans="2:10" x14ac:dyDescent="0.25">
      <c r="B92" t="s">
        <v>503</v>
      </c>
      <c r="C92">
        <v>0.92230000000000001</v>
      </c>
      <c r="D92">
        <v>1.29</v>
      </c>
      <c r="E92">
        <v>1.1679999999999999E-2</v>
      </c>
      <c r="F92" s="13">
        <v>9.188E-4</v>
      </c>
      <c r="G92">
        <v>0.42620000000000002</v>
      </c>
      <c r="H92">
        <v>4.5810000000000004</v>
      </c>
      <c r="I92">
        <v>40001</v>
      </c>
      <c r="J92">
        <v>120000</v>
      </c>
    </row>
    <row r="93" spans="2:10" x14ac:dyDescent="0.25">
      <c r="B93" t="s">
        <v>504</v>
      </c>
      <c r="C93">
        <v>0.95609999999999995</v>
      </c>
      <c r="D93">
        <v>1.357</v>
      </c>
      <c r="E93">
        <v>1.197E-2</v>
      </c>
      <c r="F93" s="13">
        <v>9.0819999999999996E-4</v>
      </c>
      <c r="G93">
        <v>0.43419999999999997</v>
      </c>
      <c r="H93">
        <v>4.835</v>
      </c>
      <c r="I93">
        <v>40001</v>
      </c>
      <c r="J93">
        <v>120000</v>
      </c>
    </row>
    <row r="94" spans="2:10" x14ac:dyDescent="0.25">
      <c r="B94" t="s">
        <v>505</v>
      </c>
      <c r="C94">
        <v>1.0329999999999999</v>
      </c>
      <c r="D94">
        <v>1.4710000000000001</v>
      </c>
      <c r="E94">
        <v>1.5910000000000001E-2</v>
      </c>
      <c r="F94" s="13">
        <v>9.856000000000001E-4</v>
      </c>
      <c r="G94">
        <v>0.46899999999999997</v>
      </c>
      <c r="H94">
        <v>5.2190000000000003</v>
      </c>
      <c r="I94">
        <v>40001</v>
      </c>
      <c r="J94">
        <v>120000</v>
      </c>
    </row>
    <row r="95" spans="2:10" x14ac:dyDescent="0.25">
      <c r="B95" t="s">
        <v>506</v>
      </c>
      <c r="C95">
        <v>1.022</v>
      </c>
      <c r="D95">
        <v>1.4419999999999999</v>
      </c>
      <c r="E95">
        <v>1.503E-2</v>
      </c>
      <c r="F95">
        <v>1.0560000000000001E-3</v>
      </c>
      <c r="G95">
        <v>0.46450000000000002</v>
      </c>
      <c r="H95">
        <v>5.1589999999999998</v>
      </c>
      <c r="I95">
        <v>40001</v>
      </c>
      <c r="J95">
        <v>120000</v>
      </c>
    </row>
    <row r="96" spans="2:10" x14ac:dyDescent="0.25">
      <c r="B96" t="s">
        <v>507</v>
      </c>
      <c r="C96">
        <v>0.97399999999999998</v>
      </c>
      <c r="D96">
        <v>1.377</v>
      </c>
      <c r="E96">
        <v>1.159E-2</v>
      </c>
      <c r="F96" s="13">
        <v>9.9749999999999991E-4</v>
      </c>
      <c r="G96">
        <v>0.44169999999999998</v>
      </c>
      <c r="H96">
        <v>4.8970000000000002</v>
      </c>
      <c r="I96">
        <v>40001</v>
      </c>
      <c r="J96">
        <v>120000</v>
      </c>
    </row>
    <row r="97" spans="2:10" x14ac:dyDescent="0.25">
      <c r="B97" t="s">
        <v>508</v>
      </c>
      <c r="C97">
        <v>0.90739999999999998</v>
      </c>
      <c r="D97">
        <v>1.2789999999999999</v>
      </c>
      <c r="E97">
        <v>1.057E-2</v>
      </c>
      <c r="F97" s="13">
        <v>8.8380000000000002E-4</v>
      </c>
      <c r="G97">
        <v>0.41399999999999998</v>
      </c>
      <c r="H97">
        <v>4.5389999999999997</v>
      </c>
      <c r="I97">
        <v>40001</v>
      </c>
      <c r="J97">
        <v>120000</v>
      </c>
    </row>
    <row r="98" spans="2:10" x14ac:dyDescent="0.25">
      <c r="B98" t="s">
        <v>509</v>
      </c>
      <c r="C98">
        <v>0.76219999999999999</v>
      </c>
      <c r="D98">
        <v>1.0549999999999999</v>
      </c>
      <c r="E98">
        <v>5.3319999999999999E-3</v>
      </c>
      <c r="F98" s="13">
        <v>7.8120000000000002E-4</v>
      </c>
      <c r="G98">
        <v>0.35610000000000003</v>
      </c>
      <c r="H98">
        <v>3.7669999999999999</v>
      </c>
      <c r="I98">
        <v>40001</v>
      </c>
      <c r="J98">
        <v>120000</v>
      </c>
    </row>
    <row r="99" spans="2:10" x14ac:dyDescent="0.25">
      <c r="B99" t="s">
        <v>510</v>
      </c>
      <c r="C99">
        <v>0.65369999999999995</v>
      </c>
      <c r="D99">
        <v>0.9304</v>
      </c>
      <c r="E99">
        <v>4.4850000000000003E-3</v>
      </c>
      <c r="F99" s="13">
        <v>6.3579999999999995E-4</v>
      </c>
      <c r="G99">
        <v>0.29609999999999997</v>
      </c>
      <c r="H99">
        <v>3.2970000000000002</v>
      </c>
      <c r="I99">
        <v>40001</v>
      </c>
      <c r="J99">
        <v>120000</v>
      </c>
    </row>
    <row r="100" spans="2:10" x14ac:dyDescent="0.25">
      <c r="B100" t="s">
        <v>511</v>
      </c>
      <c r="C100">
        <v>0.92889999999999995</v>
      </c>
      <c r="D100">
        <v>1.2749999999999999</v>
      </c>
      <c r="E100">
        <v>1.0630000000000001E-2</v>
      </c>
      <c r="F100" s="13">
        <v>9.7659999999999999E-4</v>
      </c>
      <c r="G100">
        <v>0.438</v>
      </c>
      <c r="H100">
        <v>4.524</v>
      </c>
      <c r="I100">
        <v>40001</v>
      </c>
      <c r="J100">
        <v>120000</v>
      </c>
    </row>
    <row r="101" spans="2:10" x14ac:dyDescent="0.25">
      <c r="B101" t="s">
        <v>512</v>
      </c>
      <c r="C101">
        <v>0.86829999999999996</v>
      </c>
      <c r="D101">
        <v>1.2250000000000001</v>
      </c>
      <c r="E101">
        <v>7.8600000000000007E-3</v>
      </c>
      <c r="F101" s="13">
        <v>8.4480000000000004E-4</v>
      </c>
      <c r="G101">
        <v>0.3957</v>
      </c>
      <c r="H101">
        <v>4.3680000000000003</v>
      </c>
      <c r="I101">
        <v>40001</v>
      </c>
      <c r="J101">
        <v>120000</v>
      </c>
    </row>
    <row r="102" spans="2:10" x14ac:dyDescent="0.25">
      <c r="B102" t="s">
        <v>513</v>
      </c>
      <c r="C102">
        <v>1.042</v>
      </c>
      <c r="D102">
        <v>1.405</v>
      </c>
      <c r="E102">
        <v>1.2970000000000001E-2</v>
      </c>
      <c r="F102">
        <v>1.0859999999999999E-3</v>
      </c>
      <c r="G102">
        <v>0.498</v>
      </c>
      <c r="H102">
        <v>5.0679999999999996</v>
      </c>
      <c r="I102">
        <v>40001</v>
      </c>
      <c r="J102">
        <v>120000</v>
      </c>
    </row>
    <row r="103" spans="2:10" x14ac:dyDescent="0.25">
      <c r="B103" t="s">
        <v>514</v>
      </c>
      <c r="C103">
        <v>0.92230000000000001</v>
      </c>
      <c r="D103">
        <v>1.3049999999999999</v>
      </c>
      <c r="E103">
        <v>8.8959999999999994E-3</v>
      </c>
      <c r="F103" s="13">
        <v>9.0249999999999998E-4</v>
      </c>
      <c r="G103">
        <v>0.41720000000000002</v>
      </c>
      <c r="H103">
        <v>4.6449999999999996</v>
      </c>
      <c r="I103">
        <v>40001</v>
      </c>
      <c r="J103">
        <v>120000</v>
      </c>
    </row>
    <row r="104" spans="2:10" x14ac:dyDescent="0.25">
      <c r="B104" t="s">
        <v>515</v>
      </c>
      <c r="C104">
        <v>0.78090000000000004</v>
      </c>
      <c r="D104">
        <v>1.0840000000000001</v>
      </c>
      <c r="E104">
        <v>6.0029999999999997E-3</v>
      </c>
      <c r="F104" s="13">
        <v>7.7490000000000002E-4</v>
      </c>
      <c r="G104">
        <v>0.3624</v>
      </c>
      <c r="H104">
        <v>3.8650000000000002</v>
      </c>
      <c r="I104">
        <v>40001</v>
      </c>
      <c r="J104">
        <v>120000</v>
      </c>
    </row>
    <row r="105" spans="2:10" x14ac:dyDescent="0.25">
      <c r="B105" t="s">
        <v>516</v>
      </c>
      <c r="C105">
        <v>0.65500000000000003</v>
      </c>
      <c r="D105">
        <v>0.93189999999999995</v>
      </c>
      <c r="E105">
        <v>4.5370000000000002E-3</v>
      </c>
      <c r="F105" s="13">
        <v>6.5510000000000004E-4</v>
      </c>
      <c r="G105">
        <v>0.29659999999999997</v>
      </c>
      <c r="H105">
        <v>3.286</v>
      </c>
      <c r="I105">
        <v>40001</v>
      </c>
      <c r="J105">
        <v>120000</v>
      </c>
    </row>
    <row r="106" spans="2:10" x14ac:dyDescent="0.25">
      <c r="B106" t="s">
        <v>517</v>
      </c>
      <c r="C106">
        <v>0.877</v>
      </c>
      <c r="D106">
        <v>1.2410000000000001</v>
      </c>
      <c r="E106">
        <v>8.7469999999999996E-3</v>
      </c>
      <c r="F106" s="13">
        <v>8.1769999999999998E-4</v>
      </c>
      <c r="G106">
        <v>0.40039999999999998</v>
      </c>
      <c r="H106">
        <v>4.3979999999999997</v>
      </c>
      <c r="I106">
        <v>40001</v>
      </c>
      <c r="J106">
        <v>120000</v>
      </c>
    </row>
    <row r="107" spans="2:10" x14ac:dyDescent="0.25">
      <c r="B107" t="s">
        <v>518</v>
      </c>
      <c r="C107">
        <v>0.97660000000000002</v>
      </c>
      <c r="D107">
        <v>1.3440000000000001</v>
      </c>
      <c r="E107">
        <v>9.0220000000000005E-3</v>
      </c>
      <c r="F107" s="13">
        <v>9.7420000000000004E-4</v>
      </c>
      <c r="G107">
        <v>0.45479999999999998</v>
      </c>
      <c r="H107">
        <v>4.7930000000000001</v>
      </c>
      <c r="I107">
        <v>40001</v>
      </c>
      <c r="J107">
        <v>120000</v>
      </c>
    </row>
    <row r="108" spans="2:10" x14ac:dyDescent="0.25">
      <c r="B108" t="s">
        <v>519</v>
      </c>
      <c r="C108">
        <v>1.0209999999999999</v>
      </c>
      <c r="D108">
        <v>1.446</v>
      </c>
      <c r="E108">
        <v>1.239E-2</v>
      </c>
      <c r="F108">
        <v>1.0319999999999999E-3</v>
      </c>
      <c r="G108">
        <v>0.46489999999999998</v>
      </c>
      <c r="H108">
        <v>5.1559999999999997</v>
      </c>
      <c r="I108">
        <v>40001</v>
      </c>
      <c r="J108">
        <v>120000</v>
      </c>
    </row>
    <row r="109" spans="2:10" x14ac:dyDescent="0.25">
      <c r="B109" t="s">
        <v>520</v>
      </c>
      <c r="C109">
        <v>1.0169999999999999</v>
      </c>
      <c r="D109">
        <v>1.4350000000000001</v>
      </c>
      <c r="E109">
        <v>1.213E-2</v>
      </c>
      <c r="F109">
        <v>1.0189999999999999E-3</v>
      </c>
      <c r="G109">
        <v>0.46210000000000001</v>
      </c>
      <c r="H109">
        <v>5.1050000000000004</v>
      </c>
      <c r="I109">
        <v>40001</v>
      </c>
      <c r="J109">
        <v>120000</v>
      </c>
    </row>
    <row r="110" spans="2:10" x14ac:dyDescent="0.25">
      <c r="B110" t="s">
        <v>521</v>
      </c>
      <c r="C110">
        <v>0.76600000000000001</v>
      </c>
      <c r="D110">
        <v>1.091</v>
      </c>
      <c r="E110">
        <v>5.8789999999999997E-3</v>
      </c>
      <c r="F110" s="13">
        <v>7.2159999999999998E-4</v>
      </c>
      <c r="G110">
        <v>0.34379999999999999</v>
      </c>
      <c r="H110">
        <v>3.851</v>
      </c>
      <c r="I110">
        <v>40001</v>
      </c>
      <c r="J110">
        <v>120000</v>
      </c>
    </row>
    <row r="111" spans="2:10" x14ac:dyDescent="0.25">
      <c r="B111" t="s">
        <v>522</v>
      </c>
      <c r="C111">
        <v>0.83279999999999998</v>
      </c>
      <c r="D111">
        <v>1.1459999999999999</v>
      </c>
      <c r="E111">
        <v>7.953E-3</v>
      </c>
      <c r="F111" s="13">
        <v>8.7690000000000001E-4</v>
      </c>
      <c r="G111">
        <v>0.39029999999999998</v>
      </c>
      <c r="H111">
        <v>4.0919999999999996</v>
      </c>
      <c r="I111">
        <v>40001</v>
      </c>
      <c r="J111">
        <v>120000</v>
      </c>
    </row>
    <row r="112" spans="2:10" x14ac:dyDescent="0.25">
      <c r="B112" t="s">
        <v>523</v>
      </c>
      <c r="C112">
        <v>0.98040000000000005</v>
      </c>
      <c r="D112">
        <v>1.345</v>
      </c>
      <c r="E112">
        <v>1.09E-2</v>
      </c>
      <c r="F112" s="13">
        <v>9.7630000000000004E-4</v>
      </c>
      <c r="G112">
        <v>0.46060000000000001</v>
      </c>
      <c r="H112">
        <v>4.7969999999999997</v>
      </c>
      <c r="I112">
        <v>40001</v>
      </c>
      <c r="J112">
        <v>120000</v>
      </c>
    </row>
    <row r="113" spans="1:10" x14ac:dyDescent="0.25">
      <c r="B113" t="s">
        <v>524</v>
      </c>
      <c r="C113">
        <v>0.98340000000000005</v>
      </c>
      <c r="D113">
        <v>1.3540000000000001</v>
      </c>
      <c r="E113">
        <v>1.0789999999999999E-2</v>
      </c>
      <c r="F113" s="13">
        <v>9.835E-4</v>
      </c>
      <c r="G113">
        <v>0.4612</v>
      </c>
      <c r="H113">
        <v>4.8559999999999999</v>
      </c>
      <c r="I113">
        <v>40001</v>
      </c>
      <c r="J113">
        <v>120000</v>
      </c>
    </row>
    <row r="114" spans="1:10" x14ac:dyDescent="0.25">
      <c r="B114" t="s">
        <v>525</v>
      </c>
      <c r="C114">
        <v>0.68879999999999997</v>
      </c>
      <c r="D114">
        <v>0.98209999999999997</v>
      </c>
      <c r="E114">
        <v>4.0569999999999998E-3</v>
      </c>
      <c r="F114" s="13">
        <v>6.6640000000000004E-4</v>
      </c>
      <c r="G114">
        <v>0.31040000000000001</v>
      </c>
      <c r="H114">
        <v>3.468</v>
      </c>
      <c r="I114">
        <v>40001</v>
      </c>
      <c r="J114">
        <v>120000</v>
      </c>
    </row>
    <row r="115" spans="1:10" x14ac:dyDescent="0.25">
      <c r="B115" t="s">
        <v>526</v>
      </c>
      <c r="C115">
        <v>0.75980000000000003</v>
      </c>
      <c r="D115">
        <v>1.0109999999999999</v>
      </c>
      <c r="E115">
        <v>5.6559999999999996E-3</v>
      </c>
      <c r="F115" s="13">
        <v>8.5079999999999997E-4</v>
      </c>
      <c r="G115">
        <v>0.36980000000000002</v>
      </c>
      <c r="H115">
        <v>3.6160000000000001</v>
      </c>
      <c r="I115">
        <v>40001</v>
      </c>
      <c r="J115">
        <v>120000</v>
      </c>
    </row>
    <row r="116" spans="1:10" x14ac:dyDescent="0.25">
      <c r="B116" t="s">
        <v>527</v>
      </c>
      <c r="C116">
        <v>0.71109999999999995</v>
      </c>
      <c r="D116">
        <v>0.94520000000000004</v>
      </c>
      <c r="E116">
        <v>5.2480000000000001E-3</v>
      </c>
      <c r="F116" s="13">
        <v>7.76E-4</v>
      </c>
      <c r="G116">
        <v>0.35060000000000002</v>
      </c>
      <c r="H116">
        <v>3.363</v>
      </c>
      <c r="I116">
        <v>40001</v>
      </c>
      <c r="J116">
        <v>120000</v>
      </c>
    </row>
    <row r="117" spans="1:10" x14ac:dyDescent="0.25">
      <c r="B117" t="s">
        <v>528</v>
      </c>
      <c r="C117">
        <v>0.65180000000000005</v>
      </c>
      <c r="D117">
        <v>0.91679999999999995</v>
      </c>
      <c r="E117">
        <v>3.5599999999999998E-3</v>
      </c>
      <c r="F117" s="13">
        <v>6.2870000000000005E-4</v>
      </c>
      <c r="G117">
        <v>0.29980000000000001</v>
      </c>
      <c r="H117">
        <v>3.2389999999999999</v>
      </c>
      <c r="I117">
        <v>40001</v>
      </c>
      <c r="J117">
        <v>120000</v>
      </c>
    </row>
    <row r="118" spans="1:10" x14ac:dyDescent="0.25">
      <c r="B118" t="s">
        <v>529</v>
      </c>
      <c r="C118">
        <v>0.91100000000000003</v>
      </c>
      <c r="D118">
        <v>1.2350000000000001</v>
      </c>
      <c r="E118">
        <v>1.6330000000000001E-2</v>
      </c>
      <c r="F118" s="13">
        <v>9.1410000000000005E-4</v>
      </c>
      <c r="G118">
        <v>0.43149999999999999</v>
      </c>
      <c r="H118">
        <v>4.4560000000000004</v>
      </c>
      <c r="I118">
        <v>40001</v>
      </c>
      <c r="J118">
        <v>120000</v>
      </c>
    </row>
    <row r="119" spans="1:10" x14ac:dyDescent="0.25">
      <c r="B119" t="s">
        <v>530</v>
      </c>
      <c r="C119">
        <v>0.84530000000000005</v>
      </c>
      <c r="D119">
        <v>1.2</v>
      </c>
      <c r="E119">
        <v>6.6319999999999999E-3</v>
      </c>
      <c r="F119" s="13">
        <v>8.25E-4</v>
      </c>
      <c r="G119">
        <v>0.38340000000000002</v>
      </c>
      <c r="H119">
        <v>4.2519999999999998</v>
      </c>
      <c r="I119">
        <v>40001</v>
      </c>
      <c r="J119">
        <v>120000</v>
      </c>
    </row>
    <row r="120" spans="1:10" x14ac:dyDescent="0.25">
      <c r="B120" t="s">
        <v>531</v>
      </c>
      <c r="C120">
        <v>0.70950000000000002</v>
      </c>
      <c r="D120">
        <v>1.02</v>
      </c>
      <c r="E120">
        <v>5.8250000000000003E-3</v>
      </c>
      <c r="F120" s="13">
        <v>6.4729999999999996E-4</v>
      </c>
      <c r="G120">
        <v>0.31619999999999998</v>
      </c>
      <c r="H120">
        <v>3.593</v>
      </c>
      <c r="I120">
        <v>40001</v>
      </c>
      <c r="J120">
        <v>120000</v>
      </c>
    </row>
    <row r="121" spans="1:10" x14ac:dyDescent="0.25">
      <c r="B121" t="s">
        <v>532</v>
      </c>
      <c r="C121">
        <v>0.82020000000000004</v>
      </c>
      <c r="D121">
        <v>1.129</v>
      </c>
      <c r="E121">
        <v>6.1130000000000004E-3</v>
      </c>
      <c r="F121" s="13">
        <v>8.8259999999999999E-4</v>
      </c>
      <c r="G121">
        <v>0.3871</v>
      </c>
      <c r="H121">
        <v>4.0019999999999998</v>
      </c>
      <c r="I121">
        <v>40001</v>
      </c>
      <c r="J121">
        <v>120000</v>
      </c>
    </row>
    <row r="122" spans="1:10" x14ac:dyDescent="0.25">
      <c r="B122" t="s">
        <v>668</v>
      </c>
      <c r="C122">
        <v>44.07</v>
      </c>
      <c r="D122">
        <v>9.2829999999999995</v>
      </c>
      <c r="E122">
        <v>0.11650000000000001</v>
      </c>
      <c r="F122">
        <v>27.88</v>
      </c>
      <c r="G122">
        <v>43.39</v>
      </c>
      <c r="H122">
        <v>64.14</v>
      </c>
      <c r="I122">
        <v>40001</v>
      </c>
      <c r="J122">
        <v>120000</v>
      </c>
    </row>
    <row r="123" spans="1:10" x14ac:dyDescent="0.25">
      <c r="A123" t="s">
        <v>825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4" t="s">
        <v>149</v>
      </c>
      <c r="F5" s="275"/>
      <c r="G5" s="275"/>
      <c r="H5" s="276"/>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4" t="s">
        <v>151</v>
      </c>
      <c r="F11" s="275"/>
      <c r="G11" s="275"/>
      <c r="H11" s="276"/>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4" t="s">
        <v>150</v>
      </c>
      <c r="F17" s="275"/>
      <c r="G17" s="275"/>
      <c r="H17" s="276"/>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E52"/>
  <sheetViews>
    <sheetView showGridLines="0" showRowColHeaders="0" topLeftCell="A2" workbookViewId="0">
      <selection activeCell="A2" sqref="A2:P2"/>
    </sheetView>
  </sheetViews>
  <sheetFormatPr defaultRowHeight="15" x14ac:dyDescent="0.25"/>
  <sheetData>
    <row r="1" spans="1:31" x14ac:dyDescent="0.25">
      <c r="A1" s="19" t="s">
        <v>0</v>
      </c>
      <c r="B1" s="19" t="s">
        <v>1</v>
      </c>
      <c r="C1" s="19" t="s">
        <v>2</v>
      </c>
      <c r="D1" s="19" t="s">
        <v>3</v>
      </c>
      <c r="E1" s="19" t="s">
        <v>42</v>
      </c>
      <c r="F1" s="19" t="s">
        <v>43</v>
      </c>
      <c r="G1" s="19" t="s">
        <v>44</v>
      </c>
      <c r="H1" s="19" t="s">
        <v>45</v>
      </c>
      <c r="I1" s="19" t="s">
        <v>251</v>
      </c>
      <c r="J1" s="19" t="s">
        <v>252</v>
      </c>
      <c r="K1" s="19" t="s">
        <v>362</v>
      </c>
      <c r="L1" s="19" t="s">
        <v>363</v>
      </c>
      <c r="M1" s="19" t="s">
        <v>364</v>
      </c>
      <c r="N1" s="19" t="s">
        <v>365</v>
      </c>
      <c r="O1" s="19" t="s">
        <v>366</v>
      </c>
      <c r="P1" s="19" t="s">
        <v>367</v>
      </c>
      <c r="Q1" s="19" t="s">
        <v>368</v>
      </c>
      <c r="R1" s="19" t="s">
        <v>369</v>
      </c>
      <c r="S1" s="19" t="s">
        <v>370</v>
      </c>
      <c r="T1" s="16" t="s">
        <v>371</v>
      </c>
      <c r="U1" s="16" t="s">
        <v>4</v>
      </c>
      <c r="V1" s="16" t="s">
        <v>5</v>
      </c>
      <c r="W1" s="16" t="s">
        <v>46</v>
      </c>
      <c r="X1" s="16" t="s">
        <v>47</v>
      </c>
      <c r="Y1" t="s">
        <v>253</v>
      </c>
      <c r="Z1" t="s">
        <v>372</v>
      </c>
      <c r="AA1" t="s">
        <v>373</v>
      </c>
      <c r="AB1" t="s">
        <v>374</v>
      </c>
      <c r="AC1" t="s">
        <v>375</v>
      </c>
      <c r="AD1" t="s">
        <v>376</v>
      </c>
      <c r="AE1" t="s">
        <v>6</v>
      </c>
    </row>
    <row r="2" spans="1:31" x14ac:dyDescent="0.25">
      <c r="A2" s="19">
        <v>25</v>
      </c>
      <c r="B2" s="19">
        <v>68</v>
      </c>
      <c r="C2" s="19">
        <v>25</v>
      </c>
      <c r="D2" s="19">
        <v>68</v>
      </c>
      <c r="E2" s="19" t="s">
        <v>377</v>
      </c>
      <c r="F2" s="19">
        <v>1</v>
      </c>
      <c r="G2" s="19" t="s">
        <v>377</v>
      </c>
      <c r="H2" s="19">
        <v>1</v>
      </c>
      <c r="I2" s="19" t="s">
        <v>377</v>
      </c>
      <c r="J2" s="19">
        <v>1</v>
      </c>
      <c r="K2" s="19" t="s">
        <v>377</v>
      </c>
      <c r="L2" s="19">
        <v>1</v>
      </c>
      <c r="M2" s="19" t="s">
        <v>377</v>
      </c>
      <c r="N2" s="19">
        <v>1</v>
      </c>
      <c r="O2" s="19" t="s">
        <v>377</v>
      </c>
      <c r="P2" s="19">
        <v>1</v>
      </c>
      <c r="Q2" s="19" t="s">
        <v>377</v>
      </c>
      <c r="R2" s="19">
        <v>1</v>
      </c>
      <c r="S2" s="19" t="s">
        <v>377</v>
      </c>
      <c r="T2" s="16">
        <v>1</v>
      </c>
      <c r="U2" s="16">
        <v>2</v>
      </c>
      <c r="V2" s="16">
        <v>10</v>
      </c>
      <c r="W2" s="16" t="s">
        <v>377</v>
      </c>
      <c r="X2" s="16" t="s">
        <v>377</v>
      </c>
      <c r="Y2" t="s">
        <v>377</v>
      </c>
      <c r="Z2" t="s">
        <v>377</v>
      </c>
      <c r="AA2" t="s">
        <v>377</v>
      </c>
      <c r="AB2" t="s">
        <v>377</v>
      </c>
      <c r="AC2" t="s">
        <v>377</v>
      </c>
      <c r="AD2" t="s">
        <v>377</v>
      </c>
      <c r="AE2">
        <v>2</v>
      </c>
    </row>
    <row r="3" spans="1:31" x14ac:dyDescent="0.25">
      <c r="A3" s="19">
        <v>7</v>
      </c>
      <c r="B3" s="19">
        <v>39</v>
      </c>
      <c r="C3" s="19">
        <v>8</v>
      </c>
      <c r="D3" s="19">
        <v>38</v>
      </c>
      <c r="E3" s="19" t="s">
        <v>377</v>
      </c>
      <c r="F3" s="19">
        <v>1</v>
      </c>
      <c r="G3" s="19" t="s">
        <v>377</v>
      </c>
      <c r="H3" s="19">
        <v>1</v>
      </c>
      <c r="I3" s="19" t="s">
        <v>377</v>
      </c>
      <c r="J3" s="19">
        <v>1</v>
      </c>
      <c r="K3" s="19" t="s">
        <v>377</v>
      </c>
      <c r="L3" s="19">
        <v>1</v>
      </c>
      <c r="M3" s="19" t="s">
        <v>377</v>
      </c>
      <c r="N3" s="19">
        <v>1</v>
      </c>
      <c r="O3" s="19" t="s">
        <v>377</v>
      </c>
      <c r="P3" s="19">
        <v>1</v>
      </c>
      <c r="Q3" s="19" t="s">
        <v>377</v>
      </c>
      <c r="R3" s="19">
        <v>1</v>
      </c>
      <c r="S3" s="19" t="s">
        <v>377</v>
      </c>
      <c r="T3" s="16">
        <v>1</v>
      </c>
      <c r="U3" s="16">
        <v>1</v>
      </c>
      <c r="V3" s="16">
        <v>4</v>
      </c>
      <c r="W3" s="16" t="s">
        <v>377</v>
      </c>
      <c r="X3" s="16" t="s">
        <v>377</v>
      </c>
      <c r="Y3" t="s">
        <v>377</v>
      </c>
      <c r="Z3" t="s">
        <v>377</v>
      </c>
      <c r="AA3" t="s">
        <v>377</v>
      </c>
      <c r="AB3" t="s">
        <v>377</v>
      </c>
      <c r="AC3" t="s">
        <v>377</v>
      </c>
      <c r="AD3" t="s">
        <v>377</v>
      </c>
      <c r="AE3">
        <v>2</v>
      </c>
    </row>
    <row r="4" spans="1:31" x14ac:dyDescent="0.25">
      <c r="A4" s="19">
        <v>10</v>
      </c>
      <c r="B4" s="19">
        <v>80</v>
      </c>
      <c r="C4" s="19">
        <v>9</v>
      </c>
      <c r="D4" s="19">
        <v>80</v>
      </c>
      <c r="E4" s="19" t="s">
        <v>377</v>
      </c>
      <c r="F4" s="19">
        <v>1</v>
      </c>
      <c r="G4" s="19" t="s">
        <v>377</v>
      </c>
      <c r="H4" s="19">
        <v>1</v>
      </c>
      <c r="I4" s="19" t="s">
        <v>377</v>
      </c>
      <c r="J4" s="19">
        <v>1</v>
      </c>
      <c r="K4" s="19" t="s">
        <v>377</v>
      </c>
      <c r="L4" s="19">
        <v>1</v>
      </c>
      <c r="M4" s="19" t="s">
        <v>377</v>
      </c>
      <c r="N4" s="19">
        <v>1</v>
      </c>
      <c r="O4" s="19" t="s">
        <v>377</v>
      </c>
      <c r="P4" s="19">
        <v>1</v>
      </c>
      <c r="Q4" s="19" t="s">
        <v>377</v>
      </c>
      <c r="R4" s="19">
        <v>1</v>
      </c>
      <c r="S4" s="19" t="s">
        <v>377</v>
      </c>
      <c r="T4" s="16">
        <v>1</v>
      </c>
      <c r="U4" s="16">
        <v>3</v>
      </c>
      <c r="V4" s="16">
        <v>4</v>
      </c>
      <c r="W4" s="16" t="s">
        <v>377</v>
      </c>
      <c r="X4" s="16" t="s">
        <v>377</v>
      </c>
      <c r="Y4" t="s">
        <v>377</v>
      </c>
      <c r="Z4" t="s">
        <v>377</v>
      </c>
      <c r="AA4" t="s">
        <v>377</v>
      </c>
      <c r="AB4" t="s">
        <v>377</v>
      </c>
      <c r="AC4" t="s">
        <v>377</v>
      </c>
      <c r="AD4" t="s">
        <v>377</v>
      </c>
      <c r="AE4">
        <v>2</v>
      </c>
    </row>
    <row r="5" spans="1:31" x14ac:dyDescent="0.25">
      <c r="A5" s="19">
        <v>4</v>
      </c>
      <c r="B5" s="19">
        <v>34</v>
      </c>
      <c r="C5" s="19">
        <v>5</v>
      </c>
      <c r="D5" s="19">
        <v>36</v>
      </c>
      <c r="E5" s="19" t="s">
        <v>377</v>
      </c>
      <c r="F5" s="19">
        <v>1</v>
      </c>
      <c r="G5" s="19" t="s">
        <v>377</v>
      </c>
      <c r="H5" s="19">
        <v>1</v>
      </c>
      <c r="I5" s="19" t="s">
        <v>377</v>
      </c>
      <c r="J5" s="19">
        <v>1</v>
      </c>
      <c r="K5" s="19" t="s">
        <v>377</v>
      </c>
      <c r="L5" s="19">
        <v>1</v>
      </c>
      <c r="M5" s="19" t="s">
        <v>377</v>
      </c>
      <c r="N5" s="19">
        <v>1</v>
      </c>
      <c r="O5" s="19" t="s">
        <v>377</v>
      </c>
      <c r="P5" s="19">
        <v>1</v>
      </c>
      <c r="Q5" s="19" t="s">
        <v>377</v>
      </c>
      <c r="R5" s="19">
        <v>1</v>
      </c>
      <c r="S5" s="19" t="s">
        <v>377</v>
      </c>
      <c r="T5" s="16">
        <v>1</v>
      </c>
      <c r="U5" s="16">
        <v>2</v>
      </c>
      <c r="V5" s="16">
        <v>3</v>
      </c>
      <c r="W5" s="16" t="s">
        <v>377</v>
      </c>
      <c r="X5" s="16" t="s">
        <v>377</v>
      </c>
      <c r="Y5" t="s">
        <v>377</v>
      </c>
      <c r="Z5" t="s">
        <v>377</v>
      </c>
      <c r="AA5" t="s">
        <v>377</v>
      </c>
      <c r="AB5" t="s">
        <v>377</v>
      </c>
      <c r="AC5" t="s">
        <v>377</v>
      </c>
      <c r="AD5" t="s">
        <v>377</v>
      </c>
      <c r="AE5">
        <v>2</v>
      </c>
    </row>
    <row r="6" spans="1:31" x14ac:dyDescent="0.25">
      <c r="A6" s="19">
        <v>6</v>
      </c>
      <c r="B6" s="19">
        <v>50</v>
      </c>
      <c r="C6" s="19">
        <v>8</v>
      </c>
      <c r="D6" s="19">
        <v>52</v>
      </c>
      <c r="E6" s="19" t="s">
        <v>377</v>
      </c>
      <c r="F6" s="19">
        <v>1</v>
      </c>
      <c r="G6" s="19" t="s">
        <v>377</v>
      </c>
      <c r="H6" s="19">
        <v>1</v>
      </c>
      <c r="I6" s="19" t="s">
        <v>377</v>
      </c>
      <c r="J6" s="19">
        <v>1</v>
      </c>
      <c r="K6" s="19" t="s">
        <v>377</v>
      </c>
      <c r="L6" s="19">
        <v>1</v>
      </c>
      <c r="M6" s="19" t="s">
        <v>377</v>
      </c>
      <c r="N6" s="19">
        <v>1</v>
      </c>
      <c r="O6" s="19" t="s">
        <v>377</v>
      </c>
      <c r="P6" s="19">
        <v>1</v>
      </c>
      <c r="Q6" s="19" t="s">
        <v>377</v>
      </c>
      <c r="R6" s="19">
        <v>1</v>
      </c>
      <c r="S6" s="19" t="s">
        <v>377</v>
      </c>
      <c r="T6" s="16">
        <v>1</v>
      </c>
      <c r="U6" s="16">
        <v>2</v>
      </c>
      <c r="V6" s="16">
        <v>3</v>
      </c>
      <c r="W6" s="16" t="s">
        <v>377</v>
      </c>
      <c r="X6" s="16" t="s">
        <v>377</v>
      </c>
      <c r="Y6" t="s">
        <v>377</v>
      </c>
      <c r="Z6" t="s">
        <v>377</v>
      </c>
      <c r="AA6" t="s">
        <v>377</v>
      </c>
      <c r="AB6" t="s">
        <v>377</v>
      </c>
      <c r="AC6" t="s">
        <v>377</v>
      </c>
      <c r="AD6" t="s">
        <v>377</v>
      </c>
      <c r="AE6">
        <v>2</v>
      </c>
    </row>
    <row r="7" spans="1:31" x14ac:dyDescent="0.25">
      <c r="A7" s="19">
        <v>5</v>
      </c>
      <c r="B7" s="19">
        <v>33</v>
      </c>
      <c r="C7" s="19">
        <v>6</v>
      </c>
      <c r="D7" s="19">
        <v>33</v>
      </c>
      <c r="E7" s="19" t="s">
        <v>377</v>
      </c>
      <c r="F7" s="19">
        <v>1</v>
      </c>
      <c r="G7" s="19" t="s">
        <v>377</v>
      </c>
      <c r="H7" s="19">
        <v>1</v>
      </c>
      <c r="I7" s="19" t="s">
        <v>377</v>
      </c>
      <c r="J7" s="19">
        <v>1</v>
      </c>
      <c r="K7" s="19" t="s">
        <v>377</v>
      </c>
      <c r="L7" s="19">
        <v>1</v>
      </c>
      <c r="M7" s="19" t="s">
        <v>377</v>
      </c>
      <c r="N7" s="19">
        <v>1</v>
      </c>
      <c r="O7" s="19" t="s">
        <v>377</v>
      </c>
      <c r="P7" s="19">
        <v>1</v>
      </c>
      <c r="Q7" s="19" t="s">
        <v>377</v>
      </c>
      <c r="R7" s="19">
        <v>1</v>
      </c>
      <c r="S7" s="19" t="s">
        <v>377</v>
      </c>
      <c r="T7" s="16">
        <v>1</v>
      </c>
      <c r="U7" s="16">
        <v>3</v>
      </c>
      <c r="V7" s="16">
        <v>10</v>
      </c>
      <c r="W7" s="16" t="s">
        <v>377</v>
      </c>
      <c r="X7" s="16" t="s">
        <v>377</v>
      </c>
      <c r="Y7" t="s">
        <v>377</v>
      </c>
      <c r="Z7" t="s">
        <v>377</v>
      </c>
      <c r="AA7" t="s">
        <v>377</v>
      </c>
      <c r="AB7" t="s">
        <v>377</v>
      </c>
      <c r="AC7" t="s">
        <v>377</v>
      </c>
      <c r="AD7" t="s">
        <v>377</v>
      </c>
      <c r="AE7">
        <v>2</v>
      </c>
    </row>
    <row r="8" spans="1:31" x14ac:dyDescent="0.25">
      <c r="A8" s="19">
        <v>13</v>
      </c>
      <c r="B8" s="19">
        <v>32</v>
      </c>
      <c r="C8" s="19">
        <v>12</v>
      </c>
      <c r="D8" s="19">
        <v>32</v>
      </c>
      <c r="E8" s="19" t="s">
        <v>377</v>
      </c>
      <c r="F8" s="19">
        <v>1</v>
      </c>
      <c r="G8" s="19" t="s">
        <v>377</v>
      </c>
      <c r="H8" s="19">
        <v>1</v>
      </c>
      <c r="I8" s="19" t="s">
        <v>377</v>
      </c>
      <c r="J8" s="19">
        <v>1</v>
      </c>
      <c r="K8" s="19" t="s">
        <v>377</v>
      </c>
      <c r="L8" s="19">
        <v>1</v>
      </c>
      <c r="M8" s="19" t="s">
        <v>377</v>
      </c>
      <c r="N8" s="19">
        <v>1</v>
      </c>
      <c r="O8" s="19" t="s">
        <v>377</v>
      </c>
      <c r="P8" s="19">
        <v>1</v>
      </c>
      <c r="Q8" s="19" t="s">
        <v>377</v>
      </c>
      <c r="R8" s="19">
        <v>1</v>
      </c>
      <c r="S8" s="19" t="s">
        <v>377</v>
      </c>
      <c r="T8" s="16">
        <v>1</v>
      </c>
      <c r="U8" s="16">
        <v>2</v>
      </c>
      <c r="V8" s="16">
        <v>3</v>
      </c>
      <c r="W8" s="16" t="s">
        <v>377</v>
      </c>
      <c r="X8" s="16" t="s">
        <v>377</v>
      </c>
      <c r="Y8" t="s">
        <v>377</v>
      </c>
      <c r="Z8" t="s">
        <v>377</v>
      </c>
      <c r="AA8" t="s">
        <v>377</v>
      </c>
      <c r="AB8" t="s">
        <v>377</v>
      </c>
      <c r="AC8" t="s">
        <v>377</v>
      </c>
      <c r="AD8" t="s">
        <v>377</v>
      </c>
      <c r="AE8">
        <v>2</v>
      </c>
    </row>
    <row r="9" spans="1:31" x14ac:dyDescent="0.25">
      <c r="A9" s="19">
        <v>1</v>
      </c>
      <c r="B9" s="19">
        <v>15</v>
      </c>
      <c r="C9" s="19">
        <v>3</v>
      </c>
      <c r="D9" s="19">
        <v>15</v>
      </c>
      <c r="E9" s="19" t="s">
        <v>377</v>
      </c>
      <c r="F9" s="19">
        <v>1</v>
      </c>
      <c r="G9" s="19" t="s">
        <v>377</v>
      </c>
      <c r="H9" s="19">
        <v>1</v>
      </c>
      <c r="I9" s="19" t="s">
        <v>377</v>
      </c>
      <c r="J9" s="19">
        <v>1</v>
      </c>
      <c r="K9" s="19" t="s">
        <v>377</v>
      </c>
      <c r="L9" s="19">
        <v>1</v>
      </c>
      <c r="M9" s="19" t="s">
        <v>377</v>
      </c>
      <c r="N9" s="19">
        <v>1</v>
      </c>
      <c r="O9" s="19" t="s">
        <v>377</v>
      </c>
      <c r="P9" s="19">
        <v>1</v>
      </c>
      <c r="Q9" s="19" t="s">
        <v>377</v>
      </c>
      <c r="R9" s="19">
        <v>1</v>
      </c>
      <c r="S9" s="19" t="s">
        <v>377</v>
      </c>
      <c r="T9" s="16">
        <v>1</v>
      </c>
      <c r="U9" s="16">
        <v>1</v>
      </c>
      <c r="V9" s="16">
        <v>3</v>
      </c>
      <c r="W9" s="16" t="s">
        <v>377</v>
      </c>
      <c r="X9" s="16" t="s">
        <v>377</v>
      </c>
      <c r="Y9" t="s">
        <v>377</v>
      </c>
      <c r="Z9" t="s">
        <v>377</v>
      </c>
      <c r="AA9" t="s">
        <v>377</v>
      </c>
      <c r="AB9" t="s">
        <v>377</v>
      </c>
      <c r="AC9" t="s">
        <v>377</v>
      </c>
      <c r="AD9" t="s">
        <v>377</v>
      </c>
      <c r="AE9">
        <v>2</v>
      </c>
    </row>
    <row r="10" spans="1:31" x14ac:dyDescent="0.25">
      <c r="A10" s="19">
        <v>0.4375</v>
      </c>
      <c r="B10" s="19">
        <v>14.4375</v>
      </c>
      <c r="C10" s="19">
        <v>0.5625</v>
      </c>
      <c r="D10" s="19">
        <v>18.5625</v>
      </c>
      <c r="E10" s="19" t="s">
        <v>377</v>
      </c>
      <c r="F10" s="19">
        <v>1</v>
      </c>
      <c r="G10" s="19" t="s">
        <v>377</v>
      </c>
      <c r="H10" s="19">
        <v>1</v>
      </c>
      <c r="I10" s="19" t="s">
        <v>377</v>
      </c>
      <c r="J10" s="19">
        <v>1</v>
      </c>
      <c r="K10" s="19" t="s">
        <v>377</v>
      </c>
      <c r="L10" s="19">
        <v>1</v>
      </c>
      <c r="M10" s="19" t="s">
        <v>377</v>
      </c>
      <c r="N10" s="19">
        <v>1</v>
      </c>
      <c r="O10" s="19" t="s">
        <v>377</v>
      </c>
      <c r="P10" s="19">
        <v>1</v>
      </c>
      <c r="Q10" s="19" t="s">
        <v>377</v>
      </c>
      <c r="R10" s="19">
        <v>1</v>
      </c>
      <c r="S10" s="19" t="s">
        <v>377</v>
      </c>
      <c r="T10" s="16">
        <v>1</v>
      </c>
      <c r="U10" s="16">
        <v>1</v>
      </c>
      <c r="V10" s="16">
        <v>8</v>
      </c>
      <c r="W10" s="16" t="s">
        <v>377</v>
      </c>
      <c r="X10" s="16" t="s">
        <v>377</v>
      </c>
      <c r="Y10" t="s">
        <v>377</v>
      </c>
      <c r="Z10" t="s">
        <v>377</v>
      </c>
      <c r="AA10" t="s">
        <v>377</v>
      </c>
      <c r="AB10" t="s">
        <v>377</v>
      </c>
      <c r="AC10" t="s">
        <v>377</v>
      </c>
      <c r="AD10" t="s">
        <v>377</v>
      </c>
      <c r="AE10">
        <v>2</v>
      </c>
    </row>
    <row r="11" spans="1:31" x14ac:dyDescent="0.25">
      <c r="A11" s="19">
        <v>6</v>
      </c>
      <c r="B11" s="19">
        <v>35</v>
      </c>
      <c r="C11" s="19">
        <v>4</v>
      </c>
      <c r="D11" s="19">
        <v>35</v>
      </c>
      <c r="E11" s="19" t="s">
        <v>377</v>
      </c>
      <c r="F11" s="19">
        <v>1</v>
      </c>
      <c r="G11" s="19" t="s">
        <v>377</v>
      </c>
      <c r="H11" s="19">
        <v>1</v>
      </c>
      <c r="I11" s="19" t="s">
        <v>377</v>
      </c>
      <c r="J11" s="19">
        <v>1</v>
      </c>
      <c r="K11" s="19" t="s">
        <v>377</v>
      </c>
      <c r="L11" s="19">
        <v>1</v>
      </c>
      <c r="M11" s="19" t="s">
        <v>377</v>
      </c>
      <c r="N11" s="19">
        <v>1</v>
      </c>
      <c r="O11" s="19" t="s">
        <v>377</v>
      </c>
      <c r="P11" s="19">
        <v>1</v>
      </c>
      <c r="Q11" s="19" t="s">
        <v>377</v>
      </c>
      <c r="R11" s="19">
        <v>1</v>
      </c>
      <c r="S11" s="19" t="s">
        <v>377</v>
      </c>
      <c r="T11" s="16">
        <v>1</v>
      </c>
      <c r="U11" s="16">
        <v>2</v>
      </c>
      <c r="V11" s="16">
        <v>5</v>
      </c>
      <c r="W11" s="16" t="s">
        <v>377</v>
      </c>
      <c r="X11" s="16" t="s">
        <v>377</v>
      </c>
      <c r="Y11" t="s">
        <v>377</v>
      </c>
      <c r="Z11" t="s">
        <v>377</v>
      </c>
      <c r="AA11" t="s">
        <v>377</v>
      </c>
      <c r="AB11" t="s">
        <v>377</v>
      </c>
      <c r="AC11" t="s">
        <v>377</v>
      </c>
      <c r="AD11" t="s">
        <v>377</v>
      </c>
      <c r="AE11">
        <v>2</v>
      </c>
    </row>
    <row r="12" spans="1:31" x14ac:dyDescent="0.25">
      <c r="A12" s="19">
        <v>5</v>
      </c>
      <c r="B12" s="19">
        <v>18</v>
      </c>
      <c r="C12" s="19">
        <v>7</v>
      </c>
      <c r="D12" s="19">
        <v>18</v>
      </c>
      <c r="E12" s="19" t="s">
        <v>377</v>
      </c>
      <c r="F12" s="19">
        <v>1</v>
      </c>
      <c r="G12" s="19" t="s">
        <v>377</v>
      </c>
      <c r="H12" s="19">
        <v>1</v>
      </c>
      <c r="I12" s="19" t="s">
        <v>377</v>
      </c>
      <c r="J12" s="19">
        <v>1</v>
      </c>
      <c r="K12" s="19" t="s">
        <v>377</v>
      </c>
      <c r="L12" s="19">
        <v>1</v>
      </c>
      <c r="M12" s="19" t="s">
        <v>377</v>
      </c>
      <c r="N12" s="19">
        <v>1</v>
      </c>
      <c r="O12" s="19" t="s">
        <v>377</v>
      </c>
      <c r="P12" s="19">
        <v>1</v>
      </c>
      <c r="Q12" s="19" t="s">
        <v>377</v>
      </c>
      <c r="R12" s="19">
        <v>1</v>
      </c>
      <c r="S12" s="19" t="s">
        <v>377</v>
      </c>
      <c r="T12" s="16">
        <v>1</v>
      </c>
      <c r="U12" s="16">
        <v>3</v>
      </c>
      <c r="V12" s="16">
        <v>9</v>
      </c>
      <c r="W12" s="16" t="s">
        <v>377</v>
      </c>
      <c r="X12" s="16" t="s">
        <v>377</v>
      </c>
      <c r="Y12" t="s">
        <v>377</v>
      </c>
      <c r="Z12" t="s">
        <v>377</v>
      </c>
      <c r="AA12" t="s">
        <v>377</v>
      </c>
      <c r="AB12" t="s">
        <v>377</v>
      </c>
      <c r="AC12" t="s">
        <v>377</v>
      </c>
      <c r="AD12" t="s">
        <v>377</v>
      </c>
      <c r="AE12">
        <v>2</v>
      </c>
    </row>
    <row r="13" spans="1:31" x14ac:dyDescent="0.25">
      <c r="A13" s="19">
        <v>7</v>
      </c>
      <c r="B13" s="19">
        <v>56</v>
      </c>
      <c r="C13" s="19">
        <v>5</v>
      </c>
      <c r="D13" s="19">
        <v>55</v>
      </c>
      <c r="E13" s="19" t="s">
        <v>377</v>
      </c>
      <c r="F13" s="19">
        <v>1</v>
      </c>
      <c r="G13" s="19" t="s">
        <v>377</v>
      </c>
      <c r="H13" s="19">
        <v>1</v>
      </c>
      <c r="I13" s="19" t="s">
        <v>377</v>
      </c>
      <c r="J13" s="19">
        <v>1</v>
      </c>
      <c r="K13" s="19" t="s">
        <v>377</v>
      </c>
      <c r="L13" s="19">
        <v>1</v>
      </c>
      <c r="M13" s="19" t="s">
        <v>377</v>
      </c>
      <c r="N13" s="19">
        <v>1</v>
      </c>
      <c r="O13" s="19" t="s">
        <v>377</v>
      </c>
      <c r="P13" s="19">
        <v>1</v>
      </c>
      <c r="Q13" s="19" t="s">
        <v>377</v>
      </c>
      <c r="R13" s="19">
        <v>1</v>
      </c>
      <c r="S13" s="19" t="s">
        <v>377</v>
      </c>
      <c r="T13" s="16">
        <v>1</v>
      </c>
      <c r="U13" s="16">
        <v>2</v>
      </c>
      <c r="V13" s="16">
        <v>7</v>
      </c>
      <c r="W13" s="16" t="s">
        <v>377</v>
      </c>
      <c r="X13" s="16" t="s">
        <v>377</v>
      </c>
      <c r="Y13" t="s">
        <v>377</v>
      </c>
      <c r="Z13" t="s">
        <v>377</v>
      </c>
      <c r="AA13" t="s">
        <v>377</v>
      </c>
      <c r="AB13" t="s">
        <v>377</v>
      </c>
      <c r="AC13" t="s">
        <v>377</v>
      </c>
      <c r="AD13" t="s">
        <v>377</v>
      </c>
      <c r="AE13">
        <v>2</v>
      </c>
    </row>
    <row r="14" spans="1:31" x14ac:dyDescent="0.25">
      <c r="A14" s="19">
        <v>12</v>
      </c>
      <c r="B14" s="19">
        <v>35</v>
      </c>
      <c r="C14" s="19">
        <v>8</v>
      </c>
      <c r="D14" s="19">
        <v>35</v>
      </c>
      <c r="E14" s="19" t="s">
        <v>377</v>
      </c>
      <c r="F14" s="19">
        <v>1</v>
      </c>
      <c r="G14" s="19" t="s">
        <v>377</v>
      </c>
      <c r="H14" s="19">
        <v>1</v>
      </c>
      <c r="I14" s="19" t="s">
        <v>377</v>
      </c>
      <c r="J14" s="19">
        <v>1</v>
      </c>
      <c r="K14" s="19" t="s">
        <v>377</v>
      </c>
      <c r="L14" s="19">
        <v>1</v>
      </c>
      <c r="M14" s="19" t="s">
        <v>377</v>
      </c>
      <c r="N14" s="19">
        <v>1</v>
      </c>
      <c r="O14" s="19" t="s">
        <v>377</v>
      </c>
      <c r="P14" s="19">
        <v>1</v>
      </c>
      <c r="Q14" s="19" t="s">
        <v>377</v>
      </c>
      <c r="R14" s="19">
        <v>1</v>
      </c>
      <c r="S14" s="19" t="s">
        <v>377</v>
      </c>
      <c r="T14" s="16">
        <v>1</v>
      </c>
      <c r="U14" s="16">
        <v>1</v>
      </c>
      <c r="V14" s="16">
        <v>10</v>
      </c>
      <c r="W14" s="16" t="s">
        <v>377</v>
      </c>
      <c r="X14" s="16" t="s">
        <v>377</v>
      </c>
      <c r="Y14" t="s">
        <v>377</v>
      </c>
      <c r="Z14" t="s">
        <v>377</v>
      </c>
      <c r="AA14" t="s">
        <v>377</v>
      </c>
      <c r="AB14" t="s">
        <v>377</v>
      </c>
      <c r="AC14" t="s">
        <v>377</v>
      </c>
      <c r="AD14" t="s">
        <v>377</v>
      </c>
      <c r="AE14">
        <v>2</v>
      </c>
    </row>
    <row r="15" spans="1:31" x14ac:dyDescent="0.25">
      <c r="A15" s="19">
        <v>4</v>
      </c>
      <c r="B15" s="19">
        <v>20</v>
      </c>
      <c r="C15" s="19">
        <v>3</v>
      </c>
      <c r="D15" s="19">
        <v>20</v>
      </c>
      <c r="E15" s="19" t="s">
        <v>377</v>
      </c>
      <c r="F15" s="19">
        <v>1</v>
      </c>
      <c r="G15" s="19" t="s">
        <v>377</v>
      </c>
      <c r="H15" s="19">
        <v>1</v>
      </c>
      <c r="I15" s="19" t="s">
        <v>377</v>
      </c>
      <c r="J15" s="19">
        <v>1</v>
      </c>
      <c r="K15" s="19" t="s">
        <v>377</v>
      </c>
      <c r="L15" s="19">
        <v>1</v>
      </c>
      <c r="M15" s="19" t="s">
        <v>377</v>
      </c>
      <c r="N15" s="19">
        <v>1</v>
      </c>
      <c r="O15" s="19" t="s">
        <v>377</v>
      </c>
      <c r="P15" s="19">
        <v>1</v>
      </c>
      <c r="Q15" s="19" t="s">
        <v>377</v>
      </c>
      <c r="R15" s="19">
        <v>1</v>
      </c>
      <c r="S15" s="19" t="s">
        <v>377</v>
      </c>
      <c r="T15" s="16">
        <v>1</v>
      </c>
      <c r="U15" s="16">
        <v>1</v>
      </c>
      <c r="V15" s="16">
        <v>2</v>
      </c>
      <c r="W15" s="16" t="s">
        <v>377</v>
      </c>
      <c r="X15" s="16" t="s">
        <v>377</v>
      </c>
      <c r="Y15" t="s">
        <v>377</v>
      </c>
      <c r="Z15" t="s">
        <v>377</v>
      </c>
      <c r="AA15" t="s">
        <v>377</v>
      </c>
      <c r="AB15" t="s">
        <v>377</v>
      </c>
      <c r="AC15" t="s">
        <v>377</v>
      </c>
      <c r="AD15" t="s">
        <v>377</v>
      </c>
      <c r="AE15">
        <v>2</v>
      </c>
    </row>
    <row r="16" spans="1:31" x14ac:dyDescent="0.25">
      <c r="A16" s="19">
        <v>10</v>
      </c>
      <c r="B16" s="19">
        <v>31</v>
      </c>
      <c r="C16" s="19">
        <v>10</v>
      </c>
      <c r="D16" s="19">
        <v>31</v>
      </c>
      <c r="E16" s="19" t="s">
        <v>377</v>
      </c>
      <c r="F16" s="19">
        <v>1</v>
      </c>
      <c r="G16" s="19" t="s">
        <v>377</v>
      </c>
      <c r="H16" s="19">
        <v>1</v>
      </c>
      <c r="I16" s="19" t="s">
        <v>377</v>
      </c>
      <c r="J16" s="19">
        <v>1</v>
      </c>
      <c r="K16" s="19" t="s">
        <v>377</v>
      </c>
      <c r="L16" s="19">
        <v>1</v>
      </c>
      <c r="M16" s="19" t="s">
        <v>377</v>
      </c>
      <c r="N16" s="19">
        <v>1</v>
      </c>
      <c r="O16" s="19" t="s">
        <v>377</v>
      </c>
      <c r="P16" s="19">
        <v>1</v>
      </c>
      <c r="Q16" s="19" t="s">
        <v>377</v>
      </c>
      <c r="R16" s="19">
        <v>1</v>
      </c>
      <c r="S16" s="19" t="s">
        <v>377</v>
      </c>
      <c r="T16" s="16">
        <v>1</v>
      </c>
      <c r="U16" s="16">
        <v>3</v>
      </c>
      <c r="V16" s="16">
        <v>10</v>
      </c>
      <c r="W16" s="16" t="s">
        <v>377</v>
      </c>
      <c r="X16" s="16" t="s">
        <v>377</v>
      </c>
      <c r="Y16" t="s">
        <v>377</v>
      </c>
      <c r="Z16" t="s">
        <v>377</v>
      </c>
      <c r="AA16" t="s">
        <v>377</v>
      </c>
      <c r="AB16" t="s">
        <v>377</v>
      </c>
      <c r="AC16" t="s">
        <v>377</v>
      </c>
      <c r="AD16" t="s">
        <v>377</v>
      </c>
      <c r="AE16">
        <v>2</v>
      </c>
    </row>
    <row r="17" spans="1:31" x14ac:dyDescent="0.25">
      <c r="A17" s="19">
        <v>9</v>
      </c>
      <c r="B17" s="19">
        <v>46</v>
      </c>
      <c r="C17" s="19">
        <v>9</v>
      </c>
      <c r="D17" s="19">
        <v>47</v>
      </c>
      <c r="E17" s="19" t="s">
        <v>377</v>
      </c>
      <c r="F17" s="19">
        <v>1</v>
      </c>
      <c r="G17" s="19" t="s">
        <v>377</v>
      </c>
      <c r="H17" s="19">
        <v>1</v>
      </c>
      <c r="I17" s="19" t="s">
        <v>377</v>
      </c>
      <c r="J17" s="19">
        <v>1</v>
      </c>
      <c r="K17" s="19" t="s">
        <v>377</v>
      </c>
      <c r="L17" s="19">
        <v>1</v>
      </c>
      <c r="M17" s="19" t="s">
        <v>377</v>
      </c>
      <c r="N17" s="19">
        <v>1</v>
      </c>
      <c r="O17" s="19" t="s">
        <v>377</v>
      </c>
      <c r="P17" s="19">
        <v>1</v>
      </c>
      <c r="Q17" s="19" t="s">
        <v>377</v>
      </c>
      <c r="R17" s="19">
        <v>1</v>
      </c>
      <c r="S17" s="19" t="s">
        <v>377</v>
      </c>
      <c r="T17" s="16">
        <v>1</v>
      </c>
      <c r="U17" s="16">
        <v>1</v>
      </c>
      <c r="V17" s="16">
        <v>9</v>
      </c>
      <c r="W17" s="16" t="s">
        <v>377</v>
      </c>
      <c r="X17" s="16" t="s">
        <v>377</v>
      </c>
      <c r="Y17" t="s">
        <v>377</v>
      </c>
      <c r="Z17" t="s">
        <v>377</v>
      </c>
      <c r="AA17" t="s">
        <v>377</v>
      </c>
      <c r="AB17" t="s">
        <v>377</v>
      </c>
      <c r="AC17" t="s">
        <v>377</v>
      </c>
      <c r="AD17" t="s">
        <v>377</v>
      </c>
      <c r="AE17">
        <v>2</v>
      </c>
    </row>
    <row r="18" spans="1:31" x14ac:dyDescent="0.25">
      <c r="A18" s="19">
        <v>4</v>
      </c>
      <c r="B18" s="19">
        <v>31</v>
      </c>
      <c r="C18" s="19">
        <v>3</v>
      </c>
      <c r="D18" s="19">
        <v>32</v>
      </c>
      <c r="E18" s="19" t="s">
        <v>377</v>
      </c>
      <c r="F18" s="19">
        <v>1</v>
      </c>
      <c r="G18" s="19" t="s">
        <v>377</v>
      </c>
      <c r="H18" s="19">
        <v>1</v>
      </c>
      <c r="I18" s="19" t="s">
        <v>377</v>
      </c>
      <c r="J18" s="19">
        <v>1</v>
      </c>
      <c r="K18" s="19" t="s">
        <v>377</v>
      </c>
      <c r="L18" s="19">
        <v>1</v>
      </c>
      <c r="M18" s="19" t="s">
        <v>377</v>
      </c>
      <c r="N18" s="19">
        <v>1</v>
      </c>
      <c r="O18" s="19" t="s">
        <v>377</v>
      </c>
      <c r="P18" s="19">
        <v>1</v>
      </c>
      <c r="Q18" s="19" t="s">
        <v>377</v>
      </c>
      <c r="R18" s="19">
        <v>1</v>
      </c>
      <c r="S18" s="19" t="s">
        <v>377</v>
      </c>
      <c r="T18" s="16">
        <v>1</v>
      </c>
      <c r="U18" s="16">
        <v>1</v>
      </c>
      <c r="V18" s="16">
        <v>2</v>
      </c>
      <c r="W18" s="16" t="s">
        <v>377</v>
      </c>
      <c r="X18" s="16" t="s">
        <v>377</v>
      </c>
      <c r="Y18" t="s">
        <v>377</v>
      </c>
      <c r="Z18" t="s">
        <v>377</v>
      </c>
      <c r="AA18" t="s">
        <v>377</v>
      </c>
      <c r="AB18" t="s">
        <v>377</v>
      </c>
      <c r="AC18" t="s">
        <v>377</v>
      </c>
      <c r="AD18" t="s">
        <v>377</v>
      </c>
      <c r="AE18">
        <v>2</v>
      </c>
    </row>
    <row r="19" spans="1:31" x14ac:dyDescent="0.25">
      <c r="A19" s="19">
        <v>7</v>
      </c>
      <c r="B19" s="19">
        <v>31</v>
      </c>
      <c r="C19" s="19">
        <v>11</v>
      </c>
      <c r="D19" s="19">
        <v>30</v>
      </c>
      <c r="E19" s="19" t="s">
        <v>377</v>
      </c>
      <c r="F19" s="19">
        <v>1</v>
      </c>
      <c r="G19" s="19" t="s">
        <v>377</v>
      </c>
      <c r="H19" s="19">
        <v>1</v>
      </c>
      <c r="I19" s="19" t="s">
        <v>377</v>
      </c>
      <c r="J19" s="19">
        <v>1</v>
      </c>
      <c r="K19" s="19" t="s">
        <v>377</v>
      </c>
      <c r="L19" s="19">
        <v>1</v>
      </c>
      <c r="M19" s="19" t="s">
        <v>377</v>
      </c>
      <c r="N19" s="19">
        <v>1</v>
      </c>
      <c r="O19" s="19" t="s">
        <v>377</v>
      </c>
      <c r="P19" s="19">
        <v>1</v>
      </c>
      <c r="Q19" s="19" t="s">
        <v>377</v>
      </c>
      <c r="R19" s="19">
        <v>1</v>
      </c>
      <c r="S19" s="19" t="s">
        <v>377</v>
      </c>
      <c r="T19" s="16">
        <v>1</v>
      </c>
      <c r="U19" s="16">
        <v>1</v>
      </c>
      <c r="V19" s="16">
        <v>9</v>
      </c>
      <c r="W19" s="16" t="s">
        <v>377</v>
      </c>
      <c r="X19" s="16" t="s">
        <v>377</v>
      </c>
      <c r="Y19" t="s">
        <v>377</v>
      </c>
      <c r="Z19" t="s">
        <v>377</v>
      </c>
      <c r="AA19" t="s">
        <v>377</v>
      </c>
      <c r="AB19" t="s">
        <v>377</v>
      </c>
      <c r="AC19" t="s">
        <v>377</v>
      </c>
      <c r="AD19" t="s">
        <v>377</v>
      </c>
      <c r="AE19">
        <v>2</v>
      </c>
    </row>
    <row r="20" spans="1:31" x14ac:dyDescent="0.25">
      <c r="A20" s="19">
        <v>11</v>
      </c>
      <c r="B20" s="19">
        <v>30</v>
      </c>
      <c r="C20" s="19">
        <v>9</v>
      </c>
      <c r="D20" s="19">
        <v>30</v>
      </c>
      <c r="E20" s="19" t="s">
        <v>377</v>
      </c>
      <c r="F20" s="19">
        <v>1</v>
      </c>
      <c r="G20" s="19" t="s">
        <v>377</v>
      </c>
      <c r="H20" s="19">
        <v>1</v>
      </c>
      <c r="I20" s="19" t="s">
        <v>377</v>
      </c>
      <c r="J20" s="19">
        <v>1</v>
      </c>
      <c r="K20" s="19" t="s">
        <v>377</v>
      </c>
      <c r="L20" s="19">
        <v>1</v>
      </c>
      <c r="M20" s="19" t="s">
        <v>377</v>
      </c>
      <c r="N20" s="19">
        <v>1</v>
      </c>
      <c r="O20" s="19" t="s">
        <v>377</v>
      </c>
      <c r="P20" s="19">
        <v>1</v>
      </c>
      <c r="Q20" s="19" t="s">
        <v>377</v>
      </c>
      <c r="R20" s="19">
        <v>1</v>
      </c>
      <c r="S20" s="19" t="s">
        <v>377</v>
      </c>
      <c r="T20" s="16">
        <v>1</v>
      </c>
      <c r="U20" s="16">
        <v>3</v>
      </c>
      <c r="V20" s="16">
        <v>6</v>
      </c>
      <c r="W20" s="16" t="s">
        <v>377</v>
      </c>
      <c r="X20" s="16" t="s">
        <v>377</v>
      </c>
      <c r="Y20" t="s">
        <v>377</v>
      </c>
      <c r="Z20" t="s">
        <v>377</v>
      </c>
      <c r="AA20" t="s">
        <v>377</v>
      </c>
      <c r="AB20" t="s">
        <v>377</v>
      </c>
      <c r="AC20" t="s">
        <v>377</v>
      </c>
      <c r="AD20" t="s">
        <v>377</v>
      </c>
      <c r="AE20">
        <v>2</v>
      </c>
    </row>
    <row r="21" spans="1:31" x14ac:dyDescent="0.25">
      <c r="A21" s="19">
        <v>5</v>
      </c>
      <c r="B21" s="19">
        <v>24</v>
      </c>
      <c r="C21" s="19">
        <v>5</v>
      </c>
      <c r="D21" s="19">
        <v>22</v>
      </c>
      <c r="E21" s="19" t="s">
        <v>377</v>
      </c>
      <c r="F21" s="19">
        <v>1</v>
      </c>
      <c r="G21" s="19" t="s">
        <v>377</v>
      </c>
      <c r="H21" s="19">
        <v>1</v>
      </c>
      <c r="I21" s="19" t="s">
        <v>377</v>
      </c>
      <c r="J21" s="19">
        <v>1</v>
      </c>
      <c r="K21" s="19" t="s">
        <v>377</v>
      </c>
      <c r="L21" s="19">
        <v>1</v>
      </c>
      <c r="M21" s="19" t="s">
        <v>377</v>
      </c>
      <c r="N21" s="19">
        <v>1</v>
      </c>
      <c r="O21" s="19" t="s">
        <v>377</v>
      </c>
      <c r="P21" s="19">
        <v>1</v>
      </c>
      <c r="Q21" s="19" t="s">
        <v>377</v>
      </c>
      <c r="R21" s="19">
        <v>1</v>
      </c>
      <c r="S21" s="19" t="s">
        <v>377</v>
      </c>
      <c r="T21" s="16">
        <v>1</v>
      </c>
      <c r="U21" s="16">
        <v>1</v>
      </c>
      <c r="V21" s="16">
        <v>2</v>
      </c>
      <c r="W21" s="16" t="s">
        <v>377</v>
      </c>
      <c r="X21" s="16" t="s">
        <v>377</v>
      </c>
      <c r="Y21" t="s">
        <v>377</v>
      </c>
      <c r="Z21" t="s">
        <v>377</v>
      </c>
      <c r="AA21" t="s">
        <v>377</v>
      </c>
      <c r="AB21" t="s">
        <v>377</v>
      </c>
      <c r="AC21" t="s">
        <v>377</v>
      </c>
      <c r="AD21" t="s">
        <v>377</v>
      </c>
      <c r="AE21">
        <v>2</v>
      </c>
    </row>
    <row r="22" spans="1:31" x14ac:dyDescent="0.25">
      <c r="A22" s="19">
        <v>13</v>
      </c>
      <c r="B22" s="19">
        <v>32</v>
      </c>
      <c r="C22" s="19">
        <v>19</v>
      </c>
      <c r="D22" s="19">
        <v>32</v>
      </c>
      <c r="E22" s="19" t="s">
        <v>377</v>
      </c>
      <c r="F22" s="19">
        <v>1</v>
      </c>
      <c r="G22" s="19" t="s">
        <v>377</v>
      </c>
      <c r="H22" s="19">
        <v>1</v>
      </c>
      <c r="I22" s="19" t="s">
        <v>377</v>
      </c>
      <c r="J22" s="19">
        <v>1</v>
      </c>
      <c r="K22" s="19" t="s">
        <v>377</v>
      </c>
      <c r="L22" s="19">
        <v>1</v>
      </c>
      <c r="M22" s="19" t="s">
        <v>377</v>
      </c>
      <c r="N22" s="19">
        <v>1</v>
      </c>
      <c r="O22" s="19" t="s">
        <v>377</v>
      </c>
      <c r="P22" s="19">
        <v>1</v>
      </c>
      <c r="Q22" s="19" t="s">
        <v>377</v>
      </c>
      <c r="R22" s="19">
        <v>1</v>
      </c>
      <c r="S22" s="19" t="s">
        <v>377</v>
      </c>
      <c r="T22" s="16">
        <v>1</v>
      </c>
      <c r="U22" s="16">
        <v>3</v>
      </c>
      <c r="V22" s="16">
        <v>10</v>
      </c>
      <c r="W22" s="16" t="s">
        <v>377</v>
      </c>
      <c r="X22" s="16" t="s">
        <v>377</v>
      </c>
      <c r="Y22" t="s">
        <v>377</v>
      </c>
      <c r="Z22" t="s">
        <v>377</v>
      </c>
      <c r="AA22" t="s">
        <v>377</v>
      </c>
      <c r="AB22" t="s">
        <v>377</v>
      </c>
      <c r="AC22" t="s">
        <v>377</v>
      </c>
      <c r="AD22" t="s">
        <v>377</v>
      </c>
      <c r="AE22">
        <v>2</v>
      </c>
    </row>
    <row r="23" spans="1:31" x14ac:dyDescent="0.25">
      <c r="A23" s="19">
        <v>2</v>
      </c>
      <c r="B23" s="19">
        <v>12</v>
      </c>
      <c r="C23" s="19">
        <v>2</v>
      </c>
      <c r="D23" s="19">
        <v>12</v>
      </c>
      <c r="E23" s="19" t="s">
        <v>377</v>
      </c>
      <c r="F23" s="19">
        <v>1</v>
      </c>
      <c r="G23" s="19" t="s">
        <v>377</v>
      </c>
      <c r="H23" s="19">
        <v>1</v>
      </c>
      <c r="I23" s="19" t="s">
        <v>377</v>
      </c>
      <c r="J23" s="19">
        <v>1</v>
      </c>
      <c r="K23" s="19" t="s">
        <v>377</v>
      </c>
      <c r="L23" s="19">
        <v>1</v>
      </c>
      <c r="M23" s="19" t="s">
        <v>377</v>
      </c>
      <c r="N23" s="19">
        <v>1</v>
      </c>
      <c r="O23" s="19" t="s">
        <v>377</v>
      </c>
      <c r="P23" s="19">
        <v>1</v>
      </c>
      <c r="Q23" s="19" t="s">
        <v>377</v>
      </c>
      <c r="R23" s="19">
        <v>1</v>
      </c>
      <c r="S23" s="19" t="s">
        <v>377</v>
      </c>
      <c r="T23" s="16">
        <v>1</v>
      </c>
      <c r="U23" s="16">
        <v>1</v>
      </c>
      <c r="V23" s="16">
        <v>10</v>
      </c>
      <c r="W23" s="16" t="s">
        <v>377</v>
      </c>
      <c r="X23" s="16" t="s">
        <v>377</v>
      </c>
      <c r="Y23" t="s">
        <v>377</v>
      </c>
      <c r="Z23" t="s">
        <v>377</v>
      </c>
      <c r="AA23" t="s">
        <v>377</v>
      </c>
      <c r="AB23" t="s">
        <v>377</v>
      </c>
      <c r="AC23" t="s">
        <v>377</v>
      </c>
      <c r="AD23" t="s">
        <v>377</v>
      </c>
      <c r="AE23">
        <v>2</v>
      </c>
    </row>
    <row r="24" spans="1:31" x14ac:dyDescent="0.25">
      <c r="A24" s="19">
        <v>1</v>
      </c>
      <c r="B24" s="19">
        <v>12</v>
      </c>
      <c r="C24" s="19">
        <v>1</v>
      </c>
      <c r="D24" s="19">
        <v>11</v>
      </c>
      <c r="E24" s="19" t="s">
        <v>377</v>
      </c>
      <c r="F24" s="19">
        <v>1</v>
      </c>
      <c r="G24" s="19" t="s">
        <v>377</v>
      </c>
      <c r="H24" s="19">
        <v>1</v>
      </c>
      <c r="I24" s="19" t="s">
        <v>377</v>
      </c>
      <c r="J24" s="19">
        <v>1</v>
      </c>
      <c r="K24" s="19" t="s">
        <v>377</v>
      </c>
      <c r="L24" s="19">
        <v>1</v>
      </c>
      <c r="M24" s="19" t="s">
        <v>377</v>
      </c>
      <c r="N24" s="19">
        <v>1</v>
      </c>
      <c r="O24" s="19" t="s">
        <v>377</v>
      </c>
      <c r="P24" s="19">
        <v>1</v>
      </c>
      <c r="Q24" s="19" t="s">
        <v>377</v>
      </c>
      <c r="R24" s="19">
        <v>1</v>
      </c>
      <c r="S24" s="19" t="s">
        <v>377</v>
      </c>
      <c r="T24" s="16">
        <v>1</v>
      </c>
      <c r="U24" s="16">
        <v>3</v>
      </c>
      <c r="V24" s="16">
        <v>9</v>
      </c>
      <c r="W24" s="16" t="s">
        <v>377</v>
      </c>
      <c r="X24" s="16" t="s">
        <v>377</v>
      </c>
      <c r="Y24" t="s">
        <v>377</v>
      </c>
      <c r="Z24" t="s">
        <v>377</v>
      </c>
      <c r="AA24" t="s">
        <v>377</v>
      </c>
      <c r="AB24" t="s">
        <v>377</v>
      </c>
      <c r="AC24" t="s">
        <v>377</v>
      </c>
      <c r="AD24" t="s">
        <v>377</v>
      </c>
      <c r="AE24">
        <v>2</v>
      </c>
    </row>
    <row r="25" spans="1:31" x14ac:dyDescent="0.25">
      <c r="A25" s="19">
        <v>2</v>
      </c>
      <c r="B25" s="19">
        <v>18</v>
      </c>
      <c r="C25" s="19">
        <v>3</v>
      </c>
      <c r="D25" s="19">
        <v>16</v>
      </c>
      <c r="E25" s="19" t="s">
        <v>377</v>
      </c>
      <c r="F25" s="19">
        <v>1</v>
      </c>
      <c r="G25" s="19" t="s">
        <v>377</v>
      </c>
      <c r="H25" s="19">
        <v>1</v>
      </c>
      <c r="I25" s="19" t="s">
        <v>377</v>
      </c>
      <c r="J25" s="19">
        <v>1</v>
      </c>
      <c r="K25" s="19" t="s">
        <v>377</v>
      </c>
      <c r="L25" s="19">
        <v>1</v>
      </c>
      <c r="M25" s="19" t="s">
        <v>377</v>
      </c>
      <c r="N25" s="19">
        <v>1</v>
      </c>
      <c r="O25" s="19" t="s">
        <v>377</v>
      </c>
      <c r="P25" s="19">
        <v>1</v>
      </c>
      <c r="Q25" s="19" t="s">
        <v>377</v>
      </c>
      <c r="R25" s="19">
        <v>1</v>
      </c>
      <c r="S25" s="19" t="s">
        <v>377</v>
      </c>
      <c r="T25" s="16">
        <v>1</v>
      </c>
      <c r="U25" s="16">
        <v>1</v>
      </c>
      <c r="V25" s="16">
        <v>3</v>
      </c>
      <c r="W25" s="16" t="s">
        <v>377</v>
      </c>
      <c r="X25" s="16" t="s">
        <v>377</v>
      </c>
      <c r="Y25" t="s">
        <v>377</v>
      </c>
      <c r="Z25" t="s">
        <v>377</v>
      </c>
      <c r="AA25" t="s">
        <v>377</v>
      </c>
      <c r="AB25" t="s">
        <v>377</v>
      </c>
      <c r="AC25" t="s">
        <v>377</v>
      </c>
      <c r="AD25" t="s">
        <v>377</v>
      </c>
      <c r="AE25">
        <v>2</v>
      </c>
    </row>
    <row r="26" spans="1:31" x14ac:dyDescent="0.25">
      <c r="A26" s="19">
        <v>4</v>
      </c>
      <c r="B26" s="19">
        <v>43</v>
      </c>
      <c r="C26" s="19">
        <v>5</v>
      </c>
      <c r="D26" s="19">
        <v>44</v>
      </c>
      <c r="E26" s="19" t="s">
        <v>377</v>
      </c>
      <c r="F26" s="19">
        <v>1</v>
      </c>
      <c r="G26" s="19" t="s">
        <v>377</v>
      </c>
      <c r="H26" s="19">
        <v>1</v>
      </c>
      <c r="I26" s="19" t="s">
        <v>377</v>
      </c>
      <c r="J26" s="19">
        <v>1</v>
      </c>
      <c r="K26" s="19" t="s">
        <v>377</v>
      </c>
      <c r="L26" s="19">
        <v>1</v>
      </c>
      <c r="M26" s="19" t="s">
        <v>377</v>
      </c>
      <c r="N26" s="19">
        <v>1</v>
      </c>
      <c r="O26" s="19" t="s">
        <v>377</v>
      </c>
      <c r="P26" s="19">
        <v>1</v>
      </c>
      <c r="Q26" s="19" t="s">
        <v>377</v>
      </c>
      <c r="R26" s="19">
        <v>1</v>
      </c>
      <c r="S26" s="19" t="s">
        <v>377</v>
      </c>
      <c r="T26" s="16">
        <v>1</v>
      </c>
      <c r="U26" s="16">
        <v>3</v>
      </c>
      <c r="V26" s="16">
        <v>4</v>
      </c>
      <c r="W26" s="16" t="s">
        <v>377</v>
      </c>
      <c r="X26" s="16" t="s">
        <v>377</v>
      </c>
      <c r="Y26" t="s">
        <v>377</v>
      </c>
      <c r="Z26" t="s">
        <v>377</v>
      </c>
      <c r="AA26" t="s">
        <v>377</v>
      </c>
      <c r="AB26" t="s">
        <v>377</v>
      </c>
      <c r="AC26" t="s">
        <v>377</v>
      </c>
      <c r="AD26" t="s">
        <v>377</v>
      </c>
      <c r="AE26">
        <v>2</v>
      </c>
    </row>
    <row r="27" spans="1:31" x14ac:dyDescent="0.25">
      <c r="A27" s="19" t="s">
        <v>378</v>
      </c>
      <c r="B27" s="19"/>
      <c r="C27" s="19"/>
      <c r="D27" s="19"/>
      <c r="E27" s="19"/>
      <c r="F27" s="19"/>
      <c r="G27" s="19"/>
      <c r="H27" s="19"/>
      <c r="I27" s="19"/>
      <c r="J27" s="19"/>
      <c r="K27" s="19"/>
      <c r="L27" s="19"/>
      <c r="M27" s="19"/>
      <c r="N27" s="19"/>
      <c r="O27" s="19"/>
      <c r="P27" s="19"/>
      <c r="Q27" s="19"/>
      <c r="R27" s="19"/>
      <c r="S27" s="19"/>
      <c r="T27" s="16"/>
      <c r="U27" s="16"/>
      <c r="V27" s="16"/>
      <c r="W27" s="16"/>
      <c r="X27" s="16"/>
    </row>
    <row r="28" spans="1:31" x14ac:dyDescent="0.25">
      <c r="A28" s="19"/>
      <c r="B28" s="19"/>
      <c r="C28" s="19"/>
      <c r="D28" s="19"/>
      <c r="E28" s="19"/>
      <c r="F28" s="19"/>
      <c r="G28" s="19"/>
      <c r="H28" s="19"/>
      <c r="I28" s="19"/>
      <c r="J28" s="19"/>
      <c r="K28" s="19"/>
      <c r="L28" s="19"/>
      <c r="M28" s="19"/>
      <c r="N28" s="19"/>
      <c r="O28" s="19"/>
      <c r="P28" s="19"/>
      <c r="Q28" s="19"/>
      <c r="R28" s="19"/>
      <c r="S28" s="19"/>
      <c r="T28" s="16"/>
      <c r="U28" s="16"/>
      <c r="V28" s="16"/>
      <c r="W28" s="16"/>
      <c r="X28" s="16"/>
    </row>
    <row r="29" spans="1:31" x14ac:dyDescent="0.25">
      <c r="A29" s="19"/>
      <c r="B29" s="19"/>
      <c r="C29" s="19"/>
      <c r="D29" s="19"/>
      <c r="E29" s="19"/>
      <c r="F29" s="19"/>
      <c r="G29" s="19"/>
      <c r="H29" s="19"/>
      <c r="I29" s="19"/>
      <c r="J29" s="19"/>
      <c r="K29" s="19"/>
      <c r="L29" s="19"/>
      <c r="M29" s="19"/>
      <c r="N29" s="19"/>
      <c r="O29" s="19"/>
      <c r="P29" s="19"/>
      <c r="Q29" s="19"/>
      <c r="R29" s="19"/>
      <c r="S29" s="19"/>
      <c r="T29" s="16"/>
      <c r="U29" s="16"/>
      <c r="V29" s="16"/>
      <c r="W29" s="16"/>
      <c r="X29" s="16"/>
    </row>
    <row r="30" spans="1:31" x14ac:dyDescent="0.25">
      <c r="A30" s="19"/>
      <c r="B30" s="19"/>
      <c r="C30" s="19"/>
      <c r="D30" s="19"/>
      <c r="E30" s="19"/>
      <c r="F30" s="19"/>
      <c r="G30" s="19"/>
      <c r="H30" s="19"/>
      <c r="I30" s="19"/>
      <c r="J30" s="19"/>
      <c r="K30" s="19"/>
      <c r="L30" s="19"/>
      <c r="M30" s="19"/>
      <c r="N30" s="19"/>
      <c r="O30" s="19"/>
      <c r="P30" s="19"/>
      <c r="Q30" s="19"/>
      <c r="R30" s="19"/>
      <c r="S30" s="19"/>
      <c r="T30" s="16"/>
      <c r="U30" s="16"/>
      <c r="V30" s="16"/>
      <c r="W30" s="16"/>
      <c r="X30" s="16"/>
    </row>
    <row r="31" spans="1:31" x14ac:dyDescent="0.25">
      <c r="A31" s="19"/>
      <c r="B31" s="19"/>
      <c r="C31" s="19"/>
      <c r="D31" s="19"/>
      <c r="E31" s="19"/>
      <c r="F31" s="19"/>
      <c r="G31" s="19"/>
      <c r="H31" s="19"/>
      <c r="I31" s="19"/>
      <c r="J31" s="19"/>
      <c r="K31" s="19"/>
      <c r="L31" s="19"/>
      <c r="M31" s="19"/>
      <c r="N31" s="19"/>
      <c r="O31" s="19"/>
      <c r="P31" s="19"/>
      <c r="Q31" s="19"/>
      <c r="R31" s="19"/>
      <c r="S31" s="19"/>
      <c r="T31" s="16"/>
      <c r="U31" s="16"/>
      <c r="V31" s="16"/>
      <c r="W31" s="16"/>
      <c r="X31" s="16"/>
    </row>
    <row r="32" spans="1:31" x14ac:dyDescent="0.25">
      <c r="A32" s="19"/>
      <c r="B32" s="19"/>
      <c r="C32" s="19"/>
      <c r="D32" s="19"/>
      <c r="E32" s="19"/>
      <c r="F32" s="19"/>
      <c r="G32" s="19"/>
      <c r="H32" s="19"/>
      <c r="I32" s="19"/>
      <c r="J32" s="19"/>
      <c r="K32" s="19"/>
      <c r="L32" s="19"/>
      <c r="M32" s="19"/>
      <c r="N32" s="19"/>
      <c r="O32" s="19"/>
      <c r="P32" s="19"/>
      <c r="Q32" s="19"/>
      <c r="R32" s="19"/>
      <c r="S32" s="19"/>
      <c r="T32" s="16"/>
      <c r="U32" s="16"/>
      <c r="V32" s="16"/>
      <c r="W32" s="16"/>
      <c r="X32" s="16"/>
    </row>
    <row r="33" spans="1:24" x14ac:dyDescent="0.25">
      <c r="A33" s="19"/>
      <c r="B33" s="19"/>
      <c r="C33" s="19"/>
      <c r="D33" s="19"/>
      <c r="E33" s="19"/>
      <c r="F33" s="19"/>
      <c r="G33" s="19"/>
      <c r="H33" s="19"/>
      <c r="I33" s="19"/>
      <c r="J33" s="19"/>
      <c r="K33" s="19"/>
      <c r="L33" s="19"/>
      <c r="M33" s="19"/>
      <c r="N33" s="19"/>
      <c r="O33" s="19"/>
      <c r="P33" s="19"/>
      <c r="Q33" s="19"/>
      <c r="R33" s="19"/>
      <c r="S33" s="19"/>
      <c r="T33" s="16"/>
      <c r="U33" s="16"/>
      <c r="V33" s="16"/>
      <c r="W33" s="16"/>
      <c r="X33" s="16"/>
    </row>
    <row r="34" spans="1:24" x14ac:dyDescent="0.25">
      <c r="A34" s="19"/>
      <c r="B34" s="19"/>
      <c r="C34" s="19"/>
      <c r="D34" s="19"/>
      <c r="E34" s="19"/>
      <c r="F34" s="19"/>
      <c r="G34" s="19"/>
      <c r="H34" s="19"/>
      <c r="I34" s="19"/>
      <c r="J34" s="19"/>
      <c r="K34" s="19"/>
      <c r="L34" s="19"/>
      <c r="M34" s="19"/>
      <c r="N34" s="19"/>
      <c r="O34" s="19"/>
      <c r="P34" s="19"/>
      <c r="Q34" s="19"/>
      <c r="R34" s="19"/>
      <c r="S34" s="19"/>
      <c r="T34" s="16"/>
      <c r="U34" s="16"/>
      <c r="V34" s="16"/>
      <c r="W34" s="16"/>
      <c r="X34" s="16"/>
    </row>
    <row r="35" spans="1:24" x14ac:dyDescent="0.25">
      <c r="A35" s="19"/>
      <c r="B35" s="19"/>
      <c r="C35" s="19"/>
      <c r="D35" s="19"/>
      <c r="E35" s="19"/>
      <c r="F35" s="19"/>
      <c r="G35" s="19"/>
      <c r="H35" s="19"/>
      <c r="I35" s="19"/>
      <c r="J35" s="19"/>
      <c r="K35" s="19"/>
      <c r="L35" s="19"/>
      <c r="M35" s="19"/>
      <c r="N35" s="19"/>
      <c r="O35" s="19"/>
      <c r="P35" s="19"/>
      <c r="Q35" s="19"/>
      <c r="R35" s="19"/>
      <c r="S35" s="19"/>
      <c r="T35" s="16"/>
      <c r="U35" s="16"/>
      <c r="V35" s="16"/>
      <c r="W35" s="16"/>
      <c r="X35" s="16"/>
    </row>
    <row r="36" spans="1:24" x14ac:dyDescent="0.25">
      <c r="A36" s="19"/>
      <c r="B36" s="19"/>
      <c r="C36" s="19"/>
      <c r="D36" s="19"/>
      <c r="E36" s="19"/>
      <c r="F36" s="19"/>
      <c r="G36" s="19"/>
      <c r="H36" s="19"/>
      <c r="I36" s="19"/>
      <c r="J36" s="19"/>
      <c r="K36" s="19"/>
      <c r="L36" s="19"/>
      <c r="M36" s="19"/>
      <c r="N36" s="19"/>
      <c r="O36" s="19"/>
      <c r="P36" s="19"/>
      <c r="Q36" s="19"/>
      <c r="R36" s="19"/>
      <c r="S36" s="19"/>
      <c r="T36" s="16"/>
      <c r="U36" s="16"/>
      <c r="V36" s="16"/>
      <c r="W36" s="16"/>
      <c r="X36" s="16"/>
    </row>
    <row r="37" spans="1:24" x14ac:dyDescent="0.25">
      <c r="A37" s="19"/>
      <c r="B37" s="19"/>
      <c r="C37" s="19"/>
      <c r="D37" s="19"/>
      <c r="E37" s="19"/>
      <c r="F37" s="19"/>
      <c r="G37" s="19"/>
      <c r="H37" s="19"/>
      <c r="I37" s="19"/>
      <c r="J37" s="19"/>
      <c r="K37" s="19"/>
      <c r="L37" s="19"/>
      <c r="M37" s="19"/>
      <c r="N37" s="19"/>
      <c r="O37" s="19"/>
      <c r="P37" s="19"/>
      <c r="Q37" s="19"/>
      <c r="R37" s="19"/>
      <c r="S37" s="19"/>
      <c r="T37" s="16"/>
      <c r="U37" s="16"/>
      <c r="V37" s="16"/>
      <c r="W37" s="16"/>
      <c r="X37" s="16"/>
    </row>
    <row r="38" spans="1:24" x14ac:dyDescent="0.25">
      <c r="A38" s="19"/>
      <c r="B38" s="19"/>
      <c r="C38" s="19"/>
      <c r="D38" s="19"/>
      <c r="E38" s="19"/>
      <c r="F38" s="19"/>
      <c r="G38" s="19"/>
      <c r="H38" s="19"/>
      <c r="I38" s="19"/>
      <c r="J38" s="19"/>
      <c r="K38" s="19"/>
      <c r="L38" s="19"/>
      <c r="M38" s="19"/>
      <c r="N38" s="19"/>
      <c r="O38" s="19"/>
      <c r="P38" s="19"/>
      <c r="Q38" s="19"/>
      <c r="R38" s="19"/>
      <c r="S38" s="19"/>
      <c r="T38" s="16"/>
      <c r="U38" s="16"/>
      <c r="V38" s="16"/>
      <c r="W38" s="16"/>
      <c r="X38" s="16"/>
    </row>
    <row r="39" spans="1:24" x14ac:dyDescent="0.25">
      <c r="A39" s="19"/>
      <c r="B39" s="19"/>
      <c r="C39" s="19"/>
      <c r="D39" s="19"/>
      <c r="E39" s="19"/>
      <c r="F39" s="19"/>
      <c r="G39" s="19"/>
      <c r="H39" s="19"/>
      <c r="I39" s="19"/>
      <c r="J39" s="19"/>
      <c r="K39" s="19"/>
      <c r="L39" s="19"/>
      <c r="M39" s="19"/>
      <c r="N39" s="19"/>
      <c r="O39" s="19"/>
      <c r="P39" s="19"/>
      <c r="Q39" s="19"/>
      <c r="R39" s="19"/>
      <c r="S39" s="19"/>
      <c r="T39" s="16"/>
      <c r="U39" s="16"/>
      <c r="V39" s="16"/>
      <c r="W39" s="16"/>
      <c r="X39" s="16"/>
    </row>
    <row r="40" spans="1:24"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24"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24"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24" x14ac:dyDescent="0.25">
      <c r="A43" s="20"/>
      <c r="B43" s="20"/>
      <c r="C43" s="20"/>
      <c r="D43" s="20"/>
      <c r="E43" s="20"/>
      <c r="F43" s="20"/>
      <c r="G43" s="20"/>
      <c r="H43" s="20"/>
      <c r="I43" s="20"/>
      <c r="J43" s="20"/>
      <c r="K43" s="20"/>
      <c r="L43" s="20"/>
      <c r="M43" s="20"/>
      <c r="N43" s="20"/>
      <c r="O43" s="20"/>
      <c r="P43" s="20"/>
      <c r="Q43" s="20"/>
      <c r="R43" s="20"/>
      <c r="S43" s="20"/>
    </row>
    <row r="44" spans="1:24" x14ac:dyDescent="0.25">
      <c r="A44" s="20"/>
      <c r="B44" s="20"/>
      <c r="C44" s="20"/>
      <c r="D44" s="20"/>
      <c r="E44" s="20"/>
      <c r="F44" s="20"/>
      <c r="G44" s="20"/>
      <c r="H44" s="20"/>
      <c r="I44" s="20"/>
      <c r="J44" s="20"/>
      <c r="K44" s="20"/>
      <c r="L44" s="20"/>
      <c r="M44" s="20"/>
      <c r="N44" s="20"/>
      <c r="O44" s="20"/>
      <c r="P44" s="20"/>
      <c r="Q44" s="20"/>
      <c r="R44" s="20"/>
      <c r="S44" s="20"/>
    </row>
    <row r="45" spans="1:24" x14ac:dyDescent="0.25">
      <c r="A45" s="20"/>
      <c r="B45" s="20"/>
      <c r="C45" s="20"/>
      <c r="D45" s="20"/>
      <c r="E45" s="20"/>
      <c r="F45" s="20"/>
      <c r="G45" s="20"/>
      <c r="H45" s="20"/>
      <c r="I45" s="20"/>
      <c r="J45" s="20"/>
      <c r="K45" s="20"/>
      <c r="L45" s="20"/>
      <c r="M45" s="20"/>
      <c r="N45" s="20"/>
      <c r="O45" s="20"/>
      <c r="P45" s="20"/>
      <c r="Q45" s="20"/>
      <c r="R45" s="20"/>
      <c r="S45" s="20"/>
    </row>
    <row r="46" spans="1:24" x14ac:dyDescent="0.25">
      <c r="A46" s="20"/>
      <c r="B46" s="20"/>
      <c r="C46" s="20"/>
      <c r="D46" s="20"/>
      <c r="E46" s="20"/>
      <c r="F46" s="20"/>
      <c r="G46" s="20"/>
      <c r="H46" s="20"/>
      <c r="I46" s="20"/>
      <c r="J46" s="20"/>
      <c r="K46" s="20"/>
      <c r="L46" s="20"/>
      <c r="M46" s="20"/>
      <c r="N46" s="20"/>
      <c r="O46" s="20"/>
      <c r="P46" s="20"/>
      <c r="Q46" s="20"/>
      <c r="R46" s="20"/>
      <c r="S46" s="20"/>
    </row>
    <row r="47" spans="1:24" x14ac:dyDescent="0.25">
      <c r="A47" s="20"/>
      <c r="B47" s="20"/>
      <c r="C47" s="20"/>
      <c r="D47" s="20"/>
      <c r="E47" s="20"/>
      <c r="F47" s="20"/>
      <c r="G47" s="20"/>
      <c r="H47" s="20"/>
      <c r="I47" s="20"/>
      <c r="J47" s="20"/>
      <c r="K47" s="20"/>
      <c r="L47" s="20"/>
      <c r="M47" s="20"/>
      <c r="N47" s="20"/>
      <c r="O47" s="20"/>
      <c r="P47" s="20"/>
      <c r="Q47" s="20"/>
      <c r="R47" s="20"/>
      <c r="S47" s="20"/>
    </row>
    <row r="48" spans="1:24"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update(40000)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1 16 2018 4 08 37 PM.txt')</v>
      </c>
    </row>
    <row r="46" spans="1:1" x14ac:dyDescent="0.25">
      <c r="A46" t="str">
        <f ca="1">IF(auto_run,CONCATENATE("save('",SUBSTITUTE(results_directory,"\","/"),FEresults_name,TEXT(date_time," m d yyyy h mm ss AM/PM"),".odc')"),"")</f>
        <v>save('C:/WinBUGS Results/Fixed Effect Results 1 16 2018 4 08 37 PM.odc')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update(40000)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1 16 2018 4 08 37 PM.txt')</v>
      </c>
    </row>
    <row r="46" spans="1:1" x14ac:dyDescent="0.25">
      <c r="A46" t="str">
        <f ca="1">IF(auto_run,CONCATENATE("save('",SUBSTITUTE(results_directory,"\","/"),REresults_name,TEXT(date_time," m d yyyy h mm ss AM/PM"),".odc')"),"")</f>
        <v>save('C:/WinBUGS Results/Random Effect Results (Vague ) 1 16 2018 4 08 37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update(40000)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1 16 2018 4 08 37 PM.txt')</v>
      </c>
    </row>
    <row r="32" spans="1:1" x14ac:dyDescent="0.25">
      <c r="A32" t="str">
        <f ca="1">IF(auto_run,CONCATENATE("save('",SUBSTITUTE(results_directory,"\","/"),"Inconsistency ",FEresults_name,TEXT(date_time," m d yyyy h mm ss AM/PM"),".odc')"),"")</f>
        <v>save('C:/WinBUGS Results/Inconsistency Fixed Effect Results 1 16 2018 4 08 37 PM.odc')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update(40000)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1 16 2018 4 08 37 PM.txt')</v>
      </c>
    </row>
    <row r="31" spans="1:1" x14ac:dyDescent="0.25">
      <c r="A31" t="str">
        <f ca="1">IF(auto_run,CONCATENATE("save('",SUBSTITUTE(results_directory,"\","/"),"Inconsistency ",REresults_name,TEXT(date_time," m d yyyy h mm ss AM/PM"),".odc')"),"")</f>
        <v>save('C:/WinBUGS Results/Inconsistency Random Effect Results (Vague ) 1 16 2018 4 08 37 PM.odc')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322</v>
      </c>
    </row>
    <row r="5" spans="1:8" x14ac:dyDescent="0.25">
      <c r="B5" t="s">
        <v>28</v>
      </c>
      <c r="G5" t="s">
        <v>325</v>
      </c>
    </row>
    <row r="6" spans="1:8" x14ac:dyDescent="0.25">
      <c r="B6" t="s">
        <v>79</v>
      </c>
      <c r="G6" t="s">
        <v>326</v>
      </c>
    </row>
    <row r="7" spans="1:8" x14ac:dyDescent="0.25">
      <c r="C7" t="s">
        <v>87</v>
      </c>
    </row>
    <row r="8" spans="1:8" x14ac:dyDescent="0.25">
      <c r="C8" t="s">
        <v>141</v>
      </c>
    </row>
    <row r="9" spans="1:8" x14ac:dyDescent="0.25">
      <c r="A9" t="s">
        <v>80</v>
      </c>
      <c r="C9" t="s">
        <v>316</v>
      </c>
      <c r="H9" t="s">
        <v>324</v>
      </c>
    </row>
    <row r="10" spans="1:8" x14ac:dyDescent="0.25">
      <c r="C10" t="s">
        <v>317</v>
      </c>
      <c r="H10" t="s">
        <v>323</v>
      </c>
    </row>
    <row r="11" spans="1:8" x14ac:dyDescent="0.25">
      <c r="C11" t="s">
        <v>328</v>
      </c>
    </row>
    <row r="12" spans="1:8" x14ac:dyDescent="0.25">
      <c r="C12" t="s">
        <v>327</v>
      </c>
    </row>
    <row r="13" spans="1:8" x14ac:dyDescent="0.25">
      <c r="C13" t="s">
        <v>29</v>
      </c>
    </row>
    <row r="14" spans="1:8" x14ac:dyDescent="0.25">
      <c r="B14" t="s">
        <v>321</v>
      </c>
      <c r="F14" t="s">
        <v>320</v>
      </c>
    </row>
    <row r="15" spans="1:8" x14ac:dyDescent="0.25">
      <c r="A15" t="s">
        <v>82</v>
      </c>
      <c r="B15" t="s">
        <v>83</v>
      </c>
    </row>
    <row r="16" spans="1:8" x14ac:dyDescent="0.25">
      <c r="B16" t="s">
        <v>329</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350</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7" t="str">
        <f>"Fixed Effects"</f>
        <v>Fixed Effects</v>
      </c>
      <c r="G3" s="277"/>
      <c r="H3" s="277"/>
      <c r="I3" s="277"/>
      <c r="J3" s="277"/>
      <c r="K3" s="277"/>
      <c r="L3" s="277"/>
      <c r="N3" s="277" t="str">
        <f>"Fixed Effects"</f>
        <v>Fixed Effects</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x14ac:dyDescent="0.25">
      <c r="K6" s="59" t="str">
        <f t="shared" si="0"/>
        <v>0.00 (0.00 – 0.00)</v>
      </c>
      <c r="L6" s="16" t="str">
        <f t="shared" si="1"/>
        <v>0.00
(0.00 – 0.00)</v>
      </c>
      <c r="N6" s="59"/>
      <c r="O6" s="16"/>
    </row>
    <row r="7" spans="1:20" x14ac:dyDescent="0.25">
      <c r="B7" s="19"/>
      <c r="C7" s="19"/>
      <c r="K7" s="59" t="str">
        <f t="shared" si="0"/>
        <v>0.00 (0.00 – 0.00)</v>
      </c>
      <c r="L7" s="16" t="str">
        <f t="shared" si="1"/>
        <v>0.00
(0.00 – 0.00)</v>
      </c>
      <c r="N7" s="59"/>
      <c r="O7" s="16"/>
    </row>
    <row r="8" spans="1:20" x14ac:dyDescent="0.25">
      <c r="B8" s="19"/>
      <c r="C8" s="19"/>
      <c r="E8" s="57"/>
      <c r="F8" s="57"/>
      <c r="G8" s="57"/>
      <c r="H8" s="57"/>
      <c r="I8" s="57"/>
      <c r="J8" s="57"/>
      <c r="K8" s="59" t="str">
        <f t="shared" si="0"/>
        <v>0.00 (0.00 – 0.00)</v>
      </c>
      <c r="L8" s="16" t="str">
        <f t="shared" si="1"/>
        <v>0.00
(0.00 – 0.00)</v>
      </c>
      <c r="N8" s="59"/>
      <c r="O8" s="16"/>
    </row>
    <row r="9" spans="1:20" x14ac:dyDescent="0.25">
      <c r="E9" s="57"/>
      <c r="F9" s="57"/>
      <c r="G9" s="57"/>
      <c r="H9" s="57"/>
      <c r="I9" s="57"/>
      <c r="J9" s="57"/>
      <c r="K9" s="59" t="str">
        <f t="shared" si="0"/>
        <v>0.00 (0.00 – 0.00)</v>
      </c>
      <c r="L9" s="16" t="str">
        <f t="shared" si="1"/>
        <v>0.00
(0.00 – 0.00)</v>
      </c>
      <c r="N9" s="59"/>
      <c r="O9" s="16"/>
    </row>
    <row r="10" spans="1:20" x14ac:dyDescent="0.25">
      <c r="E10" s="57"/>
      <c r="F10" s="57"/>
      <c r="G10" s="57"/>
      <c r="H10" s="57"/>
      <c r="I10" s="57"/>
      <c r="J10" s="57"/>
      <c r="K10" s="59" t="str">
        <f t="shared" si="0"/>
        <v>0.00 (0.00 – 0.00)</v>
      </c>
      <c r="L10" s="16" t="str">
        <f t="shared" si="1"/>
        <v>0.00
(0.00 – 0.00)</v>
      </c>
      <c r="N10" s="59"/>
      <c r="O10" s="16"/>
    </row>
    <row r="11" spans="1:20" x14ac:dyDescent="0.25">
      <c r="B11" s="19"/>
      <c r="C11" s="19"/>
      <c r="F11" s="59"/>
      <c r="G11" s="54"/>
      <c r="H11" s="16"/>
      <c r="I11" s="16"/>
      <c r="J11" s="16"/>
      <c r="K11" s="59" t="str">
        <f t="shared" si="0"/>
        <v>0.00 (0.00 – 0.00)</v>
      </c>
      <c r="L11" s="16" t="str">
        <f t="shared" si="1"/>
        <v>0.00
(0.00 – 0.00)</v>
      </c>
      <c r="N11" s="59"/>
      <c r="O11" s="16"/>
    </row>
    <row r="12" spans="1:20" x14ac:dyDescent="0.25">
      <c r="F12" s="59"/>
      <c r="G12" s="54"/>
      <c r="H12" s="16"/>
      <c r="I12" s="16"/>
      <c r="J12" s="16"/>
      <c r="K12" s="59" t="str">
        <f t="shared" si="0"/>
        <v>0.00 (0.00 – 0.00)</v>
      </c>
      <c r="L12" s="16" t="str">
        <f t="shared" si="1"/>
        <v>0.00
(0.00 – 0.00)</v>
      </c>
      <c r="N12" s="59"/>
      <c r="O12" s="16"/>
    </row>
    <row r="13" spans="1:20" x14ac:dyDescent="0.25">
      <c r="B13" s="19"/>
      <c r="C13" s="19"/>
      <c r="F13" s="59"/>
      <c r="G13" s="54"/>
      <c r="H13" s="16"/>
      <c r="I13" s="16"/>
      <c r="J13" s="16"/>
      <c r="K13" s="59" t="str">
        <f t="shared" si="0"/>
        <v>0.00 (0.00 – 0.00)</v>
      </c>
      <c r="L13" s="16" t="str">
        <f t="shared" si="1"/>
        <v>0.00
(0.00 – 0.00)</v>
      </c>
      <c r="N13" s="59"/>
      <c r="O13" s="16"/>
    </row>
    <row r="14" spans="1:20" x14ac:dyDescent="0.25">
      <c r="F14" s="59"/>
      <c r="G14" s="54"/>
      <c r="H14" s="16"/>
      <c r="I14" s="16"/>
      <c r="J14" s="16"/>
      <c r="K14" s="59" t="str">
        <f t="shared" si="0"/>
        <v>0.00 (0.00 – 0.00)</v>
      </c>
      <c r="L14" s="16" t="str">
        <f t="shared" si="1"/>
        <v>0.00
(0.00 – 0.00)</v>
      </c>
      <c r="N14" s="59"/>
      <c r="O14" s="16"/>
    </row>
    <row r="15" spans="1:20" ht="15" customHeight="1" x14ac:dyDescent="0.25">
      <c r="K15" s="59" t="str">
        <f t="shared" si="0"/>
        <v>0.00 (0.00 – 0.00)</v>
      </c>
      <c r="L15" s="16" t="str">
        <f t="shared" si="1"/>
        <v>0.00
(0.00 – 0.00)</v>
      </c>
      <c r="N15" s="59"/>
      <c r="O15" s="16"/>
    </row>
    <row r="16" spans="1:20" ht="15" customHeight="1" x14ac:dyDescent="0.25">
      <c r="E16" s="57"/>
      <c r="F16" s="57"/>
      <c r="G16" s="57"/>
      <c r="H16" s="57"/>
      <c r="I16" s="57"/>
      <c r="J16" s="57"/>
      <c r="K16" s="59" t="str">
        <f t="shared" si="0"/>
        <v>0.00 (0.00 – 0.00)</v>
      </c>
      <c r="L16" s="16" t="str">
        <f t="shared" si="1"/>
        <v>0.00
(0.00 – 0.00)</v>
      </c>
      <c r="N16" s="59"/>
      <c r="O16" s="16"/>
    </row>
    <row r="17" spans="5:15" ht="15" customHeight="1" x14ac:dyDescent="0.25">
      <c r="E17" s="57"/>
      <c r="F17" s="57"/>
      <c r="G17" s="57"/>
      <c r="H17" s="57"/>
      <c r="I17" s="57"/>
      <c r="J17" s="57"/>
      <c r="K17" s="59" t="str">
        <f t="shared" si="0"/>
        <v>0.00 (0.00 – 0.00)</v>
      </c>
      <c r="L17" s="16" t="str">
        <f t="shared" si="1"/>
        <v>0.00
(0.00 – 0.00)</v>
      </c>
      <c r="N17" s="59"/>
      <c r="O17" s="16"/>
    </row>
    <row r="18" spans="5:15" ht="15" customHeight="1" x14ac:dyDescent="0.25">
      <c r="E18" s="57"/>
      <c r="F18" s="57"/>
      <c r="G18" s="57"/>
      <c r="H18" s="57"/>
      <c r="I18" s="57"/>
      <c r="J18" s="57"/>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K20" s="59" t="str">
        <f t="shared" si="0"/>
        <v>0.00 (0.00 – 0.00)</v>
      </c>
      <c r="L20" s="16" t="str">
        <f t="shared" si="1"/>
        <v>0.00
(0.00 – 0.00)</v>
      </c>
      <c r="N20" s="59"/>
      <c r="O20" s="16"/>
    </row>
    <row r="21" spans="5:15" ht="15" customHeight="1" x14ac:dyDescent="0.25">
      <c r="K21" s="59" t="str">
        <f t="shared" si="0"/>
        <v>0.00 (0.00 – 0.00)</v>
      </c>
      <c r="L21" s="16" t="str">
        <f t="shared" si="1"/>
        <v>0.00
(0.00 – 0.00)</v>
      </c>
      <c r="N21" s="59"/>
      <c r="O21" s="16"/>
    </row>
    <row r="22" spans="5:15" ht="15" customHeight="1" x14ac:dyDescent="0.25">
      <c r="K22" s="59" t="str">
        <f t="shared" si="0"/>
        <v>0.00 (0.00 – 0.00)</v>
      </c>
      <c r="L22" s="16" t="str">
        <f t="shared" si="1"/>
        <v>0.00
(0.00 – 0.00)</v>
      </c>
      <c r="N22" s="59"/>
      <c r="O22" s="16"/>
    </row>
    <row r="23" spans="5:15" ht="15" customHeight="1" x14ac:dyDescent="0.25">
      <c r="F23" s="59"/>
      <c r="G23" s="54"/>
      <c r="H23" s="16"/>
      <c r="I23" s="16"/>
      <c r="J23" s="16"/>
      <c r="K23" s="59" t="str">
        <f t="shared" si="0"/>
        <v>0.00 (0.00 – 0.00)</v>
      </c>
      <c r="L23" s="16" t="str">
        <f t="shared" si="1"/>
        <v>0.00
(0.00 – 0.00)</v>
      </c>
      <c r="N23" s="59"/>
      <c r="O23" s="16"/>
    </row>
    <row r="24" spans="5:15" ht="15" customHeight="1" x14ac:dyDescent="0.25">
      <c r="K24" s="59" t="str">
        <f t="shared" si="0"/>
        <v>0.00 (0.00 – 0.00)</v>
      </c>
      <c r="L24" s="16" t="str">
        <f t="shared" si="1"/>
        <v>0.00
(0.00 – 0.00)</v>
      </c>
      <c r="N24" s="59"/>
      <c r="O24" s="16"/>
    </row>
    <row r="25" spans="5:15" ht="15" customHeight="1" x14ac:dyDescent="0.25">
      <c r="E25" s="57"/>
      <c r="F25" s="57"/>
      <c r="G25" s="57"/>
      <c r="H25" s="57"/>
      <c r="I25" s="57"/>
      <c r="J25" s="57"/>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E27" s="57"/>
      <c r="F27" s="57"/>
      <c r="G27" s="57"/>
      <c r="H27" s="57"/>
      <c r="I27" s="57"/>
      <c r="J27" s="57"/>
      <c r="K27" s="59" t="str">
        <f t="shared" si="0"/>
        <v>0.00 (0.00 – 0.00)</v>
      </c>
      <c r="L27" s="16" t="str">
        <f t="shared" si="1"/>
        <v>0.00
(0.00 – 0.00)</v>
      </c>
      <c r="N27" s="59"/>
      <c r="O27" s="16"/>
    </row>
    <row r="28" spans="5:15" ht="15" customHeight="1" x14ac:dyDescent="0.25">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K30" s="59" t="str">
        <f t="shared" si="0"/>
        <v>0.00 (0.00 – 0.00)</v>
      </c>
      <c r="L30" s="16" t="str">
        <f t="shared" si="1"/>
        <v>0.00
(0.00 – 0.00)</v>
      </c>
      <c r="N30" s="59"/>
      <c r="O30" s="16"/>
    </row>
    <row r="31" spans="5:15" ht="15" customHeight="1" x14ac:dyDescent="0.25">
      <c r="E31" s="57"/>
      <c r="F31" s="57"/>
      <c r="G31" s="57"/>
      <c r="H31" s="57"/>
      <c r="I31" s="57"/>
      <c r="J31" s="57"/>
      <c r="K31" s="59" t="str">
        <f t="shared" si="0"/>
        <v>0.00 (0.00 – 0.00)</v>
      </c>
      <c r="L31" s="16" t="str">
        <f t="shared" si="1"/>
        <v>0.00
(0.00 – 0.00)</v>
      </c>
      <c r="N31" s="59"/>
      <c r="O31" s="16"/>
    </row>
    <row r="32" spans="5: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E35" s="57"/>
      <c r="F35" s="57"/>
      <c r="G35" s="57"/>
      <c r="H35" s="57"/>
      <c r="I35" s="57"/>
      <c r="J35" s="57"/>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F37" s="59"/>
      <c r="G37" s="54"/>
      <c r="H37" s="16"/>
      <c r="I37" s="16"/>
      <c r="J37" s="16"/>
      <c r="K37" s="59" t="str">
        <f t="shared" si="0"/>
        <v>0.00 (0.00 – 0.00)</v>
      </c>
      <c r="L37" s="16" t="str">
        <f t="shared" si="1"/>
        <v>0.00
(0.00 – 0.00)</v>
      </c>
      <c r="M37" s="57"/>
      <c r="N37" s="59"/>
      <c r="O37" s="16"/>
    </row>
    <row r="38" spans="3:15" ht="15" customHeight="1" x14ac:dyDescent="0.25">
      <c r="C38" s="56"/>
      <c r="D38" s="57"/>
      <c r="F38" s="59"/>
      <c r="G38" s="54"/>
      <c r="H38" s="16"/>
      <c r="I38" s="16"/>
      <c r="J38" s="16"/>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K40" s="59" t="str">
        <f t="shared" si="0"/>
        <v>0.00 (0.00 – 0.00)</v>
      </c>
      <c r="L40" s="16" t="str">
        <f t="shared" si="1"/>
        <v>0.00
(0.00 – 0.00)</v>
      </c>
      <c r="M40" s="57"/>
      <c r="N40" s="59"/>
      <c r="O40" s="16"/>
    </row>
    <row r="41" spans="3:15" ht="15" customHeight="1" x14ac:dyDescent="0.25">
      <c r="C41" s="56"/>
      <c r="D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F43" s="59"/>
      <c r="G43" s="54"/>
      <c r="H43" s="16"/>
      <c r="I43" s="16"/>
      <c r="J43" s="16"/>
      <c r="K43" s="59" t="str">
        <f t="shared" si="0"/>
        <v>0.00 (0.00 – 0.00)</v>
      </c>
      <c r="L43" s="16" t="str">
        <f t="shared" si="1"/>
        <v>0.00
(0.00 – 0.00)</v>
      </c>
      <c r="M43" s="57"/>
      <c r="N43" s="59"/>
      <c r="O43" s="16"/>
    </row>
    <row r="44" spans="3:15" ht="15" customHeight="1" x14ac:dyDescent="0.25">
      <c r="C44" s="56"/>
      <c r="D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K46" s="59" t="str">
        <f t="shared" si="0"/>
        <v>0.00 (0.00 – 0.00)</v>
      </c>
      <c r="L46" s="16" t="str">
        <f t="shared" si="1"/>
        <v>0.00
(0.00 – 0.00)</v>
      </c>
      <c r="M46" s="57"/>
      <c r="N46" s="59"/>
      <c r="O46" s="16"/>
    </row>
    <row r="47" spans="3:15" ht="15" customHeight="1" x14ac:dyDescent="0.25">
      <c r="C47" s="56"/>
      <c r="D47" s="57"/>
      <c r="K47" s="59" t="str">
        <f t="shared" si="0"/>
        <v>0.00 (0.00 – 0.00)</v>
      </c>
      <c r="L47" s="16" t="str">
        <f t="shared" si="1"/>
        <v>0.00
(0.00 – 0.00)</v>
      </c>
      <c r="M47" s="57"/>
      <c r="N47" s="59"/>
      <c r="O47" s="16"/>
    </row>
    <row r="48" spans="3:15" ht="15" customHeight="1" x14ac:dyDescent="0.25">
      <c r="C48" s="56"/>
      <c r="D48" s="57"/>
      <c r="K48" s="59" t="str">
        <f t="shared" si="0"/>
        <v>0.00 (0.00 – 0.00)</v>
      </c>
      <c r="L48" s="16" t="str">
        <f t="shared" si="1"/>
        <v>0.00
(0.00 – 0.00)</v>
      </c>
      <c r="M48" s="57"/>
      <c r="N48" s="59"/>
      <c r="O48" s="16"/>
    </row>
    <row r="49" spans="3:15" ht="15"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330</v>
      </c>
    </row>
    <row r="6" spans="1:7" x14ac:dyDescent="0.25">
      <c r="B6" t="s">
        <v>99</v>
      </c>
      <c r="D6" t="s">
        <v>331</v>
      </c>
    </row>
    <row r="7" spans="1:7" x14ac:dyDescent="0.25">
      <c r="B7" t="s">
        <v>332</v>
      </c>
      <c r="G7" t="s">
        <v>325</v>
      </c>
    </row>
    <row r="8" spans="1:7" x14ac:dyDescent="0.25">
      <c r="B8" t="s">
        <v>100</v>
      </c>
      <c r="G8" t="s">
        <v>326</v>
      </c>
    </row>
    <row r="9" spans="1:7" x14ac:dyDescent="0.25">
      <c r="C9" t="s">
        <v>78</v>
      </c>
    </row>
    <row r="10" spans="1:7" x14ac:dyDescent="0.25">
      <c r="B10" t="s">
        <v>101</v>
      </c>
      <c r="C10" t="s">
        <v>334</v>
      </c>
      <c r="G10" t="s">
        <v>335</v>
      </c>
    </row>
    <row r="11" spans="1:7" x14ac:dyDescent="0.25">
      <c r="A11" t="s">
        <v>102</v>
      </c>
      <c r="C11" t="s">
        <v>333</v>
      </c>
      <c r="G11" t="s">
        <v>324</v>
      </c>
    </row>
    <row r="12" spans="1:7" x14ac:dyDescent="0.25">
      <c r="A12" t="s">
        <v>80</v>
      </c>
      <c r="C12" t="s">
        <v>336</v>
      </c>
      <c r="G12" t="s">
        <v>323</v>
      </c>
    </row>
    <row r="13" spans="1:7" x14ac:dyDescent="0.25">
      <c r="B13" t="s">
        <v>103</v>
      </c>
      <c r="C13" t="s">
        <v>328</v>
      </c>
    </row>
    <row r="14" spans="1:7" x14ac:dyDescent="0.25">
      <c r="C14" t="s">
        <v>337</v>
      </c>
    </row>
    <row r="15" spans="1:7" x14ac:dyDescent="0.25">
      <c r="C15" t="s">
        <v>29</v>
      </c>
    </row>
    <row r="16" spans="1:7" x14ac:dyDescent="0.25">
      <c r="C16" t="s">
        <v>321</v>
      </c>
      <c r="G16" t="s">
        <v>338</v>
      </c>
    </row>
    <row r="17" spans="1:7" x14ac:dyDescent="0.25">
      <c r="C17" t="s">
        <v>104</v>
      </c>
      <c r="G17" t="s">
        <v>349</v>
      </c>
    </row>
    <row r="18" spans="1:7" x14ac:dyDescent="0.25">
      <c r="C18" t="s">
        <v>81</v>
      </c>
    </row>
    <row r="19" spans="1:7" x14ac:dyDescent="0.25">
      <c r="A19" t="s">
        <v>103</v>
      </c>
      <c r="C19" t="s">
        <v>339</v>
      </c>
      <c r="G19" t="s">
        <v>348</v>
      </c>
    </row>
    <row r="20" spans="1:7" x14ac:dyDescent="0.25">
      <c r="A20" t="s">
        <v>103</v>
      </c>
      <c r="C20" t="s">
        <v>340</v>
      </c>
      <c r="G20" t="s">
        <v>347</v>
      </c>
    </row>
    <row r="21" spans="1:7" x14ac:dyDescent="0.25">
      <c r="A21" t="s">
        <v>80</v>
      </c>
      <c r="C21" t="s">
        <v>341</v>
      </c>
      <c r="G21" t="s">
        <v>346</v>
      </c>
    </row>
    <row r="22" spans="1:7" x14ac:dyDescent="0.25">
      <c r="A22" t="s">
        <v>102</v>
      </c>
      <c r="C22" t="s">
        <v>342</v>
      </c>
      <c r="G22" t="s">
        <v>345</v>
      </c>
    </row>
    <row r="23" spans="1:7" x14ac:dyDescent="0.25">
      <c r="A23" t="s">
        <v>105</v>
      </c>
      <c r="C23" t="s">
        <v>343</v>
      </c>
      <c r="G23" t="s">
        <v>344</v>
      </c>
    </row>
    <row r="24" spans="1:7" x14ac:dyDescent="0.25">
      <c r="C24" t="s">
        <v>30</v>
      </c>
    </row>
    <row r="25" spans="1:7" x14ac:dyDescent="0.25">
      <c r="A25" t="s">
        <v>82</v>
      </c>
      <c r="B25" t="s">
        <v>106</v>
      </c>
    </row>
    <row r="26" spans="1:7" x14ac:dyDescent="0.25">
      <c r="B26" s="149" t="s">
        <v>318</v>
      </c>
      <c r="E26" t="s">
        <v>319</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351</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7"/>
      <c r="G3" s="277"/>
      <c r="H3" s="277"/>
      <c r="I3" s="277"/>
      <c r="J3" s="277"/>
      <c r="K3" s="277"/>
      <c r="L3" s="277"/>
      <c r="N3" s="277"/>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54">
        <v>5</v>
      </c>
      <c r="C5" s="54">
        <v>3.4129999999999998</v>
      </c>
      <c r="E5" s="19">
        <v>5</v>
      </c>
      <c r="F5" s="59">
        <v>7</v>
      </c>
      <c r="G5" s="54" t="s">
        <v>731</v>
      </c>
      <c r="H5" s="16">
        <v>0.12504689258471927</v>
      </c>
      <c r="I5" s="16">
        <v>0.85324232081911267</v>
      </c>
      <c r="J5" s="16">
        <v>5.9844404548174746</v>
      </c>
      <c r="K5" s="59" t="str">
        <f>CONCATENATE(TEXT(I5,"0.00")," (",TEXT(H5,"0.00")," – ",TEXT(J5,"0.00"),")")</f>
        <v>0.85 (0.13 – 5.98)</v>
      </c>
      <c r="L5" s="16" t="str">
        <f>CONCATENATE(TEXT(I5,"0.00"),"
(",TEXT(H5,"0.00")," – ",TEXT(J5,"0.00"),")")</f>
        <v>0.85
(0.13 – 5.98)</v>
      </c>
      <c r="N5" s="59" t="s">
        <v>418</v>
      </c>
      <c r="O5" s="104" t="s">
        <v>681</v>
      </c>
      <c r="P5">
        <v>0.4909</v>
      </c>
      <c r="Q5">
        <v>0.89339999999999997</v>
      </c>
      <c r="R5">
        <v>1.6479999999999999</v>
      </c>
      <c r="S5">
        <v>2</v>
      </c>
      <c r="T5">
        <v>1</v>
      </c>
    </row>
    <row r="6" spans="1:20" x14ac:dyDescent="0.25">
      <c r="A6" t="s">
        <v>358</v>
      </c>
      <c r="B6" s="19">
        <v>7</v>
      </c>
      <c r="C6" s="19">
        <v>3.8919999999999999</v>
      </c>
      <c r="E6" s="19">
        <v>5</v>
      </c>
      <c r="F6" s="59">
        <v>6</v>
      </c>
      <c r="G6" s="54" t="s">
        <v>812</v>
      </c>
      <c r="H6" s="16">
        <v>0.11798017932987256</v>
      </c>
      <c r="I6" s="16">
        <v>0.77639751552795033</v>
      </c>
      <c r="J6" s="16">
        <v>5.173305742369374</v>
      </c>
      <c r="K6" s="59" t="str">
        <f t="shared" ref="K6:K69" si="0">CONCATENATE(TEXT(I6,"0.00")," (",TEXT(H6,"0.00")," – ",TEXT(J6,"0.00"),")")</f>
        <v>0.78 (0.12 – 5.17)</v>
      </c>
      <c r="L6" s="16" t="str">
        <f t="shared" ref="L6:L69" si="1">CONCATENATE(TEXT(I6,"0.00"),"
(",TEXT(H6,"0.00")," – ",TEXT(J6,"0.00"),")")</f>
        <v>0.78
(0.12 – 5.17)</v>
      </c>
      <c r="N6" s="59" t="s">
        <v>419</v>
      </c>
      <c r="O6" s="104" t="s">
        <v>682</v>
      </c>
      <c r="P6">
        <v>0.51319999999999999</v>
      </c>
      <c r="Q6">
        <v>0.93330000000000002</v>
      </c>
      <c r="R6">
        <v>1.6619999999999999</v>
      </c>
      <c r="S6">
        <v>3</v>
      </c>
      <c r="T6">
        <v>1</v>
      </c>
    </row>
    <row r="7" spans="1:20" x14ac:dyDescent="0.25">
      <c r="A7" t="s">
        <v>357</v>
      </c>
      <c r="B7" s="19">
        <v>6</v>
      </c>
      <c r="C7" s="19">
        <v>4.1340000000000003</v>
      </c>
      <c r="E7" s="19">
        <v>5</v>
      </c>
      <c r="F7" s="59">
        <v>2</v>
      </c>
      <c r="G7" s="54" t="s">
        <v>692</v>
      </c>
      <c r="H7" s="16">
        <v>0.13500000000000001</v>
      </c>
      <c r="I7" s="16">
        <v>0.58960000000000001</v>
      </c>
      <c r="J7" s="16">
        <v>2.4540000000000002</v>
      </c>
      <c r="K7" s="59" t="str">
        <f t="shared" si="0"/>
        <v>0.59 (0.14 – 2.45)</v>
      </c>
      <c r="L7" s="16" t="str">
        <f t="shared" si="1"/>
        <v>0.59
(0.14 – 2.45)</v>
      </c>
      <c r="N7" s="59" t="s">
        <v>420</v>
      </c>
      <c r="O7" s="104" t="s">
        <v>683</v>
      </c>
      <c r="P7">
        <v>0.46029999999999999</v>
      </c>
      <c r="Q7">
        <v>1.0169999999999999</v>
      </c>
      <c r="R7">
        <v>2.23</v>
      </c>
      <c r="S7">
        <v>4</v>
      </c>
      <c r="T7">
        <v>1</v>
      </c>
    </row>
    <row r="8" spans="1:20" x14ac:dyDescent="0.25">
      <c r="A8" t="s">
        <v>353</v>
      </c>
      <c r="B8" s="19">
        <v>2</v>
      </c>
      <c r="C8" s="19">
        <v>5.2930000000000001</v>
      </c>
      <c r="E8" s="19">
        <v>5</v>
      </c>
      <c r="F8" s="59">
        <v>3</v>
      </c>
      <c r="G8" s="54" t="s">
        <v>699</v>
      </c>
      <c r="H8" s="16">
        <v>0.11940000000000001</v>
      </c>
      <c r="I8" s="16">
        <v>0.5675</v>
      </c>
      <c r="J8" s="16">
        <v>2.637</v>
      </c>
      <c r="K8" s="59" t="str">
        <f t="shared" si="0"/>
        <v>0.57 (0.12 – 2.64)</v>
      </c>
      <c r="L8" s="16" t="str">
        <f t="shared" si="1"/>
        <v>0.57
(0.12 – 2.64)</v>
      </c>
      <c r="N8" s="59" t="s">
        <v>421</v>
      </c>
      <c r="O8" s="104" t="s">
        <v>684</v>
      </c>
      <c r="P8">
        <v>0.1066</v>
      </c>
      <c r="Q8">
        <v>0.53200000000000003</v>
      </c>
      <c r="R8">
        <v>2.4990000000000001</v>
      </c>
      <c r="S8">
        <v>5</v>
      </c>
      <c r="T8">
        <v>1</v>
      </c>
    </row>
    <row r="9" spans="1:20" x14ac:dyDescent="0.25">
      <c r="A9" t="s">
        <v>354</v>
      </c>
      <c r="B9" s="54">
        <v>3</v>
      </c>
      <c r="C9" s="54">
        <v>5.5659999999999998</v>
      </c>
      <c r="E9" s="19">
        <v>5</v>
      </c>
      <c r="F9" s="59">
        <v>8</v>
      </c>
      <c r="G9" s="54" t="s">
        <v>730</v>
      </c>
      <c r="H9" s="16">
        <v>4.0257648953301127E-4</v>
      </c>
      <c r="I9" s="16">
        <v>0.43630017452006986</v>
      </c>
      <c r="J9" s="16">
        <v>124.54851164528584</v>
      </c>
      <c r="K9" s="59" t="str">
        <f t="shared" si="0"/>
        <v>0.44 (0.00 – 124.55)</v>
      </c>
      <c r="L9" s="16" t="str">
        <f t="shared" si="1"/>
        <v>0.44
(0.00 – 124.55)</v>
      </c>
      <c r="N9" s="59" t="s">
        <v>422</v>
      </c>
      <c r="O9" s="104" t="s">
        <v>685</v>
      </c>
      <c r="P9">
        <v>0.18970000000000001</v>
      </c>
      <c r="Q9">
        <v>0.68389999999999995</v>
      </c>
      <c r="R9">
        <v>2.34</v>
      </c>
      <c r="S9">
        <v>6</v>
      </c>
      <c r="T9">
        <v>1</v>
      </c>
    </row>
    <row r="10" spans="1:20" x14ac:dyDescent="0.25">
      <c r="A10" t="s">
        <v>359</v>
      </c>
      <c r="B10" s="54">
        <v>8</v>
      </c>
      <c r="C10" s="54">
        <v>5.9619999999999997</v>
      </c>
      <c r="E10" s="19">
        <v>5</v>
      </c>
      <c r="F10" s="59">
        <v>1</v>
      </c>
      <c r="G10" s="54" t="s">
        <v>684</v>
      </c>
      <c r="H10" s="16">
        <v>0.1066</v>
      </c>
      <c r="I10" s="16">
        <v>0.53200000000000003</v>
      </c>
      <c r="J10" s="16">
        <v>2.4990000000000001</v>
      </c>
      <c r="K10" s="59" t="str">
        <f t="shared" si="0"/>
        <v>0.53 (0.11 – 2.50)</v>
      </c>
      <c r="L10" s="16" t="str">
        <f t="shared" si="1"/>
        <v>0.53
(0.11 – 2.50)</v>
      </c>
      <c r="N10" s="59" t="s">
        <v>423</v>
      </c>
      <c r="O10" s="104" t="s">
        <v>686</v>
      </c>
      <c r="P10">
        <v>0.14269999999999999</v>
      </c>
      <c r="Q10">
        <v>0.61699999999999999</v>
      </c>
      <c r="R10">
        <v>2.5289999999999999</v>
      </c>
      <c r="S10">
        <v>7</v>
      </c>
      <c r="T10">
        <v>1</v>
      </c>
    </row>
    <row r="11" spans="1:20" x14ac:dyDescent="0.25">
      <c r="A11" t="s">
        <v>352</v>
      </c>
      <c r="B11" s="54">
        <v>1</v>
      </c>
      <c r="C11" s="54">
        <v>6.133</v>
      </c>
      <c r="E11" s="19">
        <v>5</v>
      </c>
      <c r="F11" s="59">
        <v>10</v>
      </c>
      <c r="G11" s="54" t="s">
        <v>732</v>
      </c>
      <c r="H11" s="16">
        <v>0.10903936321011887</v>
      </c>
      <c r="I11" s="16">
        <v>0.52770448548812665</v>
      </c>
      <c r="J11" s="16">
        <v>2.4906600249066</v>
      </c>
      <c r="K11" s="59" t="str">
        <f t="shared" si="0"/>
        <v>0.53 (0.11 – 2.49)</v>
      </c>
      <c r="L11" s="16" t="str">
        <f t="shared" si="1"/>
        <v>0.53
(0.11 – 2.49)</v>
      </c>
      <c r="N11" s="59" t="s">
        <v>424</v>
      </c>
      <c r="O11" s="104" t="s">
        <v>687</v>
      </c>
      <c r="P11">
        <v>4.8120000000000003E-3</v>
      </c>
      <c r="Q11">
        <v>1.2010000000000001</v>
      </c>
      <c r="R11">
        <v>1294</v>
      </c>
      <c r="S11">
        <v>8</v>
      </c>
      <c r="T11">
        <v>1</v>
      </c>
    </row>
    <row r="12" spans="1:20" x14ac:dyDescent="0.25">
      <c r="A12" t="s">
        <v>361</v>
      </c>
      <c r="B12" s="19">
        <v>10</v>
      </c>
      <c r="C12" s="19">
        <v>6.2309999999999999</v>
      </c>
      <c r="E12" s="19">
        <v>5</v>
      </c>
      <c r="F12" s="59">
        <v>4</v>
      </c>
      <c r="G12" s="54" t="s">
        <v>705</v>
      </c>
      <c r="H12" s="16">
        <v>9.8369999999999999E-2</v>
      </c>
      <c r="I12" s="16">
        <v>0.51629999999999998</v>
      </c>
      <c r="J12" s="16">
        <v>2.6890000000000001</v>
      </c>
      <c r="K12" s="59" t="str">
        <f t="shared" si="0"/>
        <v>0.52 (0.10 – 2.69)</v>
      </c>
      <c r="L12" s="16" t="str">
        <f t="shared" si="1"/>
        <v>0.52
(0.10 – 2.69)</v>
      </c>
      <c r="N12" s="59" t="s">
        <v>425</v>
      </c>
      <c r="O12" s="104" t="s">
        <v>688</v>
      </c>
      <c r="P12">
        <v>0.70730000000000004</v>
      </c>
      <c r="Q12">
        <v>1.38</v>
      </c>
      <c r="R12">
        <v>2.7719999999999998</v>
      </c>
      <c r="S12">
        <v>9</v>
      </c>
      <c r="T12">
        <v>1</v>
      </c>
    </row>
    <row r="13" spans="1:20" x14ac:dyDescent="0.25">
      <c r="A13" t="s">
        <v>355</v>
      </c>
      <c r="B13" s="19">
        <v>4</v>
      </c>
      <c r="C13" s="19">
        <v>6.2510000000000003</v>
      </c>
      <c r="E13" s="19">
        <v>5</v>
      </c>
      <c r="F13" s="59">
        <v>9</v>
      </c>
      <c r="G13" s="54" t="s">
        <v>729</v>
      </c>
      <c r="H13" s="16">
        <v>7.02247191011236E-2</v>
      </c>
      <c r="I13" s="16">
        <v>0.3829950210647261</v>
      </c>
      <c r="J13" s="16">
        <v>2.0136931131695532</v>
      </c>
      <c r="K13" s="59" t="str">
        <f t="shared" si="0"/>
        <v>0.38 (0.07 – 2.01)</v>
      </c>
      <c r="L13" s="16" t="str">
        <f t="shared" si="1"/>
        <v>0.38
(0.07 – 2.01)</v>
      </c>
      <c r="N13" s="59" t="s">
        <v>426</v>
      </c>
      <c r="O13" s="104" t="s">
        <v>689</v>
      </c>
      <c r="P13">
        <v>0.54139999999999999</v>
      </c>
      <c r="Q13">
        <v>1.002</v>
      </c>
      <c r="R13">
        <v>1.851</v>
      </c>
      <c r="S13">
        <v>10</v>
      </c>
      <c r="T13">
        <v>1</v>
      </c>
    </row>
    <row r="14" spans="1:20" x14ac:dyDescent="0.25">
      <c r="A14" t="s">
        <v>360</v>
      </c>
      <c r="B14" s="54">
        <v>9</v>
      </c>
      <c r="C14" s="54">
        <v>8.125</v>
      </c>
      <c r="E14" s="19">
        <v>7</v>
      </c>
      <c r="F14" s="59">
        <v>6</v>
      </c>
      <c r="G14" s="54" t="s">
        <v>716</v>
      </c>
      <c r="H14" s="16">
        <v>0.15010000000000001</v>
      </c>
      <c r="I14" s="16">
        <v>0.90500000000000003</v>
      </c>
      <c r="J14" s="16">
        <v>5.5380000000000003</v>
      </c>
      <c r="K14" s="59" t="str">
        <f t="shared" si="0"/>
        <v>0.91 (0.15 – 5.54)</v>
      </c>
      <c r="L14" s="16" t="str">
        <f t="shared" si="1"/>
        <v>0.91
(0.15 – 5.54)</v>
      </c>
      <c r="N14" s="59" t="s">
        <v>427</v>
      </c>
      <c r="O14" s="104" t="s">
        <v>690</v>
      </c>
      <c r="P14">
        <v>0.61860000000000004</v>
      </c>
      <c r="Q14">
        <v>1.036</v>
      </c>
      <c r="R14">
        <v>1.7649999999999999</v>
      </c>
      <c r="S14">
        <v>3</v>
      </c>
      <c r="T14">
        <v>2</v>
      </c>
    </row>
    <row r="15" spans="1:20" ht="15" customHeight="1" x14ac:dyDescent="0.25">
      <c r="E15" s="19">
        <v>7</v>
      </c>
      <c r="F15" s="19">
        <v>2</v>
      </c>
      <c r="G15" s="19" t="s">
        <v>694</v>
      </c>
      <c r="H15" s="19">
        <v>0.18290000000000001</v>
      </c>
      <c r="I15" s="19">
        <v>0.69479999999999997</v>
      </c>
      <c r="J15" s="19">
        <v>2.3849999999999998</v>
      </c>
      <c r="K15" s="59" t="str">
        <f t="shared" si="0"/>
        <v>0.69 (0.18 – 2.39)</v>
      </c>
      <c r="L15" s="16" t="str">
        <f t="shared" si="1"/>
        <v>0.69
(0.18 – 2.39)</v>
      </c>
      <c r="N15" s="59" t="s">
        <v>428</v>
      </c>
      <c r="O15" s="16" t="s">
        <v>691</v>
      </c>
      <c r="P15">
        <v>0.49909999999999999</v>
      </c>
      <c r="Q15">
        <v>1.137</v>
      </c>
      <c r="R15">
        <v>2.589</v>
      </c>
      <c r="S15">
        <v>4</v>
      </c>
      <c r="T15">
        <v>2</v>
      </c>
    </row>
    <row r="16" spans="1:20" ht="15" customHeight="1" x14ac:dyDescent="0.25">
      <c r="E16" s="19">
        <v>7</v>
      </c>
      <c r="F16" s="19">
        <v>3</v>
      </c>
      <c r="G16" s="19" t="s">
        <v>701</v>
      </c>
      <c r="H16" s="19">
        <v>0.15679999999999999</v>
      </c>
      <c r="I16" s="19">
        <v>0.66639999999999999</v>
      </c>
      <c r="J16" s="19">
        <v>2.5779999999999998</v>
      </c>
      <c r="K16" s="59" t="str">
        <f t="shared" si="0"/>
        <v>0.67 (0.16 – 2.58)</v>
      </c>
      <c r="L16" s="16" t="str">
        <f t="shared" si="1"/>
        <v>0.67
(0.16 – 2.58)</v>
      </c>
      <c r="N16" s="59" t="s">
        <v>429</v>
      </c>
      <c r="O16" s="16" t="s">
        <v>692</v>
      </c>
      <c r="P16">
        <v>0.13500000000000001</v>
      </c>
      <c r="Q16">
        <v>0.58960000000000001</v>
      </c>
      <c r="R16">
        <v>2.4540000000000002</v>
      </c>
      <c r="S16">
        <v>5</v>
      </c>
      <c r="T16">
        <v>2</v>
      </c>
    </row>
    <row r="17" spans="5:20" ht="15" customHeight="1" x14ac:dyDescent="0.25">
      <c r="E17" s="19">
        <v>7</v>
      </c>
      <c r="F17" s="19">
        <v>8</v>
      </c>
      <c r="G17" s="19" t="s">
        <v>813</v>
      </c>
      <c r="H17" s="19">
        <v>4.248088360237893E-4</v>
      </c>
      <c r="I17" s="19">
        <v>0.50352467270896273</v>
      </c>
      <c r="J17" s="19">
        <v>145.22218995062445</v>
      </c>
      <c r="K17" s="59" t="str">
        <f t="shared" si="0"/>
        <v>0.50 (0.00 – 145.22)</v>
      </c>
      <c r="L17" s="16" t="str">
        <f t="shared" si="1"/>
        <v>0.50
(0.00 – 145.22)</v>
      </c>
      <c r="N17" s="59" t="s">
        <v>430</v>
      </c>
      <c r="O17" s="16" t="s">
        <v>693</v>
      </c>
      <c r="P17">
        <v>0.21229999999999999</v>
      </c>
      <c r="Q17">
        <v>0.75570000000000004</v>
      </c>
      <c r="R17">
        <v>2.5670000000000002</v>
      </c>
      <c r="S17">
        <v>6</v>
      </c>
      <c r="T17">
        <v>2</v>
      </c>
    </row>
    <row r="18" spans="5:20" ht="15" customHeight="1" x14ac:dyDescent="0.25">
      <c r="E18" s="19">
        <v>7</v>
      </c>
      <c r="F18" s="19">
        <v>1</v>
      </c>
      <c r="G18" s="19" t="s">
        <v>686</v>
      </c>
      <c r="H18" s="19">
        <v>0.14269999999999999</v>
      </c>
      <c r="I18" s="19">
        <v>0.61699999999999999</v>
      </c>
      <c r="J18" s="19">
        <v>2.5289999999999999</v>
      </c>
      <c r="K18" s="59" t="str">
        <f t="shared" si="0"/>
        <v>0.62 (0.14 – 2.53)</v>
      </c>
      <c r="L18" s="16" t="str">
        <f t="shared" si="1"/>
        <v>0.62
(0.14 – 2.53)</v>
      </c>
      <c r="N18" s="59" t="s">
        <v>431</v>
      </c>
      <c r="O18" s="16" t="s">
        <v>694</v>
      </c>
      <c r="P18">
        <v>0.18290000000000001</v>
      </c>
      <c r="Q18">
        <v>0.69479999999999997</v>
      </c>
      <c r="R18">
        <v>2.3849999999999998</v>
      </c>
      <c r="S18">
        <v>7</v>
      </c>
      <c r="T18">
        <v>2</v>
      </c>
    </row>
    <row r="19" spans="5:20" ht="15" customHeight="1" x14ac:dyDescent="0.25">
      <c r="E19" s="19">
        <v>7</v>
      </c>
      <c r="F19" s="19">
        <v>10</v>
      </c>
      <c r="G19" s="19" t="s">
        <v>741</v>
      </c>
      <c r="H19" s="19">
        <v>0.14398848092152627</v>
      </c>
      <c r="I19" s="19">
        <v>0.62073246430788331</v>
      </c>
      <c r="J19" s="19">
        <v>2.4330900243309004</v>
      </c>
      <c r="K19" s="59" t="str">
        <f t="shared" si="0"/>
        <v>0.62 (0.14 – 2.43)</v>
      </c>
      <c r="L19" s="16" t="str">
        <f t="shared" si="1"/>
        <v>0.62
(0.14 – 2.43)</v>
      </c>
      <c r="N19" s="59" t="s">
        <v>432</v>
      </c>
      <c r="O19" s="16" t="s">
        <v>695</v>
      </c>
      <c r="P19">
        <v>5.2180000000000004E-3</v>
      </c>
      <c r="Q19">
        <v>1.34</v>
      </c>
      <c r="R19">
        <v>1413</v>
      </c>
      <c r="S19">
        <v>8</v>
      </c>
      <c r="T19">
        <v>2</v>
      </c>
    </row>
    <row r="20" spans="5:20" ht="15" customHeight="1" x14ac:dyDescent="0.25">
      <c r="E20" s="19">
        <v>7</v>
      </c>
      <c r="F20" s="19">
        <v>4</v>
      </c>
      <c r="G20" s="19" t="s">
        <v>707</v>
      </c>
      <c r="H20" s="19">
        <v>0.1225</v>
      </c>
      <c r="I20" s="19">
        <v>0.61399999999999999</v>
      </c>
      <c r="J20" s="19">
        <v>2.81</v>
      </c>
      <c r="K20" s="59" t="str">
        <f t="shared" si="0"/>
        <v>0.61 (0.12 – 2.81)</v>
      </c>
      <c r="L20" s="16" t="str">
        <f t="shared" si="1"/>
        <v>0.61
(0.12 – 2.81)</v>
      </c>
      <c r="N20" s="59" t="s">
        <v>433</v>
      </c>
      <c r="O20" s="16" t="s">
        <v>696</v>
      </c>
      <c r="P20">
        <v>0.66320000000000001</v>
      </c>
      <c r="Q20">
        <v>1.54</v>
      </c>
      <c r="R20">
        <v>3.64</v>
      </c>
      <c r="S20">
        <v>9</v>
      </c>
      <c r="T20">
        <v>2</v>
      </c>
    </row>
    <row r="21" spans="5:20" ht="15" customHeight="1" x14ac:dyDescent="0.25">
      <c r="E21" s="19">
        <v>7</v>
      </c>
      <c r="F21" s="19">
        <v>9</v>
      </c>
      <c r="G21" s="19" t="s">
        <v>814</v>
      </c>
      <c r="H21" s="19">
        <v>9.0252707581227443E-2</v>
      </c>
      <c r="I21" s="19">
        <v>0.44662795891022783</v>
      </c>
      <c r="J21" s="19">
        <v>2.0639834881320951</v>
      </c>
      <c r="K21" s="59" t="str">
        <f t="shared" si="0"/>
        <v>0.45 (0.09 – 2.06)</v>
      </c>
      <c r="L21" s="16" t="str">
        <f t="shared" si="1"/>
        <v>0.45
(0.09 – 2.06)</v>
      </c>
      <c r="N21" s="59" t="s">
        <v>434</v>
      </c>
      <c r="O21" s="16" t="s">
        <v>697</v>
      </c>
      <c r="P21">
        <v>0.65210000000000001</v>
      </c>
      <c r="Q21">
        <v>1.121</v>
      </c>
      <c r="R21">
        <v>1.94</v>
      </c>
      <c r="S21">
        <v>10</v>
      </c>
      <c r="T21">
        <v>2</v>
      </c>
    </row>
    <row r="22" spans="5:20" ht="15" customHeight="1" x14ac:dyDescent="0.25">
      <c r="E22" s="19">
        <v>6</v>
      </c>
      <c r="F22" s="19">
        <v>2</v>
      </c>
      <c r="G22" s="19" t="s">
        <v>693</v>
      </c>
      <c r="H22" s="19">
        <v>0.21229999999999999</v>
      </c>
      <c r="I22" s="19">
        <v>0.75570000000000004</v>
      </c>
      <c r="J22" s="19">
        <v>2.5670000000000002</v>
      </c>
      <c r="K22" s="59" t="str">
        <f t="shared" si="0"/>
        <v>0.76 (0.21 – 2.57)</v>
      </c>
      <c r="L22" s="16" t="str">
        <f t="shared" si="1"/>
        <v>0.76
(0.21 – 2.57)</v>
      </c>
      <c r="N22" s="59" t="s">
        <v>435</v>
      </c>
      <c r="O22" s="16" t="s">
        <v>698</v>
      </c>
      <c r="P22">
        <v>0.53890000000000005</v>
      </c>
      <c r="Q22">
        <v>1.093</v>
      </c>
      <c r="R22">
        <v>2.2160000000000002</v>
      </c>
      <c r="S22">
        <v>4</v>
      </c>
      <c r="T22">
        <v>3</v>
      </c>
    </row>
    <row r="23" spans="5:20" ht="15" customHeight="1" x14ac:dyDescent="0.25">
      <c r="E23" s="19">
        <v>6</v>
      </c>
      <c r="F23" s="19">
        <v>3</v>
      </c>
      <c r="G23" s="19" t="s">
        <v>700</v>
      </c>
      <c r="H23" s="19">
        <v>0.23089999999999999</v>
      </c>
      <c r="I23" s="19">
        <v>0.72729999999999995</v>
      </c>
      <c r="J23" s="19">
        <v>2.1819999999999999</v>
      </c>
      <c r="K23" s="59" t="str">
        <f t="shared" si="0"/>
        <v>0.73 (0.23 – 2.18)</v>
      </c>
      <c r="L23" s="16" t="str">
        <f t="shared" si="1"/>
        <v>0.73
(0.23 – 2.18)</v>
      </c>
      <c r="N23" s="59" t="s">
        <v>436</v>
      </c>
      <c r="O23" s="16" t="s">
        <v>699</v>
      </c>
      <c r="P23">
        <v>0.11940000000000001</v>
      </c>
      <c r="Q23">
        <v>0.5675</v>
      </c>
      <c r="R23">
        <v>2.637</v>
      </c>
      <c r="S23">
        <v>5</v>
      </c>
      <c r="T23">
        <v>3</v>
      </c>
    </row>
    <row r="24" spans="5:20" ht="15" customHeight="1" x14ac:dyDescent="0.25">
      <c r="E24" s="19">
        <v>6</v>
      </c>
      <c r="F24" s="19">
        <v>8</v>
      </c>
      <c r="G24" s="19" t="s">
        <v>727</v>
      </c>
      <c r="H24" s="19">
        <v>4.8146364949446316E-4</v>
      </c>
      <c r="I24" s="19">
        <v>0.56148231330713083</v>
      </c>
      <c r="J24" s="19">
        <v>148.434021077631</v>
      </c>
      <c r="K24" s="59" t="str">
        <f t="shared" si="0"/>
        <v>0.56 (0.00 – 148.43)</v>
      </c>
      <c r="L24" s="16" t="str">
        <f t="shared" si="1"/>
        <v>0.56
(0.00 – 148.43)</v>
      </c>
      <c r="N24" s="59" t="s">
        <v>437</v>
      </c>
      <c r="O24" s="16" t="s">
        <v>700</v>
      </c>
      <c r="P24">
        <v>0.23089999999999999</v>
      </c>
      <c r="Q24">
        <v>0.72729999999999995</v>
      </c>
      <c r="R24">
        <v>2.1819999999999999</v>
      </c>
      <c r="S24">
        <v>6</v>
      </c>
      <c r="T24">
        <v>3</v>
      </c>
    </row>
    <row r="25" spans="5:20" ht="15" customHeight="1" x14ac:dyDescent="0.25">
      <c r="E25" s="19">
        <v>6</v>
      </c>
      <c r="F25" s="19">
        <v>1</v>
      </c>
      <c r="G25" s="19" t="s">
        <v>685</v>
      </c>
      <c r="H25" s="19">
        <v>0.18970000000000001</v>
      </c>
      <c r="I25" s="19">
        <v>0.68389999999999995</v>
      </c>
      <c r="J25" s="19">
        <v>2.34</v>
      </c>
      <c r="K25" s="59" t="str">
        <f t="shared" si="0"/>
        <v>0.68 (0.19 – 2.34)</v>
      </c>
      <c r="L25" s="16" t="str">
        <f t="shared" si="1"/>
        <v>0.68
(0.19 – 2.34)</v>
      </c>
      <c r="N25" s="59" t="s">
        <v>438</v>
      </c>
      <c r="O25" s="16" t="s">
        <v>701</v>
      </c>
      <c r="P25">
        <v>0.15679999999999999</v>
      </c>
      <c r="Q25">
        <v>0.66639999999999999</v>
      </c>
      <c r="R25">
        <v>2.5779999999999998</v>
      </c>
      <c r="S25">
        <v>7</v>
      </c>
      <c r="T25">
        <v>3</v>
      </c>
    </row>
    <row r="26" spans="5:20" ht="15" customHeight="1" x14ac:dyDescent="0.25">
      <c r="E26" s="19">
        <v>6</v>
      </c>
      <c r="F26" s="19">
        <v>10</v>
      </c>
      <c r="G26" s="19" t="s">
        <v>728</v>
      </c>
      <c r="H26" s="19">
        <v>0.19142419601837671</v>
      </c>
      <c r="I26" s="19">
        <v>0.67476383265856954</v>
      </c>
      <c r="J26" s="19">
        <v>2.3201856148491879</v>
      </c>
      <c r="K26" s="59" t="str">
        <f t="shared" si="0"/>
        <v>0.67 (0.19 – 2.32)</v>
      </c>
      <c r="L26" s="16" t="str">
        <f t="shared" si="1"/>
        <v>0.67
(0.19 – 2.32)</v>
      </c>
      <c r="N26" s="59" t="s">
        <v>439</v>
      </c>
      <c r="O26" s="16" t="s">
        <v>702</v>
      </c>
      <c r="P26">
        <v>5.012E-3</v>
      </c>
      <c r="Q26">
        <v>1.2809999999999999</v>
      </c>
      <c r="R26">
        <v>1343</v>
      </c>
      <c r="S26">
        <v>8</v>
      </c>
      <c r="T26">
        <v>3</v>
      </c>
    </row>
    <row r="27" spans="5:20" ht="15" customHeight="1" x14ac:dyDescent="0.25">
      <c r="E27" s="19">
        <v>6</v>
      </c>
      <c r="F27" s="19">
        <v>4</v>
      </c>
      <c r="G27" s="19" t="s">
        <v>706</v>
      </c>
      <c r="H27" s="19">
        <v>0.1699</v>
      </c>
      <c r="I27" s="19">
        <v>0.66769999999999996</v>
      </c>
      <c r="J27" s="19">
        <v>2.4820000000000002</v>
      </c>
      <c r="K27" s="59" t="str">
        <f t="shared" si="0"/>
        <v>0.67 (0.17 – 2.48)</v>
      </c>
      <c r="L27" s="16" t="str">
        <f t="shared" si="1"/>
        <v>0.67
(0.17 – 2.48)</v>
      </c>
      <c r="N27" s="59" t="s">
        <v>440</v>
      </c>
      <c r="O27" s="16" t="s">
        <v>703</v>
      </c>
      <c r="P27">
        <v>0.68100000000000005</v>
      </c>
      <c r="Q27">
        <v>1.47</v>
      </c>
      <c r="R27">
        <v>3.3610000000000002</v>
      </c>
      <c r="S27">
        <v>9</v>
      </c>
      <c r="T27">
        <v>3</v>
      </c>
    </row>
    <row r="28" spans="5:20" ht="15" customHeight="1" x14ac:dyDescent="0.25">
      <c r="E28" s="19">
        <v>6</v>
      </c>
      <c r="F28" s="19">
        <v>9</v>
      </c>
      <c r="G28" s="19" t="s">
        <v>726</v>
      </c>
      <c r="H28" s="19">
        <v>0.12402331638348009</v>
      </c>
      <c r="I28" s="19">
        <v>0.49115913555992141</v>
      </c>
      <c r="J28" s="19">
        <v>1.8539117538005192</v>
      </c>
      <c r="K28" s="59" t="str">
        <f t="shared" si="0"/>
        <v>0.49 (0.12 – 1.85)</v>
      </c>
      <c r="L28" s="16" t="str">
        <f t="shared" si="1"/>
        <v>0.49
(0.12 – 1.85)</v>
      </c>
      <c r="N28" s="59" t="s">
        <v>441</v>
      </c>
      <c r="O28" s="16" t="s">
        <v>704</v>
      </c>
      <c r="P28">
        <v>0.64139999999999997</v>
      </c>
      <c r="Q28">
        <v>1.0760000000000001</v>
      </c>
      <c r="R28">
        <v>1.794</v>
      </c>
      <c r="S28">
        <v>10</v>
      </c>
      <c r="T28">
        <v>3</v>
      </c>
    </row>
    <row r="29" spans="5:20" ht="15" customHeight="1" x14ac:dyDescent="0.25">
      <c r="E29" s="19">
        <v>2</v>
      </c>
      <c r="F29" s="19">
        <v>3</v>
      </c>
      <c r="G29" s="19" t="s">
        <v>815</v>
      </c>
      <c r="H29" s="19">
        <v>0.56657223796033995</v>
      </c>
      <c r="I29" s="19">
        <v>0.96525096525096521</v>
      </c>
      <c r="J29" s="19">
        <v>1.6165535079211122</v>
      </c>
      <c r="K29" s="59" t="str">
        <f t="shared" si="0"/>
        <v>0.97 (0.57 – 1.62)</v>
      </c>
      <c r="L29" s="16" t="str">
        <f t="shared" si="1"/>
        <v>0.97
(0.57 – 1.62)</v>
      </c>
      <c r="N29" s="59" t="s">
        <v>442</v>
      </c>
      <c r="O29" s="16" t="s">
        <v>705</v>
      </c>
      <c r="P29">
        <v>9.8369999999999999E-2</v>
      </c>
      <c r="Q29">
        <v>0.51629999999999998</v>
      </c>
      <c r="R29">
        <v>2.6890000000000001</v>
      </c>
      <c r="S29">
        <v>5</v>
      </c>
      <c r="T29">
        <v>4</v>
      </c>
    </row>
    <row r="30" spans="5:20" ht="15" customHeight="1" x14ac:dyDescent="0.25">
      <c r="E30" s="19">
        <v>2</v>
      </c>
      <c r="F30" s="19">
        <v>8</v>
      </c>
      <c r="G30" s="19" t="s">
        <v>816</v>
      </c>
      <c r="H30" s="19">
        <v>7.0771408351026188E-4</v>
      </c>
      <c r="I30" s="19">
        <v>0.74626865671641784</v>
      </c>
      <c r="J30" s="19">
        <v>191.64430816404752</v>
      </c>
      <c r="K30" s="59" t="str">
        <f t="shared" si="0"/>
        <v>0.75 (0.00 – 191.64)</v>
      </c>
      <c r="L30" s="16" t="str">
        <f t="shared" si="1"/>
        <v>0.75
(0.00 – 191.64)</v>
      </c>
      <c r="N30" s="59" t="s">
        <v>443</v>
      </c>
      <c r="O30" s="16" t="s">
        <v>706</v>
      </c>
      <c r="P30">
        <v>0.1699</v>
      </c>
      <c r="Q30">
        <v>0.66769999999999996</v>
      </c>
      <c r="R30">
        <v>2.4820000000000002</v>
      </c>
      <c r="S30">
        <v>6</v>
      </c>
      <c r="T30">
        <v>4</v>
      </c>
    </row>
    <row r="31" spans="5:20" ht="15" customHeight="1" x14ac:dyDescent="0.25">
      <c r="E31" s="19">
        <v>2</v>
      </c>
      <c r="F31" s="19">
        <v>1</v>
      </c>
      <c r="G31" s="19" t="s">
        <v>681</v>
      </c>
      <c r="H31" s="19">
        <v>0.4909</v>
      </c>
      <c r="I31" s="19">
        <v>0.89339999999999997</v>
      </c>
      <c r="J31" s="19">
        <v>1.6479999999999999</v>
      </c>
      <c r="K31" s="59" t="str">
        <f t="shared" si="0"/>
        <v>0.89 (0.49 – 1.65)</v>
      </c>
      <c r="L31" s="16" t="str">
        <f t="shared" si="1"/>
        <v>0.89
(0.49 – 1.65)</v>
      </c>
      <c r="N31" s="59" t="s">
        <v>444</v>
      </c>
      <c r="O31" s="16" t="s">
        <v>707</v>
      </c>
      <c r="P31">
        <v>0.1225</v>
      </c>
      <c r="Q31">
        <v>0.61399999999999999</v>
      </c>
      <c r="R31">
        <v>2.81</v>
      </c>
      <c r="S31">
        <v>7</v>
      </c>
      <c r="T31">
        <v>4</v>
      </c>
    </row>
    <row r="32" spans="5:20" ht="15" customHeight="1" x14ac:dyDescent="0.25">
      <c r="E32" s="19">
        <v>2</v>
      </c>
      <c r="F32" s="19">
        <v>10</v>
      </c>
      <c r="G32" s="19" t="s">
        <v>740</v>
      </c>
      <c r="H32" s="19">
        <v>0.51546391752577325</v>
      </c>
      <c r="I32" s="19">
        <v>0.89206066012488849</v>
      </c>
      <c r="J32" s="19">
        <v>1.5335071308081583</v>
      </c>
      <c r="K32" s="59" t="str">
        <f t="shared" si="0"/>
        <v>0.89 (0.52 – 1.53)</v>
      </c>
      <c r="L32" s="16" t="str">
        <f t="shared" si="1"/>
        <v>0.89
(0.52 – 1.53)</v>
      </c>
      <c r="N32" s="59" t="s">
        <v>445</v>
      </c>
      <c r="O32" s="16" t="s">
        <v>708</v>
      </c>
      <c r="P32">
        <v>4.509E-3</v>
      </c>
      <c r="Q32">
        <v>1.1739999999999999</v>
      </c>
      <c r="R32">
        <v>1299</v>
      </c>
      <c r="S32">
        <v>8</v>
      </c>
      <c r="T32">
        <v>4</v>
      </c>
    </row>
    <row r="33" spans="3:20" ht="15" customHeight="1" x14ac:dyDescent="0.25">
      <c r="E33" s="19">
        <v>2</v>
      </c>
      <c r="F33" s="19">
        <v>4</v>
      </c>
      <c r="G33" s="19" t="s">
        <v>817</v>
      </c>
      <c r="H33" s="19">
        <v>0.38624951718810352</v>
      </c>
      <c r="I33" s="19">
        <v>0.87950747581354438</v>
      </c>
      <c r="J33" s="19">
        <v>2.0036064916850331</v>
      </c>
      <c r="K33" s="59" t="str">
        <f t="shared" si="0"/>
        <v>0.88 (0.39 – 2.00)</v>
      </c>
      <c r="L33" s="16" t="str">
        <f t="shared" si="1"/>
        <v>0.88
(0.39 – 2.00)</v>
      </c>
      <c r="N33" s="59" t="s">
        <v>446</v>
      </c>
      <c r="O33" s="16" t="s">
        <v>709</v>
      </c>
      <c r="P33">
        <v>0.51170000000000004</v>
      </c>
      <c r="Q33">
        <v>1.3520000000000001</v>
      </c>
      <c r="R33">
        <v>3.6440000000000001</v>
      </c>
      <c r="S33">
        <v>9</v>
      </c>
      <c r="T33">
        <v>4</v>
      </c>
    </row>
    <row r="34" spans="3:20" ht="15" customHeight="1" x14ac:dyDescent="0.25">
      <c r="E34" s="19">
        <v>2</v>
      </c>
      <c r="F34" s="19">
        <v>9</v>
      </c>
      <c r="G34" s="19" t="s">
        <v>818</v>
      </c>
      <c r="H34" s="19">
        <v>0.27472527472527469</v>
      </c>
      <c r="I34" s="19">
        <v>0.64935064935064934</v>
      </c>
      <c r="J34" s="19">
        <v>1.5078407720144753</v>
      </c>
      <c r="K34" s="59" t="str">
        <f t="shared" si="0"/>
        <v>0.65 (0.27 – 1.51)</v>
      </c>
      <c r="L34" s="16" t="str">
        <f t="shared" si="1"/>
        <v>0.65
(0.27 – 1.51)</v>
      </c>
      <c r="N34" s="59" t="s">
        <v>447</v>
      </c>
      <c r="O34" s="16" t="s">
        <v>710</v>
      </c>
      <c r="P34">
        <v>0.4304</v>
      </c>
      <c r="Q34">
        <v>0.98250000000000004</v>
      </c>
      <c r="R34">
        <v>2.2719999999999998</v>
      </c>
      <c r="S34">
        <v>10</v>
      </c>
      <c r="T34">
        <v>4</v>
      </c>
    </row>
    <row r="35" spans="3:20" ht="15" customHeight="1" x14ac:dyDescent="0.25">
      <c r="E35" s="19">
        <v>3</v>
      </c>
      <c r="F35" s="19">
        <v>8</v>
      </c>
      <c r="G35" s="19" t="s">
        <v>735</v>
      </c>
      <c r="H35" s="19">
        <v>7.4460163812360388E-4</v>
      </c>
      <c r="I35" s="19">
        <v>0.78064012490242007</v>
      </c>
      <c r="J35" s="19">
        <v>199.52114924181964</v>
      </c>
      <c r="K35" s="59" t="str">
        <f t="shared" si="0"/>
        <v>0.78 (0.00 – 199.52)</v>
      </c>
      <c r="L35" s="16" t="str">
        <f t="shared" si="1"/>
        <v>0.78
(0.00 – 199.52)</v>
      </c>
      <c r="N35" s="59" t="s">
        <v>448</v>
      </c>
      <c r="O35" s="16" t="s">
        <v>711</v>
      </c>
      <c r="P35">
        <v>0.1933</v>
      </c>
      <c r="Q35">
        <v>1.288</v>
      </c>
      <c r="R35">
        <v>8.4760000000000009</v>
      </c>
      <c r="S35">
        <v>6</v>
      </c>
      <c r="T35">
        <v>5</v>
      </c>
    </row>
    <row r="36" spans="3:20" ht="15" customHeight="1" x14ac:dyDescent="0.25">
      <c r="C36" s="56"/>
      <c r="D36" s="57"/>
      <c r="E36" s="57">
        <v>3</v>
      </c>
      <c r="F36" s="57">
        <v>1</v>
      </c>
      <c r="G36" s="57" t="s">
        <v>682</v>
      </c>
      <c r="H36" s="57">
        <v>0.51319999999999999</v>
      </c>
      <c r="I36" s="57">
        <v>0.93330000000000002</v>
      </c>
      <c r="J36" s="57">
        <v>1.6619999999999999</v>
      </c>
      <c r="K36" s="59" t="str">
        <f t="shared" si="0"/>
        <v>0.93 (0.51 – 1.66)</v>
      </c>
      <c r="L36" s="16" t="str">
        <f t="shared" si="1"/>
        <v>0.93
(0.51 – 1.66)</v>
      </c>
      <c r="M36" s="57"/>
      <c r="N36" s="59" t="s">
        <v>449</v>
      </c>
      <c r="O36" s="16" t="s">
        <v>712</v>
      </c>
      <c r="P36">
        <v>0.1671</v>
      </c>
      <c r="Q36">
        <v>1.1719999999999999</v>
      </c>
      <c r="R36">
        <v>7.9969999999999999</v>
      </c>
      <c r="S36">
        <v>7</v>
      </c>
      <c r="T36">
        <v>5</v>
      </c>
    </row>
    <row r="37" spans="3:20" ht="15" customHeight="1" x14ac:dyDescent="0.25">
      <c r="C37" s="56"/>
      <c r="D37" s="57"/>
      <c r="E37" s="57">
        <v>3</v>
      </c>
      <c r="F37" s="57">
        <v>10</v>
      </c>
      <c r="G37" s="57" t="s">
        <v>736</v>
      </c>
      <c r="H37" s="57">
        <v>0.55741360089186176</v>
      </c>
      <c r="I37" s="57">
        <v>0.92936802973977695</v>
      </c>
      <c r="J37" s="57">
        <v>1.5590894917368259</v>
      </c>
      <c r="K37" s="59" t="str">
        <f t="shared" si="0"/>
        <v>0.93 (0.56 – 1.56)</v>
      </c>
      <c r="L37" s="16" t="str">
        <f t="shared" si="1"/>
        <v>0.93
(0.56 – 1.56)</v>
      </c>
      <c r="M37" s="57"/>
      <c r="N37" s="59" t="s">
        <v>450</v>
      </c>
      <c r="O37" s="16" t="s">
        <v>713</v>
      </c>
      <c r="P37">
        <v>8.0289999999999997E-3</v>
      </c>
      <c r="Q37">
        <v>2.2919999999999998</v>
      </c>
      <c r="R37">
        <v>2484</v>
      </c>
      <c r="S37">
        <v>8</v>
      </c>
      <c r="T37">
        <v>5</v>
      </c>
    </row>
    <row r="38" spans="3:20" ht="15" customHeight="1" x14ac:dyDescent="0.25">
      <c r="C38" s="56"/>
      <c r="D38" s="57"/>
      <c r="E38" s="57">
        <v>3</v>
      </c>
      <c r="F38" s="57">
        <v>4</v>
      </c>
      <c r="G38" s="57" t="s">
        <v>819</v>
      </c>
      <c r="H38" s="57">
        <v>0.45126353790613716</v>
      </c>
      <c r="I38" s="57">
        <v>0.91491308325709064</v>
      </c>
      <c r="J38" s="57">
        <v>1.8556318426424196</v>
      </c>
      <c r="K38" s="59" t="str">
        <f t="shared" si="0"/>
        <v>0.91 (0.45 – 1.86)</v>
      </c>
      <c r="L38" s="16" t="str">
        <f t="shared" si="1"/>
        <v>0.91
(0.45 – 1.86)</v>
      </c>
      <c r="M38" s="57"/>
      <c r="N38" s="59" t="s">
        <v>451</v>
      </c>
      <c r="O38" s="16" t="s">
        <v>714</v>
      </c>
      <c r="P38">
        <v>0.49659999999999999</v>
      </c>
      <c r="Q38">
        <v>2.6110000000000002</v>
      </c>
      <c r="R38">
        <v>14.24</v>
      </c>
      <c r="S38">
        <v>9</v>
      </c>
      <c r="T38">
        <v>5</v>
      </c>
    </row>
    <row r="39" spans="3:20" ht="15" customHeight="1" x14ac:dyDescent="0.25">
      <c r="C39" s="56"/>
      <c r="D39" s="57"/>
      <c r="E39" s="57">
        <v>3</v>
      </c>
      <c r="F39" s="57">
        <v>9</v>
      </c>
      <c r="G39" s="57" t="s">
        <v>734</v>
      </c>
      <c r="H39" s="57">
        <v>0.29753049687592975</v>
      </c>
      <c r="I39" s="57">
        <v>0.68027210884353739</v>
      </c>
      <c r="J39" s="57">
        <v>1.4684287812041115</v>
      </c>
      <c r="K39" s="59" t="str">
        <f t="shared" si="0"/>
        <v>0.68 (0.30 – 1.47)</v>
      </c>
      <c r="L39" s="16" t="str">
        <f t="shared" si="1"/>
        <v>0.68
(0.30 – 1.47)</v>
      </c>
      <c r="M39" s="57"/>
      <c r="N39" s="59" t="s">
        <v>452</v>
      </c>
      <c r="O39" s="16" t="s">
        <v>715</v>
      </c>
      <c r="P39">
        <v>0.40150000000000002</v>
      </c>
      <c r="Q39">
        <v>1.895</v>
      </c>
      <c r="R39">
        <v>9.1709999999999994</v>
      </c>
      <c r="S39">
        <v>10</v>
      </c>
      <c r="T39">
        <v>5</v>
      </c>
    </row>
    <row r="40" spans="3:20" ht="15" customHeight="1" x14ac:dyDescent="0.25">
      <c r="C40" s="56"/>
      <c r="D40" s="57"/>
      <c r="E40" s="57">
        <v>8</v>
      </c>
      <c r="F40" s="57">
        <v>1</v>
      </c>
      <c r="G40" s="57" t="s">
        <v>687</v>
      </c>
      <c r="H40" s="57">
        <v>4.8120000000000003E-3</v>
      </c>
      <c r="I40" s="57">
        <v>1.2010000000000001</v>
      </c>
      <c r="J40" s="57">
        <v>1294</v>
      </c>
      <c r="K40" s="59" t="str">
        <f t="shared" si="0"/>
        <v>1.20 (0.00 – 1294.00)</v>
      </c>
      <c r="L40" s="16" t="str">
        <f t="shared" si="1"/>
        <v>1.20
(0.00 – 1294.00)</v>
      </c>
      <c r="M40" s="57"/>
      <c r="N40" s="59" t="s">
        <v>453</v>
      </c>
      <c r="O40" s="16" t="s">
        <v>716</v>
      </c>
      <c r="P40">
        <v>0.15010000000000001</v>
      </c>
      <c r="Q40">
        <v>0.90500000000000003</v>
      </c>
      <c r="R40">
        <v>5.5380000000000003</v>
      </c>
      <c r="S40">
        <v>7</v>
      </c>
      <c r="T40">
        <v>6</v>
      </c>
    </row>
    <row r="41" spans="3:20" ht="15" customHeight="1" x14ac:dyDescent="0.25">
      <c r="C41" s="56"/>
      <c r="D41" s="57"/>
      <c r="E41" s="57">
        <v>8</v>
      </c>
      <c r="F41" s="57">
        <v>10</v>
      </c>
      <c r="G41" s="57" t="s">
        <v>739</v>
      </c>
      <c r="H41" s="57">
        <v>4.585052728106373E-3</v>
      </c>
      <c r="I41" s="57">
        <v>1.1901928112354203</v>
      </c>
      <c r="J41" s="57">
        <v>1314.7515119642389</v>
      </c>
      <c r="K41" s="59" t="str">
        <f t="shared" si="0"/>
        <v>1.19 (0.00 – 1314.75)</v>
      </c>
      <c r="L41" s="16" t="str">
        <f t="shared" si="1"/>
        <v>1.19
(0.00 – 1314.75)</v>
      </c>
      <c r="M41" s="57"/>
      <c r="N41" s="59" t="s">
        <v>454</v>
      </c>
      <c r="O41" s="16" t="s">
        <v>717</v>
      </c>
      <c r="P41">
        <v>6.7369999999999999E-3</v>
      </c>
      <c r="Q41">
        <v>1.7809999999999999</v>
      </c>
      <c r="R41">
        <v>2077</v>
      </c>
      <c r="S41">
        <v>8</v>
      </c>
      <c r="T41">
        <v>6</v>
      </c>
    </row>
    <row r="42" spans="3:20" ht="15" customHeight="1" x14ac:dyDescent="0.25">
      <c r="C42" s="56"/>
      <c r="D42" s="57"/>
      <c r="E42" s="57">
        <v>8</v>
      </c>
      <c r="F42" s="57">
        <v>4</v>
      </c>
      <c r="G42" s="57" t="s">
        <v>708</v>
      </c>
      <c r="H42" s="57">
        <v>4.509E-3</v>
      </c>
      <c r="I42" s="57">
        <v>1.1739999999999999</v>
      </c>
      <c r="J42" s="57">
        <v>1299</v>
      </c>
      <c r="K42" s="59" t="str">
        <f t="shared" si="0"/>
        <v>1.17 (0.00 – 1299.00)</v>
      </c>
      <c r="L42" s="16" t="str">
        <f t="shared" si="1"/>
        <v>1.17
(0.00 – 1299.00)</v>
      </c>
      <c r="M42" s="57"/>
      <c r="N42" s="59" t="s">
        <v>455</v>
      </c>
      <c r="O42" s="16" t="s">
        <v>718</v>
      </c>
      <c r="P42">
        <v>0.53939999999999999</v>
      </c>
      <c r="Q42">
        <v>2.036</v>
      </c>
      <c r="R42">
        <v>8.0630000000000006</v>
      </c>
      <c r="S42">
        <v>9</v>
      </c>
      <c r="T42">
        <v>6</v>
      </c>
    </row>
    <row r="43" spans="3:20" ht="15" customHeight="1" x14ac:dyDescent="0.25">
      <c r="C43" s="56"/>
      <c r="D43" s="57"/>
      <c r="E43" s="57">
        <v>8</v>
      </c>
      <c r="F43" s="57">
        <v>9</v>
      </c>
      <c r="G43" s="57" t="s">
        <v>820</v>
      </c>
      <c r="H43" s="57">
        <v>3.4626038781163434E-3</v>
      </c>
      <c r="I43" s="57">
        <v>0.87108013937282236</v>
      </c>
      <c r="J43" s="57">
        <v>1015.6408693885842</v>
      </c>
      <c r="K43" s="59" t="str">
        <f t="shared" si="0"/>
        <v>0.87 (0.00 – 1015.64)</v>
      </c>
      <c r="L43" s="16" t="str">
        <f t="shared" si="1"/>
        <v>0.87
(0.00 – 1015.64)</v>
      </c>
      <c r="M43" s="57"/>
      <c r="N43" s="59" t="s">
        <v>456</v>
      </c>
      <c r="O43" s="16" t="s">
        <v>719</v>
      </c>
      <c r="P43">
        <v>0.43099999999999999</v>
      </c>
      <c r="Q43">
        <v>1.482</v>
      </c>
      <c r="R43">
        <v>5.2240000000000002</v>
      </c>
      <c r="S43">
        <v>10</v>
      </c>
      <c r="T43">
        <v>6</v>
      </c>
    </row>
    <row r="44" spans="3:20" ht="15" customHeight="1" x14ac:dyDescent="0.25">
      <c r="C44" s="56"/>
      <c r="D44" s="57"/>
      <c r="E44" s="57">
        <v>1</v>
      </c>
      <c r="F44" s="57">
        <v>10</v>
      </c>
      <c r="G44" s="57" t="s">
        <v>738</v>
      </c>
      <c r="H44" s="57">
        <v>0.5402485143165856</v>
      </c>
      <c r="I44" s="57">
        <v>0.99800399201596801</v>
      </c>
      <c r="J44" s="57">
        <v>1.847063169560399</v>
      </c>
      <c r="K44" s="59" t="str">
        <f t="shared" si="0"/>
        <v>1.00 (0.54 – 1.85)</v>
      </c>
      <c r="L44" s="16" t="str">
        <f t="shared" si="1"/>
        <v>1.00
(0.54 – 1.85)</v>
      </c>
      <c r="M44" s="57"/>
      <c r="N44" s="59" t="s">
        <v>457</v>
      </c>
      <c r="O44" s="16" t="s">
        <v>720</v>
      </c>
      <c r="P44">
        <v>6.8859999999999998E-3</v>
      </c>
      <c r="Q44">
        <v>1.986</v>
      </c>
      <c r="R44">
        <v>2354</v>
      </c>
      <c r="S44">
        <v>8</v>
      </c>
      <c r="T44">
        <v>7</v>
      </c>
    </row>
    <row r="45" spans="3:20" ht="15" customHeight="1" x14ac:dyDescent="0.25">
      <c r="C45" s="56"/>
      <c r="D45" s="57"/>
      <c r="E45" s="57">
        <v>1</v>
      </c>
      <c r="F45" s="57">
        <v>4</v>
      </c>
      <c r="G45" s="57" t="s">
        <v>821</v>
      </c>
      <c r="H45" s="57">
        <v>0.44843049327354262</v>
      </c>
      <c r="I45" s="57">
        <v>0.98328416912487715</v>
      </c>
      <c r="J45" s="57">
        <v>2.1724961981316535</v>
      </c>
      <c r="K45" s="59" t="str">
        <f t="shared" si="0"/>
        <v>0.98 (0.45 – 2.17)</v>
      </c>
      <c r="L45" s="16" t="str">
        <f t="shared" si="1"/>
        <v>0.98
(0.45 – 2.17)</v>
      </c>
      <c r="M45" s="57"/>
      <c r="N45" s="59" t="s">
        <v>458</v>
      </c>
      <c r="O45" s="16" t="s">
        <v>721</v>
      </c>
      <c r="P45">
        <v>0.48449999999999999</v>
      </c>
      <c r="Q45">
        <v>2.2389999999999999</v>
      </c>
      <c r="R45">
        <v>11.08</v>
      </c>
      <c r="S45">
        <v>9</v>
      </c>
      <c r="T45">
        <v>7</v>
      </c>
    </row>
    <row r="46" spans="3:20" ht="15" customHeight="1" x14ac:dyDescent="0.25">
      <c r="C46" s="56"/>
      <c r="D46" s="57"/>
      <c r="E46" s="57">
        <v>1</v>
      </c>
      <c r="F46" s="57">
        <v>9</v>
      </c>
      <c r="G46" s="57" t="s">
        <v>737</v>
      </c>
      <c r="H46" s="57">
        <v>0.36075036075036077</v>
      </c>
      <c r="I46" s="57">
        <v>0.7246376811594204</v>
      </c>
      <c r="J46" s="57">
        <v>1.4138272303124557</v>
      </c>
      <c r="K46" s="59" t="str">
        <f t="shared" si="0"/>
        <v>0.72 (0.36 – 1.41)</v>
      </c>
      <c r="L46" s="16" t="str">
        <f t="shared" si="1"/>
        <v>0.72
(0.36 – 1.41)</v>
      </c>
      <c r="M46" s="57"/>
      <c r="N46" s="59" t="s">
        <v>459</v>
      </c>
      <c r="O46" s="16" t="s">
        <v>722</v>
      </c>
      <c r="P46">
        <v>0.41099999999999998</v>
      </c>
      <c r="Q46">
        <v>1.611</v>
      </c>
      <c r="R46">
        <v>6.9450000000000003</v>
      </c>
      <c r="S46">
        <v>10</v>
      </c>
      <c r="T46">
        <v>7</v>
      </c>
    </row>
    <row r="47" spans="3:20" ht="15" customHeight="1" x14ac:dyDescent="0.25">
      <c r="C47" s="56"/>
      <c r="D47" s="57"/>
      <c r="E47" s="57">
        <v>10</v>
      </c>
      <c r="F47" s="57">
        <v>4</v>
      </c>
      <c r="G47" s="57" t="s">
        <v>710</v>
      </c>
      <c r="H47" s="57">
        <v>0.4304</v>
      </c>
      <c r="I47" s="57">
        <v>0.98250000000000004</v>
      </c>
      <c r="J47" s="57">
        <v>2.2719999999999998</v>
      </c>
      <c r="K47" s="59" t="str">
        <f t="shared" si="0"/>
        <v>0.98 (0.43 – 2.27)</v>
      </c>
      <c r="L47" s="16" t="str">
        <f t="shared" si="1"/>
        <v>0.98
(0.43 – 2.27)</v>
      </c>
      <c r="M47" s="57"/>
      <c r="N47" s="59" t="s">
        <v>460</v>
      </c>
      <c r="O47" s="16" t="s">
        <v>723</v>
      </c>
      <c r="P47">
        <v>9.8459999999999997E-4</v>
      </c>
      <c r="Q47">
        <v>1.1479999999999999</v>
      </c>
      <c r="R47">
        <v>288.8</v>
      </c>
      <c r="S47">
        <v>9</v>
      </c>
      <c r="T47">
        <v>8</v>
      </c>
    </row>
    <row r="48" spans="3:20" ht="15" customHeight="1" x14ac:dyDescent="0.25">
      <c r="C48" s="56"/>
      <c r="D48" s="57"/>
      <c r="E48" s="57">
        <v>10</v>
      </c>
      <c r="F48" s="57">
        <v>9</v>
      </c>
      <c r="G48" s="57" t="s">
        <v>725</v>
      </c>
      <c r="H48" s="57">
        <v>0.30769999999999997</v>
      </c>
      <c r="I48" s="57">
        <v>0.7288</v>
      </c>
      <c r="J48" s="57">
        <v>1.698</v>
      </c>
      <c r="K48" s="59" t="str">
        <f t="shared" si="0"/>
        <v>0.73 (0.31 – 1.70)</v>
      </c>
      <c r="L48" s="16" t="str">
        <f t="shared" si="1"/>
        <v>0.73
(0.31 – 1.70)</v>
      </c>
      <c r="M48" s="57"/>
      <c r="N48" s="59" t="s">
        <v>461</v>
      </c>
      <c r="O48" s="16" t="s">
        <v>724</v>
      </c>
      <c r="P48">
        <v>7.6059999999999995E-4</v>
      </c>
      <c r="Q48">
        <v>0.84019999999999995</v>
      </c>
      <c r="R48">
        <v>218.1</v>
      </c>
      <c r="S48">
        <v>10</v>
      </c>
      <c r="T48">
        <v>8</v>
      </c>
    </row>
    <row r="49" spans="3:20" ht="15" customHeight="1" x14ac:dyDescent="0.25">
      <c r="C49" s="56"/>
      <c r="D49" s="57"/>
      <c r="E49" s="57">
        <v>4</v>
      </c>
      <c r="F49" s="57">
        <v>9</v>
      </c>
      <c r="G49" s="57" t="s">
        <v>733</v>
      </c>
      <c r="H49" s="57">
        <v>0.27442371020856199</v>
      </c>
      <c r="I49" s="57">
        <v>0.73964497041420119</v>
      </c>
      <c r="J49" s="57">
        <v>1.9542700801250732</v>
      </c>
      <c r="K49" s="59" t="str">
        <f t="shared" si="0"/>
        <v>0.74 (0.27 – 1.95)</v>
      </c>
      <c r="L49" s="16" t="str">
        <f t="shared" si="1"/>
        <v>0.74
(0.27 – 1.95)</v>
      </c>
      <c r="M49" s="57"/>
      <c r="N49" s="59" t="s">
        <v>462</v>
      </c>
      <c r="O49" s="16" t="s">
        <v>725</v>
      </c>
      <c r="P49">
        <v>0.30769999999999997</v>
      </c>
      <c r="Q49">
        <v>0.7288</v>
      </c>
      <c r="R49">
        <v>1.698</v>
      </c>
      <c r="S49">
        <v>10</v>
      </c>
      <c r="T49">
        <v>9</v>
      </c>
    </row>
    <row r="50" spans="3:20" ht="15" hidden="1" customHeight="1" x14ac:dyDescent="0.25">
      <c r="C50" s="56"/>
      <c r="D50" s="57"/>
      <c r="E50" s="57"/>
      <c r="F50" s="57"/>
      <c r="G50" s="57"/>
      <c r="H50" s="57"/>
      <c r="I50" s="57"/>
      <c r="J50" s="57"/>
      <c r="K50" s="59" t="str">
        <f t="shared" si="0"/>
        <v>0.00 (0.00 – 0.00)</v>
      </c>
      <c r="L50" s="16" t="str">
        <f t="shared" si="1"/>
        <v>0.00
(0.00 – 0.00)</v>
      </c>
      <c r="M50" s="57"/>
      <c r="N50" s="59"/>
      <c r="O50" s="16"/>
    </row>
    <row r="51" spans="3:20" ht="15" hidden="1" customHeight="1" x14ac:dyDescent="0.25">
      <c r="C51" s="56"/>
      <c r="D51" s="57"/>
      <c r="E51" s="57"/>
      <c r="F51" s="57"/>
      <c r="G51" s="57"/>
      <c r="H51" s="57"/>
      <c r="I51" s="57"/>
      <c r="J51" s="57"/>
      <c r="K51" s="59" t="str">
        <f t="shared" si="0"/>
        <v>0.00 (0.00 – 0.00)</v>
      </c>
      <c r="L51" s="16" t="str">
        <f t="shared" si="1"/>
        <v>0.00
(0.00 – 0.00)</v>
      </c>
      <c r="M51" s="57"/>
      <c r="N51" s="59"/>
      <c r="O51" s="16"/>
    </row>
    <row r="52" spans="3:20" ht="15" hidden="1" customHeight="1" x14ac:dyDescent="0.25">
      <c r="C52" s="56"/>
      <c r="D52" s="57"/>
      <c r="E52" s="57"/>
      <c r="F52" s="57"/>
      <c r="G52" s="57"/>
      <c r="H52" s="57"/>
      <c r="I52" s="57"/>
      <c r="J52" s="57"/>
      <c r="K52" s="59" t="str">
        <f t="shared" si="0"/>
        <v>0.00 (0.00 – 0.00)</v>
      </c>
      <c r="L52" s="16" t="str">
        <f t="shared" si="1"/>
        <v>0.00
(0.00 – 0.00)</v>
      </c>
      <c r="M52" s="57"/>
      <c r="N52" s="59"/>
      <c r="O52" s="16"/>
    </row>
    <row r="53" spans="3:20" ht="15" hidden="1" customHeight="1" x14ac:dyDescent="0.25">
      <c r="C53" s="56"/>
      <c r="D53" s="57"/>
      <c r="E53" s="57"/>
      <c r="F53" s="57"/>
      <c r="G53" s="57"/>
      <c r="H53" s="57"/>
      <c r="I53" s="57"/>
      <c r="J53" s="57"/>
      <c r="K53" s="59" t="str">
        <f t="shared" si="0"/>
        <v>0.00 (0.00 – 0.00)</v>
      </c>
      <c r="L53" s="16" t="str">
        <f t="shared" si="1"/>
        <v>0.00
(0.00 – 0.00)</v>
      </c>
      <c r="M53" s="57"/>
      <c r="N53" s="59"/>
      <c r="O53" s="16"/>
    </row>
    <row r="54" spans="3:20" ht="15" hidden="1" customHeight="1" x14ac:dyDescent="0.25">
      <c r="C54" s="56"/>
      <c r="D54" s="57"/>
      <c r="E54" s="57"/>
      <c r="F54" s="57"/>
      <c r="G54" s="57"/>
      <c r="H54" s="57"/>
      <c r="I54" s="57"/>
      <c r="J54" s="57"/>
      <c r="K54" s="59" t="str">
        <f t="shared" si="0"/>
        <v>0.00 (0.00 – 0.00)</v>
      </c>
      <c r="L54" s="16" t="str">
        <f t="shared" si="1"/>
        <v>0.00
(0.00 – 0.00)</v>
      </c>
      <c r="M54" s="57"/>
      <c r="N54" s="59"/>
      <c r="O54" s="16"/>
    </row>
    <row r="55" spans="3:20" ht="15" hidden="1" customHeight="1" x14ac:dyDescent="0.25">
      <c r="C55" s="56"/>
      <c r="D55" s="57"/>
      <c r="E55" s="57"/>
      <c r="F55" s="57"/>
      <c r="G55" s="57"/>
      <c r="H55" s="57"/>
      <c r="I55" s="57"/>
      <c r="J55" s="57"/>
      <c r="K55" s="59" t="str">
        <f t="shared" si="0"/>
        <v>0.00 (0.00 – 0.00)</v>
      </c>
      <c r="L55" s="16" t="str">
        <f t="shared" si="1"/>
        <v>0.00
(0.00 – 0.00)</v>
      </c>
      <c r="M55" s="57"/>
      <c r="N55" s="59"/>
      <c r="O55" s="16"/>
    </row>
    <row r="56" spans="3:20" ht="15" hidden="1" customHeight="1" x14ac:dyDescent="0.25">
      <c r="C56" s="56"/>
      <c r="D56" s="57"/>
      <c r="E56" s="57"/>
      <c r="F56" s="57"/>
      <c r="G56" s="57"/>
      <c r="H56" s="57"/>
      <c r="I56" s="57"/>
      <c r="J56" s="57"/>
      <c r="K56" s="59" t="str">
        <f t="shared" si="0"/>
        <v>0.00 (0.00 – 0.00)</v>
      </c>
      <c r="L56" s="16" t="str">
        <f t="shared" si="1"/>
        <v>0.00
(0.00 – 0.00)</v>
      </c>
      <c r="M56" s="57"/>
      <c r="N56" s="59"/>
      <c r="O56" s="16"/>
    </row>
    <row r="57" spans="3:20" ht="15" hidden="1" customHeight="1" x14ac:dyDescent="0.25">
      <c r="C57" s="56"/>
      <c r="D57" s="57"/>
      <c r="E57" s="57"/>
      <c r="F57" s="57"/>
      <c r="G57" s="57"/>
      <c r="H57" s="57"/>
      <c r="I57" s="57"/>
      <c r="J57" s="57"/>
      <c r="K57" s="59" t="str">
        <f t="shared" si="0"/>
        <v>0.00 (0.00 – 0.00)</v>
      </c>
      <c r="L57" s="16" t="str">
        <f t="shared" si="1"/>
        <v>0.00
(0.00 – 0.00)</v>
      </c>
      <c r="M57" s="57"/>
      <c r="N57" s="59"/>
      <c r="O57" s="16"/>
    </row>
    <row r="58" spans="3:20" ht="15" hidden="1" customHeight="1" x14ac:dyDescent="0.25">
      <c r="C58" s="56"/>
      <c r="D58" s="57"/>
      <c r="E58" s="57"/>
      <c r="F58" s="57"/>
      <c r="G58" s="57"/>
      <c r="H58" s="57"/>
      <c r="I58" s="57"/>
      <c r="J58" s="57"/>
      <c r="K58" s="59" t="str">
        <f t="shared" si="0"/>
        <v>0.00 (0.00 – 0.00)</v>
      </c>
      <c r="L58" s="16" t="str">
        <f t="shared" si="1"/>
        <v>0.00
(0.00 – 0.00)</v>
      </c>
      <c r="M58" s="57"/>
      <c r="N58" s="59"/>
      <c r="O58" s="16"/>
    </row>
    <row r="59" spans="3:20" ht="15" hidden="1" customHeight="1" x14ac:dyDescent="0.25">
      <c r="C59" s="56"/>
      <c r="D59" s="57"/>
      <c r="E59" s="57"/>
      <c r="F59" s="57"/>
      <c r="G59" s="57"/>
      <c r="H59" s="57"/>
      <c r="I59" s="57"/>
      <c r="J59" s="57"/>
      <c r="K59" s="59" t="str">
        <f t="shared" si="0"/>
        <v>0.00 (0.00 – 0.00)</v>
      </c>
      <c r="L59" s="16" t="str">
        <f t="shared" si="1"/>
        <v>0.00
(0.00 – 0.00)</v>
      </c>
      <c r="M59" s="57"/>
      <c r="N59" s="59"/>
      <c r="O59" s="16"/>
    </row>
    <row r="60" spans="3:20" ht="15" hidden="1" customHeight="1" x14ac:dyDescent="0.25">
      <c r="C60" s="56"/>
      <c r="D60" s="57"/>
      <c r="E60" s="57"/>
      <c r="F60" s="57"/>
      <c r="G60" s="57"/>
      <c r="H60" s="57"/>
      <c r="I60" s="57"/>
      <c r="J60" s="57"/>
      <c r="K60" s="59" t="str">
        <f t="shared" si="0"/>
        <v>0.00 (0.00 – 0.00)</v>
      </c>
      <c r="L60" s="16" t="str">
        <f t="shared" si="1"/>
        <v>0.00
(0.00 – 0.00)</v>
      </c>
      <c r="M60" s="57"/>
      <c r="N60" s="59"/>
      <c r="O60" s="16"/>
    </row>
    <row r="61" spans="3:20" ht="15" hidden="1" customHeight="1" x14ac:dyDescent="0.25">
      <c r="C61" s="56"/>
      <c r="D61" s="57"/>
      <c r="E61" s="57"/>
      <c r="F61" s="57"/>
      <c r="G61" s="57"/>
      <c r="H61" s="57"/>
      <c r="I61" s="57"/>
      <c r="J61" s="57"/>
      <c r="K61" s="59" t="str">
        <f t="shared" si="0"/>
        <v>0.00 (0.00 – 0.00)</v>
      </c>
      <c r="L61" s="16" t="str">
        <f t="shared" si="1"/>
        <v>0.00
(0.00 – 0.00)</v>
      </c>
      <c r="M61" s="57"/>
      <c r="N61" s="59"/>
      <c r="O61" s="16"/>
    </row>
    <row r="62" spans="3:20" ht="15" hidden="1" customHeight="1" x14ac:dyDescent="0.25">
      <c r="C62" s="56"/>
      <c r="D62" s="57"/>
      <c r="E62" s="57"/>
      <c r="F62" s="57"/>
      <c r="G62" s="57"/>
      <c r="H62" s="57"/>
      <c r="I62" s="57"/>
      <c r="J62" s="57"/>
      <c r="K62" s="59" t="str">
        <f t="shared" si="0"/>
        <v>0.00 (0.00 – 0.00)</v>
      </c>
      <c r="L62" s="16" t="str">
        <f t="shared" si="1"/>
        <v>0.00
(0.00 – 0.00)</v>
      </c>
      <c r="M62" s="57"/>
      <c r="N62" s="59"/>
      <c r="O62" s="16"/>
    </row>
    <row r="63" spans="3:20" ht="15" hidden="1" customHeight="1" x14ac:dyDescent="0.25">
      <c r="C63" s="56"/>
      <c r="D63" s="57"/>
      <c r="E63" s="57"/>
      <c r="F63" s="57"/>
      <c r="G63" s="57"/>
      <c r="H63" s="57"/>
      <c r="I63" s="57"/>
      <c r="J63" s="57"/>
      <c r="K63" s="59" t="str">
        <f t="shared" si="0"/>
        <v>0.00 (0.00 – 0.00)</v>
      </c>
      <c r="L63" s="16" t="str">
        <f t="shared" si="1"/>
        <v>0.00
(0.00 – 0.00)</v>
      </c>
      <c r="M63" s="57"/>
      <c r="N63" s="59"/>
      <c r="O63" s="16"/>
    </row>
    <row r="64" spans="3:20"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0.1146 
95% CrI (0.0378 – 0.3073)</v>
      </c>
      <c r="F2" s="57"/>
      <c r="G2" s="57"/>
      <c r="H2" s="57"/>
      <c r="I2" s="57"/>
      <c r="J2" s="57"/>
      <c r="K2" s="57"/>
      <c r="L2" s="57"/>
      <c r="M2" s="57"/>
    </row>
    <row r="3" spans="1:20" x14ac:dyDescent="0.25">
      <c r="F3" s="277" t="str">
        <f>"Random Effects  (Informative Prior)"</f>
        <v>Random Effects  (Informative Prior)</v>
      </c>
      <c r="G3" s="277"/>
      <c r="H3" s="277"/>
      <c r="I3" s="277"/>
      <c r="J3" s="277"/>
      <c r="K3" s="277"/>
      <c r="L3" s="277"/>
      <c r="N3" s="277" t="str">
        <f>F3</f>
        <v>Random Effects  (Informative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19">
        <v>5</v>
      </c>
      <c r="C5" s="19">
        <v>3.4129999999999998</v>
      </c>
      <c r="E5" s="57">
        <v>8</v>
      </c>
      <c r="F5" s="57">
        <v>1</v>
      </c>
      <c r="G5" s="57" t="s">
        <v>687</v>
      </c>
      <c r="H5" s="57">
        <v>4.8120000000000003E-3</v>
      </c>
      <c r="I5" s="57">
        <v>1.2010000000000001</v>
      </c>
      <c r="J5" s="57">
        <v>1294</v>
      </c>
      <c r="K5" s="59" t="str">
        <f t="shared" ref="K5:K49" si="0">CONCATENATE(TEXT(I5,"0.00")," (",TEXT(H5,"0.00")," – ",TEXT(J5,"0.00"),")")</f>
        <v>1.20 (0.00 – 1294.00)</v>
      </c>
      <c r="L5" s="16" t="str">
        <f t="shared" ref="L5:L49" si="1">CONCATENATE(TEXT(I5,"0.00"),"
(",TEXT(H5,"0.00")," – ",TEXT(J5,"0.00"),")")</f>
        <v>1.20
(0.00 – 1294.00)</v>
      </c>
      <c r="N5" s="59" t="s">
        <v>418</v>
      </c>
      <c r="O5" s="16" t="s">
        <v>681</v>
      </c>
      <c r="P5">
        <v>0.4909</v>
      </c>
      <c r="Q5">
        <v>0.89339999999999997</v>
      </c>
      <c r="R5">
        <v>1.6479999999999999</v>
      </c>
      <c r="S5">
        <v>2</v>
      </c>
      <c r="T5">
        <v>1</v>
      </c>
    </row>
    <row r="6" spans="1:20" x14ac:dyDescent="0.25">
      <c r="A6" t="s">
        <v>358</v>
      </c>
      <c r="B6" s="19">
        <v>7</v>
      </c>
      <c r="C6" s="19">
        <v>3.8919999999999999</v>
      </c>
      <c r="E6" s="19">
        <v>8</v>
      </c>
      <c r="F6" s="19">
        <v>10</v>
      </c>
      <c r="G6" s="19" t="s">
        <v>739</v>
      </c>
      <c r="H6" s="19">
        <v>4.585052728106373E-3</v>
      </c>
      <c r="I6" s="19">
        <v>1.1901928112354203</v>
      </c>
      <c r="J6" s="19">
        <v>1314.7515119642389</v>
      </c>
      <c r="K6" s="59" t="str">
        <f t="shared" si="0"/>
        <v>1.19 (0.00 – 1314.75)</v>
      </c>
      <c r="L6" s="16" t="str">
        <f t="shared" si="1"/>
        <v>1.19
(0.00 – 1314.75)</v>
      </c>
      <c r="N6" s="59" t="s">
        <v>419</v>
      </c>
      <c r="O6" s="16" t="s">
        <v>682</v>
      </c>
      <c r="P6">
        <v>0.51319999999999999</v>
      </c>
      <c r="Q6">
        <v>0.93330000000000002</v>
      </c>
      <c r="R6">
        <v>1.6619999999999999</v>
      </c>
      <c r="S6">
        <v>3</v>
      </c>
      <c r="T6">
        <v>1</v>
      </c>
    </row>
    <row r="7" spans="1:20" x14ac:dyDescent="0.25">
      <c r="A7" t="s">
        <v>357</v>
      </c>
      <c r="B7" s="54">
        <v>6</v>
      </c>
      <c r="C7" s="54">
        <v>4.1340000000000003</v>
      </c>
      <c r="E7" s="19">
        <v>8</v>
      </c>
      <c r="F7" s="19">
        <v>4</v>
      </c>
      <c r="G7" s="19" t="s">
        <v>708</v>
      </c>
      <c r="H7" s="19">
        <v>4.509E-3</v>
      </c>
      <c r="I7" s="19">
        <v>1.1739999999999999</v>
      </c>
      <c r="J7" s="19">
        <v>1299</v>
      </c>
      <c r="K7" s="59" t="str">
        <f t="shared" si="0"/>
        <v>1.17 (0.00 – 1299.00)</v>
      </c>
      <c r="L7" s="16" t="str">
        <f t="shared" si="1"/>
        <v>1.17
(0.00 – 1299.00)</v>
      </c>
      <c r="N7" s="59" t="s">
        <v>420</v>
      </c>
      <c r="O7" s="16" t="s">
        <v>683</v>
      </c>
      <c r="P7">
        <v>0.46029999999999999</v>
      </c>
      <c r="Q7">
        <v>1.0169999999999999</v>
      </c>
      <c r="R7">
        <v>2.23</v>
      </c>
      <c r="S7">
        <v>4</v>
      </c>
      <c r="T7">
        <v>1</v>
      </c>
    </row>
    <row r="8" spans="1:20" x14ac:dyDescent="0.25">
      <c r="A8" t="s">
        <v>353</v>
      </c>
      <c r="B8" s="54">
        <v>2</v>
      </c>
      <c r="C8" s="54">
        <v>5.2930000000000001</v>
      </c>
      <c r="E8" s="19">
        <v>1</v>
      </c>
      <c r="F8" s="59">
        <v>10</v>
      </c>
      <c r="G8" s="54" t="s">
        <v>738</v>
      </c>
      <c r="H8" s="16">
        <v>0.5402485143165856</v>
      </c>
      <c r="I8" s="16">
        <v>0.99800399201596801</v>
      </c>
      <c r="J8" s="16">
        <v>1.847063169560399</v>
      </c>
      <c r="K8" s="59" t="str">
        <f t="shared" si="0"/>
        <v>1.00 (0.54 – 1.85)</v>
      </c>
      <c r="L8" s="16" t="str">
        <f t="shared" si="1"/>
        <v>1.00
(0.54 – 1.85)</v>
      </c>
      <c r="N8" s="59" t="s">
        <v>421</v>
      </c>
      <c r="O8" s="16" t="s">
        <v>684</v>
      </c>
      <c r="P8">
        <v>0.1066</v>
      </c>
      <c r="Q8">
        <v>0.53200000000000003</v>
      </c>
      <c r="R8">
        <v>2.4990000000000001</v>
      </c>
      <c r="S8">
        <v>5</v>
      </c>
      <c r="T8">
        <v>1</v>
      </c>
    </row>
    <row r="9" spans="1:20" x14ac:dyDescent="0.25">
      <c r="A9" t="s">
        <v>354</v>
      </c>
      <c r="B9" s="54">
        <v>3</v>
      </c>
      <c r="C9" s="54">
        <v>5.5659999999999998</v>
      </c>
      <c r="E9" s="19">
        <v>1</v>
      </c>
      <c r="F9" s="19">
        <v>4</v>
      </c>
      <c r="G9" s="19" t="s">
        <v>821</v>
      </c>
      <c r="H9" s="19">
        <v>0.44843049327354262</v>
      </c>
      <c r="I9" s="19">
        <v>0.98328416912487715</v>
      </c>
      <c r="J9" s="19">
        <v>2.1724961981316535</v>
      </c>
      <c r="K9" s="59" t="str">
        <f t="shared" si="0"/>
        <v>0.98 (0.45 – 2.17)</v>
      </c>
      <c r="L9" s="16" t="str">
        <f t="shared" si="1"/>
        <v>0.98
(0.45 – 2.17)</v>
      </c>
      <c r="N9" s="59" t="s">
        <v>422</v>
      </c>
      <c r="O9" s="16" t="s">
        <v>685</v>
      </c>
      <c r="P9">
        <v>0.18970000000000001</v>
      </c>
      <c r="Q9">
        <v>0.68389999999999995</v>
      </c>
      <c r="R9">
        <v>2.34</v>
      </c>
      <c r="S9">
        <v>6</v>
      </c>
      <c r="T9">
        <v>1</v>
      </c>
    </row>
    <row r="10" spans="1:20" x14ac:dyDescent="0.25">
      <c r="A10" t="s">
        <v>359</v>
      </c>
      <c r="B10" s="54">
        <v>8</v>
      </c>
      <c r="C10" s="54">
        <v>5.9619999999999997</v>
      </c>
      <c r="E10" s="19">
        <v>10</v>
      </c>
      <c r="F10" s="59">
        <v>4</v>
      </c>
      <c r="G10" s="54" t="s">
        <v>710</v>
      </c>
      <c r="H10" s="16">
        <v>0.4304</v>
      </c>
      <c r="I10" s="16">
        <v>0.98250000000000004</v>
      </c>
      <c r="J10" s="16">
        <v>2.2719999999999998</v>
      </c>
      <c r="K10" s="59" t="str">
        <f t="shared" si="0"/>
        <v>0.98 (0.43 – 2.27)</v>
      </c>
      <c r="L10" s="16" t="str">
        <f t="shared" si="1"/>
        <v>0.98
(0.43 – 2.27)</v>
      </c>
      <c r="N10" s="59" t="s">
        <v>423</v>
      </c>
      <c r="O10" s="16" t="s">
        <v>686</v>
      </c>
      <c r="P10">
        <v>0.14269999999999999</v>
      </c>
      <c r="Q10">
        <v>0.61699999999999999</v>
      </c>
      <c r="R10">
        <v>2.5289999999999999</v>
      </c>
      <c r="S10">
        <v>7</v>
      </c>
      <c r="T10">
        <v>1</v>
      </c>
    </row>
    <row r="11" spans="1:20" x14ac:dyDescent="0.25">
      <c r="A11" t="s">
        <v>352</v>
      </c>
      <c r="B11" s="19">
        <v>1</v>
      </c>
      <c r="C11" s="19">
        <v>6.133</v>
      </c>
      <c r="E11" s="19">
        <v>2</v>
      </c>
      <c r="F11" s="19">
        <v>3</v>
      </c>
      <c r="G11" s="19" t="s">
        <v>815</v>
      </c>
      <c r="H11" s="19">
        <v>0.56657223796033995</v>
      </c>
      <c r="I11" s="19">
        <v>0.96525096525096521</v>
      </c>
      <c r="J11" s="19">
        <v>1.6165535079211122</v>
      </c>
      <c r="K11" s="59" t="str">
        <f t="shared" si="0"/>
        <v>0.97 (0.57 – 1.62)</v>
      </c>
      <c r="L11" s="16" t="str">
        <f t="shared" si="1"/>
        <v>0.97
(0.57 – 1.62)</v>
      </c>
      <c r="N11" s="59" t="s">
        <v>424</v>
      </c>
      <c r="O11" s="16" t="s">
        <v>687</v>
      </c>
      <c r="P11">
        <v>4.8120000000000003E-3</v>
      </c>
      <c r="Q11">
        <v>1.2010000000000001</v>
      </c>
      <c r="R11">
        <v>1294</v>
      </c>
      <c r="S11">
        <v>8</v>
      </c>
      <c r="T11">
        <v>1</v>
      </c>
    </row>
    <row r="12" spans="1:20" x14ac:dyDescent="0.25">
      <c r="A12" t="s">
        <v>361</v>
      </c>
      <c r="B12" s="19">
        <v>10</v>
      </c>
      <c r="C12" s="19">
        <v>6.2309999999999999</v>
      </c>
      <c r="E12" s="19">
        <v>3</v>
      </c>
      <c r="F12" s="19">
        <v>1</v>
      </c>
      <c r="G12" s="19" t="s">
        <v>682</v>
      </c>
      <c r="H12" s="19">
        <v>0.51319999999999999</v>
      </c>
      <c r="I12" s="19">
        <v>0.93330000000000002</v>
      </c>
      <c r="J12" s="19">
        <v>1.6619999999999999</v>
      </c>
      <c r="K12" s="59" t="str">
        <f t="shared" si="0"/>
        <v>0.93 (0.51 – 1.66)</v>
      </c>
      <c r="L12" s="16" t="str">
        <f t="shared" si="1"/>
        <v>0.93
(0.51 – 1.66)</v>
      </c>
      <c r="N12" s="59" t="s">
        <v>425</v>
      </c>
      <c r="O12" s="16" t="s">
        <v>688</v>
      </c>
      <c r="P12">
        <v>0.70730000000000004</v>
      </c>
      <c r="Q12">
        <v>1.38</v>
      </c>
      <c r="R12">
        <v>2.7719999999999998</v>
      </c>
      <c r="S12">
        <v>9</v>
      </c>
      <c r="T12">
        <v>1</v>
      </c>
    </row>
    <row r="13" spans="1:20" x14ac:dyDescent="0.25">
      <c r="A13" t="s">
        <v>355</v>
      </c>
      <c r="B13" s="19">
        <v>4</v>
      </c>
      <c r="C13" s="19">
        <v>6.2510000000000003</v>
      </c>
      <c r="E13" s="19">
        <v>3</v>
      </c>
      <c r="F13" s="59">
        <v>10</v>
      </c>
      <c r="G13" s="54" t="s">
        <v>736</v>
      </c>
      <c r="H13" s="16">
        <v>0.55741360089186176</v>
      </c>
      <c r="I13" s="16">
        <v>0.92936802973977695</v>
      </c>
      <c r="J13" s="16">
        <v>1.5590894917368259</v>
      </c>
      <c r="K13" s="59" t="str">
        <f t="shared" si="0"/>
        <v>0.93 (0.56 – 1.56)</v>
      </c>
      <c r="L13" s="16" t="str">
        <f t="shared" si="1"/>
        <v>0.93
(0.56 – 1.56)</v>
      </c>
      <c r="N13" s="59" t="s">
        <v>426</v>
      </c>
      <c r="O13" s="16" t="s">
        <v>689</v>
      </c>
      <c r="P13">
        <v>0.54139999999999999</v>
      </c>
      <c r="Q13">
        <v>1.002</v>
      </c>
      <c r="R13">
        <v>1.851</v>
      </c>
      <c r="S13">
        <v>10</v>
      </c>
      <c r="T13">
        <v>1</v>
      </c>
    </row>
    <row r="14" spans="1:20" x14ac:dyDescent="0.25">
      <c r="A14" t="s">
        <v>360</v>
      </c>
      <c r="B14" s="54">
        <v>9</v>
      </c>
      <c r="C14" s="54">
        <v>8.125</v>
      </c>
      <c r="E14" s="57">
        <v>3</v>
      </c>
      <c r="F14" s="57">
        <v>4</v>
      </c>
      <c r="G14" s="57" t="s">
        <v>819</v>
      </c>
      <c r="H14" s="57">
        <v>0.45126353790613716</v>
      </c>
      <c r="I14" s="57">
        <v>0.91491308325709064</v>
      </c>
      <c r="J14" s="57">
        <v>1.8556318426424196</v>
      </c>
      <c r="K14" s="59" t="str">
        <f t="shared" si="0"/>
        <v>0.91 (0.45 – 1.86)</v>
      </c>
      <c r="L14" s="16" t="str">
        <f t="shared" si="1"/>
        <v>0.91
(0.45 – 1.86)</v>
      </c>
      <c r="N14" s="59" t="s">
        <v>427</v>
      </c>
      <c r="O14" s="16" t="s">
        <v>690</v>
      </c>
      <c r="P14">
        <v>0.61860000000000004</v>
      </c>
      <c r="Q14">
        <v>1.036</v>
      </c>
      <c r="R14">
        <v>1.7649999999999999</v>
      </c>
      <c r="S14">
        <v>3</v>
      </c>
      <c r="T14">
        <v>2</v>
      </c>
    </row>
    <row r="15" spans="1:20" ht="15" customHeight="1" x14ac:dyDescent="0.25">
      <c r="E15" s="19">
        <v>7</v>
      </c>
      <c r="F15" s="59">
        <v>6</v>
      </c>
      <c r="G15" s="54" t="s">
        <v>716</v>
      </c>
      <c r="H15" s="16">
        <v>0.15010000000000001</v>
      </c>
      <c r="I15" s="16">
        <v>0.90500000000000003</v>
      </c>
      <c r="J15" s="16">
        <v>5.5380000000000003</v>
      </c>
      <c r="K15" s="59" t="str">
        <f t="shared" si="0"/>
        <v>0.91 (0.15 – 5.54)</v>
      </c>
      <c r="L15" s="16" t="str">
        <f t="shared" si="1"/>
        <v>0.91
(0.15 – 5.54)</v>
      </c>
      <c r="N15" s="59" t="s">
        <v>428</v>
      </c>
      <c r="O15" s="16" t="s">
        <v>691</v>
      </c>
      <c r="P15">
        <v>0.49909999999999999</v>
      </c>
      <c r="Q15">
        <v>1.137</v>
      </c>
      <c r="R15">
        <v>2.589</v>
      </c>
      <c r="S15">
        <v>4</v>
      </c>
      <c r="T15">
        <v>2</v>
      </c>
    </row>
    <row r="16" spans="1:20" ht="15" customHeight="1" x14ac:dyDescent="0.25">
      <c r="E16" s="19">
        <v>2</v>
      </c>
      <c r="F16" s="59">
        <v>1</v>
      </c>
      <c r="G16" s="54" t="s">
        <v>681</v>
      </c>
      <c r="H16" s="16">
        <v>0.4909</v>
      </c>
      <c r="I16" s="16">
        <v>0.89339999999999997</v>
      </c>
      <c r="J16" s="16">
        <v>1.6479999999999999</v>
      </c>
      <c r="K16" s="59" t="str">
        <f t="shared" si="0"/>
        <v>0.89 (0.49 – 1.65)</v>
      </c>
      <c r="L16" s="16" t="str">
        <f t="shared" si="1"/>
        <v>0.89
(0.49 – 1.65)</v>
      </c>
      <c r="N16" s="59" t="s">
        <v>429</v>
      </c>
      <c r="O16" s="16" t="s">
        <v>692</v>
      </c>
      <c r="P16">
        <v>0.13500000000000001</v>
      </c>
      <c r="Q16">
        <v>0.58960000000000001</v>
      </c>
      <c r="R16">
        <v>2.4540000000000002</v>
      </c>
      <c r="S16">
        <v>5</v>
      </c>
      <c r="T16">
        <v>2</v>
      </c>
    </row>
    <row r="17" spans="5:20" ht="15" customHeight="1" x14ac:dyDescent="0.25">
      <c r="E17" s="57">
        <v>2</v>
      </c>
      <c r="F17" s="57">
        <v>10</v>
      </c>
      <c r="G17" s="57" t="s">
        <v>740</v>
      </c>
      <c r="H17" s="57">
        <v>0.51546391752577325</v>
      </c>
      <c r="I17" s="57">
        <v>0.89206066012488849</v>
      </c>
      <c r="J17" s="57">
        <v>1.5335071308081583</v>
      </c>
      <c r="K17" s="59" t="str">
        <f t="shared" si="0"/>
        <v>0.89 (0.52 – 1.53)</v>
      </c>
      <c r="L17" s="16" t="str">
        <f t="shared" si="1"/>
        <v>0.89
(0.52 – 1.53)</v>
      </c>
      <c r="N17" s="59" t="s">
        <v>430</v>
      </c>
      <c r="O17" s="16" t="s">
        <v>693</v>
      </c>
      <c r="P17">
        <v>0.21229999999999999</v>
      </c>
      <c r="Q17">
        <v>0.75570000000000004</v>
      </c>
      <c r="R17">
        <v>2.5670000000000002</v>
      </c>
      <c r="S17">
        <v>6</v>
      </c>
      <c r="T17">
        <v>2</v>
      </c>
    </row>
    <row r="18" spans="5:20" ht="15" customHeight="1" x14ac:dyDescent="0.25">
      <c r="E18" s="19">
        <v>2</v>
      </c>
      <c r="F18" s="19">
        <v>4</v>
      </c>
      <c r="G18" s="19" t="s">
        <v>817</v>
      </c>
      <c r="H18" s="19">
        <v>0.38624951718810352</v>
      </c>
      <c r="I18" s="19">
        <v>0.87950747581354438</v>
      </c>
      <c r="J18" s="19">
        <v>2.0036064916850331</v>
      </c>
      <c r="K18" s="59" t="str">
        <f t="shared" si="0"/>
        <v>0.88 (0.39 – 2.00)</v>
      </c>
      <c r="L18" s="16" t="str">
        <f t="shared" si="1"/>
        <v>0.88
(0.39 – 2.00)</v>
      </c>
      <c r="N18" s="59" t="s">
        <v>431</v>
      </c>
      <c r="O18" s="16" t="s">
        <v>694</v>
      </c>
      <c r="P18">
        <v>0.18290000000000001</v>
      </c>
      <c r="Q18">
        <v>0.69479999999999997</v>
      </c>
      <c r="R18">
        <v>2.3849999999999998</v>
      </c>
      <c r="S18">
        <v>7</v>
      </c>
      <c r="T18">
        <v>2</v>
      </c>
    </row>
    <row r="19" spans="5:20" ht="15" customHeight="1" x14ac:dyDescent="0.25">
      <c r="E19" s="19">
        <v>8</v>
      </c>
      <c r="F19" s="19">
        <v>9</v>
      </c>
      <c r="G19" s="19" t="s">
        <v>820</v>
      </c>
      <c r="H19" s="19">
        <v>3.4626038781163434E-3</v>
      </c>
      <c r="I19" s="19">
        <v>0.87108013937282236</v>
      </c>
      <c r="J19" s="19">
        <v>1015.6408693885842</v>
      </c>
      <c r="K19" s="59" t="str">
        <f t="shared" si="0"/>
        <v>0.87 (0.00 – 1015.64)</v>
      </c>
      <c r="L19" s="16" t="str">
        <f t="shared" si="1"/>
        <v>0.87
(0.00 – 1015.64)</v>
      </c>
      <c r="N19" s="59" t="s">
        <v>432</v>
      </c>
      <c r="O19" s="16" t="s">
        <v>695</v>
      </c>
      <c r="P19">
        <v>5.2180000000000004E-3</v>
      </c>
      <c r="Q19">
        <v>1.34</v>
      </c>
      <c r="R19">
        <v>1413</v>
      </c>
      <c r="S19">
        <v>8</v>
      </c>
      <c r="T19">
        <v>2</v>
      </c>
    </row>
    <row r="20" spans="5:20" ht="15" customHeight="1" x14ac:dyDescent="0.25">
      <c r="E20" s="57">
        <v>5</v>
      </c>
      <c r="F20" s="57">
        <v>7</v>
      </c>
      <c r="G20" s="57" t="s">
        <v>731</v>
      </c>
      <c r="H20" s="57">
        <v>0.12504689258471927</v>
      </c>
      <c r="I20" s="57">
        <v>0.85324232081911267</v>
      </c>
      <c r="J20" s="57">
        <v>5.9844404548174746</v>
      </c>
      <c r="K20" s="59" t="str">
        <f t="shared" si="0"/>
        <v>0.85 (0.13 – 5.98)</v>
      </c>
      <c r="L20" s="16" t="str">
        <f t="shared" si="1"/>
        <v>0.85
(0.13 – 5.98)</v>
      </c>
      <c r="N20" s="59" t="s">
        <v>433</v>
      </c>
      <c r="O20" s="16" t="s">
        <v>696</v>
      </c>
      <c r="P20">
        <v>0.66320000000000001</v>
      </c>
      <c r="Q20">
        <v>1.54</v>
      </c>
      <c r="R20">
        <v>3.64</v>
      </c>
      <c r="S20">
        <v>9</v>
      </c>
      <c r="T20">
        <v>2</v>
      </c>
    </row>
    <row r="21" spans="5:20" ht="15" customHeight="1" x14ac:dyDescent="0.25">
      <c r="E21" s="57">
        <v>3</v>
      </c>
      <c r="F21" s="57">
        <v>8</v>
      </c>
      <c r="G21" s="57" t="s">
        <v>735</v>
      </c>
      <c r="H21" s="57">
        <v>7.4460163812360388E-4</v>
      </c>
      <c r="I21" s="57">
        <v>0.78064012490242007</v>
      </c>
      <c r="J21" s="57">
        <v>199.52114924181964</v>
      </c>
      <c r="K21" s="59" t="str">
        <f t="shared" si="0"/>
        <v>0.78 (0.00 – 199.52)</v>
      </c>
      <c r="L21" s="16" t="str">
        <f t="shared" si="1"/>
        <v>0.78
(0.00 – 199.52)</v>
      </c>
      <c r="N21" s="59" t="s">
        <v>434</v>
      </c>
      <c r="O21" s="16" t="s">
        <v>697</v>
      </c>
      <c r="P21">
        <v>0.65210000000000001</v>
      </c>
      <c r="Q21">
        <v>1.121</v>
      </c>
      <c r="R21">
        <v>1.94</v>
      </c>
      <c r="S21">
        <v>10</v>
      </c>
      <c r="T21">
        <v>2</v>
      </c>
    </row>
    <row r="22" spans="5:20" ht="15" customHeight="1" x14ac:dyDescent="0.25">
      <c r="E22" s="19">
        <v>5</v>
      </c>
      <c r="F22" s="19">
        <v>6</v>
      </c>
      <c r="G22" s="19" t="s">
        <v>812</v>
      </c>
      <c r="H22" s="19">
        <v>0.11798017932987256</v>
      </c>
      <c r="I22" s="19">
        <v>0.77639751552795033</v>
      </c>
      <c r="J22" s="19">
        <v>5.173305742369374</v>
      </c>
      <c r="K22" s="59" t="str">
        <f t="shared" si="0"/>
        <v>0.78 (0.12 – 5.17)</v>
      </c>
      <c r="L22" s="16" t="str">
        <f t="shared" si="1"/>
        <v>0.78
(0.12 – 5.17)</v>
      </c>
      <c r="N22" s="59" t="s">
        <v>435</v>
      </c>
      <c r="O22" s="16" t="s">
        <v>698</v>
      </c>
      <c r="P22">
        <v>0.53890000000000005</v>
      </c>
      <c r="Q22">
        <v>1.093</v>
      </c>
      <c r="R22">
        <v>2.2160000000000002</v>
      </c>
      <c r="S22">
        <v>4</v>
      </c>
      <c r="T22">
        <v>3</v>
      </c>
    </row>
    <row r="23" spans="5:20" ht="15" customHeight="1" x14ac:dyDescent="0.25">
      <c r="E23" s="57">
        <v>6</v>
      </c>
      <c r="F23" s="57">
        <v>2</v>
      </c>
      <c r="G23" s="57" t="s">
        <v>693</v>
      </c>
      <c r="H23" s="57">
        <v>0.21229999999999999</v>
      </c>
      <c r="I23" s="57">
        <v>0.75570000000000004</v>
      </c>
      <c r="J23" s="57">
        <v>2.5670000000000002</v>
      </c>
      <c r="K23" s="59" t="str">
        <f t="shared" si="0"/>
        <v>0.76 (0.21 – 2.57)</v>
      </c>
      <c r="L23" s="16" t="str">
        <f t="shared" si="1"/>
        <v>0.76
(0.21 – 2.57)</v>
      </c>
      <c r="N23" s="59" t="s">
        <v>436</v>
      </c>
      <c r="O23" s="16" t="s">
        <v>699</v>
      </c>
      <c r="P23">
        <v>0.11940000000000001</v>
      </c>
      <c r="Q23">
        <v>0.5675</v>
      </c>
      <c r="R23">
        <v>2.637</v>
      </c>
      <c r="S23">
        <v>5</v>
      </c>
      <c r="T23">
        <v>3</v>
      </c>
    </row>
    <row r="24" spans="5:20" ht="15" customHeight="1" x14ac:dyDescent="0.25">
      <c r="E24" s="19">
        <v>2</v>
      </c>
      <c r="F24" s="59">
        <v>8</v>
      </c>
      <c r="G24" s="54" t="s">
        <v>816</v>
      </c>
      <c r="H24" s="16">
        <v>7.0771408351026188E-4</v>
      </c>
      <c r="I24" s="16">
        <v>0.74626865671641784</v>
      </c>
      <c r="J24" s="16">
        <v>191.64430816404752</v>
      </c>
      <c r="K24" s="59" t="str">
        <f t="shared" si="0"/>
        <v>0.75 (0.00 – 191.64)</v>
      </c>
      <c r="L24" s="16" t="str">
        <f t="shared" si="1"/>
        <v>0.75
(0.00 – 191.64)</v>
      </c>
      <c r="N24" s="59" t="s">
        <v>437</v>
      </c>
      <c r="O24" s="16" t="s">
        <v>700</v>
      </c>
      <c r="P24">
        <v>0.23089999999999999</v>
      </c>
      <c r="Q24">
        <v>0.72729999999999995</v>
      </c>
      <c r="R24">
        <v>2.1819999999999999</v>
      </c>
      <c r="S24">
        <v>6</v>
      </c>
      <c r="T24">
        <v>3</v>
      </c>
    </row>
    <row r="25" spans="5:20" ht="15" customHeight="1" x14ac:dyDescent="0.25">
      <c r="E25" s="57">
        <v>4</v>
      </c>
      <c r="F25" s="57">
        <v>9</v>
      </c>
      <c r="G25" s="57" t="s">
        <v>733</v>
      </c>
      <c r="H25" s="57">
        <v>0.27442371020856199</v>
      </c>
      <c r="I25" s="57">
        <v>0.73964497041420119</v>
      </c>
      <c r="J25" s="57">
        <v>1.9542700801250732</v>
      </c>
      <c r="K25" s="59" t="str">
        <f t="shared" si="0"/>
        <v>0.74 (0.27 – 1.95)</v>
      </c>
      <c r="L25" s="16" t="str">
        <f t="shared" si="1"/>
        <v>0.74
(0.27 – 1.95)</v>
      </c>
      <c r="N25" s="59" t="s">
        <v>438</v>
      </c>
      <c r="O25" s="16" t="s">
        <v>701</v>
      </c>
      <c r="P25">
        <v>0.15679999999999999</v>
      </c>
      <c r="Q25">
        <v>0.66639999999999999</v>
      </c>
      <c r="R25">
        <v>2.5779999999999998</v>
      </c>
      <c r="S25">
        <v>7</v>
      </c>
      <c r="T25">
        <v>3</v>
      </c>
    </row>
    <row r="26" spans="5:20" ht="15" customHeight="1" x14ac:dyDescent="0.25">
      <c r="E26" s="57">
        <v>10</v>
      </c>
      <c r="F26" s="57">
        <v>9</v>
      </c>
      <c r="G26" s="57" t="s">
        <v>725</v>
      </c>
      <c r="H26" s="57">
        <v>0.30769999999999997</v>
      </c>
      <c r="I26" s="57">
        <v>0.7288</v>
      </c>
      <c r="J26" s="57">
        <v>1.698</v>
      </c>
      <c r="K26" s="59" t="str">
        <f t="shared" si="0"/>
        <v>0.73 (0.31 – 1.70)</v>
      </c>
      <c r="L26" s="16" t="str">
        <f t="shared" si="1"/>
        <v>0.73
(0.31 – 1.70)</v>
      </c>
      <c r="N26" s="59" t="s">
        <v>439</v>
      </c>
      <c r="O26" s="16" t="s">
        <v>702</v>
      </c>
      <c r="P26">
        <v>5.012E-3</v>
      </c>
      <c r="Q26">
        <v>1.2809999999999999</v>
      </c>
      <c r="R26">
        <v>1343</v>
      </c>
      <c r="S26">
        <v>8</v>
      </c>
      <c r="T26">
        <v>3</v>
      </c>
    </row>
    <row r="27" spans="5:20" ht="15" customHeight="1" x14ac:dyDescent="0.25">
      <c r="E27" s="57">
        <v>6</v>
      </c>
      <c r="F27" s="57">
        <v>3</v>
      </c>
      <c r="G27" s="57" t="s">
        <v>700</v>
      </c>
      <c r="H27" s="57">
        <v>0.23089999999999999</v>
      </c>
      <c r="I27" s="57">
        <v>0.72729999999999995</v>
      </c>
      <c r="J27" s="57">
        <v>2.1819999999999999</v>
      </c>
      <c r="K27" s="59" t="str">
        <f t="shared" si="0"/>
        <v>0.73 (0.23 – 2.18)</v>
      </c>
      <c r="L27" s="16" t="str">
        <f t="shared" si="1"/>
        <v>0.73
(0.23 – 2.18)</v>
      </c>
      <c r="N27" s="59" t="s">
        <v>440</v>
      </c>
      <c r="O27" s="16" t="s">
        <v>703</v>
      </c>
      <c r="P27">
        <v>0.68100000000000005</v>
      </c>
      <c r="Q27">
        <v>1.47</v>
      </c>
      <c r="R27">
        <v>3.3610000000000002</v>
      </c>
      <c r="S27">
        <v>9</v>
      </c>
      <c r="T27">
        <v>3</v>
      </c>
    </row>
    <row r="28" spans="5:20" ht="15" customHeight="1" x14ac:dyDescent="0.25">
      <c r="E28" s="19">
        <v>1</v>
      </c>
      <c r="F28" s="19">
        <v>9</v>
      </c>
      <c r="G28" s="19" t="s">
        <v>737</v>
      </c>
      <c r="H28" s="19">
        <v>0.36075036075036077</v>
      </c>
      <c r="I28" s="19">
        <v>0.7246376811594204</v>
      </c>
      <c r="J28" s="19">
        <v>1.4138272303124557</v>
      </c>
      <c r="K28" s="59" t="str">
        <f t="shared" si="0"/>
        <v>0.72 (0.36 – 1.41)</v>
      </c>
      <c r="L28" s="16" t="str">
        <f t="shared" si="1"/>
        <v>0.72
(0.36 – 1.41)</v>
      </c>
      <c r="N28" s="59" t="s">
        <v>441</v>
      </c>
      <c r="O28" s="16" t="s">
        <v>704</v>
      </c>
      <c r="P28">
        <v>0.64139999999999997</v>
      </c>
      <c r="Q28">
        <v>1.0760000000000001</v>
      </c>
      <c r="R28">
        <v>1.794</v>
      </c>
      <c r="S28">
        <v>10</v>
      </c>
      <c r="T28">
        <v>3</v>
      </c>
    </row>
    <row r="29" spans="5:20" ht="15" customHeight="1" x14ac:dyDescent="0.25">
      <c r="E29" s="19">
        <v>7</v>
      </c>
      <c r="F29" s="59">
        <v>2</v>
      </c>
      <c r="G29" s="54" t="s">
        <v>694</v>
      </c>
      <c r="H29" s="16">
        <v>0.18290000000000001</v>
      </c>
      <c r="I29" s="16">
        <v>0.69479999999999997</v>
      </c>
      <c r="J29" s="16">
        <v>2.3849999999999998</v>
      </c>
      <c r="K29" s="59" t="str">
        <f t="shared" si="0"/>
        <v>0.69 (0.18 – 2.39)</v>
      </c>
      <c r="L29" s="16" t="str">
        <f t="shared" si="1"/>
        <v>0.69
(0.18 – 2.39)</v>
      </c>
      <c r="N29" s="59" t="s">
        <v>442</v>
      </c>
      <c r="O29" s="16" t="s">
        <v>705</v>
      </c>
      <c r="P29">
        <v>9.8369999999999999E-2</v>
      </c>
      <c r="Q29">
        <v>0.51629999999999998</v>
      </c>
      <c r="R29">
        <v>2.6890000000000001</v>
      </c>
      <c r="S29">
        <v>5</v>
      </c>
      <c r="T29">
        <v>4</v>
      </c>
    </row>
    <row r="30" spans="5:20" ht="15" customHeight="1" x14ac:dyDescent="0.25">
      <c r="E30" s="19">
        <v>6</v>
      </c>
      <c r="F30" s="59">
        <v>1</v>
      </c>
      <c r="G30" s="54" t="s">
        <v>685</v>
      </c>
      <c r="H30" s="16">
        <v>0.18970000000000001</v>
      </c>
      <c r="I30" s="16">
        <v>0.68389999999999995</v>
      </c>
      <c r="J30" s="16">
        <v>2.34</v>
      </c>
      <c r="K30" s="59" t="str">
        <f t="shared" si="0"/>
        <v>0.68 (0.19 – 2.34)</v>
      </c>
      <c r="L30" s="16" t="str">
        <f t="shared" si="1"/>
        <v>0.68
(0.19 – 2.34)</v>
      </c>
      <c r="N30" s="59" t="s">
        <v>443</v>
      </c>
      <c r="O30" s="16" t="s">
        <v>706</v>
      </c>
      <c r="P30">
        <v>0.1699</v>
      </c>
      <c r="Q30">
        <v>0.66769999999999996</v>
      </c>
      <c r="R30">
        <v>2.4820000000000002</v>
      </c>
      <c r="S30">
        <v>6</v>
      </c>
      <c r="T30">
        <v>4</v>
      </c>
    </row>
    <row r="31" spans="5:20" ht="15" customHeight="1" x14ac:dyDescent="0.25">
      <c r="E31" s="19">
        <v>3</v>
      </c>
      <c r="F31" s="19">
        <v>9</v>
      </c>
      <c r="G31" s="19" t="s">
        <v>734</v>
      </c>
      <c r="H31" s="19">
        <v>0.29753049687592975</v>
      </c>
      <c r="I31" s="19">
        <v>0.68027210884353739</v>
      </c>
      <c r="J31" s="19">
        <v>1.4684287812041115</v>
      </c>
      <c r="K31" s="59" t="str">
        <f t="shared" si="0"/>
        <v>0.68 (0.30 – 1.47)</v>
      </c>
      <c r="L31" s="16" t="str">
        <f t="shared" si="1"/>
        <v>0.68
(0.30 – 1.47)</v>
      </c>
      <c r="N31" s="59" t="s">
        <v>444</v>
      </c>
      <c r="O31" s="16" t="s">
        <v>707</v>
      </c>
      <c r="P31">
        <v>0.1225</v>
      </c>
      <c r="Q31">
        <v>0.61399999999999999</v>
      </c>
      <c r="R31">
        <v>2.81</v>
      </c>
      <c r="S31">
        <v>7</v>
      </c>
      <c r="T31">
        <v>4</v>
      </c>
    </row>
    <row r="32" spans="5:20" ht="15" customHeight="1" x14ac:dyDescent="0.25">
      <c r="E32" s="19">
        <v>6</v>
      </c>
      <c r="F32" s="19">
        <v>10</v>
      </c>
      <c r="G32" s="19" t="s">
        <v>728</v>
      </c>
      <c r="H32" s="19">
        <v>0.19142419601837671</v>
      </c>
      <c r="I32" s="19">
        <v>0.67476383265856954</v>
      </c>
      <c r="J32" s="19">
        <v>2.3201856148491879</v>
      </c>
      <c r="K32" s="59" t="str">
        <f t="shared" si="0"/>
        <v>0.67 (0.19 – 2.32)</v>
      </c>
      <c r="L32" s="16" t="str">
        <f t="shared" si="1"/>
        <v>0.67
(0.19 – 2.32)</v>
      </c>
      <c r="N32" s="59" t="s">
        <v>445</v>
      </c>
      <c r="O32" s="16" t="s">
        <v>708</v>
      </c>
      <c r="P32">
        <v>4.509E-3</v>
      </c>
      <c r="Q32">
        <v>1.1739999999999999</v>
      </c>
      <c r="R32">
        <v>1299</v>
      </c>
      <c r="S32">
        <v>8</v>
      </c>
      <c r="T32">
        <v>4</v>
      </c>
    </row>
    <row r="33" spans="3:20" ht="15" customHeight="1" x14ac:dyDescent="0.25">
      <c r="E33" s="19">
        <v>6</v>
      </c>
      <c r="F33" s="19">
        <v>4</v>
      </c>
      <c r="G33" s="19" t="s">
        <v>706</v>
      </c>
      <c r="H33" s="19">
        <v>0.1699</v>
      </c>
      <c r="I33" s="19">
        <v>0.66769999999999996</v>
      </c>
      <c r="J33" s="19">
        <v>2.4820000000000002</v>
      </c>
      <c r="K33" s="59" t="str">
        <f t="shared" si="0"/>
        <v>0.67 (0.17 – 2.48)</v>
      </c>
      <c r="L33" s="16" t="str">
        <f t="shared" si="1"/>
        <v>0.67
(0.17 – 2.48)</v>
      </c>
      <c r="N33" s="59" t="s">
        <v>446</v>
      </c>
      <c r="O33" s="16" t="s">
        <v>709</v>
      </c>
      <c r="P33">
        <v>0.51170000000000004</v>
      </c>
      <c r="Q33">
        <v>1.3520000000000001</v>
      </c>
      <c r="R33">
        <v>3.6440000000000001</v>
      </c>
      <c r="S33">
        <v>9</v>
      </c>
      <c r="T33">
        <v>4</v>
      </c>
    </row>
    <row r="34" spans="3:20" ht="15" customHeight="1" x14ac:dyDescent="0.25">
      <c r="E34" s="19">
        <v>7</v>
      </c>
      <c r="F34" s="19">
        <v>3</v>
      </c>
      <c r="G34" s="19" t="s">
        <v>701</v>
      </c>
      <c r="H34" s="19">
        <v>0.15679999999999999</v>
      </c>
      <c r="I34" s="19">
        <v>0.66639999999999999</v>
      </c>
      <c r="J34" s="19">
        <v>2.5779999999999998</v>
      </c>
      <c r="K34" s="59" t="str">
        <f t="shared" si="0"/>
        <v>0.67 (0.16 – 2.58)</v>
      </c>
      <c r="L34" s="16" t="str">
        <f t="shared" si="1"/>
        <v>0.67
(0.16 – 2.58)</v>
      </c>
      <c r="N34" s="59" t="s">
        <v>447</v>
      </c>
      <c r="O34" s="16" t="s">
        <v>710</v>
      </c>
      <c r="P34">
        <v>0.4304</v>
      </c>
      <c r="Q34">
        <v>0.98250000000000004</v>
      </c>
      <c r="R34">
        <v>2.2719999999999998</v>
      </c>
      <c r="S34">
        <v>10</v>
      </c>
      <c r="T34">
        <v>4</v>
      </c>
    </row>
    <row r="35" spans="3:20" ht="15" customHeight="1" x14ac:dyDescent="0.25">
      <c r="E35" s="19">
        <v>2</v>
      </c>
      <c r="F35" s="19">
        <v>9</v>
      </c>
      <c r="G35" s="19" t="s">
        <v>818</v>
      </c>
      <c r="H35" s="19">
        <v>0.27472527472527469</v>
      </c>
      <c r="I35" s="19">
        <v>0.64935064935064934</v>
      </c>
      <c r="J35" s="19">
        <v>1.5078407720144753</v>
      </c>
      <c r="K35" s="59" t="str">
        <f t="shared" si="0"/>
        <v>0.65 (0.27 – 1.51)</v>
      </c>
      <c r="L35" s="16" t="str">
        <f t="shared" si="1"/>
        <v>0.65
(0.27 – 1.51)</v>
      </c>
      <c r="N35" s="59" t="s">
        <v>448</v>
      </c>
      <c r="O35" s="16" t="s">
        <v>711</v>
      </c>
      <c r="P35">
        <v>0.1933</v>
      </c>
      <c r="Q35">
        <v>1.288</v>
      </c>
      <c r="R35">
        <v>8.4760000000000009</v>
      </c>
      <c r="S35">
        <v>6</v>
      </c>
      <c r="T35">
        <v>5</v>
      </c>
    </row>
    <row r="36" spans="3:20" ht="15" customHeight="1" x14ac:dyDescent="0.25">
      <c r="C36" s="56"/>
      <c r="D36" s="57"/>
      <c r="E36" s="19">
        <v>7</v>
      </c>
      <c r="F36" s="59">
        <v>10</v>
      </c>
      <c r="G36" s="54" t="s">
        <v>741</v>
      </c>
      <c r="H36" s="16">
        <v>0.14398848092152627</v>
      </c>
      <c r="I36" s="16">
        <v>0.62073246430788331</v>
      </c>
      <c r="J36" s="16">
        <v>2.4330900243309004</v>
      </c>
      <c r="K36" s="59" t="str">
        <f t="shared" si="0"/>
        <v>0.62 (0.14 – 2.43)</v>
      </c>
      <c r="L36" s="16" t="str">
        <f t="shared" si="1"/>
        <v>0.62
(0.14 – 2.43)</v>
      </c>
      <c r="M36" s="57"/>
      <c r="N36" s="59" t="s">
        <v>449</v>
      </c>
      <c r="O36" s="16" t="s">
        <v>712</v>
      </c>
      <c r="P36">
        <v>0.1671</v>
      </c>
      <c r="Q36">
        <v>1.1719999999999999</v>
      </c>
      <c r="R36">
        <v>7.9969999999999999</v>
      </c>
      <c r="S36">
        <v>7</v>
      </c>
      <c r="T36">
        <v>5</v>
      </c>
    </row>
    <row r="37" spans="3:20" ht="15" customHeight="1" x14ac:dyDescent="0.25">
      <c r="C37" s="56"/>
      <c r="D37" s="57"/>
      <c r="E37" s="19">
        <v>7</v>
      </c>
      <c r="F37" s="19">
        <v>1</v>
      </c>
      <c r="G37" s="19" t="s">
        <v>686</v>
      </c>
      <c r="H37" s="19">
        <v>0.14269999999999999</v>
      </c>
      <c r="I37" s="19">
        <v>0.61699999999999999</v>
      </c>
      <c r="J37" s="19">
        <v>2.5289999999999999</v>
      </c>
      <c r="K37" s="59" t="str">
        <f t="shared" si="0"/>
        <v>0.62 (0.14 – 2.53)</v>
      </c>
      <c r="L37" s="16" t="str">
        <f t="shared" si="1"/>
        <v>0.62
(0.14 – 2.53)</v>
      </c>
      <c r="M37" s="57"/>
      <c r="N37" s="59" t="s">
        <v>450</v>
      </c>
      <c r="O37" s="16" t="s">
        <v>713</v>
      </c>
      <c r="P37">
        <v>8.0289999999999997E-3</v>
      </c>
      <c r="Q37">
        <v>2.2919999999999998</v>
      </c>
      <c r="R37">
        <v>2484</v>
      </c>
      <c r="S37">
        <v>8</v>
      </c>
      <c r="T37">
        <v>5</v>
      </c>
    </row>
    <row r="38" spans="3:20" ht="15" customHeight="1" x14ac:dyDescent="0.25">
      <c r="C38" s="56"/>
      <c r="D38" s="57"/>
      <c r="E38" s="19">
        <v>7</v>
      </c>
      <c r="F38" s="19">
        <v>4</v>
      </c>
      <c r="G38" s="19" t="s">
        <v>707</v>
      </c>
      <c r="H38" s="19">
        <v>0.1225</v>
      </c>
      <c r="I38" s="19">
        <v>0.61399999999999999</v>
      </c>
      <c r="J38" s="19">
        <v>2.81</v>
      </c>
      <c r="K38" s="59" t="str">
        <f t="shared" si="0"/>
        <v>0.61 (0.12 – 2.81)</v>
      </c>
      <c r="L38" s="16" t="str">
        <f t="shared" si="1"/>
        <v>0.61
(0.12 – 2.81)</v>
      </c>
      <c r="M38" s="57"/>
      <c r="N38" s="59" t="s">
        <v>451</v>
      </c>
      <c r="O38" s="16" t="s">
        <v>714</v>
      </c>
      <c r="P38">
        <v>0.49659999999999999</v>
      </c>
      <c r="Q38">
        <v>2.6110000000000002</v>
      </c>
      <c r="R38">
        <v>14.24</v>
      </c>
      <c r="S38">
        <v>9</v>
      </c>
      <c r="T38">
        <v>5</v>
      </c>
    </row>
    <row r="39" spans="3:20" ht="15" customHeight="1" x14ac:dyDescent="0.25">
      <c r="C39" s="56"/>
      <c r="D39" s="57"/>
      <c r="E39" s="57">
        <v>5</v>
      </c>
      <c r="F39" s="57">
        <v>2</v>
      </c>
      <c r="G39" s="57" t="s">
        <v>692</v>
      </c>
      <c r="H39" s="57">
        <v>0.13500000000000001</v>
      </c>
      <c r="I39" s="57">
        <v>0.58960000000000001</v>
      </c>
      <c r="J39" s="57">
        <v>2.4540000000000002</v>
      </c>
      <c r="K39" s="59" t="str">
        <f t="shared" si="0"/>
        <v>0.59 (0.14 – 2.45)</v>
      </c>
      <c r="L39" s="16" t="str">
        <f t="shared" si="1"/>
        <v>0.59
(0.14 – 2.45)</v>
      </c>
      <c r="M39" s="57"/>
      <c r="N39" s="59" t="s">
        <v>452</v>
      </c>
      <c r="O39" s="16" t="s">
        <v>715</v>
      </c>
      <c r="P39">
        <v>0.40150000000000002</v>
      </c>
      <c r="Q39">
        <v>1.895</v>
      </c>
      <c r="R39">
        <v>9.1709999999999994</v>
      </c>
      <c r="S39">
        <v>10</v>
      </c>
      <c r="T39">
        <v>5</v>
      </c>
    </row>
    <row r="40" spans="3:20" ht="15" customHeight="1" x14ac:dyDescent="0.25">
      <c r="C40" s="56"/>
      <c r="D40" s="57"/>
      <c r="E40" s="57">
        <v>5</v>
      </c>
      <c r="F40" s="57">
        <v>3</v>
      </c>
      <c r="G40" s="57" t="s">
        <v>699</v>
      </c>
      <c r="H40" s="57">
        <v>0.11940000000000001</v>
      </c>
      <c r="I40" s="57">
        <v>0.5675</v>
      </c>
      <c r="J40" s="57">
        <v>2.637</v>
      </c>
      <c r="K40" s="59" t="str">
        <f t="shared" si="0"/>
        <v>0.57 (0.12 – 2.64)</v>
      </c>
      <c r="L40" s="16" t="str">
        <f t="shared" si="1"/>
        <v>0.57
(0.12 – 2.64)</v>
      </c>
      <c r="M40" s="57"/>
      <c r="N40" s="59" t="s">
        <v>453</v>
      </c>
      <c r="O40" s="16" t="s">
        <v>716</v>
      </c>
      <c r="P40">
        <v>0.15010000000000001</v>
      </c>
      <c r="Q40">
        <v>0.90500000000000003</v>
      </c>
      <c r="R40">
        <v>5.5380000000000003</v>
      </c>
      <c r="S40">
        <v>7</v>
      </c>
      <c r="T40">
        <v>6</v>
      </c>
    </row>
    <row r="41" spans="3:20" ht="15" customHeight="1" x14ac:dyDescent="0.25">
      <c r="C41" s="56"/>
      <c r="D41" s="57"/>
      <c r="E41" s="19">
        <v>6</v>
      </c>
      <c r="F41" s="19">
        <v>8</v>
      </c>
      <c r="G41" s="19" t="s">
        <v>727</v>
      </c>
      <c r="H41" s="19">
        <v>4.8146364949446316E-4</v>
      </c>
      <c r="I41" s="19">
        <v>0.56148231330713083</v>
      </c>
      <c r="J41" s="19">
        <v>148.434021077631</v>
      </c>
      <c r="K41" s="59" t="str">
        <f t="shared" si="0"/>
        <v>0.56 (0.00 – 148.43)</v>
      </c>
      <c r="L41" s="16" t="str">
        <f t="shared" si="1"/>
        <v>0.56
(0.00 – 148.43)</v>
      </c>
      <c r="M41" s="57"/>
      <c r="N41" s="59" t="s">
        <v>454</v>
      </c>
      <c r="O41" s="16" t="s">
        <v>717</v>
      </c>
      <c r="P41">
        <v>6.7369999999999999E-3</v>
      </c>
      <c r="Q41">
        <v>1.7809999999999999</v>
      </c>
      <c r="R41">
        <v>2077</v>
      </c>
      <c r="S41">
        <v>8</v>
      </c>
      <c r="T41">
        <v>6</v>
      </c>
    </row>
    <row r="42" spans="3:20" ht="15" customHeight="1" x14ac:dyDescent="0.25">
      <c r="C42" s="56"/>
      <c r="D42" s="57"/>
      <c r="E42" s="19">
        <v>5</v>
      </c>
      <c r="F42" s="19">
        <v>1</v>
      </c>
      <c r="G42" s="19" t="s">
        <v>684</v>
      </c>
      <c r="H42" s="19">
        <v>0.1066</v>
      </c>
      <c r="I42" s="19">
        <v>0.53200000000000003</v>
      </c>
      <c r="J42" s="19">
        <v>2.4990000000000001</v>
      </c>
      <c r="K42" s="59" t="str">
        <f t="shared" si="0"/>
        <v>0.53 (0.11 – 2.50)</v>
      </c>
      <c r="L42" s="16" t="str">
        <f t="shared" si="1"/>
        <v>0.53
(0.11 – 2.50)</v>
      </c>
      <c r="M42" s="57"/>
      <c r="N42" s="59" t="s">
        <v>455</v>
      </c>
      <c r="O42" s="16" t="s">
        <v>718</v>
      </c>
      <c r="P42">
        <v>0.53939999999999999</v>
      </c>
      <c r="Q42">
        <v>2.036</v>
      </c>
      <c r="R42">
        <v>8.0630000000000006</v>
      </c>
      <c r="S42">
        <v>9</v>
      </c>
      <c r="T42">
        <v>6</v>
      </c>
    </row>
    <row r="43" spans="3:20" ht="15" customHeight="1" x14ac:dyDescent="0.25">
      <c r="C43" s="56"/>
      <c r="D43" s="57"/>
      <c r="E43" s="57">
        <v>5</v>
      </c>
      <c r="F43" s="57">
        <v>10</v>
      </c>
      <c r="G43" s="57" t="s">
        <v>732</v>
      </c>
      <c r="H43" s="57">
        <v>0.10903936321011887</v>
      </c>
      <c r="I43" s="57">
        <v>0.52770448548812665</v>
      </c>
      <c r="J43" s="57">
        <v>2.4906600249066</v>
      </c>
      <c r="K43" s="59" t="str">
        <f t="shared" si="0"/>
        <v>0.53 (0.11 – 2.49)</v>
      </c>
      <c r="L43" s="16" t="str">
        <f t="shared" si="1"/>
        <v>0.53
(0.11 – 2.49)</v>
      </c>
      <c r="M43" s="57"/>
      <c r="N43" s="59" t="s">
        <v>456</v>
      </c>
      <c r="O43" s="16" t="s">
        <v>719</v>
      </c>
      <c r="P43">
        <v>0.43099999999999999</v>
      </c>
      <c r="Q43">
        <v>1.482</v>
      </c>
      <c r="R43">
        <v>5.2240000000000002</v>
      </c>
      <c r="S43">
        <v>10</v>
      </c>
      <c r="T43">
        <v>6</v>
      </c>
    </row>
    <row r="44" spans="3:20" ht="15" customHeight="1" x14ac:dyDescent="0.25">
      <c r="C44" s="56"/>
      <c r="D44" s="57"/>
      <c r="E44" s="19">
        <v>5</v>
      </c>
      <c r="F44" s="19">
        <v>4</v>
      </c>
      <c r="G44" s="19" t="s">
        <v>705</v>
      </c>
      <c r="H44" s="19">
        <v>9.8369999999999999E-2</v>
      </c>
      <c r="I44" s="19">
        <v>0.51629999999999998</v>
      </c>
      <c r="J44" s="19">
        <v>2.6890000000000001</v>
      </c>
      <c r="K44" s="59" t="str">
        <f t="shared" si="0"/>
        <v>0.52 (0.10 – 2.69)</v>
      </c>
      <c r="L44" s="16" t="str">
        <f t="shared" si="1"/>
        <v>0.52
(0.10 – 2.69)</v>
      </c>
      <c r="M44" s="57"/>
      <c r="N44" s="59" t="s">
        <v>457</v>
      </c>
      <c r="O44" s="16" t="s">
        <v>720</v>
      </c>
      <c r="P44">
        <v>6.8859999999999998E-3</v>
      </c>
      <c r="Q44">
        <v>1.986</v>
      </c>
      <c r="R44">
        <v>2354</v>
      </c>
      <c r="S44">
        <v>8</v>
      </c>
      <c r="T44">
        <v>7</v>
      </c>
    </row>
    <row r="45" spans="3:20" ht="15" customHeight="1" x14ac:dyDescent="0.25">
      <c r="C45" s="56"/>
      <c r="D45" s="57"/>
      <c r="E45" s="19">
        <v>7</v>
      </c>
      <c r="F45" s="59">
        <v>8</v>
      </c>
      <c r="G45" s="54" t="s">
        <v>813</v>
      </c>
      <c r="H45" s="16">
        <v>4.248088360237893E-4</v>
      </c>
      <c r="I45" s="16">
        <v>0.50352467270896273</v>
      </c>
      <c r="J45" s="16">
        <v>145.22218995062445</v>
      </c>
      <c r="K45" s="59" t="str">
        <f t="shared" si="0"/>
        <v>0.50 (0.00 – 145.22)</v>
      </c>
      <c r="L45" s="16" t="str">
        <f t="shared" si="1"/>
        <v>0.50
(0.00 – 145.22)</v>
      </c>
      <c r="M45" s="57"/>
      <c r="N45" s="59" t="s">
        <v>458</v>
      </c>
      <c r="O45" s="16" t="s">
        <v>721</v>
      </c>
      <c r="P45">
        <v>0.48449999999999999</v>
      </c>
      <c r="Q45">
        <v>2.2389999999999999</v>
      </c>
      <c r="R45">
        <v>11.08</v>
      </c>
      <c r="S45">
        <v>9</v>
      </c>
      <c r="T45">
        <v>7</v>
      </c>
    </row>
    <row r="46" spans="3:20" ht="15" customHeight="1" x14ac:dyDescent="0.25">
      <c r="C46" s="56"/>
      <c r="D46" s="57"/>
      <c r="E46" s="57">
        <v>6</v>
      </c>
      <c r="F46" s="57">
        <v>9</v>
      </c>
      <c r="G46" s="57" t="s">
        <v>726</v>
      </c>
      <c r="H46" s="57">
        <v>0.12402331638348009</v>
      </c>
      <c r="I46" s="57">
        <v>0.49115913555992141</v>
      </c>
      <c r="J46" s="57">
        <v>1.8539117538005192</v>
      </c>
      <c r="K46" s="59" t="str">
        <f t="shared" si="0"/>
        <v>0.49 (0.12 – 1.85)</v>
      </c>
      <c r="L46" s="16" t="str">
        <f t="shared" si="1"/>
        <v>0.49
(0.12 – 1.85)</v>
      </c>
      <c r="M46" s="57"/>
      <c r="N46" s="59" t="s">
        <v>459</v>
      </c>
      <c r="O46" s="16" t="s">
        <v>722</v>
      </c>
      <c r="P46">
        <v>0.41099999999999998</v>
      </c>
      <c r="Q46">
        <v>1.611</v>
      </c>
      <c r="R46">
        <v>6.9450000000000003</v>
      </c>
      <c r="S46">
        <v>10</v>
      </c>
      <c r="T46">
        <v>7</v>
      </c>
    </row>
    <row r="47" spans="3:20" ht="15" customHeight="1" x14ac:dyDescent="0.25">
      <c r="C47" s="56"/>
      <c r="D47" s="57"/>
      <c r="E47" s="57">
        <v>7</v>
      </c>
      <c r="F47" s="57">
        <v>9</v>
      </c>
      <c r="G47" s="57" t="s">
        <v>814</v>
      </c>
      <c r="H47" s="57">
        <v>9.0252707581227443E-2</v>
      </c>
      <c r="I47" s="57">
        <v>0.44662795891022783</v>
      </c>
      <c r="J47" s="57">
        <v>2.0639834881320951</v>
      </c>
      <c r="K47" s="59" t="str">
        <f t="shared" si="0"/>
        <v>0.45 (0.09 – 2.06)</v>
      </c>
      <c r="L47" s="16" t="str">
        <f t="shared" si="1"/>
        <v>0.45
(0.09 – 2.06)</v>
      </c>
      <c r="M47" s="57"/>
      <c r="N47" s="59" t="s">
        <v>460</v>
      </c>
      <c r="O47" s="16" t="s">
        <v>723</v>
      </c>
      <c r="P47">
        <v>9.8459999999999997E-4</v>
      </c>
      <c r="Q47">
        <v>1.1479999999999999</v>
      </c>
      <c r="R47">
        <v>288.8</v>
      </c>
      <c r="S47">
        <v>9</v>
      </c>
      <c r="T47">
        <v>8</v>
      </c>
    </row>
    <row r="48" spans="3:20" ht="15" customHeight="1" x14ac:dyDescent="0.25">
      <c r="C48" s="56"/>
      <c r="D48" s="57"/>
      <c r="E48" s="19">
        <v>5</v>
      </c>
      <c r="F48" s="19">
        <v>8</v>
      </c>
      <c r="G48" s="19" t="s">
        <v>730</v>
      </c>
      <c r="H48" s="19">
        <v>4.0257648953301127E-4</v>
      </c>
      <c r="I48" s="19">
        <v>0.43630017452006986</v>
      </c>
      <c r="J48" s="19">
        <v>124.54851164528584</v>
      </c>
      <c r="K48" s="59" t="str">
        <f t="shared" si="0"/>
        <v>0.44 (0.00 – 124.55)</v>
      </c>
      <c r="L48" s="16" t="str">
        <f t="shared" si="1"/>
        <v>0.44
(0.00 – 124.55)</v>
      </c>
      <c r="M48" s="57"/>
      <c r="N48" s="59" t="s">
        <v>461</v>
      </c>
      <c r="O48" s="16" t="s">
        <v>724</v>
      </c>
      <c r="P48">
        <v>7.6059999999999995E-4</v>
      </c>
      <c r="Q48">
        <v>0.84019999999999995</v>
      </c>
      <c r="R48">
        <v>218.1</v>
      </c>
      <c r="S48">
        <v>10</v>
      </c>
      <c r="T48">
        <v>8</v>
      </c>
    </row>
    <row r="49" spans="3:20" ht="15" customHeight="1" x14ac:dyDescent="0.25">
      <c r="C49" s="56"/>
      <c r="D49" s="57"/>
      <c r="E49" s="19">
        <v>5</v>
      </c>
      <c r="F49" s="19">
        <v>9</v>
      </c>
      <c r="G49" s="19" t="s">
        <v>729</v>
      </c>
      <c r="H49" s="19">
        <v>7.02247191011236E-2</v>
      </c>
      <c r="I49" s="19">
        <v>0.3829950210647261</v>
      </c>
      <c r="J49" s="19">
        <v>2.0136931131695532</v>
      </c>
      <c r="K49" s="59" t="str">
        <f t="shared" si="0"/>
        <v>0.38 (0.07 – 2.01)</v>
      </c>
      <c r="L49" s="16" t="str">
        <f t="shared" si="1"/>
        <v>0.38
(0.07 – 2.01)</v>
      </c>
      <c r="M49" s="57"/>
      <c r="N49" s="59" t="s">
        <v>462</v>
      </c>
      <c r="O49" s="16" t="s">
        <v>725</v>
      </c>
      <c r="P49">
        <v>0.30769999999999997</v>
      </c>
      <c r="Q49">
        <v>0.7288</v>
      </c>
      <c r="R49">
        <v>1.698</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14"/>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e">
        <f>CONCATENATE("Heterogeneity (Vague) = ",INDEX('RE Results (Vague Prior)'!B:H,MATCH("sd",'RE Results (Vague Prior)'!B:B,0),6), " 
95% CrI (",INDEX('RE Results (Vague Prior)'!B:H,MATCH("sd",'RE Results (Vague Prior)'!B:B,0),5)," – ",INDEX('RE Results (Vague Prior)'!B:H,MATCH("sd",'RE Results (Vague Prior)'!B:B,0),7),")")</f>
        <v>#N/A</v>
      </c>
      <c r="F2" s="57"/>
      <c r="G2" s="57"/>
      <c r="H2" s="57"/>
      <c r="I2" s="57"/>
      <c r="J2" s="57"/>
      <c r="K2" s="57"/>
      <c r="L2" s="57"/>
      <c r="M2" s="57"/>
    </row>
    <row r="3" spans="1:20" x14ac:dyDescent="0.25">
      <c r="F3" s="277" t="str">
        <f>"Random Effects (Vague Prior)"</f>
        <v>Random Effects (Vague Prior)</v>
      </c>
      <c r="G3" s="277"/>
      <c r="H3" s="277"/>
      <c r="I3" s="277"/>
      <c r="J3" s="277"/>
      <c r="K3" s="277"/>
      <c r="L3" s="277"/>
      <c r="N3" s="277" t="str">
        <f>F3</f>
        <v>Random Effects (Vague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hidden="1" x14ac:dyDescent="0.25">
      <c r="K5" s="59" t="str">
        <f t="shared" ref="K5:K14" si="0">CONCATENATE(TEXT(I5,"0.00")," (",TEXT(H5,"0.00")," – ",TEXT(J5,"0.00"),")")</f>
        <v>0.00 (0.00 – 0.00)</v>
      </c>
      <c r="L5" s="16" t="str">
        <f t="shared" ref="L5:L14" si="1">CONCATENATE(TEXT(I5,"0.00"),"
(",TEXT(H5,"0.00")," – ",TEXT(J5,"0.00"),")")</f>
        <v>0.00
(0.00 – 0.00)</v>
      </c>
      <c r="N5" s="59"/>
      <c r="O5" s="16"/>
    </row>
    <row r="6" spans="1:20" hidden="1" x14ac:dyDescent="0.25">
      <c r="B6" s="19"/>
      <c r="C6" s="19"/>
      <c r="F6" s="59"/>
      <c r="G6" s="54"/>
      <c r="H6" s="16"/>
      <c r="I6" s="16"/>
      <c r="J6" s="16"/>
      <c r="K6" s="59" t="str">
        <f t="shared" si="0"/>
        <v>0.00 (0.00 – 0.00)</v>
      </c>
      <c r="L6" s="16" t="str">
        <f t="shared" si="1"/>
        <v>0.00
(0.00 – 0.00)</v>
      </c>
      <c r="N6" s="59"/>
      <c r="O6" s="16"/>
    </row>
    <row r="7" spans="1:20" hidden="1" x14ac:dyDescent="0.25">
      <c r="B7" s="19"/>
      <c r="C7" s="19"/>
      <c r="F7" s="59"/>
      <c r="G7" s="54"/>
      <c r="H7" s="16"/>
      <c r="I7" s="16"/>
      <c r="J7" s="16"/>
      <c r="K7" s="59" t="str">
        <f t="shared" si="0"/>
        <v>0.00 (0.00 – 0.00)</v>
      </c>
      <c r="L7" s="16" t="str">
        <f t="shared" si="1"/>
        <v>0.00
(0.00 – 0.00)</v>
      </c>
      <c r="N7" s="59"/>
      <c r="O7" s="16"/>
    </row>
    <row r="8" spans="1:20" hidden="1" x14ac:dyDescent="0.25">
      <c r="B8" s="19"/>
      <c r="C8" s="19"/>
      <c r="F8" s="59"/>
      <c r="G8" s="54"/>
      <c r="H8" s="16"/>
      <c r="I8" s="16"/>
      <c r="J8" s="16"/>
      <c r="K8" s="59" t="str">
        <f t="shared" si="0"/>
        <v>0.00 (0.00 – 0.00)</v>
      </c>
      <c r="L8" s="16" t="str">
        <f t="shared" si="1"/>
        <v>0.00
(0.00 – 0.00)</v>
      </c>
      <c r="N8" s="59"/>
      <c r="O8" s="16"/>
    </row>
    <row r="9" spans="1:20" hidden="1" x14ac:dyDescent="0.25">
      <c r="B9" s="19"/>
      <c r="C9" s="19"/>
      <c r="K9" s="59" t="str">
        <f t="shared" si="0"/>
        <v>0.00 (0.00 – 0.00)</v>
      </c>
      <c r="L9" s="16" t="str">
        <f t="shared" si="1"/>
        <v>0.00
(0.00 – 0.00)</v>
      </c>
      <c r="N9" s="59"/>
      <c r="O9" s="16"/>
    </row>
    <row r="10" spans="1:20" hidden="1" x14ac:dyDescent="0.25">
      <c r="K10" s="59" t="str">
        <f t="shared" si="0"/>
        <v>0.00 (0.00 – 0.00)</v>
      </c>
      <c r="L10" s="16" t="str">
        <f t="shared" si="1"/>
        <v>0.00
(0.00 – 0.00)</v>
      </c>
      <c r="N10" s="59"/>
      <c r="O10" s="16"/>
    </row>
    <row r="11" spans="1:20" hidden="1" x14ac:dyDescent="0.25">
      <c r="B11" s="19"/>
      <c r="C11" s="19"/>
      <c r="K11" s="59" t="str">
        <f t="shared" si="0"/>
        <v>0.00 (0.00 – 0.00)</v>
      </c>
      <c r="L11" s="16" t="str">
        <f t="shared" si="1"/>
        <v>0.00
(0.00 – 0.00)</v>
      </c>
      <c r="N11" s="59"/>
      <c r="O11" s="16"/>
    </row>
    <row r="12" spans="1:20" hidden="1" x14ac:dyDescent="0.25">
      <c r="F12" s="59"/>
      <c r="G12" s="54"/>
      <c r="H12" s="16"/>
      <c r="I12" s="16"/>
      <c r="J12" s="16"/>
      <c r="K12" s="59" t="str">
        <f t="shared" si="0"/>
        <v>0.00 (0.00 – 0.00)</v>
      </c>
      <c r="L12" s="16" t="str">
        <f t="shared" si="1"/>
        <v>0.00
(0.00 – 0.00)</v>
      </c>
      <c r="N12" s="59"/>
      <c r="O12" s="16"/>
    </row>
    <row r="13" spans="1:20" hidden="1" x14ac:dyDescent="0.25">
      <c r="K13" s="59" t="str">
        <f t="shared" si="0"/>
        <v>0.00 (0.00 – 0.00)</v>
      </c>
      <c r="L13" s="16" t="str">
        <f t="shared" si="1"/>
        <v>0.00
(0.00 – 0.00)</v>
      </c>
      <c r="N13" s="59"/>
      <c r="O13" s="16"/>
    </row>
    <row r="14" spans="1:20" hidden="1" x14ac:dyDescent="0.25">
      <c r="F14" s="59"/>
      <c r="G14" s="54"/>
      <c r="H14" s="16"/>
      <c r="I14" s="16"/>
      <c r="J14" s="16"/>
      <c r="K14" s="59" t="str">
        <f t="shared" si="0"/>
        <v>0.00 (0.00 – 0.00)</v>
      </c>
      <c r="L14" s="16" t="str">
        <f t="shared" si="1"/>
        <v>0.00
(0.00 – 0.00)</v>
      </c>
      <c r="N14" s="59"/>
      <c r="O14" s="16"/>
    </row>
    <row r="15" spans="1:20" ht="15" hidden="1" customHeight="1" x14ac:dyDescent="0.25">
      <c r="F15" s="59"/>
      <c r="G15" s="54"/>
      <c r="H15" s="16"/>
      <c r="I15" s="16"/>
      <c r="J15" s="16"/>
      <c r="K15" s="59" t="str">
        <f t="shared" ref="K15:K25" si="2">CONCATENATE(TEXT(I15,"0.00")," (",TEXT(H15,"0.00")," – ",TEXT(J15,"0.00"),")")</f>
        <v>0.00 (0.00 – 0.00)</v>
      </c>
      <c r="L15" s="16" t="str">
        <f t="shared" ref="L15:L25" si="3">CONCATENATE(TEXT(I15,"0.00"),"
(",TEXT(H15,"0.00")," – ",TEXT(J15,"0.00"),")")</f>
        <v>0.00
(0.00 – 0.00)</v>
      </c>
      <c r="N15" s="59"/>
      <c r="O15" s="16"/>
    </row>
    <row r="16" spans="1:20" ht="15" hidden="1" customHeight="1" x14ac:dyDescent="0.25">
      <c r="K16" s="59" t="str">
        <f t="shared" si="2"/>
        <v>0.00 (0.00 – 0.00)</v>
      </c>
      <c r="L16" s="16" t="str">
        <f t="shared" si="3"/>
        <v>0.00
(0.00 – 0.00)</v>
      </c>
      <c r="N16" s="59"/>
      <c r="O16" s="16"/>
    </row>
    <row r="17" spans="6:15" ht="15" hidden="1" customHeight="1" x14ac:dyDescent="0.25">
      <c r="K17" s="59" t="str">
        <f t="shared" si="2"/>
        <v>0.00 (0.00 – 0.00)</v>
      </c>
      <c r="L17" s="16" t="str">
        <f t="shared" si="3"/>
        <v>0.00
(0.00 – 0.00)</v>
      </c>
      <c r="N17" s="59"/>
      <c r="O17" s="16"/>
    </row>
    <row r="18" spans="6:15" ht="15" hidden="1" customHeight="1" x14ac:dyDescent="0.25">
      <c r="K18" s="59" t="str">
        <f t="shared" si="2"/>
        <v>0.00 (0.00 – 0.00)</v>
      </c>
      <c r="L18" s="16" t="str">
        <f t="shared" si="3"/>
        <v>0.00
(0.00 – 0.00)</v>
      </c>
      <c r="N18" s="59"/>
      <c r="O18" s="16"/>
    </row>
    <row r="19" spans="6:15" ht="15" hidden="1" customHeight="1" x14ac:dyDescent="0.25">
      <c r="F19" s="59"/>
      <c r="G19" s="54"/>
      <c r="H19" s="16"/>
      <c r="I19" s="16"/>
      <c r="J19" s="16"/>
      <c r="K19" s="59" t="str">
        <f t="shared" si="2"/>
        <v>0.00 (0.00 – 0.00)</v>
      </c>
      <c r="L19" s="16" t="str">
        <f t="shared" si="3"/>
        <v>0.00
(0.00 – 0.00)</v>
      </c>
      <c r="N19" s="59"/>
      <c r="O19" s="16"/>
    </row>
    <row r="20" spans="6:15" ht="15" hidden="1" customHeight="1" x14ac:dyDescent="0.25">
      <c r="K20" s="59" t="str">
        <f t="shared" si="2"/>
        <v>0.00 (0.00 – 0.00)</v>
      </c>
      <c r="L20" s="16" t="str">
        <f t="shared" si="3"/>
        <v>0.00
(0.00 – 0.00)</v>
      </c>
      <c r="N20" s="59"/>
      <c r="O20" s="16"/>
    </row>
    <row r="21" spans="6:15" ht="15" hidden="1" customHeight="1" x14ac:dyDescent="0.25">
      <c r="F21" s="59"/>
      <c r="G21" s="54"/>
      <c r="H21" s="16"/>
      <c r="I21" s="16"/>
      <c r="J21" s="16"/>
      <c r="K21" s="59" t="str">
        <f t="shared" si="2"/>
        <v>0.00 (0.00 – 0.00)</v>
      </c>
      <c r="L21" s="16" t="str">
        <f t="shared" si="3"/>
        <v>0.00
(0.00 – 0.00)</v>
      </c>
      <c r="N21" s="59"/>
      <c r="O21" s="16"/>
    </row>
    <row r="22" spans="6:15" ht="15" hidden="1" customHeight="1" x14ac:dyDescent="0.25">
      <c r="F22" s="59"/>
      <c r="G22" s="54"/>
      <c r="H22" s="16"/>
      <c r="I22" s="16"/>
      <c r="J22" s="16"/>
      <c r="K22" s="59" t="str">
        <f t="shared" si="2"/>
        <v>0.00 (0.00 – 0.00)</v>
      </c>
      <c r="L22" s="16" t="str">
        <f t="shared" si="3"/>
        <v>0.00
(0.00 – 0.00)</v>
      </c>
      <c r="N22" s="59"/>
      <c r="O22" s="16"/>
    </row>
    <row r="23" spans="6:15" ht="15" hidden="1" customHeight="1" x14ac:dyDescent="0.25">
      <c r="K23" s="59" t="str">
        <f t="shared" si="2"/>
        <v>0.00 (0.00 – 0.00)</v>
      </c>
      <c r="L23" s="16" t="str">
        <f t="shared" si="3"/>
        <v>0.00
(0.00 – 0.00)</v>
      </c>
      <c r="N23" s="59"/>
      <c r="O23" s="16"/>
    </row>
    <row r="24" spans="6:15" ht="15" hidden="1" customHeight="1" x14ac:dyDescent="0.25">
      <c r="K24" s="59" t="str">
        <f t="shared" si="2"/>
        <v>0.00 (0.00 – 0.00)</v>
      </c>
      <c r="L24" s="16" t="str">
        <f t="shared" si="3"/>
        <v>0.00
(0.00 – 0.00)</v>
      </c>
      <c r="N24" s="59"/>
      <c r="O24" s="16"/>
    </row>
    <row r="25" spans="6:15" ht="15" hidden="1" customHeight="1" x14ac:dyDescent="0.25">
      <c r="F25" s="59"/>
      <c r="G25" s="54"/>
      <c r="H25" s="16"/>
      <c r="I25" s="16"/>
      <c r="J25" s="16"/>
      <c r="K25" s="59" t="str">
        <f t="shared" si="2"/>
        <v>0.00 (0.00 – 0.00)</v>
      </c>
      <c r="L25" s="16" t="str">
        <f t="shared" si="3"/>
        <v>0.00
(0.00 – 0.00)</v>
      </c>
      <c r="N25" s="59"/>
      <c r="O25" s="16"/>
    </row>
    <row r="26" spans="6:15" ht="15" hidden="1" customHeight="1" x14ac:dyDescent="0.25">
      <c r="K26" s="59" t="str">
        <f t="shared" ref="K26:K68" si="4">CONCATENATE(TEXT(I26,"0.00")," (",TEXT(H26,"0.00")," – ",TEXT(J26,"0.00"),")")</f>
        <v>0.00 (0.00 – 0.00)</v>
      </c>
      <c r="L26" s="16" t="str">
        <f t="shared" ref="L26:L69" si="5">CONCATENATE(TEXT(I26,"0.00"),"
(",TEXT(H26,"0.00")," – ",TEXT(J26,"0.00"),")")</f>
        <v>0.00
(0.00 – 0.00)</v>
      </c>
      <c r="N26" s="59"/>
      <c r="O26" s="16"/>
    </row>
    <row r="27" spans="6:15" ht="15" hidden="1" customHeight="1" x14ac:dyDescent="0.25">
      <c r="K27" s="59" t="str">
        <f t="shared" si="4"/>
        <v>0.00 (0.00 – 0.00)</v>
      </c>
      <c r="L27" s="16" t="str">
        <f t="shared" si="5"/>
        <v>0.00
(0.00 – 0.00)</v>
      </c>
      <c r="N27" s="59"/>
      <c r="O27" s="16"/>
    </row>
    <row r="28" spans="6:15" ht="15" hidden="1" customHeight="1" x14ac:dyDescent="0.25">
      <c r="K28" s="59" t="str">
        <f t="shared" si="4"/>
        <v>0.00 (0.00 – 0.00)</v>
      </c>
      <c r="L28" s="16" t="str">
        <f t="shared" si="5"/>
        <v>0.00
(0.00 – 0.00)</v>
      </c>
      <c r="N28" s="59"/>
      <c r="O28" s="16"/>
    </row>
    <row r="29" spans="6:15" ht="15" hidden="1" customHeight="1" x14ac:dyDescent="0.25">
      <c r="K29" s="59" t="str">
        <f t="shared" si="4"/>
        <v>0.00 (0.00 – 0.00)</v>
      </c>
      <c r="L29" s="16" t="str">
        <f t="shared" si="5"/>
        <v>0.00
(0.00 – 0.00)</v>
      </c>
      <c r="N29" s="59"/>
      <c r="O29" s="16"/>
    </row>
    <row r="30" spans="6:15" ht="15" hidden="1" customHeight="1" x14ac:dyDescent="0.25">
      <c r="K30" s="59" t="str">
        <f t="shared" si="4"/>
        <v>0.00 (0.00 – 0.00)</v>
      </c>
      <c r="L30" s="16" t="str">
        <f t="shared" si="5"/>
        <v>0.00
(0.00 – 0.00)</v>
      </c>
      <c r="N30" s="59"/>
      <c r="O30" s="16"/>
    </row>
    <row r="31" spans="6:15" ht="15" hidden="1" customHeight="1" x14ac:dyDescent="0.25">
      <c r="K31" s="59" t="str">
        <f t="shared" si="4"/>
        <v>0.00 (0.00 – 0.00)</v>
      </c>
      <c r="L31" s="16" t="str">
        <f t="shared" si="5"/>
        <v>0.00
(0.00 – 0.00)</v>
      </c>
      <c r="N31" s="59"/>
      <c r="O31" s="16"/>
    </row>
    <row r="32" spans="6:15" ht="15" hidden="1" customHeight="1" x14ac:dyDescent="0.25">
      <c r="K32" s="59" t="str">
        <f t="shared" si="4"/>
        <v>0.00 (0.00 – 0.00)</v>
      </c>
      <c r="L32" s="16" t="str">
        <f t="shared" si="5"/>
        <v>0.00
(0.00 – 0.00)</v>
      </c>
      <c r="N32" s="59"/>
      <c r="O32" s="16"/>
    </row>
    <row r="33" spans="3:15" ht="15" hidden="1" customHeight="1" x14ac:dyDescent="0.25">
      <c r="K33" s="59" t="str">
        <f t="shared" si="4"/>
        <v>0.00 (0.00 – 0.00)</v>
      </c>
      <c r="L33" s="16" t="str">
        <f t="shared" si="5"/>
        <v>0.00
(0.00 – 0.00)</v>
      </c>
      <c r="N33" s="59"/>
      <c r="O33" s="16"/>
    </row>
    <row r="34" spans="3:15" ht="15" hidden="1" customHeight="1" x14ac:dyDescent="0.25">
      <c r="K34" s="59" t="str">
        <f t="shared" si="4"/>
        <v>0.00 (0.00 – 0.00)</v>
      </c>
      <c r="L34" s="16" t="str">
        <f t="shared" si="5"/>
        <v>0.00
(0.00 – 0.00)</v>
      </c>
      <c r="N34" s="59"/>
      <c r="O34" s="16"/>
    </row>
    <row r="35" spans="3:15" ht="15" hidden="1" customHeight="1" x14ac:dyDescent="0.25">
      <c r="K35" s="59" t="str">
        <f t="shared" si="4"/>
        <v>0.00 (0.00 – 0.00)</v>
      </c>
      <c r="L35" s="16" t="str">
        <f t="shared" si="5"/>
        <v>0.00
(0.00 – 0.00)</v>
      </c>
      <c r="N35" s="59"/>
      <c r="O35" s="16"/>
    </row>
    <row r="36" spans="3:15" ht="15" hidden="1" customHeight="1" x14ac:dyDescent="0.25">
      <c r="C36" s="56"/>
      <c r="D36" s="57"/>
      <c r="E36" s="57"/>
      <c r="F36" s="57"/>
      <c r="G36" s="57"/>
      <c r="H36" s="57"/>
      <c r="I36" s="57"/>
      <c r="J36" s="57"/>
      <c r="K36" s="59" t="str">
        <f t="shared" si="4"/>
        <v>0.00 (0.00 – 0.00)</v>
      </c>
      <c r="L36" s="16" t="str">
        <f t="shared" si="5"/>
        <v>0.00
(0.00 – 0.00)</v>
      </c>
      <c r="M36" s="57"/>
      <c r="N36" s="59"/>
      <c r="O36" s="16"/>
    </row>
    <row r="37" spans="3:15" ht="15" hidden="1" customHeight="1" x14ac:dyDescent="0.25">
      <c r="C37" s="56"/>
      <c r="D37" s="57"/>
      <c r="E37" s="57"/>
      <c r="F37" s="57"/>
      <c r="G37" s="57"/>
      <c r="H37" s="57"/>
      <c r="I37" s="57"/>
      <c r="J37" s="57"/>
      <c r="K37" s="59" t="str">
        <f t="shared" si="4"/>
        <v>0.00 (0.00 – 0.00)</v>
      </c>
      <c r="L37" s="16" t="str">
        <f t="shared" si="5"/>
        <v>0.00
(0.00 – 0.00)</v>
      </c>
      <c r="M37" s="57"/>
      <c r="N37" s="59"/>
      <c r="O37" s="16"/>
    </row>
    <row r="38" spans="3:15" ht="15" hidden="1" customHeight="1" x14ac:dyDescent="0.25">
      <c r="C38" s="56"/>
      <c r="D38" s="57"/>
      <c r="E38" s="57"/>
      <c r="F38" s="57"/>
      <c r="G38" s="57"/>
      <c r="H38" s="57"/>
      <c r="I38" s="57"/>
      <c r="J38" s="57"/>
      <c r="K38" s="59" t="str">
        <f t="shared" si="4"/>
        <v>0.00 (0.00 – 0.00)</v>
      </c>
      <c r="L38" s="16" t="str">
        <f t="shared" si="5"/>
        <v>0.00
(0.00 – 0.00)</v>
      </c>
      <c r="M38" s="57"/>
      <c r="N38" s="59"/>
      <c r="O38" s="16"/>
    </row>
    <row r="39" spans="3:15" ht="15" hidden="1" customHeight="1" x14ac:dyDescent="0.25">
      <c r="C39" s="56"/>
      <c r="D39" s="57"/>
      <c r="E39" s="57"/>
      <c r="F39" s="57"/>
      <c r="G39" s="57"/>
      <c r="H39" s="57"/>
      <c r="I39" s="57"/>
      <c r="J39" s="57"/>
      <c r="K39" s="59" t="str">
        <f t="shared" si="4"/>
        <v>0.00 (0.00 – 0.00)</v>
      </c>
      <c r="L39" s="16" t="str">
        <f t="shared" si="5"/>
        <v>0.00
(0.00 – 0.00)</v>
      </c>
      <c r="M39" s="57"/>
      <c r="N39" s="59"/>
      <c r="O39" s="16"/>
    </row>
    <row r="40" spans="3:15" ht="15" hidden="1" customHeight="1" x14ac:dyDescent="0.25">
      <c r="C40" s="56"/>
      <c r="D40" s="57"/>
      <c r="E40" s="57"/>
      <c r="F40" s="57"/>
      <c r="G40" s="57"/>
      <c r="H40" s="57"/>
      <c r="I40" s="57"/>
      <c r="J40" s="57"/>
      <c r="K40" s="59" t="str">
        <f t="shared" si="4"/>
        <v>0.00 (0.00 – 0.00)</v>
      </c>
      <c r="L40" s="16" t="str">
        <f t="shared" si="5"/>
        <v>0.00
(0.00 – 0.00)</v>
      </c>
      <c r="M40" s="57"/>
      <c r="N40" s="59"/>
      <c r="O40" s="16"/>
    </row>
    <row r="41" spans="3:15" ht="15" hidden="1" customHeight="1" x14ac:dyDescent="0.25">
      <c r="C41" s="56"/>
      <c r="D41" s="57"/>
      <c r="E41" s="57"/>
      <c r="F41" s="57"/>
      <c r="G41" s="57"/>
      <c r="H41" s="57"/>
      <c r="I41" s="57"/>
      <c r="J41" s="57"/>
      <c r="K41" s="59" t="str">
        <f t="shared" si="4"/>
        <v>0.00 (0.00 – 0.00)</v>
      </c>
      <c r="L41" s="16" t="str">
        <f t="shared" si="5"/>
        <v>0.00
(0.00 – 0.00)</v>
      </c>
      <c r="M41" s="57"/>
      <c r="N41" s="59"/>
      <c r="O41" s="16"/>
    </row>
    <row r="42" spans="3:15" ht="15" hidden="1" customHeight="1" x14ac:dyDescent="0.25">
      <c r="C42" s="56"/>
      <c r="D42" s="57"/>
      <c r="E42" s="57"/>
      <c r="F42" s="57"/>
      <c r="G42" s="57"/>
      <c r="H42" s="57"/>
      <c r="I42" s="57"/>
      <c r="J42" s="57"/>
      <c r="K42" s="59" t="str">
        <f t="shared" si="4"/>
        <v>0.00 (0.00 – 0.00)</v>
      </c>
      <c r="L42" s="16" t="str">
        <f t="shared" si="5"/>
        <v>0.00
(0.00 – 0.00)</v>
      </c>
      <c r="M42" s="57"/>
      <c r="N42" s="59"/>
      <c r="O42" s="16"/>
    </row>
    <row r="43" spans="3:15" ht="15" hidden="1" customHeight="1" x14ac:dyDescent="0.25">
      <c r="C43" s="56"/>
      <c r="D43" s="57"/>
      <c r="E43" s="57"/>
      <c r="F43" s="57"/>
      <c r="G43" s="57"/>
      <c r="H43" s="57"/>
      <c r="I43" s="57"/>
      <c r="J43" s="57"/>
      <c r="K43" s="59" t="str">
        <f t="shared" si="4"/>
        <v>0.00 (0.00 – 0.00)</v>
      </c>
      <c r="L43" s="16" t="str">
        <f t="shared" si="5"/>
        <v>0.00
(0.00 – 0.00)</v>
      </c>
      <c r="M43" s="57"/>
      <c r="N43" s="59"/>
      <c r="O43" s="16"/>
    </row>
    <row r="44" spans="3:15" ht="15" hidden="1" customHeight="1" x14ac:dyDescent="0.25">
      <c r="C44" s="56"/>
      <c r="D44" s="57"/>
      <c r="E44" s="57"/>
      <c r="F44" s="57"/>
      <c r="G44" s="57"/>
      <c r="H44" s="57"/>
      <c r="I44" s="57"/>
      <c r="J44" s="57"/>
      <c r="K44" s="59" t="str">
        <f t="shared" si="4"/>
        <v>0.00 (0.00 – 0.00)</v>
      </c>
      <c r="L44" s="16" t="str">
        <f t="shared" si="5"/>
        <v>0.00
(0.00 – 0.00)</v>
      </c>
      <c r="M44" s="57"/>
      <c r="N44" s="59"/>
      <c r="O44" s="16"/>
    </row>
    <row r="45" spans="3:15" ht="15" hidden="1" customHeight="1" x14ac:dyDescent="0.25">
      <c r="C45" s="56"/>
      <c r="D45" s="57"/>
      <c r="E45" s="57"/>
      <c r="F45" s="57"/>
      <c r="G45" s="57"/>
      <c r="H45" s="57"/>
      <c r="I45" s="57"/>
      <c r="J45" s="57"/>
      <c r="K45" s="59" t="str">
        <f t="shared" si="4"/>
        <v>0.00 (0.00 – 0.00)</v>
      </c>
      <c r="L45" s="16" t="str">
        <f t="shared" si="5"/>
        <v>0.00
(0.00 – 0.00)</v>
      </c>
      <c r="M45" s="57"/>
      <c r="N45" s="59"/>
      <c r="O45" s="16"/>
    </row>
    <row r="46" spans="3:15" ht="15" hidden="1" customHeight="1" x14ac:dyDescent="0.25">
      <c r="C46" s="56"/>
      <c r="D46" s="57"/>
      <c r="E46" s="57"/>
      <c r="F46" s="57"/>
      <c r="G46" s="57"/>
      <c r="H46" s="57"/>
      <c r="I46" s="57"/>
      <c r="J46" s="57"/>
      <c r="K46" s="59" t="str">
        <f t="shared" si="4"/>
        <v>0.00 (0.00 – 0.00)</v>
      </c>
      <c r="L46" s="16" t="str">
        <f t="shared" si="5"/>
        <v>0.00
(0.00 – 0.00)</v>
      </c>
      <c r="M46" s="57"/>
      <c r="N46" s="59"/>
      <c r="O46" s="16"/>
    </row>
    <row r="47" spans="3:15" ht="15" hidden="1" customHeight="1" x14ac:dyDescent="0.25">
      <c r="C47" s="56"/>
      <c r="D47" s="57"/>
      <c r="E47" s="57"/>
      <c r="F47" s="57"/>
      <c r="G47" s="57"/>
      <c r="H47" s="57"/>
      <c r="I47" s="57"/>
      <c r="J47" s="57"/>
      <c r="K47" s="59" t="str">
        <f t="shared" si="4"/>
        <v>0.00 (0.00 – 0.00)</v>
      </c>
      <c r="L47" s="16" t="str">
        <f t="shared" si="5"/>
        <v>0.00
(0.00 – 0.00)</v>
      </c>
      <c r="M47" s="57"/>
      <c r="N47" s="59"/>
      <c r="O47" s="16"/>
    </row>
    <row r="48" spans="3:15" ht="15" hidden="1" customHeight="1" x14ac:dyDescent="0.25">
      <c r="C48" s="56"/>
      <c r="D48" s="57"/>
      <c r="E48" s="57"/>
      <c r="F48" s="57"/>
      <c r="G48" s="57"/>
      <c r="H48" s="57"/>
      <c r="I48" s="57"/>
      <c r="J48" s="57"/>
      <c r="K48" s="59" t="str">
        <f t="shared" si="4"/>
        <v>0.00 (0.00 – 0.00)</v>
      </c>
      <c r="L48" s="16" t="str">
        <f t="shared" si="5"/>
        <v>0.00
(0.00 – 0.00)</v>
      </c>
      <c r="M48" s="57"/>
      <c r="N48" s="59"/>
      <c r="O48" s="16"/>
    </row>
    <row r="49" spans="3:15" ht="15" hidden="1" customHeight="1" x14ac:dyDescent="0.25">
      <c r="C49" s="56"/>
      <c r="D49" s="57"/>
      <c r="E49" s="57"/>
      <c r="F49" s="57"/>
      <c r="G49" s="57"/>
      <c r="H49" s="57"/>
      <c r="I49" s="57"/>
      <c r="J49" s="57"/>
      <c r="K49" s="59" t="str">
        <f t="shared" si="4"/>
        <v>0.00 (0.00 – 0.00)</v>
      </c>
      <c r="L49" s="16" t="str">
        <f t="shared" si="5"/>
        <v>0.00
(0.00 – 0.00)</v>
      </c>
      <c r="M49" s="57"/>
      <c r="N49" s="59"/>
      <c r="O49" s="16"/>
    </row>
    <row r="50" spans="3:15" ht="15" hidden="1" customHeight="1" x14ac:dyDescent="0.25">
      <c r="C50" s="56"/>
      <c r="D50" s="57"/>
      <c r="E50" s="57"/>
      <c r="F50" s="57"/>
      <c r="G50" s="57"/>
      <c r="H50" s="57"/>
      <c r="I50" s="57"/>
      <c r="J50" s="57"/>
      <c r="K50" s="59" t="str">
        <f t="shared" si="4"/>
        <v>0.00 (0.00 – 0.00)</v>
      </c>
      <c r="L50" s="16" t="str">
        <f t="shared" si="5"/>
        <v>0.00
(0.00 – 0.00)</v>
      </c>
      <c r="M50" s="57"/>
      <c r="N50" s="59"/>
      <c r="O50" s="16"/>
    </row>
    <row r="51" spans="3:15" ht="15" hidden="1" customHeight="1" x14ac:dyDescent="0.25">
      <c r="C51" s="56"/>
      <c r="D51" s="57"/>
      <c r="E51" s="57"/>
      <c r="F51" s="57"/>
      <c r="G51" s="57"/>
      <c r="H51" s="57"/>
      <c r="I51" s="57"/>
      <c r="J51" s="57"/>
      <c r="K51" s="59" t="str">
        <f t="shared" si="4"/>
        <v>0.00 (0.00 – 0.00)</v>
      </c>
      <c r="L51" s="16" t="str">
        <f t="shared" si="5"/>
        <v>0.00
(0.00 – 0.00)</v>
      </c>
      <c r="M51" s="57"/>
      <c r="N51" s="59"/>
      <c r="O51" s="16"/>
    </row>
    <row r="52" spans="3:15" ht="15" hidden="1" customHeight="1" x14ac:dyDescent="0.25">
      <c r="C52" s="56"/>
      <c r="D52" s="57"/>
      <c r="E52" s="57"/>
      <c r="F52" s="57"/>
      <c r="G52" s="57"/>
      <c r="H52" s="57"/>
      <c r="I52" s="57"/>
      <c r="J52" s="57"/>
      <c r="K52" s="59" t="str">
        <f t="shared" si="4"/>
        <v>0.00 (0.00 – 0.00)</v>
      </c>
      <c r="L52" s="16" t="str">
        <f t="shared" si="5"/>
        <v>0.00
(0.00 – 0.00)</v>
      </c>
      <c r="M52" s="57"/>
      <c r="N52" s="59"/>
      <c r="O52" s="16"/>
    </row>
    <row r="53" spans="3:15" ht="15" hidden="1" customHeight="1" x14ac:dyDescent="0.25">
      <c r="C53" s="56"/>
      <c r="D53" s="57"/>
      <c r="E53" s="57"/>
      <c r="F53" s="57"/>
      <c r="G53" s="57"/>
      <c r="H53" s="57"/>
      <c r="I53" s="57"/>
      <c r="J53" s="57"/>
      <c r="K53" s="59" t="str">
        <f t="shared" si="4"/>
        <v>0.00 (0.00 – 0.00)</v>
      </c>
      <c r="L53" s="16" t="str">
        <f t="shared" si="5"/>
        <v>0.00
(0.00 – 0.00)</v>
      </c>
      <c r="M53" s="57"/>
      <c r="N53" s="59"/>
      <c r="O53" s="16"/>
    </row>
    <row r="54" spans="3:15" ht="15" hidden="1" customHeight="1" x14ac:dyDescent="0.25">
      <c r="C54" s="56"/>
      <c r="D54" s="57"/>
      <c r="E54" s="57"/>
      <c r="F54" s="57"/>
      <c r="G54" s="57"/>
      <c r="H54" s="57"/>
      <c r="I54" s="57"/>
      <c r="J54" s="57"/>
      <c r="K54" s="59" t="str">
        <f t="shared" si="4"/>
        <v>0.00 (0.00 – 0.00)</v>
      </c>
      <c r="L54" s="16" t="str">
        <f t="shared" si="5"/>
        <v>0.00
(0.00 – 0.00)</v>
      </c>
      <c r="M54" s="57"/>
      <c r="N54" s="59"/>
      <c r="O54" s="16"/>
    </row>
    <row r="55" spans="3:15" ht="15" hidden="1" customHeight="1" x14ac:dyDescent="0.25">
      <c r="C55" s="56"/>
      <c r="D55" s="57"/>
      <c r="E55" s="57"/>
      <c r="F55" s="57"/>
      <c r="G55" s="57"/>
      <c r="H55" s="57"/>
      <c r="I55" s="57"/>
      <c r="J55" s="57"/>
      <c r="K55" s="59" t="str">
        <f t="shared" si="4"/>
        <v>0.00 (0.00 – 0.00)</v>
      </c>
      <c r="L55" s="16" t="str">
        <f t="shared" si="5"/>
        <v>0.00
(0.00 – 0.00)</v>
      </c>
      <c r="M55" s="57"/>
      <c r="N55" s="59"/>
      <c r="O55" s="16"/>
    </row>
    <row r="56" spans="3:15" ht="15" hidden="1" customHeight="1" x14ac:dyDescent="0.25">
      <c r="C56" s="56"/>
      <c r="D56" s="57"/>
      <c r="E56" s="57"/>
      <c r="F56" s="57"/>
      <c r="G56" s="57"/>
      <c r="H56" s="57"/>
      <c r="I56" s="57"/>
      <c r="J56" s="57"/>
      <c r="K56" s="59" t="str">
        <f t="shared" si="4"/>
        <v>0.00 (0.00 – 0.00)</v>
      </c>
      <c r="L56" s="16" t="str">
        <f t="shared" si="5"/>
        <v>0.00
(0.00 – 0.00)</v>
      </c>
      <c r="M56" s="57"/>
      <c r="N56" s="59"/>
      <c r="O56" s="16"/>
    </row>
    <row r="57" spans="3:15" ht="15" hidden="1" customHeight="1" x14ac:dyDescent="0.25">
      <c r="C57" s="56"/>
      <c r="D57" s="57"/>
      <c r="E57" s="57"/>
      <c r="F57" s="57"/>
      <c r="G57" s="57"/>
      <c r="H57" s="57"/>
      <c r="I57" s="57"/>
      <c r="J57" s="57"/>
      <c r="K57" s="59" t="str">
        <f t="shared" si="4"/>
        <v>0.00 (0.00 – 0.00)</v>
      </c>
      <c r="L57" s="16" t="str">
        <f t="shared" si="5"/>
        <v>0.00
(0.00 – 0.00)</v>
      </c>
      <c r="M57" s="57"/>
      <c r="N57" s="59"/>
      <c r="O57" s="16"/>
    </row>
    <row r="58" spans="3:15" ht="15" hidden="1" customHeight="1" x14ac:dyDescent="0.25">
      <c r="C58" s="56"/>
      <c r="D58" s="57"/>
      <c r="E58" s="57"/>
      <c r="F58" s="57"/>
      <c r="G58" s="57"/>
      <c r="H58" s="57"/>
      <c r="I58" s="57"/>
      <c r="J58" s="57"/>
      <c r="K58" s="59" t="str">
        <f t="shared" si="4"/>
        <v>0.00 (0.00 – 0.00)</v>
      </c>
      <c r="L58" s="16" t="str">
        <f t="shared" si="5"/>
        <v>0.00
(0.00 – 0.00)</v>
      </c>
      <c r="M58" s="57"/>
      <c r="N58" s="59"/>
      <c r="O58" s="16"/>
    </row>
    <row r="59" spans="3:15" ht="15" hidden="1" customHeight="1" x14ac:dyDescent="0.25">
      <c r="C59" s="56"/>
      <c r="D59" s="57"/>
      <c r="E59" s="57"/>
      <c r="F59" s="57"/>
      <c r="G59" s="57"/>
      <c r="H59" s="57"/>
      <c r="I59" s="57"/>
      <c r="J59" s="57"/>
      <c r="K59" s="59" t="str">
        <f t="shared" si="4"/>
        <v>0.00 (0.00 – 0.00)</v>
      </c>
      <c r="L59" s="16" t="str">
        <f t="shared" si="5"/>
        <v>0.00
(0.00 – 0.00)</v>
      </c>
      <c r="M59" s="57"/>
      <c r="N59" s="59"/>
      <c r="O59" s="16"/>
    </row>
    <row r="60" spans="3:15" ht="15" hidden="1" customHeight="1" x14ac:dyDescent="0.25">
      <c r="C60" s="56"/>
      <c r="D60" s="57"/>
      <c r="E60" s="57"/>
      <c r="F60" s="57"/>
      <c r="G60" s="57"/>
      <c r="H60" s="57"/>
      <c r="I60" s="57"/>
      <c r="J60" s="57"/>
      <c r="K60" s="59" t="str">
        <f t="shared" si="4"/>
        <v>0.00 (0.00 – 0.00)</v>
      </c>
      <c r="L60" s="16" t="str">
        <f t="shared" si="5"/>
        <v>0.00
(0.00 – 0.00)</v>
      </c>
      <c r="M60" s="57"/>
      <c r="N60" s="59"/>
      <c r="O60" s="16"/>
    </row>
    <row r="61" spans="3:15" ht="15" hidden="1" customHeight="1" x14ac:dyDescent="0.25">
      <c r="C61" s="56"/>
      <c r="D61" s="57"/>
      <c r="E61" s="57"/>
      <c r="F61" s="57"/>
      <c r="G61" s="57"/>
      <c r="H61" s="57"/>
      <c r="I61" s="57"/>
      <c r="J61" s="57"/>
      <c r="K61" s="59" t="str">
        <f t="shared" si="4"/>
        <v>0.00 (0.00 – 0.00)</v>
      </c>
      <c r="L61" s="16" t="str">
        <f t="shared" si="5"/>
        <v>0.00
(0.00 – 0.00)</v>
      </c>
      <c r="M61" s="57"/>
      <c r="N61" s="59"/>
      <c r="O61" s="16"/>
    </row>
    <row r="62" spans="3:15" ht="15" hidden="1" customHeight="1" x14ac:dyDescent="0.25">
      <c r="C62" s="56"/>
      <c r="D62" s="57"/>
      <c r="E62" s="57"/>
      <c r="F62" s="57"/>
      <c r="G62" s="57"/>
      <c r="H62" s="57"/>
      <c r="I62" s="57"/>
      <c r="J62" s="57"/>
      <c r="K62" s="59" t="str">
        <f t="shared" si="4"/>
        <v>0.00 (0.00 – 0.00)</v>
      </c>
      <c r="L62" s="16" t="str">
        <f t="shared" si="5"/>
        <v>0.00
(0.00 – 0.00)</v>
      </c>
      <c r="M62" s="57"/>
      <c r="N62" s="59"/>
      <c r="O62" s="16"/>
    </row>
    <row r="63" spans="3:15" ht="15" hidden="1" customHeight="1" x14ac:dyDescent="0.25">
      <c r="C63" s="56"/>
      <c r="D63" s="57"/>
      <c r="E63" s="57"/>
      <c r="F63" s="57"/>
      <c r="G63" s="57"/>
      <c r="H63" s="57"/>
      <c r="I63" s="57"/>
      <c r="J63" s="57"/>
      <c r="K63" s="59" t="str">
        <f t="shared" si="4"/>
        <v>0.00 (0.00 – 0.00)</v>
      </c>
      <c r="L63" s="16" t="str">
        <f t="shared" si="5"/>
        <v>0.00
(0.00 – 0.00)</v>
      </c>
      <c r="M63" s="57"/>
      <c r="N63" s="59"/>
      <c r="O63" s="16"/>
    </row>
    <row r="64" spans="3:15" ht="15" hidden="1" customHeight="1" x14ac:dyDescent="0.25">
      <c r="C64" s="56"/>
      <c r="D64" s="57"/>
      <c r="E64" s="57"/>
      <c r="F64" s="57"/>
      <c r="G64" s="57"/>
      <c r="H64" s="57"/>
      <c r="I64" s="57"/>
      <c r="J64" s="57"/>
      <c r="K64" s="59" t="str">
        <f t="shared" si="4"/>
        <v>0.00 (0.00 – 0.00)</v>
      </c>
      <c r="L64" s="16" t="str">
        <f t="shared" si="5"/>
        <v>0.00
(0.00 – 0.00)</v>
      </c>
      <c r="M64" s="57"/>
      <c r="N64" s="59"/>
      <c r="O64" s="16"/>
    </row>
    <row r="65" spans="3:15" ht="15" hidden="1" customHeight="1" x14ac:dyDescent="0.25">
      <c r="C65" s="56"/>
      <c r="D65" s="57"/>
      <c r="E65" s="57"/>
      <c r="F65" s="57"/>
      <c r="G65" s="57"/>
      <c r="H65" s="57"/>
      <c r="I65" s="57"/>
      <c r="J65" s="57"/>
      <c r="K65" s="59" t="str">
        <f t="shared" si="4"/>
        <v>0.00 (0.00 – 0.00)</v>
      </c>
      <c r="L65" s="16" t="str">
        <f t="shared" si="5"/>
        <v>0.00
(0.00 – 0.00)</v>
      </c>
      <c r="M65" s="57"/>
      <c r="N65" s="59"/>
      <c r="O65" s="16"/>
    </row>
    <row r="66" spans="3:15" ht="15" hidden="1" customHeight="1" x14ac:dyDescent="0.25">
      <c r="C66" s="56"/>
      <c r="D66" s="57"/>
      <c r="E66" s="57"/>
      <c r="F66" s="57"/>
      <c r="G66" s="57"/>
      <c r="H66" s="57"/>
      <c r="I66" s="57"/>
      <c r="J66" s="57"/>
      <c r="K66" s="59" t="str">
        <f t="shared" si="4"/>
        <v>0.00 (0.00 – 0.00)</v>
      </c>
      <c r="L66" s="16" t="str">
        <f t="shared" si="5"/>
        <v>0.00
(0.00 – 0.00)</v>
      </c>
      <c r="M66" s="57"/>
      <c r="N66" s="59"/>
      <c r="O66" s="16"/>
    </row>
    <row r="67" spans="3:15" ht="15" hidden="1" customHeight="1" x14ac:dyDescent="0.25">
      <c r="C67" s="56"/>
      <c r="D67" s="57"/>
      <c r="E67" s="57"/>
      <c r="F67" s="57"/>
      <c r="G67" s="57"/>
      <c r="H67" s="57"/>
      <c r="I67" s="57"/>
      <c r="J67" s="57"/>
      <c r="K67" s="59" t="str">
        <f t="shared" si="4"/>
        <v>0.00 (0.00 – 0.00)</v>
      </c>
      <c r="L67" s="16" t="str">
        <f t="shared" si="5"/>
        <v>0.00
(0.00 – 0.00)</v>
      </c>
      <c r="M67" s="57"/>
      <c r="N67" s="59"/>
      <c r="O67" s="16"/>
    </row>
    <row r="68" spans="3:15" ht="15" hidden="1" customHeight="1" x14ac:dyDescent="0.25">
      <c r="C68" s="56"/>
      <c r="D68" s="57"/>
      <c r="E68" s="57"/>
      <c r="F68" s="57"/>
      <c r="G68" s="57"/>
      <c r="H68" s="57"/>
      <c r="I68" s="57"/>
      <c r="J68" s="57"/>
      <c r="K68" s="59" t="str">
        <f t="shared" si="4"/>
        <v>0.00 (0.00 – 0.00)</v>
      </c>
      <c r="L68" s="16" t="str">
        <f t="shared" si="5"/>
        <v>0.00
(0.00 – 0.00)</v>
      </c>
      <c r="M68" s="57"/>
      <c r="N68" s="59"/>
      <c r="O68" s="16"/>
    </row>
    <row r="69" spans="3:15" ht="15" hidden="1" customHeight="1" x14ac:dyDescent="0.25">
      <c r="C69" s="56"/>
      <c r="D69" s="57"/>
      <c r="E69" s="57"/>
      <c r="F69" s="57"/>
      <c r="G69" s="57"/>
      <c r="H69" s="57"/>
      <c r="I69" s="57"/>
      <c r="J69" s="57"/>
      <c r="K69" s="59" t="str">
        <f t="shared" ref="K69:K132" si="6">CONCATENATE(TEXT(I69,"0.00")," (",TEXT(H69,"0.00")," – ",TEXT(J69,"0.00"),")")</f>
        <v>0.00 (0.00 – 0.00)</v>
      </c>
      <c r="L69" s="16" t="str">
        <f t="shared" si="5"/>
        <v>0.00
(0.00 – 0.00)</v>
      </c>
      <c r="M69" s="57"/>
      <c r="N69" s="59"/>
      <c r="O69" s="16"/>
    </row>
    <row r="70" spans="3:15" ht="15" hidden="1" customHeight="1" x14ac:dyDescent="0.25">
      <c r="C70" s="56"/>
      <c r="D70" s="57"/>
      <c r="E70" s="57"/>
      <c r="F70" s="57"/>
      <c r="G70" s="57"/>
      <c r="H70" s="57"/>
      <c r="I70" s="57"/>
      <c r="J70" s="57"/>
      <c r="K70" s="59" t="str">
        <f t="shared" si="6"/>
        <v>0.00 (0.00 – 0.00)</v>
      </c>
      <c r="L70" s="16" t="str">
        <f t="shared" ref="L70:L133" si="7">CONCATENATE(TEXT(I70,"0.00"),"
(",TEXT(H70,"0.00")," – ",TEXT(J70,"0.00"),")")</f>
        <v>0.00
(0.00 – 0.00)</v>
      </c>
      <c r="M70" s="57"/>
      <c r="N70" s="59"/>
      <c r="O70" s="16"/>
    </row>
    <row r="71" spans="3:15" ht="15" hidden="1" customHeight="1" x14ac:dyDescent="0.25">
      <c r="C71" s="56"/>
      <c r="D71" s="57"/>
      <c r="E71" s="57"/>
      <c r="F71" s="57"/>
      <c r="G71" s="57"/>
      <c r="H71" s="57"/>
      <c r="I71" s="57"/>
      <c r="J71" s="57"/>
      <c r="K71" s="59" t="str">
        <f t="shared" si="6"/>
        <v>0.00 (0.00 – 0.00)</v>
      </c>
      <c r="L71" s="16" t="str">
        <f t="shared" si="7"/>
        <v>0.00
(0.00 – 0.00)</v>
      </c>
      <c r="M71" s="57"/>
      <c r="N71" s="59"/>
      <c r="O71" s="16"/>
    </row>
    <row r="72" spans="3:15" ht="15" hidden="1" customHeight="1" x14ac:dyDescent="0.25">
      <c r="C72" s="56"/>
      <c r="D72" s="57"/>
      <c r="E72" s="57"/>
      <c r="F72" s="57"/>
      <c r="G72" s="57"/>
      <c r="H72" s="57"/>
      <c r="I72" s="57"/>
      <c r="J72" s="57"/>
      <c r="K72" s="59" t="str">
        <f t="shared" si="6"/>
        <v>0.00 (0.00 – 0.00)</v>
      </c>
      <c r="L72" s="16" t="str">
        <f t="shared" si="7"/>
        <v>0.00
(0.00 – 0.00)</v>
      </c>
      <c r="M72" s="57"/>
      <c r="N72" s="59"/>
      <c r="O72" s="16"/>
    </row>
    <row r="73" spans="3:15" ht="15" hidden="1" customHeight="1" x14ac:dyDescent="0.25">
      <c r="C73" s="56"/>
      <c r="D73" s="57"/>
      <c r="E73" s="57"/>
      <c r="F73" s="57"/>
      <c r="G73" s="57"/>
      <c r="H73" s="57"/>
      <c r="I73" s="57"/>
      <c r="J73" s="57"/>
      <c r="K73" s="59" t="str">
        <f t="shared" si="6"/>
        <v>0.00 (0.00 – 0.00)</v>
      </c>
      <c r="L73" s="16" t="str">
        <f t="shared" si="7"/>
        <v>0.00
(0.00 – 0.00)</v>
      </c>
      <c r="M73" s="57"/>
      <c r="N73" s="59"/>
      <c r="O73" s="16"/>
    </row>
    <row r="74" spans="3:15" ht="15" hidden="1" customHeight="1" x14ac:dyDescent="0.25">
      <c r="C74" s="56"/>
      <c r="D74" s="57"/>
      <c r="E74" s="57"/>
      <c r="F74" s="57"/>
      <c r="G74" s="57"/>
      <c r="H74" s="57"/>
      <c r="I74" s="57"/>
      <c r="J74" s="57"/>
      <c r="K74" s="59" t="str">
        <f t="shared" si="6"/>
        <v>0.00 (0.00 – 0.00)</v>
      </c>
      <c r="L74" s="16" t="str">
        <f t="shared" si="7"/>
        <v>0.00
(0.00 – 0.00)</v>
      </c>
      <c r="M74" s="57"/>
      <c r="N74" s="59"/>
      <c r="O74" s="16"/>
    </row>
    <row r="75" spans="3:15" ht="15" hidden="1" customHeight="1" x14ac:dyDescent="0.25">
      <c r="C75" s="56"/>
      <c r="D75" s="57"/>
      <c r="E75" s="57"/>
      <c r="F75" s="57"/>
      <c r="G75" s="57"/>
      <c r="H75" s="57"/>
      <c r="I75" s="57"/>
      <c r="J75" s="57"/>
      <c r="K75" s="59" t="str">
        <f t="shared" si="6"/>
        <v>0.00 (0.00 – 0.00)</v>
      </c>
      <c r="L75" s="16" t="str">
        <f t="shared" si="7"/>
        <v>0.00
(0.00 – 0.00)</v>
      </c>
      <c r="M75" s="57"/>
      <c r="N75" s="59"/>
      <c r="O75" s="16"/>
    </row>
    <row r="76" spans="3:15" ht="15" hidden="1" customHeight="1" x14ac:dyDescent="0.25">
      <c r="C76" s="56"/>
      <c r="D76" s="57"/>
      <c r="E76" s="57"/>
      <c r="F76" s="57"/>
      <c r="G76" s="57"/>
      <c r="H76" s="57"/>
      <c r="I76" s="57"/>
      <c r="J76" s="57"/>
      <c r="K76" s="59" t="str">
        <f t="shared" si="6"/>
        <v>0.00 (0.00 – 0.00)</v>
      </c>
      <c r="L76" s="16" t="str">
        <f t="shared" si="7"/>
        <v>0.00
(0.00 – 0.00)</v>
      </c>
      <c r="M76" s="57"/>
      <c r="N76" s="59"/>
      <c r="O76" s="16"/>
    </row>
    <row r="77" spans="3:15" ht="15" hidden="1" customHeight="1" x14ac:dyDescent="0.25">
      <c r="C77" s="56"/>
      <c r="D77" s="57"/>
      <c r="E77" s="57"/>
      <c r="F77" s="57"/>
      <c r="G77" s="57"/>
      <c r="H77" s="57"/>
      <c r="I77" s="57"/>
      <c r="J77" s="57"/>
      <c r="K77" s="59" t="str">
        <f t="shared" si="6"/>
        <v>0.00 (0.00 – 0.00)</v>
      </c>
      <c r="L77" s="16" t="str">
        <f t="shared" si="7"/>
        <v>0.00
(0.00 – 0.00)</v>
      </c>
      <c r="M77" s="57"/>
      <c r="N77" s="59"/>
      <c r="O77" s="16"/>
    </row>
    <row r="78" spans="3:15" ht="15" hidden="1" customHeight="1" x14ac:dyDescent="0.25">
      <c r="C78" s="56"/>
      <c r="D78" s="57"/>
      <c r="E78" s="57"/>
      <c r="F78" s="57"/>
      <c r="G78" s="57"/>
      <c r="H78" s="57"/>
      <c r="I78" s="57"/>
      <c r="J78" s="57"/>
      <c r="K78" s="59" t="str">
        <f t="shared" si="6"/>
        <v>0.00 (0.00 – 0.00)</v>
      </c>
      <c r="L78" s="16" t="str">
        <f t="shared" si="7"/>
        <v>0.00
(0.00 – 0.00)</v>
      </c>
      <c r="M78" s="57"/>
      <c r="N78" s="59"/>
      <c r="O78" s="16"/>
    </row>
    <row r="79" spans="3:15" ht="15" hidden="1" customHeight="1" x14ac:dyDescent="0.25">
      <c r="C79" s="56"/>
      <c r="D79" s="57"/>
      <c r="E79" s="57"/>
      <c r="F79" s="57"/>
      <c r="G79" s="57"/>
      <c r="H79" s="57"/>
      <c r="I79" s="57"/>
      <c r="J79" s="57"/>
      <c r="K79" s="59" t="str">
        <f t="shared" si="6"/>
        <v>0.00 (0.00 – 0.00)</v>
      </c>
      <c r="L79" s="16" t="str">
        <f t="shared" si="7"/>
        <v>0.00
(0.00 – 0.00)</v>
      </c>
      <c r="M79" s="57"/>
      <c r="N79" s="59"/>
      <c r="O79" s="16"/>
    </row>
    <row r="80" spans="3:15" ht="15" hidden="1" customHeight="1" x14ac:dyDescent="0.25">
      <c r="C80" s="56"/>
      <c r="D80" s="57"/>
      <c r="E80" s="57"/>
      <c r="F80" s="57"/>
      <c r="G80" s="57"/>
      <c r="H80" s="57"/>
      <c r="I80" s="57"/>
      <c r="J80" s="57"/>
      <c r="K80" s="59" t="str">
        <f t="shared" si="6"/>
        <v>0.00 (0.00 – 0.00)</v>
      </c>
      <c r="L80" s="16" t="str">
        <f t="shared" si="7"/>
        <v>0.00
(0.00 – 0.00)</v>
      </c>
      <c r="M80" s="57"/>
      <c r="N80" s="59"/>
      <c r="O80" s="16"/>
    </row>
    <row r="81" spans="3:15" ht="15" hidden="1" customHeight="1" x14ac:dyDescent="0.25">
      <c r="C81" s="56"/>
      <c r="D81" s="57"/>
      <c r="E81" s="57"/>
      <c r="F81" s="57"/>
      <c r="G81" s="57"/>
      <c r="H81" s="57"/>
      <c r="I81" s="57"/>
      <c r="J81" s="57"/>
      <c r="K81" s="59" t="str">
        <f t="shared" si="6"/>
        <v>0.00 (0.00 – 0.00)</v>
      </c>
      <c r="L81" s="16" t="str">
        <f t="shared" si="7"/>
        <v>0.00
(0.00 – 0.00)</v>
      </c>
      <c r="M81" s="57"/>
      <c r="N81" s="59"/>
      <c r="O81" s="16"/>
    </row>
    <row r="82" spans="3:15" ht="15" hidden="1" customHeight="1" x14ac:dyDescent="0.25">
      <c r="C82" s="56"/>
      <c r="D82" s="57"/>
      <c r="E82" s="57"/>
      <c r="F82" s="57"/>
      <c r="G82" s="57"/>
      <c r="H82" s="57"/>
      <c r="I82" s="57"/>
      <c r="J82" s="57"/>
      <c r="K82" s="59" t="str">
        <f t="shared" si="6"/>
        <v>0.00 (0.00 – 0.00)</v>
      </c>
      <c r="L82" s="16" t="str">
        <f t="shared" si="7"/>
        <v>0.00
(0.00 – 0.00)</v>
      </c>
      <c r="M82" s="57"/>
      <c r="N82" s="59"/>
      <c r="O82" s="16"/>
    </row>
    <row r="83" spans="3:15" ht="15" hidden="1" customHeight="1" x14ac:dyDescent="0.25">
      <c r="C83" s="56"/>
      <c r="D83" s="57"/>
      <c r="E83" s="57"/>
      <c r="F83" s="57"/>
      <c r="G83" s="57"/>
      <c r="H83" s="57"/>
      <c r="I83" s="57"/>
      <c r="J83" s="57"/>
      <c r="K83" s="59" t="str">
        <f t="shared" si="6"/>
        <v>0.00 (0.00 – 0.00)</v>
      </c>
      <c r="L83" s="16" t="str">
        <f t="shared" si="7"/>
        <v>0.00
(0.00 – 0.00)</v>
      </c>
      <c r="M83" s="57"/>
      <c r="N83" s="59"/>
      <c r="O83" s="16"/>
    </row>
    <row r="84" spans="3:15" ht="15" hidden="1" customHeight="1" x14ac:dyDescent="0.25">
      <c r="C84" s="56"/>
      <c r="D84" s="57"/>
      <c r="E84" s="57"/>
      <c r="F84" s="57"/>
      <c r="G84" s="57"/>
      <c r="H84" s="57"/>
      <c r="I84" s="57"/>
      <c r="J84" s="57"/>
      <c r="K84" s="59" t="str">
        <f t="shared" si="6"/>
        <v>0.00 (0.00 – 0.00)</v>
      </c>
      <c r="L84" s="16" t="str">
        <f t="shared" si="7"/>
        <v>0.00
(0.00 – 0.00)</v>
      </c>
      <c r="M84" s="57"/>
      <c r="N84" s="59"/>
      <c r="O84" s="16"/>
    </row>
    <row r="85" spans="3:15" ht="15" hidden="1" customHeight="1" x14ac:dyDescent="0.25">
      <c r="C85" s="56"/>
      <c r="D85" s="57"/>
      <c r="E85" s="57"/>
      <c r="F85" s="57"/>
      <c r="G85" s="57"/>
      <c r="H85" s="57"/>
      <c r="I85" s="57"/>
      <c r="J85" s="57"/>
      <c r="K85" s="59" t="str">
        <f t="shared" si="6"/>
        <v>0.00 (0.00 – 0.00)</v>
      </c>
      <c r="L85" s="16" t="str">
        <f t="shared" si="7"/>
        <v>0.00
(0.00 – 0.00)</v>
      </c>
      <c r="M85" s="57"/>
      <c r="N85" s="59"/>
      <c r="O85" s="16"/>
    </row>
    <row r="86" spans="3:15" ht="15" hidden="1" customHeight="1" x14ac:dyDescent="0.25">
      <c r="C86" s="56"/>
      <c r="D86" s="57"/>
      <c r="E86" s="57"/>
      <c r="F86" s="57"/>
      <c r="G86" s="57"/>
      <c r="H86" s="57"/>
      <c r="I86" s="57"/>
      <c r="J86" s="57"/>
      <c r="K86" s="59" t="str">
        <f t="shared" si="6"/>
        <v>0.00 (0.00 – 0.00)</v>
      </c>
      <c r="L86" s="16" t="str">
        <f t="shared" si="7"/>
        <v>0.00
(0.00 – 0.00)</v>
      </c>
      <c r="M86" s="57"/>
      <c r="N86" s="59"/>
      <c r="O86" s="16"/>
    </row>
    <row r="87" spans="3:15" ht="15" hidden="1" customHeight="1" x14ac:dyDescent="0.25">
      <c r="C87" s="56"/>
      <c r="D87" s="57"/>
      <c r="E87" s="57"/>
      <c r="F87" s="57"/>
      <c r="G87" s="57"/>
      <c r="H87" s="57"/>
      <c r="I87" s="57"/>
      <c r="J87" s="57"/>
      <c r="K87" s="59" t="str">
        <f t="shared" si="6"/>
        <v>0.00 (0.00 – 0.00)</v>
      </c>
      <c r="L87" s="16" t="str">
        <f t="shared" si="7"/>
        <v>0.00
(0.00 – 0.00)</v>
      </c>
      <c r="M87" s="57"/>
      <c r="N87" s="59"/>
      <c r="O87" s="16"/>
    </row>
    <row r="88" spans="3:15" ht="15" hidden="1" customHeight="1" x14ac:dyDescent="0.25">
      <c r="C88" s="56"/>
      <c r="D88" s="57"/>
      <c r="E88" s="57"/>
      <c r="F88" s="57"/>
      <c r="G88" s="57"/>
      <c r="H88" s="57"/>
      <c r="I88" s="57"/>
      <c r="J88" s="57"/>
      <c r="K88" s="59" t="str">
        <f t="shared" si="6"/>
        <v>0.00 (0.00 – 0.00)</v>
      </c>
      <c r="L88" s="16" t="str">
        <f t="shared" si="7"/>
        <v>0.00
(0.00 – 0.00)</v>
      </c>
      <c r="M88" s="57"/>
      <c r="N88" s="59"/>
      <c r="O88" s="16"/>
    </row>
    <row r="89" spans="3:15" ht="15" hidden="1" customHeight="1" x14ac:dyDescent="0.25">
      <c r="C89" s="56"/>
      <c r="D89" s="57"/>
      <c r="E89" s="57"/>
      <c r="F89" s="57"/>
      <c r="G89" s="57"/>
      <c r="H89" s="57"/>
      <c r="I89" s="57"/>
      <c r="J89" s="57"/>
      <c r="K89" s="59" t="str">
        <f t="shared" si="6"/>
        <v>0.00 (0.00 – 0.00)</v>
      </c>
      <c r="L89" s="16" t="str">
        <f t="shared" si="7"/>
        <v>0.00
(0.00 – 0.00)</v>
      </c>
      <c r="M89" s="57"/>
      <c r="N89" s="59"/>
      <c r="O89" s="16"/>
    </row>
    <row r="90" spans="3:15" ht="15" hidden="1" customHeight="1" x14ac:dyDescent="0.25">
      <c r="C90" s="56"/>
      <c r="D90" s="57"/>
      <c r="E90" s="57"/>
      <c r="F90" s="57"/>
      <c r="G90" s="57"/>
      <c r="H90" s="57"/>
      <c r="I90" s="57"/>
      <c r="J90" s="57"/>
      <c r="K90" s="59" t="str">
        <f t="shared" si="6"/>
        <v>0.00 (0.00 – 0.00)</v>
      </c>
      <c r="L90" s="16" t="str">
        <f t="shared" si="7"/>
        <v>0.00
(0.00 – 0.00)</v>
      </c>
      <c r="M90" s="57"/>
      <c r="N90" s="59"/>
      <c r="O90" s="16"/>
    </row>
    <row r="91" spans="3:15" ht="15" hidden="1" customHeight="1" x14ac:dyDescent="0.25">
      <c r="C91" s="56"/>
      <c r="D91" s="57"/>
      <c r="E91" s="57"/>
      <c r="F91" s="57"/>
      <c r="G91" s="57"/>
      <c r="H91" s="57"/>
      <c r="I91" s="57"/>
      <c r="J91" s="57"/>
      <c r="K91" s="59" t="str">
        <f t="shared" si="6"/>
        <v>0.00 (0.00 – 0.00)</v>
      </c>
      <c r="L91" s="16" t="str">
        <f t="shared" si="7"/>
        <v>0.00
(0.00 – 0.00)</v>
      </c>
      <c r="M91" s="57"/>
      <c r="N91" s="59"/>
      <c r="O91" s="16"/>
    </row>
    <row r="92" spans="3:15" ht="15" hidden="1" customHeight="1" x14ac:dyDescent="0.25">
      <c r="C92" s="56"/>
      <c r="D92" s="57"/>
      <c r="E92" s="57"/>
      <c r="F92" s="57"/>
      <c r="G92" s="57"/>
      <c r="H92" s="57"/>
      <c r="I92" s="57"/>
      <c r="J92" s="57"/>
      <c r="K92" s="59" t="str">
        <f t="shared" si="6"/>
        <v>0.00 (0.00 – 0.00)</v>
      </c>
      <c r="L92" s="16" t="str">
        <f t="shared" si="7"/>
        <v>0.00
(0.00 – 0.00)</v>
      </c>
      <c r="M92" s="57"/>
      <c r="N92" s="59"/>
      <c r="O92" s="16"/>
    </row>
    <row r="93" spans="3:15" ht="15" hidden="1" customHeight="1" x14ac:dyDescent="0.25">
      <c r="C93" s="56"/>
      <c r="D93" s="57"/>
      <c r="E93" s="57"/>
      <c r="F93" s="57"/>
      <c r="G93" s="57"/>
      <c r="H93" s="57"/>
      <c r="I93" s="57"/>
      <c r="J93" s="57"/>
      <c r="K93" s="59" t="str">
        <f t="shared" si="6"/>
        <v>0.00 (0.00 – 0.00)</v>
      </c>
      <c r="L93" s="16" t="str">
        <f t="shared" si="7"/>
        <v>0.00
(0.00 – 0.00)</v>
      </c>
      <c r="M93" s="57"/>
      <c r="N93" s="59"/>
      <c r="O93" s="16"/>
    </row>
    <row r="94" spans="3:15" ht="15" hidden="1" customHeight="1" x14ac:dyDescent="0.25">
      <c r="C94" s="56"/>
      <c r="D94" s="57"/>
      <c r="E94" s="57"/>
      <c r="F94" s="57"/>
      <c r="G94" s="57"/>
      <c r="H94" s="57"/>
      <c r="I94" s="57"/>
      <c r="J94" s="57"/>
      <c r="K94" s="59" t="str">
        <f t="shared" si="6"/>
        <v>0.00 (0.00 – 0.00)</v>
      </c>
      <c r="L94" s="16" t="str">
        <f t="shared" si="7"/>
        <v>0.00
(0.00 – 0.00)</v>
      </c>
      <c r="M94" s="57"/>
      <c r="N94" s="59"/>
      <c r="O94" s="16"/>
    </row>
    <row r="95" spans="3:15" ht="15" hidden="1" customHeight="1" x14ac:dyDescent="0.25">
      <c r="C95" s="56"/>
      <c r="D95" s="57"/>
      <c r="E95" s="57"/>
      <c r="F95" s="57"/>
      <c r="G95" s="57"/>
      <c r="H95" s="57"/>
      <c r="I95" s="57"/>
      <c r="J95" s="57"/>
      <c r="K95" s="59" t="str">
        <f t="shared" si="6"/>
        <v>0.00 (0.00 – 0.00)</v>
      </c>
      <c r="L95" s="16" t="str">
        <f t="shared" si="7"/>
        <v>0.00
(0.00 – 0.00)</v>
      </c>
      <c r="M95" s="57"/>
      <c r="N95" s="59"/>
      <c r="O95" s="16"/>
    </row>
    <row r="96" spans="3:15" ht="15" hidden="1" customHeight="1" x14ac:dyDescent="0.25">
      <c r="C96" s="56"/>
      <c r="D96" s="57"/>
      <c r="E96" s="57"/>
      <c r="F96" s="57"/>
      <c r="G96" s="57"/>
      <c r="H96" s="57"/>
      <c r="I96" s="57"/>
      <c r="J96" s="57"/>
      <c r="K96" s="59" t="str">
        <f t="shared" si="6"/>
        <v>0.00 (0.00 – 0.00)</v>
      </c>
      <c r="L96" s="16" t="str">
        <f t="shared" si="7"/>
        <v>0.00
(0.00 – 0.00)</v>
      </c>
      <c r="M96" s="57"/>
      <c r="N96" s="59"/>
      <c r="O96" s="16"/>
    </row>
    <row r="97" spans="3:15" ht="15" hidden="1" customHeight="1" x14ac:dyDescent="0.25">
      <c r="C97" s="56"/>
      <c r="D97" s="57"/>
      <c r="E97" s="57"/>
      <c r="F97" s="57"/>
      <c r="G97" s="57"/>
      <c r="H97" s="57"/>
      <c r="I97" s="57"/>
      <c r="J97" s="57"/>
      <c r="K97" s="59" t="str">
        <f t="shared" si="6"/>
        <v>0.00 (0.00 – 0.00)</v>
      </c>
      <c r="L97" s="16" t="str">
        <f t="shared" si="7"/>
        <v>0.00
(0.00 – 0.00)</v>
      </c>
      <c r="M97" s="57"/>
      <c r="N97" s="59"/>
      <c r="O97" s="16"/>
    </row>
    <row r="98" spans="3:15" ht="15" hidden="1" customHeight="1" x14ac:dyDescent="0.25">
      <c r="C98" s="56"/>
      <c r="D98" s="57"/>
      <c r="E98" s="57"/>
      <c r="F98" s="57"/>
      <c r="G98" s="57"/>
      <c r="H98" s="57"/>
      <c r="I98" s="57"/>
      <c r="J98" s="57"/>
      <c r="K98" s="59" t="str">
        <f t="shared" si="6"/>
        <v>0.00 (0.00 – 0.00)</v>
      </c>
      <c r="L98" s="16" t="str">
        <f t="shared" si="7"/>
        <v>0.00
(0.00 – 0.00)</v>
      </c>
      <c r="M98" s="57"/>
      <c r="N98" s="59"/>
      <c r="O98" s="16"/>
    </row>
    <row r="99" spans="3:15" ht="15" hidden="1" customHeight="1" x14ac:dyDescent="0.25">
      <c r="C99" s="56"/>
      <c r="D99" s="57"/>
      <c r="E99" s="57"/>
      <c r="F99" s="57"/>
      <c r="G99" s="57"/>
      <c r="H99" s="57"/>
      <c r="I99" s="57"/>
      <c r="J99" s="57"/>
      <c r="K99" s="59" t="str">
        <f t="shared" si="6"/>
        <v>0.00 (0.00 – 0.00)</v>
      </c>
      <c r="L99" s="16" t="str">
        <f t="shared" si="7"/>
        <v>0.00
(0.00 – 0.00)</v>
      </c>
      <c r="M99" s="57"/>
      <c r="N99" s="59"/>
      <c r="O99" s="16"/>
    </row>
    <row r="100" spans="3:15" ht="15" hidden="1" customHeight="1" x14ac:dyDescent="0.25">
      <c r="C100" s="56"/>
      <c r="D100" s="57"/>
      <c r="E100" s="57"/>
      <c r="F100" s="57"/>
      <c r="G100" s="57"/>
      <c r="H100" s="57"/>
      <c r="I100" s="57"/>
      <c r="J100" s="57"/>
      <c r="K100" s="59" t="str">
        <f t="shared" si="6"/>
        <v>0.00 (0.00 – 0.00)</v>
      </c>
      <c r="L100" s="16" t="str">
        <f t="shared" si="7"/>
        <v>0.00
(0.00 – 0.00)</v>
      </c>
      <c r="M100" s="57"/>
      <c r="N100" s="59"/>
      <c r="O100" s="16"/>
    </row>
    <row r="101" spans="3:15" ht="15" hidden="1" customHeight="1" x14ac:dyDescent="0.25">
      <c r="C101" s="56"/>
      <c r="D101" s="57"/>
      <c r="E101" s="57"/>
      <c r="F101" s="57"/>
      <c r="G101" s="57"/>
      <c r="H101" s="57"/>
      <c r="I101" s="57"/>
      <c r="J101" s="57"/>
      <c r="K101" s="59" t="str">
        <f t="shared" si="6"/>
        <v>0.00 (0.00 – 0.00)</v>
      </c>
      <c r="L101" s="16" t="str">
        <f t="shared" si="7"/>
        <v>0.00
(0.00 – 0.00)</v>
      </c>
      <c r="M101" s="57"/>
      <c r="N101" s="59"/>
      <c r="O101" s="16"/>
    </row>
    <row r="102" spans="3:15" ht="15" hidden="1" customHeight="1" x14ac:dyDescent="0.25">
      <c r="C102" s="56"/>
      <c r="D102" s="57"/>
      <c r="E102" s="57"/>
      <c r="F102" s="57"/>
      <c r="G102" s="57"/>
      <c r="H102" s="57"/>
      <c r="I102" s="57"/>
      <c r="J102" s="57"/>
      <c r="K102" s="59" t="str">
        <f t="shared" si="6"/>
        <v>0.00 (0.00 – 0.00)</v>
      </c>
      <c r="L102" s="16" t="str">
        <f t="shared" si="7"/>
        <v>0.00
(0.00 – 0.00)</v>
      </c>
      <c r="M102" s="57"/>
      <c r="N102" s="59"/>
      <c r="O102" s="16"/>
    </row>
    <row r="103" spans="3:15" ht="15" hidden="1" customHeight="1" x14ac:dyDescent="0.25">
      <c r="C103" s="56"/>
      <c r="D103" s="57"/>
      <c r="E103" s="57"/>
      <c r="F103" s="57"/>
      <c r="G103" s="57"/>
      <c r="H103" s="57"/>
      <c r="I103" s="57"/>
      <c r="J103" s="57"/>
      <c r="K103" s="59" t="str">
        <f t="shared" si="6"/>
        <v>0.00 (0.00 – 0.00)</v>
      </c>
      <c r="L103" s="16" t="str">
        <f t="shared" si="7"/>
        <v>0.00
(0.00 – 0.00)</v>
      </c>
      <c r="M103" s="57"/>
      <c r="N103" s="59"/>
      <c r="O103" s="16"/>
    </row>
    <row r="104" spans="3:15" ht="15" hidden="1" customHeight="1" x14ac:dyDescent="0.25">
      <c r="C104" s="56"/>
      <c r="D104" s="57"/>
      <c r="E104" s="57"/>
      <c r="F104" s="57"/>
      <c r="G104" s="57"/>
      <c r="H104" s="57"/>
      <c r="I104" s="57"/>
      <c r="J104" s="57"/>
      <c r="K104" s="59" t="str">
        <f t="shared" si="6"/>
        <v>0.00 (0.00 – 0.00)</v>
      </c>
      <c r="L104" s="16" t="str">
        <f t="shared" si="7"/>
        <v>0.00
(0.00 – 0.00)</v>
      </c>
      <c r="M104" s="57"/>
      <c r="N104" s="59"/>
      <c r="O104" s="16"/>
    </row>
    <row r="105" spans="3:15" ht="15" hidden="1" customHeight="1" x14ac:dyDescent="0.25">
      <c r="C105" s="56"/>
      <c r="D105" s="57"/>
      <c r="E105" s="57"/>
      <c r="F105" s="57"/>
      <c r="G105" s="57"/>
      <c r="H105" s="57"/>
      <c r="I105" s="57"/>
      <c r="J105" s="57"/>
      <c r="K105" s="59" t="str">
        <f t="shared" si="6"/>
        <v>0.00 (0.00 – 0.00)</v>
      </c>
      <c r="L105" s="16" t="str">
        <f t="shared" si="7"/>
        <v>0.00
(0.00 – 0.00)</v>
      </c>
      <c r="M105" s="57"/>
      <c r="N105" s="59"/>
      <c r="O105" s="16"/>
    </row>
    <row r="106" spans="3:15" ht="15" hidden="1" customHeight="1" x14ac:dyDescent="0.25">
      <c r="C106" s="56"/>
      <c r="D106" s="57"/>
      <c r="E106" s="57"/>
      <c r="F106" s="57"/>
      <c r="G106" s="57"/>
      <c r="H106" s="57"/>
      <c r="I106" s="57"/>
      <c r="J106" s="57"/>
      <c r="K106" s="59" t="str">
        <f t="shared" si="6"/>
        <v>0.00 (0.00 – 0.00)</v>
      </c>
      <c r="L106" s="16" t="str">
        <f t="shared" si="7"/>
        <v>0.00
(0.00 – 0.00)</v>
      </c>
      <c r="M106" s="57"/>
      <c r="N106" s="59"/>
      <c r="O106" s="16"/>
    </row>
    <row r="107" spans="3:15" ht="15" hidden="1" customHeight="1" x14ac:dyDescent="0.25">
      <c r="C107" s="56"/>
      <c r="D107" s="57"/>
      <c r="E107" s="57"/>
      <c r="F107" s="57"/>
      <c r="G107" s="57"/>
      <c r="H107" s="57"/>
      <c r="I107" s="57"/>
      <c r="J107" s="57"/>
      <c r="K107" s="59" t="str">
        <f t="shared" si="6"/>
        <v>0.00 (0.00 – 0.00)</v>
      </c>
      <c r="L107" s="16" t="str">
        <f t="shared" si="7"/>
        <v>0.00
(0.00 – 0.00)</v>
      </c>
      <c r="M107" s="57"/>
      <c r="N107" s="59"/>
      <c r="O107" s="16"/>
    </row>
    <row r="108" spans="3:15" ht="15" hidden="1" customHeight="1" x14ac:dyDescent="0.25">
      <c r="C108" s="56"/>
      <c r="D108" s="57"/>
      <c r="E108" s="57"/>
      <c r="F108" s="57"/>
      <c r="G108" s="57"/>
      <c r="H108" s="57"/>
      <c r="I108" s="57"/>
      <c r="J108" s="57"/>
      <c r="K108" s="59" t="str">
        <f t="shared" si="6"/>
        <v>0.00 (0.00 – 0.00)</v>
      </c>
      <c r="L108" s="16" t="str">
        <f t="shared" si="7"/>
        <v>0.00
(0.00 – 0.00)</v>
      </c>
      <c r="M108" s="57"/>
      <c r="N108" s="59"/>
      <c r="O108" s="16"/>
    </row>
    <row r="109" spans="3:15" ht="15" hidden="1" customHeight="1" x14ac:dyDescent="0.25">
      <c r="C109" s="56"/>
      <c r="D109" s="57"/>
      <c r="E109" s="57"/>
      <c r="F109" s="57"/>
      <c r="G109" s="57"/>
      <c r="H109" s="57"/>
      <c r="I109" s="57"/>
      <c r="J109" s="57"/>
      <c r="K109" s="59" t="str">
        <f t="shared" si="6"/>
        <v>0.00 (0.00 – 0.00)</v>
      </c>
      <c r="L109" s="16" t="str">
        <f t="shared" si="7"/>
        <v>0.00
(0.00 – 0.00)</v>
      </c>
      <c r="M109" s="57"/>
      <c r="N109" s="59"/>
      <c r="O109" s="16"/>
    </row>
    <row r="110" spans="3:15" ht="15" hidden="1" customHeight="1" x14ac:dyDescent="0.25">
      <c r="C110" s="56"/>
      <c r="D110" s="57"/>
      <c r="E110" s="57"/>
      <c r="F110" s="57"/>
      <c r="G110" s="57"/>
      <c r="H110" s="57"/>
      <c r="I110" s="57"/>
      <c r="J110" s="57"/>
      <c r="K110" s="59" t="str">
        <f t="shared" si="6"/>
        <v>0.00 (0.00 – 0.00)</v>
      </c>
      <c r="L110" s="16" t="str">
        <f t="shared" si="7"/>
        <v>0.00
(0.00 – 0.00)</v>
      </c>
      <c r="M110" s="57"/>
      <c r="N110" s="59"/>
      <c r="O110" s="16"/>
    </row>
    <row r="111" spans="3:15" ht="15" hidden="1" customHeight="1" x14ac:dyDescent="0.25">
      <c r="C111" s="56"/>
      <c r="D111" s="57"/>
      <c r="E111" s="57"/>
      <c r="F111" s="57"/>
      <c r="G111" s="57"/>
      <c r="H111" s="57"/>
      <c r="I111" s="57"/>
      <c r="J111" s="57"/>
      <c r="K111" s="59" t="str">
        <f t="shared" si="6"/>
        <v>0.00 (0.00 – 0.00)</v>
      </c>
      <c r="L111" s="16" t="str">
        <f t="shared" si="7"/>
        <v>0.00
(0.00 – 0.00)</v>
      </c>
      <c r="M111" s="57"/>
      <c r="N111" s="59"/>
      <c r="O111" s="16"/>
    </row>
    <row r="112" spans="3:15" ht="15" hidden="1" customHeight="1" x14ac:dyDescent="0.25">
      <c r="C112" s="56"/>
      <c r="D112" s="57"/>
      <c r="E112" s="57"/>
      <c r="F112" s="57"/>
      <c r="G112" s="57"/>
      <c r="H112" s="57"/>
      <c r="I112" s="57"/>
      <c r="J112" s="57"/>
      <c r="K112" s="59" t="str">
        <f t="shared" si="6"/>
        <v>0.00 (0.00 – 0.00)</v>
      </c>
      <c r="L112" s="16" t="str">
        <f t="shared" si="7"/>
        <v>0.00
(0.00 – 0.00)</v>
      </c>
      <c r="M112" s="57"/>
      <c r="N112" s="59"/>
      <c r="O112" s="16"/>
    </row>
    <row r="113" spans="3:15" ht="15" hidden="1" customHeight="1" x14ac:dyDescent="0.25">
      <c r="C113" s="56"/>
      <c r="D113" s="57"/>
      <c r="E113" s="57"/>
      <c r="F113" s="57"/>
      <c r="G113" s="57"/>
      <c r="H113" s="57"/>
      <c r="I113" s="57"/>
      <c r="J113" s="57"/>
      <c r="K113" s="59" t="str">
        <f t="shared" si="6"/>
        <v>0.00 (0.00 – 0.00)</v>
      </c>
      <c r="L113" s="16" t="str">
        <f t="shared" si="7"/>
        <v>0.00
(0.00 – 0.00)</v>
      </c>
      <c r="M113" s="57"/>
      <c r="N113" s="59"/>
      <c r="O113" s="16"/>
    </row>
    <row r="114" spans="3:15" ht="15" hidden="1" customHeight="1" x14ac:dyDescent="0.25">
      <c r="C114" s="56"/>
      <c r="D114" s="57"/>
      <c r="E114" s="57"/>
      <c r="F114" s="57"/>
      <c r="G114" s="57"/>
      <c r="H114" s="57"/>
      <c r="I114" s="57"/>
      <c r="J114" s="57"/>
      <c r="K114" s="59" t="str">
        <f t="shared" si="6"/>
        <v>0.00 (0.00 – 0.00)</v>
      </c>
      <c r="L114" s="16" t="str">
        <f t="shared" si="7"/>
        <v>0.00
(0.00 – 0.00)</v>
      </c>
      <c r="M114" s="57"/>
      <c r="N114" s="59"/>
      <c r="O114" s="16"/>
    </row>
    <row r="115" spans="3:15" ht="15" hidden="1" customHeight="1" x14ac:dyDescent="0.25">
      <c r="C115" s="56"/>
      <c r="D115" s="57"/>
      <c r="E115" s="57"/>
      <c r="F115" s="57"/>
      <c r="G115" s="57"/>
      <c r="H115" s="57"/>
      <c r="I115" s="57"/>
      <c r="J115" s="57"/>
      <c r="K115" s="59" t="str">
        <f t="shared" si="6"/>
        <v>0.00 (0.00 – 0.00)</v>
      </c>
      <c r="L115" s="16" t="str">
        <f t="shared" si="7"/>
        <v>0.00
(0.00 – 0.00)</v>
      </c>
      <c r="M115" s="57"/>
      <c r="N115" s="59"/>
      <c r="O115" s="16"/>
    </row>
    <row r="116" spans="3:15" ht="15" hidden="1" customHeight="1" x14ac:dyDescent="0.25">
      <c r="C116" s="56"/>
      <c r="D116" s="57"/>
      <c r="E116" s="57"/>
      <c r="F116" s="57"/>
      <c r="G116" s="57"/>
      <c r="H116" s="57"/>
      <c r="I116" s="57"/>
      <c r="J116" s="57"/>
      <c r="K116" s="59" t="str">
        <f t="shared" si="6"/>
        <v>0.00 (0.00 – 0.00)</v>
      </c>
      <c r="L116" s="16" t="str">
        <f t="shared" si="7"/>
        <v>0.00
(0.00 – 0.00)</v>
      </c>
      <c r="M116" s="57"/>
      <c r="N116" s="59"/>
      <c r="O116" s="16"/>
    </row>
    <row r="117" spans="3:15" ht="15" hidden="1" customHeight="1" x14ac:dyDescent="0.25">
      <c r="C117" s="56"/>
      <c r="D117" s="57"/>
      <c r="E117" s="57"/>
      <c r="F117" s="57"/>
      <c r="G117" s="57"/>
      <c r="H117" s="57"/>
      <c r="I117" s="57"/>
      <c r="J117" s="57"/>
      <c r="K117" s="59" t="str">
        <f t="shared" si="6"/>
        <v>0.00 (0.00 – 0.00)</v>
      </c>
      <c r="L117" s="16" t="str">
        <f t="shared" si="7"/>
        <v>0.00
(0.00 – 0.00)</v>
      </c>
      <c r="M117" s="57"/>
      <c r="N117" s="59"/>
      <c r="O117" s="16"/>
    </row>
    <row r="118" spans="3:15" ht="15" hidden="1" customHeight="1" x14ac:dyDescent="0.25">
      <c r="C118" s="56"/>
      <c r="D118" s="57"/>
      <c r="E118" s="57"/>
      <c r="F118" s="57"/>
      <c r="G118" s="57"/>
      <c r="H118" s="57"/>
      <c r="I118" s="57"/>
      <c r="J118" s="57"/>
      <c r="K118" s="59" t="str">
        <f t="shared" si="6"/>
        <v>0.00 (0.00 – 0.00)</v>
      </c>
      <c r="L118" s="16" t="str">
        <f t="shared" si="7"/>
        <v>0.00
(0.00 – 0.00)</v>
      </c>
      <c r="M118" s="57"/>
      <c r="N118" s="59"/>
      <c r="O118" s="16"/>
    </row>
    <row r="119" spans="3:15" ht="15" hidden="1" customHeight="1" x14ac:dyDescent="0.25">
      <c r="C119" s="56"/>
      <c r="D119" s="57"/>
      <c r="E119" s="57"/>
      <c r="F119" s="57"/>
      <c r="G119" s="57"/>
      <c r="H119" s="57"/>
      <c r="I119" s="57"/>
      <c r="J119" s="57"/>
      <c r="K119" s="59" t="str">
        <f t="shared" si="6"/>
        <v>0.00 (0.00 – 0.00)</v>
      </c>
      <c r="L119" s="16" t="str">
        <f t="shared" si="7"/>
        <v>0.00
(0.00 – 0.00)</v>
      </c>
      <c r="M119" s="57"/>
      <c r="N119" s="59"/>
      <c r="O119" s="16"/>
    </row>
    <row r="120" spans="3:15" ht="15" hidden="1" customHeight="1" x14ac:dyDescent="0.25">
      <c r="C120" s="56"/>
      <c r="D120" s="57"/>
      <c r="E120" s="57"/>
      <c r="F120" s="57"/>
      <c r="G120" s="57"/>
      <c r="H120" s="57"/>
      <c r="I120" s="57"/>
      <c r="J120" s="57"/>
      <c r="K120" s="59" t="str">
        <f t="shared" si="6"/>
        <v>0.00 (0.00 – 0.00)</v>
      </c>
      <c r="L120" s="16" t="str">
        <f t="shared" si="7"/>
        <v>0.00
(0.00 – 0.00)</v>
      </c>
      <c r="M120" s="57"/>
      <c r="N120" s="59"/>
      <c r="O120" s="16"/>
    </row>
    <row r="121" spans="3:15" ht="15" hidden="1" customHeight="1" x14ac:dyDescent="0.25">
      <c r="C121" s="56"/>
      <c r="D121" s="57"/>
      <c r="E121" s="57"/>
      <c r="F121" s="57"/>
      <c r="G121" s="57"/>
      <c r="H121" s="57"/>
      <c r="I121" s="57"/>
      <c r="J121" s="57"/>
      <c r="K121" s="59" t="str">
        <f t="shared" si="6"/>
        <v>0.00 (0.00 – 0.00)</v>
      </c>
      <c r="L121" s="16" t="str">
        <f t="shared" si="7"/>
        <v>0.00
(0.00 – 0.00)</v>
      </c>
      <c r="M121" s="57"/>
      <c r="N121" s="59"/>
      <c r="O121" s="16"/>
    </row>
    <row r="122" spans="3:15" ht="15" hidden="1" customHeight="1" x14ac:dyDescent="0.25">
      <c r="C122" s="56"/>
      <c r="D122" s="57"/>
      <c r="E122" s="57"/>
      <c r="F122" s="57"/>
      <c r="G122" s="57"/>
      <c r="H122" s="57"/>
      <c r="I122" s="57"/>
      <c r="J122" s="57"/>
      <c r="K122" s="59" t="str">
        <f t="shared" si="6"/>
        <v>0.00 (0.00 – 0.00)</v>
      </c>
      <c r="L122" s="16" t="str">
        <f t="shared" si="7"/>
        <v>0.00
(0.00 – 0.00)</v>
      </c>
      <c r="M122" s="57"/>
      <c r="N122" s="59"/>
      <c r="O122" s="16"/>
    </row>
    <row r="123" spans="3:15" ht="15" hidden="1" customHeight="1" x14ac:dyDescent="0.25">
      <c r="C123" s="56"/>
      <c r="D123" s="57"/>
      <c r="E123" s="57"/>
      <c r="F123" s="57"/>
      <c r="G123" s="57"/>
      <c r="H123" s="57"/>
      <c r="I123" s="57"/>
      <c r="J123" s="57"/>
      <c r="K123" s="59" t="str">
        <f t="shared" si="6"/>
        <v>0.00 (0.00 – 0.00)</v>
      </c>
      <c r="L123" s="16" t="str">
        <f t="shared" si="7"/>
        <v>0.00
(0.00 – 0.00)</v>
      </c>
      <c r="M123" s="57"/>
      <c r="N123" s="59"/>
      <c r="O123" s="16"/>
    </row>
    <row r="124" spans="3:15" ht="15" hidden="1" customHeight="1" x14ac:dyDescent="0.25">
      <c r="C124" s="56"/>
      <c r="D124" s="57"/>
      <c r="E124" s="57"/>
      <c r="F124" s="57"/>
      <c r="G124" s="57"/>
      <c r="H124" s="57"/>
      <c r="I124" s="57"/>
      <c r="J124" s="57"/>
      <c r="K124" s="59" t="str">
        <f t="shared" si="6"/>
        <v>0.00 (0.00 – 0.00)</v>
      </c>
      <c r="L124" s="16" t="str">
        <f t="shared" si="7"/>
        <v>0.00
(0.00 – 0.00)</v>
      </c>
      <c r="M124" s="57"/>
      <c r="N124" s="59"/>
      <c r="O124" s="16"/>
    </row>
    <row r="125" spans="3:15" ht="15" hidden="1" customHeight="1" x14ac:dyDescent="0.25">
      <c r="C125" s="56"/>
      <c r="D125" s="57"/>
      <c r="E125" s="57"/>
      <c r="F125" s="57"/>
      <c r="G125" s="57"/>
      <c r="H125" s="57"/>
      <c r="I125" s="57"/>
      <c r="J125" s="57"/>
      <c r="K125" s="59" t="str">
        <f t="shared" si="6"/>
        <v>0.00 (0.00 – 0.00)</v>
      </c>
      <c r="L125" s="16" t="str">
        <f t="shared" si="7"/>
        <v>0.00
(0.00 – 0.00)</v>
      </c>
      <c r="M125" s="57"/>
      <c r="N125" s="59"/>
      <c r="O125" s="16"/>
    </row>
    <row r="126" spans="3:15" ht="15" hidden="1" customHeight="1" x14ac:dyDescent="0.25">
      <c r="C126" s="56"/>
      <c r="D126" s="57"/>
      <c r="E126" s="57"/>
      <c r="F126" s="57"/>
      <c r="G126" s="57"/>
      <c r="H126" s="57"/>
      <c r="I126" s="57"/>
      <c r="J126" s="57"/>
      <c r="K126" s="59" t="str">
        <f t="shared" si="6"/>
        <v>0.00 (0.00 – 0.00)</v>
      </c>
      <c r="L126" s="16" t="str">
        <f t="shared" si="7"/>
        <v>0.00
(0.00 – 0.00)</v>
      </c>
      <c r="M126" s="57"/>
      <c r="N126" s="59"/>
      <c r="O126" s="16"/>
    </row>
    <row r="127" spans="3:15" ht="15" hidden="1" customHeight="1" x14ac:dyDescent="0.25">
      <c r="C127" s="56"/>
      <c r="D127" s="57"/>
      <c r="E127" s="57"/>
      <c r="F127" s="57"/>
      <c r="G127" s="57"/>
      <c r="H127" s="57"/>
      <c r="I127" s="57"/>
      <c r="J127" s="57"/>
      <c r="K127" s="59" t="str">
        <f t="shared" si="6"/>
        <v>0.00 (0.00 – 0.00)</v>
      </c>
      <c r="L127" s="16" t="str">
        <f t="shared" si="7"/>
        <v>0.00
(0.00 – 0.00)</v>
      </c>
      <c r="M127" s="57"/>
      <c r="N127" s="59"/>
      <c r="O127" s="16"/>
    </row>
    <row r="128" spans="3:15" ht="15" hidden="1" customHeight="1" x14ac:dyDescent="0.25">
      <c r="C128" s="56"/>
      <c r="D128" s="57"/>
      <c r="E128" s="57"/>
      <c r="F128" s="57"/>
      <c r="G128" s="57"/>
      <c r="H128" s="57"/>
      <c r="I128" s="57"/>
      <c r="J128" s="57"/>
      <c r="K128" s="59" t="str">
        <f t="shared" si="6"/>
        <v>0.00 (0.00 – 0.00)</v>
      </c>
      <c r="L128" s="16" t="str">
        <f t="shared" si="7"/>
        <v>0.00
(0.00 – 0.00)</v>
      </c>
      <c r="M128" s="57"/>
      <c r="N128" s="59"/>
      <c r="O128" s="16"/>
    </row>
    <row r="129" spans="3:15" ht="15" hidden="1" customHeight="1" x14ac:dyDescent="0.25">
      <c r="C129" s="56"/>
      <c r="D129" s="57"/>
      <c r="E129" s="57"/>
      <c r="F129" s="57"/>
      <c r="G129" s="57"/>
      <c r="H129" s="57"/>
      <c r="I129" s="57"/>
      <c r="J129" s="57"/>
      <c r="K129" s="59" t="str">
        <f t="shared" si="6"/>
        <v>0.00 (0.00 – 0.00)</v>
      </c>
      <c r="L129" s="16" t="str">
        <f t="shared" si="7"/>
        <v>0.00
(0.00 – 0.00)</v>
      </c>
      <c r="M129" s="57"/>
      <c r="N129" s="59"/>
      <c r="O129" s="16"/>
    </row>
    <row r="130" spans="3:15" ht="15" hidden="1" customHeight="1" x14ac:dyDescent="0.25">
      <c r="C130" s="56"/>
      <c r="D130" s="57"/>
      <c r="E130" s="57"/>
      <c r="F130" s="57"/>
      <c r="G130" s="57"/>
      <c r="H130" s="57"/>
      <c r="I130" s="57"/>
      <c r="J130" s="57"/>
      <c r="K130" s="59" t="str">
        <f t="shared" si="6"/>
        <v>0.00 (0.00 – 0.00)</v>
      </c>
      <c r="L130" s="16" t="str">
        <f t="shared" si="7"/>
        <v>0.00
(0.00 – 0.00)</v>
      </c>
      <c r="M130" s="57"/>
      <c r="N130" s="59"/>
      <c r="O130" s="16"/>
    </row>
    <row r="131" spans="3:15" ht="15" hidden="1" customHeight="1" x14ac:dyDescent="0.25">
      <c r="C131" s="56"/>
      <c r="D131" s="57"/>
      <c r="E131" s="57"/>
      <c r="F131" s="57"/>
      <c r="G131" s="57"/>
      <c r="H131" s="57"/>
      <c r="I131" s="57"/>
      <c r="J131" s="57"/>
      <c r="K131" s="59" t="str">
        <f t="shared" si="6"/>
        <v>0.00 (0.00 – 0.00)</v>
      </c>
      <c r="L131" s="16" t="str">
        <f t="shared" si="7"/>
        <v>0.00
(0.00 – 0.00)</v>
      </c>
      <c r="M131" s="57"/>
      <c r="N131" s="59"/>
      <c r="O131" s="16"/>
    </row>
    <row r="132" spans="3:15" ht="15" hidden="1" customHeight="1" x14ac:dyDescent="0.25">
      <c r="C132" s="56"/>
      <c r="D132" s="57"/>
      <c r="E132" s="57"/>
      <c r="F132" s="57"/>
      <c r="G132" s="57"/>
      <c r="H132" s="57"/>
      <c r="I132" s="57"/>
      <c r="J132" s="57"/>
      <c r="K132" s="59" t="str">
        <f t="shared" si="6"/>
        <v>0.00 (0.00 – 0.00)</v>
      </c>
      <c r="L132" s="16" t="str">
        <f t="shared" si="7"/>
        <v>0.00
(0.00 – 0.00)</v>
      </c>
      <c r="M132" s="57"/>
      <c r="N132" s="59"/>
      <c r="O132" s="16"/>
    </row>
    <row r="133" spans="3:15" ht="15" hidden="1" customHeight="1" x14ac:dyDescent="0.25">
      <c r="C133" s="56"/>
      <c r="D133" s="57"/>
      <c r="E133" s="57"/>
      <c r="F133" s="57"/>
      <c r="G133" s="57"/>
      <c r="H133" s="57"/>
      <c r="I133" s="57"/>
      <c r="J133" s="57"/>
      <c r="K133" s="59" t="str">
        <f t="shared" ref="K133:K196" si="8">CONCATENATE(TEXT(I133,"0.00")," (",TEXT(H133,"0.00")," – ",TEXT(J133,"0.00"),")")</f>
        <v>0.00 (0.00 – 0.00)</v>
      </c>
      <c r="L133" s="16" t="str">
        <f t="shared" si="7"/>
        <v>0.00
(0.00 – 0.00)</v>
      </c>
      <c r="M133" s="57"/>
      <c r="N133" s="59"/>
      <c r="O133" s="16"/>
    </row>
    <row r="134" spans="3:15" ht="15" hidden="1" customHeight="1" x14ac:dyDescent="0.25">
      <c r="C134" s="56"/>
      <c r="D134" s="57"/>
      <c r="E134" s="57"/>
      <c r="F134" s="57"/>
      <c r="G134" s="57"/>
      <c r="H134" s="57"/>
      <c r="I134" s="57"/>
      <c r="J134" s="57"/>
      <c r="K134" s="59" t="str">
        <f t="shared" si="8"/>
        <v>0.00 (0.00 – 0.00)</v>
      </c>
      <c r="L134" s="16" t="str">
        <f t="shared" ref="L134:L197" si="9">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8"/>
        <v>0.00 (0.00 – 0.00)</v>
      </c>
      <c r="L135" s="16" t="str">
        <f t="shared" si="9"/>
        <v>0.00
(0.00 – 0.00)</v>
      </c>
      <c r="M135" s="57"/>
      <c r="N135" s="59"/>
      <c r="O135" s="16"/>
    </row>
    <row r="136" spans="3:15" ht="15" hidden="1" customHeight="1" x14ac:dyDescent="0.25">
      <c r="C136" s="56"/>
      <c r="D136" s="57"/>
      <c r="E136" s="57"/>
      <c r="F136" s="57"/>
      <c r="G136" s="57"/>
      <c r="H136" s="57"/>
      <c r="I136" s="57"/>
      <c r="J136" s="57"/>
      <c r="K136" s="59" t="str">
        <f t="shared" si="8"/>
        <v>0.00 (0.00 – 0.00)</v>
      </c>
      <c r="L136" s="16" t="str">
        <f t="shared" si="9"/>
        <v>0.00
(0.00 – 0.00)</v>
      </c>
      <c r="M136" s="57"/>
      <c r="N136" s="59"/>
      <c r="O136" s="16"/>
    </row>
    <row r="137" spans="3:15" ht="15" hidden="1" customHeight="1" x14ac:dyDescent="0.25">
      <c r="C137" s="56"/>
      <c r="D137" s="57"/>
      <c r="E137" s="57"/>
      <c r="F137" s="57"/>
      <c r="G137" s="57"/>
      <c r="H137" s="57"/>
      <c r="I137" s="57"/>
      <c r="J137" s="57"/>
      <c r="K137" s="59" t="str">
        <f t="shared" si="8"/>
        <v>0.00 (0.00 – 0.00)</v>
      </c>
      <c r="L137" s="16" t="str">
        <f t="shared" si="9"/>
        <v>0.00
(0.00 – 0.00)</v>
      </c>
      <c r="M137" s="57"/>
      <c r="N137" s="59"/>
      <c r="O137" s="16"/>
    </row>
    <row r="138" spans="3:15" ht="15" hidden="1" customHeight="1" x14ac:dyDescent="0.25">
      <c r="C138" s="56"/>
      <c r="D138" s="57"/>
      <c r="E138" s="57"/>
      <c r="F138" s="57"/>
      <c r="G138" s="57"/>
      <c r="H138" s="57"/>
      <c r="I138" s="57"/>
      <c r="J138" s="57"/>
      <c r="K138" s="59" t="str">
        <f t="shared" si="8"/>
        <v>0.00 (0.00 – 0.00)</v>
      </c>
      <c r="L138" s="16" t="str">
        <f t="shared" si="9"/>
        <v>0.00
(0.00 – 0.00)</v>
      </c>
      <c r="M138" s="57"/>
      <c r="N138" s="59"/>
      <c r="O138" s="16"/>
    </row>
    <row r="139" spans="3:15" ht="15" hidden="1" customHeight="1" x14ac:dyDescent="0.25">
      <c r="C139" s="56"/>
      <c r="D139" s="57"/>
      <c r="E139" s="57"/>
      <c r="F139" s="57"/>
      <c r="G139" s="57"/>
      <c r="H139" s="57"/>
      <c r="I139" s="57"/>
      <c r="J139" s="57"/>
      <c r="K139" s="59" t="str">
        <f t="shared" si="8"/>
        <v>0.00 (0.00 – 0.00)</v>
      </c>
      <c r="L139" s="16" t="str">
        <f t="shared" si="9"/>
        <v>0.00
(0.00 – 0.00)</v>
      </c>
      <c r="M139" s="57"/>
      <c r="N139" s="59"/>
      <c r="O139" s="16"/>
    </row>
    <row r="140" spans="3:15" ht="15" hidden="1" customHeight="1" x14ac:dyDescent="0.25">
      <c r="C140" s="56"/>
      <c r="D140" s="57"/>
      <c r="E140" s="57"/>
      <c r="F140" s="57"/>
      <c r="G140" s="57"/>
      <c r="H140" s="57"/>
      <c r="I140" s="57"/>
      <c r="J140" s="57"/>
      <c r="K140" s="59" t="str">
        <f t="shared" si="8"/>
        <v>0.00 (0.00 – 0.00)</v>
      </c>
      <c r="L140" s="16" t="str">
        <f t="shared" si="9"/>
        <v>0.00
(0.00 – 0.00)</v>
      </c>
      <c r="M140" s="57"/>
      <c r="N140" s="59"/>
      <c r="O140" s="16"/>
    </row>
    <row r="141" spans="3:15" ht="15" hidden="1" customHeight="1" x14ac:dyDescent="0.25">
      <c r="C141" s="56"/>
      <c r="D141" s="57"/>
      <c r="E141" s="57"/>
      <c r="F141" s="57"/>
      <c r="G141" s="57"/>
      <c r="H141" s="57"/>
      <c r="I141" s="57"/>
      <c r="J141" s="57"/>
      <c r="K141" s="59" t="str">
        <f t="shared" si="8"/>
        <v>0.00 (0.00 – 0.00)</v>
      </c>
      <c r="L141" s="16" t="str">
        <f t="shared" si="9"/>
        <v>0.00
(0.00 – 0.00)</v>
      </c>
      <c r="M141" s="57"/>
      <c r="N141" s="59"/>
      <c r="O141" s="16"/>
    </row>
    <row r="142" spans="3:15" ht="15" hidden="1" customHeight="1" x14ac:dyDescent="0.25">
      <c r="C142" s="56"/>
      <c r="D142" s="57"/>
      <c r="E142" s="57"/>
      <c r="F142" s="57"/>
      <c r="G142" s="57"/>
      <c r="H142" s="57"/>
      <c r="I142" s="57"/>
      <c r="J142" s="57"/>
      <c r="K142" s="59" t="str">
        <f t="shared" si="8"/>
        <v>0.00 (0.00 – 0.00)</v>
      </c>
      <c r="L142" s="16" t="str">
        <f t="shared" si="9"/>
        <v>0.00
(0.00 – 0.00)</v>
      </c>
      <c r="M142" s="57"/>
      <c r="N142" s="59"/>
      <c r="O142" s="16"/>
    </row>
    <row r="143" spans="3:15" ht="15" hidden="1" customHeight="1" x14ac:dyDescent="0.25">
      <c r="C143" s="56"/>
      <c r="D143" s="57"/>
      <c r="E143" s="57"/>
      <c r="F143" s="57"/>
      <c r="G143" s="57"/>
      <c r="H143" s="57"/>
      <c r="I143" s="57"/>
      <c r="J143" s="57"/>
      <c r="K143" s="59" t="str">
        <f t="shared" si="8"/>
        <v>0.00 (0.00 – 0.00)</v>
      </c>
      <c r="L143" s="16" t="str">
        <f t="shared" si="9"/>
        <v>0.00
(0.00 – 0.00)</v>
      </c>
      <c r="M143" s="57"/>
      <c r="N143" s="59"/>
      <c r="O143" s="16"/>
    </row>
    <row r="144" spans="3:15" ht="15" hidden="1" customHeight="1" x14ac:dyDescent="0.25">
      <c r="C144" s="56"/>
      <c r="D144" s="57"/>
      <c r="E144" s="57"/>
      <c r="F144" s="57"/>
      <c r="G144" s="57"/>
      <c r="H144" s="57"/>
      <c r="I144" s="57"/>
      <c r="J144" s="57"/>
      <c r="K144" s="59" t="str">
        <f t="shared" si="8"/>
        <v>0.00 (0.00 – 0.00)</v>
      </c>
      <c r="L144" s="16" t="str">
        <f t="shared" si="9"/>
        <v>0.00
(0.00 – 0.00)</v>
      </c>
      <c r="M144" s="57"/>
      <c r="N144" s="59"/>
      <c r="O144" s="16"/>
    </row>
    <row r="145" spans="3:15" ht="15" hidden="1" customHeight="1" x14ac:dyDescent="0.25">
      <c r="C145" s="56"/>
      <c r="D145" s="57"/>
      <c r="E145" s="57"/>
      <c r="F145" s="57"/>
      <c r="G145" s="57"/>
      <c r="H145" s="57"/>
      <c r="I145" s="57"/>
      <c r="J145" s="57"/>
      <c r="K145" s="59" t="str">
        <f t="shared" si="8"/>
        <v>0.00 (0.00 – 0.00)</v>
      </c>
      <c r="L145" s="16" t="str">
        <f t="shared" si="9"/>
        <v>0.00
(0.00 – 0.00)</v>
      </c>
      <c r="M145" s="57"/>
      <c r="N145" s="59"/>
      <c r="O145" s="16"/>
    </row>
    <row r="146" spans="3:15" ht="15" hidden="1" customHeight="1" x14ac:dyDescent="0.25">
      <c r="C146" s="56"/>
      <c r="D146" s="57"/>
      <c r="E146" s="57"/>
      <c r="F146" s="57"/>
      <c r="G146" s="57"/>
      <c r="H146" s="57"/>
      <c r="I146" s="57"/>
      <c r="J146" s="57"/>
      <c r="K146" s="59" t="str">
        <f t="shared" si="8"/>
        <v>0.00 (0.00 – 0.00)</v>
      </c>
      <c r="L146" s="16" t="str">
        <f t="shared" si="9"/>
        <v>0.00
(0.00 – 0.00)</v>
      </c>
      <c r="M146" s="57"/>
      <c r="N146" s="59"/>
      <c r="O146" s="16"/>
    </row>
    <row r="147" spans="3:15" ht="15" hidden="1" customHeight="1" x14ac:dyDescent="0.25">
      <c r="C147" s="56"/>
      <c r="D147" s="57"/>
      <c r="E147" s="57"/>
      <c r="F147" s="57"/>
      <c r="G147" s="57"/>
      <c r="H147" s="57"/>
      <c r="I147" s="57"/>
      <c r="J147" s="57"/>
      <c r="K147" s="59" t="str">
        <f t="shared" si="8"/>
        <v>0.00 (0.00 – 0.00)</v>
      </c>
      <c r="L147" s="16" t="str">
        <f t="shared" si="9"/>
        <v>0.00
(0.00 – 0.00)</v>
      </c>
      <c r="M147" s="57"/>
      <c r="N147" s="59"/>
      <c r="O147" s="16"/>
    </row>
    <row r="148" spans="3:15" ht="15" hidden="1" customHeight="1" x14ac:dyDescent="0.25">
      <c r="C148" s="56"/>
      <c r="D148" s="57"/>
      <c r="E148" s="57"/>
      <c r="F148" s="57"/>
      <c r="G148" s="57"/>
      <c r="H148" s="57"/>
      <c r="I148" s="57"/>
      <c r="J148" s="57"/>
      <c r="K148" s="59" t="str">
        <f t="shared" si="8"/>
        <v>0.00 (0.00 – 0.00)</v>
      </c>
      <c r="L148" s="16" t="str">
        <f t="shared" si="9"/>
        <v>0.00
(0.00 – 0.00)</v>
      </c>
      <c r="M148" s="57"/>
      <c r="N148" s="59"/>
      <c r="O148" s="16"/>
    </row>
    <row r="149" spans="3:15" ht="15" hidden="1" customHeight="1" x14ac:dyDescent="0.25">
      <c r="C149" s="56"/>
      <c r="D149" s="57"/>
      <c r="E149" s="57"/>
      <c r="F149" s="57"/>
      <c r="G149" s="57"/>
      <c r="H149" s="57"/>
      <c r="I149" s="57"/>
      <c r="J149" s="57"/>
      <c r="K149" s="59" t="str">
        <f t="shared" si="8"/>
        <v>0.00 (0.00 – 0.00)</v>
      </c>
      <c r="L149" s="16" t="str">
        <f t="shared" si="9"/>
        <v>0.00
(0.00 – 0.00)</v>
      </c>
      <c r="M149" s="57"/>
      <c r="N149" s="59"/>
      <c r="O149" s="16"/>
    </row>
    <row r="150" spans="3:15" ht="15" hidden="1" customHeight="1" x14ac:dyDescent="0.25">
      <c r="C150" s="56"/>
      <c r="D150" s="57"/>
      <c r="E150" s="57"/>
      <c r="F150" s="57"/>
      <c r="G150" s="57"/>
      <c r="H150" s="57"/>
      <c r="I150" s="57"/>
      <c r="J150" s="57"/>
      <c r="K150" s="59" t="str">
        <f t="shared" si="8"/>
        <v>0.00 (0.00 – 0.00)</v>
      </c>
      <c r="L150" s="16" t="str">
        <f t="shared" si="9"/>
        <v>0.00
(0.00 – 0.00)</v>
      </c>
      <c r="M150" s="57"/>
      <c r="N150" s="59"/>
      <c r="O150" s="16"/>
    </row>
    <row r="151" spans="3:15" ht="15" hidden="1" customHeight="1" x14ac:dyDescent="0.25">
      <c r="C151" s="56"/>
      <c r="D151" s="57"/>
      <c r="E151" s="57"/>
      <c r="F151" s="57"/>
      <c r="G151" s="57"/>
      <c r="H151" s="57"/>
      <c r="I151" s="57"/>
      <c r="J151" s="57"/>
      <c r="K151" s="59" t="str">
        <f t="shared" si="8"/>
        <v>0.00 (0.00 – 0.00)</v>
      </c>
      <c r="L151" s="16" t="str">
        <f t="shared" si="9"/>
        <v>0.00
(0.00 – 0.00)</v>
      </c>
      <c r="M151" s="57"/>
      <c r="N151" s="59"/>
      <c r="O151" s="16"/>
    </row>
    <row r="152" spans="3:15" ht="15" hidden="1" customHeight="1" x14ac:dyDescent="0.25">
      <c r="C152" s="56"/>
      <c r="D152" s="57"/>
      <c r="E152" s="57"/>
      <c r="F152" s="57"/>
      <c r="G152" s="57"/>
      <c r="H152" s="57"/>
      <c r="I152" s="57"/>
      <c r="J152" s="57"/>
      <c r="K152" s="59" t="str">
        <f t="shared" si="8"/>
        <v>0.00 (0.00 – 0.00)</v>
      </c>
      <c r="L152" s="16" t="str">
        <f t="shared" si="9"/>
        <v>0.00
(0.00 – 0.00)</v>
      </c>
      <c r="M152" s="57"/>
      <c r="N152" s="59"/>
      <c r="O152" s="16"/>
    </row>
    <row r="153" spans="3:15" ht="15" hidden="1" customHeight="1" x14ac:dyDescent="0.25">
      <c r="C153" s="56"/>
      <c r="D153" s="57"/>
      <c r="E153" s="57"/>
      <c r="F153" s="57"/>
      <c r="G153" s="57"/>
      <c r="H153" s="57"/>
      <c r="I153" s="57"/>
      <c r="J153" s="57"/>
      <c r="K153" s="59" t="str">
        <f t="shared" si="8"/>
        <v>0.00 (0.00 – 0.00)</v>
      </c>
      <c r="L153" s="16" t="str">
        <f t="shared" si="9"/>
        <v>0.00
(0.00 – 0.00)</v>
      </c>
      <c r="M153" s="57"/>
      <c r="N153" s="59"/>
      <c r="O153" s="16"/>
    </row>
    <row r="154" spans="3:15" ht="15" hidden="1" customHeight="1" x14ac:dyDescent="0.25">
      <c r="C154" s="56"/>
      <c r="D154" s="57"/>
      <c r="E154" s="57"/>
      <c r="F154" s="57"/>
      <c r="G154" s="57"/>
      <c r="H154" s="57"/>
      <c r="I154" s="57"/>
      <c r="J154" s="57"/>
      <c r="K154" s="59" t="str">
        <f t="shared" si="8"/>
        <v>0.00 (0.00 – 0.00)</v>
      </c>
      <c r="L154" s="16" t="str">
        <f t="shared" si="9"/>
        <v>0.00
(0.00 – 0.00)</v>
      </c>
      <c r="M154" s="57"/>
      <c r="N154" s="59"/>
      <c r="O154" s="16"/>
    </row>
    <row r="155" spans="3:15" ht="15" hidden="1" customHeight="1" x14ac:dyDescent="0.25">
      <c r="C155" s="56"/>
      <c r="D155" s="57"/>
      <c r="E155" s="57"/>
      <c r="F155" s="57"/>
      <c r="G155" s="57"/>
      <c r="H155" s="57"/>
      <c r="I155" s="57"/>
      <c r="J155" s="57"/>
      <c r="K155" s="59" t="str">
        <f t="shared" si="8"/>
        <v>0.00 (0.00 – 0.00)</v>
      </c>
      <c r="L155" s="16" t="str">
        <f t="shared" si="9"/>
        <v>0.00
(0.00 – 0.00)</v>
      </c>
      <c r="M155" s="57"/>
      <c r="N155" s="59"/>
      <c r="O155" s="16"/>
    </row>
    <row r="156" spans="3:15" ht="15" hidden="1" customHeight="1" x14ac:dyDescent="0.25">
      <c r="C156" s="56"/>
      <c r="D156" s="57"/>
      <c r="E156" s="57"/>
      <c r="F156" s="57"/>
      <c r="G156" s="57"/>
      <c r="H156" s="57"/>
      <c r="I156" s="57"/>
      <c r="J156" s="57"/>
      <c r="K156" s="59" t="str">
        <f t="shared" si="8"/>
        <v>0.00 (0.00 – 0.00)</v>
      </c>
      <c r="L156" s="16" t="str">
        <f t="shared" si="9"/>
        <v>0.00
(0.00 – 0.00)</v>
      </c>
      <c r="M156" s="57"/>
      <c r="N156" s="59"/>
      <c r="O156" s="16"/>
    </row>
    <row r="157" spans="3:15" ht="15" hidden="1" customHeight="1" x14ac:dyDescent="0.25">
      <c r="C157" s="56"/>
      <c r="D157" s="57"/>
      <c r="E157" s="57"/>
      <c r="F157" s="57"/>
      <c r="G157" s="57"/>
      <c r="H157" s="57"/>
      <c r="I157" s="57"/>
      <c r="J157" s="57"/>
      <c r="K157" s="59" t="str">
        <f t="shared" si="8"/>
        <v>0.00 (0.00 – 0.00)</v>
      </c>
      <c r="L157" s="16" t="str">
        <f t="shared" si="9"/>
        <v>0.00
(0.00 – 0.00)</v>
      </c>
      <c r="M157" s="57"/>
      <c r="N157" s="59"/>
      <c r="O157" s="16"/>
    </row>
    <row r="158" spans="3:15" ht="15" hidden="1" customHeight="1" x14ac:dyDescent="0.25">
      <c r="C158" s="56"/>
      <c r="D158" s="57"/>
      <c r="E158" s="57"/>
      <c r="F158" s="57"/>
      <c r="G158" s="57"/>
      <c r="H158" s="57"/>
      <c r="I158" s="57"/>
      <c r="J158" s="57"/>
      <c r="K158" s="59" t="str">
        <f t="shared" si="8"/>
        <v>0.00 (0.00 – 0.00)</v>
      </c>
      <c r="L158" s="16" t="str">
        <f t="shared" si="9"/>
        <v>0.00
(0.00 – 0.00)</v>
      </c>
      <c r="M158" s="57"/>
      <c r="N158" s="59"/>
      <c r="O158" s="16"/>
    </row>
    <row r="159" spans="3:15" ht="15" hidden="1" customHeight="1" x14ac:dyDescent="0.25">
      <c r="C159" s="56"/>
      <c r="D159" s="57"/>
      <c r="E159" s="57"/>
      <c r="F159" s="57"/>
      <c r="G159" s="57"/>
      <c r="H159" s="57"/>
      <c r="I159" s="57"/>
      <c r="J159" s="57"/>
      <c r="K159" s="59" t="str">
        <f t="shared" si="8"/>
        <v>0.00 (0.00 – 0.00)</v>
      </c>
      <c r="L159" s="16" t="str">
        <f t="shared" si="9"/>
        <v>0.00
(0.00 – 0.00)</v>
      </c>
      <c r="M159" s="57"/>
      <c r="N159" s="59"/>
      <c r="O159" s="16"/>
    </row>
    <row r="160" spans="3:15" ht="15" hidden="1" customHeight="1" x14ac:dyDescent="0.25">
      <c r="C160" s="56"/>
      <c r="D160" s="57"/>
      <c r="E160" s="57"/>
      <c r="F160" s="57"/>
      <c r="G160" s="57"/>
      <c r="H160" s="57"/>
      <c r="I160" s="57"/>
      <c r="J160" s="57"/>
      <c r="K160" s="59" t="str">
        <f t="shared" si="8"/>
        <v>0.00 (0.00 – 0.00)</v>
      </c>
      <c r="L160" s="16" t="str">
        <f t="shared" si="9"/>
        <v>0.00
(0.00 – 0.00)</v>
      </c>
      <c r="M160" s="57"/>
      <c r="N160" s="59"/>
      <c r="O160" s="16"/>
    </row>
    <row r="161" spans="3:15" ht="15" hidden="1" customHeight="1" x14ac:dyDescent="0.25">
      <c r="C161" s="56"/>
      <c r="D161" s="57"/>
      <c r="E161" s="57"/>
      <c r="F161" s="57"/>
      <c r="G161" s="57"/>
      <c r="H161" s="57"/>
      <c r="I161" s="57"/>
      <c r="J161" s="57"/>
      <c r="K161" s="59" t="str">
        <f t="shared" si="8"/>
        <v>0.00 (0.00 – 0.00)</v>
      </c>
      <c r="L161" s="16" t="str">
        <f t="shared" si="9"/>
        <v>0.00
(0.00 – 0.00)</v>
      </c>
      <c r="M161" s="57"/>
      <c r="N161" s="59"/>
      <c r="O161" s="16"/>
    </row>
    <row r="162" spans="3:15" ht="15" hidden="1" customHeight="1" x14ac:dyDescent="0.25">
      <c r="C162" s="56"/>
      <c r="D162" s="57"/>
      <c r="E162" s="57"/>
      <c r="F162" s="57"/>
      <c r="G162" s="57"/>
      <c r="H162" s="57"/>
      <c r="I162" s="57"/>
      <c r="J162" s="57"/>
      <c r="K162" s="59" t="str">
        <f t="shared" si="8"/>
        <v>0.00 (0.00 – 0.00)</v>
      </c>
      <c r="L162" s="16" t="str">
        <f t="shared" si="9"/>
        <v>0.00
(0.00 – 0.00)</v>
      </c>
      <c r="M162" s="57"/>
      <c r="N162" s="59"/>
      <c r="O162" s="16"/>
    </row>
    <row r="163" spans="3:15" ht="15" hidden="1" customHeight="1" x14ac:dyDescent="0.25">
      <c r="C163" s="56"/>
      <c r="D163" s="57"/>
      <c r="E163" s="57"/>
      <c r="F163" s="57"/>
      <c r="G163" s="57"/>
      <c r="H163" s="57"/>
      <c r="I163" s="57"/>
      <c r="J163" s="57"/>
      <c r="K163" s="59" t="str">
        <f t="shared" si="8"/>
        <v>0.00 (0.00 – 0.00)</v>
      </c>
      <c r="L163" s="16" t="str">
        <f t="shared" si="9"/>
        <v>0.00
(0.00 – 0.00)</v>
      </c>
      <c r="M163" s="57"/>
      <c r="N163" s="59"/>
      <c r="O163" s="16"/>
    </row>
    <row r="164" spans="3:15" ht="15" hidden="1" customHeight="1" x14ac:dyDescent="0.25">
      <c r="C164" s="56"/>
      <c r="D164" s="57"/>
      <c r="E164" s="57"/>
      <c r="F164" s="57"/>
      <c r="G164" s="57"/>
      <c r="H164" s="57"/>
      <c r="I164" s="57"/>
      <c r="J164" s="57"/>
      <c r="K164" s="59" t="str">
        <f t="shared" si="8"/>
        <v>0.00 (0.00 – 0.00)</v>
      </c>
      <c r="L164" s="16" t="str">
        <f t="shared" si="9"/>
        <v>0.00
(0.00 – 0.00)</v>
      </c>
      <c r="M164" s="57"/>
      <c r="N164" s="59"/>
      <c r="O164" s="16"/>
    </row>
    <row r="165" spans="3:15" ht="15" hidden="1" customHeight="1" x14ac:dyDescent="0.25">
      <c r="C165" s="56"/>
      <c r="D165" s="57"/>
      <c r="E165" s="57"/>
      <c r="F165" s="57"/>
      <c r="G165" s="57"/>
      <c r="H165" s="57"/>
      <c r="I165" s="57"/>
      <c r="J165" s="57"/>
      <c r="K165" s="59" t="str">
        <f t="shared" si="8"/>
        <v>0.00 (0.00 – 0.00)</v>
      </c>
      <c r="L165" s="16" t="str">
        <f t="shared" si="9"/>
        <v>0.00
(0.00 – 0.00)</v>
      </c>
      <c r="M165" s="57"/>
      <c r="N165" s="59"/>
      <c r="O165" s="16"/>
    </row>
    <row r="166" spans="3:15" ht="15" hidden="1" customHeight="1" x14ac:dyDescent="0.25">
      <c r="C166" s="56"/>
      <c r="D166" s="57"/>
      <c r="E166" s="57"/>
      <c r="F166" s="57"/>
      <c r="G166" s="57"/>
      <c r="H166" s="57"/>
      <c r="I166" s="57"/>
      <c r="J166" s="57"/>
      <c r="K166" s="59" t="str">
        <f t="shared" si="8"/>
        <v>0.00 (0.00 – 0.00)</v>
      </c>
      <c r="L166" s="16" t="str">
        <f t="shared" si="9"/>
        <v>0.00
(0.00 – 0.00)</v>
      </c>
      <c r="M166" s="57"/>
      <c r="N166" s="59"/>
      <c r="O166" s="16"/>
    </row>
    <row r="167" spans="3:15" ht="15" hidden="1" customHeight="1" x14ac:dyDescent="0.25">
      <c r="C167" s="56"/>
      <c r="D167" s="57"/>
      <c r="E167" s="57"/>
      <c r="F167" s="57"/>
      <c r="G167" s="57"/>
      <c r="H167" s="57"/>
      <c r="I167" s="57"/>
      <c r="J167" s="57"/>
      <c r="K167" s="59" t="str">
        <f t="shared" si="8"/>
        <v>0.00 (0.00 – 0.00)</v>
      </c>
      <c r="L167" s="16" t="str">
        <f t="shared" si="9"/>
        <v>0.00
(0.00 – 0.00)</v>
      </c>
      <c r="M167" s="57"/>
      <c r="N167" s="59"/>
      <c r="O167" s="16"/>
    </row>
    <row r="168" spans="3:15" ht="15" hidden="1" customHeight="1" x14ac:dyDescent="0.25">
      <c r="C168" s="56"/>
      <c r="D168" s="57"/>
      <c r="E168" s="57"/>
      <c r="F168" s="57"/>
      <c r="G168" s="57"/>
      <c r="H168" s="57"/>
      <c r="I168" s="57"/>
      <c r="J168" s="57"/>
      <c r="K168" s="59" t="str">
        <f t="shared" si="8"/>
        <v>0.00 (0.00 – 0.00)</v>
      </c>
      <c r="L168" s="16" t="str">
        <f t="shared" si="9"/>
        <v>0.00
(0.00 – 0.00)</v>
      </c>
      <c r="M168" s="57"/>
      <c r="N168" s="59"/>
      <c r="O168" s="16"/>
    </row>
    <row r="169" spans="3:15" ht="15" hidden="1" customHeight="1" x14ac:dyDescent="0.25">
      <c r="C169" s="56"/>
      <c r="D169" s="57"/>
      <c r="E169" s="57"/>
      <c r="F169" s="57"/>
      <c r="G169" s="57"/>
      <c r="H169" s="57"/>
      <c r="I169" s="57"/>
      <c r="J169" s="57"/>
      <c r="K169" s="59" t="str">
        <f t="shared" si="8"/>
        <v>0.00 (0.00 – 0.00)</v>
      </c>
      <c r="L169" s="16" t="str">
        <f t="shared" si="9"/>
        <v>0.00
(0.00 – 0.00)</v>
      </c>
      <c r="M169" s="57"/>
      <c r="N169" s="59"/>
      <c r="O169" s="16"/>
    </row>
    <row r="170" spans="3:15" ht="15" hidden="1" customHeight="1" x14ac:dyDescent="0.25">
      <c r="C170" s="56"/>
      <c r="D170" s="57"/>
      <c r="E170" s="57"/>
      <c r="F170" s="57"/>
      <c r="G170" s="57"/>
      <c r="H170" s="57"/>
      <c r="I170" s="57"/>
      <c r="J170" s="57"/>
      <c r="K170" s="59" t="str">
        <f t="shared" si="8"/>
        <v>0.00 (0.00 – 0.00)</v>
      </c>
      <c r="L170" s="16" t="str">
        <f t="shared" si="9"/>
        <v>0.00
(0.00 – 0.00)</v>
      </c>
      <c r="M170" s="57"/>
      <c r="N170" s="59"/>
      <c r="O170" s="16"/>
    </row>
    <row r="171" spans="3:15" ht="15" hidden="1" customHeight="1" x14ac:dyDescent="0.25">
      <c r="C171" s="56"/>
      <c r="D171" s="57"/>
      <c r="E171" s="57"/>
      <c r="F171" s="57"/>
      <c r="G171" s="57"/>
      <c r="H171" s="57"/>
      <c r="I171" s="57"/>
      <c r="J171" s="57"/>
      <c r="K171" s="59" t="str">
        <f t="shared" si="8"/>
        <v>0.00 (0.00 – 0.00)</v>
      </c>
      <c r="L171" s="16" t="str">
        <f t="shared" si="9"/>
        <v>0.00
(0.00 – 0.00)</v>
      </c>
      <c r="M171" s="57"/>
      <c r="N171" s="59"/>
      <c r="O171" s="16"/>
    </row>
    <row r="172" spans="3:15" ht="15" hidden="1" customHeight="1" x14ac:dyDescent="0.25">
      <c r="C172" s="56"/>
      <c r="D172" s="57"/>
      <c r="E172" s="57"/>
      <c r="F172" s="57"/>
      <c r="G172" s="57"/>
      <c r="H172" s="57"/>
      <c r="I172" s="57"/>
      <c r="J172" s="57"/>
      <c r="K172" s="59" t="str">
        <f t="shared" si="8"/>
        <v>0.00 (0.00 – 0.00)</v>
      </c>
      <c r="L172" s="16" t="str">
        <f t="shared" si="9"/>
        <v>0.00
(0.00 – 0.00)</v>
      </c>
      <c r="M172" s="57"/>
      <c r="N172" s="59"/>
      <c r="O172" s="16"/>
    </row>
    <row r="173" spans="3:15" ht="15" hidden="1" customHeight="1" x14ac:dyDescent="0.25">
      <c r="C173" s="56"/>
      <c r="D173" s="57"/>
      <c r="E173" s="57"/>
      <c r="F173" s="57"/>
      <c r="G173" s="57"/>
      <c r="H173" s="57"/>
      <c r="I173" s="57"/>
      <c r="J173" s="57"/>
      <c r="K173" s="59" t="str">
        <f t="shared" si="8"/>
        <v>0.00 (0.00 – 0.00)</v>
      </c>
      <c r="L173" s="16" t="str">
        <f t="shared" si="9"/>
        <v>0.00
(0.00 – 0.00)</v>
      </c>
      <c r="M173" s="57"/>
      <c r="N173" s="59"/>
      <c r="O173" s="16"/>
    </row>
    <row r="174" spans="3:15" ht="15" hidden="1" customHeight="1" x14ac:dyDescent="0.25">
      <c r="C174" s="56"/>
      <c r="D174" s="57"/>
      <c r="E174" s="57"/>
      <c r="F174" s="57"/>
      <c r="G174" s="57"/>
      <c r="H174" s="57"/>
      <c r="I174" s="57"/>
      <c r="J174" s="57"/>
      <c r="K174" s="59" t="str">
        <f t="shared" si="8"/>
        <v>0.00 (0.00 – 0.00)</v>
      </c>
      <c r="L174" s="16" t="str">
        <f t="shared" si="9"/>
        <v>0.00
(0.00 – 0.00)</v>
      </c>
      <c r="M174" s="57"/>
      <c r="N174" s="59"/>
      <c r="O174" s="16"/>
    </row>
    <row r="175" spans="3:15" ht="15" hidden="1" customHeight="1" x14ac:dyDescent="0.25">
      <c r="C175" s="56"/>
      <c r="D175" s="57"/>
      <c r="E175" s="57"/>
      <c r="F175" s="57"/>
      <c r="G175" s="57"/>
      <c r="H175" s="57"/>
      <c r="I175" s="57"/>
      <c r="J175" s="57"/>
      <c r="K175" s="59" t="str">
        <f t="shared" si="8"/>
        <v>0.00 (0.00 – 0.00)</v>
      </c>
      <c r="L175" s="16" t="str">
        <f t="shared" si="9"/>
        <v>0.00
(0.00 – 0.00)</v>
      </c>
      <c r="M175" s="57"/>
      <c r="N175" s="59"/>
      <c r="O175" s="16"/>
    </row>
    <row r="176" spans="3:15" ht="15" hidden="1" customHeight="1" x14ac:dyDescent="0.25">
      <c r="C176" s="56"/>
      <c r="D176" s="57"/>
      <c r="E176" s="57"/>
      <c r="F176" s="57"/>
      <c r="G176" s="57"/>
      <c r="H176" s="57"/>
      <c r="I176" s="57"/>
      <c r="J176" s="57"/>
      <c r="K176" s="59" t="str">
        <f t="shared" si="8"/>
        <v>0.00 (0.00 – 0.00)</v>
      </c>
      <c r="L176" s="16" t="str">
        <f t="shared" si="9"/>
        <v>0.00
(0.00 – 0.00)</v>
      </c>
      <c r="M176" s="57"/>
      <c r="N176" s="59"/>
      <c r="O176" s="16"/>
    </row>
    <row r="177" spans="3:15" ht="15" hidden="1" customHeight="1" x14ac:dyDescent="0.25">
      <c r="C177" s="56"/>
      <c r="D177" s="57"/>
      <c r="E177" s="57"/>
      <c r="F177" s="57"/>
      <c r="G177" s="57"/>
      <c r="H177" s="57"/>
      <c r="I177" s="57"/>
      <c r="J177" s="57"/>
      <c r="K177" s="59" t="str">
        <f t="shared" si="8"/>
        <v>0.00 (0.00 – 0.00)</v>
      </c>
      <c r="L177" s="16" t="str">
        <f t="shared" si="9"/>
        <v>0.00
(0.00 – 0.00)</v>
      </c>
      <c r="M177" s="57"/>
      <c r="N177" s="59"/>
      <c r="O177" s="16"/>
    </row>
    <row r="178" spans="3:15" ht="15" hidden="1" customHeight="1" x14ac:dyDescent="0.25">
      <c r="C178" s="56"/>
      <c r="D178" s="57"/>
      <c r="E178" s="57"/>
      <c r="F178" s="57"/>
      <c r="G178" s="57"/>
      <c r="H178" s="57"/>
      <c r="I178" s="57"/>
      <c r="J178" s="57"/>
      <c r="K178" s="59" t="str">
        <f t="shared" si="8"/>
        <v>0.00 (0.00 – 0.00)</v>
      </c>
      <c r="L178" s="16" t="str">
        <f t="shared" si="9"/>
        <v>0.00
(0.00 – 0.00)</v>
      </c>
      <c r="M178" s="57"/>
      <c r="N178" s="59"/>
      <c r="O178" s="16"/>
    </row>
    <row r="179" spans="3:15" ht="15" hidden="1" customHeight="1" x14ac:dyDescent="0.25">
      <c r="C179" s="56"/>
      <c r="D179" s="57"/>
      <c r="E179" s="57"/>
      <c r="F179" s="57"/>
      <c r="G179" s="57"/>
      <c r="H179" s="57"/>
      <c r="I179" s="57"/>
      <c r="J179" s="57"/>
      <c r="K179" s="59" t="str">
        <f t="shared" si="8"/>
        <v>0.00 (0.00 – 0.00)</v>
      </c>
      <c r="L179" s="16" t="str">
        <f t="shared" si="9"/>
        <v>0.00
(0.00 – 0.00)</v>
      </c>
      <c r="M179" s="57"/>
      <c r="N179" s="59"/>
      <c r="O179" s="16"/>
    </row>
    <row r="180" spans="3:15" ht="15" hidden="1" customHeight="1" x14ac:dyDescent="0.25">
      <c r="C180" s="56"/>
      <c r="D180" s="57"/>
      <c r="E180" s="57"/>
      <c r="F180" s="57"/>
      <c r="G180" s="57"/>
      <c r="H180" s="57"/>
      <c r="I180" s="57"/>
      <c r="J180" s="57"/>
      <c r="K180" s="59" t="str">
        <f t="shared" si="8"/>
        <v>0.00 (0.00 – 0.00)</v>
      </c>
      <c r="L180" s="16" t="str">
        <f t="shared" si="9"/>
        <v>0.00
(0.00 – 0.00)</v>
      </c>
      <c r="M180" s="57"/>
      <c r="N180" s="59"/>
      <c r="O180" s="16"/>
    </row>
    <row r="181" spans="3:15" ht="15" hidden="1" customHeight="1" x14ac:dyDescent="0.25">
      <c r="C181" s="56"/>
      <c r="D181" s="57"/>
      <c r="E181" s="57"/>
      <c r="F181" s="57"/>
      <c r="G181" s="57"/>
      <c r="H181" s="57"/>
      <c r="I181" s="57"/>
      <c r="J181" s="57"/>
      <c r="K181" s="59" t="str">
        <f t="shared" si="8"/>
        <v>0.00 (0.00 – 0.00)</v>
      </c>
      <c r="L181" s="16" t="str">
        <f t="shared" si="9"/>
        <v>0.00
(0.00 – 0.00)</v>
      </c>
      <c r="M181" s="57"/>
      <c r="N181" s="59"/>
      <c r="O181" s="16"/>
    </row>
    <row r="182" spans="3:15" ht="15" hidden="1" customHeight="1" x14ac:dyDescent="0.25">
      <c r="C182" s="56"/>
      <c r="D182" s="57"/>
      <c r="E182" s="57"/>
      <c r="F182" s="57"/>
      <c r="G182" s="57"/>
      <c r="H182" s="57"/>
      <c r="I182" s="57"/>
      <c r="J182" s="57"/>
      <c r="K182" s="59" t="str">
        <f t="shared" si="8"/>
        <v>0.00 (0.00 – 0.00)</v>
      </c>
      <c r="L182" s="16" t="str">
        <f t="shared" si="9"/>
        <v>0.00
(0.00 – 0.00)</v>
      </c>
      <c r="M182" s="57"/>
      <c r="N182" s="59"/>
      <c r="O182" s="16"/>
    </row>
    <row r="183" spans="3:15" ht="15" hidden="1" customHeight="1" x14ac:dyDescent="0.25">
      <c r="C183" s="56"/>
      <c r="D183" s="57"/>
      <c r="E183" s="57"/>
      <c r="F183" s="57"/>
      <c r="G183" s="57"/>
      <c r="H183" s="57"/>
      <c r="I183" s="57"/>
      <c r="J183" s="57"/>
      <c r="K183" s="59" t="str">
        <f t="shared" si="8"/>
        <v>0.00 (0.00 – 0.00)</v>
      </c>
      <c r="L183" s="16" t="str">
        <f t="shared" si="9"/>
        <v>0.00
(0.00 – 0.00)</v>
      </c>
      <c r="M183" s="57"/>
      <c r="N183" s="59"/>
      <c r="O183" s="16"/>
    </row>
    <row r="184" spans="3:15" ht="15" hidden="1" customHeight="1" x14ac:dyDescent="0.25">
      <c r="C184" s="56"/>
      <c r="D184" s="57"/>
      <c r="E184" s="57"/>
      <c r="F184" s="57"/>
      <c r="G184" s="57"/>
      <c r="H184" s="57"/>
      <c r="I184" s="57"/>
      <c r="J184" s="57"/>
      <c r="K184" s="59" t="str">
        <f t="shared" si="8"/>
        <v>0.00 (0.00 – 0.00)</v>
      </c>
      <c r="L184" s="16" t="str">
        <f t="shared" si="9"/>
        <v>0.00
(0.00 – 0.00)</v>
      </c>
      <c r="M184" s="57"/>
      <c r="N184" s="59"/>
      <c r="O184" s="16"/>
    </row>
    <row r="185" spans="3:15" ht="15" hidden="1" customHeight="1" x14ac:dyDescent="0.25">
      <c r="C185" s="56"/>
      <c r="D185" s="57"/>
      <c r="E185" s="57"/>
      <c r="F185" s="57"/>
      <c r="G185" s="57"/>
      <c r="H185" s="57"/>
      <c r="I185" s="57"/>
      <c r="J185" s="57"/>
      <c r="K185" s="59" t="str">
        <f t="shared" si="8"/>
        <v>0.00 (0.00 – 0.00)</v>
      </c>
      <c r="L185" s="16" t="str">
        <f t="shared" si="9"/>
        <v>0.00
(0.00 – 0.00)</v>
      </c>
      <c r="M185" s="57"/>
      <c r="N185" s="59"/>
      <c r="O185" s="16"/>
    </row>
    <row r="186" spans="3:15" ht="15" hidden="1" customHeight="1" x14ac:dyDescent="0.25">
      <c r="C186" s="56"/>
      <c r="D186" s="57"/>
      <c r="E186" s="57"/>
      <c r="F186" s="57"/>
      <c r="G186" s="57"/>
      <c r="H186" s="57"/>
      <c r="I186" s="57"/>
      <c r="J186" s="57"/>
      <c r="K186" s="59" t="str">
        <f t="shared" si="8"/>
        <v>0.00 (0.00 – 0.00)</v>
      </c>
      <c r="L186" s="16" t="str">
        <f t="shared" si="9"/>
        <v>0.00
(0.00 – 0.00)</v>
      </c>
      <c r="M186" s="57"/>
      <c r="N186" s="59"/>
      <c r="O186" s="16"/>
    </row>
    <row r="187" spans="3:15" ht="15" hidden="1" customHeight="1" x14ac:dyDescent="0.25">
      <c r="C187" s="56"/>
      <c r="D187" s="57"/>
      <c r="E187" s="57"/>
      <c r="F187" s="57"/>
      <c r="G187" s="57"/>
      <c r="H187" s="57"/>
      <c r="I187" s="57"/>
      <c r="J187" s="57"/>
      <c r="K187" s="59" t="str">
        <f t="shared" si="8"/>
        <v>0.00 (0.00 – 0.00)</v>
      </c>
      <c r="L187" s="16" t="str">
        <f t="shared" si="9"/>
        <v>0.00
(0.00 – 0.00)</v>
      </c>
      <c r="M187" s="57"/>
      <c r="N187" s="59"/>
      <c r="O187" s="16"/>
    </row>
    <row r="188" spans="3:15" ht="15" hidden="1" customHeight="1" x14ac:dyDescent="0.25">
      <c r="C188" s="56"/>
      <c r="D188" s="57"/>
      <c r="E188" s="57"/>
      <c r="F188" s="57"/>
      <c r="G188" s="57"/>
      <c r="H188" s="57"/>
      <c r="I188" s="57"/>
      <c r="J188" s="57"/>
      <c r="K188" s="59" t="str">
        <f t="shared" si="8"/>
        <v>0.00 (0.00 – 0.00)</v>
      </c>
      <c r="L188" s="16" t="str">
        <f t="shared" si="9"/>
        <v>0.00
(0.00 – 0.00)</v>
      </c>
      <c r="M188" s="57"/>
      <c r="N188" s="59"/>
      <c r="O188" s="16"/>
    </row>
    <row r="189" spans="3:15" ht="15" hidden="1" customHeight="1" x14ac:dyDescent="0.25">
      <c r="C189" s="56"/>
      <c r="D189" s="57"/>
      <c r="E189" s="57"/>
      <c r="F189" s="57"/>
      <c r="G189" s="57"/>
      <c r="H189" s="57"/>
      <c r="I189" s="57"/>
      <c r="J189" s="57"/>
      <c r="K189" s="59" t="str">
        <f t="shared" si="8"/>
        <v>0.00 (0.00 – 0.00)</v>
      </c>
      <c r="L189" s="16" t="str">
        <f t="shared" si="9"/>
        <v>0.00
(0.00 – 0.00)</v>
      </c>
      <c r="M189" s="57"/>
      <c r="N189" s="59"/>
      <c r="O189" s="16"/>
    </row>
    <row r="190" spans="3:15" ht="15" hidden="1" customHeight="1" x14ac:dyDescent="0.25">
      <c r="C190" s="56"/>
      <c r="D190" s="57"/>
      <c r="E190" s="57"/>
      <c r="F190" s="57"/>
      <c r="G190" s="57"/>
      <c r="H190" s="57"/>
      <c r="I190" s="57"/>
      <c r="J190" s="57"/>
      <c r="K190" s="59" t="str">
        <f t="shared" si="8"/>
        <v>0.00 (0.00 – 0.00)</v>
      </c>
      <c r="L190" s="16" t="str">
        <f t="shared" si="9"/>
        <v>0.00
(0.00 – 0.00)</v>
      </c>
      <c r="M190" s="57"/>
      <c r="N190" s="59"/>
      <c r="O190" s="16"/>
    </row>
    <row r="191" spans="3:15" ht="15" hidden="1" customHeight="1" x14ac:dyDescent="0.25">
      <c r="C191" s="56"/>
      <c r="D191" s="57"/>
      <c r="E191" s="57"/>
      <c r="F191" s="57"/>
      <c r="G191" s="57"/>
      <c r="H191" s="57"/>
      <c r="I191" s="57"/>
      <c r="J191" s="57"/>
      <c r="K191" s="59" t="str">
        <f t="shared" si="8"/>
        <v>0.00 (0.00 – 0.00)</v>
      </c>
      <c r="L191" s="16" t="str">
        <f t="shared" si="9"/>
        <v>0.00
(0.00 – 0.00)</v>
      </c>
      <c r="M191" s="57"/>
      <c r="N191" s="59"/>
      <c r="O191" s="16"/>
    </row>
    <row r="192" spans="3:15" ht="15" hidden="1" customHeight="1" x14ac:dyDescent="0.25">
      <c r="C192" s="56"/>
      <c r="D192" s="57"/>
      <c r="E192" s="57"/>
      <c r="F192" s="57"/>
      <c r="G192" s="57"/>
      <c r="H192" s="57"/>
      <c r="I192" s="57"/>
      <c r="J192" s="57"/>
      <c r="K192" s="59" t="str">
        <f t="shared" si="8"/>
        <v>0.00 (0.00 – 0.00)</v>
      </c>
      <c r="L192" s="16" t="str">
        <f t="shared" si="9"/>
        <v>0.00
(0.00 – 0.00)</v>
      </c>
      <c r="M192" s="57"/>
      <c r="N192" s="59"/>
      <c r="O192" s="16"/>
    </row>
    <row r="193" spans="3:15" ht="15" hidden="1" customHeight="1" x14ac:dyDescent="0.25">
      <c r="C193" s="56"/>
      <c r="D193" s="57"/>
      <c r="E193" s="57"/>
      <c r="F193" s="57"/>
      <c r="G193" s="57"/>
      <c r="H193" s="57"/>
      <c r="I193" s="57"/>
      <c r="J193" s="57"/>
      <c r="K193" s="59" t="str">
        <f t="shared" si="8"/>
        <v>0.00 (0.00 – 0.00)</v>
      </c>
      <c r="L193" s="16" t="str">
        <f t="shared" si="9"/>
        <v>0.00
(0.00 – 0.00)</v>
      </c>
      <c r="M193" s="57"/>
      <c r="N193" s="59"/>
      <c r="O193" s="16"/>
    </row>
    <row r="194" spans="3:15" ht="15" hidden="1" customHeight="1" x14ac:dyDescent="0.25">
      <c r="C194" s="56"/>
      <c r="D194" s="57"/>
      <c r="E194" s="57"/>
      <c r="F194" s="57"/>
      <c r="G194" s="57"/>
      <c r="H194" s="57"/>
      <c r="I194" s="57"/>
      <c r="J194" s="57"/>
      <c r="K194" s="59" t="str">
        <f t="shared" si="8"/>
        <v>0.00 (0.00 – 0.00)</v>
      </c>
      <c r="L194" s="16" t="str">
        <f t="shared" si="9"/>
        <v>0.00
(0.00 – 0.00)</v>
      </c>
      <c r="M194" s="57"/>
      <c r="N194" s="59"/>
      <c r="O194" s="16"/>
    </row>
    <row r="195" spans="3:15" ht="15" hidden="1" customHeight="1" x14ac:dyDescent="0.25">
      <c r="C195" s="56"/>
      <c r="D195" s="57"/>
      <c r="E195" s="57"/>
      <c r="F195" s="57"/>
      <c r="G195" s="57"/>
      <c r="H195" s="57"/>
      <c r="I195" s="57"/>
      <c r="J195" s="57"/>
      <c r="K195" s="59" t="str">
        <f t="shared" si="8"/>
        <v>0.00 (0.00 – 0.00)</v>
      </c>
      <c r="L195" s="16" t="str">
        <f t="shared" si="9"/>
        <v>0.00
(0.00 – 0.00)</v>
      </c>
      <c r="M195" s="57"/>
      <c r="N195" s="59"/>
      <c r="O195" s="16"/>
    </row>
    <row r="196" spans="3:15" ht="15" hidden="1" customHeight="1" x14ac:dyDescent="0.25">
      <c r="C196" s="56"/>
      <c r="D196" s="57"/>
      <c r="E196" s="57"/>
      <c r="F196" s="57"/>
      <c r="G196" s="57"/>
      <c r="H196" s="57"/>
      <c r="I196" s="57"/>
      <c r="J196" s="57"/>
      <c r="K196" s="59" t="str">
        <f t="shared" si="8"/>
        <v>0.00 (0.00 – 0.00)</v>
      </c>
      <c r="L196" s="16" t="str">
        <f t="shared" si="9"/>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9"/>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14">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2" width="9.140625" customWidth="1"/>
    <col min="23" max="52" width="9.140625" hidden="1" customWidth="1"/>
  </cols>
  <sheetData>
    <row r="3" spans="2:22" ht="18.75" x14ac:dyDescent="0.3">
      <c r="B3" s="278"/>
      <c r="C3" s="278"/>
      <c r="D3" s="278"/>
      <c r="E3" s="278"/>
      <c r="F3" s="278"/>
      <c r="G3" s="278"/>
      <c r="H3" s="278"/>
      <c r="I3" s="278"/>
      <c r="J3" s="278"/>
    </row>
    <row r="4" spans="2:22" ht="15.75" thickBot="1" x14ac:dyDescent="0.3">
      <c r="B4" s="14"/>
      <c r="C4" s="14"/>
      <c r="D4" s="15"/>
      <c r="E4" s="15"/>
      <c r="F4" s="15"/>
      <c r="G4" s="15"/>
      <c r="H4" s="15"/>
      <c r="I4" s="15"/>
      <c r="J4" s="15"/>
      <c r="M4" t="s">
        <v>352</v>
      </c>
      <c r="N4" t="s">
        <v>353</v>
      </c>
      <c r="O4" t="s">
        <v>354</v>
      </c>
      <c r="P4" t="s">
        <v>355</v>
      </c>
      <c r="Q4" t="s">
        <v>356</v>
      </c>
      <c r="R4" t="s">
        <v>357</v>
      </c>
      <c r="S4" t="s">
        <v>358</v>
      </c>
      <c r="T4" t="s">
        <v>359</v>
      </c>
      <c r="U4" t="s">
        <v>360</v>
      </c>
      <c r="V4" t="s">
        <v>361</v>
      </c>
    </row>
    <row r="5" spans="2:22" x14ac:dyDescent="0.25">
      <c r="B5" t="s">
        <v>533</v>
      </c>
      <c r="C5" s="17" t="s">
        <v>352</v>
      </c>
      <c r="D5" s="17">
        <v>1</v>
      </c>
      <c r="E5">
        <v>5.2830000000000004E-3</v>
      </c>
      <c r="F5">
        <v>7.2489999999999999E-2</v>
      </c>
      <c r="G5">
        <v>8.5209999999999995E-4</v>
      </c>
      <c r="H5">
        <v>0</v>
      </c>
      <c r="I5">
        <v>0</v>
      </c>
      <c r="J5">
        <v>0</v>
      </c>
      <c r="L5">
        <v>1</v>
      </c>
      <c r="M5">
        <v>5.2830000000000004E-3</v>
      </c>
      <c r="N5">
        <v>5.9080000000000001E-3</v>
      </c>
      <c r="O5">
        <v>4.4169999999999999E-3</v>
      </c>
      <c r="P5">
        <v>1.5679999999999999E-2</v>
      </c>
      <c r="Q5">
        <v>0.29160000000000003</v>
      </c>
      <c r="R5">
        <v>0.1578</v>
      </c>
      <c r="S5">
        <v>0.20330000000000001</v>
      </c>
      <c r="T5">
        <v>0.30740000000000001</v>
      </c>
      <c r="U5">
        <v>2.8579999999999999E-3</v>
      </c>
      <c r="V5">
        <v>5.7419999999999997E-3</v>
      </c>
    </row>
    <row r="6" spans="2:22" x14ac:dyDescent="0.25">
      <c r="B6" t="s">
        <v>534</v>
      </c>
      <c r="C6" s="17" t="s">
        <v>352</v>
      </c>
      <c r="D6" s="17">
        <v>2</v>
      </c>
      <c r="E6">
        <v>3.2390000000000002E-2</v>
      </c>
      <c r="F6">
        <v>0.17699999999999999</v>
      </c>
      <c r="G6">
        <v>2.3800000000000002E-3</v>
      </c>
      <c r="H6">
        <v>0</v>
      </c>
      <c r="I6">
        <v>0</v>
      </c>
      <c r="J6">
        <v>1</v>
      </c>
      <c r="L6">
        <v>2</v>
      </c>
      <c r="M6">
        <v>3.2390000000000002E-2</v>
      </c>
      <c r="N6">
        <v>4.163E-2</v>
      </c>
      <c r="O6">
        <v>3.227E-2</v>
      </c>
      <c r="P6">
        <v>5.9159999999999997E-2</v>
      </c>
      <c r="Q6">
        <v>0.25890000000000002</v>
      </c>
      <c r="R6">
        <v>0.22550000000000001</v>
      </c>
      <c r="S6">
        <v>0.23810000000000001</v>
      </c>
      <c r="T6">
        <v>7.1429999999999993E-2</v>
      </c>
      <c r="U6">
        <v>1.2619999999999999E-2</v>
      </c>
      <c r="V6">
        <v>2.7990000000000001E-2</v>
      </c>
    </row>
    <row r="7" spans="2:22" x14ac:dyDescent="0.25">
      <c r="B7" t="s">
        <v>535</v>
      </c>
      <c r="C7" s="17" t="s">
        <v>352</v>
      </c>
      <c r="D7" s="17">
        <v>3</v>
      </c>
      <c r="E7">
        <v>7.8350000000000003E-2</v>
      </c>
      <c r="F7">
        <v>0.26869999999999999</v>
      </c>
      <c r="G7">
        <v>3.6340000000000001E-3</v>
      </c>
      <c r="H7">
        <v>0</v>
      </c>
      <c r="I7">
        <v>0</v>
      </c>
      <c r="J7">
        <v>1</v>
      </c>
      <c r="L7">
        <v>3</v>
      </c>
      <c r="M7">
        <v>7.8350000000000003E-2</v>
      </c>
      <c r="N7">
        <v>0.1303</v>
      </c>
      <c r="O7">
        <v>9.2240000000000003E-2</v>
      </c>
      <c r="P7">
        <v>0.1016</v>
      </c>
      <c r="Q7">
        <v>0.13320000000000001</v>
      </c>
      <c r="R7">
        <v>0.16739999999999999</v>
      </c>
      <c r="S7">
        <v>0.16289999999999999</v>
      </c>
      <c r="T7">
        <v>4.0500000000000001E-2</v>
      </c>
      <c r="U7">
        <v>2.4629999999999999E-2</v>
      </c>
      <c r="V7">
        <v>6.8849999999999995E-2</v>
      </c>
    </row>
    <row r="8" spans="2:22" x14ac:dyDescent="0.25">
      <c r="B8" t="s">
        <v>536</v>
      </c>
      <c r="C8" s="17" t="s">
        <v>352</v>
      </c>
      <c r="D8" s="17">
        <v>4</v>
      </c>
      <c r="E8">
        <v>0.1152</v>
      </c>
      <c r="F8">
        <v>0.31919999999999998</v>
      </c>
      <c r="G8">
        <v>3.8070000000000001E-3</v>
      </c>
      <c r="H8">
        <v>0</v>
      </c>
      <c r="I8">
        <v>0</v>
      </c>
      <c r="J8">
        <v>1</v>
      </c>
      <c r="L8">
        <v>4</v>
      </c>
      <c r="M8">
        <v>0.1152</v>
      </c>
      <c r="N8">
        <v>0.20100000000000001</v>
      </c>
      <c r="O8">
        <v>0.1618</v>
      </c>
      <c r="P8">
        <v>0.1072</v>
      </c>
      <c r="Q8">
        <v>6.3009999999999997E-2</v>
      </c>
      <c r="R8">
        <v>9.7229999999999997E-2</v>
      </c>
      <c r="S8">
        <v>7.9549999999999996E-2</v>
      </c>
      <c r="T8">
        <v>2.3800000000000002E-2</v>
      </c>
      <c r="U8">
        <v>3.5950000000000003E-2</v>
      </c>
      <c r="V8">
        <v>0.1154</v>
      </c>
    </row>
    <row r="9" spans="2:22" x14ac:dyDescent="0.25">
      <c r="B9" t="s">
        <v>537</v>
      </c>
      <c r="C9" s="17" t="s">
        <v>352</v>
      </c>
      <c r="D9" s="17">
        <v>5</v>
      </c>
      <c r="E9">
        <v>0.14080000000000001</v>
      </c>
      <c r="F9">
        <v>0.3478</v>
      </c>
      <c r="G9">
        <v>3.5109999999999998E-3</v>
      </c>
      <c r="H9">
        <v>0</v>
      </c>
      <c r="I9">
        <v>0</v>
      </c>
      <c r="J9">
        <v>1</v>
      </c>
      <c r="L9">
        <v>5</v>
      </c>
      <c r="M9">
        <v>0.14080000000000001</v>
      </c>
      <c r="N9">
        <v>0.19159999999999999</v>
      </c>
      <c r="O9">
        <v>0.20169999999999999</v>
      </c>
      <c r="P9">
        <v>0.1026</v>
      </c>
      <c r="Q9">
        <v>3.9210000000000002E-2</v>
      </c>
      <c r="R9">
        <v>6.3689999999999997E-2</v>
      </c>
      <c r="S9">
        <v>5.1920000000000001E-2</v>
      </c>
      <c r="T9">
        <v>1.5299999999999999E-2</v>
      </c>
      <c r="U9">
        <v>4.6210000000000001E-2</v>
      </c>
      <c r="V9">
        <v>0.14710000000000001</v>
      </c>
    </row>
    <row r="10" spans="2:22" x14ac:dyDescent="0.25">
      <c r="B10" t="s">
        <v>538</v>
      </c>
      <c r="C10" s="17" t="s">
        <v>352</v>
      </c>
      <c r="D10" s="17">
        <v>6</v>
      </c>
      <c r="E10">
        <v>0.1603</v>
      </c>
      <c r="F10">
        <v>0.3669</v>
      </c>
      <c r="G10">
        <v>3.545E-3</v>
      </c>
      <c r="H10">
        <v>0</v>
      </c>
      <c r="I10">
        <v>0</v>
      </c>
      <c r="J10">
        <v>1</v>
      </c>
      <c r="L10">
        <v>6</v>
      </c>
      <c r="M10">
        <v>0.1603</v>
      </c>
      <c r="N10">
        <v>0.16270000000000001</v>
      </c>
      <c r="O10">
        <v>0.1983</v>
      </c>
      <c r="P10">
        <v>0.1094</v>
      </c>
      <c r="Q10">
        <v>3.4000000000000002E-2</v>
      </c>
      <c r="R10">
        <v>5.151E-2</v>
      </c>
      <c r="S10">
        <v>4.4839999999999998E-2</v>
      </c>
      <c r="T10">
        <v>1.487E-2</v>
      </c>
      <c r="U10">
        <v>5.824E-2</v>
      </c>
      <c r="V10">
        <v>0.16589999999999999</v>
      </c>
    </row>
    <row r="11" spans="2:22" x14ac:dyDescent="0.25">
      <c r="B11" t="s">
        <v>539</v>
      </c>
      <c r="C11" s="17" t="s">
        <v>352</v>
      </c>
      <c r="D11" s="17">
        <v>7</v>
      </c>
      <c r="E11">
        <v>0.17660000000000001</v>
      </c>
      <c r="F11">
        <v>0.38129999999999997</v>
      </c>
      <c r="G11">
        <v>3.8700000000000002E-3</v>
      </c>
      <c r="H11">
        <v>0</v>
      </c>
      <c r="I11">
        <v>0</v>
      </c>
      <c r="J11">
        <v>1</v>
      </c>
      <c r="L11">
        <v>7</v>
      </c>
      <c r="M11">
        <v>0.17660000000000001</v>
      </c>
      <c r="N11">
        <v>0.12559999999999999</v>
      </c>
      <c r="O11">
        <v>0.157</v>
      </c>
      <c r="P11">
        <v>0.12670000000000001</v>
      </c>
      <c r="Q11">
        <v>3.5220000000000001E-2</v>
      </c>
      <c r="R11">
        <v>5.355E-2</v>
      </c>
      <c r="S11">
        <v>4.5569999999999999E-2</v>
      </c>
      <c r="T11">
        <v>1.6379999999999999E-2</v>
      </c>
      <c r="U11">
        <v>9.1800000000000007E-2</v>
      </c>
      <c r="V11">
        <v>0.1716</v>
      </c>
    </row>
    <row r="12" spans="2:22" x14ac:dyDescent="0.25">
      <c r="B12" t="s">
        <v>540</v>
      </c>
      <c r="C12" s="17" t="s">
        <v>352</v>
      </c>
      <c r="D12" s="17">
        <v>8</v>
      </c>
      <c r="E12">
        <v>0.17449999999999999</v>
      </c>
      <c r="F12">
        <v>0.37959999999999999</v>
      </c>
      <c r="G12">
        <v>5.0889999999999998E-3</v>
      </c>
      <c r="H12">
        <v>0</v>
      </c>
      <c r="I12">
        <v>0</v>
      </c>
      <c r="J12">
        <v>1</v>
      </c>
      <c r="L12">
        <v>8</v>
      </c>
      <c r="M12">
        <v>0.17449999999999999</v>
      </c>
      <c r="N12">
        <v>8.6940000000000003E-2</v>
      </c>
      <c r="O12">
        <v>0.1028</v>
      </c>
      <c r="P12">
        <v>0.1497</v>
      </c>
      <c r="Q12">
        <v>4.2430000000000002E-2</v>
      </c>
      <c r="R12">
        <v>6.3509999999999997E-2</v>
      </c>
      <c r="S12">
        <v>5.5410000000000001E-2</v>
      </c>
      <c r="T12">
        <v>2.2440000000000002E-2</v>
      </c>
      <c r="U12">
        <v>0.1545</v>
      </c>
      <c r="V12">
        <v>0.1477</v>
      </c>
    </row>
    <row r="13" spans="2:22" x14ac:dyDescent="0.25">
      <c r="B13" t="s">
        <v>541</v>
      </c>
      <c r="C13" s="17" t="s">
        <v>352</v>
      </c>
      <c r="D13" s="17">
        <v>9</v>
      </c>
      <c r="E13">
        <v>9.7280000000000005E-2</v>
      </c>
      <c r="F13">
        <v>0.29630000000000001</v>
      </c>
      <c r="G13">
        <v>4.7920000000000003E-3</v>
      </c>
      <c r="H13">
        <v>0</v>
      </c>
      <c r="I13">
        <v>0</v>
      </c>
      <c r="J13">
        <v>1</v>
      </c>
      <c r="L13">
        <v>9</v>
      </c>
      <c r="M13">
        <v>9.7280000000000005E-2</v>
      </c>
      <c r="N13">
        <v>4.3869999999999999E-2</v>
      </c>
      <c r="O13">
        <v>4.1880000000000001E-2</v>
      </c>
      <c r="P13">
        <v>0.15049999999999999</v>
      </c>
      <c r="Q13">
        <v>5.849E-2</v>
      </c>
      <c r="R13">
        <v>7.3620000000000005E-2</v>
      </c>
      <c r="S13">
        <v>6.9529999999999995E-2</v>
      </c>
      <c r="T13">
        <v>4.3580000000000001E-2</v>
      </c>
      <c r="U13">
        <v>0.31130000000000002</v>
      </c>
      <c r="V13">
        <v>0.11</v>
      </c>
    </row>
    <row r="14" spans="2:22" x14ac:dyDescent="0.25">
      <c r="B14" t="s">
        <v>542</v>
      </c>
      <c r="C14" s="17" t="s">
        <v>352</v>
      </c>
      <c r="D14" s="17">
        <v>10</v>
      </c>
      <c r="E14">
        <v>1.9349999999999999E-2</v>
      </c>
      <c r="F14">
        <v>0.13780000000000001</v>
      </c>
      <c r="G14">
        <v>2.0209999999999998E-3</v>
      </c>
      <c r="H14">
        <v>0</v>
      </c>
      <c r="I14">
        <v>0</v>
      </c>
      <c r="J14">
        <v>0</v>
      </c>
      <c r="L14">
        <v>10</v>
      </c>
      <c r="M14">
        <v>1.9349999999999999E-2</v>
      </c>
      <c r="N14">
        <v>1.055E-2</v>
      </c>
      <c r="O14">
        <v>7.7079999999999996E-3</v>
      </c>
      <c r="P14">
        <v>7.7479999999999993E-2</v>
      </c>
      <c r="Q14">
        <v>4.3950000000000003E-2</v>
      </c>
      <c r="R14">
        <v>4.614E-2</v>
      </c>
      <c r="S14">
        <v>4.8919999999999998E-2</v>
      </c>
      <c r="T14">
        <v>0.44419999999999998</v>
      </c>
      <c r="U14">
        <v>0.26190000000000002</v>
      </c>
      <c r="V14">
        <v>3.9789999999999999E-2</v>
      </c>
    </row>
    <row r="15" spans="2:22" hidden="1" x14ac:dyDescent="0.25">
      <c r="B15" t="s">
        <v>543</v>
      </c>
      <c r="C15" s="17" t="s">
        <v>353</v>
      </c>
      <c r="D15" s="17">
        <v>1</v>
      </c>
      <c r="E15">
        <v>5.9080000000000001E-3</v>
      </c>
      <c r="F15">
        <v>7.664E-2</v>
      </c>
      <c r="G15">
        <v>7.8180000000000003E-4</v>
      </c>
      <c r="H15">
        <v>0</v>
      </c>
      <c r="I15">
        <v>0</v>
      </c>
      <c r="J15">
        <v>0</v>
      </c>
    </row>
    <row r="16" spans="2:22" hidden="1" x14ac:dyDescent="0.25">
      <c r="B16" t="s">
        <v>544</v>
      </c>
      <c r="C16" s="17" t="s">
        <v>353</v>
      </c>
      <c r="D16" s="17">
        <v>2</v>
      </c>
      <c r="E16">
        <v>4.163E-2</v>
      </c>
      <c r="F16">
        <v>0.19969999999999999</v>
      </c>
      <c r="G16">
        <v>2.3939999999999999E-3</v>
      </c>
      <c r="H16">
        <v>0</v>
      </c>
      <c r="I16">
        <v>0</v>
      </c>
      <c r="J16">
        <v>1</v>
      </c>
    </row>
    <row r="17" spans="2:10" hidden="1" x14ac:dyDescent="0.25">
      <c r="B17" t="s">
        <v>545</v>
      </c>
      <c r="C17" s="17" t="s">
        <v>353</v>
      </c>
      <c r="D17" s="17">
        <v>3</v>
      </c>
      <c r="E17">
        <v>0.1303</v>
      </c>
      <c r="F17">
        <v>0.33660000000000001</v>
      </c>
      <c r="G17">
        <v>4.1219999999999998E-3</v>
      </c>
      <c r="H17">
        <v>0</v>
      </c>
      <c r="I17">
        <v>0</v>
      </c>
      <c r="J17">
        <v>1</v>
      </c>
    </row>
    <row r="18" spans="2:10" hidden="1" x14ac:dyDescent="0.25">
      <c r="B18" t="s">
        <v>546</v>
      </c>
      <c r="C18" s="17" t="s">
        <v>353</v>
      </c>
      <c r="D18" s="17">
        <v>4</v>
      </c>
      <c r="E18">
        <v>0.20100000000000001</v>
      </c>
      <c r="F18">
        <v>0.4007</v>
      </c>
      <c r="G18">
        <v>4.3090000000000003E-3</v>
      </c>
      <c r="H18">
        <v>0</v>
      </c>
      <c r="I18">
        <v>0</v>
      </c>
      <c r="J18">
        <v>1</v>
      </c>
    </row>
    <row r="19" spans="2:10" hidden="1" x14ac:dyDescent="0.25">
      <c r="B19" t="s">
        <v>547</v>
      </c>
      <c r="C19" s="17" t="s">
        <v>353</v>
      </c>
      <c r="D19" s="17">
        <v>5</v>
      </c>
      <c r="E19">
        <v>0.19159999999999999</v>
      </c>
      <c r="F19">
        <v>0.39350000000000002</v>
      </c>
      <c r="G19">
        <v>3.5739999999999999E-3</v>
      </c>
      <c r="H19">
        <v>0</v>
      </c>
      <c r="I19">
        <v>0</v>
      </c>
      <c r="J19">
        <v>1</v>
      </c>
    </row>
    <row r="20" spans="2:10" hidden="1" x14ac:dyDescent="0.25">
      <c r="B20" t="s">
        <v>548</v>
      </c>
      <c r="C20" s="17" t="s">
        <v>353</v>
      </c>
      <c r="D20" s="17">
        <v>6</v>
      </c>
      <c r="E20">
        <v>0.16270000000000001</v>
      </c>
      <c r="F20">
        <v>0.36909999999999998</v>
      </c>
      <c r="G20">
        <v>3.1549999999999998E-3</v>
      </c>
      <c r="H20">
        <v>0</v>
      </c>
      <c r="I20">
        <v>0</v>
      </c>
      <c r="J20">
        <v>1</v>
      </c>
    </row>
    <row r="21" spans="2:10" hidden="1" x14ac:dyDescent="0.25">
      <c r="B21" t="s">
        <v>549</v>
      </c>
      <c r="C21" s="17" t="s">
        <v>353</v>
      </c>
      <c r="D21" s="17">
        <v>7</v>
      </c>
      <c r="E21">
        <v>0.12559999999999999</v>
      </c>
      <c r="F21">
        <v>0.33139999999999997</v>
      </c>
      <c r="G21">
        <v>3.215E-3</v>
      </c>
      <c r="H21">
        <v>0</v>
      </c>
      <c r="I21">
        <v>0</v>
      </c>
      <c r="J21">
        <v>1</v>
      </c>
    </row>
    <row r="22" spans="2:10" hidden="1" x14ac:dyDescent="0.25">
      <c r="B22" t="s">
        <v>550</v>
      </c>
      <c r="C22" s="17" t="s">
        <v>353</v>
      </c>
      <c r="D22" s="17">
        <v>8</v>
      </c>
      <c r="E22">
        <v>8.6940000000000003E-2</v>
      </c>
      <c r="F22">
        <v>0.28170000000000001</v>
      </c>
      <c r="G22">
        <v>3.241E-3</v>
      </c>
      <c r="H22">
        <v>0</v>
      </c>
      <c r="I22">
        <v>0</v>
      </c>
      <c r="J22">
        <v>1</v>
      </c>
    </row>
    <row r="23" spans="2:10" hidden="1" x14ac:dyDescent="0.25">
      <c r="B23" t="s">
        <v>551</v>
      </c>
      <c r="C23" s="17" t="s">
        <v>353</v>
      </c>
      <c r="D23" s="17">
        <v>9</v>
      </c>
      <c r="E23">
        <v>4.3869999999999999E-2</v>
      </c>
      <c r="F23">
        <v>0.20480000000000001</v>
      </c>
      <c r="G23">
        <v>2.369E-3</v>
      </c>
      <c r="H23">
        <v>0</v>
      </c>
      <c r="I23">
        <v>0</v>
      </c>
      <c r="J23">
        <v>1</v>
      </c>
    </row>
    <row r="24" spans="2:10" hidden="1" x14ac:dyDescent="0.25">
      <c r="B24" t="s">
        <v>552</v>
      </c>
      <c r="C24" s="17" t="s">
        <v>353</v>
      </c>
      <c r="D24" s="17">
        <v>10</v>
      </c>
      <c r="E24">
        <v>1.055E-2</v>
      </c>
      <c r="F24">
        <v>0.1022</v>
      </c>
      <c r="G24">
        <v>1.2030000000000001E-3</v>
      </c>
      <c r="H24">
        <v>0</v>
      </c>
      <c r="I24">
        <v>0</v>
      </c>
      <c r="J24">
        <v>0</v>
      </c>
    </row>
    <row r="25" spans="2:10" hidden="1" x14ac:dyDescent="0.25">
      <c r="B25" t="s">
        <v>553</v>
      </c>
      <c r="C25" s="17" t="s">
        <v>354</v>
      </c>
      <c r="D25" s="17">
        <v>1</v>
      </c>
      <c r="E25">
        <v>4.4169999999999999E-3</v>
      </c>
      <c r="F25">
        <v>6.6309999999999994E-2</v>
      </c>
      <c r="G25">
        <v>6.9800000000000005E-4</v>
      </c>
      <c r="H25">
        <v>0</v>
      </c>
      <c r="I25">
        <v>0</v>
      </c>
      <c r="J25">
        <v>0</v>
      </c>
    </row>
    <row r="26" spans="2:10" hidden="1" x14ac:dyDescent="0.25">
      <c r="B26" t="s">
        <v>554</v>
      </c>
      <c r="C26" s="17" t="s">
        <v>354</v>
      </c>
      <c r="D26" s="17">
        <v>2</v>
      </c>
      <c r="E26">
        <v>3.227E-2</v>
      </c>
      <c r="F26">
        <v>0.1767</v>
      </c>
      <c r="G26">
        <v>2.2079999999999999E-3</v>
      </c>
      <c r="H26">
        <v>0</v>
      </c>
      <c r="I26">
        <v>0</v>
      </c>
      <c r="J26">
        <v>1</v>
      </c>
    </row>
    <row r="27" spans="2:10" hidden="1" x14ac:dyDescent="0.25">
      <c r="B27" t="s">
        <v>555</v>
      </c>
      <c r="C27" s="17" t="s">
        <v>354</v>
      </c>
      <c r="D27" s="17">
        <v>3</v>
      </c>
      <c r="E27">
        <v>9.2240000000000003E-2</v>
      </c>
      <c r="F27">
        <v>0.28939999999999999</v>
      </c>
      <c r="G27">
        <v>3.4840000000000001E-3</v>
      </c>
      <c r="H27">
        <v>0</v>
      </c>
      <c r="I27">
        <v>0</v>
      </c>
      <c r="J27">
        <v>1</v>
      </c>
    </row>
    <row r="28" spans="2:10" hidden="1" x14ac:dyDescent="0.25">
      <c r="B28" t="s">
        <v>556</v>
      </c>
      <c r="C28" s="17" t="s">
        <v>354</v>
      </c>
      <c r="D28" s="17">
        <v>4</v>
      </c>
      <c r="E28">
        <v>0.1618</v>
      </c>
      <c r="F28">
        <v>0.36820000000000003</v>
      </c>
      <c r="G28">
        <v>3.8639999999999998E-3</v>
      </c>
      <c r="H28">
        <v>0</v>
      </c>
      <c r="I28">
        <v>0</v>
      </c>
      <c r="J28">
        <v>1</v>
      </c>
    </row>
    <row r="29" spans="2:10" hidden="1" x14ac:dyDescent="0.25">
      <c r="B29" t="s">
        <v>557</v>
      </c>
      <c r="C29" s="17" t="s">
        <v>354</v>
      </c>
      <c r="D29" s="17">
        <v>5</v>
      </c>
      <c r="E29">
        <v>0.20169999999999999</v>
      </c>
      <c r="F29">
        <v>0.40129999999999999</v>
      </c>
      <c r="G29">
        <v>3.6979999999999999E-3</v>
      </c>
      <c r="H29">
        <v>0</v>
      </c>
      <c r="I29">
        <v>0</v>
      </c>
      <c r="J29">
        <v>1</v>
      </c>
    </row>
    <row r="30" spans="2:10" hidden="1" x14ac:dyDescent="0.25">
      <c r="B30" t="s">
        <v>558</v>
      </c>
      <c r="C30" t="s">
        <v>354</v>
      </c>
      <c r="D30">
        <v>6</v>
      </c>
      <c r="E30">
        <v>0.1983</v>
      </c>
      <c r="F30">
        <v>0.3987</v>
      </c>
      <c r="G30">
        <v>3.6340000000000001E-3</v>
      </c>
      <c r="H30">
        <v>0</v>
      </c>
      <c r="I30">
        <v>0</v>
      </c>
      <c r="J30">
        <v>1</v>
      </c>
    </row>
    <row r="31" spans="2:10" hidden="1" x14ac:dyDescent="0.25">
      <c r="B31" t="s">
        <v>559</v>
      </c>
      <c r="C31" t="s">
        <v>354</v>
      </c>
      <c r="D31">
        <v>7</v>
      </c>
      <c r="E31">
        <v>0.157</v>
      </c>
      <c r="F31">
        <v>0.36380000000000001</v>
      </c>
      <c r="G31">
        <v>3.8080000000000002E-3</v>
      </c>
      <c r="H31">
        <v>0</v>
      </c>
      <c r="I31">
        <v>0</v>
      </c>
      <c r="J31">
        <v>1</v>
      </c>
    </row>
    <row r="32" spans="2:10" hidden="1" x14ac:dyDescent="0.25">
      <c r="B32" t="s">
        <v>560</v>
      </c>
      <c r="C32" t="s">
        <v>354</v>
      </c>
      <c r="D32">
        <v>8</v>
      </c>
      <c r="E32">
        <v>0.1028</v>
      </c>
      <c r="F32">
        <v>0.30370000000000003</v>
      </c>
      <c r="G32">
        <v>3.496E-3</v>
      </c>
      <c r="H32">
        <v>0</v>
      </c>
      <c r="I32">
        <v>0</v>
      </c>
      <c r="J32">
        <v>1</v>
      </c>
    </row>
    <row r="33" spans="2:10" hidden="1" x14ac:dyDescent="0.25">
      <c r="B33" t="s">
        <v>561</v>
      </c>
      <c r="C33" t="s">
        <v>354</v>
      </c>
      <c r="D33">
        <v>9</v>
      </c>
      <c r="E33">
        <v>4.1880000000000001E-2</v>
      </c>
      <c r="F33">
        <v>0.20030000000000001</v>
      </c>
      <c r="G33">
        <v>2.4780000000000002E-3</v>
      </c>
      <c r="H33">
        <v>0</v>
      </c>
      <c r="I33">
        <v>0</v>
      </c>
      <c r="J33">
        <v>1</v>
      </c>
    </row>
    <row r="34" spans="2:10" hidden="1" x14ac:dyDescent="0.25">
      <c r="B34" t="s">
        <v>562</v>
      </c>
      <c r="C34" t="s">
        <v>354</v>
      </c>
      <c r="D34">
        <v>10</v>
      </c>
      <c r="E34">
        <v>7.7079999999999996E-3</v>
      </c>
      <c r="F34">
        <v>8.7459999999999996E-2</v>
      </c>
      <c r="G34">
        <v>9.1929999999999996E-4</v>
      </c>
      <c r="H34">
        <v>0</v>
      </c>
      <c r="I34">
        <v>0</v>
      </c>
      <c r="J34">
        <v>0</v>
      </c>
    </row>
    <row r="35" spans="2:10" hidden="1" x14ac:dyDescent="0.25">
      <c r="B35" t="s">
        <v>563</v>
      </c>
      <c r="C35" t="s">
        <v>355</v>
      </c>
      <c r="D35">
        <v>1</v>
      </c>
      <c r="E35">
        <v>1.5679999999999999E-2</v>
      </c>
      <c r="F35">
        <v>0.1242</v>
      </c>
      <c r="G35">
        <v>1.4549999999999999E-3</v>
      </c>
      <c r="H35">
        <v>0</v>
      </c>
      <c r="I35">
        <v>0</v>
      </c>
      <c r="J35">
        <v>0</v>
      </c>
    </row>
    <row r="36" spans="2:10" hidden="1" x14ac:dyDescent="0.25">
      <c r="B36" t="s">
        <v>564</v>
      </c>
      <c r="C36" t="s">
        <v>355</v>
      </c>
      <c r="D36">
        <v>2</v>
      </c>
      <c r="E36">
        <v>5.9159999999999997E-2</v>
      </c>
      <c r="F36">
        <v>0.2359</v>
      </c>
      <c r="G36">
        <v>2.885E-3</v>
      </c>
      <c r="H36">
        <v>0</v>
      </c>
      <c r="I36">
        <v>0</v>
      </c>
      <c r="J36">
        <v>1</v>
      </c>
    </row>
    <row r="37" spans="2:10" hidden="1" x14ac:dyDescent="0.25">
      <c r="B37" t="s">
        <v>565</v>
      </c>
      <c r="C37" t="s">
        <v>355</v>
      </c>
      <c r="D37">
        <v>3</v>
      </c>
      <c r="E37">
        <v>0.1016</v>
      </c>
      <c r="F37">
        <v>0.30209999999999998</v>
      </c>
      <c r="G37">
        <v>3.3760000000000001E-3</v>
      </c>
      <c r="H37">
        <v>0</v>
      </c>
      <c r="I37">
        <v>0</v>
      </c>
      <c r="J37">
        <v>1</v>
      </c>
    </row>
    <row r="38" spans="2:10" hidden="1" x14ac:dyDescent="0.25">
      <c r="B38" t="s">
        <v>566</v>
      </c>
      <c r="C38" t="s">
        <v>355</v>
      </c>
      <c r="D38">
        <v>4</v>
      </c>
      <c r="E38">
        <v>0.1072</v>
      </c>
      <c r="F38">
        <v>0.30930000000000002</v>
      </c>
      <c r="G38">
        <v>2.794E-3</v>
      </c>
      <c r="H38">
        <v>0</v>
      </c>
      <c r="I38">
        <v>0</v>
      </c>
      <c r="J38">
        <v>1</v>
      </c>
    </row>
    <row r="39" spans="2:10" hidden="1" x14ac:dyDescent="0.25">
      <c r="B39" t="s">
        <v>567</v>
      </c>
      <c r="C39" t="s">
        <v>355</v>
      </c>
      <c r="D39">
        <v>5</v>
      </c>
      <c r="E39">
        <v>0.1026</v>
      </c>
      <c r="F39">
        <v>0.3034</v>
      </c>
      <c r="G39">
        <v>2.4529999999999999E-3</v>
      </c>
      <c r="H39">
        <v>0</v>
      </c>
      <c r="I39">
        <v>0</v>
      </c>
      <c r="J39">
        <v>1</v>
      </c>
    </row>
    <row r="40" spans="2:10" hidden="1" x14ac:dyDescent="0.25">
      <c r="B40" t="s">
        <v>568</v>
      </c>
      <c r="C40" t="s">
        <v>355</v>
      </c>
      <c r="D40">
        <v>6</v>
      </c>
      <c r="E40">
        <v>0.1094</v>
      </c>
      <c r="F40">
        <v>0.31219999999999998</v>
      </c>
      <c r="G40">
        <v>2.2910000000000001E-3</v>
      </c>
      <c r="H40">
        <v>0</v>
      </c>
      <c r="I40">
        <v>0</v>
      </c>
      <c r="J40">
        <v>1</v>
      </c>
    </row>
    <row r="41" spans="2:10" hidden="1" x14ac:dyDescent="0.25">
      <c r="B41" t="s">
        <v>569</v>
      </c>
      <c r="C41" t="s">
        <v>355</v>
      </c>
      <c r="D41">
        <v>7</v>
      </c>
      <c r="E41">
        <v>0.12670000000000001</v>
      </c>
      <c r="F41">
        <v>0.3327</v>
      </c>
      <c r="G41">
        <v>2.7529999999999998E-3</v>
      </c>
      <c r="H41">
        <v>0</v>
      </c>
      <c r="I41">
        <v>0</v>
      </c>
      <c r="J41">
        <v>1</v>
      </c>
    </row>
    <row r="42" spans="2:10" hidden="1" x14ac:dyDescent="0.25">
      <c r="B42" t="s">
        <v>570</v>
      </c>
      <c r="C42" t="s">
        <v>355</v>
      </c>
      <c r="D42">
        <v>8</v>
      </c>
      <c r="E42">
        <v>0.1497</v>
      </c>
      <c r="F42">
        <v>0.35680000000000001</v>
      </c>
      <c r="G42">
        <v>3.2959999999999999E-3</v>
      </c>
      <c r="H42">
        <v>0</v>
      </c>
      <c r="I42">
        <v>0</v>
      </c>
      <c r="J42">
        <v>1</v>
      </c>
    </row>
    <row r="43" spans="2:10" hidden="1" x14ac:dyDescent="0.25">
      <c r="B43" t="s">
        <v>571</v>
      </c>
      <c r="C43" t="s">
        <v>355</v>
      </c>
      <c r="D43">
        <v>9</v>
      </c>
      <c r="E43">
        <v>0.15049999999999999</v>
      </c>
      <c r="F43">
        <v>0.35749999999999998</v>
      </c>
      <c r="G43">
        <v>4.4669999999999996E-3</v>
      </c>
      <c r="H43">
        <v>0</v>
      </c>
      <c r="I43">
        <v>0</v>
      </c>
      <c r="J43">
        <v>1</v>
      </c>
    </row>
    <row r="44" spans="2:10" hidden="1" x14ac:dyDescent="0.25">
      <c r="B44" t="s">
        <v>572</v>
      </c>
      <c r="C44" t="s">
        <v>355</v>
      </c>
      <c r="D44">
        <v>10</v>
      </c>
      <c r="E44">
        <v>7.7479999999999993E-2</v>
      </c>
      <c r="F44">
        <v>0.26729999999999998</v>
      </c>
      <c r="G44">
        <v>4.7499999999999999E-3</v>
      </c>
      <c r="H44">
        <v>0</v>
      </c>
      <c r="I44">
        <v>0</v>
      </c>
      <c r="J44">
        <v>1</v>
      </c>
    </row>
    <row r="45" spans="2:10" hidden="1" x14ac:dyDescent="0.25">
      <c r="B45" t="s">
        <v>573</v>
      </c>
      <c r="C45" t="s">
        <v>356</v>
      </c>
      <c r="D45">
        <v>1</v>
      </c>
      <c r="E45">
        <v>0.29160000000000003</v>
      </c>
      <c r="F45">
        <v>0.45450000000000002</v>
      </c>
      <c r="G45">
        <v>9.4039999999999992E-3</v>
      </c>
      <c r="H45">
        <v>0</v>
      </c>
      <c r="I45">
        <v>0</v>
      </c>
      <c r="J45">
        <v>1</v>
      </c>
    </row>
    <row r="46" spans="2:10" hidden="1" x14ac:dyDescent="0.25">
      <c r="B46" t="s">
        <v>574</v>
      </c>
      <c r="C46" t="s">
        <v>356</v>
      </c>
      <c r="D46">
        <v>2</v>
      </c>
      <c r="E46">
        <v>0.25890000000000002</v>
      </c>
      <c r="F46">
        <v>0.438</v>
      </c>
      <c r="G46">
        <v>6.2129999999999998E-3</v>
      </c>
      <c r="H46">
        <v>0</v>
      </c>
      <c r="I46">
        <v>0</v>
      </c>
      <c r="J46">
        <v>1</v>
      </c>
    </row>
    <row r="47" spans="2:10" hidden="1" x14ac:dyDescent="0.25">
      <c r="B47" t="s">
        <v>575</v>
      </c>
      <c r="C47" t="s">
        <v>356</v>
      </c>
      <c r="D47">
        <v>3</v>
      </c>
      <c r="E47">
        <v>0.13320000000000001</v>
      </c>
      <c r="F47">
        <v>0.33979999999999999</v>
      </c>
      <c r="G47">
        <v>3.9350000000000001E-3</v>
      </c>
      <c r="H47">
        <v>0</v>
      </c>
      <c r="I47">
        <v>0</v>
      </c>
      <c r="J47">
        <v>1</v>
      </c>
    </row>
    <row r="48" spans="2:10" hidden="1" x14ac:dyDescent="0.25">
      <c r="B48" t="s">
        <v>576</v>
      </c>
      <c r="C48" t="s">
        <v>356</v>
      </c>
      <c r="D48">
        <v>4</v>
      </c>
      <c r="E48">
        <v>6.3009999999999997E-2</v>
      </c>
      <c r="F48">
        <v>0.24299999999999999</v>
      </c>
      <c r="G48">
        <v>2.006E-3</v>
      </c>
      <c r="H48">
        <v>0</v>
      </c>
      <c r="I48">
        <v>0</v>
      </c>
      <c r="J48">
        <v>1</v>
      </c>
    </row>
    <row r="49" spans="2:10" hidden="1" x14ac:dyDescent="0.25">
      <c r="B49" t="s">
        <v>577</v>
      </c>
      <c r="C49" t="s">
        <v>356</v>
      </c>
      <c r="D49">
        <v>5</v>
      </c>
      <c r="E49">
        <v>3.9210000000000002E-2</v>
      </c>
      <c r="F49">
        <v>0.19409999999999999</v>
      </c>
      <c r="G49">
        <v>1.305E-3</v>
      </c>
      <c r="H49">
        <v>0</v>
      </c>
      <c r="I49">
        <v>0</v>
      </c>
      <c r="J49">
        <v>1</v>
      </c>
    </row>
    <row r="50" spans="2:10" hidden="1" x14ac:dyDescent="0.25">
      <c r="B50" t="s">
        <v>578</v>
      </c>
      <c r="C50" t="s">
        <v>356</v>
      </c>
      <c r="D50">
        <v>6</v>
      </c>
      <c r="E50">
        <v>3.4000000000000002E-2</v>
      </c>
      <c r="F50">
        <v>0.1812</v>
      </c>
      <c r="G50">
        <v>1.178E-3</v>
      </c>
      <c r="H50">
        <v>0</v>
      </c>
      <c r="I50">
        <v>0</v>
      </c>
      <c r="J50">
        <v>1</v>
      </c>
    </row>
    <row r="51" spans="2:10" hidden="1" x14ac:dyDescent="0.25">
      <c r="B51" t="s">
        <v>579</v>
      </c>
      <c r="C51" t="s">
        <v>356</v>
      </c>
      <c r="D51">
        <v>7</v>
      </c>
      <c r="E51">
        <v>3.5220000000000001E-2</v>
      </c>
      <c r="F51">
        <v>0.18429999999999999</v>
      </c>
      <c r="G51">
        <v>1.322E-3</v>
      </c>
      <c r="H51">
        <v>0</v>
      </c>
      <c r="I51">
        <v>0</v>
      </c>
      <c r="J51">
        <v>1</v>
      </c>
    </row>
    <row r="52" spans="2:10" hidden="1" x14ac:dyDescent="0.25">
      <c r="B52" t="s">
        <v>580</v>
      </c>
      <c r="C52" t="s">
        <v>356</v>
      </c>
      <c r="D52">
        <v>8</v>
      </c>
      <c r="E52">
        <v>4.2430000000000002E-2</v>
      </c>
      <c r="F52">
        <v>0.2016</v>
      </c>
      <c r="G52">
        <v>1.897E-3</v>
      </c>
      <c r="H52">
        <v>0</v>
      </c>
      <c r="I52">
        <v>0</v>
      </c>
      <c r="J52">
        <v>1</v>
      </c>
    </row>
    <row r="53" spans="2:10" hidden="1" x14ac:dyDescent="0.25">
      <c r="B53" t="s">
        <v>581</v>
      </c>
      <c r="C53" t="s">
        <v>356</v>
      </c>
      <c r="D53">
        <v>9</v>
      </c>
      <c r="E53">
        <v>5.849E-2</v>
      </c>
      <c r="F53">
        <v>0.23469999999999999</v>
      </c>
      <c r="G53">
        <v>3.3180000000000002E-3</v>
      </c>
      <c r="H53">
        <v>0</v>
      </c>
      <c r="I53">
        <v>0</v>
      </c>
      <c r="J53">
        <v>1</v>
      </c>
    </row>
    <row r="54" spans="2:10" hidden="1" x14ac:dyDescent="0.25">
      <c r="B54" t="s">
        <v>582</v>
      </c>
      <c r="C54" t="s">
        <v>356</v>
      </c>
      <c r="D54">
        <v>10</v>
      </c>
      <c r="E54">
        <v>4.3950000000000003E-2</v>
      </c>
      <c r="F54">
        <v>0.20499999999999999</v>
      </c>
      <c r="G54">
        <v>3.2720000000000002E-3</v>
      </c>
      <c r="H54">
        <v>0</v>
      </c>
      <c r="I54">
        <v>0</v>
      </c>
      <c r="J54">
        <v>1</v>
      </c>
    </row>
    <row r="55" spans="2:10" hidden="1" x14ac:dyDescent="0.25">
      <c r="B55" t="s">
        <v>583</v>
      </c>
      <c r="C55" t="s">
        <v>357</v>
      </c>
      <c r="D55">
        <v>1</v>
      </c>
      <c r="E55">
        <v>0.1578</v>
      </c>
      <c r="F55">
        <v>0.36459999999999998</v>
      </c>
      <c r="G55">
        <v>6.6150000000000002E-3</v>
      </c>
      <c r="H55">
        <v>0</v>
      </c>
      <c r="I55">
        <v>0</v>
      </c>
      <c r="J55">
        <v>1</v>
      </c>
    </row>
    <row r="56" spans="2:10" hidden="1" x14ac:dyDescent="0.25">
      <c r="B56" t="s">
        <v>584</v>
      </c>
      <c r="C56" t="s">
        <v>357</v>
      </c>
      <c r="D56">
        <v>2</v>
      </c>
      <c r="E56">
        <v>0.22550000000000001</v>
      </c>
      <c r="F56">
        <v>0.41789999999999999</v>
      </c>
      <c r="G56">
        <v>5.2649999999999997E-3</v>
      </c>
      <c r="H56">
        <v>0</v>
      </c>
      <c r="I56">
        <v>0</v>
      </c>
      <c r="J56">
        <v>1</v>
      </c>
    </row>
    <row r="57" spans="2:10" hidden="1" x14ac:dyDescent="0.25">
      <c r="B57" t="s">
        <v>585</v>
      </c>
      <c r="C57" t="s">
        <v>357</v>
      </c>
      <c r="D57">
        <v>3</v>
      </c>
      <c r="E57">
        <v>0.16739999999999999</v>
      </c>
      <c r="F57">
        <v>0.37340000000000001</v>
      </c>
      <c r="G57">
        <v>3.777E-3</v>
      </c>
      <c r="H57">
        <v>0</v>
      </c>
      <c r="I57">
        <v>0</v>
      </c>
      <c r="J57">
        <v>1</v>
      </c>
    </row>
    <row r="58" spans="2:10" hidden="1" x14ac:dyDescent="0.25">
      <c r="B58" t="s">
        <v>586</v>
      </c>
      <c r="C58" t="s">
        <v>357</v>
      </c>
      <c r="D58">
        <v>4</v>
      </c>
      <c r="E58">
        <v>9.7229999999999997E-2</v>
      </c>
      <c r="F58">
        <v>0.29630000000000001</v>
      </c>
      <c r="G58">
        <v>2.6719999999999999E-3</v>
      </c>
      <c r="H58">
        <v>0</v>
      </c>
      <c r="I58">
        <v>0</v>
      </c>
      <c r="J58">
        <v>1</v>
      </c>
    </row>
    <row r="59" spans="2:10" hidden="1" x14ac:dyDescent="0.25">
      <c r="B59" t="s">
        <v>587</v>
      </c>
      <c r="C59" t="s">
        <v>357</v>
      </c>
      <c r="D59">
        <v>5</v>
      </c>
      <c r="E59">
        <v>6.3689999999999997E-2</v>
      </c>
      <c r="F59">
        <v>0.2442</v>
      </c>
      <c r="G59">
        <v>1.7099999999999999E-3</v>
      </c>
      <c r="H59">
        <v>0</v>
      </c>
      <c r="I59">
        <v>0</v>
      </c>
      <c r="J59">
        <v>1</v>
      </c>
    </row>
    <row r="60" spans="2:10" hidden="1" x14ac:dyDescent="0.25">
      <c r="B60" t="s">
        <v>588</v>
      </c>
      <c r="C60" t="s">
        <v>357</v>
      </c>
      <c r="D60">
        <v>6</v>
      </c>
      <c r="E60">
        <v>5.151E-2</v>
      </c>
      <c r="F60">
        <v>0.221</v>
      </c>
      <c r="G60">
        <v>1.346E-3</v>
      </c>
      <c r="H60">
        <v>0</v>
      </c>
      <c r="I60">
        <v>0</v>
      </c>
      <c r="J60">
        <v>1</v>
      </c>
    </row>
    <row r="61" spans="2:10" hidden="1" x14ac:dyDescent="0.25">
      <c r="B61" t="s">
        <v>589</v>
      </c>
      <c r="C61" t="s">
        <v>357</v>
      </c>
      <c r="D61">
        <v>7</v>
      </c>
      <c r="E61">
        <v>5.355E-2</v>
      </c>
      <c r="F61">
        <v>0.22509999999999999</v>
      </c>
      <c r="G61">
        <v>1.5479999999999999E-3</v>
      </c>
      <c r="H61">
        <v>0</v>
      </c>
      <c r="I61">
        <v>0</v>
      </c>
      <c r="J61">
        <v>1</v>
      </c>
    </row>
    <row r="62" spans="2:10" hidden="1" x14ac:dyDescent="0.25">
      <c r="B62" t="s">
        <v>590</v>
      </c>
      <c r="C62" t="s">
        <v>357</v>
      </c>
      <c r="D62">
        <v>8</v>
      </c>
      <c r="E62">
        <v>6.3509999999999997E-2</v>
      </c>
      <c r="F62">
        <v>0.24390000000000001</v>
      </c>
      <c r="G62">
        <v>2.1740000000000002E-3</v>
      </c>
      <c r="H62">
        <v>0</v>
      </c>
      <c r="I62">
        <v>0</v>
      </c>
      <c r="J62">
        <v>1</v>
      </c>
    </row>
    <row r="63" spans="2:10" hidden="1" x14ac:dyDescent="0.25">
      <c r="B63" t="s">
        <v>591</v>
      </c>
      <c r="C63" t="s">
        <v>357</v>
      </c>
      <c r="D63">
        <v>9</v>
      </c>
      <c r="E63">
        <v>7.3620000000000005E-2</v>
      </c>
      <c r="F63">
        <v>0.26119999999999999</v>
      </c>
      <c r="G63">
        <v>2.9949999999999998E-3</v>
      </c>
      <c r="H63">
        <v>0</v>
      </c>
      <c r="I63">
        <v>0</v>
      </c>
      <c r="J63">
        <v>1</v>
      </c>
    </row>
    <row r="64" spans="2:10" hidden="1" x14ac:dyDescent="0.25">
      <c r="B64" t="s">
        <v>592</v>
      </c>
      <c r="C64" t="s">
        <v>357</v>
      </c>
      <c r="D64">
        <v>10</v>
      </c>
      <c r="E64">
        <v>4.614E-2</v>
      </c>
      <c r="F64">
        <v>0.20979999999999999</v>
      </c>
      <c r="G64">
        <v>2.9619999999999998E-3</v>
      </c>
      <c r="H64">
        <v>0</v>
      </c>
      <c r="I64">
        <v>0</v>
      </c>
      <c r="J64">
        <v>1</v>
      </c>
    </row>
    <row r="65" spans="2:10" hidden="1" x14ac:dyDescent="0.25">
      <c r="B65" t="s">
        <v>593</v>
      </c>
      <c r="C65" t="s">
        <v>358</v>
      </c>
      <c r="D65">
        <v>1</v>
      </c>
      <c r="E65">
        <v>0.20330000000000001</v>
      </c>
      <c r="F65">
        <v>0.40239999999999998</v>
      </c>
      <c r="G65">
        <v>7.4739999999999997E-3</v>
      </c>
      <c r="H65">
        <v>0</v>
      </c>
      <c r="I65">
        <v>0</v>
      </c>
      <c r="J65">
        <v>1</v>
      </c>
    </row>
    <row r="66" spans="2:10" hidden="1" x14ac:dyDescent="0.25">
      <c r="B66" t="s">
        <v>594</v>
      </c>
      <c r="C66" t="s">
        <v>358</v>
      </c>
      <c r="D66">
        <v>2</v>
      </c>
      <c r="E66">
        <v>0.23810000000000001</v>
      </c>
      <c r="F66">
        <v>0.4259</v>
      </c>
      <c r="G66">
        <v>5.215E-3</v>
      </c>
      <c r="H66">
        <v>0</v>
      </c>
      <c r="I66">
        <v>0</v>
      </c>
      <c r="J66">
        <v>1</v>
      </c>
    </row>
    <row r="67" spans="2:10" hidden="1" x14ac:dyDescent="0.25">
      <c r="B67" t="s">
        <v>595</v>
      </c>
      <c r="C67" t="s">
        <v>358</v>
      </c>
      <c r="D67">
        <v>3</v>
      </c>
      <c r="E67">
        <v>0.16289999999999999</v>
      </c>
      <c r="F67">
        <v>0.36930000000000002</v>
      </c>
      <c r="G67">
        <v>4.1469999999999996E-3</v>
      </c>
      <c r="H67">
        <v>0</v>
      </c>
      <c r="I67">
        <v>0</v>
      </c>
      <c r="J67">
        <v>1</v>
      </c>
    </row>
    <row r="68" spans="2:10" hidden="1" x14ac:dyDescent="0.25">
      <c r="B68" t="s">
        <v>596</v>
      </c>
      <c r="C68" t="s">
        <v>358</v>
      </c>
      <c r="D68">
        <v>4</v>
      </c>
      <c r="E68">
        <v>7.9549999999999996E-2</v>
      </c>
      <c r="F68">
        <v>0.27060000000000001</v>
      </c>
      <c r="G68">
        <v>2.4199999999999998E-3</v>
      </c>
      <c r="H68">
        <v>0</v>
      </c>
      <c r="I68">
        <v>0</v>
      </c>
      <c r="J68">
        <v>1</v>
      </c>
    </row>
    <row r="69" spans="2:10" hidden="1" x14ac:dyDescent="0.25">
      <c r="B69" t="s">
        <v>597</v>
      </c>
      <c r="C69" t="s">
        <v>358</v>
      </c>
      <c r="D69">
        <v>5</v>
      </c>
      <c r="E69">
        <v>5.1920000000000001E-2</v>
      </c>
      <c r="F69">
        <v>0.22189999999999999</v>
      </c>
      <c r="G69">
        <v>1.42E-3</v>
      </c>
      <c r="H69">
        <v>0</v>
      </c>
      <c r="I69">
        <v>0</v>
      </c>
      <c r="J69">
        <v>1</v>
      </c>
    </row>
    <row r="70" spans="2:10" hidden="1" x14ac:dyDescent="0.25">
      <c r="B70" t="s">
        <v>598</v>
      </c>
      <c r="C70" t="s">
        <v>358</v>
      </c>
      <c r="D70">
        <v>6</v>
      </c>
      <c r="E70">
        <v>4.4839999999999998E-2</v>
      </c>
      <c r="F70">
        <v>0.20699999999999999</v>
      </c>
      <c r="G70">
        <v>1.3450000000000001E-3</v>
      </c>
      <c r="H70">
        <v>0</v>
      </c>
      <c r="I70">
        <v>0</v>
      </c>
      <c r="J70">
        <v>1</v>
      </c>
    </row>
    <row r="71" spans="2:10" hidden="1" x14ac:dyDescent="0.25">
      <c r="B71" t="s">
        <v>599</v>
      </c>
      <c r="C71" t="s">
        <v>358</v>
      </c>
      <c r="D71">
        <v>7</v>
      </c>
      <c r="E71">
        <v>4.5569999999999999E-2</v>
      </c>
      <c r="F71">
        <v>0.20849999999999999</v>
      </c>
      <c r="G71">
        <v>1.5499999999999999E-3</v>
      </c>
      <c r="H71">
        <v>0</v>
      </c>
      <c r="I71">
        <v>0</v>
      </c>
      <c r="J71">
        <v>1</v>
      </c>
    </row>
    <row r="72" spans="2:10" hidden="1" x14ac:dyDescent="0.25">
      <c r="B72" t="s">
        <v>600</v>
      </c>
      <c r="C72" t="s">
        <v>358</v>
      </c>
      <c r="D72">
        <v>8</v>
      </c>
      <c r="E72">
        <v>5.5410000000000001E-2</v>
      </c>
      <c r="F72">
        <v>0.2288</v>
      </c>
      <c r="G72">
        <v>2.1299999999999999E-3</v>
      </c>
      <c r="H72">
        <v>0</v>
      </c>
      <c r="I72">
        <v>0</v>
      </c>
      <c r="J72">
        <v>1</v>
      </c>
    </row>
    <row r="73" spans="2:10" hidden="1" x14ac:dyDescent="0.25">
      <c r="B73" t="s">
        <v>601</v>
      </c>
      <c r="C73" t="s">
        <v>358</v>
      </c>
      <c r="D73">
        <v>9</v>
      </c>
      <c r="E73">
        <v>6.9529999999999995E-2</v>
      </c>
      <c r="F73">
        <v>0.25430000000000003</v>
      </c>
      <c r="G73">
        <v>3.2590000000000002E-3</v>
      </c>
      <c r="H73">
        <v>0</v>
      </c>
      <c r="I73">
        <v>0</v>
      </c>
      <c r="J73">
        <v>1</v>
      </c>
    </row>
    <row r="74" spans="2:10" hidden="1" x14ac:dyDescent="0.25">
      <c r="B74" t="s">
        <v>602</v>
      </c>
      <c r="C74" t="s">
        <v>358</v>
      </c>
      <c r="D74">
        <v>10</v>
      </c>
      <c r="E74">
        <v>4.8919999999999998E-2</v>
      </c>
      <c r="F74">
        <v>0.2157</v>
      </c>
      <c r="G74">
        <v>3.326E-3</v>
      </c>
      <c r="H74">
        <v>0</v>
      </c>
      <c r="I74">
        <v>0</v>
      </c>
      <c r="J74">
        <v>1</v>
      </c>
    </row>
    <row r="75" spans="2:10" hidden="1" x14ac:dyDescent="0.25">
      <c r="B75" t="s">
        <v>603</v>
      </c>
      <c r="C75" t="s">
        <v>359</v>
      </c>
      <c r="D75">
        <v>1</v>
      </c>
      <c r="E75">
        <v>0.30740000000000001</v>
      </c>
      <c r="F75">
        <v>0.46139999999999998</v>
      </c>
      <c r="G75">
        <v>1.461E-2</v>
      </c>
      <c r="H75">
        <v>0</v>
      </c>
      <c r="I75">
        <v>0</v>
      </c>
      <c r="J75">
        <v>1</v>
      </c>
    </row>
    <row r="76" spans="2:10" hidden="1" x14ac:dyDescent="0.25">
      <c r="B76" t="s">
        <v>604</v>
      </c>
      <c r="C76" t="s">
        <v>359</v>
      </c>
      <c r="D76">
        <v>2</v>
      </c>
      <c r="E76">
        <v>7.1429999999999993E-2</v>
      </c>
      <c r="F76">
        <v>0.25750000000000001</v>
      </c>
      <c r="G76">
        <v>3.8539999999999998E-3</v>
      </c>
      <c r="H76">
        <v>0</v>
      </c>
      <c r="I76">
        <v>0</v>
      </c>
      <c r="J76">
        <v>1</v>
      </c>
    </row>
    <row r="77" spans="2:10" hidden="1" x14ac:dyDescent="0.25">
      <c r="B77" t="s">
        <v>605</v>
      </c>
      <c r="C77" t="s">
        <v>359</v>
      </c>
      <c r="D77">
        <v>3</v>
      </c>
      <c r="E77">
        <v>4.0500000000000001E-2</v>
      </c>
      <c r="F77">
        <v>0.1971</v>
      </c>
      <c r="G77">
        <v>2.405E-3</v>
      </c>
      <c r="H77">
        <v>0</v>
      </c>
      <c r="I77">
        <v>0</v>
      </c>
      <c r="J77">
        <v>1</v>
      </c>
    </row>
    <row r="78" spans="2:10" hidden="1" x14ac:dyDescent="0.25">
      <c r="B78" t="s">
        <v>606</v>
      </c>
      <c r="C78" t="s">
        <v>359</v>
      </c>
      <c r="D78">
        <v>4</v>
      </c>
      <c r="E78">
        <v>2.3800000000000002E-2</v>
      </c>
      <c r="F78">
        <v>0.15240000000000001</v>
      </c>
      <c r="G78">
        <v>1.462E-3</v>
      </c>
      <c r="H78">
        <v>0</v>
      </c>
      <c r="I78">
        <v>0</v>
      </c>
      <c r="J78">
        <v>0</v>
      </c>
    </row>
    <row r="79" spans="2:10" hidden="1" x14ac:dyDescent="0.25">
      <c r="B79" t="s">
        <v>607</v>
      </c>
      <c r="C79" t="s">
        <v>359</v>
      </c>
      <c r="D79">
        <v>5</v>
      </c>
      <c r="E79">
        <v>1.5299999999999999E-2</v>
      </c>
      <c r="F79">
        <v>0.1227</v>
      </c>
      <c r="G79">
        <v>9.5180000000000004E-4</v>
      </c>
      <c r="H79">
        <v>0</v>
      </c>
      <c r="I79">
        <v>0</v>
      </c>
      <c r="J79">
        <v>0</v>
      </c>
    </row>
    <row r="80" spans="2:10" hidden="1" x14ac:dyDescent="0.25">
      <c r="B80" t="s">
        <v>608</v>
      </c>
      <c r="C80" t="s">
        <v>359</v>
      </c>
      <c r="D80">
        <v>6</v>
      </c>
      <c r="E80">
        <v>1.487E-2</v>
      </c>
      <c r="F80">
        <v>0.1211</v>
      </c>
      <c r="G80">
        <v>9.0479999999999998E-4</v>
      </c>
      <c r="H80">
        <v>0</v>
      </c>
      <c r="I80">
        <v>0</v>
      </c>
      <c r="J80">
        <v>0</v>
      </c>
    </row>
    <row r="81" spans="2:10" hidden="1" x14ac:dyDescent="0.25">
      <c r="B81" t="s">
        <v>609</v>
      </c>
      <c r="C81" t="s">
        <v>359</v>
      </c>
      <c r="D81">
        <v>7</v>
      </c>
      <c r="E81">
        <v>1.6379999999999999E-2</v>
      </c>
      <c r="F81">
        <v>0.12690000000000001</v>
      </c>
      <c r="G81">
        <v>1.023E-3</v>
      </c>
      <c r="H81">
        <v>0</v>
      </c>
      <c r="I81">
        <v>0</v>
      </c>
      <c r="J81">
        <v>0</v>
      </c>
    </row>
    <row r="82" spans="2:10" hidden="1" x14ac:dyDescent="0.25">
      <c r="B82" t="s">
        <v>610</v>
      </c>
      <c r="C82" t="s">
        <v>359</v>
      </c>
      <c r="D82">
        <v>8</v>
      </c>
      <c r="E82">
        <v>2.2440000000000002E-2</v>
      </c>
      <c r="F82">
        <v>0.14810000000000001</v>
      </c>
      <c r="G82">
        <v>1.3079999999999999E-3</v>
      </c>
      <c r="H82">
        <v>0</v>
      </c>
      <c r="I82">
        <v>0</v>
      </c>
      <c r="J82">
        <v>0</v>
      </c>
    </row>
    <row r="83" spans="2:10" hidden="1" x14ac:dyDescent="0.25">
      <c r="B83" t="s">
        <v>611</v>
      </c>
      <c r="C83" t="s">
        <v>359</v>
      </c>
      <c r="D83">
        <v>9</v>
      </c>
      <c r="E83">
        <v>4.3580000000000001E-2</v>
      </c>
      <c r="F83">
        <v>0.20419999999999999</v>
      </c>
      <c r="G83">
        <v>2.4610000000000001E-3</v>
      </c>
      <c r="H83">
        <v>0</v>
      </c>
      <c r="I83">
        <v>0</v>
      </c>
      <c r="J83">
        <v>1</v>
      </c>
    </row>
    <row r="84" spans="2:10" hidden="1" x14ac:dyDescent="0.25">
      <c r="B84" t="s">
        <v>612</v>
      </c>
      <c r="C84" t="s">
        <v>359</v>
      </c>
      <c r="D84">
        <v>10</v>
      </c>
      <c r="E84">
        <v>0.44419999999999998</v>
      </c>
      <c r="F84">
        <v>0.49690000000000001</v>
      </c>
      <c r="G84">
        <v>1.626E-2</v>
      </c>
      <c r="H84">
        <v>0</v>
      </c>
      <c r="I84">
        <v>0</v>
      </c>
      <c r="J84">
        <v>1</v>
      </c>
    </row>
    <row r="85" spans="2:10" hidden="1" x14ac:dyDescent="0.25">
      <c r="B85" t="s">
        <v>613</v>
      </c>
      <c r="C85" t="s">
        <v>360</v>
      </c>
      <c r="D85">
        <v>1</v>
      </c>
      <c r="E85">
        <v>2.8579999999999999E-3</v>
      </c>
      <c r="F85">
        <v>5.339E-2</v>
      </c>
      <c r="G85">
        <v>4.8589999999999999E-4</v>
      </c>
      <c r="H85">
        <v>0</v>
      </c>
      <c r="I85">
        <v>0</v>
      </c>
      <c r="J85">
        <v>0</v>
      </c>
    </row>
    <row r="86" spans="2:10" hidden="1" x14ac:dyDescent="0.25">
      <c r="B86" t="s">
        <v>614</v>
      </c>
      <c r="C86" t="s">
        <v>360</v>
      </c>
      <c r="D86">
        <v>2</v>
      </c>
      <c r="E86">
        <v>1.2619999999999999E-2</v>
      </c>
      <c r="F86">
        <v>0.1116</v>
      </c>
      <c r="G86">
        <v>1.2979999999999999E-3</v>
      </c>
      <c r="H86">
        <v>0</v>
      </c>
      <c r="I86">
        <v>0</v>
      </c>
      <c r="J86">
        <v>0</v>
      </c>
    </row>
    <row r="87" spans="2:10" hidden="1" x14ac:dyDescent="0.25">
      <c r="B87" t="s">
        <v>615</v>
      </c>
      <c r="C87" t="s">
        <v>360</v>
      </c>
      <c r="D87">
        <v>3</v>
      </c>
      <c r="E87">
        <v>2.4629999999999999E-2</v>
      </c>
      <c r="F87">
        <v>0.155</v>
      </c>
      <c r="G87">
        <v>1.6249999999999999E-3</v>
      </c>
      <c r="H87">
        <v>0</v>
      </c>
      <c r="I87">
        <v>0</v>
      </c>
      <c r="J87">
        <v>0</v>
      </c>
    </row>
    <row r="88" spans="2:10" hidden="1" x14ac:dyDescent="0.25">
      <c r="B88" t="s">
        <v>616</v>
      </c>
      <c r="C88" t="s">
        <v>360</v>
      </c>
      <c r="D88">
        <v>4</v>
      </c>
      <c r="E88">
        <v>3.5950000000000003E-2</v>
      </c>
      <c r="F88">
        <v>0.1862</v>
      </c>
      <c r="G88">
        <v>1.792E-3</v>
      </c>
      <c r="H88">
        <v>0</v>
      </c>
      <c r="I88">
        <v>0</v>
      </c>
      <c r="J88">
        <v>1</v>
      </c>
    </row>
    <row r="89" spans="2:10" hidden="1" x14ac:dyDescent="0.25">
      <c r="B89" t="s">
        <v>617</v>
      </c>
      <c r="C89" t="s">
        <v>360</v>
      </c>
      <c r="D89">
        <v>5</v>
      </c>
      <c r="E89">
        <v>4.6210000000000001E-2</v>
      </c>
      <c r="F89">
        <v>0.2099</v>
      </c>
      <c r="G89">
        <v>1.835E-3</v>
      </c>
      <c r="H89">
        <v>0</v>
      </c>
      <c r="I89">
        <v>0</v>
      </c>
      <c r="J89">
        <v>1</v>
      </c>
    </row>
    <row r="90" spans="2:10" hidden="1" x14ac:dyDescent="0.25">
      <c r="B90" t="s">
        <v>618</v>
      </c>
      <c r="C90" t="s">
        <v>360</v>
      </c>
      <c r="D90">
        <v>6</v>
      </c>
      <c r="E90">
        <v>5.824E-2</v>
      </c>
      <c r="F90">
        <v>0.23419999999999999</v>
      </c>
      <c r="G90">
        <v>2.036E-3</v>
      </c>
      <c r="H90">
        <v>0</v>
      </c>
      <c r="I90">
        <v>0</v>
      </c>
      <c r="J90">
        <v>1</v>
      </c>
    </row>
    <row r="91" spans="2:10" hidden="1" x14ac:dyDescent="0.25">
      <c r="B91" t="s">
        <v>619</v>
      </c>
      <c r="C91" t="s">
        <v>360</v>
      </c>
      <c r="D91">
        <v>7</v>
      </c>
      <c r="E91">
        <v>9.1800000000000007E-2</v>
      </c>
      <c r="F91">
        <v>0.28870000000000001</v>
      </c>
      <c r="G91">
        <v>2.7339999999999999E-3</v>
      </c>
      <c r="H91">
        <v>0</v>
      </c>
      <c r="I91">
        <v>0</v>
      </c>
      <c r="J91">
        <v>1</v>
      </c>
    </row>
    <row r="92" spans="2:10" hidden="1" x14ac:dyDescent="0.25">
      <c r="B92" t="s">
        <v>620</v>
      </c>
      <c r="C92" t="s">
        <v>360</v>
      </c>
      <c r="D92">
        <v>8</v>
      </c>
      <c r="E92">
        <v>0.1545</v>
      </c>
      <c r="F92">
        <v>0.3614</v>
      </c>
      <c r="G92">
        <v>3.4619999999999998E-3</v>
      </c>
      <c r="H92">
        <v>0</v>
      </c>
      <c r="I92">
        <v>0</v>
      </c>
      <c r="J92">
        <v>1</v>
      </c>
    </row>
    <row r="93" spans="2:10" hidden="1" x14ac:dyDescent="0.25">
      <c r="B93" t="s">
        <v>621</v>
      </c>
      <c r="C93" t="s">
        <v>360</v>
      </c>
      <c r="D93">
        <v>9</v>
      </c>
      <c r="E93">
        <v>0.31130000000000002</v>
      </c>
      <c r="F93">
        <v>0.46300000000000002</v>
      </c>
      <c r="G93">
        <v>7.2189999999999997E-3</v>
      </c>
      <c r="H93">
        <v>0</v>
      </c>
      <c r="I93">
        <v>0</v>
      </c>
      <c r="J93">
        <v>1</v>
      </c>
    </row>
    <row r="94" spans="2:10" hidden="1" x14ac:dyDescent="0.25">
      <c r="B94" t="s">
        <v>622</v>
      </c>
      <c r="C94" t="s">
        <v>360</v>
      </c>
      <c r="D94">
        <v>10</v>
      </c>
      <c r="E94">
        <v>0.26190000000000002</v>
      </c>
      <c r="F94">
        <v>0.43969999999999998</v>
      </c>
      <c r="G94">
        <v>9.972E-3</v>
      </c>
      <c r="H94">
        <v>0</v>
      </c>
      <c r="I94">
        <v>0</v>
      </c>
      <c r="J94">
        <v>1</v>
      </c>
    </row>
    <row r="95" spans="2:10" hidden="1" x14ac:dyDescent="0.25">
      <c r="B95" t="s">
        <v>623</v>
      </c>
      <c r="C95" t="s">
        <v>361</v>
      </c>
      <c r="D95">
        <v>1</v>
      </c>
      <c r="E95">
        <v>5.7419999999999997E-3</v>
      </c>
      <c r="F95">
        <v>7.5560000000000002E-2</v>
      </c>
      <c r="G95">
        <v>8.3040000000000002E-4</v>
      </c>
      <c r="H95">
        <v>0</v>
      </c>
      <c r="I95">
        <v>0</v>
      </c>
      <c r="J95">
        <v>0</v>
      </c>
    </row>
    <row r="96" spans="2:10" hidden="1" x14ac:dyDescent="0.25">
      <c r="B96" t="s">
        <v>624</v>
      </c>
      <c r="C96" t="s">
        <v>361</v>
      </c>
      <c r="D96">
        <v>2</v>
      </c>
      <c r="E96">
        <v>2.7990000000000001E-2</v>
      </c>
      <c r="F96">
        <v>0.16489999999999999</v>
      </c>
      <c r="G96">
        <v>1.807E-3</v>
      </c>
      <c r="H96">
        <v>0</v>
      </c>
      <c r="I96">
        <v>0</v>
      </c>
      <c r="J96">
        <v>1</v>
      </c>
    </row>
    <row r="97" spans="2:10" hidden="1" x14ac:dyDescent="0.25">
      <c r="B97" t="s">
        <v>625</v>
      </c>
      <c r="C97" t="s">
        <v>361</v>
      </c>
      <c r="D97">
        <v>3</v>
      </c>
      <c r="E97">
        <v>6.8849999999999995E-2</v>
      </c>
      <c r="F97">
        <v>0.25319999999999998</v>
      </c>
      <c r="G97">
        <v>2.5609999999999999E-3</v>
      </c>
      <c r="H97">
        <v>0</v>
      </c>
      <c r="I97">
        <v>0</v>
      </c>
      <c r="J97">
        <v>1</v>
      </c>
    </row>
    <row r="98" spans="2:10" hidden="1" x14ac:dyDescent="0.25">
      <c r="B98" t="s">
        <v>626</v>
      </c>
      <c r="C98" t="s">
        <v>361</v>
      </c>
      <c r="D98">
        <v>4</v>
      </c>
      <c r="E98">
        <v>0.1154</v>
      </c>
      <c r="F98">
        <v>0.31950000000000001</v>
      </c>
      <c r="G98">
        <v>3.1380000000000002E-3</v>
      </c>
      <c r="H98">
        <v>0</v>
      </c>
      <c r="I98">
        <v>0</v>
      </c>
      <c r="J98">
        <v>1</v>
      </c>
    </row>
    <row r="99" spans="2:10" hidden="1" x14ac:dyDescent="0.25">
      <c r="B99" t="s">
        <v>627</v>
      </c>
      <c r="C99" t="s">
        <v>361</v>
      </c>
      <c r="D99">
        <v>5</v>
      </c>
      <c r="E99">
        <v>0.14710000000000001</v>
      </c>
      <c r="F99">
        <v>0.35420000000000001</v>
      </c>
      <c r="G99">
        <v>2.9459999999999998E-3</v>
      </c>
      <c r="H99">
        <v>0</v>
      </c>
      <c r="I99">
        <v>0</v>
      </c>
      <c r="J99">
        <v>1</v>
      </c>
    </row>
    <row r="100" spans="2:10" hidden="1" x14ac:dyDescent="0.25">
      <c r="B100" t="s">
        <v>628</v>
      </c>
      <c r="C100" t="s">
        <v>361</v>
      </c>
      <c r="D100">
        <v>6</v>
      </c>
      <c r="E100">
        <v>0.16589999999999999</v>
      </c>
      <c r="F100">
        <v>0.372</v>
      </c>
      <c r="G100">
        <v>2.8500000000000001E-3</v>
      </c>
      <c r="H100">
        <v>0</v>
      </c>
      <c r="I100">
        <v>0</v>
      </c>
      <c r="J100">
        <v>1</v>
      </c>
    </row>
    <row r="101" spans="2:10" hidden="1" x14ac:dyDescent="0.25">
      <c r="B101" t="s">
        <v>629</v>
      </c>
      <c r="C101" t="s">
        <v>361</v>
      </c>
      <c r="D101">
        <v>7</v>
      </c>
      <c r="E101">
        <v>0.1716</v>
      </c>
      <c r="F101">
        <v>0.377</v>
      </c>
      <c r="G101">
        <v>3.2550000000000001E-3</v>
      </c>
      <c r="H101">
        <v>0</v>
      </c>
      <c r="I101">
        <v>0</v>
      </c>
      <c r="J101">
        <v>1</v>
      </c>
    </row>
    <row r="102" spans="2:10" hidden="1" x14ac:dyDescent="0.25">
      <c r="B102" t="s">
        <v>630</v>
      </c>
      <c r="C102" t="s">
        <v>361</v>
      </c>
      <c r="D102">
        <v>8</v>
      </c>
      <c r="E102">
        <v>0.1477</v>
      </c>
      <c r="F102">
        <v>0.3548</v>
      </c>
      <c r="G102">
        <v>3.3899999999999998E-3</v>
      </c>
      <c r="H102">
        <v>0</v>
      </c>
      <c r="I102">
        <v>0</v>
      </c>
      <c r="J102">
        <v>1</v>
      </c>
    </row>
    <row r="103" spans="2:10" hidden="1" x14ac:dyDescent="0.25">
      <c r="B103" t="s">
        <v>631</v>
      </c>
      <c r="C103" t="s">
        <v>361</v>
      </c>
      <c r="D103">
        <v>9</v>
      </c>
      <c r="E103">
        <v>0.11</v>
      </c>
      <c r="F103">
        <v>0.31290000000000001</v>
      </c>
      <c r="G103">
        <v>3.8779999999999999E-3</v>
      </c>
      <c r="H103">
        <v>0</v>
      </c>
      <c r="I103">
        <v>0</v>
      </c>
      <c r="J103">
        <v>1</v>
      </c>
    </row>
    <row r="104" spans="2:10" hidden="1" x14ac:dyDescent="0.25">
      <c r="B104" t="s">
        <v>632</v>
      </c>
      <c r="C104" t="s">
        <v>361</v>
      </c>
      <c r="D104">
        <v>10</v>
      </c>
      <c r="E104">
        <v>3.9789999999999999E-2</v>
      </c>
      <c r="F104">
        <v>0.19550000000000001</v>
      </c>
      <c r="G104">
        <v>2.6580000000000002E-3</v>
      </c>
      <c r="H104">
        <v>0</v>
      </c>
      <c r="I104">
        <v>0</v>
      </c>
      <c r="J104">
        <v>1</v>
      </c>
    </row>
    <row r="105" spans="2:10" hidden="1" x14ac:dyDescent="0.25"/>
    <row r="106" spans="2:10" hidden="1" x14ac:dyDescent="0.25"/>
    <row r="107" spans="2:10" hidden="1" x14ac:dyDescent="0.25"/>
    <row r="108" spans="2:10" hidden="1" x14ac:dyDescent="0.25"/>
    <row r="109" spans="2:10" hidden="1" x14ac:dyDescent="0.25"/>
    <row r="110" spans="2:10" hidden="1" x14ac:dyDescent="0.25"/>
    <row r="111" spans="2:10" hidden="1" x14ac:dyDescent="0.25"/>
    <row r="112" spans="2:10"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40000</v>
      </c>
      <c r="F8" s="150"/>
      <c r="G8" s="151"/>
      <c r="H8" s="152"/>
    </row>
    <row r="9" spans="2:16" ht="15.75" thickBot="1" x14ac:dyDescent="0.3">
      <c r="B9" s="20"/>
      <c r="C9" s="18" t="s">
        <v>36</v>
      </c>
      <c r="D9" s="175">
        <f>'Winbugs Settings '!model_runs</f>
        <v>40000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268</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1 16 2018 4 08 37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2018-01-16T20:29:20Z</dcterms:modified>
</cp:coreProperties>
</file>