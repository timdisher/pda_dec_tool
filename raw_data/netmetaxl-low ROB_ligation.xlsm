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Subgroup_LOW ROB\subgroup_low ROB_ligation\"/>
    </mc:Choice>
  </mc:AlternateContent>
  <bookViews>
    <workbookView xWindow="0" yWindow="0" windowWidth="28800" windowHeight="12435" tabRatio="663" firstSheet="6" activeTab="6"/>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state="hidden" r:id="rId13"/>
    <sheet name="FE Results" sheetId="10" state="hidden" r:id="rId14"/>
    <sheet name="RE Results (Vague Prior)" sheetId="11" r:id="rId15"/>
    <sheet name="RE Results (Informative Prior)" sheetId="29" r:id="rId16"/>
    <sheet name="FE Inconsistency Results" sheetId="35" state="hidden" r:id="rId17"/>
    <sheet name="RE Inconsistency Results" sheetId="36" state="hidden"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A30" i="38" s="1"/>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30" i="20"/>
  <c r="K30" i="20"/>
  <c r="L29" i="20"/>
  <c r="K29" i="20"/>
  <c r="L43" i="20"/>
  <c r="K43" i="20"/>
  <c r="L25" i="20"/>
  <c r="K25" i="20"/>
  <c r="L48" i="20"/>
  <c r="K48" i="20"/>
  <c r="L45" i="20"/>
  <c r="K45" i="20"/>
  <c r="L33" i="20"/>
  <c r="K33" i="20"/>
  <c r="L12" i="20"/>
  <c r="K12" i="20"/>
  <c r="L17" i="20"/>
  <c r="K17" i="20"/>
  <c r="L42" i="20"/>
  <c r="K42" i="20"/>
  <c r="L26" i="20"/>
  <c r="K26" i="20"/>
  <c r="L7" i="20"/>
  <c r="K7" i="20"/>
  <c r="L14" i="20"/>
  <c r="K14" i="20"/>
  <c r="L28" i="20"/>
  <c r="K28" i="20"/>
  <c r="L47" i="20"/>
  <c r="K47" i="20"/>
  <c r="L27" i="20"/>
  <c r="K27" i="20"/>
  <c r="L5" i="20"/>
  <c r="K5" i="20"/>
  <c r="L40" i="20"/>
  <c r="K40" i="20"/>
  <c r="L49" i="20"/>
  <c r="K49" i="20"/>
  <c r="L46" i="20"/>
  <c r="K46" i="20"/>
  <c r="L41" i="20"/>
  <c r="K41" i="20"/>
  <c r="L35" i="20"/>
  <c r="K35" i="20"/>
  <c r="L32" i="20"/>
  <c r="K32" i="20"/>
  <c r="L39" i="20"/>
  <c r="K39" i="20"/>
  <c r="L21" i="20"/>
  <c r="K21" i="20"/>
  <c r="L16" i="20"/>
  <c r="K16" i="20"/>
  <c r="L15" i="20"/>
  <c r="K15" i="20"/>
  <c r="L11" i="20"/>
  <c r="K11" i="20"/>
  <c r="L23" i="20"/>
  <c r="K23" i="20"/>
  <c r="L10" i="20"/>
  <c r="K10" i="20"/>
  <c r="L24" i="20"/>
  <c r="K24" i="20"/>
  <c r="L22" i="20"/>
  <c r="K22" i="20"/>
  <c r="L19" i="20"/>
  <c r="K19" i="20"/>
  <c r="L9" i="20"/>
  <c r="K9" i="20"/>
  <c r="L38" i="20"/>
  <c r="K38" i="20"/>
  <c r="L18" i="20"/>
  <c r="K18" i="20"/>
  <c r="L31" i="20"/>
  <c r="K31" i="20"/>
  <c r="L13" i="20"/>
  <c r="K13" i="20"/>
  <c r="L34" i="20"/>
  <c r="K34" i="20"/>
  <c r="L36" i="20"/>
  <c r="K36" i="20"/>
  <c r="L37" i="20"/>
  <c r="K37" i="20"/>
  <c r="L44" i="20"/>
  <c r="K44" i="20"/>
  <c r="L20" i="20"/>
  <c r="K20" i="20"/>
  <c r="L6" i="20"/>
  <c r="K6" i="20"/>
  <c r="L8" i="20"/>
  <c r="K8"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Z4" i="41" s="1"/>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17" i="27"/>
  <c r="K17" i="27"/>
  <c r="L35" i="27"/>
  <c r="K35" i="27"/>
  <c r="L44" i="27"/>
  <c r="K44" i="27"/>
  <c r="L20" i="27"/>
  <c r="K20" i="27"/>
  <c r="L12" i="27"/>
  <c r="K12" i="27"/>
  <c r="L24" i="27"/>
  <c r="K24" i="27"/>
  <c r="L5" i="27"/>
  <c r="K5" i="27"/>
  <c r="L21" i="27"/>
  <c r="K21" i="27"/>
  <c r="L32" i="27"/>
  <c r="K32" i="27"/>
  <c r="L40" i="27"/>
  <c r="K40" i="27"/>
  <c r="L27" i="27"/>
  <c r="K27" i="27"/>
  <c r="L18" i="27"/>
  <c r="K18" i="27"/>
  <c r="L26" i="27"/>
  <c r="K26" i="27"/>
  <c r="L45" i="27"/>
  <c r="K45" i="27"/>
  <c r="L10" i="27"/>
  <c r="K10" i="27"/>
  <c r="L28" i="27"/>
  <c r="K28" i="27"/>
  <c r="L30" i="27"/>
  <c r="K30" i="27"/>
  <c r="L49" i="27"/>
  <c r="K49" i="27"/>
  <c r="L23" i="27"/>
  <c r="K23" i="27"/>
  <c r="L43" i="27"/>
  <c r="K43" i="27"/>
  <c r="L25" i="27"/>
  <c r="K25" i="27"/>
  <c r="L48" i="27"/>
  <c r="K48" i="27"/>
  <c r="L47" i="27"/>
  <c r="K47" i="27"/>
  <c r="L36" i="27"/>
  <c r="K36" i="27"/>
  <c r="L6" i="27"/>
  <c r="K6" i="27"/>
  <c r="L9" i="27"/>
  <c r="K9" i="27"/>
  <c r="L29" i="27"/>
  <c r="K29" i="27"/>
  <c r="L46" i="27"/>
  <c r="K46" i="27"/>
  <c r="L41" i="27"/>
  <c r="K41" i="27"/>
  <c r="L37" i="27"/>
  <c r="K37" i="27"/>
  <c r="L34" i="27"/>
  <c r="K34" i="27"/>
  <c r="L42" i="27"/>
  <c r="K42" i="27"/>
  <c r="L15" i="27"/>
  <c r="K15" i="27"/>
  <c r="L13" i="27"/>
  <c r="K13" i="27"/>
  <c r="L14" i="27"/>
  <c r="K14" i="27"/>
  <c r="L11" i="27"/>
  <c r="K11" i="27"/>
  <c r="L19" i="27"/>
  <c r="K19" i="27"/>
  <c r="L16" i="27"/>
  <c r="K16" i="27"/>
  <c r="L22" i="27"/>
  <c r="K22" i="27"/>
  <c r="L39" i="27"/>
  <c r="K39" i="27"/>
  <c r="L7" i="27"/>
  <c r="K7" i="27"/>
  <c r="L8" i="27"/>
  <c r="K8" i="27"/>
  <c r="L38" i="27"/>
  <c r="K38" i="27"/>
  <c r="L33" i="27"/>
  <c r="K33" i="27"/>
  <c r="L31" i="27"/>
  <c r="K31"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Z3" i="44" s="1"/>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Y2" i="44"/>
  <c r="Z5" i="41"/>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0" i="46"/>
  <c r="S80" i="46"/>
  <c r="T80" i="46"/>
  <c r="U80" i="46"/>
  <c r="Q81" i="46"/>
  <c r="S81" i="46"/>
  <c r="T81" i="46"/>
  <c r="U81" i="46"/>
  <c r="Q82" i="46"/>
  <c r="S82" i="46"/>
  <c r="T82" i="46"/>
  <c r="U82" i="46"/>
  <c r="Q83" i="46"/>
  <c r="S83" i="46"/>
  <c r="T83" i="46"/>
  <c r="U83" i="46"/>
  <c r="Q84" i="46"/>
  <c r="S84" i="46"/>
  <c r="T84" i="46"/>
  <c r="U84" i="46"/>
  <c r="Q85" i="46"/>
  <c r="S85" i="46"/>
  <c r="T85" i="46"/>
  <c r="U85" i="46"/>
  <c r="Q86" i="46"/>
  <c r="S86" i="46"/>
  <c r="T86" i="46"/>
  <c r="U86" i="46"/>
  <c r="Q87" i="46"/>
  <c r="S87" i="46"/>
  <c r="T87" i="46"/>
  <c r="U87" i="46"/>
  <c r="Q88" i="46"/>
  <c r="S88" i="46"/>
  <c r="T88" i="46"/>
  <c r="U88" i="46"/>
  <c r="Q89" i="46"/>
  <c r="S89" i="46"/>
  <c r="T89" i="46"/>
  <c r="U89" i="46"/>
  <c r="Q90" i="46"/>
  <c r="S90" i="46"/>
  <c r="T90" i="46"/>
  <c r="U90" i="46"/>
  <c r="Q91" i="46"/>
  <c r="S91" i="46"/>
  <c r="T91" i="46"/>
  <c r="U91" i="46"/>
  <c r="Q92" i="46"/>
  <c r="S92" i="46"/>
  <c r="T92" i="46"/>
  <c r="U92" i="46"/>
  <c r="Q93" i="46"/>
  <c r="S93" i="46"/>
  <c r="T93" i="46"/>
  <c r="U93" i="46"/>
  <c r="Q94" i="46"/>
  <c r="S94" i="46"/>
  <c r="T94" i="46"/>
  <c r="U94" i="46"/>
  <c r="Q95" i="46"/>
  <c r="S95" i="46"/>
  <c r="T95" i="46"/>
  <c r="U95" i="46"/>
  <c r="Q96" i="46"/>
  <c r="S96" i="46"/>
  <c r="T96" i="46"/>
  <c r="U96" i="46"/>
  <c r="Q97" i="46"/>
  <c r="S97" i="46"/>
  <c r="T97" i="46"/>
  <c r="U97"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I30" i="48"/>
  <c r="I38" i="48"/>
  <c r="J31" i="48"/>
  <c r="J32" i="48"/>
  <c r="I32" i="48"/>
  <c r="I24" i="48"/>
  <c r="I29" i="48"/>
  <c r="I37" i="48"/>
  <c r="I36" i="48"/>
  <c r="I25" i="48"/>
  <c r="I27" i="48"/>
  <c r="I34" i="48"/>
  <c r="J33" i="48"/>
  <c r="J35" i="48"/>
  <c r="J25" i="48"/>
  <c r="J36" i="48"/>
  <c r="J24" i="48"/>
  <c r="E17" i="48"/>
  <c r="J29" i="48"/>
  <c r="J27" i="48"/>
  <c r="J30" i="48"/>
  <c r="J26" i="48"/>
  <c r="I28" i="48"/>
  <c r="J37" i="48"/>
  <c r="J28" i="48"/>
  <c r="E15" i="48"/>
  <c r="I35" i="48"/>
  <c r="J34" i="48"/>
  <c r="J38" i="48"/>
  <c r="I26" i="48"/>
  <c r="I31" i="48"/>
  <c r="I33" i="48"/>
  <c r="E8" i="48"/>
  <c r="E16" i="48"/>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I133" i="40"/>
  <c r="K133" i="40"/>
  <c r="I123" i="40"/>
  <c r="I145" i="40"/>
  <c r="J146" i="40"/>
  <c r="I112" i="40"/>
  <c r="J141" i="40"/>
  <c r="J147" i="40"/>
  <c r="K128" i="40"/>
  <c r="I144" i="40"/>
  <c r="J125" i="40"/>
  <c r="K127" i="40"/>
  <c r="J149" i="40"/>
  <c r="I149" i="40"/>
  <c r="I128" i="40"/>
  <c r="I118" i="40"/>
  <c r="J138" i="40"/>
  <c r="K131" i="40"/>
  <c r="J128" i="40"/>
  <c r="I150" i="40"/>
  <c r="J119" i="40"/>
  <c r="K142" i="40"/>
  <c r="K122" i="40"/>
  <c r="K124" i="40"/>
  <c r="I132" i="40"/>
  <c r="J136" i="40"/>
  <c r="K138" i="40"/>
  <c r="J122" i="40"/>
  <c r="J140" i="40"/>
  <c r="I141" i="40"/>
  <c r="K34" i="40"/>
  <c r="I97" i="40"/>
  <c r="K94" i="40"/>
  <c r="K72" i="40"/>
  <c r="K96" i="40"/>
  <c r="I63" i="40"/>
  <c r="J84" i="40"/>
  <c r="I28" i="40"/>
  <c r="I99" i="40"/>
  <c r="J66" i="40"/>
  <c r="K110" i="40"/>
  <c r="K49" i="40"/>
  <c r="I71" i="40"/>
  <c r="I78" i="40"/>
  <c r="K30" i="40"/>
  <c r="I61" i="40"/>
  <c r="J65" i="40"/>
  <c r="J20" i="40"/>
  <c r="K25" i="40"/>
  <c r="J76" i="40"/>
  <c r="J89" i="40"/>
  <c r="I10" i="40"/>
  <c r="I109" i="40"/>
  <c r="J98" i="40"/>
  <c r="K38" i="40"/>
  <c r="I72" i="40"/>
  <c r="I22" i="40"/>
  <c r="K98" i="40"/>
  <c r="J35" i="40"/>
  <c r="I88" i="40"/>
  <c r="J96" i="40"/>
  <c r="I15" i="40"/>
  <c r="K51" i="40"/>
  <c r="J44" i="40"/>
  <c r="I62" i="40"/>
  <c r="K28" i="40"/>
  <c r="I106" i="40"/>
  <c r="I80" i="40"/>
  <c r="K5" i="40"/>
  <c r="K65" i="40"/>
  <c r="J90" i="40"/>
  <c r="J47" i="40"/>
  <c r="K91" i="40"/>
  <c r="J73" i="40"/>
  <c r="I68" i="40"/>
  <c r="I18" i="40"/>
  <c r="J63" i="40"/>
  <c r="K32" i="40"/>
  <c r="K109" i="40"/>
  <c r="J18" i="40"/>
  <c r="I41" i="40"/>
  <c r="K31" i="40"/>
  <c r="K58" i="40"/>
  <c r="I23" i="40"/>
  <c r="I77" i="40"/>
  <c r="I56" i="40"/>
  <c r="K50" i="40"/>
  <c r="I47" i="40"/>
  <c r="I65" i="40"/>
  <c r="K55" i="40"/>
  <c r="I13" i="40"/>
  <c r="J9" i="40"/>
  <c r="J22" i="40"/>
  <c r="K60" i="40"/>
  <c r="I29" i="40"/>
  <c r="J100" i="40"/>
  <c r="K76" i="40"/>
  <c r="J78" i="40"/>
  <c r="J10" i="40"/>
  <c r="J7" i="40"/>
  <c r="J101" i="40"/>
  <c r="I67" i="40"/>
  <c r="K21" i="40"/>
  <c r="K95" i="40"/>
  <c r="J26" i="40"/>
  <c r="K106" i="40"/>
  <c r="I38" i="40"/>
  <c r="J21" i="40"/>
  <c r="I55" i="40"/>
  <c r="J103" i="40"/>
  <c r="J127" i="40"/>
  <c r="K147" i="40"/>
  <c r="I147" i="40"/>
  <c r="J129" i="40"/>
  <c r="I137" i="40"/>
  <c r="K120" i="40"/>
  <c r="K144" i="40"/>
  <c r="K130" i="40"/>
  <c r="J120" i="40"/>
  <c r="K116" i="40"/>
  <c r="I131" i="40"/>
  <c r="I124" i="40"/>
  <c r="I138" i="40"/>
  <c r="K139" i="40"/>
  <c r="K112" i="40"/>
  <c r="J144" i="40"/>
  <c r="J132" i="40"/>
  <c r="J114" i="40"/>
  <c r="J139" i="40"/>
  <c r="K145" i="40"/>
  <c r="K119" i="40"/>
  <c r="I135" i="40"/>
  <c r="I148" i="40"/>
  <c r="I130" i="40"/>
  <c r="K129" i="40"/>
  <c r="K150" i="40"/>
  <c r="K140" i="40"/>
  <c r="K114" i="40"/>
  <c r="K132" i="40"/>
  <c r="I142" i="40"/>
  <c r="I146" i="40"/>
  <c r="I37" i="40"/>
  <c r="I25" i="40"/>
  <c r="J38" i="40"/>
  <c r="J79" i="40"/>
  <c r="K41" i="40"/>
  <c r="J19" i="40"/>
  <c r="J110" i="40"/>
  <c r="K6" i="40"/>
  <c r="I91" i="40"/>
  <c r="I43" i="40"/>
  <c r="J71" i="40"/>
  <c r="K39" i="40"/>
  <c r="J58" i="40"/>
  <c r="J42" i="40"/>
  <c r="J46" i="40"/>
  <c r="J62" i="40"/>
  <c r="J70" i="40"/>
  <c r="J53" i="40"/>
  <c r="J48" i="40"/>
  <c r="I45" i="40"/>
  <c r="I82" i="40"/>
  <c r="I26" i="40"/>
  <c r="K74" i="40"/>
  <c r="K62" i="40"/>
  <c r="J67" i="40"/>
  <c r="K61" i="40"/>
  <c r="J77" i="40"/>
  <c r="K59" i="40"/>
  <c r="I98" i="40"/>
  <c r="J92" i="40"/>
  <c r="K71" i="40"/>
  <c r="I27" i="40"/>
  <c r="J107" i="40"/>
  <c r="J29" i="40"/>
  <c r="J102" i="40"/>
  <c r="K8" i="40"/>
  <c r="I16" i="40"/>
  <c r="J40" i="40"/>
  <c r="I36" i="40"/>
  <c r="I21" i="40"/>
  <c r="K35" i="40"/>
  <c r="I105" i="40"/>
  <c r="K70" i="40"/>
  <c r="J52" i="40"/>
  <c r="K93" i="40"/>
  <c r="K17" i="40"/>
  <c r="I73" i="40"/>
  <c r="K14" i="40"/>
  <c r="J49" i="40"/>
  <c r="K83" i="40"/>
  <c r="K44" i="40"/>
  <c r="K64" i="40"/>
  <c r="I101" i="40"/>
  <c r="K89" i="40"/>
  <c r="K37" i="40"/>
  <c r="J97" i="40"/>
  <c r="J24" i="40"/>
  <c r="K85" i="40"/>
  <c r="K57" i="40"/>
  <c r="I104" i="40"/>
  <c r="K123" i="40"/>
  <c r="I140" i="40"/>
  <c r="I117" i="40"/>
  <c r="K115" i="40"/>
  <c r="J121" i="40"/>
  <c r="J112" i="40"/>
  <c r="K135" i="40"/>
  <c r="I122" i="40"/>
  <c r="J148" i="40"/>
  <c r="K121" i="40"/>
  <c r="J113" i="40"/>
  <c r="J137" i="40"/>
  <c r="J145" i="40"/>
  <c r="I129" i="40"/>
  <c r="I125" i="40"/>
  <c r="J133" i="40"/>
  <c r="I136" i="40"/>
  <c r="K118" i="40"/>
  <c r="J131" i="40"/>
  <c r="I113" i="40"/>
  <c r="I32" i="40"/>
  <c r="I58" i="40"/>
  <c r="J37" i="40"/>
  <c r="I107" i="40"/>
  <c r="I39" i="40"/>
  <c r="I79" i="40"/>
  <c r="I70" i="40"/>
  <c r="J25" i="40"/>
  <c r="K84" i="40"/>
  <c r="J6" i="40"/>
  <c r="J54" i="40"/>
  <c r="K100" i="40"/>
  <c r="I11" i="40"/>
  <c r="K7" i="40"/>
  <c r="J5" i="40"/>
  <c r="K47" i="40"/>
  <c r="J17" i="40"/>
  <c r="I6" i="40"/>
  <c r="K46" i="40"/>
  <c r="K43" i="40"/>
  <c r="J81" i="40"/>
  <c r="K97" i="40"/>
  <c r="J82" i="40"/>
  <c r="I75" i="40"/>
  <c r="K92" i="40"/>
  <c r="I24" i="40"/>
  <c r="I121" i="40"/>
  <c r="I134" i="40"/>
  <c r="I115" i="40"/>
  <c r="I114" i="40"/>
  <c r="K149" i="40"/>
  <c r="K125" i="40"/>
  <c r="K137" i="40"/>
  <c r="I143" i="40"/>
  <c r="K126" i="40"/>
  <c r="K117" i="40"/>
  <c r="K16" i="40"/>
  <c r="J11" i="40"/>
  <c r="J83" i="40"/>
  <c r="J60" i="40"/>
  <c r="J16" i="40"/>
  <c r="K40" i="40"/>
  <c r="I74" i="40"/>
  <c r="I85" i="40"/>
  <c r="J57" i="40"/>
  <c r="I95" i="40"/>
  <c r="J94" i="40"/>
  <c r="K54" i="40"/>
  <c r="I103" i="40"/>
  <c r="I69" i="40"/>
  <c r="I81" i="40"/>
  <c r="J91" i="40"/>
  <c r="I52" i="40"/>
  <c r="I92" i="40"/>
  <c r="J14" i="40"/>
  <c r="I51" i="40"/>
  <c r="J74" i="40"/>
  <c r="J50" i="40"/>
  <c r="J27" i="40"/>
  <c r="I83" i="40"/>
  <c r="I93" i="40"/>
  <c r="J15" i="40"/>
  <c r="J106" i="40"/>
  <c r="J61" i="40"/>
  <c r="J36" i="40"/>
  <c r="I35" i="40"/>
  <c r="K87" i="40"/>
  <c r="J34" i="40"/>
  <c r="K105" i="40"/>
  <c r="I46" i="40"/>
  <c r="K108" i="40"/>
  <c r="J41" i="40"/>
  <c r="J104" i="40"/>
  <c r="I42" i="40"/>
  <c r="I116" i="40"/>
  <c r="I120" i="40"/>
  <c r="J116" i="40"/>
  <c r="J115" i="40"/>
  <c r="J118" i="40"/>
  <c r="J135" i="40"/>
  <c r="J124" i="40"/>
  <c r="J142" i="40"/>
  <c r="K111" i="40"/>
  <c r="J117" i="40"/>
  <c r="J56" i="40"/>
  <c r="J33" i="40"/>
  <c r="I34" i="40"/>
  <c r="I33" i="40"/>
  <c r="J13" i="40"/>
  <c r="I110" i="40"/>
  <c r="I7" i="40"/>
  <c r="J75" i="40"/>
  <c r="K68" i="40"/>
  <c r="J43" i="40"/>
  <c r="I19" i="40"/>
  <c r="I76" i="40"/>
  <c r="K75" i="40"/>
  <c r="K13" i="40"/>
  <c r="J55" i="40"/>
  <c r="J59" i="40"/>
  <c r="K18" i="40"/>
  <c r="I57" i="40"/>
  <c r="K48" i="40"/>
  <c r="K29" i="40"/>
  <c r="K78" i="40"/>
  <c r="I44" i="40"/>
  <c r="K22" i="40"/>
  <c r="J28" i="40"/>
  <c r="I89" i="40"/>
  <c r="I30" i="40"/>
  <c r="I100" i="40"/>
  <c r="I54" i="40"/>
  <c r="I53" i="40"/>
  <c r="I90" i="40"/>
  <c r="J80" i="40"/>
  <c r="K33" i="40"/>
  <c r="K36" i="40"/>
  <c r="I102" i="40"/>
  <c r="J12" i="40"/>
  <c r="I94" i="40"/>
  <c r="J105" i="40"/>
  <c r="J69" i="40"/>
  <c r="K148" i="40"/>
  <c r="K136" i="40"/>
  <c r="J150" i="40"/>
  <c r="J130" i="40"/>
  <c r="J126" i="40"/>
  <c r="K141" i="40"/>
  <c r="K143" i="40"/>
  <c r="I126" i="40"/>
  <c r="J143" i="40"/>
  <c r="K146" i="40"/>
  <c r="K103" i="40"/>
  <c r="J86" i="40"/>
  <c r="K11" i="40"/>
  <c r="I96" i="40"/>
  <c r="K12" i="40"/>
  <c r="J95" i="40"/>
  <c r="K19" i="40"/>
  <c r="J108" i="40"/>
  <c r="I12" i="40"/>
  <c r="I108" i="40"/>
  <c r="J31" i="40"/>
  <c r="K67" i="40"/>
  <c r="I40" i="40"/>
  <c r="K73" i="40"/>
  <c r="J72" i="40"/>
  <c r="K42" i="40"/>
  <c r="I49" i="40"/>
  <c r="I66" i="40"/>
  <c r="J68" i="40"/>
  <c r="J93" i="40"/>
  <c r="I59" i="40"/>
  <c r="K23" i="40"/>
  <c r="J23" i="40"/>
  <c r="I64" i="40"/>
  <c r="K20" i="40"/>
  <c r="I84" i="40"/>
  <c r="K9" i="40"/>
  <c r="I31" i="40"/>
  <c r="K56" i="40"/>
  <c r="K45" i="40"/>
  <c r="K69" i="40"/>
  <c r="I48" i="40"/>
  <c r="K107" i="40"/>
  <c r="J88" i="40"/>
  <c r="K80" i="40"/>
  <c r="K90" i="40"/>
  <c r="J30" i="40"/>
  <c r="K15" i="40"/>
  <c r="J123" i="40"/>
  <c r="J134" i="40"/>
  <c r="J111" i="40"/>
  <c r="I127" i="40"/>
  <c r="K113" i="40"/>
  <c r="K134" i="40"/>
  <c r="I111" i="40"/>
  <c r="I139" i="40"/>
  <c r="I119" i="40"/>
  <c r="K101" i="40"/>
  <c r="J8" i="40"/>
  <c r="I86" i="40"/>
  <c r="J99" i="40"/>
  <c r="J32" i="40"/>
  <c r="I5" i="40"/>
  <c r="I9" i="40"/>
  <c r="J45" i="40"/>
  <c r="K26" i="40"/>
  <c r="I17" i="40"/>
  <c r="I8" i="40"/>
  <c r="K81" i="40"/>
  <c r="K63" i="40"/>
  <c r="I60" i="40"/>
  <c r="K10" i="40"/>
  <c r="K79" i="40"/>
  <c r="I20" i="40"/>
  <c r="J87" i="40"/>
  <c r="K52" i="40"/>
  <c r="I14" i="40"/>
  <c r="K66" i="40"/>
  <c r="J64" i="40"/>
  <c r="K77" i="40"/>
  <c r="K102" i="40"/>
  <c r="K88" i="40"/>
  <c r="K82" i="40"/>
  <c r="I50" i="40"/>
  <c r="J109" i="40"/>
  <c r="K24" i="40"/>
  <c r="K99" i="40"/>
  <c r="J85" i="40"/>
  <c r="K53" i="40"/>
  <c r="K104" i="40"/>
  <c r="J51" i="40"/>
  <c r="I87" i="40"/>
  <c r="K86" i="40"/>
  <c r="K27" i="40"/>
  <c r="J39" i="40"/>
  <c r="A45" i="6" l="1"/>
  <c r="A31" i="37"/>
  <c r="A46" i="4"/>
  <c r="A32" i="37"/>
  <c r="A46" i="6"/>
  <c r="A45" i="4"/>
  <c r="A31" i="38"/>
</calcChain>
</file>

<file path=xl/sharedStrings.xml><?xml version="1.0" encoding="utf-8"?>
<sst xmlns="http://schemas.openxmlformats.org/spreadsheetml/2006/main" count="2973" uniqueCount="830">
  <si>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</si>
  <si>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</si>
  <si>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</si>
  <si>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</si>
  <si>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</si>
  <si>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</si>
  <si>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</si>
  <si>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</si>
  <si>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</si>
  <si>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</si>
  <si>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</si>
  <si>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</si>
  <si>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</si>
  <si>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</si>
  <si>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</si>
  <si>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</si>
  <si>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</si>
  <si>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</si>
  <si>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</si>
  <si>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</si>
  <si>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</si>
  <si>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</si>
  <si>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</si>
  <si>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</si>
  <si>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</si>
  <si>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</si>
  <si>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</si>
  <si>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</si>
  <si>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</si>
  <si>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</si>
  <si>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</si>
  <si>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</si>
  <si>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</si>
  <si>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</si>
  <si>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</si>
  <si>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</si>
  <si>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</si>
  <si>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</si>
  <si>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</si>
  <si>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</si>
  <si>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</si>
  <si>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</si>
  <si>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</si>
  <si>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</si>
  <si>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</si>
  <si>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</si>
  <si>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</si>
  <si>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</si>
  <si>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</si>
  <si>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</si>
  <si>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</si>
  <si>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</si>
  <si>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</si>
  <si>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</si>
  <si>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</si>
  <si>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</si>
  <si>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</si>
  <si>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</si>
  <si>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</si>
  <si>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</si>
  <si>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</si>
  <si>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</si>
  <si>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</si>
  <si>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</si>
  <si>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</si>
  <si>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</si>
  <si>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</si>
  <si>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</si>
  <si>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</si>
  <si>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</si>
  <si>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</si>
  <si>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</si>
  <si>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</si>
  <si>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</si>
  <si>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</si>
  <si>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</si>
  <si>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</si>
  <si>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</si>
  <si>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</si>
  <si>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</si>
  <si>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</si>
  <si>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</si>
  <si>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</si>
  <si>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</si>
  <si>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</si>
  <si>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</si>
  <si>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</si>
  <si>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</si>
  <si>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</si>
  <si>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</si>
  <si>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</si>
  <si>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</si>
  <si>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</si>
  <si>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</si>
  <si>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</si>
  <si>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</si>
  <si>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</si>
  <si>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</si>
  <si>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</si>
  <si>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</si>
  <si>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</si>
  <si>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</si>
  <si>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</si>
  <si>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</si>
  <si>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</si>
  <si>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</si>
  <si>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</si>
  <si>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</si>
  <si>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</si>
  <si>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</si>
  <si>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</si>
  <si>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</si>
  <si>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</si>
  <si>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</si>
  <si>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</si>
  <si>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</si>
  <si>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</si>
  <si>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</si>
  <si>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</si>
  <si>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</si>
  <si>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</si>
  <si>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</si>
  <si>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</si>
  <si>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</si>
  <si>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</si>
  <si>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</si>
  <si>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</si>
  <si>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</si>
  <si>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</si>
  <si>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</si>
  <si>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</si>
  <si>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</si>
  <si>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</si>
  <si>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</si>
  <si>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</si>
  <si>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</si>
  <si>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</si>
  <si>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</si>
  <si>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</si>
  <si>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</si>
  <si>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</si>
  <si>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</si>
  <si>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</si>
  <si>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</si>
  <si>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</si>
  <si>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</si>
  <si>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</si>
  <si>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</si>
  <si>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</si>
  <si>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</si>
  <si>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</si>
  <si>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</si>
  <si>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</si>
  <si>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</si>
  <si>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</si>
  <si>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</si>
  <si>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</si>
  <si>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</si>
  <si>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</si>
  <si>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</si>
  <si>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</si>
  <si>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</si>
  <si>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</si>
  <si>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</si>
  <si>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</si>
  <si>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</si>
  <si>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</si>
  <si>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</si>
  <si>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</si>
  <si>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</si>
  <si>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</si>
  <si>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</si>
  <si>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</si>
  <si>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</si>
  <si>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</si>
  <si>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</si>
  <si>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</si>
  <si>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</si>
  <si>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</si>
  <si>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</si>
  <si>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</si>
  <si>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</si>
  <si>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</si>
  <si>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</si>
  <si>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</si>
  <si>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</si>
  <si>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</si>
  <si>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</si>
  <si>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</si>
  <si>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</si>
  <si>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</si>
  <si>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</si>
  <si>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</si>
  <si>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</si>
  <si>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</si>
  <si>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</si>
  <si>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</si>
  <si>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</si>
  <si>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</si>
  <si>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</si>
  <si>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</si>
  <si>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</si>
  <si>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</si>
  <si>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</si>
  <si>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</si>
  <si>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</si>
  <si>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</si>
  <si>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</si>
  <si>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</si>
  <si>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</si>
  <si>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</si>
  <si>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</si>
  <si>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</si>
  <si>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</si>
  <si>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</si>
  <si>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</si>
  <si>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</si>
  <si>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</si>
  <si>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</si>
  <si>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</si>
  <si>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</si>
  <si>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</si>
  <si>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</si>
  <si>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</si>
  <si>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</si>
  <si>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</si>
  <si>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</si>
  <si>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</si>
  <si>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</si>
  <si>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</si>
  <si>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</si>
  <si>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</si>
  <si>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</si>
  <si>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</si>
  <si>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</si>
  <si>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</si>
  <si>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</si>
  <si>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</si>
  <si>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</si>
  <si>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</si>
  <si>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</si>
  <si>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</si>
  <si>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</si>
  <si>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</si>
  <si>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</si>
  <si>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</si>
  <si>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</si>
  <si>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</si>
  <si>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</si>
  <si>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</si>
  <si>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</si>
  <si>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</si>
  <si>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</si>
  <si>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</si>
  <si>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</si>
  <si>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</si>
  <si>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</si>
  <si>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</si>
  <si>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</si>
  <si>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</si>
  <si>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</si>
  <si>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</si>
  <si>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</si>
  <si>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</si>
  <si>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</si>
  <si>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</si>
  <si>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</si>
  <si>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</si>
  <si>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</si>
  <si>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</si>
  <si>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</si>
  <si>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</si>
  <si>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</si>
  <si>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</si>
  <si>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</si>
  <si>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</si>
  <si>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</si>
  <si>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</si>
  <si>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</si>
  <si>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</si>
  <si>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</si>
  <si>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</si>
  <si>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</si>
  <si>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</si>
  <si>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</si>
  <si>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</si>
  <si>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</si>
  <si>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</si>
  <si>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</si>
  <si>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</si>
  <si>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</si>
  <si>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</si>
  <si>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</si>
  <si>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</si>
  <si>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</si>
  <si>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</si>
  <si>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</si>
  <si>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</si>
  <si>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</si>
  <si>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</si>
  <si>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</si>
  <si>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</si>
  <si>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</si>
  <si>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</si>
  <si>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</si>
  <si>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</si>
  <si>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</si>
  <si>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</si>
  <si>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</si>
  <si>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</si>
  <si>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</si>
  <si>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</si>
  <si>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</si>
  <si>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</si>
  <si>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</si>
  <si>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</si>
  <si>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</si>
  <si>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</si>
  <si>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</si>
  <si>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</si>
  <si>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</si>
  <si>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</si>
  <si>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</si>
  <si>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</si>
  <si>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</si>
  <si>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</si>
  <si>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</si>
  <si>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</si>
  <si>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</si>
  <si>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</si>
  <si>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</si>
  <si>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</si>
  <si>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</si>
  <si>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</si>
  <si>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</si>
  <si>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</si>
  <si>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</si>
  <si>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</si>
  <si>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</si>
  <si>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</si>
  <si>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</si>
  <si>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</si>
  <si>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</si>
  <si>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</si>
  <si>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</si>
  <si>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</si>
  <si>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</si>
  <si>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</si>
  <si>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</si>
  <si>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</si>
  <si>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</si>
  <si>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</si>
  <si>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</si>
  <si>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</si>
  <si>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</si>
  <si>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</si>
  <si>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</si>
  <si>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</si>
  <si>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</si>
  <si>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</si>
  <si>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</si>
  <si>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</si>
  <si>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</si>
  <si>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</si>
  <si>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</si>
  <si>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</si>
  <si>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</si>
  <si>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</si>
  <si>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</si>
  <si>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</si>
  <si>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</si>
  <si>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</si>
  <si>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</si>
  <si>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</si>
  <si>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</si>
  <si>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</si>
  <si>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</si>
  <si>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</si>
  <si>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</si>
  <si>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INDOIV vs. INDOTHERS</t>
  </si>
  <si>
    <t>INDOIV vs. PARAPO</t>
  </si>
  <si>
    <t>IBUPO vs. PLAC_NORX</t>
  </si>
  <si>
    <t>IBUPO vs. PARAPO</t>
  </si>
  <si>
    <t>IBUIV vs. IBUPO</t>
  </si>
  <si>
    <t>INDOIV vs. PLAC_NORX</t>
  </si>
  <si>
    <t>IBUIV vs. INDOIVCONT</t>
  </si>
  <si>
    <t>IBUIV vs. IBUIVHIGHDOSE</t>
  </si>
  <si>
    <t>IBUPO vs. INDOTHERS</t>
  </si>
  <si>
    <t>INDOIV vs. IBUIV</t>
  </si>
  <si>
    <t>IBUIV vs. IBUIVCONT</t>
  </si>
  <si>
    <t>IBUPO vs. IBUPOHIGHDOSE</t>
  </si>
  <si>
    <t>INDOTHERS vs. PLAC_NORX</t>
  </si>
  <si>
    <t>display(log)</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</si>
  <si>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</si>
  <si>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</si>
  <si>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</si>
  <si>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</si>
  <si>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</si>
  <si>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</si>
  <si>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</si>
  <si>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</si>
  <si>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</si>
  <si>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</si>
  <si>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</si>
  <si>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</si>
  <si>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</si>
  <si>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</si>
  <si>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</si>
  <si>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</si>
  <si>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</si>
  <si>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</si>
  <si>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</si>
  <si>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</si>
  <si>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</si>
  <si>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</si>
  <si>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</si>
  <si>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</si>
  <si>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</si>
  <si>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</si>
  <si>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</si>
  <si>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</si>
  <si>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</si>
  <si>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</si>
  <si>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</si>
  <si>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</si>
  <si>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</si>
  <si>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</si>
  <si>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</si>
  <si>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</si>
  <si>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</si>
  <si>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</si>
  <si>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</si>
  <si>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</si>
  <si>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</si>
  <si>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</si>
  <si>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</si>
  <si>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</si>
  <si>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</si>
  <si>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</si>
  <si>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</si>
  <si>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</si>
  <si>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</si>
  <si>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</si>
  <si>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</si>
  <si>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</si>
  <si>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</si>
  <si>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</si>
  <si>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</si>
  <si>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</si>
  <si>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</si>
  <si>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</si>
  <si>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</si>
  <si>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</si>
  <si>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</si>
  <si>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</si>
  <si>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</si>
  <si>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</si>
  <si>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</si>
  <si>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</si>
  <si>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</si>
  <si>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</si>
  <si>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</si>
  <si>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</si>
  <si>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</si>
  <si>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</si>
  <si>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</si>
  <si>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</si>
  <si>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</si>
  <si>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</si>
  <si>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</si>
  <si>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</si>
  <si>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</si>
  <si>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</si>
  <si>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</si>
  <si>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</si>
  <si>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</si>
  <si>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</si>
  <si>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</si>
  <si>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</si>
  <si>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</si>
  <si>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</si>
  <si>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</si>
  <si>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</si>
  <si>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</si>
  <si>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</si>
  <si>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</si>
  <si>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</si>
  <si>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</si>
  <si>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</si>
  <si>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</si>
  <si>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</si>
  <si>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</si>
  <si>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</si>
  <si>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</si>
  <si>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</si>
  <si>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</si>
  <si>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</si>
  <si>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</si>
  <si>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</si>
  <si>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</si>
  <si>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</si>
  <si>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</si>
  <si>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</si>
  <si>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</si>
  <si>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</si>
  <si>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</si>
  <si>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</si>
  <si>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</si>
  <si>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</si>
  <si>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</si>
  <si>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</si>
  <si>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</si>
  <si>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</si>
  <si>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</si>
  <si>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</si>
  <si>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</si>
  <si>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</si>
  <si>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</si>
  <si>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</si>
  <si>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</si>
  <si>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</si>
  <si>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</si>
  <si>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</si>
  <si>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</si>
  <si>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</si>
  <si>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</si>
  <si>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</si>
  <si>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</si>
  <si>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</si>
  <si>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</si>
  <si>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</si>
  <si>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</si>
  <si>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</si>
  <si>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</si>
  <si>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</si>
  <si>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</si>
  <si>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</si>
  <si>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</si>
  <si>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</si>
  <si>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</si>
  <si>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</si>
  <si>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</si>
  <si>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</si>
  <si>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</si>
  <si>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</si>
  <si>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</si>
  <si>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</si>
  <si>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</si>
  <si>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</si>
  <si>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</si>
  <si>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</si>
  <si>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</si>
  <si>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</si>
  <si>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</si>
  <si>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</si>
  <si>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</si>
  <si>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</si>
  <si>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</si>
  <si>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</si>
  <si>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</si>
  <si>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</si>
  <si>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</si>
  <si>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</si>
  <si>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</si>
  <si>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</si>
  <si>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</si>
  <si>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</si>
  <si>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</si>
  <si>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</si>
  <si>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</si>
  <si>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</si>
  <si>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</si>
  <si>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</si>
  <si>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</si>
  <si>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</si>
  <si>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</si>
  <si>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</si>
  <si>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</si>
  <si>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</si>
  <si>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</si>
  <si>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</si>
  <si>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</si>
  <si>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</si>
  <si>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</si>
  <si>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</si>
  <si>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</si>
  <si>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</si>
  <si>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</si>
  <si>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</si>
  <si>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</si>
  <si>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</si>
  <si>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</si>
  <si>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</si>
  <si>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</si>
  <si>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</si>
  <si>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</si>
  <si>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</si>
  <si>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</si>
  <si>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</si>
  <si>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</si>
  <si>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</si>
  <si>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</si>
  <si>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</si>
  <si>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</si>
  <si>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</si>
  <si>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</si>
  <si>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</si>
  <si>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</si>
  <si>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</si>
  <si>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</si>
  <si>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</si>
  <si>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</si>
  <si>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</si>
  <si>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</si>
  <si>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</si>
  <si>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</si>
  <si>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</si>
  <si>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</si>
  <si>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</si>
  <si>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</si>
  <si>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</si>
  <si>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</si>
  <si>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</si>
  <si>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</si>
  <si>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</si>
  <si>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</si>
  <si>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</si>
  <si>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</si>
  <si>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</si>
  <si>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</si>
  <si>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</si>
  <si>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</si>
  <si>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</si>
  <si>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</si>
  <si>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</si>
  <si>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</si>
  <si>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</si>
  <si>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</si>
  <si>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</si>
  <si>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</si>
  <si>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</si>
  <si>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</si>
  <si>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</si>
  <si>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</si>
  <si>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</si>
  <si>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</si>
  <si>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</si>
  <si>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</si>
  <si>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</si>
  <si>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</si>
  <si>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</si>
  <si>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</si>
  <si>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</si>
  <si>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</si>
  <si>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</si>
  <si>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</si>
  <si>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</si>
  <si>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</si>
  <si>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</si>
  <si>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</si>
  <si>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</si>
  <si>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</si>
  <si>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</si>
  <si>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</si>
  <si>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</si>
  <si>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</si>
  <si>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</si>
  <si>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</si>
  <si>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</si>
  <si>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</si>
  <si>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</si>
  <si>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</si>
  <si>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</si>
  <si>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</si>
  <si>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</si>
  <si>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</si>
  <si>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</si>
  <si>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</si>
  <si>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</si>
  <si>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</si>
  <si>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</si>
  <si>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</si>
  <si>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</si>
  <si>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</si>
  <si>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</si>
  <si>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</si>
  <si>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</si>
  <si>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</si>
  <si>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</si>
  <si>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</si>
  <si>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</si>
  <si>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</si>
  <si>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</si>
  <si>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</si>
  <si>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</si>
  <si>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</si>
  <si>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</si>
  <si>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</si>
  <si>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</si>
  <si>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</si>
  <si>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</si>
  <si>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</si>
  <si>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</si>
  <si>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</si>
  <si>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</si>
  <si>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</si>
  <si>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</si>
  <si>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</si>
  <si>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</si>
  <si>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</si>
  <si>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</si>
  <si>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</si>
  <si>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</si>
  <si>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</si>
  <si>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</si>
  <si>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</si>
  <si>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</si>
  <si>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</si>
  <si>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</si>
  <si>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</si>
  <si>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</si>
  <si>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</si>
  <si>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</si>
  <si>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</si>
  <si>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</si>
  <si>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</si>
  <si>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</si>
  <si>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</si>
  <si>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</si>
  <si>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</si>
  <si>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</si>
  <si>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INDOTHERS</t>
  </si>
  <si>
    <t>IBUPOHIGHDOSE versus INDOIVCONT</t>
  </si>
  <si>
    <t>IBUPOHIGHDOSE versus IBUIVCONT</t>
  </si>
  <si>
    <t>IBUPOHIGHDOSE versus PLAC_NORX</t>
  </si>
  <si>
    <t>IBUIVHIGHDOSE versus PLAC_NORX</t>
  </si>
  <si>
    <t>PARAPO versus INDOTHERS</t>
  </si>
  <si>
    <t>PARAPO versus INDOIVCONT</t>
  </si>
  <si>
    <t>PARAPO versus PLAC_NORX</t>
  </si>
  <si>
    <t>IBUPO versus PLAC_NORX</t>
  </si>
  <si>
    <t>INDOIV versus IBUIV</t>
  </si>
  <si>
    <t>INDOIV versus PLAC_NORX</t>
  </si>
  <si>
    <t>INDOTHERS versus PLAC_NORX</t>
  </si>
  <si>
    <t>INDOIVCONT versus PLAC_NORX</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</si>
  <si>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</si>
  <si>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</si>
  <si>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</si>
  <si>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</si>
  <si>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</si>
  <si>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</si>
  <si>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</si>
  <si>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</si>
  <si>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</si>
  <si>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</si>
  <si>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</si>
  <si>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</si>
  <si>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list(NS=37, NT=10)</t>
  </si>
  <si>
    <t>check(C:/WinBUGS data/Random Effect Model (Vague).txt)</t>
  </si>
  <si>
    <t>inits(1,C:/WinBUGS data/Random Effect Inits (Vague)1.txt)</t>
  </si>
  <si>
    <t>inits(2,C:/WinBUGS data/Random Effect Inits (Vague)2.txt)</t>
  </si>
  <si>
    <t>inits(3,C:/WinBUGS data/Random Effect Inits (Vague)3.txt)</t>
  </si>
  <si>
    <t>update(10000)</t>
  </si>
  <si>
    <t>IBUIVCONT versus INDOIVCONT</t>
  </si>
  <si>
    <t>IBUIVCONT versus INDOTHERS</t>
  </si>
  <si>
    <t>PARAPO versus IBUIVHIGHDOSE</t>
  </si>
  <si>
    <t>IBUPO versus IBUIVHIGHDOSE</t>
  </si>
  <si>
    <t>INDOIV versus IBUIVHIGHDOSE</t>
  </si>
  <si>
    <t>list(mu=c(0,0.5,1,0.5,1.5,1,1,0.5,1,0,2,1.5,2,1.5,1.5,0.5,0.5,0.5,1.5,1.5,1.5,1,2,2,0,1.5,0.5,1.5,1,1.5,2,1,0.5,0.5,1,1,1.5), sd=1.5, d= structure(.Data = c(NA,1,0.5,1.5,1.5,1.5,1,1.5,2,0, NA,NA,1.5,1,1,0.5,1,1.5,1.5,1.5, NA,NA,NA,0,1.5,0.5,0.5,1.5,1.5,0.5, NA,NA,NA,NA,0.5,1.5,1.5,1,2,1, NA,NA,NA,NA,NA,0,0.5,1.5,1.5,1, NA,NA,NA,NA,NA,NA,0,1,0.5,0.5, NA,NA,NA,NA,NA,NA,NA,1,0.5,1.5, NA,NA,NA,NA,NA,NA,NA,NA,1.5,0.5, NA,NA,NA,NA,NA,NA,NA,NA,NA,1), .Dim =c(9, 10)))</t>
  </si>
  <si>
    <t>list(mu=c(0.5,2,1.5,0,1.5,1,0.5,1,1,1,2,1,0.5,0,0,1,0.5,1,1,1,1,1.5,0.5,0.5,0.5,1,1,0,0,1,2,1,0.5,1,1.5,0,1.5), sd=1.5, d= structure(.Data = c(NA,1,0,2,1.5,1,2,0,0,0.5, NA,NA,0,0.5,1.5,0,1.5,1.5,1.5,0.5, NA,NA,NA,0.5,0.5,2,1.5,1.5,1.5,0.5, NA,NA,NA,NA,0.5,0.5,1.5,0.5,1.5,1, NA,NA,NA,NA,NA,1.5,0,0.5,1,0.5, NA,NA,NA,NA,NA,NA,2,0.5,1.5,0, NA,NA,NA,NA,NA,NA,NA,1,0.5,1.5, NA,NA,NA,NA,NA,NA,NA,NA,1,2, NA,NA,NA,NA,NA,NA,NA,NA,NA,1), .Dim =c(9, 10)))</t>
  </si>
  <si>
    <t>list(mu=c(1,1.5,0.5,1.5,0.5,1.5,0.5,0.5,1,0.5,2,1.5,0.5,0.5,0,1,1.5,1,1.5,2,0.5,1,1.5,0.5,2,1,1.5,1,1,1,1,0,0,1,0,0.5,2), sd=2, d= structure(.Data = c(NA,1.5,0.5,0.5,0,0.5,2,1.5,2,1, NA,NA,0,1,1,1,1,1,1.5,1.5, NA,NA,NA,2,0.5,0.5,1.5,0.5,2,1, NA,NA,NA,NA,1,0,1.5,1,1,1.5, NA,NA,NA,NA,NA,2,1,1,1.5,0.5, NA,NA,NA,NA,NA,NA,0.5,1.5,0.5,1, NA,NA,NA,NA,NA,NA,NA,0,0.5,2, NA,NA,NA,NA,NA,NA,NA,NA,1,0.5, NA,NA,NA,NA,NA,NA,NA,NA,NA,1.5), .Dim =c(9, 10)))</t>
  </si>
  <si>
    <t>list(NS=28, NT=10)</t>
  </si>
  <si>
    <t>list(d=c(NA,1.5,0.5,0,1.5,1.5,2,2,1.5,1.5), sd=1.5, mu=c(1.5,2,1.5,1,1.5,0,0.5,1,2,0.5,1,0.5,0.5,1,1.5,2,1,1.5,0,1,1,1,0.5,1,0.5,1.5,2,1))</t>
  </si>
  <si>
    <t>list(d=c(NA,1,0.5,1.5,0,1.5,1.5,0.5,0,1.5), sd=1.5, mu=c(1.5,2,2,0,0,0,0,0.5,1,0.5,1,1.5,1,2,1,1.5,0,2,1,1.5,1,0.5,2,0.5,1,1,1.5,0))</t>
  </si>
  <si>
    <t>list(d=c(NA,1,1.5,1.5,1,0.5,0,1,1,1.5), sd=1.5, mu=c(1,0.5,0.5,2,1,1.5,0.5,2,0.5,1.5,1.5,0.5,0,0.5,0.5,1.5,1,1.5,2,1,0.5,0,0,1,0.5,0.5,1,1.5))</t>
  </si>
  <si>
    <t>list(d=c(NA,1,1.5,0,0.5,1.5,0,1,1.5,1), var=2, mu=c(0.5,0.5,1,1.5,0.5,0.5,0.5,0.5,0.5,1.5,1,1,2,0.5,2,0.5,1,1.5,2,1,1,1,0.5,1.5,0.5,1,0.5,0.5))</t>
  </si>
  <si>
    <t>list(d=c(NA,1.5,0,0,0,1,0.5,0.5,2,1.5), var=1.5, mu=c(0,2,0.5,0.5,0,1.5,1,0,1.5,2,0,2,1,1,0.5,1,1,1.5,0.5,1.5,1,1,1,2,0.5,0.5,2,1.5))</t>
  </si>
  <si>
    <t>list(d=c(NA,1,0.5,0.5,1,1.5,1.5,0.5,1,1.5), var=1, mu=c(1,0,1.5,1.5,0,0.5,0.5,1,1,0.5,1.5,0,0.5,0.5,0,2,1.5,1.5,1,0.5,1.5,1,1,0.5,0.5,1,1,1.5))</t>
  </si>
  <si>
    <t>list(d=c(NA,1,1.5,0,1,0,1.5,0.5,1.5,1.5), mu=c(1.5,1,1.5,1.5,1,1.5,0.5,2,2,1,0.5,1,1,1.5,0.5,1.5,1.5,2,2,0,1.5,0.5,1,1.5,0.5,0.5,1,1))</t>
  </si>
  <si>
    <t>list(d=c(NA,1.5,0.5,0,1,0.5,1,1,1,0), mu=c(0,0.5,1.5,0.5,2,0.5,0,1,0.5,0.5,1,2,1.5,1.5,0.5,0,1.5,1.5,2,2,1,0.5,0,1.5,2,1.5,0.5,0.5))</t>
  </si>
  <si>
    <t>list(d=c(NA,0.5,2,1.5,0,0,1,1.5,2,1.5), mu=c(1,2,1,0.5,0,0,1,1,1,1,2,1.5,0,1,0.5,1,0.5,1.5,1,1.5,0,1,0.5,1,0.5,0.5,2,1))</t>
  </si>
  <si>
    <t>IBUIV vs. PLAC_NORX</t>
  </si>
  <si>
    <t>save(C:/WinBUGS Results/Random Effect Results (Vague ) 7 11 2017 2 09 05 PM.txt)</t>
  </si>
  <si>
    <t>save(C:/WinBUGS Results/Random Effect Results (Informative) 7 11 2017 2 10 19 PM.txt)</t>
  </si>
  <si>
    <t>OR &lt;1 Means the Treatment in Top Left is Better</t>
  </si>
  <si>
    <t>0.05
(0.00 – 2.60)</t>
  </si>
  <si>
    <t>0.03
(0.00 – 0.87)</t>
  </si>
  <si>
    <t>0.03
(0.00 – 2.95)</t>
  </si>
  <si>
    <t>0.02
(0.00 – 1.83)</t>
  </si>
  <si>
    <t>0.02
(0.00 – 0.47)</t>
  </si>
  <si>
    <t>0.01
(0.00 – 0.44)</t>
  </si>
  <si>
    <t>0.01
(0.00 – 0.61)</t>
  </si>
  <si>
    <t>0.01
(0.00 – 0.33)</t>
  </si>
  <si>
    <t>0.01
(0.00 – 0.24)</t>
  </si>
  <si>
    <t>0.57
(0.08 – 3.85)</t>
  </si>
  <si>
    <t>0.71
(0.03 – 16.93)</t>
  </si>
  <si>
    <t>0.54
(0.03 – 7.74)</t>
  </si>
  <si>
    <t>0.38
(0.04 – 2.59)</t>
  </si>
  <si>
    <t>0.29
(0.05 – 1.80)</t>
  </si>
  <si>
    <t>0.20
(0.01 – 4.09)</t>
  </si>
  <si>
    <t>0.22
(0.03 – 1.07)</t>
  </si>
  <si>
    <t>0.13
(0.02 – 0.82)</t>
  </si>
  <si>
    <t>1.16
(0.10 – 18.05)</t>
  </si>
  <si>
    <t>0.89
(0.09 – 11.48)</t>
  </si>
  <si>
    <t>0.65
(0.21 – 1.90)</t>
  </si>
  <si>
    <t>0.50
(0.21 – 1.31)</t>
  </si>
  <si>
    <t>0.35
(0.03 – 4.77)</t>
  </si>
  <si>
    <t>0.37
(0.14 – 0.92)</t>
  </si>
  <si>
    <t>0.22
(0.10 – 0.48)</t>
  </si>
  <si>
    <t>0.72
(0.02 – 22.85)</t>
  </si>
  <si>
    <t>0.56
(0.04 – 5.50)</t>
  </si>
  <si>
    <t>0.42
(0.03 – 5.19)</t>
  </si>
  <si>
    <t>0.31
(0.01 – 9.35)</t>
  </si>
  <si>
    <t>0.30
(0.02 – 3.64)</t>
  </si>
  <si>
    <t>0.18
(0.01 – 2.49)</t>
  </si>
  <si>
    <t>0.75
(0.05 – 7.10)</t>
  </si>
  <si>
    <t>0.56
(0.05 – 4.98)</t>
  </si>
  <si>
    <t>0.40
(0.01 – 9.22)</t>
  </si>
  <si>
    <t>0.42
(0.04 – 3.15)</t>
  </si>
  <si>
    <t>0.24
(0.02 – 2.28)</t>
  </si>
  <si>
    <t>0.77
(0.26 – 2.51)</t>
  </si>
  <si>
    <t>0.54
(0.04 – 7.59)</t>
  </si>
  <si>
    <t>0.57
(0.19 – 1.66)</t>
  </si>
  <si>
    <t>0.34
(0.10 – 1.10)</t>
  </si>
  <si>
    <t>0.70
(0.06 – 8.19)</t>
  </si>
  <si>
    <t>0.75
(0.35 – 1.27)</t>
  </si>
  <si>
    <t>0.43
(0.17 – 1.01)</t>
  </si>
  <si>
    <t>1.08
(0.09 – 10.90)</t>
  </si>
  <si>
    <t>0.62
(0.05 – 7.72)</t>
  </si>
  <si>
    <t>0.59
(0.24 – 1.52)</t>
  </si>
  <si>
    <t>Random Effects (Vague) Rankogram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</si>
</sst>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18" xfId="0" applyFont="1" applyFill="1" applyBorder="1" applyAlignment="1">
      <alignment horizontal="center"/>
    </xf>
    <xf numFmtId="0" fontId="1" fillId="4" borderId="19" xfId="0" applyFont="1" applyFill="1" applyBorder="1" applyAlignment="1">
      <alignment horizont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140">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dLbls>
          <c:showLegendKey val="0"/>
          <c:showVal val="0"/>
          <c:showCatName val="0"/>
          <c:showSerName val="0"/>
          <c:showPercent val="0"/>
          <c:showBubbleSize val="0"/>
        </c:dLbls>
        <c:axId val="616013728"/>
        <c:axId val="615988640"/>
      </c:scatterChart>
      <c:valAx>
        <c:axId val="616013728"/>
        <c:scaling>
          <c:logBase val="10"/>
          <c:orientation val="minMax"/>
        </c:scaling>
        <c:delete val="0"/>
        <c:axPos val="b"/>
        <c:numFmt formatCode="0.0000" sourceLinked="1"/>
        <c:majorTickMark val="out"/>
        <c:minorTickMark val="out"/>
        <c:tickLblPos val="nextTo"/>
        <c:crossAx val="615988640"/>
        <c:crossesAt val="0"/>
        <c:crossBetween val="midCat"/>
      </c:valAx>
      <c:valAx>
        <c:axId val="615988640"/>
        <c:scaling>
          <c:orientation val="minMax"/>
          <c:max val="90"/>
          <c:min val="0"/>
        </c:scaling>
        <c:delete val="0"/>
        <c:axPos val="l"/>
        <c:numFmt formatCode="General" sourceLinked="1"/>
        <c:majorTickMark val="none"/>
        <c:minorTickMark val="none"/>
        <c:tickLblPos val="none"/>
        <c:crossAx val="616013728"/>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1"/>
    <c:plotArea>
      <c:layout>
        <c:manualLayout>
          <c:layoutTarget val="inner"/>
          <c:xMode val="edge"/>
          <c:yMode val="edge"/>
          <c:x val="0.10873537086058752"/>
          <c:y val="9.2707258806466714E-2"/>
          <c:w val="0.59977788845437863"/>
          <c:h val="0.74626563106439092"/>
        </c:manualLayout>
      </c:layout>
      <c:lineChart>
        <c:grouping val="standard"/>
        <c:varyColors val="0"/>
        <c:ser>
          <c:idx val="0"/>
          <c:order val="0"/>
          <c:tx>
            <c:strRef>
              <c:f>'Rankogram Data'!$M$4</c:f>
              <c:strCache>
                <c:ptCount val="1"/>
                <c:pt idx="0">
                  <c:v>INDOIV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1.6670000000000001E-4</c:v>
                </c:pt>
                <c:pt idx="1">
                  <c:v>2.0669999999999998E-3</c:v>
                </c:pt>
                <c:pt idx="2">
                  <c:v>1.2070000000000001E-2</c:v>
                </c:pt>
                <c:pt idx="3">
                  <c:v>5.1069999999999997E-2</c:v>
                </c:pt>
                <c:pt idx="4">
                  <c:v>0.1298</c:v>
                </c:pt>
                <c:pt idx="5">
                  <c:v>0.27350000000000002</c:v>
                </c:pt>
                <c:pt idx="6">
                  <c:v>0.30070000000000002</c:v>
                </c:pt>
                <c:pt idx="7">
                  <c:v>0.18390000000000001</c:v>
                </c:pt>
                <c:pt idx="8">
                  <c:v>4.3729999999999998E-2</c:v>
                </c:pt>
                <c:pt idx="9">
                  <c:v>3.0330000000000001E-3</c:v>
                </c:pt>
              </c:numCache>
            </c:numRef>
          </c:val>
          <c:smooth val="0"/>
        </c:ser>
        <c:ser>
          <c:idx val="1"/>
          <c:order val="1"/>
          <c:tx>
            <c:strRef>
              <c:f>'Rankogram Data'!$N$4</c:f>
              <c:strCache>
                <c:ptCount val="1"/>
                <c:pt idx="0">
                  <c:v>IBUIV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0</c:v>
                </c:pt>
                <c:pt idx="1">
                  <c:v>3.3330000000000001E-5</c:v>
                </c:pt>
                <c:pt idx="2">
                  <c:v>2.3330000000000001E-4</c:v>
                </c:pt>
                <c:pt idx="3">
                  <c:v>3.3999999999999998E-3</c:v>
                </c:pt>
                <c:pt idx="4">
                  <c:v>2.2100000000000002E-2</c:v>
                </c:pt>
                <c:pt idx="5">
                  <c:v>6.9199999999999998E-2</c:v>
                </c:pt>
                <c:pt idx="6">
                  <c:v>0.23119999999999999</c:v>
                </c:pt>
                <c:pt idx="7">
                  <c:v>0.373</c:v>
                </c:pt>
                <c:pt idx="8">
                  <c:v>0.26850000000000002</c:v>
                </c:pt>
                <c:pt idx="9">
                  <c:v>3.2399999999999998E-2</c:v>
                </c:pt>
              </c:numCache>
            </c:numRef>
          </c:val>
          <c:smooth val="0"/>
        </c:ser>
        <c:ser>
          <c:idx val="2"/>
          <c:order val="2"/>
          <c:tx>
            <c:strRef>
              <c:f>'Rankogram Data'!$O$4</c:f>
              <c:strCache>
                <c:ptCount val="1"/>
                <c:pt idx="0">
                  <c:v>IBUPO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1.3329999999999999E-4</c:v>
                </c:pt>
                <c:pt idx="1">
                  <c:v>1.1270000000000001E-2</c:v>
                </c:pt>
                <c:pt idx="2">
                  <c:v>6.4170000000000005E-2</c:v>
                </c:pt>
                <c:pt idx="3">
                  <c:v>0.14910000000000001</c:v>
                </c:pt>
                <c:pt idx="4">
                  <c:v>0.25209999999999999</c:v>
                </c:pt>
                <c:pt idx="5">
                  <c:v>0.22500000000000001</c:v>
                </c:pt>
                <c:pt idx="6">
                  <c:v>0.15160000000000001</c:v>
                </c:pt>
                <c:pt idx="7">
                  <c:v>9.2100000000000001E-2</c:v>
                </c:pt>
                <c:pt idx="8">
                  <c:v>4.5969999999999997E-2</c:v>
                </c:pt>
                <c:pt idx="9">
                  <c:v>8.6669999999999994E-3</c:v>
                </c:pt>
              </c:numCache>
            </c:numRef>
          </c:val>
          <c:smooth val="0"/>
        </c:ser>
        <c:ser>
          <c:idx val="3"/>
          <c:order val="3"/>
          <c:tx>
            <c:strRef>
              <c:f>'Rankogram Data'!$P$4</c:f>
              <c:strCache>
                <c:ptCount val="1"/>
                <c:pt idx="0">
                  <c:v>PARAPO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5.0700000000000002E-2</c:v>
                </c:pt>
                <c:pt idx="1">
                  <c:v>0.26350000000000001</c:v>
                </c:pt>
                <c:pt idx="2">
                  <c:v>0.16689999999999999</c:v>
                </c:pt>
                <c:pt idx="3">
                  <c:v>0.1293</c:v>
                </c:pt>
                <c:pt idx="4">
                  <c:v>8.8730000000000003E-2</c:v>
                </c:pt>
                <c:pt idx="5">
                  <c:v>6.9070000000000006E-2</c:v>
                </c:pt>
                <c:pt idx="6">
                  <c:v>5.11E-2</c:v>
                </c:pt>
                <c:pt idx="7">
                  <c:v>5.4399999999999997E-2</c:v>
                </c:pt>
                <c:pt idx="8">
                  <c:v>6.6769999999999996E-2</c:v>
                </c:pt>
                <c:pt idx="9">
                  <c:v>5.9499999999999997E-2</c:v>
                </c:pt>
              </c:numCache>
            </c:numRef>
          </c:val>
          <c:smooth val="0"/>
        </c:ser>
        <c:ser>
          <c:idx val="4"/>
          <c:order val="4"/>
          <c:tx>
            <c:strRef>
              <c:f>'Rankogram Data'!$Q$4</c:f>
              <c:strCache>
                <c:ptCount val="1"/>
                <c:pt idx="0">
                  <c:v>IBUIVHIGHDOSE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6.1000000000000004E-3</c:v>
                </c:pt>
                <c:pt idx="1">
                  <c:v>5.4129999999999998E-2</c:v>
                </c:pt>
                <c:pt idx="2">
                  <c:v>7.0099999999999996E-2</c:v>
                </c:pt>
                <c:pt idx="3">
                  <c:v>7.3169999999999999E-2</c:v>
                </c:pt>
                <c:pt idx="4">
                  <c:v>7.3099999999999998E-2</c:v>
                </c:pt>
                <c:pt idx="5">
                  <c:v>8.6269999999999999E-2</c:v>
                </c:pt>
                <c:pt idx="6">
                  <c:v>7.3300000000000004E-2</c:v>
                </c:pt>
                <c:pt idx="7">
                  <c:v>8.2229999999999998E-2</c:v>
                </c:pt>
                <c:pt idx="8">
                  <c:v>0.1542</c:v>
                </c:pt>
                <c:pt idx="9">
                  <c:v>0.32740000000000002</c:v>
                </c:pt>
              </c:numCache>
            </c:numRef>
          </c:val>
          <c:smooth val="0"/>
        </c:ser>
        <c:ser>
          <c:idx val="5"/>
          <c:order val="5"/>
          <c:tx>
            <c:strRef>
              <c:f>'Rankogram Data'!$R$4</c:f>
              <c:strCache>
                <c:ptCount val="1"/>
                <c:pt idx="0">
                  <c:v>IBUPOHIGHDOSE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0.87280000000000002</c:v>
                </c:pt>
                <c:pt idx="1">
                  <c:v>7.22E-2</c:v>
                </c:pt>
                <c:pt idx="2">
                  <c:v>2.777E-2</c:v>
                </c:pt>
                <c:pt idx="3">
                  <c:v>1.5730000000000001E-2</c:v>
                </c:pt>
                <c:pt idx="4">
                  <c:v>5.1330000000000004E-3</c:v>
                </c:pt>
                <c:pt idx="5">
                  <c:v>1.933E-3</c:v>
                </c:pt>
                <c:pt idx="6">
                  <c:v>2.5999999999999999E-3</c:v>
                </c:pt>
                <c:pt idx="7">
                  <c:v>8.9999999999999998E-4</c:v>
                </c:pt>
                <c:pt idx="8">
                  <c:v>5.6669999999999995E-4</c:v>
                </c:pt>
                <c:pt idx="9">
                  <c:v>3.6670000000000002E-4</c:v>
                </c:pt>
              </c:numCache>
            </c:numRef>
          </c:val>
          <c:smooth val="0"/>
        </c:ser>
        <c:ser>
          <c:idx val="6"/>
          <c:order val="6"/>
          <c:tx>
            <c:strRef>
              <c:f>'Rankogram Data'!$S$4</c:f>
              <c:strCache>
                <c:ptCount val="1"/>
                <c:pt idx="0">
                  <c:v>IBUIVCONT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4.7070000000000001E-2</c:v>
                </c:pt>
                <c:pt idx="1">
                  <c:v>0.34599999999999997</c:v>
                </c:pt>
                <c:pt idx="2">
                  <c:v>0.26129999999999998</c:v>
                </c:pt>
                <c:pt idx="3">
                  <c:v>0.13109999999999999</c:v>
                </c:pt>
                <c:pt idx="4">
                  <c:v>9.3329999999999996E-2</c:v>
                </c:pt>
                <c:pt idx="5">
                  <c:v>5.6129999999999999E-2</c:v>
                </c:pt>
                <c:pt idx="6">
                  <c:v>2.98E-2</c:v>
                </c:pt>
                <c:pt idx="7">
                  <c:v>1.7129999999999999E-2</c:v>
                </c:pt>
                <c:pt idx="8">
                  <c:v>1.1469999999999999E-2</c:v>
                </c:pt>
                <c:pt idx="9">
                  <c:v>6.633E-3</c:v>
                </c:pt>
              </c:numCache>
            </c:numRef>
          </c:val>
          <c:smooth val="0"/>
        </c:ser>
        <c:ser>
          <c:idx val="7"/>
          <c:order val="7"/>
          <c:tx>
            <c:strRef>
              <c:f>'Rankogram Data'!$T$4</c:f>
              <c:strCache>
                <c:ptCount val="1"/>
                <c:pt idx="0">
                  <c:v>INDOIVCONT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2.103E-2</c:v>
                </c:pt>
                <c:pt idx="1">
                  <c:v>0.1779</c:v>
                </c:pt>
                <c:pt idx="2">
                  <c:v>0.1653</c:v>
                </c:pt>
                <c:pt idx="3">
                  <c:v>0.13139999999999999</c:v>
                </c:pt>
                <c:pt idx="4">
                  <c:v>0.1057</c:v>
                </c:pt>
                <c:pt idx="5">
                  <c:v>9.937E-2</c:v>
                </c:pt>
                <c:pt idx="6">
                  <c:v>8.3529999999999993E-2</c:v>
                </c:pt>
                <c:pt idx="7">
                  <c:v>7.6730000000000007E-2</c:v>
                </c:pt>
                <c:pt idx="8">
                  <c:v>7.6429999999999998E-2</c:v>
                </c:pt>
                <c:pt idx="9">
                  <c:v>6.2570000000000001E-2</c:v>
                </c:pt>
              </c:numCache>
            </c:numRef>
          </c:val>
          <c:smooth val="0"/>
        </c:ser>
        <c:ser>
          <c:idx val="8"/>
          <c:order val="8"/>
          <c:tx>
            <c:strRef>
              <c:f>'Rankogram Data'!$U$4</c:f>
              <c:strCache>
                <c:ptCount val="1"/>
                <c:pt idx="0">
                  <c:v>INDOTHERS</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2E-3</c:v>
                </c:pt>
                <c:pt idx="1">
                  <c:v>7.2830000000000006E-2</c:v>
                </c:pt>
                <c:pt idx="2">
                  <c:v>0.23180000000000001</c:v>
                </c:pt>
                <c:pt idx="3">
                  <c:v>0.31440000000000001</c:v>
                </c:pt>
                <c:pt idx="4">
                  <c:v>0.2248</c:v>
                </c:pt>
                <c:pt idx="5">
                  <c:v>0.1056</c:v>
                </c:pt>
                <c:pt idx="6">
                  <c:v>3.5499999999999997E-2</c:v>
                </c:pt>
                <c:pt idx="7">
                  <c:v>9.7000000000000003E-3</c:v>
                </c:pt>
                <c:pt idx="8">
                  <c:v>3.3E-3</c:v>
                </c:pt>
                <c:pt idx="9">
                  <c:v>6.6669999999999997E-5</c:v>
                </c:pt>
              </c:numCache>
            </c:numRef>
          </c:val>
          <c:smooth val="0"/>
        </c:ser>
        <c:ser>
          <c:idx val="9"/>
          <c:order val="9"/>
          <c:tx>
            <c:strRef>
              <c:f>'Rankogram Data'!$V$4</c:f>
              <c:strCache>
                <c:ptCount val="1"/>
                <c:pt idx="0">
                  <c:v>PLAC_NORX</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0</c:v>
                </c:pt>
                <c:pt idx="1">
                  <c:v>0</c:v>
                </c:pt>
                <c:pt idx="2">
                  <c:v>2.9999999999999997E-4</c:v>
                </c:pt>
                <c:pt idx="3">
                  <c:v>1.4E-3</c:v>
                </c:pt>
                <c:pt idx="4">
                  <c:v>5.2329999999999998E-3</c:v>
                </c:pt>
                <c:pt idx="5">
                  <c:v>1.397E-2</c:v>
                </c:pt>
                <c:pt idx="6">
                  <c:v>4.07E-2</c:v>
                </c:pt>
                <c:pt idx="7">
                  <c:v>0.11</c:v>
                </c:pt>
                <c:pt idx="8">
                  <c:v>0.3291</c:v>
                </c:pt>
                <c:pt idx="9">
                  <c:v>0.49930000000000002</c:v>
                </c:pt>
              </c:numCache>
            </c:numRef>
          </c:val>
          <c:smooth val="0"/>
        </c:ser>
        <c:ser>
          <c:idx val="10"/>
          <c:order val="10"/>
          <c:tx>
            <c:strRef>
              <c:f>'Rankogram Data'!$W$4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smooth val="0"/>
        <c:axId val="616010984"/>
        <c:axId val="615973744"/>
      </c:lineChart>
      <c:catAx>
        <c:axId val="616010984"/>
        <c:scaling>
          <c:orientation val="minMax"/>
        </c:scaling>
        <c:delete val="0"/>
        <c:axPos val="b"/>
        <c:title>
          <c:tx>
            <c:rich>
              <a:bodyPr/>
              <a:lstStyle/>
              <a:p>
                <a:pPr>
                  <a:defRPr sz="1100"/>
                </a:pPr>
                <a:r>
                  <a:rPr lang="en-US" sz="1100"/>
                  <a:t>Rank</a:t>
                </a:r>
              </a:p>
            </c:rich>
          </c:tx>
          <c:layout>
            <c:manualLayout>
              <c:xMode val="edge"/>
              <c:yMode val="edge"/>
              <c:x val="0.38751809869920828"/>
              <c:y val="0.88750082016866638"/>
            </c:manualLayout>
          </c:layout>
          <c:overlay val="0"/>
        </c:title>
        <c:numFmt formatCode="General" sourceLinked="1"/>
        <c:majorTickMark val="out"/>
        <c:minorTickMark val="none"/>
        <c:tickLblPos val="nextTo"/>
        <c:txPr>
          <a:bodyPr/>
          <a:lstStyle/>
          <a:p>
            <a:pPr>
              <a:defRPr b="1"/>
            </a:pPr>
            <a:endParaRPr lang="en-US"/>
          </a:p>
        </c:txPr>
        <c:crossAx val="615973744"/>
        <c:crosses val="autoZero"/>
        <c:auto val="1"/>
        <c:lblAlgn val="ctr"/>
        <c:lblOffset val="100"/>
        <c:noMultiLvlLbl val="0"/>
      </c:catAx>
      <c:valAx>
        <c:axId val="615973744"/>
        <c:scaling>
          <c:orientation val="minMax"/>
          <c:max val="1.05"/>
          <c:min val="0"/>
        </c:scaling>
        <c:delete val="0"/>
        <c:axPos val="l"/>
        <c:majorGridlines>
          <c:spPr>
            <a:ln>
              <a:solidFill>
                <a:sysClr val="windowText" lastClr="000000"/>
              </a:solidFill>
            </a:ln>
          </c:spPr>
        </c:majorGridlines>
        <c:title>
          <c:tx>
            <c:rich>
              <a:bodyPr rot="-5400000" vert="horz"/>
              <a:lstStyle/>
              <a:p>
                <a:pPr>
                  <a:defRPr sz="1200"/>
                </a:pPr>
                <a:r>
                  <a:rPr lang="en-US" sz="1200"/>
                  <a:t>Probability of Being Ranked</a:t>
                </a:r>
              </a:p>
            </c:rich>
          </c:tx>
          <c:overlay val="0"/>
        </c:title>
        <c:numFmt formatCode="General" sourceLinked="1"/>
        <c:majorTickMark val="out"/>
        <c:minorTickMark val="none"/>
        <c:tickLblPos val="nextTo"/>
        <c:txPr>
          <a:bodyPr/>
          <a:lstStyle/>
          <a:p>
            <a:pPr>
              <a:defRPr b="1"/>
            </a:pPr>
            <a:endParaRPr lang="en-US"/>
          </a:p>
        </c:txPr>
        <c:crossAx val="616010984"/>
        <c:crosses val="autoZero"/>
        <c:crossBetween val="between"/>
        <c:majorUnit val="0.1"/>
      </c:valAx>
      <c:spPr>
        <a:solidFill>
          <a:schemeClr val="bg1"/>
        </a:solidFill>
        <a:ln>
          <a:solidFill>
            <a:sysClr val="windowText" lastClr="000000"/>
          </a:solidFill>
        </a:ln>
        <a:effectLst>
          <a:outerShdw blurRad="50800" dist="38100" dir="8100000" algn="tr" rotWithShape="0">
            <a:prstClr val="black">
              <a:alpha val="40000"/>
            </a:prstClr>
          </a:outerShdw>
        </a:effectLst>
      </c:spPr>
    </c:plotArea>
    <c:legend>
      <c:legendPos val="r"/>
      <c:layout>
        <c:manualLayout>
          <c:xMode val="edge"/>
          <c:yMode val="edge"/>
          <c:x val="0.73255896859046454"/>
          <c:y val="9.0924255815095223E-2"/>
          <c:w val="0.15631542211069771"/>
          <c:h val="0.38931996618601472"/>
        </c:manualLayout>
      </c:layout>
      <c:overlay val="0"/>
      <c:spPr>
        <a:solidFill>
          <a:schemeClr val="bg1"/>
        </a:solidFill>
        <a:ln>
          <a:solidFill>
            <a:sysClr val="windowText" lastClr="000000"/>
          </a:solidFill>
        </a:ln>
        <a:effectLst>
          <a:outerShdw blurRad="50800" dist="38100" dir="8100000" algn="tr" rotWithShape="0">
            <a:prstClr val="black">
              <a:alpha val="40000"/>
            </a:prstClr>
          </a:outerShdw>
        </a:effectLst>
      </c:spPr>
      <c:txPr>
        <a:bodyPr/>
        <a:lstStyle/>
        <a:p>
          <a:pPr>
            <a:defRPr sz="1100"/>
          </a:pPr>
          <a:endParaRPr lang="en-US"/>
        </a:p>
      </c:txPr>
    </c:legend>
    <c:plotVisOnly val="1"/>
    <c:dispBlanksAs val="gap"/>
    <c:showDLblsOverMax val="0"/>
  </c:chart>
  <c:spPr>
    <a:solidFill>
      <a:schemeClr val="accent1">
        <a:lumMod val="20000"/>
        <a:lumOff val="80000"/>
      </a:schemeClr>
    </a:solidFill>
    <a:effectLst>
      <a:outerShdw blurRad="50800" dist="38100" dir="8100000" algn="tr" rotWithShape="0">
        <a:prstClr val="black">
          <a:alpha val="40000"/>
        </a:prstClr>
      </a:outerShdw>
    </a:effectLst>
  </c:spPr>
  <c:printSettings>
    <c:headerFooter/>
    <c:pageMargins b="0.75000000000000833" l="0.70000000000000062" r="0.70000000000000062" t="0.750000000000008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97656"/>
        <c:axId val="616009024"/>
      </c:scatterChart>
      <c:valAx>
        <c:axId val="615997656"/>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6009024"/>
        <c:crosses val="autoZero"/>
        <c:crossBetween val="midCat"/>
        <c:majorUnit val="0.5"/>
        <c:minorUnit val="0.25"/>
      </c:valAx>
      <c:valAx>
        <c:axId val="61600902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97656"/>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numCache>
            </c:numRef>
          </c:xVal>
          <c:yVal>
            <c:numRef>
              <c:f>'Inconsistency Data'!$J$6:$J$105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74528"/>
        <c:axId val="615983544"/>
      </c:scatterChart>
      <c:valAx>
        <c:axId val="61597452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83544"/>
        <c:crosses val="autoZero"/>
        <c:crossBetween val="midCat"/>
        <c:majorUnit val="0.5"/>
        <c:minorUnit val="0.25"/>
      </c:valAx>
      <c:valAx>
        <c:axId val="61598354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7452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17" zoomScale="120" zoomScaleNormal="120" workbookViewId="0">
      <selection activeCell="G7" sqref="G7"/>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0" t="s">
        <v>118</v>
      </c>
      <c r="G9" s="231"/>
      <c r="H9" s="232"/>
    </row>
    <row r="10" spans="2:16" ht="15.75" thickBot="1" x14ac:dyDescent="0.3">
      <c r="B10" s="20"/>
      <c r="C10" s="18" t="s">
        <v>36</v>
      </c>
      <c r="D10" s="174">
        <v>10000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269</v>
      </c>
      <c r="D16" s="168">
        <v>1</v>
      </c>
      <c r="F16" s="239"/>
      <c r="G16" s="240"/>
      <c r="H16" s="241"/>
    </row>
    <row r="17" spans="2:8" ht="15.75" customHeight="1" thickBot="1" x14ac:dyDescent="0.3">
      <c r="B17" s="20"/>
      <c r="C17" s="18" t="s">
        <v>270</v>
      </c>
      <c r="D17" s="169">
        <v>2</v>
      </c>
      <c r="F17" s="233"/>
      <c r="G17" s="234"/>
      <c r="H17" s="235"/>
    </row>
    <row r="18" spans="2:8" ht="33.75" customHeight="1" thickTop="1" thickBot="1" x14ac:dyDescent="0.3">
      <c r="B18" s="21" t="s">
        <v>115</v>
      </c>
    </row>
    <row r="19" spans="2:8" ht="35.25" customHeight="1" thickTop="1" thickBot="1" x14ac:dyDescent="0.3">
      <c r="C19" s="24" t="s">
        <v>34</v>
      </c>
      <c r="D19" s="170" t="s">
        <v>297</v>
      </c>
      <c r="E19" t="s">
        <v>82</v>
      </c>
      <c r="F19" s="236" t="s">
        <v>133</v>
      </c>
      <c r="G19" s="237"/>
      <c r="H19" s="238"/>
    </row>
    <row r="20" spans="2:8" ht="33" customHeight="1" thickTop="1" x14ac:dyDescent="0.25">
      <c r="C20" s="25" t="s">
        <v>48</v>
      </c>
      <c r="D20" s="170" t="s">
        <v>313</v>
      </c>
      <c r="F20" s="230" t="s">
        <v>138</v>
      </c>
      <c r="G20" s="231"/>
      <c r="H20" s="232"/>
    </row>
    <row r="21" spans="2:8" ht="33" customHeight="1" thickBot="1" x14ac:dyDescent="0.3">
      <c r="C21" s="24" t="s">
        <v>49</v>
      </c>
      <c r="D21" s="170" t="s">
        <v>314</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6" t="s">
        <v>273</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X7" sqref="X7"/>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28</v>
      </c>
      <c r="D2" s="142" t="s">
        <v>14</v>
      </c>
      <c r="G2" s="60"/>
      <c r="H2" s="60"/>
    </row>
    <row r="3" spans="3:34" ht="19.5" thickBot="1" x14ac:dyDescent="0.35">
      <c r="C3" s="143">
        <f>COUNTIF(E5:AH5,"&lt;&gt;")</f>
        <v>10</v>
      </c>
      <c r="D3" s="142" t="s">
        <v>15</v>
      </c>
      <c r="E3" s="244" t="s">
        <v>231</v>
      </c>
      <c r="F3" s="245"/>
      <c r="G3" s="245"/>
      <c r="H3" s="245"/>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6"/>
    </row>
    <row r="4" spans="3:34" ht="15.75" thickBot="1" x14ac:dyDescent="0.3">
      <c r="C4" s="143">
        <f>COUNTIF(F7:F56,"&lt;&gt;")</f>
        <v>13</v>
      </c>
      <c r="D4" s="142" t="s">
        <v>114</v>
      </c>
      <c r="E4" s="242">
        <v>1</v>
      </c>
      <c r="F4" s="243"/>
      <c r="G4" s="242">
        <f>E4+1</f>
        <v>2</v>
      </c>
      <c r="H4" s="243"/>
      <c r="I4" s="242">
        <f>G4+1</f>
        <v>3</v>
      </c>
      <c r="J4" s="243"/>
      <c r="K4" s="242">
        <f>I4+1</f>
        <v>4</v>
      </c>
      <c r="L4" s="243"/>
      <c r="M4" s="242">
        <f>K4+1</f>
        <v>5</v>
      </c>
      <c r="N4" s="243"/>
      <c r="O4" s="242">
        <f>M4+1</f>
        <v>6</v>
      </c>
      <c r="P4" s="243"/>
      <c r="Q4" s="242">
        <f>O4+1</f>
        <v>7</v>
      </c>
      <c r="R4" s="243"/>
      <c r="S4" s="242">
        <f>Q4+1</f>
        <v>8</v>
      </c>
      <c r="T4" s="243"/>
      <c r="U4" s="242">
        <f>S4+1</f>
        <v>9</v>
      </c>
      <c r="V4" s="243"/>
      <c r="W4" s="242">
        <f>U4+1</f>
        <v>10</v>
      </c>
      <c r="X4" s="243"/>
      <c r="Y4" s="242">
        <f>W4+1</f>
        <v>11</v>
      </c>
      <c r="Z4" s="243"/>
      <c r="AA4" s="242">
        <f>Y4+1</f>
        <v>12</v>
      </c>
      <c r="AB4" s="243"/>
      <c r="AC4" s="242">
        <f>AA4+1</f>
        <v>13</v>
      </c>
      <c r="AD4" s="243"/>
      <c r="AE4" s="242">
        <f>AC4+1</f>
        <v>14</v>
      </c>
      <c r="AF4" s="243"/>
      <c r="AG4" s="242">
        <f>AE4+1</f>
        <v>15</v>
      </c>
      <c r="AH4" s="243"/>
    </row>
    <row r="5" spans="3:34" ht="19.5" customHeight="1" thickBot="1" x14ac:dyDescent="0.3">
      <c r="C5" s="254" t="s">
        <v>9</v>
      </c>
      <c r="D5" s="140" t="s">
        <v>241</v>
      </c>
      <c r="E5" s="252" t="s">
        <v>351</v>
      </c>
      <c r="F5" s="253"/>
      <c r="G5" s="250" t="s">
        <v>352</v>
      </c>
      <c r="H5" s="251"/>
      <c r="I5" s="250" t="s">
        <v>353</v>
      </c>
      <c r="J5" s="251"/>
      <c r="K5" s="250" t="s">
        <v>354</v>
      </c>
      <c r="L5" s="251"/>
      <c r="M5" s="250" t="s">
        <v>355</v>
      </c>
      <c r="N5" s="251"/>
      <c r="O5" s="250" t="s">
        <v>356</v>
      </c>
      <c r="P5" s="251"/>
      <c r="Q5" s="250" t="s">
        <v>357</v>
      </c>
      <c r="R5" s="251"/>
      <c r="S5" s="250" t="s">
        <v>358</v>
      </c>
      <c r="T5" s="251"/>
      <c r="U5" s="250" t="s">
        <v>359</v>
      </c>
      <c r="V5" s="251"/>
      <c r="W5" s="250" t="s">
        <v>360</v>
      </c>
      <c r="X5" s="251"/>
      <c r="Y5" s="250"/>
      <c r="Z5" s="251"/>
      <c r="AA5" s="250"/>
      <c r="AB5" s="251"/>
      <c r="AC5" s="250"/>
      <c r="AD5" s="251"/>
      <c r="AE5" s="250"/>
      <c r="AF5" s="251"/>
      <c r="AG5" s="250"/>
      <c r="AH5" s="251"/>
    </row>
    <row r="6" spans="3:34" ht="32.25" customHeight="1" thickBot="1" x14ac:dyDescent="0.3">
      <c r="C6" s="255"/>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c r="F7" s="63"/>
      <c r="G7" s="62">
        <v>8</v>
      </c>
      <c r="H7" s="63">
        <v>68</v>
      </c>
      <c r="I7" s="62"/>
      <c r="J7" s="63"/>
      <c r="K7" s="62"/>
      <c r="L7" s="63"/>
      <c r="M7" s="62"/>
      <c r="N7" s="63"/>
      <c r="O7" s="62"/>
      <c r="P7" s="63"/>
      <c r="Q7" s="62"/>
      <c r="R7" s="63"/>
      <c r="S7" s="62"/>
      <c r="T7" s="63"/>
      <c r="U7" s="62"/>
      <c r="V7" s="63"/>
      <c r="W7" s="62">
        <v>9</v>
      </c>
      <c r="X7" s="63">
        <v>68</v>
      </c>
      <c r="Y7" s="62"/>
      <c r="Z7" s="63"/>
      <c r="AA7" s="62"/>
      <c r="AB7" s="63"/>
      <c r="AC7" s="62"/>
      <c r="AD7" s="63"/>
      <c r="AE7" s="62"/>
      <c r="AF7" s="63"/>
      <c r="AG7" s="62"/>
      <c r="AH7" s="63"/>
    </row>
    <row r="8" spans="3:34" x14ac:dyDescent="0.25">
      <c r="C8" s="79">
        <v>2</v>
      </c>
      <c r="D8" s="61">
        <v>4</v>
      </c>
      <c r="E8" s="62">
        <v>0</v>
      </c>
      <c r="F8" s="63">
        <v>37</v>
      </c>
      <c r="G8" s="62"/>
      <c r="H8" s="63"/>
      <c r="I8" s="62"/>
      <c r="J8" s="63"/>
      <c r="K8" s="62">
        <v>0</v>
      </c>
      <c r="L8" s="63">
        <v>36</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8</v>
      </c>
      <c r="E9" s="62"/>
      <c r="F9" s="63"/>
      <c r="G9" s="62">
        <v>1</v>
      </c>
      <c r="H9" s="63">
        <v>34</v>
      </c>
      <c r="I9" s="62">
        <v>1</v>
      </c>
      <c r="J9" s="63">
        <v>36</v>
      </c>
      <c r="K9" s="62"/>
      <c r="L9" s="63"/>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9</v>
      </c>
      <c r="E10" s="62"/>
      <c r="F10" s="63"/>
      <c r="G10" s="62">
        <v>1</v>
      </c>
      <c r="H10" s="63">
        <v>50</v>
      </c>
      <c r="I10" s="62">
        <v>1</v>
      </c>
      <c r="J10" s="63">
        <v>52</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11</v>
      </c>
      <c r="E11" s="62"/>
      <c r="F11" s="63"/>
      <c r="G11" s="62">
        <v>4</v>
      </c>
      <c r="H11" s="63">
        <v>32</v>
      </c>
      <c r="I11" s="62">
        <v>1</v>
      </c>
      <c r="J11" s="63">
        <v>32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15</v>
      </c>
      <c r="E12" s="62">
        <v>1</v>
      </c>
      <c r="F12" s="63">
        <v>20</v>
      </c>
      <c r="G12" s="62"/>
      <c r="H12" s="63"/>
      <c r="I12" s="62"/>
      <c r="J12" s="63"/>
      <c r="K12" s="62"/>
      <c r="L12" s="63"/>
      <c r="M12" s="62"/>
      <c r="N12" s="63"/>
      <c r="O12" s="62"/>
      <c r="P12" s="63"/>
      <c r="Q12" s="62"/>
      <c r="R12" s="63"/>
      <c r="S12" s="62"/>
      <c r="T12" s="63"/>
      <c r="U12" s="62"/>
      <c r="V12" s="63"/>
      <c r="W12" s="62">
        <v>7</v>
      </c>
      <c r="X12" s="63">
        <v>19</v>
      </c>
      <c r="Y12" s="62"/>
      <c r="Z12" s="63"/>
      <c r="AA12" s="62"/>
      <c r="AB12" s="63"/>
      <c r="AC12" s="62"/>
      <c r="AD12" s="63"/>
      <c r="AE12" s="62"/>
      <c r="AF12" s="63"/>
      <c r="AG12" s="62"/>
      <c r="AH12" s="63"/>
    </row>
    <row r="13" spans="3:34" x14ac:dyDescent="0.25">
      <c r="C13" s="79">
        <v>7</v>
      </c>
      <c r="D13" s="61">
        <v>17</v>
      </c>
      <c r="E13" s="62"/>
      <c r="F13" s="63"/>
      <c r="G13" s="62">
        <v>4</v>
      </c>
      <c r="H13" s="63">
        <v>32</v>
      </c>
      <c r="I13" s="62"/>
      <c r="J13" s="63"/>
      <c r="K13" s="62"/>
      <c r="L13" s="63"/>
      <c r="M13" s="62"/>
      <c r="N13" s="63"/>
      <c r="O13" s="62"/>
      <c r="P13" s="63"/>
      <c r="Q13" s="62"/>
      <c r="R13" s="63"/>
      <c r="S13" s="62">
        <v>2</v>
      </c>
      <c r="T13" s="63">
        <v>31</v>
      </c>
      <c r="U13" s="62"/>
      <c r="V13" s="63"/>
      <c r="W13" s="62"/>
      <c r="X13" s="63"/>
      <c r="Y13" s="62"/>
      <c r="Z13" s="63"/>
      <c r="AA13" s="62"/>
      <c r="AB13" s="63"/>
      <c r="AC13" s="62"/>
      <c r="AD13" s="63"/>
      <c r="AE13" s="62"/>
      <c r="AF13" s="63"/>
      <c r="AG13" s="62"/>
      <c r="AH13" s="63"/>
    </row>
    <row r="14" spans="3:34" x14ac:dyDescent="0.25">
      <c r="C14" s="79">
        <v>8</v>
      </c>
      <c r="D14" s="61">
        <v>18</v>
      </c>
      <c r="E14" s="62"/>
      <c r="F14" s="63"/>
      <c r="G14" s="62">
        <v>2</v>
      </c>
      <c r="H14" s="63">
        <v>35</v>
      </c>
      <c r="I14" s="62"/>
      <c r="J14" s="63"/>
      <c r="K14" s="62"/>
      <c r="L14" s="63"/>
      <c r="M14" s="62">
        <v>2</v>
      </c>
      <c r="N14" s="63">
        <v>35</v>
      </c>
      <c r="O14" s="62"/>
      <c r="P14" s="63"/>
      <c r="Q14" s="62"/>
      <c r="R14" s="63"/>
      <c r="S14" s="62"/>
      <c r="T14" s="63"/>
      <c r="U14" s="62"/>
      <c r="V14" s="63"/>
      <c r="W14" s="62"/>
      <c r="X14" s="63"/>
      <c r="Y14" s="62"/>
      <c r="Z14" s="63"/>
      <c r="AA14" s="62"/>
      <c r="AB14" s="63"/>
      <c r="AC14" s="62"/>
      <c r="AD14" s="63"/>
      <c r="AE14" s="62"/>
      <c r="AF14" s="63"/>
      <c r="AG14" s="62"/>
      <c r="AH14" s="63"/>
    </row>
    <row r="15" spans="3:34" x14ac:dyDescent="0.25">
      <c r="C15" s="79">
        <v>9</v>
      </c>
      <c r="D15" s="61">
        <v>22</v>
      </c>
      <c r="E15" s="62">
        <v>0</v>
      </c>
      <c r="F15" s="63">
        <v>44</v>
      </c>
      <c r="G15" s="62"/>
      <c r="H15" s="63"/>
      <c r="I15" s="62"/>
      <c r="J15" s="63"/>
      <c r="K15" s="62"/>
      <c r="L15" s="63"/>
      <c r="M15" s="62"/>
      <c r="N15" s="63"/>
      <c r="O15" s="62"/>
      <c r="P15" s="63"/>
      <c r="Q15" s="62"/>
      <c r="R15" s="63"/>
      <c r="S15" s="62"/>
      <c r="T15" s="63"/>
      <c r="U15" s="62"/>
      <c r="V15" s="63"/>
      <c r="W15" s="62">
        <v>2</v>
      </c>
      <c r="X15" s="63">
        <v>48</v>
      </c>
      <c r="Y15" s="62"/>
      <c r="Z15" s="63"/>
      <c r="AA15" s="62"/>
      <c r="AB15" s="63"/>
      <c r="AC15" s="62"/>
      <c r="AD15" s="63"/>
      <c r="AE15" s="62"/>
      <c r="AF15" s="63"/>
      <c r="AG15" s="62"/>
      <c r="AH15" s="63"/>
    </row>
    <row r="16" spans="3:34" x14ac:dyDescent="0.25">
      <c r="C16" s="79">
        <v>10</v>
      </c>
      <c r="D16" s="61">
        <v>25</v>
      </c>
      <c r="E16" s="62"/>
      <c r="F16" s="63"/>
      <c r="G16" s="62">
        <v>11</v>
      </c>
      <c r="H16" s="63">
        <v>56</v>
      </c>
      <c r="I16" s="62"/>
      <c r="J16" s="63"/>
      <c r="K16" s="62"/>
      <c r="L16" s="63"/>
      <c r="M16" s="62"/>
      <c r="N16" s="63"/>
      <c r="O16" s="62"/>
      <c r="P16" s="63"/>
      <c r="Q16" s="62">
        <v>3</v>
      </c>
      <c r="R16" s="63">
        <v>55</v>
      </c>
      <c r="S16" s="62"/>
      <c r="T16" s="63"/>
      <c r="U16" s="62"/>
      <c r="V16" s="63"/>
      <c r="W16" s="62"/>
      <c r="X16" s="63"/>
      <c r="Y16" s="62"/>
      <c r="Z16" s="63"/>
      <c r="AA16" s="62"/>
      <c r="AB16" s="63"/>
      <c r="AC16" s="62"/>
      <c r="AD16" s="63"/>
      <c r="AE16" s="62"/>
      <c r="AF16" s="63"/>
      <c r="AG16" s="62"/>
      <c r="AH16" s="63"/>
    </row>
    <row r="17" spans="3:34" x14ac:dyDescent="0.25">
      <c r="C17" s="79">
        <v>11</v>
      </c>
      <c r="D17" s="61">
        <v>26</v>
      </c>
      <c r="E17" s="62">
        <v>13</v>
      </c>
      <c r="F17" s="63">
        <v>69</v>
      </c>
      <c r="G17" s="62"/>
      <c r="H17" s="63"/>
      <c r="I17" s="62"/>
      <c r="J17" s="63"/>
      <c r="K17" s="62"/>
      <c r="L17" s="63"/>
      <c r="M17" s="62"/>
      <c r="N17" s="63"/>
      <c r="O17" s="62"/>
      <c r="P17" s="63"/>
      <c r="Q17" s="62"/>
      <c r="R17" s="63"/>
      <c r="S17" s="62"/>
      <c r="T17" s="63"/>
      <c r="U17" s="62">
        <v>8</v>
      </c>
      <c r="V17" s="63">
        <v>71</v>
      </c>
      <c r="W17" s="62"/>
      <c r="X17" s="63"/>
      <c r="Y17" s="62"/>
      <c r="Z17" s="63"/>
      <c r="AA17" s="62"/>
      <c r="AB17" s="63"/>
      <c r="AC17" s="62"/>
      <c r="AD17" s="63"/>
      <c r="AE17" s="62"/>
      <c r="AF17" s="63"/>
      <c r="AG17" s="62"/>
      <c r="AH17" s="63"/>
    </row>
    <row r="18" spans="3:34" x14ac:dyDescent="0.25">
      <c r="C18" s="79">
        <v>12</v>
      </c>
      <c r="D18" s="61">
        <v>29</v>
      </c>
      <c r="E18" s="62"/>
      <c r="F18" s="63"/>
      <c r="G18" s="62"/>
      <c r="H18" s="63"/>
      <c r="I18" s="62"/>
      <c r="J18" s="63"/>
      <c r="K18" s="62"/>
      <c r="L18" s="63"/>
      <c r="M18" s="62"/>
      <c r="N18" s="63"/>
      <c r="O18" s="62"/>
      <c r="P18" s="63"/>
      <c r="Q18" s="62"/>
      <c r="R18" s="63"/>
      <c r="S18" s="62"/>
      <c r="T18" s="63"/>
      <c r="U18" s="62">
        <v>4</v>
      </c>
      <c r="V18" s="63">
        <v>24</v>
      </c>
      <c r="W18" s="62">
        <v>13</v>
      </c>
      <c r="X18" s="63">
        <v>23</v>
      </c>
      <c r="Y18" s="62"/>
      <c r="Z18" s="63"/>
      <c r="AA18" s="62"/>
      <c r="AB18" s="63"/>
      <c r="AC18" s="62"/>
      <c r="AD18" s="63"/>
      <c r="AE18" s="62"/>
      <c r="AF18" s="63"/>
      <c r="AG18" s="62"/>
      <c r="AH18" s="63"/>
    </row>
    <row r="19" spans="3:34" x14ac:dyDescent="0.25">
      <c r="C19" s="79">
        <v>13</v>
      </c>
      <c r="D19" s="61">
        <v>30</v>
      </c>
      <c r="E19" s="62"/>
      <c r="F19" s="63"/>
      <c r="G19" s="62"/>
      <c r="H19" s="63"/>
      <c r="I19" s="62"/>
      <c r="J19" s="63"/>
      <c r="K19" s="62"/>
      <c r="L19" s="63"/>
      <c r="M19" s="62"/>
      <c r="N19" s="63"/>
      <c r="O19" s="62"/>
      <c r="P19" s="63"/>
      <c r="Q19" s="62"/>
      <c r="R19" s="63"/>
      <c r="S19" s="62"/>
      <c r="T19" s="63"/>
      <c r="U19" s="62">
        <v>2</v>
      </c>
      <c r="V19" s="63">
        <v>12</v>
      </c>
      <c r="W19" s="62">
        <v>5</v>
      </c>
      <c r="X19" s="63">
        <v>11</v>
      </c>
      <c r="Y19" s="62"/>
      <c r="Z19" s="63"/>
      <c r="AA19" s="62"/>
      <c r="AB19" s="63"/>
      <c r="AC19" s="62"/>
      <c r="AD19" s="63"/>
      <c r="AE19" s="62"/>
      <c r="AF19" s="63"/>
      <c r="AG19" s="62"/>
      <c r="AH19" s="63"/>
    </row>
    <row r="20" spans="3:34" x14ac:dyDescent="0.25">
      <c r="C20" s="79">
        <v>14</v>
      </c>
      <c r="D20" s="61">
        <v>32</v>
      </c>
      <c r="E20" s="62"/>
      <c r="F20" s="63"/>
      <c r="G20" s="62"/>
      <c r="H20" s="63"/>
      <c r="I20" s="62">
        <v>2</v>
      </c>
      <c r="J20" s="63">
        <v>40</v>
      </c>
      <c r="K20" s="62">
        <v>1</v>
      </c>
      <c r="L20" s="63">
        <v>40</v>
      </c>
      <c r="M20" s="62"/>
      <c r="N20" s="63"/>
      <c r="O20" s="62"/>
      <c r="P20" s="63"/>
      <c r="Q20" s="62"/>
      <c r="R20" s="63"/>
      <c r="S20" s="62"/>
      <c r="T20" s="63"/>
      <c r="U20" s="62"/>
      <c r="V20" s="63"/>
      <c r="W20" s="62"/>
      <c r="X20" s="63"/>
      <c r="Y20" s="62"/>
      <c r="Z20" s="63"/>
      <c r="AA20" s="62"/>
      <c r="AB20" s="63"/>
      <c r="AC20" s="62"/>
      <c r="AD20" s="63"/>
      <c r="AE20" s="62"/>
      <c r="AF20" s="63"/>
      <c r="AG20" s="62"/>
      <c r="AH20" s="63"/>
    </row>
    <row r="21" spans="3:34" x14ac:dyDescent="0.25">
      <c r="C21" s="79">
        <v>15</v>
      </c>
      <c r="D21" s="61">
        <v>35</v>
      </c>
      <c r="E21" s="62">
        <v>3</v>
      </c>
      <c r="F21" s="63">
        <v>20</v>
      </c>
      <c r="G21" s="62">
        <v>2</v>
      </c>
      <c r="H21" s="63">
        <v>20</v>
      </c>
      <c r="I21" s="62"/>
      <c r="J21" s="63"/>
      <c r="K21" s="62"/>
      <c r="L21" s="63"/>
      <c r="M21" s="62"/>
      <c r="N21" s="63"/>
      <c r="O21" s="62"/>
      <c r="P21" s="63"/>
      <c r="Q21" s="62"/>
      <c r="R21" s="63"/>
      <c r="S21" s="62"/>
      <c r="T21" s="63"/>
      <c r="U21" s="62"/>
      <c r="V21" s="63"/>
      <c r="W21" s="62"/>
      <c r="X21" s="63"/>
      <c r="Y21" s="62"/>
      <c r="Z21" s="63"/>
      <c r="AA21" s="62"/>
      <c r="AB21" s="63"/>
      <c r="AC21" s="62"/>
      <c r="AD21" s="63"/>
      <c r="AE21" s="62"/>
      <c r="AF21" s="63"/>
      <c r="AG21" s="62"/>
      <c r="AH21" s="63"/>
    </row>
    <row r="22" spans="3:34" x14ac:dyDescent="0.25">
      <c r="C22" s="79">
        <v>16</v>
      </c>
      <c r="D22" s="61">
        <v>37</v>
      </c>
      <c r="E22" s="62">
        <v>0</v>
      </c>
      <c r="F22" s="63">
        <v>15</v>
      </c>
      <c r="G22" s="62">
        <v>3</v>
      </c>
      <c r="H22" s="63">
        <v>18</v>
      </c>
      <c r="I22" s="62"/>
      <c r="J22" s="63"/>
      <c r="K22" s="62"/>
      <c r="L22" s="63"/>
      <c r="M22" s="62"/>
      <c r="N22" s="63"/>
      <c r="O22" s="62"/>
      <c r="P22" s="63"/>
      <c r="Q22" s="62"/>
      <c r="R22" s="63"/>
      <c r="S22" s="62"/>
      <c r="T22" s="63"/>
      <c r="U22" s="62"/>
      <c r="V22" s="63"/>
      <c r="W22" s="62"/>
      <c r="X22" s="63"/>
      <c r="Y22" s="62"/>
      <c r="Z22" s="63"/>
      <c r="AA22" s="62"/>
      <c r="AB22" s="63"/>
      <c r="AC22" s="62"/>
      <c r="AD22" s="63"/>
      <c r="AE22" s="62"/>
      <c r="AF22" s="63"/>
      <c r="AG22" s="62"/>
      <c r="AH22" s="63"/>
    </row>
    <row r="23" spans="3:34" x14ac:dyDescent="0.25">
      <c r="C23" s="79">
        <v>17</v>
      </c>
      <c r="D23" s="61">
        <v>45</v>
      </c>
      <c r="E23" s="62"/>
      <c r="F23" s="63"/>
      <c r="G23" s="62"/>
      <c r="H23" s="63"/>
      <c r="I23" s="62"/>
      <c r="J23" s="63"/>
      <c r="K23" s="62"/>
      <c r="L23" s="63"/>
      <c r="M23" s="62"/>
      <c r="N23" s="63"/>
      <c r="O23" s="62"/>
      <c r="P23" s="63"/>
      <c r="Q23" s="62"/>
      <c r="R23" s="63"/>
      <c r="S23" s="62"/>
      <c r="T23" s="63"/>
      <c r="U23" s="62">
        <v>2</v>
      </c>
      <c r="V23" s="63">
        <v>15</v>
      </c>
      <c r="W23" s="62">
        <v>2</v>
      </c>
      <c r="X23" s="63">
        <v>15</v>
      </c>
      <c r="Y23" s="62"/>
      <c r="Z23" s="63"/>
      <c r="AA23" s="62"/>
      <c r="AB23" s="63"/>
      <c r="AC23" s="62"/>
      <c r="AD23" s="63"/>
      <c r="AE23" s="62"/>
      <c r="AF23" s="63"/>
      <c r="AG23" s="62"/>
      <c r="AH23" s="63"/>
    </row>
    <row r="24" spans="3:34" x14ac:dyDescent="0.25">
      <c r="C24" s="79">
        <v>18</v>
      </c>
      <c r="D24" s="61">
        <v>46</v>
      </c>
      <c r="E24" s="62"/>
      <c r="F24" s="63"/>
      <c r="G24" s="62"/>
      <c r="H24" s="63"/>
      <c r="I24" s="62">
        <v>1</v>
      </c>
      <c r="J24" s="63">
        <v>31</v>
      </c>
      <c r="K24" s="62"/>
      <c r="L24" s="63"/>
      <c r="M24" s="62"/>
      <c r="N24" s="63"/>
      <c r="O24" s="62"/>
      <c r="P24" s="63"/>
      <c r="Q24" s="62"/>
      <c r="R24" s="63"/>
      <c r="S24" s="62"/>
      <c r="T24" s="63"/>
      <c r="U24" s="62"/>
      <c r="V24" s="63"/>
      <c r="W24" s="62">
        <v>0</v>
      </c>
      <c r="X24" s="63">
        <v>31</v>
      </c>
      <c r="Y24" s="62"/>
      <c r="Z24" s="63"/>
      <c r="AA24" s="62"/>
      <c r="AB24" s="63"/>
      <c r="AC24" s="62"/>
      <c r="AD24" s="63"/>
      <c r="AE24" s="62"/>
      <c r="AF24" s="63"/>
      <c r="AG24" s="62"/>
      <c r="AH24" s="63"/>
    </row>
    <row r="25" spans="3:34" x14ac:dyDescent="0.25">
      <c r="C25" s="79">
        <v>19</v>
      </c>
      <c r="D25" s="61">
        <v>49</v>
      </c>
      <c r="E25" s="62">
        <v>5</v>
      </c>
      <c r="F25" s="63">
        <v>59</v>
      </c>
      <c r="G25" s="62">
        <v>4</v>
      </c>
      <c r="H25" s="63">
        <v>60</v>
      </c>
      <c r="I25" s="62"/>
      <c r="J25" s="63"/>
      <c r="K25" s="62"/>
      <c r="L25" s="63"/>
      <c r="M25" s="62"/>
      <c r="N25" s="63"/>
      <c r="O25" s="62"/>
      <c r="P25" s="63"/>
      <c r="Q25" s="62"/>
      <c r="R25" s="63"/>
      <c r="S25" s="62"/>
      <c r="T25" s="63"/>
      <c r="U25" s="62"/>
      <c r="V25" s="63"/>
      <c r="W25" s="62"/>
      <c r="X25" s="63"/>
      <c r="Y25" s="62"/>
      <c r="Z25" s="63"/>
      <c r="AA25" s="62"/>
      <c r="AB25" s="63"/>
      <c r="AC25" s="62"/>
      <c r="AD25" s="63"/>
      <c r="AE25" s="62"/>
      <c r="AF25" s="63"/>
      <c r="AG25" s="62"/>
      <c r="AH25" s="63"/>
    </row>
    <row r="26" spans="3:34" x14ac:dyDescent="0.25">
      <c r="C26" s="79">
        <v>20</v>
      </c>
      <c r="D26" s="61">
        <v>53</v>
      </c>
      <c r="E26" s="62">
        <v>9</v>
      </c>
      <c r="F26" s="63">
        <v>74</v>
      </c>
      <c r="G26" s="62">
        <v>10</v>
      </c>
      <c r="H26" s="63">
        <v>74</v>
      </c>
      <c r="I26" s="62"/>
      <c r="J26" s="63"/>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v>54</v>
      </c>
      <c r="E27" s="62"/>
      <c r="F27" s="63"/>
      <c r="G27" s="62"/>
      <c r="H27" s="63"/>
      <c r="I27" s="62">
        <v>12</v>
      </c>
      <c r="J27" s="63">
        <v>48</v>
      </c>
      <c r="K27" s="62"/>
      <c r="L27" s="63"/>
      <c r="M27" s="62"/>
      <c r="N27" s="63"/>
      <c r="O27" s="62"/>
      <c r="P27" s="63"/>
      <c r="Q27" s="62"/>
      <c r="R27" s="63"/>
      <c r="S27" s="62"/>
      <c r="T27" s="63"/>
      <c r="U27" s="62">
        <v>7</v>
      </c>
      <c r="V27" s="63">
        <v>35</v>
      </c>
      <c r="W27" s="62"/>
      <c r="X27" s="63"/>
      <c r="Y27" s="62"/>
      <c r="Z27" s="63"/>
      <c r="AA27" s="62"/>
      <c r="AB27" s="63"/>
      <c r="AC27" s="62"/>
      <c r="AD27" s="63"/>
      <c r="AE27" s="62"/>
      <c r="AF27" s="63"/>
      <c r="AG27" s="62"/>
      <c r="AH27" s="63"/>
    </row>
    <row r="28" spans="3:34" x14ac:dyDescent="0.25">
      <c r="C28" s="79">
        <v>22</v>
      </c>
      <c r="D28" s="61">
        <v>55</v>
      </c>
      <c r="E28" s="62"/>
      <c r="F28" s="63"/>
      <c r="G28" s="62"/>
      <c r="H28" s="63"/>
      <c r="I28" s="62"/>
      <c r="J28" s="63"/>
      <c r="K28" s="62"/>
      <c r="L28" s="63"/>
      <c r="M28" s="62"/>
      <c r="N28" s="63"/>
      <c r="O28" s="62"/>
      <c r="P28" s="63"/>
      <c r="Q28" s="62"/>
      <c r="R28" s="63"/>
      <c r="S28" s="62"/>
      <c r="T28" s="63"/>
      <c r="U28" s="62">
        <v>4</v>
      </c>
      <c r="V28" s="63">
        <v>22</v>
      </c>
      <c r="W28" s="62">
        <v>13</v>
      </c>
      <c r="X28" s="63">
        <v>21</v>
      </c>
      <c r="Y28" s="62"/>
      <c r="Z28" s="63"/>
      <c r="AA28" s="62"/>
      <c r="AB28" s="63"/>
      <c r="AC28" s="62"/>
      <c r="AD28" s="63"/>
      <c r="AE28" s="62"/>
      <c r="AF28" s="63"/>
      <c r="AG28" s="62"/>
      <c r="AH28" s="63"/>
    </row>
    <row r="29" spans="3:34" x14ac:dyDescent="0.25">
      <c r="C29" s="79">
        <v>23</v>
      </c>
      <c r="D29" s="61">
        <v>56</v>
      </c>
      <c r="E29" s="62"/>
      <c r="F29" s="63"/>
      <c r="G29" s="62"/>
      <c r="H29" s="63"/>
      <c r="I29" s="62">
        <v>7</v>
      </c>
      <c r="J29" s="63">
        <v>30</v>
      </c>
      <c r="K29" s="62"/>
      <c r="L29" s="63"/>
      <c r="M29" s="62"/>
      <c r="N29" s="63"/>
      <c r="O29" s="62">
        <v>0</v>
      </c>
      <c r="P29" s="63">
        <v>30</v>
      </c>
      <c r="Q29" s="62"/>
      <c r="R29" s="63"/>
      <c r="S29" s="62"/>
      <c r="T29" s="63"/>
      <c r="U29" s="62"/>
      <c r="V29" s="63"/>
      <c r="W29" s="62"/>
      <c r="X29" s="63"/>
      <c r="Y29" s="62"/>
      <c r="Z29" s="63"/>
      <c r="AA29" s="62"/>
      <c r="AB29" s="63"/>
      <c r="AC29" s="62"/>
      <c r="AD29" s="63"/>
      <c r="AE29" s="62"/>
      <c r="AF29" s="63"/>
      <c r="AG29" s="62"/>
      <c r="AH29" s="63"/>
    </row>
    <row r="30" spans="3:34" x14ac:dyDescent="0.25">
      <c r="C30" s="79">
        <v>24</v>
      </c>
      <c r="D30" s="61">
        <v>58</v>
      </c>
      <c r="E30" s="62">
        <v>1</v>
      </c>
      <c r="F30" s="63">
        <v>28</v>
      </c>
      <c r="G30" s="62"/>
      <c r="H30" s="63"/>
      <c r="I30" s="62"/>
      <c r="J30" s="63"/>
      <c r="K30" s="62"/>
      <c r="L30" s="63"/>
      <c r="M30" s="62"/>
      <c r="N30" s="63"/>
      <c r="O30" s="62"/>
      <c r="P30" s="63"/>
      <c r="Q30" s="62"/>
      <c r="R30" s="63"/>
      <c r="S30" s="62"/>
      <c r="T30" s="63"/>
      <c r="U30" s="62"/>
      <c r="V30" s="63"/>
      <c r="W30" s="62">
        <v>0</v>
      </c>
      <c r="X30" s="63">
        <v>27</v>
      </c>
      <c r="Y30" s="62"/>
      <c r="Z30" s="63"/>
      <c r="AA30" s="62"/>
      <c r="AB30" s="63"/>
      <c r="AC30" s="62"/>
      <c r="AD30" s="63"/>
      <c r="AE30" s="62"/>
      <c r="AF30" s="63"/>
      <c r="AG30" s="62"/>
      <c r="AH30" s="63"/>
    </row>
    <row r="31" spans="3:34" x14ac:dyDescent="0.25">
      <c r="C31" s="79">
        <v>25</v>
      </c>
      <c r="D31" s="61">
        <v>62</v>
      </c>
      <c r="E31" s="62">
        <v>2</v>
      </c>
      <c r="F31" s="63">
        <v>24</v>
      </c>
      <c r="G31" s="62">
        <v>4</v>
      </c>
      <c r="H31" s="63">
        <v>23</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v>63</v>
      </c>
      <c r="E32" s="62">
        <v>0</v>
      </c>
      <c r="F32" s="63">
        <v>19</v>
      </c>
      <c r="G32" s="62">
        <v>2</v>
      </c>
      <c r="H32" s="63">
        <v>16</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v>65</v>
      </c>
      <c r="E33" s="62">
        <v>2</v>
      </c>
      <c r="F33" s="63">
        <v>18</v>
      </c>
      <c r="G33" s="62"/>
      <c r="H33" s="63"/>
      <c r="I33" s="62">
        <v>1</v>
      </c>
      <c r="J33" s="63">
        <v>16</v>
      </c>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v>66</v>
      </c>
      <c r="E34" s="62">
        <v>19</v>
      </c>
      <c r="F34" s="63">
        <v>73</v>
      </c>
      <c r="G34" s="62">
        <v>16</v>
      </c>
      <c r="H34" s="63">
        <v>71</v>
      </c>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c r="E35" s="62"/>
      <c r="F35" s="63"/>
      <c r="G35" s="62"/>
      <c r="H35" s="63"/>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c r="E36" s="62"/>
      <c r="F36" s="63"/>
      <c r="G36" s="62"/>
      <c r="H36" s="63"/>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c r="E37" s="62"/>
      <c r="F37" s="63"/>
      <c r="G37" s="62"/>
      <c r="H37" s="63"/>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30</v>
      </c>
      <c r="D57" s="77">
        <f>SUM(patient_totals)</f>
        <v>2043</v>
      </c>
      <c r="E57" s="247">
        <f>IF(SUM(F7:F56)=0,"",SUM(F7:F56))</f>
        <v>500</v>
      </c>
      <c r="F57" s="248"/>
      <c r="G57" s="247">
        <f>IF(SUM(H7:H56)=0,"",SUM(H7:H56))</f>
        <v>589</v>
      </c>
      <c r="H57" s="248"/>
      <c r="I57" s="247">
        <f>IF(SUM(J7:J56)=0,"",SUM(J7:J56))</f>
        <v>285</v>
      </c>
      <c r="J57" s="248"/>
      <c r="K57" s="247">
        <f>IF(SUM(L7:L56)=0,"",SUM(L7:L56))</f>
        <v>76</v>
      </c>
      <c r="L57" s="248"/>
      <c r="M57" s="247">
        <f>IF(SUM(N7:N56)=0,"",SUM(N7:N56))</f>
        <v>35</v>
      </c>
      <c r="N57" s="248"/>
      <c r="O57" s="247">
        <f>IF(SUM(P7:P56)=0,"",SUM(P7:P56))</f>
        <v>30</v>
      </c>
      <c r="P57" s="248"/>
      <c r="Q57" s="247">
        <f>IF(SUM(R7:R56)=0,"",SUM(R7:R56))</f>
        <v>55</v>
      </c>
      <c r="R57" s="248"/>
      <c r="S57" s="247">
        <f>IF(SUM(T7:T56)=0,"",SUM(T7:T56))</f>
        <v>31</v>
      </c>
      <c r="T57" s="248"/>
      <c r="U57" s="247">
        <f>IF(SUM(V7:V56)=0,"",SUM(V7:V56))</f>
        <v>179</v>
      </c>
      <c r="V57" s="248"/>
      <c r="W57" s="247">
        <f>IF(SUM(X7:X56)=0,"",SUM(X7:X56))</f>
        <v>263</v>
      </c>
      <c r="X57" s="248"/>
      <c r="Y57" s="247" t="str">
        <f>IF(SUM(Z7:Z56)=0,"",SUM(Z7:Z56))</f>
        <v/>
      </c>
      <c r="Z57" s="248"/>
      <c r="AA57" s="247" t="str">
        <f>IF(SUM(AB7:AB56)=0,"",SUM(AB7:AB56))</f>
        <v/>
      </c>
      <c r="AB57" s="248"/>
      <c r="AC57" s="247" t="str">
        <f>IF(SUM(AD7:AD56)=0,"",SUM(AD7:AD56))</f>
        <v/>
      </c>
      <c r="AD57" s="248"/>
      <c r="AE57" s="247" t="str">
        <f>IF(SUM(AF7:AF56)=0,"",SUM(AF7:AF56))</f>
        <v/>
      </c>
      <c r="AF57" s="248"/>
      <c r="AG57" s="249" t="str">
        <f>IF(SUM(AH7:AH56)=0,"",SUM(AH7:AH56))</f>
        <v/>
      </c>
      <c r="AH57" s="248"/>
    </row>
  </sheetData>
  <sheetProtection selectLockedCells="1"/>
  <mergeCells count="47">
    <mergeCell ref="C5:C6"/>
    <mergeCell ref="E4:F4"/>
    <mergeCell ref="G4:H4"/>
    <mergeCell ref="I4:J4"/>
    <mergeCell ref="O5:P5"/>
    <mergeCell ref="Q5:R5"/>
    <mergeCell ref="S5:T5"/>
    <mergeCell ref="E5:F5"/>
    <mergeCell ref="G5:H5"/>
    <mergeCell ref="I5:J5"/>
    <mergeCell ref="K5:L5"/>
    <mergeCell ref="M5:N5"/>
    <mergeCell ref="AA5:AB5"/>
    <mergeCell ref="AC5:AD5"/>
    <mergeCell ref="AE5:AF5"/>
    <mergeCell ref="AG5:AH5"/>
    <mergeCell ref="U5:V5"/>
    <mergeCell ref="W5:X5"/>
    <mergeCell ref="Y5:Z5"/>
    <mergeCell ref="E57:F57"/>
    <mergeCell ref="G57:H57"/>
    <mergeCell ref="I57:J57"/>
    <mergeCell ref="K57:L57"/>
    <mergeCell ref="M57:N57"/>
    <mergeCell ref="O57:P57"/>
    <mergeCell ref="Q57:R57"/>
    <mergeCell ref="S57:T57"/>
    <mergeCell ref="U57:V57"/>
    <mergeCell ref="W57:X57"/>
    <mergeCell ref="Y57:Z57"/>
    <mergeCell ref="AA57:AB57"/>
    <mergeCell ref="AC57:AD57"/>
    <mergeCell ref="AE57:AF57"/>
    <mergeCell ref="AG57:AH57"/>
    <mergeCell ref="AE4:AF4"/>
    <mergeCell ref="AG4:AH4"/>
    <mergeCell ref="E3:AH3"/>
    <mergeCell ref="U4:V4"/>
    <mergeCell ref="W4:X4"/>
    <mergeCell ref="Y4:Z4"/>
    <mergeCell ref="AA4:AB4"/>
    <mergeCell ref="AC4:AD4"/>
    <mergeCell ref="K4:L4"/>
    <mergeCell ref="M4:N4"/>
    <mergeCell ref="O4:P4"/>
    <mergeCell ref="Q4:R4"/>
    <mergeCell ref="S4:T4"/>
  </mergeCells>
  <conditionalFormatting sqref="D35:D56">
    <cfRule type="expression" dxfId="139" priority="203">
      <formula>$D34&lt;&gt;""</formula>
    </cfRule>
  </conditionalFormatting>
  <conditionalFormatting sqref="G5:H5">
    <cfRule type="expression" dxfId="138" priority="202">
      <formula>E$5&lt;&gt;""</formula>
    </cfRule>
  </conditionalFormatting>
  <conditionalFormatting sqref="I5:AH5">
    <cfRule type="expression" dxfId="137" priority="201">
      <formula>G$5&lt;&gt;""</formula>
    </cfRule>
  </conditionalFormatting>
  <conditionalFormatting sqref="E35:E56">
    <cfRule type="expression" dxfId="136" priority="196">
      <formula>AND($D35&lt;&gt;"",E$5&lt;&gt;"")</formula>
    </cfRule>
  </conditionalFormatting>
  <conditionalFormatting sqref="F35:F56">
    <cfRule type="expression" dxfId="135" priority="195">
      <formula>AND($D35&lt;&gt;"",E$5&lt;&gt;"")</formula>
    </cfRule>
  </conditionalFormatting>
  <conditionalFormatting sqref="M7 O7 Q7 S7 U7 W7 Y7 AA7 AC7 AE7 AG7">
    <cfRule type="expression" dxfId="134" priority="192">
      <formula>AND($D7&lt;&gt;"",M$5&lt;&gt;"")</formula>
    </cfRule>
  </conditionalFormatting>
  <conditionalFormatting sqref="N7 P7 R7 T7 V7 X7 Z7 AB7 AD7 AF7 AH7">
    <cfRule type="expression" dxfId="133" priority="191">
      <formula>AND($D7&lt;&gt;"",M$5&lt;&gt;"")</formula>
    </cfRule>
  </conditionalFormatting>
  <conditionalFormatting sqref="G35:G56">
    <cfRule type="expression" dxfId="132" priority="190">
      <formula>AND($D35&lt;&gt;"",G$5&lt;&gt;"")</formula>
    </cfRule>
  </conditionalFormatting>
  <conditionalFormatting sqref="H35:H56">
    <cfRule type="expression" dxfId="131" priority="189">
      <formula>AND($D35&lt;&gt;"",G$5&lt;&gt;"")</formula>
    </cfRule>
  </conditionalFormatting>
  <conditionalFormatting sqref="O8:O10 Q8:Q10 S8:S10 U8:U10 W8:W10 Y8:Y56 AA8:AA56 AC8:AC56 AE8:AE56 AG8:AG56 M8:M10 I25 K25 M25 S22 Q22 O22 W21:W22 U21:U22 U25 W25 O25 Q25 S25 S35:S56 Q35:Q56 O35:O56 U35:U56 M35:M56 K35:K56 I35:I56 W35:W56">
    <cfRule type="expression" dxfId="130" priority="188">
      <formula>AND($D8&lt;&gt;"",I$5&lt;&gt;"")</formula>
    </cfRule>
  </conditionalFormatting>
  <conditionalFormatting sqref="P8:P10 R8:R10 T8:T10 V8:V10 X8:X10 Z8:Z56 AB8:AB56 AD8:AD56 AF8:AF56 AH8:AH56 N8:N10 J25 L25 N25 T22 R22 P22 X21:X22 V21:V22 V25 X25 P25 R25 T25 T35:T56 R35:R56 P35:P56 V35:V56 N35:N56 L35:L56 J35:J56 X35:X56">
    <cfRule type="expression" dxfId="129" priority="187">
      <formula>AND($D8&lt;&gt;"",I$5&lt;&gt;"")</formula>
    </cfRule>
  </conditionalFormatting>
  <conditionalFormatting sqref="M7">
    <cfRule type="expression" dxfId="128" priority="184">
      <formula>AND($D7&lt;&gt;"",M$5&lt;&gt;"")</formula>
    </cfRule>
  </conditionalFormatting>
  <conditionalFormatting sqref="N7">
    <cfRule type="expression" dxfId="127" priority="183">
      <formula>AND($D7&lt;&gt;"",M$5&lt;&gt;"")</formula>
    </cfRule>
  </conditionalFormatting>
  <conditionalFormatting sqref="M8">
    <cfRule type="expression" dxfId="126" priority="178">
      <formula>AND($D8&lt;&gt;"",M$5&lt;&gt;"")</formula>
    </cfRule>
  </conditionalFormatting>
  <conditionalFormatting sqref="N8">
    <cfRule type="expression" dxfId="125" priority="177">
      <formula>AND($D8&lt;&gt;"",M$5&lt;&gt;"")</formula>
    </cfRule>
  </conditionalFormatting>
  <conditionalFormatting sqref="G5:H5">
    <cfRule type="expression" dxfId="124" priority="176">
      <formula>E$5&lt;&gt;""</formula>
    </cfRule>
  </conditionalFormatting>
  <conditionalFormatting sqref="I5:R5">
    <cfRule type="expression" dxfId="123" priority="175">
      <formula>G$5&lt;&gt;""</formula>
    </cfRule>
  </conditionalFormatting>
  <conditionalFormatting sqref="G5:H5">
    <cfRule type="expression" dxfId="122" priority="174">
      <formula>E$5&lt;&gt;""</formula>
    </cfRule>
  </conditionalFormatting>
  <conditionalFormatting sqref="I5:R5">
    <cfRule type="expression" dxfId="121" priority="173">
      <formula>G$5&lt;&gt;""</formula>
    </cfRule>
  </conditionalFormatting>
  <conditionalFormatting sqref="I21 K21 M21 S21 Q21 O21">
    <cfRule type="expression" dxfId="120" priority="128">
      <formula>AND($D21&lt;&gt;"",I$5&lt;&gt;"")</formula>
    </cfRule>
  </conditionalFormatting>
  <conditionalFormatting sqref="J21 L21 N21 T21 R21 P21">
    <cfRule type="expression" dxfId="119" priority="127">
      <formula>AND($D21&lt;&gt;"",I$5&lt;&gt;"")</formula>
    </cfRule>
  </conditionalFormatting>
  <conditionalFormatting sqref="I22 K22 M22">
    <cfRule type="expression" dxfId="118" priority="124">
      <formula>AND($D22&lt;&gt;"",I$5&lt;&gt;"")</formula>
    </cfRule>
  </conditionalFormatting>
  <conditionalFormatting sqref="J22 L22 N22">
    <cfRule type="expression" dxfId="117" priority="123">
      <formula>AND($D22&lt;&gt;"",I$5&lt;&gt;"")</formula>
    </cfRule>
  </conditionalFormatting>
  <conditionalFormatting sqref="D8">
    <cfRule type="expression" dxfId="116" priority="122">
      <formula>$D7&lt;&gt;""</formula>
    </cfRule>
  </conditionalFormatting>
  <conditionalFormatting sqref="D9">
    <cfRule type="expression" dxfId="115" priority="121">
      <formula>$D8&lt;&gt;""</formula>
    </cfRule>
  </conditionalFormatting>
  <conditionalFormatting sqref="D10">
    <cfRule type="expression" dxfId="114" priority="120">
      <formula>$D9&lt;&gt;""</formula>
    </cfRule>
  </conditionalFormatting>
  <conditionalFormatting sqref="E7">
    <cfRule type="expression" dxfId="113" priority="119">
      <formula>AND($D7&lt;&gt;"",E$5&lt;&gt;"")</formula>
    </cfRule>
  </conditionalFormatting>
  <conditionalFormatting sqref="F7">
    <cfRule type="expression" dxfId="112" priority="118">
      <formula>AND($D7&lt;&gt;"",E$5&lt;&gt;"")</formula>
    </cfRule>
  </conditionalFormatting>
  <conditionalFormatting sqref="E8:E10">
    <cfRule type="expression" dxfId="111" priority="117">
      <formula>AND($D8&lt;&gt;"",E$5&lt;&gt;"")</formula>
    </cfRule>
  </conditionalFormatting>
  <conditionalFormatting sqref="F8:F10">
    <cfRule type="expression" dxfId="110" priority="116">
      <formula>AND($D8&lt;&gt;"",E$5&lt;&gt;"")</formula>
    </cfRule>
  </conditionalFormatting>
  <conditionalFormatting sqref="G7">
    <cfRule type="expression" dxfId="109" priority="115">
      <formula>AND($D7&lt;&gt;"",G$5&lt;&gt;"")</formula>
    </cfRule>
  </conditionalFormatting>
  <conditionalFormatting sqref="H7">
    <cfRule type="expression" dxfId="108" priority="114">
      <formula>AND($D7&lt;&gt;"",G$5&lt;&gt;"")</formula>
    </cfRule>
  </conditionalFormatting>
  <conditionalFormatting sqref="I7 K7">
    <cfRule type="expression" dxfId="107" priority="113">
      <formula>AND($D7&lt;&gt;"",I$5&lt;&gt;"")</formula>
    </cfRule>
  </conditionalFormatting>
  <conditionalFormatting sqref="J7 L7">
    <cfRule type="expression" dxfId="106" priority="112">
      <formula>AND($D7&lt;&gt;"",I$5&lt;&gt;"")</formula>
    </cfRule>
  </conditionalFormatting>
  <conditionalFormatting sqref="G8:G10">
    <cfRule type="expression" dxfId="105" priority="111">
      <formula>AND($D8&lt;&gt;"",G$5&lt;&gt;"")</formula>
    </cfRule>
  </conditionalFormatting>
  <conditionalFormatting sqref="H8:H10">
    <cfRule type="expression" dxfId="104" priority="110">
      <formula>AND($D8&lt;&gt;"",G$5&lt;&gt;"")</formula>
    </cfRule>
  </conditionalFormatting>
  <conditionalFormatting sqref="I8:I10 K8:K10">
    <cfRule type="expression" dxfId="103" priority="109">
      <formula>AND($D8&lt;&gt;"",I$5&lt;&gt;"")</formula>
    </cfRule>
  </conditionalFormatting>
  <conditionalFormatting sqref="J8:J10 L8:L10">
    <cfRule type="expression" dxfId="102" priority="108">
      <formula>AND($D8&lt;&gt;"",I$5&lt;&gt;"")</formula>
    </cfRule>
  </conditionalFormatting>
  <conditionalFormatting sqref="D11:D12">
    <cfRule type="expression" dxfId="101" priority="107">
      <formula>$D10&lt;&gt;""</formula>
    </cfRule>
  </conditionalFormatting>
  <conditionalFormatting sqref="E11:E12">
    <cfRule type="expression" dxfId="100" priority="106">
      <formula>AND($D11&lt;&gt;"",E$5&lt;&gt;"")</formula>
    </cfRule>
  </conditionalFormatting>
  <conditionalFormatting sqref="F11:F12">
    <cfRule type="expression" dxfId="99" priority="105">
      <formula>AND($D11&lt;&gt;"",E$5&lt;&gt;"")</formula>
    </cfRule>
  </conditionalFormatting>
  <conditionalFormatting sqref="G11">
    <cfRule type="expression" dxfId="98" priority="104">
      <formula>AND($D11&lt;&gt;"",G$5&lt;&gt;"")</formula>
    </cfRule>
  </conditionalFormatting>
  <conditionalFormatting sqref="H11">
    <cfRule type="expression" dxfId="97" priority="103">
      <formula>AND($D11&lt;&gt;"",G$5&lt;&gt;"")</formula>
    </cfRule>
  </conditionalFormatting>
  <conditionalFormatting sqref="O11:O12 Q11:Q12 S11:S12 U11:U12 W11:W12 M11:M12 K12">
    <cfRule type="expression" dxfId="96" priority="102">
      <formula>AND($D11&lt;&gt;"",K$5&lt;&gt;"")</formula>
    </cfRule>
  </conditionalFormatting>
  <conditionalFormatting sqref="P11:P12 R11:R12 T11:T12 V11:V12 X11:X12 N11:N12 L12">
    <cfRule type="expression" dxfId="95" priority="101">
      <formula>AND($D11&lt;&gt;"",K$5&lt;&gt;"")</formula>
    </cfRule>
  </conditionalFormatting>
  <conditionalFormatting sqref="M11:M12">
    <cfRule type="expression" dxfId="94" priority="100">
      <formula>AND($D11&lt;&gt;"",M$5&lt;&gt;"")</formula>
    </cfRule>
  </conditionalFormatting>
  <conditionalFormatting sqref="N11:N12">
    <cfRule type="expression" dxfId="93" priority="99">
      <formula>AND($D11&lt;&gt;"",M$5&lt;&gt;"")</formula>
    </cfRule>
  </conditionalFormatting>
  <conditionalFormatting sqref="K11 I11">
    <cfRule type="expression" dxfId="92" priority="98">
      <formula>AND($D11&lt;&gt;"",I$5&lt;&gt;"")</formula>
    </cfRule>
  </conditionalFormatting>
  <conditionalFormatting sqref="L11 J11">
    <cfRule type="expression" dxfId="91" priority="97">
      <formula>AND($D11&lt;&gt;"",I$5&lt;&gt;"")</formula>
    </cfRule>
  </conditionalFormatting>
  <conditionalFormatting sqref="G12">
    <cfRule type="expression" dxfId="90" priority="96">
      <formula>AND($D12&lt;&gt;"",G$5&lt;&gt;"")</formula>
    </cfRule>
  </conditionalFormatting>
  <conditionalFormatting sqref="H12">
    <cfRule type="expression" dxfId="89" priority="95">
      <formula>AND($D12&lt;&gt;"",G$5&lt;&gt;"")</formula>
    </cfRule>
  </conditionalFormatting>
  <conditionalFormatting sqref="I12">
    <cfRule type="expression" dxfId="88" priority="94">
      <formula>AND($D12&lt;&gt;"",I$5&lt;&gt;"")</formula>
    </cfRule>
  </conditionalFormatting>
  <conditionalFormatting sqref="J12">
    <cfRule type="expression" dxfId="87" priority="93">
      <formula>AND($D12&lt;&gt;"",I$5&lt;&gt;"")</formula>
    </cfRule>
  </conditionalFormatting>
  <conditionalFormatting sqref="D13:D14">
    <cfRule type="expression" dxfId="86" priority="92">
      <formula>$D12&lt;&gt;""</formula>
    </cfRule>
  </conditionalFormatting>
  <conditionalFormatting sqref="E13:E14">
    <cfRule type="expression" dxfId="85" priority="91">
      <formula>AND($D13&lt;&gt;"",E$5&lt;&gt;"")</formula>
    </cfRule>
  </conditionalFormatting>
  <conditionalFormatting sqref="F13:F14">
    <cfRule type="expression" dxfId="84" priority="90">
      <formula>AND($D13&lt;&gt;"",E$5&lt;&gt;"")</formula>
    </cfRule>
  </conditionalFormatting>
  <conditionalFormatting sqref="G14">
    <cfRule type="expression" dxfId="83" priority="89">
      <formula>AND($D14&lt;&gt;"",G$5&lt;&gt;"")</formula>
    </cfRule>
  </conditionalFormatting>
  <conditionalFormatting sqref="H14">
    <cfRule type="expression" dxfId="82" priority="88">
      <formula>AND($D14&lt;&gt;"",G$5&lt;&gt;"")</formula>
    </cfRule>
  </conditionalFormatting>
  <conditionalFormatting sqref="O13:O14 Q13:Q14 S13:S14 U13:U14 W13 M13:M14 K13:K14">
    <cfRule type="expression" dxfId="81" priority="87">
      <formula>AND($D13&lt;&gt;"",K$5&lt;&gt;"")</formula>
    </cfRule>
  </conditionalFormatting>
  <conditionalFormatting sqref="P13:P14 R13:R14 T13:T14 V13:V14 X13 N13:N14 L13:L14">
    <cfRule type="expression" dxfId="80" priority="86">
      <formula>AND($D13&lt;&gt;"",K$5&lt;&gt;"")</formula>
    </cfRule>
  </conditionalFormatting>
  <conditionalFormatting sqref="M13:M14">
    <cfRule type="expression" dxfId="79" priority="85">
      <formula>AND($D13&lt;&gt;"",M$5&lt;&gt;"")</formula>
    </cfRule>
  </conditionalFormatting>
  <conditionalFormatting sqref="N13:N14">
    <cfRule type="expression" dxfId="78" priority="84">
      <formula>AND($D13&lt;&gt;"",M$5&lt;&gt;"")</formula>
    </cfRule>
  </conditionalFormatting>
  <conditionalFormatting sqref="G13">
    <cfRule type="expression" dxfId="77" priority="83">
      <formula>AND($D13&lt;&gt;"",G$5&lt;&gt;"")</formula>
    </cfRule>
  </conditionalFormatting>
  <conditionalFormatting sqref="H13">
    <cfRule type="expression" dxfId="76" priority="82">
      <formula>AND($D13&lt;&gt;"",G$5&lt;&gt;"")</formula>
    </cfRule>
  </conditionalFormatting>
  <conditionalFormatting sqref="I13">
    <cfRule type="expression" dxfId="75" priority="81">
      <formula>AND($D13&lt;&gt;"",I$5&lt;&gt;"")</formula>
    </cfRule>
  </conditionalFormatting>
  <conditionalFormatting sqref="J13">
    <cfRule type="expression" dxfId="74" priority="80">
      <formula>AND($D13&lt;&gt;"",I$5&lt;&gt;"")</formula>
    </cfRule>
  </conditionalFormatting>
  <conditionalFormatting sqref="I14">
    <cfRule type="expression" dxfId="73" priority="79">
      <formula>AND($D14&lt;&gt;"",I$5&lt;&gt;"")</formula>
    </cfRule>
  </conditionalFormatting>
  <conditionalFormatting sqref="J14">
    <cfRule type="expression" dxfId="72" priority="78">
      <formula>AND($D14&lt;&gt;"",I$5&lt;&gt;"")</formula>
    </cfRule>
  </conditionalFormatting>
  <conditionalFormatting sqref="W14">
    <cfRule type="expression" dxfId="71" priority="77">
      <formula>AND($D14&lt;&gt;"",W$5&lt;&gt;"")</formula>
    </cfRule>
  </conditionalFormatting>
  <conditionalFormatting sqref="X14">
    <cfRule type="expression" dxfId="70" priority="76">
      <formula>AND($D14&lt;&gt;"",W$5&lt;&gt;"")</formula>
    </cfRule>
  </conditionalFormatting>
  <conditionalFormatting sqref="D15">
    <cfRule type="expression" dxfId="69" priority="75">
      <formula>$D14&lt;&gt;""</formula>
    </cfRule>
  </conditionalFormatting>
  <conditionalFormatting sqref="O15 Q15 S15 U15 M15 K15 W15">
    <cfRule type="expression" dxfId="68" priority="74">
      <formula>AND($D15&lt;&gt;"",K$5&lt;&gt;"")</formula>
    </cfRule>
  </conditionalFormatting>
  <conditionalFormatting sqref="P15 R15 T15 V15 N15 L15 X15">
    <cfRule type="expression" dxfId="67" priority="73">
      <formula>AND($D15&lt;&gt;"",K$5&lt;&gt;"")</formula>
    </cfRule>
  </conditionalFormatting>
  <conditionalFormatting sqref="M15">
    <cfRule type="expression" dxfId="66" priority="72">
      <formula>AND($D15&lt;&gt;"",M$5&lt;&gt;"")</formula>
    </cfRule>
  </conditionalFormatting>
  <conditionalFormatting sqref="N15">
    <cfRule type="expression" dxfId="65" priority="71">
      <formula>AND($D15&lt;&gt;"",M$5&lt;&gt;"")</formula>
    </cfRule>
  </conditionalFormatting>
  <conditionalFormatting sqref="E15">
    <cfRule type="expression" dxfId="64" priority="70">
      <formula>AND($D15&lt;&gt;"",E$5&lt;&gt;"")</formula>
    </cfRule>
  </conditionalFormatting>
  <conditionalFormatting sqref="F15">
    <cfRule type="expression" dxfId="63" priority="69">
      <formula>AND($D15&lt;&gt;"",E$5&lt;&gt;"")</formula>
    </cfRule>
  </conditionalFormatting>
  <conditionalFormatting sqref="G15">
    <cfRule type="expression" dxfId="62" priority="68">
      <formula>AND($D15&lt;&gt;"",G$5&lt;&gt;"")</formula>
    </cfRule>
  </conditionalFormatting>
  <conditionalFormatting sqref="H15">
    <cfRule type="expression" dxfId="61" priority="67">
      <formula>AND($D15&lt;&gt;"",G$5&lt;&gt;"")</formula>
    </cfRule>
  </conditionalFormatting>
  <conditionalFormatting sqref="I15">
    <cfRule type="expression" dxfId="60" priority="66">
      <formula>AND($D15&lt;&gt;"",I$5&lt;&gt;"")</formula>
    </cfRule>
  </conditionalFormatting>
  <conditionalFormatting sqref="J15">
    <cfRule type="expression" dxfId="59" priority="65">
      <formula>AND($D15&lt;&gt;"",I$5&lt;&gt;"")</formula>
    </cfRule>
  </conditionalFormatting>
  <conditionalFormatting sqref="D16:D17">
    <cfRule type="expression" dxfId="58" priority="64">
      <formula>$D15&lt;&gt;""</formula>
    </cfRule>
  </conditionalFormatting>
  <conditionalFormatting sqref="W17 U17">
    <cfRule type="expression" dxfId="57" priority="63">
      <formula>AND($D17&lt;&gt;"",U$5&lt;&gt;"")</formula>
    </cfRule>
  </conditionalFormatting>
  <conditionalFormatting sqref="X17 V17">
    <cfRule type="expression" dxfId="56" priority="62">
      <formula>AND($D17&lt;&gt;"",U$5&lt;&gt;"")</formula>
    </cfRule>
  </conditionalFormatting>
  <conditionalFormatting sqref="E16">
    <cfRule type="expression" dxfId="55" priority="61">
      <formula>AND($D16&lt;&gt;"",E$5&lt;&gt;"")</formula>
    </cfRule>
  </conditionalFormatting>
  <conditionalFormatting sqref="F16">
    <cfRule type="expression" dxfId="54" priority="60">
      <formula>AND($D16&lt;&gt;"",E$5&lt;&gt;"")</formula>
    </cfRule>
  </conditionalFormatting>
  <conditionalFormatting sqref="G16">
    <cfRule type="expression" dxfId="53" priority="59">
      <formula>AND($D16&lt;&gt;"",G$5&lt;&gt;"")</formula>
    </cfRule>
  </conditionalFormatting>
  <conditionalFormatting sqref="H16">
    <cfRule type="expression" dxfId="52" priority="58">
      <formula>AND($D16&lt;&gt;"",G$5&lt;&gt;"")</formula>
    </cfRule>
  </conditionalFormatting>
  <conditionalFormatting sqref="I16 K16 M16 S16 Q16 O16 W16 U16">
    <cfRule type="expression" dxfId="51" priority="57">
      <formula>AND($D16&lt;&gt;"",I$5&lt;&gt;"")</formula>
    </cfRule>
  </conditionalFormatting>
  <conditionalFormatting sqref="J16 L16 N16 T16 R16 P16 X16 V16">
    <cfRule type="expression" dxfId="50" priority="56">
      <formula>AND($D16&lt;&gt;"",I$5&lt;&gt;"")</formula>
    </cfRule>
  </conditionalFormatting>
  <conditionalFormatting sqref="E17">
    <cfRule type="expression" dxfId="49" priority="55">
      <formula>AND($D17&lt;&gt;"",E$5&lt;&gt;"")</formula>
    </cfRule>
  </conditionalFormatting>
  <conditionalFormatting sqref="F17">
    <cfRule type="expression" dxfId="48" priority="54">
      <formula>AND($D17&lt;&gt;"",E$5&lt;&gt;"")</formula>
    </cfRule>
  </conditionalFormatting>
  <conditionalFormatting sqref="G17">
    <cfRule type="expression" dxfId="47" priority="53">
      <formula>AND($D17&lt;&gt;"",G$5&lt;&gt;"")</formula>
    </cfRule>
  </conditionalFormatting>
  <conditionalFormatting sqref="H17">
    <cfRule type="expression" dxfId="46" priority="52">
      <formula>AND($D17&lt;&gt;"",G$5&lt;&gt;"")</formula>
    </cfRule>
  </conditionalFormatting>
  <conditionalFormatting sqref="I17 K17 M17 S17 Q17 O17">
    <cfRule type="expression" dxfId="45" priority="51">
      <formula>AND($D17&lt;&gt;"",I$5&lt;&gt;"")</formula>
    </cfRule>
  </conditionalFormatting>
  <conditionalFormatting sqref="J17 L17 N17 T17 R17 P17">
    <cfRule type="expression" dxfId="44" priority="50">
      <formula>AND($D17&lt;&gt;"",I$5&lt;&gt;"")</formula>
    </cfRule>
  </conditionalFormatting>
  <conditionalFormatting sqref="D18:D20">
    <cfRule type="expression" dxfId="43" priority="49">
      <formula>$D17&lt;&gt;""</formula>
    </cfRule>
  </conditionalFormatting>
  <conditionalFormatting sqref="E18:E20">
    <cfRule type="expression" dxfId="42" priority="48">
      <formula>AND($D18&lt;&gt;"",E$5&lt;&gt;"")</formula>
    </cfRule>
  </conditionalFormatting>
  <conditionalFormatting sqref="F18:F20">
    <cfRule type="expression" dxfId="41" priority="47">
      <formula>AND($D18&lt;&gt;"",E$5&lt;&gt;"")</formula>
    </cfRule>
  </conditionalFormatting>
  <conditionalFormatting sqref="G19:G20">
    <cfRule type="expression" dxfId="40" priority="46">
      <formula>AND($D19&lt;&gt;"",G$5&lt;&gt;"")</formula>
    </cfRule>
  </conditionalFormatting>
  <conditionalFormatting sqref="H19:H20">
    <cfRule type="expression" dxfId="39" priority="45">
      <formula>AND($D19&lt;&gt;"",G$5&lt;&gt;"")</formula>
    </cfRule>
  </conditionalFormatting>
  <conditionalFormatting sqref="I19:I20 K19:K20 M19:M20 S18:S20 Q18:Q20 O18:O20 W18:W20 U18:U20">
    <cfRule type="expression" dxfId="38" priority="44">
      <formula>AND($D18&lt;&gt;"",I$5&lt;&gt;"")</formula>
    </cfRule>
  </conditionalFormatting>
  <conditionalFormatting sqref="J19:J20 L19:L20 N19:N20 T18:T20 R18:R20 P18:P20 X18:X20 V18:V20">
    <cfRule type="expression" dxfId="37" priority="43">
      <formula>AND($D18&lt;&gt;"",I$5&lt;&gt;"")</formula>
    </cfRule>
  </conditionalFormatting>
  <conditionalFormatting sqref="G18">
    <cfRule type="expression" dxfId="36" priority="42">
      <formula>AND($D18&lt;&gt;"",G$5&lt;&gt;"")</formula>
    </cfRule>
  </conditionalFormatting>
  <conditionalFormatting sqref="H18">
    <cfRule type="expression" dxfId="35" priority="41">
      <formula>AND($D18&lt;&gt;"",G$5&lt;&gt;"")</formula>
    </cfRule>
  </conditionalFormatting>
  <conditionalFormatting sqref="I18 K18 M18">
    <cfRule type="expression" dxfId="34" priority="40">
      <formula>AND($D18&lt;&gt;"",I$5&lt;&gt;"")</formula>
    </cfRule>
  </conditionalFormatting>
  <conditionalFormatting sqref="J18 L18 N18">
    <cfRule type="expression" dxfId="33" priority="39">
      <formula>AND($D18&lt;&gt;"",I$5&lt;&gt;"")</formula>
    </cfRule>
  </conditionalFormatting>
  <conditionalFormatting sqref="D21:D22">
    <cfRule type="expression" dxfId="32" priority="38">
      <formula>$D20&lt;&gt;""</formula>
    </cfRule>
  </conditionalFormatting>
  <conditionalFormatting sqref="E21:E22">
    <cfRule type="expression" dxfId="31" priority="37">
      <formula>AND($D21&lt;&gt;"",E$5&lt;&gt;"")</formula>
    </cfRule>
  </conditionalFormatting>
  <conditionalFormatting sqref="F21:F22">
    <cfRule type="expression" dxfId="30" priority="36">
      <formula>AND($D21&lt;&gt;"",E$5&lt;&gt;"")</formula>
    </cfRule>
  </conditionalFormatting>
  <conditionalFormatting sqref="G21:G22">
    <cfRule type="expression" dxfId="29" priority="35">
      <formula>AND($D21&lt;&gt;"",G$5&lt;&gt;"")</formula>
    </cfRule>
  </conditionalFormatting>
  <conditionalFormatting sqref="H21:H22">
    <cfRule type="expression" dxfId="28" priority="34">
      <formula>AND($D21&lt;&gt;"",G$5&lt;&gt;"")</formula>
    </cfRule>
  </conditionalFormatting>
  <conditionalFormatting sqref="D23:D24">
    <cfRule type="expression" dxfId="27" priority="33">
      <formula>$D22&lt;&gt;""</formula>
    </cfRule>
  </conditionalFormatting>
  <conditionalFormatting sqref="E23:E24">
    <cfRule type="expression" dxfId="26" priority="32">
      <formula>AND($D23&lt;&gt;"",E$5&lt;&gt;"")</formula>
    </cfRule>
  </conditionalFormatting>
  <conditionalFormatting sqref="F23:F24">
    <cfRule type="expression" dxfId="25" priority="31">
      <formula>AND($D23&lt;&gt;"",E$5&lt;&gt;"")</formula>
    </cfRule>
  </conditionalFormatting>
  <conditionalFormatting sqref="G23:G24">
    <cfRule type="expression" dxfId="24" priority="30">
      <formula>AND($D23&lt;&gt;"",G$5&lt;&gt;"")</formula>
    </cfRule>
  </conditionalFormatting>
  <conditionalFormatting sqref="H23:H24">
    <cfRule type="expression" dxfId="23" priority="29">
      <formula>AND($D23&lt;&gt;"",G$5&lt;&gt;"")</formula>
    </cfRule>
  </conditionalFormatting>
  <conditionalFormatting sqref="I23:I24 K23:K24 M23:M24 S23:S24 Q23:Q24 O23:O24 W23:W24 U23:U24">
    <cfRule type="expression" dxfId="22" priority="28">
      <formula>AND($D23&lt;&gt;"",I$5&lt;&gt;"")</formula>
    </cfRule>
  </conditionalFormatting>
  <conditionalFormatting sqref="J23:J24 L23:L24 N23:N24 T23:T24 R23:R24 P23:P24 X23:X24 V23:V24">
    <cfRule type="expression" dxfId="21" priority="27">
      <formula>AND($D23&lt;&gt;"",I$5&lt;&gt;"")</formula>
    </cfRule>
  </conditionalFormatting>
  <conditionalFormatting sqref="D25">
    <cfRule type="expression" dxfId="20" priority="26">
      <formula>$D24&lt;&gt;""</formula>
    </cfRule>
  </conditionalFormatting>
  <conditionalFormatting sqref="E25">
    <cfRule type="expression" dxfId="19" priority="25">
      <formula>AND($D25&lt;&gt;"",E$5&lt;&gt;"")</formula>
    </cfRule>
  </conditionalFormatting>
  <conditionalFormatting sqref="F25">
    <cfRule type="expression" dxfId="18" priority="24">
      <formula>AND($D25&lt;&gt;"",E$5&lt;&gt;"")</formula>
    </cfRule>
  </conditionalFormatting>
  <conditionalFormatting sqref="G25">
    <cfRule type="expression" dxfId="17" priority="23">
      <formula>AND($D25&lt;&gt;"",G$5&lt;&gt;"")</formula>
    </cfRule>
  </conditionalFormatting>
  <conditionalFormatting sqref="H25">
    <cfRule type="expression" dxfId="16" priority="22">
      <formula>AND($D25&lt;&gt;"",G$5&lt;&gt;"")</formula>
    </cfRule>
  </conditionalFormatting>
  <conditionalFormatting sqref="D26:D30">
    <cfRule type="expression" dxfId="15" priority="14">
      <formula>$D25&lt;&gt;""</formula>
    </cfRule>
  </conditionalFormatting>
  <conditionalFormatting sqref="E26:E30">
    <cfRule type="expression" dxfId="14" priority="13">
      <formula>AND($D26&lt;&gt;"",E$5&lt;&gt;"")</formula>
    </cfRule>
  </conditionalFormatting>
  <conditionalFormatting sqref="F26:F30">
    <cfRule type="expression" dxfId="13" priority="12">
      <formula>AND($D26&lt;&gt;"",E$5&lt;&gt;"")</formula>
    </cfRule>
  </conditionalFormatting>
  <conditionalFormatting sqref="G26:G30">
    <cfRule type="expression" dxfId="12" priority="11">
      <formula>AND($D26&lt;&gt;"",G$5&lt;&gt;"")</formula>
    </cfRule>
  </conditionalFormatting>
  <conditionalFormatting sqref="H26:H30">
    <cfRule type="expression" dxfId="11" priority="10">
      <formula>AND($D26&lt;&gt;"",G$5&lt;&gt;"")</formula>
    </cfRule>
  </conditionalFormatting>
  <conditionalFormatting sqref="I26:I30 K26:K30 M26:M30 S26:S30 Q26:Q30 O26:O30 W26:W30 U26:U30">
    <cfRule type="expression" dxfId="10" priority="9">
      <formula>AND($D26&lt;&gt;"",I$5&lt;&gt;"")</formula>
    </cfRule>
  </conditionalFormatting>
  <conditionalFormatting sqref="J26:J30 L26:L30 N26:N30 T26:T30 R26:R30 P26:P30 X26:X30 V26:V30">
    <cfRule type="expression" dxfId="9" priority="8">
      <formula>AND($D26&lt;&gt;"",I$5&lt;&gt;"")</formula>
    </cfRule>
  </conditionalFormatting>
  <conditionalFormatting sqref="D31:D34">
    <cfRule type="expression" dxfId="8" priority="7">
      <formula>$D30&lt;&gt;""</formula>
    </cfRule>
  </conditionalFormatting>
  <conditionalFormatting sqref="E31:E34">
    <cfRule type="expression" dxfId="7" priority="6">
      <formula>AND($D31&lt;&gt;"",E$5&lt;&gt;"")</formula>
    </cfRule>
  </conditionalFormatting>
  <conditionalFormatting sqref="F31:F34">
    <cfRule type="expression" dxfId="6" priority="5">
      <formula>AND($D31&lt;&gt;"",E$5&lt;&gt;"")</formula>
    </cfRule>
  </conditionalFormatting>
  <conditionalFormatting sqref="G31:G34">
    <cfRule type="expression" dxfId="5" priority="4">
      <formula>AND($D31&lt;&gt;"",G$5&lt;&gt;"")</formula>
    </cfRule>
  </conditionalFormatting>
  <conditionalFormatting sqref="H31:H34">
    <cfRule type="expression" dxfId="4" priority="3">
      <formula>AND($D31&lt;&gt;"",G$5&lt;&gt;"")</formula>
    </cfRule>
  </conditionalFormatting>
  <conditionalFormatting sqref="I31:I34 K31:K34 M31:M34 S31:S34 Q31:Q34 O31:O34 W31:W34 U31:U34">
    <cfRule type="expression" dxfId="3" priority="2">
      <formula>AND($D31&lt;&gt;"",I$5&lt;&gt;"")</formula>
    </cfRule>
  </conditionalFormatting>
  <conditionalFormatting sqref="J31:J34 L31:L34 N31:N34 T31:T34 R31:R34 P31:P34 X31:X34 V31:V34">
    <cfRule type="expression" dxfId="2" priority="1">
      <formula>AND($D31&lt;&gt;"",I$5&lt;&gt;"")</formula>
    </cfRule>
  </conditionalFormatting>
  <dataValidations count="1">
    <dataValidation type="custom" allowBlank="1" showInputMessage="1" showErrorMessage="1" sqref="D16">
      <formula1>D15&lt;&gt;""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2,10</v>
      </c>
      <c r="F5" s="31">
        <f>IFERROR(INDEX('WINBUGS data'!$F$17:$ZZ$65,MATCH($C5,'WINBUGS data'!$F$17:$F$65,0),MATCH("t[,"&amp;F$4 &amp;"]",'WINBUGS data'!$F$16:$ZZ$16,0)),"")</f>
        <v>2</v>
      </c>
      <c r="G5" s="31">
        <f>IFERROR(INDEX('WINBUGS data'!$F$17:$ZZ$65,MATCH($C5,'WINBUGS data'!$F$17:$F$65,0),MATCH("t[,"&amp;G$4 &amp;"]",'WINBUGS data'!$F$16:$ZZ$16,0)),"")</f>
        <v>10</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2,3</v>
      </c>
      <c r="F7" s="31">
        <f>IFERROR(INDEX('WINBUGS data'!$F$17:$ZZ$65,MATCH($C7,'WINBUGS data'!$F$17:$F$65,0),MATCH("t[,"&amp;F$4 &amp;"]",'WINBUGS data'!$F$16:$ZZ$16,0)),"")</f>
        <v>2</v>
      </c>
      <c r="G7" s="31">
        <f>IFERROR(INDEX('WINBUGS data'!$F$17:$ZZ$65,MATCH($C7,'WINBUGS data'!$F$17:$F$65,0),MATCH("t[,"&amp;G$4 &amp;"]",'WINBUGS data'!$F$16:$ZZ$16,0)),"")</f>
        <v>3</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1,10</v>
      </c>
      <c r="F10" s="31">
        <f>IFERROR(INDEX('WINBUGS data'!$F$17:$ZZ$65,MATCH($C10,'WINBUGS data'!$F$17:$F$65,0),MATCH("t[,"&amp;F$4 &amp;"]",'WINBUGS data'!$F$16:$ZZ$16,0)),"")</f>
        <v>1</v>
      </c>
      <c r="G10" s="31">
        <f>IFERROR(INDEX('WINBUGS data'!$F$17:$ZZ$65,MATCH($C10,'WINBUGS data'!$F$17:$F$65,0),MATCH("t[,"&amp;G$4 &amp;"]",'WINBUGS data'!$F$16:$ZZ$16,0)),"")</f>
        <v>10</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2,8</v>
      </c>
      <c r="F11" s="31">
        <f>IFERROR(INDEX('WINBUGS data'!$F$17:$ZZ$65,MATCH($C11,'WINBUGS data'!$F$17:$F$65,0),MATCH("t[,"&amp;F$4 &amp;"]",'WINBUGS data'!$F$16:$ZZ$16,0)),"")</f>
        <v>2</v>
      </c>
      <c r="G11" s="31">
        <f>IFERROR(INDEX('WINBUGS data'!$F$17:$ZZ$65,MATCH($C11,'WINBUGS data'!$F$17:$F$65,0),MATCH("t[,"&amp;G$4 &amp;"]",'WINBUGS data'!$F$16:$ZZ$16,0)),"")</f>
        <v>8</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2,5</v>
      </c>
      <c r="F12" s="31">
        <f>IFERROR(INDEX('WINBUGS data'!$F$17:$ZZ$65,MATCH($C12,'WINBUGS data'!$F$17:$F$65,0),MATCH("t[,"&amp;F$4 &amp;"]",'WINBUGS data'!$F$16:$ZZ$16,0)),"")</f>
        <v>2</v>
      </c>
      <c r="G12" s="31">
        <f>IFERROR(INDEX('WINBUGS data'!$F$17:$ZZ$65,MATCH($C12,'WINBUGS data'!$F$17:$F$65,0),MATCH("t[,"&amp;G$4 &amp;"]",'WINBUGS data'!$F$16:$ZZ$16,0)),"")</f>
        <v>5</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1,10</v>
      </c>
      <c r="F13" s="31">
        <f>IFERROR(INDEX('WINBUGS data'!$F$17:$ZZ$65,MATCH($C13,'WINBUGS data'!$F$17:$F$65,0),MATCH("t[,"&amp;F$4 &amp;"]",'WINBUGS data'!$F$16:$ZZ$16,0)),"")</f>
        <v>1</v>
      </c>
      <c r="G13" s="31">
        <f>IFERROR(INDEX('WINBUGS data'!$F$17:$ZZ$65,MATCH($C13,'WINBUGS data'!$F$17:$F$65,0),MATCH("t[,"&amp;G$4 &amp;"]",'WINBUGS data'!$F$16:$ZZ$16,0)),"")</f>
        <v>10</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2,7</v>
      </c>
      <c r="F14" s="31">
        <f>IFERROR(INDEX('WINBUGS data'!$F$17:$ZZ$65,MATCH($C14,'WINBUGS data'!$F$17:$F$65,0),MATCH("t[,"&amp;F$4 &amp;"]",'WINBUGS data'!$F$16:$ZZ$16,0)),"")</f>
        <v>2</v>
      </c>
      <c r="G14" s="31">
        <f>IFERROR(INDEX('WINBUGS data'!$F$17:$ZZ$65,MATCH($C14,'WINBUGS data'!$F$17:$F$65,0),MATCH("t[,"&amp;G$4 &amp;"]",'WINBUGS data'!$F$16:$ZZ$16,0)),"")</f>
        <v>7</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1,9</v>
      </c>
      <c r="F15" s="31">
        <f>IFERROR(INDEX('WINBUGS data'!$F$17:$ZZ$65,MATCH($C15,'WINBUGS data'!$F$17:$F$65,0),MATCH("t[,"&amp;F$4 &amp;"]",'WINBUGS data'!$F$16:$ZZ$16,0)),"")</f>
        <v>1</v>
      </c>
      <c r="G15" s="31">
        <f>IFERROR(INDEX('WINBUGS data'!$F$17:$ZZ$65,MATCH($C15,'WINBUGS data'!$F$17:$F$65,0),MATCH("t[,"&amp;G$4 &amp;"]",'WINBUGS data'!$F$16:$ZZ$16,0)),"")</f>
        <v>9</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9,10</v>
      </c>
      <c r="F16" s="31">
        <f>IFERROR(INDEX('WINBUGS data'!$F$17:$ZZ$65,MATCH($C16,'WINBUGS data'!$F$17:$F$65,0),MATCH("t[,"&amp;F$4 &amp;"]",'WINBUGS data'!$F$16:$ZZ$16,0)),"")</f>
        <v>9</v>
      </c>
      <c r="G16" s="31">
        <f>IFERROR(INDEX('WINBUGS data'!$F$17:$ZZ$65,MATCH($C16,'WINBUGS data'!$F$17:$F$65,0),MATCH("t[,"&amp;G$4 &amp;"]",'WINBUGS data'!$F$16:$ZZ$16,0)),"")</f>
        <v>10</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9,10</v>
      </c>
      <c r="F17" s="31">
        <f>IFERROR(INDEX('WINBUGS data'!$F$17:$ZZ$65,MATCH($C17,'WINBUGS data'!$F$17:$F$65,0),MATCH("t[,"&amp;F$4 &amp;"]",'WINBUGS data'!$F$16:$ZZ$16,0)),"")</f>
        <v>9</v>
      </c>
      <c r="G17" s="31">
        <f>IFERROR(INDEX('WINBUGS data'!$F$17:$ZZ$65,MATCH($C17,'WINBUGS data'!$F$17:$F$65,0),MATCH("t[,"&amp;G$4 &amp;"]",'WINBUGS data'!$F$16:$ZZ$16,0)),"")</f>
        <v>10</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3,4</v>
      </c>
      <c r="F18" s="31">
        <f>IFERROR(INDEX('WINBUGS data'!$F$17:$ZZ$65,MATCH($C18,'WINBUGS data'!$F$17:$F$65,0),MATCH("t[,"&amp;F$4 &amp;"]",'WINBUGS data'!$F$16:$ZZ$16,0)),"")</f>
        <v>3</v>
      </c>
      <c r="G18" s="31">
        <f>IFERROR(INDEX('WINBUGS data'!$F$17:$ZZ$65,MATCH($C18,'WINBUGS data'!$F$17:$F$65,0),MATCH("t[,"&amp;G$4 &amp;"]",'WINBUGS data'!$F$16:$ZZ$16,0)),"")</f>
        <v>4</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1,2</v>
      </c>
      <c r="F19" s="31">
        <f>IFERROR(INDEX('WINBUGS data'!$F$17:$ZZ$65,MATCH($C19,'WINBUGS data'!$F$17:$F$65,0),MATCH("t[,"&amp;F$4 &amp;"]",'WINBUGS data'!$F$16:$ZZ$16,0)),"")</f>
        <v>1</v>
      </c>
      <c r="G19" s="31">
        <f>IFERROR(INDEX('WINBUGS data'!$F$17:$ZZ$65,MATCH($C19,'WINBUGS data'!$F$17:$F$65,0),MATCH("t[,"&amp;G$4 &amp;"]",'WINBUGS data'!$F$16:$ZZ$16,0)),"")</f>
        <v>2</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1,2</v>
      </c>
      <c r="F20" s="31">
        <f>IFERROR(INDEX('WINBUGS data'!$F$17:$ZZ$65,MATCH($C20,'WINBUGS data'!$F$17:$F$65,0),MATCH("t[,"&amp;F$4 &amp;"]",'WINBUGS data'!$F$16:$ZZ$16,0)),"")</f>
        <v>1</v>
      </c>
      <c r="G20" s="31">
        <f>IFERROR(INDEX('WINBUGS data'!$F$17:$ZZ$65,MATCH($C20,'WINBUGS data'!$F$17:$F$65,0),MATCH("t[,"&amp;G$4 &amp;"]",'WINBUGS data'!$F$16:$ZZ$16,0)),"")</f>
        <v>2</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9,10</v>
      </c>
      <c r="F21" s="31">
        <f>IFERROR(INDEX('WINBUGS data'!$F$17:$ZZ$65,MATCH($C21,'WINBUGS data'!$F$17:$F$65,0),MATCH("t[,"&amp;F$4 &amp;"]",'WINBUGS data'!$F$16:$ZZ$16,0)),"")</f>
        <v>9</v>
      </c>
      <c r="G21" s="31">
        <f>IFERROR(INDEX('WINBUGS data'!$F$17:$ZZ$65,MATCH($C21,'WINBUGS data'!$F$17:$F$65,0),MATCH("t[,"&amp;G$4 &amp;"]",'WINBUGS data'!$F$16:$ZZ$16,0)),"")</f>
        <v>10</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3,10</v>
      </c>
      <c r="F22" s="31">
        <f>IFERROR(INDEX('WINBUGS data'!$F$17:$ZZ$65,MATCH($C22,'WINBUGS data'!$F$17:$F$65,0),MATCH("t[,"&amp;F$4 &amp;"]",'WINBUGS data'!$F$16:$ZZ$16,0)),"")</f>
        <v>3</v>
      </c>
      <c r="G22" s="31">
        <f>IFERROR(INDEX('WINBUGS data'!$F$17:$ZZ$65,MATCH($C22,'WINBUGS data'!$F$17:$F$65,0),MATCH("t[,"&amp;G$4 &amp;"]",'WINBUGS data'!$F$16:$ZZ$16,0)),"")</f>
        <v>10</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1,2</v>
      </c>
      <c r="F23" s="31">
        <f>IFERROR(INDEX('WINBUGS data'!$F$17:$ZZ$65,MATCH($C23,'WINBUGS data'!$F$17:$F$65,0),MATCH("t[,"&amp;F$4 &amp;"]",'WINBUGS data'!$F$16:$ZZ$16,0)),"")</f>
        <v>1</v>
      </c>
      <c r="G23" s="31">
        <f>IFERROR(INDEX('WINBUGS data'!$F$17:$ZZ$65,MATCH($C23,'WINBUGS data'!$F$17:$F$65,0),MATCH("t[,"&amp;G$4 &amp;"]",'WINBUGS data'!$F$16:$ZZ$16,0)),"")</f>
        <v>2</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1,2</v>
      </c>
      <c r="F24" s="31">
        <f>IFERROR(INDEX('WINBUGS data'!$F$17:$ZZ$65,MATCH($C24,'WINBUGS data'!$F$17:$F$65,0),MATCH("t[,"&amp;F$4 &amp;"]",'WINBUGS data'!$F$16:$ZZ$16,0)),"")</f>
        <v>1</v>
      </c>
      <c r="G24" s="31">
        <f>IFERROR(INDEX('WINBUGS data'!$F$17:$ZZ$65,MATCH($C24,'WINBUGS data'!$F$17:$F$65,0),MATCH("t[,"&amp;G$4 &amp;"]",'WINBUGS data'!$F$16:$ZZ$16,0)),"")</f>
        <v>2</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3,9</v>
      </c>
      <c r="F25" s="31">
        <f>IFERROR(INDEX('WINBUGS data'!$F$17:$ZZ$65,MATCH($C25,'WINBUGS data'!$F$17:$F$65,0),MATCH("t[,"&amp;F$4 &amp;"]",'WINBUGS data'!$F$16:$ZZ$16,0)),"")</f>
        <v>3</v>
      </c>
      <c r="G25" s="31">
        <f>IFERROR(INDEX('WINBUGS data'!$F$17:$ZZ$65,MATCH($C25,'WINBUGS data'!$F$17:$F$65,0),MATCH("t[,"&amp;G$4 &amp;"]",'WINBUGS data'!$F$16:$ZZ$16,0)),"")</f>
        <v>9</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9,10</v>
      </c>
      <c r="F26" s="31">
        <f>IFERROR(INDEX('WINBUGS data'!$F$17:$ZZ$65,MATCH($C26,'WINBUGS data'!$F$17:$F$65,0),MATCH("t[,"&amp;F$4 &amp;"]",'WINBUGS data'!$F$16:$ZZ$16,0)),"")</f>
        <v>9</v>
      </c>
      <c r="G26" s="31">
        <f>IFERROR(INDEX('WINBUGS data'!$F$17:$ZZ$65,MATCH($C26,'WINBUGS data'!$F$17:$F$65,0),MATCH("t[,"&amp;G$4 &amp;"]",'WINBUGS data'!$F$16:$ZZ$16,0)),"")</f>
        <v>10</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3,6</v>
      </c>
      <c r="F27" s="31">
        <f>IFERROR(INDEX('WINBUGS data'!$F$17:$ZZ$65,MATCH($C27,'WINBUGS data'!$F$17:$F$65,0),MATCH("t[,"&amp;F$4 &amp;"]",'WINBUGS data'!$F$16:$ZZ$16,0)),"")</f>
        <v>3</v>
      </c>
      <c r="G27" s="31">
        <f>IFERROR(INDEX('WINBUGS data'!$F$17:$ZZ$65,MATCH($C27,'WINBUGS data'!$F$17:$F$65,0),MATCH("t[,"&amp;G$4 &amp;"]",'WINBUGS data'!$F$16:$ZZ$16,0)),"")</f>
        <v>6</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1,10</v>
      </c>
      <c r="F28" s="31">
        <f>IFERROR(INDEX('WINBUGS data'!$F$17:$ZZ$65,MATCH($C28,'WINBUGS data'!$F$17:$F$65,0),MATCH("t[,"&amp;F$4 &amp;"]",'WINBUGS data'!$F$16:$ZZ$16,0)),"")</f>
        <v>1</v>
      </c>
      <c r="G28" s="31">
        <f>IFERROR(INDEX('WINBUGS data'!$F$17:$ZZ$65,MATCH($C28,'WINBUGS data'!$F$17:$F$65,0),MATCH("t[,"&amp;G$4 &amp;"]",'WINBUGS data'!$F$16:$ZZ$16,0)),"")</f>
        <v>10</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NA</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1,3</v>
      </c>
      <c r="F31" s="31">
        <f>IFERROR(INDEX('WINBUGS data'!$F$17:$ZZ$65,MATCH($C31,'WINBUGS data'!$F$17:$F$65,0),MATCH("t[,"&amp;F$4 &amp;"]",'WINBUGS data'!$F$16:$ZZ$16,0)),"")</f>
        <v>1</v>
      </c>
      <c r="G31" s="31">
        <f>IFERROR(INDEX('WINBUGS data'!$F$17:$ZZ$65,MATCH($C31,'WINBUGS data'!$F$17:$F$65,0),MATCH("t[,"&amp;G$4 &amp;"]",'WINBUGS data'!$F$16:$ZZ$16,0)),"")</f>
        <v>3</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NA</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1,2</v>
      </c>
      <c r="F32" s="31">
        <f>IFERROR(INDEX('WINBUGS data'!$F$17:$ZZ$65,MATCH($C32,'WINBUGS data'!$F$17:$F$65,0),MATCH("t[,"&amp;F$4 &amp;"]",'WINBUGS data'!$F$16:$ZZ$16,0)),"")</f>
        <v>1</v>
      </c>
      <c r="G32" s="31">
        <f>IFERROR(INDEX('WINBUGS data'!$F$17:$ZZ$65,MATCH($C32,'WINBUGS data'!$F$17:$F$65,0),MATCH("t[,"&amp;G$4 &amp;"]",'WINBUGS data'!$F$16:$ZZ$16,0)),"")</f>
        <v>2</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NA</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t="str">
        <f>IF('WINBUGS data'!F45&lt;&gt;"",'WINBUGS data'!F45,"")</f>
        <v/>
      </c>
      <c r="D33" s="31" t="str">
        <f>IFERROR(INDEX('WINBUGS data'!$F$17:$ZZ$65,MATCH(C33,'WINBUGS data'!$F$17:$F$65,0),MATCH("na[]",'WINBUGS data'!$F$16:$ZZ$16,0)),"")</f>
        <v/>
      </c>
      <c r="E33" s="31" t="str">
        <f t="shared" si="0"/>
        <v/>
      </c>
      <c r="F33" s="31" t="str">
        <f>IFERROR(INDEX('WINBUGS data'!$F$17:$ZZ$65,MATCH($C33,'WINBUGS data'!$F$17:$F$65,0),MATCH("t[,"&amp;F$4 &amp;"]",'WINBUGS data'!$F$16:$ZZ$16,0)),"")</f>
        <v/>
      </c>
      <c r="G33" s="31" t="str">
        <f>IFERROR(INDEX('WINBUGS data'!$F$17:$ZZ$65,MATCH($C33,'WINBUGS data'!$F$17:$F$65,0),MATCH("t[,"&amp;G$4 &amp;"]",'WINBUGS data'!$F$16:$ZZ$16,0)),"")</f>
        <v/>
      </c>
      <c r="H33" s="31" t="str">
        <f>IFERROR(INDEX('WINBUGS data'!$F$17:$ZZ$65,MATCH($C33,'WINBUGS data'!$F$17:$F$65,0),MATCH("t[,"&amp;H$4 &amp;"]",'WINBUGS data'!$F$16:$ZZ$16,0)),"")</f>
        <v/>
      </c>
      <c r="I33" s="31" t="str">
        <f>IFERROR(INDEX('WINBUGS data'!$F$17:$ZZ$65,MATCH($C33,'WINBUGS data'!$F$17:$F$65,0),MATCH("t[,"&amp;I$4 &amp;"]",'WINBUGS data'!$F$16:$ZZ$16,0)),"")</f>
        <v/>
      </c>
      <c r="J33" s="31" t="str">
        <f>IFERROR(INDEX('WINBUGS data'!$F$17:$ZZ$65,MATCH($C33,'WINBUGS data'!$F$17:$F$65,0),MATCH("t[,"&amp;J$4 &amp;"]",'WINBUGS data'!$F$16:$ZZ$16,0)),"")</f>
        <v/>
      </c>
      <c r="K33" s="31" t="str">
        <f>IFERROR(INDEX('WINBUGS data'!$F$17:$ZZ$65,MATCH($C33,'WINBUGS data'!$F$17:$F$65,0),MATCH("t[,"&amp;K$4 &amp;"]",'WINBUGS data'!$F$16:$ZZ$16,0)),"")</f>
        <v/>
      </c>
      <c r="L33" s="31" t="str">
        <f>IFERROR(INDEX('WINBUGS data'!$F$17:$ZZ$65,MATCH($C33,'WINBUGS data'!$F$17:$F$65,0),MATCH("t[,"&amp;L$4 &amp;"]",'WINBUGS data'!$F$16:$ZZ$16,0)),"")</f>
        <v/>
      </c>
      <c r="M33" s="31" t="str">
        <f>IFERROR(INDEX('WINBUGS data'!$F$17:$ZZ$65,MATCH($C33,'WINBUGS data'!$F$17:$F$65,0),MATCH("t[,"&amp;M$4 &amp;"]",'WINBUGS data'!$F$16:$ZZ$16,0)),"")</f>
        <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t="str">
        <f>IF('WINBUGS data'!F46&lt;&gt;"",'WINBUGS data'!F46,"")</f>
        <v/>
      </c>
      <c r="D34" s="31" t="str">
        <f>IFERROR(INDEX('WINBUGS data'!$F$17:$ZZ$65,MATCH(C34,'WINBUGS data'!$F$17:$F$65,0),MATCH("na[]",'WINBUGS data'!$F$16:$ZZ$16,0)),"")</f>
        <v/>
      </c>
      <c r="E34" s="31" t="str">
        <f t="shared" si="0"/>
        <v/>
      </c>
      <c r="F34" s="31" t="str">
        <f>IFERROR(INDEX('WINBUGS data'!$F$17:$ZZ$65,MATCH($C34,'WINBUGS data'!$F$17:$F$65,0),MATCH("t[,"&amp;F$4 &amp;"]",'WINBUGS data'!$F$16:$ZZ$16,0)),"")</f>
        <v/>
      </c>
      <c r="G34" s="31" t="str">
        <f>IFERROR(INDEX('WINBUGS data'!$F$17:$ZZ$65,MATCH($C34,'WINBUGS data'!$F$17:$F$65,0),MATCH("t[,"&amp;G$4 &amp;"]",'WINBUGS data'!$F$16:$ZZ$16,0)),"")</f>
        <v/>
      </c>
      <c r="H34" s="31" t="str">
        <f>IFERROR(INDEX('WINBUGS data'!$F$17:$ZZ$65,MATCH($C34,'WINBUGS data'!$F$17:$F$65,0),MATCH("t[,"&amp;H$4 &amp;"]",'WINBUGS data'!$F$16:$ZZ$16,0)),"")</f>
        <v/>
      </c>
      <c r="I34" s="31" t="str">
        <f>IFERROR(INDEX('WINBUGS data'!$F$17:$ZZ$65,MATCH($C34,'WINBUGS data'!$F$17:$F$65,0),MATCH("t[,"&amp;I$4 &amp;"]",'WINBUGS data'!$F$16:$ZZ$16,0)),"")</f>
        <v/>
      </c>
      <c r="J34" s="31" t="str">
        <f>IFERROR(INDEX('WINBUGS data'!$F$17:$ZZ$65,MATCH($C34,'WINBUGS data'!$F$17:$F$65,0),MATCH("t[,"&amp;J$4 &amp;"]",'WINBUGS data'!$F$16:$ZZ$16,0)),"")</f>
        <v/>
      </c>
      <c r="K34" s="31" t="str">
        <f>IFERROR(INDEX('WINBUGS data'!$F$17:$ZZ$65,MATCH($C34,'WINBUGS data'!$F$17:$F$65,0),MATCH("t[,"&amp;K$4 &amp;"]",'WINBUGS data'!$F$16:$ZZ$16,0)),"")</f>
        <v/>
      </c>
      <c r="L34" s="31" t="str">
        <f>IFERROR(INDEX('WINBUGS data'!$F$17:$ZZ$65,MATCH($C34,'WINBUGS data'!$F$17:$F$65,0),MATCH("t[,"&amp;L$4 &amp;"]",'WINBUGS data'!$F$16:$ZZ$16,0)),"")</f>
        <v/>
      </c>
      <c r="M34" s="31" t="str">
        <f>IFERROR(INDEX('WINBUGS data'!$F$17:$ZZ$65,MATCH($C34,'WINBUGS data'!$F$17:$F$65,0),MATCH("t[,"&amp;M$4 &amp;"]",'WINBUGS data'!$F$16:$ZZ$16,0)),"")</f>
        <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t="str">
        <f>IF('WINBUGS data'!F47&lt;&gt;"",'WINBUGS data'!F47,"")</f>
        <v/>
      </c>
      <c r="D35" s="31" t="str">
        <f>IFERROR(INDEX('WINBUGS data'!$F$17:$ZZ$65,MATCH(C35,'WINBUGS data'!$F$17:$F$65,0),MATCH("na[]",'WINBUGS data'!$F$16:$ZZ$16,0)),"")</f>
        <v/>
      </c>
      <c r="E35" s="31" t="str">
        <f t="shared" si="0"/>
        <v/>
      </c>
      <c r="F35" s="31" t="str">
        <f>IFERROR(INDEX('WINBUGS data'!$F$17:$ZZ$65,MATCH($C35,'WINBUGS data'!$F$17:$F$65,0),MATCH("t[,"&amp;F$4 &amp;"]",'WINBUGS data'!$F$16:$ZZ$16,0)),"")</f>
        <v/>
      </c>
      <c r="G35" s="31" t="str">
        <f>IFERROR(INDEX('WINBUGS data'!$F$17:$ZZ$65,MATCH($C35,'WINBUGS data'!$F$17:$F$65,0),MATCH("t[,"&amp;G$4 &amp;"]",'WINBUGS data'!$F$16:$ZZ$16,0)),"")</f>
        <v/>
      </c>
      <c r="H35" s="31" t="str">
        <f>IFERROR(INDEX('WINBUGS data'!$F$17:$ZZ$65,MATCH($C35,'WINBUGS data'!$F$17:$F$65,0),MATCH("t[,"&amp;H$4 &amp;"]",'WINBUGS data'!$F$16:$ZZ$16,0)),"")</f>
        <v/>
      </c>
      <c r="I35" s="31" t="str">
        <f>IFERROR(INDEX('WINBUGS data'!$F$17:$ZZ$65,MATCH($C35,'WINBUGS data'!$F$17:$F$65,0),MATCH("t[,"&amp;I$4 &amp;"]",'WINBUGS data'!$F$16:$ZZ$16,0)),"")</f>
        <v/>
      </c>
      <c r="J35" s="31" t="str">
        <f>IFERROR(INDEX('WINBUGS data'!$F$17:$ZZ$65,MATCH($C35,'WINBUGS data'!$F$17:$F$65,0),MATCH("t[,"&amp;J$4 &amp;"]",'WINBUGS data'!$F$16:$ZZ$16,0)),"")</f>
        <v/>
      </c>
      <c r="K35" s="31" t="str">
        <f>IFERROR(INDEX('WINBUGS data'!$F$17:$ZZ$65,MATCH($C35,'WINBUGS data'!$F$17:$F$65,0),MATCH("t[,"&amp;K$4 &amp;"]",'WINBUGS data'!$F$16:$ZZ$16,0)),"")</f>
        <v/>
      </c>
      <c r="L35" s="31" t="str">
        <f>IFERROR(INDEX('WINBUGS data'!$F$17:$ZZ$65,MATCH($C35,'WINBUGS data'!$F$17:$F$65,0),MATCH("t[,"&amp;L$4 &amp;"]",'WINBUGS data'!$F$16:$ZZ$16,0)),"")</f>
        <v/>
      </c>
      <c r="M35" s="31" t="str">
        <f>IFERROR(INDEX('WINBUGS data'!$F$17:$ZZ$65,MATCH($C35,'WINBUGS data'!$F$17:$F$65,0),MATCH("t[,"&amp;M$4 &amp;"]",'WINBUGS data'!$F$16:$ZZ$16,0)),"")</f>
        <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263</v>
      </c>
      <c r="I2" s="10"/>
      <c r="J2" s="10"/>
      <c r="K2" s="10"/>
      <c r="L2" s="10"/>
      <c r="M2" s="10"/>
      <c r="N2" s="10"/>
      <c r="O2" s="10"/>
      <c r="P2" s="10"/>
      <c r="Q2" s="10"/>
      <c r="R2" s="10"/>
      <c r="S2" s="10"/>
      <c r="T2" s="10"/>
    </row>
    <row r="3" spans="2:38" ht="15.75" thickBot="1" x14ac:dyDescent="0.3">
      <c r="B3" s="4" t="s">
        <v>8</v>
      </c>
      <c r="C3" s="3" t="s">
        <v>7</v>
      </c>
      <c r="H3" t="s">
        <v>771</v>
      </c>
    </row>
    <row r="4" spans="2:38" x14ac:dyDescent="0.25">
      <c r="B4" s="5" t="str">
        <f>IF('DATA Input'!E5="","",'DATA Input'!E5)</f>
        <v>INDOIV</v>
      </c>
      <c r="C4" s="1">
        <f>IF(B4="","",1)</f>
        <v>1</v>
      </c>
      <c r="H4" t="s">
        <v>772</v>
      </c>
    </row>
    <row r="5" spans="2:38" x14ac:dyDescent="0.25">
      <c r="B5" s="5" t="str">
        <f>IF('DATA Input'!G5="","",'DATA Input'!G5)</f>
        <v>IBUIV</v>
      </c>
      <c r="C5" s="1">
        <f>IF(B5="","",C4+1)</f>
        <v>2</v>
      </c>
      <c r="H5" t="s">
        <v>773</v>
      </c>
    </row>
    <row r="6" spans="2:38"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8" x14ac:dyDescent="0.25">
      <c r="B7" s="5" t="str">
        <f>IF('DATA Input'!K$5="","",'DATA Input'!K$5)</f>
        <v>PARAPO</v>
      </c>
      <c r="C7" s="1">
        <f t="shared" si="0"/>
        <v>4</v>
      </c>
      <c r="H7" t="s">
        <v>774</v>
      </c>
    </row>
    <row r="8" spans="2:38" x14ac:dyDescent="0.25">
      <c r="B8" s="5" t="str">
        <f>IF('DATA Input'!M$5="","",'DATA Input'!M$5)</f>
        <v>IBUIVHIGHDOSE</v>
      </c>
      <c r="C8" s="1">
        <f t="shared" si="0"/>
        <v>5</v>
      </c>
      <c r="H8" t="s">
        <v>775</v>
      </c>
    </row>
    <row r="9" spans="2:38" x14ac:dyDescent="0.25">
      <c r="B9" s="5" t="str">
        <f>IF('DATA Input'!O$5="","",'DATA Input'!O$5)</f>
        <v>IBUPOHIGHDOSE</v>
      </c>
      <c r="C9" s="1">
        <f t="shared" si="0"/>
        <v>6</v>
      </c>
      <c r="H9" t="s">
        <v>776</v>
      </c>
    </row>
    <row r="10" spans="2:38"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8" x14ac:dyDescent="0.25">
      <c r="B11" s="5" t="str">
        <f>IF('DATA Input'!S$5="","",'DATA Input'!S$5)</f>
        <v>INDOIVCONT</v>
      </c>
      <c r="C11" s="1">
        <f t="shared" si="0"/>
        <v>8</v>
      </c>
      <c r="H11" t="s">
        <v>777</v>
      </c>
    </row>
    <row r="12" spans="2:38" x14ac:dyDescent="0.25">
      <c r="B12" s="5" t="str">
        <f>IF('DATA Input'!U$5="","",'DATA Input'!U$5)</f>
        <v>INDOTHERS</v>
      </c>
      <c r="C12" s="1">
        <f t="shared" si="0"/>
        <v>9</v>
      </c>
      <c r="F12" s="172" t="s">
        <v>268</v>
      </c>
      <c r="G12" s="146"/>
      <c r="H12" s="54" t="s">
        <v>778</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779</v>
      </c>
      <c r="I13" s="19"/>
      <c r="J13" s="19"/>
      <c r="K13" s="19"/>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v>0.50684931506849318</v>
      </c>
      <c r="I14" s="147">
        <v>37.506849315068493</v>
      </c>
      <c r="J14" s="147">
        <v>0.49315068493150682</v>
      </c>
      <c r="K14" s="147">
        <v>36.493150684931507</v>
      </c>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770</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369</v>
      </c>
      <c r="AA16" t="s">
        <v>370</v>
      </c>
      <c r="AB16" t="s">
        <v>4</v>
      </c>
      <c r="AC16" t="s">
        <v>5</v>
      </c>
      <c r="AD16" t="s">
        <v>46</v>
      </c>
      <c r="AE16" t="s">
        <v>47</v>
      </c>
      <c r="AF16" t="s">
        <v>253</v>
      </c>
      <c r="AG16" t="s">
        <v>371</v>
      </c>
      <c r="AH16" t="s">
        <v>372</v>
      </c>
      <c r="AI16" t="s">
        <v>373</v>
      </c>
      <c r="AJ16" t="s">
        <v>374</v>
      </c>
      <c r="AK16" t="s">
        <v>375</v>
      </c>
      <c r="AL16" t="s">
        <v>6</v>
      </c>
    </row>
    <row r="17" spans="2:38" x14ac:dyDescent="0.25">
      <c r="B17" s="5" t="str">
        <f>IF('DATA Input'!AE$5="","",'DATA Input'!AE$5)</f>
        <v/>
      </c>
      <c r="C17" s="1" t="str">
        <f t="shared" si="0"/>
        <v/>
      </c>
      <c r="F17" s="16">
        <v>1</v>
      </c>
      <c r="G17" s="104">
        <v>2</v>
      </c>
      <c r="H17" s="144">
        <v>8</v>
      </c>
      <c r="I17" s="144">
        <v>68</v>
      </c>
      <c r="J17" s="144">
        <v>9</v>
      </c>
      <c r="K17" s="144">
        <v>68</v>
      </c>
      <c r="L17" s="144" t="s">
        <v>376</v>
      </c>
      <c r="M17" s="144">
        <v>1</v>
      </c>
      <c r="N17" s="19" t="s">
        <v>376</v>
      </c>
      <c r="O17" s="19">
        <v>1</v>
      </c>
      <c r="P17" s="19" t="s">
        <v>376</v>
      </c>
      <c r="Q17" s="19">
        <v>1</v>
      </c>
      <c r="R17" s="19" t="s">
        <v>376</v>
      </c>
      <c r="S17" s="19">
        <v>1</v>
      </c>
      <c r="T17" s="19" t="s">
        <v>376</v>
      </c>
      <c r="U17" s="19">
        <v>1</v>
      </c>
      <c r="V17" s="19" t="s">
        <v>376</v>
      </c>
      <c r="W17" s="19">
        <v>1</v>
      </c>
      <c r="X17" s="19" t="s">
        <v>376</v>
      </c>
      <c r="Y17">
        <v>1</v>
      </c>
      <c r="Z17" t="s">
        <v>376</v>
      </c>
      <c r="AA17">
        <v>1</v>
      </c>
      <c r="AB17">
        <v>2</v>
      </c>
      <c r="AC17">
        <v>10</v>
      </c>
      <c r="AD17" t="s">
        <v>376</v>
      </c>
      <c r="AE17" t="s">
        <v>376</v>
      </c>
      <c r="AF17" t="s">
        <v>376</v>
      </c>
      <c r="AG17" t="s">
        <v>376</v>
      </c>
      <c r="AH17" t="s">
        <v>376</v>
      </c>
      <c r="AI17" t="s">
        <v>376</v>
      </c>
      <c r="AJ17" t="s">
        <v>376</v>
      </c>
      <c r="AK17" t="s">
        <v>376</v>
      </c>
      <c r="AL17">
        <v>2</v>
      </c>
    </row>
    <row r="18" spans="2:38" ht="15.75" thickBot="1" x14ac:dyDescent="0.3">
      <c r="B18" s="6" t="str">
        <f>IF('DATA Input'!AG$5="","",'DATA Input'!AG$5)</f>
        <v/>
      </c>
      <c r="C18" s="2" t="str">
        <f t="shared" si="0"/>
        <v/>
      </c>
      <c r="F18" s="16">
        <v>2</v>
      </c>
      <c r="G18" s="104">
        <v>4</v>
      </c>
      <c r="H18" s="19">
        <v>0</v>
      </c>
      <c r="I18" s="19">
        <v>37</v>
      </c>
      <c r="J18" s="19">
        <v>0</v>
      </c>
      <c r="K18" s="19">
        <v>36</v>
      </c>
      <c r="L18" s="19" t="s">
        <v>376</v>
      </c>
      <c r="M18" s="19">
        <v>1</v>
      </c>
      <c r="N18" s="19" t="s">
        <v>376</v>
      </c>
      <c r="O18" s="19">
        <v>1</v>
      </c>
      <c r="P18" s="19" t="s">
        <v>376</v>
      </c>
      <c r="Q18" s="19">
        <v>1</v>
      </c>
      <c r="R18" s="19" t="s">
        <v>376</v>
      </c>
      <c r="S18" s="19">
        <v>1</v>
      </c>
      <c r="T18" s="19" t="s">
        <v>376</v>
      </c>
      <c r="U18" s="19">
        <v>1</v>
      </c>
      <c r="V18" s="19" t="s">
        <v>376</v>
      </c>
      <c r="W18" s="19">
        <v>1</v>
      </c>
      <c r="X18" s="19" t="s">
        <v>376</v>
      </c>
      <c r="Y18">
        <v>1</v>
      </c>
      <c r="Z18" t="s">
        <v>376</v>
      </c>
      <c r="AA18">
        <v>1</v>
      </c>
      <c r="AB18">
        <v>1</v>
      </c>
      <c r="AC18">
        <v>4</v>
      </c>
      <c r="AD18" t="s">
        <v>376</v>
      </c>
      <c r="AE18" t="s">
        <v>376</v>
      </c>
      <c r="AF18" t="s">
        <v>376</v>
      </c>
      <c r="AG18" t="s">
        <v>376</v>
      </c>
      <c r="AH18" t="s">
        <v>376</v>
      </c>
      <c r="AI18" t="s">
        <v>376</v>
      </c>
      <c r="AJ18" t="s">
        <v>376</v>
      </c>
      <c r="AK18" t="s">
        <v>376</v>
      </c>
      <c r="AL18">
        <v>2</v>
      </c>
    </row>
    <row r="19" spans="2:38" x14ac:dyDescent="0.25">
      <c r="F19" s="16">
        <v>3</v>
      </c>
      <c r="G19" s="104">
        <v>8</v>
      </c>
      <c r="H19" s="19">
        <v>1</v>
      </c>
      <c r="I19" s="19">
        <v>34</v>
      </c>
      <c r="J19" s="19">
        <v>1</v>
      </c>
      <c r="K19" s="19">
        <v>36</v>
      </c>
      <c r="L19" s="19" t="s">
        <v>376</v>
      </c>
      <c r="M19" s="19">
        <v>1</v>
      </c>
      <c r="N19" s="19" t="s">
        <v>376</v>
      </c>
      <c r="O19" s="19">
        <v>1</v>
      </c>
      <c r="P19" s="19" t="s">
        <v>376</v>
      </c>
      <c r="Q19" s="19">
        <v>1</v>
      </c>
      <c r="R19" s="19" t="s">
        <v>376</v>
      </c>
      <c r="S19" s="19">
        <v>1</v>
      </c>
      <c r="T19" s="19" t="s">
        <v>376</v>
      </c>
      <c r="U19" s="19">
        <v>1</v>
      </c>
      <c r="V19" s="19" t="s">
        <v>376</v>
      </c>
      <c r="W19" s="19">
        <v>1</v>
      </c>
      <c r="X19" s="19" t="s">
        <v>376</v>
      </c>
      <c r="Y19">
        <v>1</v>
      </c>
      <c r="Z19" t="s">
        <v>376</v>
      </c>
      <c r="AA19">
        <v>1</v>
      </c>
      <c r="AB19">
        <v>2</v>
      </c>
      <c r="AC19">
        <v>3</v>
      </c>
      <c r="AD19" t="s">
        <v>376</v>
      </c>
      <c r="AE19" t="s">
        <v>376</v>
      </c>
      <c r="AF19" t="s">
        <v>376</v>
      </c>
      <c r="AG19" t="s">
        <v>376</v>
      </c>
      <c r="AH19" t="s">
        <v>376</v>
      </c>
      <c r="AI19" t="s">
        <v>376</v>
      </c>
      <c r="AJ19" t="s">
        <v>376</v>
      </c>
      <c r="AK19" t="s">
        <v>376</v>
      </c>
      <c r="AL19">
        <v>2</v>
      </c>
    </row>
    <row r="20" spans="2:38" x14ac:dyDescent="0.25">
      <c r="F20" s="16">
        <v>4</v>
      </c>
      <c r="G20" s="104">
        <v>9</v>
      </c>
      <c r="H20" s="19">
        <v>1</v>
      </c>
      <c r="I20" s="19">
        <v>50</v>
      </c>
      <c r="J20" s="19">
        <v>1</v>
      </c>
      <c r="K20" s="19">
        <v>52</v>
      </c>
      <c r="L20" s="19" t="s">
        <v>376</v>
      </c>
      <c r="M20" s="19">
        <v>1</v>
      </c>
      <c r="N20" s="19" t="s">
        <v>376</v>
      </c>
      <c r="O20" s="19">
        <v>1</v>
      </c>
      <c r="P20" s="19" t="s">
        <v>376</v>
      </c>
      <c r="Q20" s="19">
        <v>1</v>
      </c>
      <c r="R20" s="19" t="s">
        <v>376</v>
      </c>
      <c r="S20" s="19">
        <v>1</v>
      </c>
      <c r="T20" s="19" t="s">
        <v>376</v>
      </c>
      <c r="U20" s="19">
        <v>1</v>
      </c>
      <c r="V20" s="19" t="s">
        <v>376</v>
      </c>
      <c r="W20" s="19">
        <v>1</v>
      </c>
      <c r="X20" s="19" t="s">
        <v>376</v>
      </c>
      <c r="Y20">
        <v>1</v>
      </c>
      <c r="Z20" t="s">
        <v>376</v>
      </c>
      <c r="AA20">
        <v>1</v>
      </c>
      <c r="AB20">
        <v>2</v>
      </c>
      <c r="AC20">
        <v>3</v>
      </c>
      <c r="AD20" t="s">
        <v>376</v>
      </c>
      <c r="AE20" t="s">
        <v>376</v>
      </c>
      <c r="AF20" t="s">
        <v>376</v>
      </c>
      <c r="AG20" t="s">
        <v>376</v>
      </c>
      <c r="AH20" t="s">
        <v>376</v>
      </c>
      <c r="AI20" t="s">
        <v>376</v>
      </c>
      <c r="AJ20" t="s">
        <v>376</v>
      </c>
      <c r="AK20" t="s">
        <v>376</v>
      </c>
      <c r="AL20">
        <v>2</v>
      </c>
    </row>
    <row r="21" spans="2:38" x14ac:dyDescent="0.25">
      <c r="F21" s="16">
        <v>5</v>
      </c>
      <c r="G21" s="104">
        <v>11</v>
      </c>
      <c r="H21" s="19">
        <v>4</v>
      </c>
      <c r="I21" s="19">
        <v>32</v>
      </c>
      <c r="J21" s="19">
        <v>1</v>
      </c>
      <c r="K21" s="19">
        <v>32</v>
      </c>
      <c r="L21" s="19" t="s">
        <v>376</v>
      </c>
      <c r="M21" s="19">
        <v>1</v>
      </c>
      <c r="N21" s="19" t="s">
        <v>376</v>
      </c>
      <c r="O21" s="19">
        <v>1</v>
      </c>
      <c r="P21" s="19" t="s">
        <v>376</v>
      </c>
      <c r="Q21" s="19">
        <v>1</v>
      </c>
      <c r="R21" s="19" t="s">
        <v>376</v>
      </c>
      <c r="S21" s="19">
        <v>1</v>
      </c>
      <c r="T21" s="19" t="s">
        <v>376</v>
      </c>
      <c r="U21" s="19">
        <v>1</v>
      </c>
      <c r="V21" s="19" t="s">
        <v>376</v>
      </c>
      <c r="W21" s="19">
        <v>1</v>
      </c>
      <c r="X21" s="19" t="s">
        <v>376</v>
      </c>
      <c r="Y21">
        <v>1</v>
      </c>
      <c r="Z21" t="s">
        <v>376</v>
      </c>
      <c r="AA21">
        <v>1</v>
      </c>
      <c r="AB21">
        <v>2</v>
      </c>
      <c r="AC21">
        <v>3</v>
      </c>
      <c r="AD21" t="s">
        <v>376</v>
      </c>
      <c r="AE21" t="s">
        <v>376</v>
      </c>
      <c r="AF21" t="s">
        <v>376</v>
      </c>
      <c r="AG21" t="s">
        <v>376</v>
      </c>
      <c r="AH21" t="s">
        <v>376</v>
      </c>
      <c r="AI21" t="s">
        <v>376</v>
      </c>
      <c r="AJ21" t="s">
        <v>376</v>
      </c>
      <c r="AK21" t="s">
        <v>376</v>
      </c>
      <c r="AL21">
        <v>2</v>
      </c>
    </row>
    <row r="22" spans="2:38" x14ac:dyDescent="0.25">
      <c r="F22" s="16">
        <v>6</v>
      </c>
      <c r="G22" s="104">
        <v>15</v>
      </c>
      <c r="H22" s="19">
        <v>1</v>
      </c>
      <c r="I22" s="19">
        <v>20</v>
      </c>
      <c r="J22" s="19">
        <v>7</v>
      </c>
      <c r="K22" s="19">
        <v>19</v>
      </c>
      <c r="L22" s="19" t="s">
        <v>376</v>
      </c>
      <c r="M22" s="19">
        <v>1</v>
      </c>
      <c r="N22" s="19" t="s">
        <v>376</v>
      </c>
      <c r="O22" s="19">
        <v>1</v>
      </c>
      <c r="P22" s="19" t="s">
        <v>376</v>
      </c>
      <c r="Q22" s="19">
        <v>1</v>
      </c>
      <c r="R22" s="19" t="s">
        <v>376</v>
      </c>
      <c r="S22" s="19">
        <v>1</v>
      </c>
      <c r="T22" s="19" t="s">
        <v>376</v>
      </c>
      <c r="U22" s="19">
        <v>1</v>
      </c>
      <c r="V22" s="19" t="s">
        <v>376</v>
      </c>
      <c r="W22" s="19">
        <v>1</v>
      </c>
      <c r="X22" s="19" t="s">
        <v>376</v>
      </c>
      <c r="Y22">
        <v>1</v>
      </c>
      <c r="Z22" t="s">
        <v>376</v>
      </c>
      <c r="AA22">
        <v>1</v>
      </c>
      <c r="AB22">
        <v>1</v>
      </c>
      <c r="AC22">
        <v>10</v>
      </c>
      <c r="AD22" t="s">
        <v>376</v>
      </c>
      <c r="AE22" t="s">
        <v>376</v>
      </c>
      <c r="AF22" t="s">
        <v>376</v>
      </c>
      <c r="AG22" t="s">
        <v>376</v>
      </c>
      <c r="AH22" t="s">
        <v>376</v>
      </c>
      <c r="AI22" t="s">
        <v>376</v>
      </c>
      <c r="AJ22" t="s">
        <v>376</v>
      </c>
      <c r="AK22" t="s">
        <v>376</v>
      </c>
      <c r="AL22">
        <v>2</v>
      </c>
    </row>
    <row r="23" spans="2:38" x14ac:dyDescent="0.25">
      <c r="F23" s="16">
        <v>7</v>
      </c>
      <c r="G23" s="104">
        <v>17</v>
      </c>
      <c r="H23" s="19">
        <v>4</v>
      </c>
      <c r="I23" s="19">
        <v>32</v>
      </c>
      <c r="J23" s="19">
        <v>2</v>
      </c>
      <c r="K23" s="19">
        <v>31</v>
      </c>
      <c r="L23" s="19" t="s">
        <v>376</v>
      </c>
      <c r="M23" s="19">
        <v>1</v>
      </c>
      <c r="N23" s="19" t="s">
        <v>376</v>
      </c>
      <c r="O23" s="19">
        <v>1</v>
      </c>
      <c r="P23" s="19" t="s">
        <v>376</v>
      </c>
      <c r="Q23" s="19">
        <v>1</v>
      </c>
      <c r="R23" s="19" t="s">
        <v>376</v>
      </c>
      <c r="S23" s="19">
        <v>1</v>
      </c>
      <c r="T23" s="19" t="s">
        <v>376</v>
      </c>
      <c r="U23" s="19">
        <v>1</v>
      </c>
      <c r="V23" s="19" t="s">
        <v>376</v>
      </c>
      <c r="W23" s="19">
        <v>1</v>
      </c>
      <c r="X23" s="19" t="s">
        <v>376</v>
      </c>
      <c r="Y23">
        <v>1</v>
      </c>
      <c r="Z23" t="s">
        <v>376</v>
      </c>
      <c r="AA23">
        <v>1</v>
      </c>
      <c r="AB23">
        <v>2</v>
      </c>
      <c r="AC23">
        <v>8</v>
      </c>
      <c r="AD23" t="s">
        <v>376</v>
      </c>
      <c r="AE23" t="s">
        <v>376</v>
      </c>
      <c r="AF23" t="s">
        <v>376</v>
      </c>
      <c r="AG23" t="s">
        <v>376</v>
      </c>
      <c r="AH23" t="s">
        <v>376</v>
      </c>
      <c r="AI23" t="s">
        <v>376</v>
      </c>
      <c r="AJ23" t="s">
        <v>376</v>
      </c>
      <c r="AK23" t="s">
        <v>376</v>
      </c>
      <c r="AL23">
        <v>2</v>
      </c>
    </row>
    <row r="24" spans="2:38" x14ac:dyDescent="0.25">
      <c r="F24" s="16">
        <v>8</v>
      </c>
      <c r="G24" s="104">
        <v>18</v>
      </c>
      <c r="H24" s="19">
        <v>2</v>
      </c>
      <c r="I24" s="19">
        <v>35</v>
      </c>
      <c r="J24" s="19">
        <v>2</v>
      </c>
      <c r="K24" s="19">
        <v>35</v>
      </c>
      <c r="L24" s="19" t="s">
        <v>376</v>
      </c>
      <c r="M24" s="19">
        <v>1</v>
      </c>
      <c r="N24" s="19" t="s">
        <v>376</v>
      </c>
      <c r="O24" s="19">
        <v>1</v>
      </c>
      <c r="P24" s="19" t="s">
        <v>376</v>
      </c>
      <c r="Q24" s="19">
        <v>1</v>
      </c>
      <c r="R24" s="19" t="s">
        <v>376</v>
      </c>
      <c r="S24" s="19">
        <v>1</v>
      </c>
      <c r="T24" s="19" t="s">
        <v>376</v>
      </c>
      <c r="U24" s="19">
        <v>1</v>
      </c>
      <c r="V24" s="19" t="s">
        <v>376</v>
      </c>
      <c r="W24" s="19">
        <v>1</v>
      </c>
      <c r="X24" s="19" t="s">
        <v>376</v>
      </c>
      <c r="Y24">
        <v>1</v>
      </c>
      <c r="Z24" t="s">
        <v>376</v>
      </c>
      <c r="AA24">
        <v>1</v>
      </c>
      <c r="AB24">
        <v>2</v>
      </c>
      <c r="AC24">
        <v>5</v>
      </c>
      <c r="AD24" t="s">
        <v>376</v>
      </c>
      <c r="AE24" t="s">
        <v>376</v>
      </c>
      <c r="AF24" t="s">
        <v>376</v>
      </c>
      <c r="AG24" t="s">
        <v>376</v>
      </c>
      <c r="AH24" t="s">
        <v>376</v>
      </c>
      <c r="AI24" t="s">
        <v>376</v>
      </c>
      <c r="AJ24" t="s">
        <v>376</v>
      </c>
      <c r="AK24" t="s">
        <v>376</v>
      </c>
      <c r="AL24">
        <v>2</v>
      </c>
    </row>
    <row r="25" spans="2:38" x14ac:dyDescent="0.25">
      <c r="F25" s="16">
        <v>9</v>
      </c>
      <c r="G25" s="104">
        <v>22</v>
      </c>
      <c r="H25" s="19">
        <v>0</v>
      </c>
      <c r="I25" s="19">
        <v>44</v>
      </c>
      <c r="J25" s="19">
        <v>2</v>
      </c>
      <c r="K25" s="19">
        <v>48</v>
      </c>
      <c r="L25" s="19" t="s">
        <v>376</v>
      </c>
      <c r="M25" s="19">
        <v>1</v>
      </c>
      <c r="N25" s="19" t="s">
        <v>376</v>
      </c>
      <c r="O25" s="19">
        <v>1</v>
      </c>
      <c r="P25" s="19" t="s">
        <v>376</v>
      </c>
      <c r="Q25" s="19">
        <v>1</v>
      </c>
      <c r="R25" s="19" t="s">
        <v>376</v>
      </c>
      <c r="S25" s="19">
        <v>1</v>
      </c>
      <c r="T25" s="19" t="s">
        <v>376</v>
      </c>
      <c r="U25" s="19">
        <v>1</v>
      </c>
      <c r="V25" s="19" t="s">
        <v>376</v>
      </c>
      <c r="W25" s="19">
        <v>1</v>
      </c>
      <c r="X25" s="19" t="s">
        <v>376</v>
      </c>
      <c r="Y25">
        <v>1</v>
      </c>
      <c r="Z25" t="s">
        <v>376</v>
      </c>
      <c r="AA25">
        <v>1</v>
      </c>
      <c r="AB25">
        <v>1</v>
      </c>
      <c r="AC25">
        <v>10</v>
      </c>
      <c r="AD25" t="s">
        <v>376</v>
      </c>
      <c r="AE25" t="s">
        <v>376</v>
      </c>
      <c r="AF25" t="s">
        <v>376</v>
      </c>
      <c r="AG25" t="s">
        <v>376</v>
      </c>
      <c r="AH25" t="s">
        <v>376</v>
      </c>
      <c r="AI25" t="s">
        <v>376</v>
      </c>
      <c r="AJ25" t="s">
        <v>376</v>
      </c>
      <c r="AK25" t="s">
        <v>376</v>
      </c>
      <c r="AL25">
        <v>2</v>
      </c>
    </row>
    <row r="26" spans="2:38" x14ac:dyDescent="0.25">
      <c r="F26" s="16">
        <v>10</v>
      </c>
      <c r="G26" s="104">
        <v>25</v>
      </c>
      <c r="H26" s="19">
        <v>11</v>
      </c>
      <c r="I26" s="19">
        <v>56</v>
      </c>
      <c r="J26" s="19">
        <v>3</v>
      </c>
      <c r="K26" s="19">
        <v>55</v>
      </c>
      <c r="L26" s="19" t="s">
        <v>376</v>
      </c>
      <c r="M26" s="19">
        <v>1</v>
      </c>
      <c r="N26" s="19" t="s">
        <v>376</v>
      </c>
      <c r="O26" s="19">
        <v>1</v>
      </c>
      <c r="P26" s="19" t="s">
        <v>376</v>
      </c>
      <c r="Q26" s="19">
        <v>1</v>
      </c>
      <c r="R26" s="19" t="s">
        <v>376</v>
      </c>
      <c r="S26" s="19">
        <v>1</v>
      </c>
      <c r="T26" s="19" t="s">
        <v>376</v>
      </c>
      <c r="U26" s="19">
        <v>1</v>
      </c>
      <c r="V26" s="19" t="s">
        <v>376</v>
      </c>
      <c r="W26" s="19">
        <v>1</v>
      </c>
      <c r="X26" s="19" t="s">
        <v>376</v>
      </c>
      <c r="Y26">
        <v>1</v>
      </c>
      <c r="Z26" t="s">
        <v>376</v>
      </c>
      <c r="AA26">
        <v>1</v>
      </c>
      <c r="AB26">
        <v>2</v>
      </c>
      <c r="AC26">
        <v>7</v>
      </c>
      <c r="AD26" t="s">
        <v>376</v>
      </c>
      <c r="AE26" t="s">
        <v>376</v>
      </c>
      <c r="AF26" t="s">
        <v>376</v>
      </c>
      <c r="AG26" t="s">
        <v>376</v>
      </c>
      <c r="AH26" t="s">
        <v>376</v>
      </c>
      <c r="AI26" t="s">
        <v>376</v>
      </c>
      <c r="AJ26" t="s">
        <v>376</v>
      </c>
      <c r="AK26" t="s">
        <v>376</v>
      </c>
      <c r="AL26">
        <v>2</v>
      </c>
    </row>
    <row r="27" spans="2:38" x14ac:dyDescent="0.25">
      <c r="F27" s="16">
        <v>11</v>
      </c>
      <c r="G27" s="104">
        <v>26</v>
      </c>
      <c r="H27" s="19">
        <v>13</v>
      </c>
      <c r="I27" s="16">
        <v>69</v>
      </c>
      <c r="J27" s="16">
        <v>8</v>
      </c>
      <c r="K27" s="16">
        <v>71</v>
      </c>
      <c r="L27" s="16" t="s">
        <v>376</v>
      </c>
      <c r="M27" s="16">
        <v>1</v>
      </c>
      <c r="N27" s="16" t="s">
        <v>376</v>
      </c>
      <c r="O27" s="16">
        <v>1</v>
      </c>
      <c r="P27" s="16" t="s">
        <v>376</v>
      </c>
      <c r="Q27" s="16">
        <v>1</v>
      </c>
      <c r="R27" s="16" t="s">
        <v>376</v>
      </c>
      <c r="S27" s="16">
        <v>1</v>
      </c>
      <c r="T27" s="16" t="s">
        <v>376</v>
      </c>
      <c r="U27" s="16">
        <v>1</v>
      </c>
      <c r="V27" s="16" t="s">
        <v>376</v>
      </c>
      <c r="W27" s="16">
        <v>1</v>
      </c>
      <c r="X27" s="16" t="s">
        <v>376</v>
      </c>
      <c r="Y27">
        <v>1</v>
      </c>
      <c r="Z27" t="s">
        <v>376</v>
      </c>
      <c r="AA27">
        <v>1</v>
      </c>
      <c r="AB27">
        <v>1</v>
      </c>
      <c r="AC27">
        <v>9</v>
      </c>
      <c r="AD27" t="s">
        <v>376</v>
      </c>
      <c r="AE27" t="s">
        <v>376</v>
      </c>
      <c r="AF27" t="s">
        <v>376</v>
      </c>
      <c r="AG27" t="s">
        <v>376</v>
      </c>
      <c r="AH27" t="s">
        <v>376</v>
      </c>
      <c r="AI27" t="s">
        <v>376</v>
      </c>
      <c r="AJ27" t="s">
        <v>376</v>
      </c>
      <c r="AK27" t="s">
        <v>376</v>
      </c>
      <c r="AL27">
        <v>2</v>
      </c>
    </row>
    <row r="28" spans="2:38" x14ac:dyDescent="0.25">
      <c r="F28" s="16">
        <v>12</v>
      </c>
      <c r="G28" s="104">
        <v>29</v>
      </c>
      <c r="H28" s="16">
        <v>4</v>
      </c>
      <c r="I28" s="16">
        <v>24</v>
      </c>
      <c r="J28" s="16">
        <v>13</v>
      </c>
      <c r="K28" s="16">
        <v>23</v>
      </c>
      <c r="L28" s="16" t="s">
        <v>376</v>
      </c>
      <c r="M28" s="16">
        <v>1</v>
      </c>
      <c r="N28" s="16" t="s">
        <v>376</v>
      </c>
      <c r="O28" s="16">
        <v>1</v>
      </c>
      <c r="P28" s="16" t="s">
        <v>376</v>
      </c>
      <c r="Q28" s="16">
        <v>1</v>
      </c>
      <c r="R28" s="16" t="s">
        <v>376</v>
      </c>
      <c r="S28" s="16">
        <v>1</v>
      </c>
      <c r="T28" s="16" t="s">
        <v>376</v>
      </c>
      <c r="U28" s="16">
        <v>1</v>
      </c>
      <c r="V28" s="16" t="s">
        <v>376</v>
      </c>
      <c r="W28" s="16">
        <v>1</v>
      </c>
      <c r="X28" s="16" t="s">
        <v>376</v>
      </c>
      <c r="Y28">
        <v>1</v>
      </c>
      <c r="Z28" t="s">
        <v>376</v>
      </c>
      <c r="AA28">
        <v>1</v>
      </c>
      <c r="AB28">
        <v>9</v>
      </c>
      <c r="AC28">
        <v>10</v>
      </c>
      <c r="AD28" t="s">
        <v>376</v>
      </c>
      <c r="AE28" t="s">
        <v>376</v>
      </c>
      <c r="AF28" t="s">
        <v>376</v>
      </c>
      <c r="AG28" t="s">
        <v>376</v>
      </c>
      <c r="AH28" t="s">
        <v>376</v>
      </c>
      <c r="AI28" t="s">
        <v>376</v>
      </c>
      <c r="AJ28" t="s">
        <v>376</v>
      </c>
      <c r="AK28" t="s">
        <v>376</v>
      </c>
      <c r="AL28">
        <v>2</v>
      </c>
    </row>
    <row r="29" spans="2:38" x14ac:dyDescent="0.25">
      <c r="F29" s="16">
        <v>13</v>
      </c>
      <c r="G29" s="104">
        <v>30</v>
      </c>
      <c r="H29" s="16">
        <v>2</v>
      </c>
      <c r="I29" s="16">
        <v>12</v>
      </c>
      <c r="J29" s="16">
        <v>5</v>
      </c>
      <c r="K29" s="16">
        <v>11</v>
      </c>
      <c r="L29" s="16" t="s">
        <v>376</v>
      </c>
      <c r="M29" s="16">
        <v>1</v>
      </c>
      <c r="N29" s="16" t="s">
        <v>376</v>
      </c>
      <c r="O29" s="16">
        <v>1</v>
      </c>
      <c r="P29" s="16" t="s">
        <v>376</v>
      </c>
      <c r="Q29" s="16">
        <v>1</v>
      </c>
      <c r="R29" s="16" t="s">
        <v>376</v>
      </c>
      <c r="S29" s="16">
        <v>1</v>
      </c>
      <c r="T29" s="16" t="s">
        <v>376</v>
      </c>
      <c r="U29" s="16">
        <v>1</v>
      </c>
      <c r="V29" s="16" t="s">
        <v>376</v>
      </c>
      <c r="W29" s="16">
        <v>1</v>
      </c>
      <c r="X29" s="16" t="s">
        <v>376</v>
      </c>
      <c r="Y29">
        <v>1</v>
      </c>
      <c r="Z29" t="s">
        <v>376</v>
      </c>
      <c r="AA29">
        <v>1</v>
      </c>
      <c r="AB29">
        <v>9</v>
      </c>
      <c r="AC29">
        <v>10</v>
      </c>
      <c r="AD29" t="s">
        <v>376</v>
      </c>
      <c r="AE29" t="s">
        <v>376</v>
      </c>
      <c r="AF29" t="s">
        <v>376</v>
      </c>
      <c r="AG29" t="s">
        <v>376</v>
      </c>
      <c r="AH29" t="s">
        <v>376</v>
      </c>
      <c r="AI29" t="s">
        <v>376</v>
      </c>
      <c r="AJ29" t="s">
        <v>376</v>
      </c>
      <c r="AK29" t="s">
        <v>376</v>
      </c>
      <c r="AL29">
        <v>2</v>
      </c>
    </row>
    <row r="30" spans="2:38" x14ac:dyDescent="0.25">
      <c r="F30" s="16">
        <v>14</v>
      </c>
      <c r="G30" s="104">
        <v>32</v>
      </c>
      <c r="H30" s="16">
        <v>2</v>
      </c>
      <c r="I30" s="16">
        <v>40</v>
      </c>
      <c r="J30" s="16">
        <v>1</v>
      </c>
      <c r="K30" s="16">
        <v>40</v>
      </c>
      <c r="L30" s="16" t="s">
        <v>376</v>
      </c>
      <c r="M30" s="16">
        <v>1</v>
      </c>
      <c r="N30" s="16" t="s">
        <v>376</v>
      </c>
      <c r="O30" s="16">
        <v>1</v>
      </c>
      <c r="P30" s="16" t="s">
        <v>376</v>
      </c>
      <c r="Q30" s="16">
        <v>1</v>
      </c>
      <c r="R30" s="16" t="s">
        <v>376</v>
      </c>
      <c r="S30" s="16">
        <v>1</v>
      </c>
      <c r="T30" s="16" t="s">
        <v>376</v>
      </c>
      <c r="U30" s="16">
        <v>1</v>
      </c>
      <c r="V30" s="16" t="s">
        <v>376</v>
      </c>
      <c r="W30" s="16">
        <v>1</v>
      </c>
      <c r="X30" s="16" t="s">
        <v>376</v>
      </c>
      <c r="Y30">
        <v>1</v>
      </c>
      <c r="Z30" t="s">
        <v>376</v>
      </c>
      <c r="AA30">
        <v>1</v>
      </c>
      <c r="AB30">
        <v>3</v>
      </c>
      <c r="AC30">
        <v>4</v>
      </c>
      <c r="AD30" t="s">
        <v>376</v>
      </c>
      <c r="AE30" t="s">
        <v>376</v>
      </c>
      <c r="AF30" t="s">
        <v>376</v>
      </c>
      <c r="AG30" t="s">
        <v>376</v>
      </c>
      <c r="AH30" t="s">
        <v>376</v>
      </c>
      <c r="AI30" t="s">
        <v>376</v>
      </c>
      <c r="AJ30" t="s">
        <v>376</v>
      </c>
      <c r="AK30" t="s">
        <v>376</v>
      </c>
      <c r="AL30">
        <v>2</v>
      </c>
    </row>
    <row r="31" spans="2:38" x14ac:dyDescent="0.25">
      <c r="F31" s="16">
        <v>15</v>
      </c>
      <c r="G31" s="104">
        <v>35</v>
      </c>
      <c r="H31" s="16">
        <v>3</v>
      </c>
      <c r="I31" s="16">
        <v>20</v>
      </c>
      <c r="J31" s="16">
        <v>2</v>
      </c>
      <c r="K31" s="16">
        <v>20</v>
      </c>
      <c r="L31" s="16" t="s">
        <v>376</v>
      </c>
      <c r="M31" s="16">
        <v>1</v>
      </c>
      <c r="N31" s="16" t="s">
        <v>376</v>
      </c>
      <c r="O31" s="16">
        <v>1</v>
      </c>
      <c r="P31" s="16" t="s">
        <v>376</v>
      </c>
      <c r="Q31" s="16">
        <v>1</v>
      </c>
      <c r="R31" s="16" t="s">
        <v>376</v>
      </c>
      <c r="S31" s="16">
        <v>1</v>
      </c>
      <c r="T31" s="16" t="s">
        <v>376</v>
      </c>
      <c r="U31" s="16">
        <v>1</v>
      </c>
      <c r="V31" s="16" t="s">
        <v>376</v>
      </c>
      <c r="W31" s="16">
        <v>1</v>
      </c>
      <c r="X31" s="16" t="s">
        <v>376</v>
      </c>
      <c r="Y31">
        <v>1</v>
      </c>
      <c r="Z31" t="s">
        <v>376</v>
      </c>
      <c r="AA31">
        <v>1</v>
      </c>
      <c r="AB31">
        <v>1</v>
      </c>
      <c r="AC31">
        <v>2</v>
      </c>
      <c r="AD31" t="s">
        <v>376</v>
      </c>
      <c r="AE31" t="s">
        <v>376</v>
      </c>
      <c r="AF31" t="s">
        <v>376</v>
      </c>
      <c r="AG31" t="s">
        <v>376</v>
      </c>
      <c r="AH31" t="s">
        <v>376</v>
      </c>
      <c r="AI31" t="s">
        <v>376</v>
      </c>
      <c r="AJ31" t="s">
        <v>376</v>
      </c>
      <c r="AK31" t="s">
        <v>376</v>
      </c>
      <c r="AL31">
        <v>2</v>
      </c>
    </row>
    <row r="32" spans="2:38" x14ac:dyDescent="0.25">
      <c r="F32" s="16">
        <v>16</v>
      </c>
      <c r="G32" s="104">
        <v>37</v>
      </c>
      <c r="H32" s="16">
        <v>0</v>
      </c>
      <c r="I32" s="16">
        <v>15</v>
      </c>
      <c r="J32" s="16">
        <v>3</v>
      </c>
      <c r="K32" s="16">
        <v>18</v>
      </c>
      <c r="L32" s="16" t="s">
        <v>376</v>
      </c>
      <c r="M32" s="16">
        <v>1</v>
      </c>
      <c r="N32" s="16" t="s">
        <v>376</v>
      </c>
      <c r="O32" s="16">
        <v>1</v>
      </c>
      <c r="P32" s="16" t="s">
        <v>376</v>
      </c>
      <c r="Q32" s="16">
        <v>1</v>
      </c>
      <c r="R32" s="16" t="s">
        <v>376</v>
      </c>
      <c r="S32" s="16">
        <v>1</v>
      </c>
      <c r="T32" s="16" t="s">
        <v>376</v>
      </c>
      <c r="U32" s="16">
        <v>1</v>
      </c>
      <c r="V32" s="16" t="s">
        <v>376</v>
      </c>
      <c r="W32" s="16">
        <v>1</v>
      </c>
      <c r="X32" s="16" t="s">
        <v>376</v>
      </c>
      <c r="Y32">
        <v>1</v>
      </c>
      <c r="Z32" t="s">
        <v>376</v>
      </c>
      <c r="AA32">
        <v>1</v>
      </c>
      <c r="AB32">
        <v>1</v>
      </c>
      <c r="AC32">
        <v>2</v>
      </c>
      <c r="AD32" t="s">
        <v>376</v>
      </c>
      <c r="AE32" t="s">
        <v>376</v>
      </c>
      <c r="AF32" t="s">
        <v>376</v>
      </c>
      <c r="AG32" t="s">
        <v>376</v>
      </c>
      <c r="AH32" t="s">
        <v>376</v>
      </c>
      <c r="AI32" t="s">
        <v>376</v>
      </c>
      <c r="AJ32" t="s">
        <v>376</v>
      </c>
      <c r="AK32" t="s">
        <v>376</v>
      </c>
      <c r="AL32">
        <v>2</v>
      </c>
    </row>
    <row r="33" spans="6:38" x14ac:dyDescent="0.25">
      <c r="F33" s="16">
        <v>17</v>
      </c>
      <c r="G33" s="104">
        <v>45</v>
      </c>
      <c r="H33" s="16">
        <v>2</v>
      </c>
      <c r="I33" s="16">
        <v>15</v>
      </c>
      <c r="J33" s="16">
        <v>2</v>
      </c>
      <c r="K33" s="16">
        <v>15</v>
      </c>
      <c r="L33" s="16" t="s">
        <v>376</v>
      </c>
      <c r="M33" s="16">
        <v>1</v>
      </c>
      <c r="N33" s="16" t="s">
        <v>376</v>
      </c>
      <c r="O33" s="16">
        <v>1</v>
      </c>
      <c r="P33" s="16" t="s">
        <v>376</v>
      </c>
      <c r="Q33" s="16">
        <v>1</v>
      </c>
      <c r="R33" s="16" t="s">
        <v>376</v>
      </c>
      <c r="S33" s="16">
        <v>1</v>
      </c>
      <c r="T33" s="16" t="s">
        <v>376</v>
      </c>
      <c r="U33" s="16">
        <v>1</v>
      </c>
      <c r="V33" s="16" t="s">
        <v>376</v>
      </c>
      <c r="W33" s="16">
        <v>1</v>
      </c>
      <c r="X33" s="16" t="s">
        <v>376</v>
      </c>
      <c r="Y33">
        <v>1</v>
      </c>
      <c r="Z33" t="s">
        <v>376</v>
      </c>
      <c r="AA33">
        <v>1</v>
      </c>
      <c r="AB33">
        <v>9</v>
      </c>
      <c r="AC33">
        <v>10</v>
      </c>
      <c r="AD33" t="s">
        <v>376</v>
      </c>
      <c r="AE33" t="s">
        <v>376</v>
      </c>
      <c r="AF33" t="s">
        <v>376</v>
      </c>
      <c r="AG33" t="s">
        <v>376</v>
      </c>
      <c r="AH33" t="s">
        <v>376</v>
      </c>
      <c r="AI33" t="s">
        <v>376</v>
      </c>
      <c r="AJ33" t="s">
        <v>376</v>
      </c>
      <c r="AK33" t="s">
        <v>376</v>
      </c>
      <c r="AL33">
        <v>2</v>
      </c>
    </row>
    <row r="34" spans="6:38" x14ac:dyDescent="0.25">
      <c r="F34" s="16">
        <v>18</v>
      </c>
      <c r="G34" s="104">
        <v>46</v>
      </c>
      <c r="H34" s="16">
        <v>1</v>
      </c>
      <c r="I34" s="16">
        <v>31</v>
      </c>
      <c r="J34" s="16">
        <v>0</v>
      </c>
      <c r="K34" s="16">
        <v>31</v>
      </c>
      <c r="L34" s="16" t="s">
        <v>376</v>
      </c>
      <c r="M34" s="16">
        <v>1</v>
      </c>
      <c r="N34" s="16" t="s">
        <v>376</v>
      </c>
      <c r="O34" s="16">
        <v>1</v>
      </c>
      <c r="P34" s="16" t="s">
        <v>376</v>
      </c>
      <c r="Q34" s="16">
        <v>1</v>
      </c>
      <c r="R34" s="16" t="s">
        <v>376</v>
      </c>
      <c r="S34" s="16">
        <v>1</v>
      </c>
      <c r="T34" s="16" t="s">
        <v>376</v>
      </c>
      <c r="U34" s="16">
        <v>1</v>
      </c>
      <c r="V34" s="16" t="s">
        <v>376</v>
      </c>
      <c r="W34" s="16">
        <v>1</v>
      </c>
      <c r="X34" s="16" t="s">
        <v>376</v>
      </c>
      <c r="Y34">
        <v>1</v>
      </c>
      <c r="Z34" t="s">
        <v>376</v>
      </c>
      <c r="AA34">
        <v>1</v>
      </c>
      <c r="AB34">
        <v>3</v>
      </c>
      <c r="AC34">
        <v>10</v>
      </c>
      <c r="AD34" t="s">
        <v>376</v>
      </c>
      <c r="AE34" t="s">
        <v>376</v>
      </c>
      <c r="AF34" t="s">
        <v>376</v>
      </c>
      <c r="AG34" t="s">
        <v>376</v>
      </c>
      <c r="AH34" t="s">
        <v>376</v>
      </c>
      <c r="AI34" t="s">
        <v>376</v>
      </c>
      <c r="AJ34" t="s">
        <v>376</v>
      </c>
      <c r="AK34" t="s">
        <v>376</v>
      </c>
      <c r="AL34">
        <v>2</v>
      </c>
    </row>
    <row r="35" spans="6:38" x14ac:dyDescent="0.25">
      <c r="F35" s="16">
        <v>19</v>
      </c>
      <c r="G35" s="104">
        <v>49</v>
      </c>
      <c r="H35" s="16">
        <v>7.5</v>
      </c>
      <c r="I35" s="16">
        <v>30.5</v>
      </c>
      <c r="J35" s="16">
        <v>0.5</v>
      </c>
      <c r="K35" s="16">
        <v>30.5</v>
      </c>
      <c r="L35" s="16" t="s">
        <v>376</v>
      </c>
      <c r="M35" s="16">
        <v>1</v>
      </c>
      <c r="N35" s="16" t="s">
        <v>376</v>
      </c>
      <c r="O35" s="16">
        <v>1</v>
      </c>
      <c r="P35" s="16" t="s">
        <v>376</v>
      </c>
      <c r="Q35" s="16">
        <v>1</v>
      </c>
      <c r="R35" s="16" t="s">
        <v>376</v>
      </c>
      <c r="S35" s="16">
        <v>1</v>
      </c>
      <c r="T35" s="16" t="s">
        <v>376</v>
      </c>
      <c r="U35" s="16">
        <v>1</v>
      </c>
      <c r="V35" s="16" t="s">
        <v>376</v>
      </c>
      <c r="W35" s="16">
        <v>1</v>
      </c>
      <c r="X35" s="16" t="s">
        <v>376</v>
      </c>
      <c r="Y35">
        <v>1</v>
      </c>
      <c r="Z35" t="s">
        <v>376</v>
      </c>
      <c r="AA35">
        <v>1</v>
      </c>
      <c r="AB35">
        <v>1</v>
      </c>
      <c r="AC35">
        <v>2</v>
      </c>
      <c r="AD35" t="s">
        <v>376</v>
      </c>
      <c r="AE35" t="s">
        <v>376</v>
      </c>
      <c r="AF35" t="s">
        <v>376</v>
      </c>
      <c r="AG35" t="s">
        <v>376</v>
      </c>
      <c r="AH35" t="s">
        <v>376</v>
      </c>
      <c r="AI35" t="s">
        <v>376</v>
      </c>
      <c r="AJ35" t="s">
        <v>376</v>
      </c>
      <c r="AK35" t="s">
        <v>376</v>
      </c>
      <c r="AL35">
        <v>2</v>
      </c>
    </row>
    <row r="36" spans="6:38" x14ac:dyDescent="0.25">
      <c r="F36" s="16">
        <v>20</v>
      </c>
      <c r="G36" s="104">
        <v>53</v>
      </c>
      <c r="H36" s="16">
        <v>9</v>
      </c>
      <c r="I36" s="16">
        <v>74</v>
      </c>
      <c r="J36" s="16">
        <v>10</v>
      </c>
      <c r="K36" s="16">
        <v>74</v>
      </c>
      <c r="L36" s="16" t="s">
        <v>376</v>
      </c>
      <c r="M36" s="16">
        <v>1</v>
      </c>
      <c r="N36" s="16" t="s">
        <v>376</v>
      </c>
      <c r="O36" s="16">
        <v>1</v>
      </c>
      <c r="P36" s="16" t="s">
        <v>376</v>
      </c>
      <c r="Q36" s="16">
        <v>1</v>
      </c>
      <c r="R36" s="16" t="s">
        <v>376</v>
      </c>
      <c r="S36" s="16">
        <v>1</v>
      </c>
      <c r="T36" s="16" t="s">
        <v>376</v>
      </c>
      <c r="U36" s="16">
        <v>1</v>
      </c>
      <c r="V36" s="16" t="s">
        <v>376</v>
      </c>
      <c r="W36" s="16">
        <v>1</v>
      </c>
      <c r="X36" s="16" t="s">
        <v>376</v>
      </c>
      <c r="Y36">
        <v>1</v>
      </c>
      <c r="Z36" t="s">
        <v>376</v>
      </c>
      <c r="AA36">
        <v>1</v>
      </c>
      <c r="AB36">
        <v>1</v>
      </c>
      <c r="AC36">
        <v>2</v>
      </c>
      <c r="AD36" t="s">
        <v>376</v>
      </c>
      <c r="AE36" t="s">
        <v>376</v>
      </c>
      <c r="AF36" t="s">
        <v>376</v>
      </c>
      <c r="AG36" t="s">
        <v>376</v>
      </c>
      <c r="AH36" t="s">
        <v>376</v>
      </c>
      <c r="AI36" t="s">
        <v>376</v>
      </c>
      <c r="AJ36" t="s">
        <v>376</v>
      </c>
      <c r="AK36" t="s">
        <v>376</v>
      </c>
      <c r="AL36">
        <v>2</v>
      </c>
    </row>
    <row r="37" spans="6:38" x14ac:dyDescent="0.25">
      <c r="F37" s="16">
        <v>21</v>
      </c>
      <c r="G37" s="104">
        <v>54</v>
      </c>
      <c r="H37" s="16">
        <v>12</v>
      </c>
      <c r="I37" s="16">
        <v>48</v>
      </c>
      <c r="J37" s="16">
        <v>7</v>
      </c>
      <c r="K37" s="16">
        <v>35</v>
      </c>
      <c r="L37" s="16" t="s">
        <v>376</v>
      </c>
      <c r="M37" s="16">
        <v>1</v>
      </c>
      <c r="N37" s="16" t="s">
        <v>376</v>
      </c>
      <c r="O37" s="16">
        <v>1</v>
      </c>
      <c r="P37" s="16" t="s">
        <v>376</v>
      </c>
      <c r="Q37" s="16">
        <v>1</v>
      </c>
      <c r="R37" s="16" t="s">
        <v>376</v>
      </c>
      <c r="S37" s="16">
        <v>1</v>
      </c>
      <c r="T37" s="16" t="s">
        <v>376</v>
      </c>
      <c r="U37" s="16">
        <v>1</v>
      </c>
      <c r="V37" s="16" t="s">
        <v>376</v>
      </c>
      <c r="W37" s="16">
        <v>1</v>
      </c>
      <c r="X37" s="16" t="s">
        <v>376</v>
      </c>
      <c r="Y37">
        <v>1</v>
      </c>
      <c r="Z37" t="s">
        <v>376</v>
      </c>
      <c r="AA37">
        <v>1</v>
      </c>
      <c r="AB37">
        <v>3</v>
      </c>
      <c r="AC37">
        <v>9</v>
      </c>
      <c r="AD37" t="s">
        <v>376</v>
      </c>
      <c r="AE37" t="s">
        <v>376</v>
      </c>
      <c r="AF37" t="s">
        <v>376</v>
      </c>
      <c r="AG37" t="s">
        <v>376</v>
      </c>
      <c r="AH37" t="s">
        <v>376</v>
      </c>
      <c r="AI37" t="s">
        <v>376</v>
      </c>
      <c r="AJ37" t="s">
        <v>376</v>
      </c>
      <c r="AK37" t="s">
        <v>376</v>
      </c>
      <c r="AL37">
        <v>2</v>
      </c>
    </row>
    <row r="38" spans="6:38" x14ac:dyDescent="0.25">
      <c r="F38" s="16">
        <v>22</v>
      </c>
      <c r="G38" s="104">
        <v>55</v>
      </c>
      <c r="H38" s="16">
        <v>4</v>
      </c>
      <c r="I38" s="16">
        <v>22</v>
      </c>
      <c r="J38" s="16">
        <v>13</v>
      </c>
      <c r="K38" s="16">
        <v>21</v>
      </c>
      <c r="L38" s="16" t="s">
        <v>376</v>
      </c>
      <c r="M38" s="16">
        <v>1</v>
      </c>
      <c r="N38" s="16" t="s">
        <v>376</v>
      </c>
      <c r="O38" s="16">
        <v>1</v>
      </c>
      <c r="P38" s="16" t="s">
        <v>376</v>
      </c>
      <c r="Q38" s="16">
        <v>1</v>
      </c>
      <c r="R38" s="16" t="s">
        <v>376</v>
      </c>
      <c r="S38" s="16">
        <v>1</v>
      </c>
      <c r="T38" s="16" t="s">
        <v>376</v>
      </c>
      <c r="U38" s="16">
        <v>1</v>
      </c>
      <c r="V38" s="16" t="s">
        <v>376</v>
      </c>
      <c r="W38" s="16">
        <v>1</v>
      </c>
      <c r="X38" s="16" t="s">
        <v>376</v>
      </c>
      <c r="Y38">
        <v>1</v>
      </c>
      <c r="Z38" t="s">
        <v>376</v>
      </c>
      <c r="AA38">
        <v>1</v>
      </c>
      <c r="AB38">
        <v>9</v>
      </c>
      <c r="AC38">
        <v>10</v>
      </c>
      <c r="AD38" t="s">
        <v>376</v>
      </c>
      <c r="AE38" t="s">
        <v>376</v>
      </c>
      <c r="AF38" t="s">
        <v>376</v>
      </c>
      <c r="AG38" t="s">
        <v>376</v>
      </c>
      <c r="AH38" t="s">
        <v>376</v>
      </c>
      <c r="AI38" t="s">
        <v>376</v>
      </c>
      <c r="AJ38" t="s">
        <v>376</v>
      </c>
      <c r="AK38" t="s">
        <v>376</v>
      </c>
      <c r="AL38">
        <v>2</v>
      </c>
    </row>
    <row r="39" spans="6:38" x14ac:dyDescent="0.25">
      <c r="F39" s="16">
        <v>23</v>
      </c>
      <c r="G39" s="104">
        <v>56</v>
      </c>
      <c r="H39" s="16">
        <v>7</v>
      </c>
      <c r="I39" s="16">
        <v>30</v>
      </c>
      <c r="J39" s="16">
        <v>0</v>
      </c>
      <c r="K39" s="16">
        <v>30</v>
      </c>
      <c r="L39" s="16" t="s">
        <v>376</v>
      </c>
      <c r="M39" s="16">
        <v>1</v>
      </c>
      <c r="N39" s="16" t="s">
        <v>376</v>
      </c>
      <c r="O39" s="16">
        <v>1</v>
      </c>
      <c r="P39" s="16" t="s">
        <v>376</v>
      </c>
      <c r="Q39" s="16">
        <v>1</v>
      </c>
      <c r="R39" s="16" t="s">
        <v>376</v>
      </c>
      <c r="S39" s="16">
        <v>1</v>
      </c>
      <c r="T39" s="16" t="s">
        <v>376</v>
      </c>
      <c r="U39" s="16">
        <v>1</v>
      </c>
      <c r="V39" s="16" t="s">
        <v>376</v>
      </c>
      <c r="W39" s="16">
        <v>1</v>
      </c>
      <c r="X39" s="16" t="s">
        <v>376</v>
      </c>
      <c r="Y39">
        <v>1</v>
      </c>
      <c r="Z39" t="s">
        <v>376</v>
      </c>
      <c r="AA39">
        <v>1</v>
      </c>
      <c r="AB39">
        <v>3</v>
      </c>
      <c r="AC39">
        <v>6</v>
      </c>
      <c r="AD39" t="s">
        <v>376</v>
      </c>
      <c r="AE39" t="s">
        <v>376</v>
      </c>
      <c r="AF39" t="s">
        <v>376</v>
      </c>
      <c r="AG39" t="s">
        <v>376</v>
      </c>
      <c r="AH39" t="s">
        <v>376</v>
      </c>
      <c r="AI39" t="s">
        <v>376</v>
      </c>
      <c r="AJ39" t="s">
        <v>376</v>
      </c>
      <c r="AK39" t="s">
        <v>376</v>
      </c>
      <c r="AL39">
        <v>2</v>
      </c>
    </row>
    <row r="40" spans="6:38" x14ac:dyDescent="0.25">
      <c r="F40" s="16">
        <v>24</v>
      </c>
      <c r="G40" s="104">
        <v>58</v>
      </c>
      <c r="H40" s="16">
        <v>1</v>
      </c>
      <c r="I40" s="16">
        <v>28</v>
      </c>
      <c r="J40" s="16">
        <v>0</v>
      </c>
      <c r="K40" s="16">
        <v>27</v>
      </c>
      <c r="L40" s="16" t="s">
        <v>376</v>
      </c>
      <c r="M40" s="16">
        <v>1</v>
      </c>
      <c r="N40" s="16" t="s">
        <v>376</v>
      </c>
      <c r="O40" s="16">
        <v>1</v>
      </c>
      <c r="P40" s="16" t="s">
        <v>376</v>
      </c>
      <c r="Q40" s="16">
        <v>1</v>
      </c>
      <c r="R40" s="16" t="s">
        <v>376</v>
      </c>
      <c r="S40" s="16">
        <v>1</v>
      </c>
      <c r="T40" s="16" t="s">
        <v>376</v>
      </c>
      <c r="U40" s="16">
        <v>1</v>
      </c>
      <c r="V40" s="16" t="s">
        <v>376</v>
      </c>
      <c r="W40" s="16">
        <v>1</v>
      </c>
      <c r="X40" t="s">
        <v>376</v>
      </c>
      <c r="Y40">
        <v>1</v>
      </c>
      <c r="Z40" t="s">
        <v>376</v>
      </c>
      <c r="AA40">
        <v>1</v>
      </c>
      <c r="AB40">
        <v>1</v>
      </c>
      <c r="AC40">
        <v>10</v>
      </c>
      <c r="AD40" t="s">
        <v>376</v>
      </c>
      <c r="AE40" t="s">
        <v>376</v>
      </c>
      <c r="AF40" t="s">
        <v>376</v>
      </c>
      <c r="AG40" t="s">
        <v>376</v>
      </c>
      <c r="AH40" t="s">
        <v>376</v>
      </c>
      <c r="AI40" t="s">
        <v>376</v>
      </c>
      <c r="AJ40" t="s">
        <v>376</v>
      </c>
      <c r="AK40" t="s">
        <v>376</v>
      </c>
      <c r="AL40">
        <v>2</v>
      </c>
    </row>
    <row r="41" spans="6:38" x14ac:dyDescent="0.25">
      <c r="F41" s="16">
        <v>25</v>
      </c>
      <c r="G41" s="104">
        <v>62</v>
      </c>
      <c r="H41" s="16">
        <v>2</v>
      </c>
      <c r="I41" s="16">
        <v>24</v>
      </c>
      <c r="J41" s="16">
        <v>4</v>
      </c>
      <c r="K41" s="16">
        <v>23</v>
      </c>
      <c r="L41" s="16" t="s">
        <v>376</v>
      </c>
      <c r="M41" s="16">
        <v>1</v>
      </c>
      <c r="N41" s="16" t="s">
        <v>376</v>
      </c>
      <c r="O41" s="16">
        <v>1</v>
      </c>
      <c r="P41" s="16" t="s">
        <v>376</v>
      </c>
      <c r="Q41" s="16">
        <v>1</v>
      </c>
      <c r="R41" s="16" t="s">
        <v>376</v>
      </c>
      <c r="S41" s="16">
        <v>1</v>
      </c>
      <c r="T41" s="16" t="s">
        <v>376</v>
      </c>
      <c r="U41" s="16">
        <v>1</v>
      </c>
      <c r="V41" s="16" t="s">
        <v>376</v>
      </c>
      <c r="W41" s="16">
        <v>1</v>
      </c>
      <c r="X41" t="s">
        <v>376</v>
      </c>
      <c r="Y41">
        <v>1</v>
      </c>
      <c r="Z41" t="s">
        <v>376</v>
      </c>
      <c r="AA41">
        <v>1</v>
      </c>
      <c r="AB41">
        <v>1</v>
      </c>
      <c r="AC41">
        <v>2</v>
      </c>
      <c r="AD41" t="s">
        <v>376</v>
      </c>
      <c r="AE41" t="s">
        <v>376</v>
      </c>
      <c r="AF41" t="s">
        <v>376</v>
      </c>
      <c r="AG41" t="s">
        <v>376</v>
      </c>
      <c r="AH41" t="s">
        <v>376</v>
      </c>
      <c r="AI41" t="s">
        <v>376</v>
      </c>
      <c r="AJ41" t="s">
        <v>376</v>
      </c>
      <c r="AK41" t="s">
        <v>376</v>
      </c>
      <c r="AL41">
        <v>2</v>
      </c>
    </row>
    <row r="42" spans="6:38" x14ac:dyDescent="0.25">
      <c r="F42" s="16">
        <v>26</v>
      </c>
      <c r="G42" s="104">
        <v>63</v>
      </c>
      <c r="H42" s="16">
        <v>0</v>
      </c>
      <c r="I42" s="16">
        <v>19</v>
      </c>
      <c r="J42" s="16">
        <v>2</v>
      </c>
      <c r="K42" s="16">
        <v>16</v>
      </c>
      <c r="L42" s="16" t="s">
        <v>376</v>
      </c>
      <c r="M42" s="16">
        <v>1</v>
      </c>
      <c r="N42" s="16" t="s">
        <v>376</v>
      </c>
      <c r="O42" s="16">
        <v>1</v>
      </c>
      <c r="P42" s="16" t="s">
        <v>376</v>
      </c>
      <c r="Q42" s="16">
        <v>1</v>
      </c>
      <c r="R42" s="16" t="s">
        <v>376</v>
      </c>
      <c r="S42" s="16">
        <v>1</v>
      </c>
      <c r="T42" s="16" t="s">
        <v>376</v>
      </c>
      <c r="U42" s="16">
        <v>1</v>
      </c>
      <c r="V42" s="16" t="s">
        <v>376</v>
      </c>
      <c r="W42" s="16">
        <v>1</v>
      </c>
      <c r="X42" t="s">
        <v>376</v>
      </c>
      <c r="Y42">
        <v>1</v>
      </c>
      <c r="Z42" t="s">
        <v>376</v>
      </c>
      <c r="AA42">
        <v>1</v>
      </c>
      <c r="AB42">
        <v>1</v>
      </c>
      <c r="AC42">
        <v>2</v>
      </c>
      <c r="AD42" t="s">
        <v>376</v>
      </c>
      <c r="AE42" t="s">
        <v>376</v>
      </c>
      <c r="AF42" t="s">
        <v>376</v>
      </c>
      <c r="AG42" t="s">
        <v>376</v>
      </c>
      <c r="AH42" t="s">
        <v>376</v>
      </c>
      <c r="AI42" t="s">
        <v>376</v>
      </c>
      <c r="AJ42" t="s">
        <v>376</v>
      </c>
      <c r="AK42" t="s">
        <v>376</v>
      </c>
      <c r="AL42">
        <v>2</v>
      </c>
    </row>
    <row r="43" spans="6:38" x14ac:dyDescent="0.25">
      <c r="F43" s="16">
        <v>27</v>
      </c>
      <c r="G43" s="104">
        <v>65</v>
      </c>
      <c r="H43" s="16">
        <v>2</v>
      </c>
      <c r="I43" s="16">
        <v>18</v>
      </c>
      <c r="J43" s="16">
        <v>1</v>
      </c>
      <c r="K43" s="16">
        <v>16</v>
      </c>
      <c r="L43" s="16" t="s">
        <v>376</v>
      </c>
      <c r="M43" s="16">
        <v>1</v>
      </c>
      <c r="N43" s="16" t="s">
        <v>376</v>
      </c>
      <c r="O43" s="16">
        <v>1</v>
      </c>
      <c r="P43" s="16" t="s">
        <v>376</v>
      </c>
      <c r="Q43" s="16">
        <v>1</v>
      </c>
      <c r="R43" s="16" t="s">
        <v>376</v>
      </c>
      <c r="S43" s="16">
        <v>1</v>
      </c>
      <c r="T43" s="16" t="s">
        <v>376</v>
      </c>
      <c r="U43" s="16">
        <v>1</v>
      </c>
      <c r="V43" s="16" t="s">
        <v>376</v>
      </c>
      <c r="W43" s="16">
        <v>1</v>
      </c>
      <c r="X43" t="s">
        <v>376</v>
      </c>
      <c r="Y43">
        <v>1</v>
      </c>
      <c r="Z43" t="s">
        <v>376</v>
      </c>
      <c r="AA43">
        <v>1</v>
      </c>
      <c r="AB43">
        <v>1</v>
      </c>
      <c r="AC43">
        <v>3</v>
      </c>
      <c r="AD43" t="s">
        <v>376</v>
      </c>
      <c r="AE43" t="s">
        <v>376</v>
      </c>
      <c r="AF43" t="s">
        <v>376</v>
      </c>
      <c r="AG43" t="s">
        <v>376</v>
      </c>
      <c r="AH43" t="s">
        <v>376</v>
      </c>
      <c r="AI43" t="s">
        <v>376</v>
      </c>
      <c r="AJ43" t="s">
        <v>376</v>
      </c>
      <c r="AK43" t="s">
        <v>376</v>
      </c>
      <c r="AL43">
        <v>2</v>
      </c>
    </row>
    <row r="44" spans="6:38" x14ac:dyDescent="0.25">
      <c r="F44" s="16">
        <v>28</v>
      </c>
      <c r="G44" s="104">
        <v>66</v>
      </c>
      <c r="H44" s="16">
        <v>19</v>
      </c>
      <c r="I44" s="16">
        <v>73</v>
      </c>
      <c r="J44" s="16">
        <v>16</v>
      </c>
      <c r="K44" s="16">
        <v>71</v>
      </c>
      <c r="L44" s="16" t="s">
        <v>376</v>
      </c>
      <c r="M44" s="16">
        <v>1</v>
      </c>
      <c r="N44" s="16" t="s">
        <v>376</v>
      </c>
      <c r="O44" s="16">
        <v>1</v>
      </c>
      <c r="P44" s="16" t="s">
        <v>376</v>
      </c>
      <c r="Q44" s="16">
        <v>1</v>
      </c>
      <c r="R44" s="16" t="s">
        <v>376</v>
      </c>
      <c r="S44" s="16">
        <v>1</v>
      </c>
      <c r="T44" s="16" t="s">
        <v>376</v>
      </c>
      <c r="U44" s="16">
        <v>1</v>
      </c>
      <c r="V44" s="16" t="s">
        <v>376</v>
      </c>
      <c r="W44" s="16">
        <v>1</v>
      </c>
      <c r="X44" t="s">
        <v>376</v>
      </c>
      <c r="Y44">
        <v>1</v>
      </c>
      <c r="Z44" t="s">
        <v>376</v>
      </c>
      <c r="AA44">
        <v>1</v>
      </c>
      <c r="AB44">
        <v>1</v>
      </c>
      <c r="AC44">
        <v>2</v>
      </c>
      <c r="AD44" t="s">
        <v>376</v>
      </c>
      <c r="AE44" t="s">
        <v>376</v>
      </c>
      <c r="AF44" t="s">
        <v>376</v>
      </c>
      <c r="AG44" t="s">
        <v>376</v>
      </c>
      <c r="AH44" t="s">
        <v>376</v>
      </c>
      <c r="AI44" t="s">
        <v>376</v>
      </c>
      <c r="AJ44" t="s">
        <v>376</v>
      </c>
      <c r="AK44" t="s">
        <v>376</v>
      </c>
      <c r="AL44">
        <v>2</v>
      </c>
    </row>
    <row r="45" spans="6:38" x14ac:dyDescent="0.25">
      <c r="F45" s="16"/>
      <c r="G45" s="104"/>
      <c r="H45" s="16" t="s">
        <v>377</v>
      </c>
      <c r="I45" s="16"/>
      <c r="J45" s="16"/>
      <c r="K45" s="16"/>
      <c r="L45" s="16"/>
      <c r="M45" s="16"/>
      <c r="N45" s="16"/>
      <c r="O45" s="16"/>
      <c r="P45" s="16"/>
      <c r="Q45" s="16"/>
      <c r="R45" s="16"/>
      <c r="S45" s="16"/>
      <c r="T45" s="16"/>
      <c r="U45" s="16"/>
      <c r="V45" s="16"/>
      <c r="W45" s="16"/>
    </row>
    <row r="46" spans="6:38" x14ac:dyDescent="0.25">
      <c r="F46" s="16"/>
      <c r="G46" s="104"/>
    </row>
    <row r="47" spans="6:38" x14ac:dyDescent="0.25">
      <c r="F47" s="16"/>
      <c r="G47" s="104"/>
    </row>
    <row r="48" spans="6:38" x14ac:dyDescent="0.25">
      <c r="F48" s="16"/>
      <c r="G48" s="104"/>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767</v>
      </c>
    </row>
    <row r="4" spans="2:26" x14ac:dyDescent="0.25">
      <c r="B4" s="5" t="str">
        <f>IF('DATA Input'!E5="","",'DATA Input'!E5)</f>
        <v>INDOIV</v>
      </c>
      <c r="C4" s="1">
        <f>IF(B4="","",1)</f>
        <v>1</v>
      </c>
      <c r="H4" t="s">
        <v>768</v>
      </c>
    </row>
    <row r="5" spans="2:26" x14ac:dyDescent="0.25">
      <c r="B5" s="5" t="str">
        <f>IF('DATA Input'!G5="","",'DATA Input'!G5)</f>
        <v>IBUIV</v>
      </c>
      <c r="C5" s="1">
        <f>IF(B5="","",C4+1)</f>
        <v>2</v>
      </c>
      <c r="H5" t="s">
        <v>769</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753</v>
      </c>
    </row>
    <row r="8" spans="2:26" x14ac:dyDescent="0.25">
      <c r="B8" s="5" t="str">
        <f>IF('DATA Input'!M$5="","",'DATA Input'!M$5)</f>
        <v>IBUIVHIGHDOSE</v>
      </c>
      <c r="C8" s="1">
        <f t="shared" si="0"/>
        <v>5</v>
      </c>
      <c r="H8" t="s">
        <v>754</v>
      </c>
    </row>
    <row r="9" spans="2:26" x14ac:dyDescent="0.25">
      <c r="B9" s="5" t="str">
        <f>IF('DATA Input'!O$5="","",'DATA Input'!O$5)</f>
        <v>IBUPOHIGHDOSE</v>
      </c>
      <c r="C9" s="1">
        <f t="shared" si="0"/>
        <v>6</v>
      </c>
      <c r="H9" t="s">
        <v>755</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756</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abSelected="1" workbookViewId="0">
      <selection activeCell="B150" sqref="B150"/>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10</v>
      </c>
    </row>
    <row r="8" spans="4:5" x14ac:dyDescent="0.25">
      <c r="D8" s="179" t="s">
        <v>14</v>
      </c>
      <c r="E8" s="181">
        <f>num_studies</f>
        <v>28</v>
      </c>
    </row>
    <row r="9" spans="4:5" x14ac:dyDescent="0.25">
      <c r="D9" s="179" t="s">
        <v>288</v>
      </c>
      <c r="E9" s="182">
        <f>max_total</f>
        <v>2043</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239</v>
      </c>
    </row>
    <row r="11" spans="4:5" x14ac:dyDescent="0.25">
      <c r="D11" s="179" t="s">
        <v>290</v>
      </c>
      <c r="E11" s="181">
        <f>COMBIN(E7,2)</f>
        <v>45</v>
      </c>
    </row>
    <row r="12" spans="4:5" x14ac:dyDescent="0.25">
      <c r="D12" s="179" t="s">
        <v>291</v>
      </c>
      <c r="E12" s="181">
        <f>Unique_connections(list)</f>
        <v>15</v>
      </c>
    </row>
    <row r="13" spans="4:5" x14ac:dyDescent="0.25">
      <c r="D13" s="179" t="s">
        <v>292</v>
      </c>
      <c r="E13" s="181">
        <f ca="1">COUNTIF(OFFSET('WINBUGS data'!G17:G66,0,MATCH("na[]",'WINBUGS data'!H16:BE16,0)),"2")</f>
        <v>28</v>
      </c>
    </row>
    <row r="14" spans="4:5" x14ac:dyDescent="0.25">
      <c r="D14" s="179" t="s">
        <v>293</v>
      </c>
      <c r="E14" s="181">
        <f ca="1">COUNTIF(OFFSET('WINBUGS data'!G17:G66,0,MATCH("na[]",'WINBUGS data'!H16:BE16,0)),"&gt;2")</f>
        <v>0</v>
      </c>
    </row>
    <row r="15" spans="4:5" x14ac:dyDescent="0.25">
      <c r="D15" s="179" t="s">
        <v>296</v>
      </c>
      <c r="E15" s="181">
        <f>No_zero('DATA Input'!E7:AH56)</f>
        <v>21</v>
      </c>
    </row>
    <row r="16" spans="4:5" x14ac:dyDescent="0.25">
      <c r="D16" s="179" t="s">
        <v>294</v>
      </c>
      <c r="E16" s="181">
        <f>num_studies-E15</f>
        <v>7</v>
      </c>
    </row>
    <row r="17" spans="4:11" ht="15.75" thickBot="1" x14ac:dyDescent="0.3">
      <c r="D17" s="180" t="s">
        <v>295</v>
      </c>
      <c r="E17" s="183">
        <f>All_zero('DATA Input'!E7:AH56)</f>
        <v>1</v>
      </c>
    </row>
    <row r="18" spans="4:11" x14ac:dyDescent="0.25">
      <c r="D18" s="177"/>
    </row>
    <row r="19" spans="4:11" hidden="1" x14ac:dyDescent="0.25">
      <c r="D19" s="177"/>
    </row>
    <row r="20" spans="4:11" x14ac:dyDescent="0.25">
      <c r="D20" s="177"/>
    </row>
    <row r="21" spans="4:11" ht="16.5" thickBot="1" x14ac:dyDescent="0.3">
      <c r="D21" s="259" t="s">
        <v>286</v>
      </c>
      <c r="E21" s="259"/>
      <c r="F21" s="259"/>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13</v>
      </c>
      <c r="F24" s="209">
        <f>SUM('DATA Input'!$E$7:$E$56)</f>
        <v>55</v>
      </c>
      <c r="G24" s="209">
        <f>SUM('DATA Input'!$F$7:$F$56)</f>
        <v>500</v>
      </c>
      <c r="H24" s="210">
        <f>F24/G24</f>
        <v>0.11</v>
      </c>
      <c r="I24" s="210">
        <f>MinRate(1,'DATA Input'!$E$7:$AH$56)</f>
        <v>3.5714287310838699E-2</v>
      </c>
      <c r="J24" s="211">
        <f>MaxRate(1,'DATA Input'!$E$7:$AH$56)</f>
        <v>0.26027396321296692</v>
      </c>
    </row>
    <row r="25" spans="4:11" x14ac:dyDescent="0.25">
      <c r="D25" s="179" t="str">
        <f>IF('DATA Input'!$G$5="","",'DATA Input'!$G$5)</f>
        <v>IBUIV</v>
      </c>
      <c r="E25" s="185">
        <f>COUNTIF('DATA Input'!$H$7:$H$56,"&lt;&gt;")</f>
        <v>14</v>
      </c>
      <c r="F25" s="184">
        <f>SUM('DATA Input'!$G$7:$G$56)</f>
        <v>72</v>
      </c>
      <c r="G25" s="185">
        <f>SUM('DATA Input'!$H$7:$H$56)</f>
        <v>589</v>
      </c>
      <c r="H25" s="188">
        <f t="shared" ref="H25:H38" si="0">F25/G25</f>
        <v>0.12224108658743633</v>
      </c>
      <c r="I25" s="188">
        <f>MinRate(2,'DATA Input'!$E$7:$AH$56)</f>
        <v>1.9999999552965164E-2</v>
      </c>
      <c r="J25" s="190">
        <f>MaxRate(2,'DATA Input'!$E$7:$AH$56)</f>
        <v>0.22535210847854614</v>
      </c>
    </row>
    <row r="26" spans="4:11" x14ac:dyDescent="0.25">
      <c r="D26" s="179" t="str">
        <f>IF('DATA Input'!$I$5="","",'DATA Input'!$I$5)</f>
        <v>IBUPO</v>
      </c>
      <c r="E26" s="185">
        <f>COUNTIF('DATA Input'!$J$7:$J$56,"&lt;&gt;")</f>
        <v>8</v>
      </c>
      <c r="F26" s="184">
        <f>SUM('DATA Input'!$I$7:$I$56)</f>
        <v>26</v>
      </c>
      <c r="G26" s="185">
        <f>SUM('DATA Input'!$J$7:$J$56)</f>
        <v>285</v>
      </c>
      <c r="H26" s="188">
        <f t="shared" si="0"/>
        <v>9.1228070175438603E-2</v>
      </c>
      <c r="I26" s="188">
        <f>MinRate(3,'DATA Input'!$E$7:$AH$56)</f>
        <v>1.9230769947171211E-2</v>
      </c>
      <c r="J26" s="190">
        <f>MaxRate(3,'DATA Input'!$E$7:$AH$56)</f>
        <v>0.25</v>
      </c>
    </row>
    <row r="27" spans="4:11" x14ac:dyDescent="0.25">
      <c r="D27" s="179" t="str">
        <f>IF('DATA Input'!$K$5="","",'DATA Input'!$K$5)</f>
        <v>PARAPO</v>
      </c>
      <c r="E27" s="184">
        <f>COUNTIF('DATA Input'!$L$7:$L$56,"&lt;&gt;")</f>
        <v>2</v>
      </c>
      <c r="F27" s="184">
        <f>SUM('DATA Input'!$K$7:$K$56)</f>
        <v>1</v>
      </c>
      <c r="G27" s="184">
        <f>SUM('DATA Input'!$L$7:$L$56)</f>
        <v>76</v>
      </c>
      <c r="H27" s="188">
        <f t="shared" si="0"/>
        <v>1.3157894736842105E-2</v>
      </c>
      <c r="I27" s="188">
        <f>MinRate(4,'DATA Input'!$E$7:$AH$56)</f>
        <v>2.500000037252903E-2</v>
      </c>
      <c r="J27" s="190">
        <f>MaxRate(4,'DATA Input'!$E$7:$AH$56)</f>
        <v>2.500000037252903E-2</v>
      </c>
    </row>
    <row r="28" spans="4:11" x14ac:dyDescent="0.25">
      <c r="D28" s="179" t="str">
        <f>IF('DATA Input'!$M$5="","",'DATA Input'!$M$5)</f>
        <v>IBUIVHIGHDOSE</v>
      </c>
      <c r="E28" s="184">
        <f>COUNTIF('DATA Input'!$N$7:$N$56,"&lt;&gt;")</f>
        <v>1</v>
      </c>
      <c r="F28" s="184">
        <f>SUM('DATA Input'!$M$7:$M$56)</f>
        <v>2</v>
      </c>
      <c r="G28" s="184">
        <f>SUM('DATA Input'!$N$7:$N$56)</f>
        <v>35</v>
      </c>
      <c r="H28" s="188">
        <f t="shared" si="0"/>
        <v>5.7142857142857141E-2</v>
      </c>
      <c r="I28" s="188">
        <f>MinRate(5,'DATA Input'!$E$7:$AH$56)</f>
        <v>5.714285746216774E-2</v>
      </c>
      <c r="J28" s="190">
        <f>MaxRate(5,'DATA Input'!$E$7:$AH$56)</f>
        <v>5.714285746216774E-2</v>
      </c>
    </row>
    <row r="29" spans="4:11" x14ac:dyDescent="0.25">
      <c r="D29" s="179" t="str">
        <f>IF('DATA Input'!$O$5="","",'DATA Input'!$O$5)</f>
        <v>IBUPOHIGHDOSE</v>
      </c>
      <c r="E29" s="184">
        <f>COUNTIF('DATA Input'!$P$7:$P$56,"&lt;&gt;")</f>
        <v>1</v>
      </c>
      <c r="F29" s="184">
        <f>SUM('DATA Input'!$O$7:$O$56)</f>
        <v>0</v>
      </c>
      <c r="G29" s="184">
        <f>SUM('DATA Input'!$P$7:$P$56)</f>
        <v>30</v>
      </c>
      <c r="H29" s="188">
        <f t="shared" si="0"/>
        <v>0</v>
      </c>
      <c r="I29" s="188">
        <f>MinRate(6,'DATA Input'!$E$7:$AH$56)</f>
        <v>1</v>
      </c>
      <c r="J29" s="190">
        <f>MaxRate(6,'DATA Input'!$E$7:$AH$56)</f>
        <v>0</v>
      </c>
    </row>
    <row r="30" spans="4:11" x14ac:dyDescent="0.25">
      <c r="D30" s="179" t="str">
        <f>IF('DATA Input'!$Q$5="","",'DATA Input'!$Q$5)</f>
        <v>IBUIVCONT</v>
      </c>
      <c r="E30" s="184">
        <f>COUNTIF('DATA Input'!$R$7:$R$56,"&lt;&gt;")</f>
        <v>1</v>
      </c>
      <c r="F30" s="184">
        <f>SUM('DATA Input'!$Q$7:$Q$56)</f>
        <v>3</v>
      </c>
      <c r="G30" s="184">
        <f>SUM('DATA Input'!$R$7:$R$56)</f>
        <v>55</v>
      </c>
      <c r="H30" s="188">
        <f t="shared" si="0"/>
        <v>5.4545454545454543E-2</v>
      </c>
      <c r="I30" s="188">
        <f>MinRate(7,'DATA Input'!$E$7:$AH$56)</f>
        <v>5.4545454680919647E-2</v>
      </c>
      <c r="J30" s="190">
        <f>MaxRate(7,'DATA Input'!$E$7:$AH$56)</f>
        <v>5.4545454680919647E-2</v>
      </c>
    </row>
    <row r="31" spans="4:11" x14ac:dyDescent="0.25">
      <c r="D31" s="179" t="str">
        <f>IF('DATA Input'!$S$5="","",'DATA Input'!$S$5)</f>
        <v>INDOIVCONT</v>
      </c>
      <c r="E31" s="184">
        <f>COUNTIF('DATA Input'!$T$7:$T$56,"&lt;&gt;")</f>
        <v>1</v>
      </c>
      <c r="F31" s="184">
        <f>SUM('DATA Input'!$S$7:$S$56)</f>
        <v>2</v>
      </c>
      <c r="G31" s="184">
        <f>SUM('DATA Input'!$T$7:$T$56)</f>
        <v>31</v>
      </c>
      <c r="H31" s="188">
        <f t="shared" si="0"/>
        <v>6.4516129032258063E-2</v>
      </c>
      <c r="I31" s="188">
        <f>MinRate(8,'DATA Input'!$E$7:$AH$56)</f>
        <v>6.4516127109527588E-2</v>
      </c>
      <c r="J31" s="190">
        <f>MaxRate(8,'DATA Input'!$E$7:$AH$56)</f>
        <v>6.4516127109527588E-2</v>
      </c>
    </row>
    <row r="32" spans="4:11" x14ac:dyDescent="0.25">
      <c r="D32" s="179" t="str">
        <f>IF('DATA Input'!$U$5="","",'DATA Input'!$U$5)</f>
        <v>INDOTHERS</v>
      </c>
      <c r="E32" s="184">
        <f>COUNTIF('DATA Input'!$V$7:$V$56,"&lt;&gt;")</f>
        <v>6</v>
      </c>
      <c r="F32" s="184">
        <f>SUM('DATA Input'!$U$7:$U$56)</f>
        <v>27</v>
      </c>
      <c r="G32" s="184">
        <f>SUM('DATA Input'!$V$7:$V$56)</f>
        <v>179</v>
      </c>
      <c r="H32" s="188">
        <f t="shared" si="0"/>
        <v>0.15083798882681565</v>
      </c>
      <c r="I32" s="188">
        <f>MinRate(9,'DATA Input'!$E$7:$AH$56)</f>
        <v>0.11267605423927307</v>
      </c>
      <c r="J32" s="190">
        <f>MaxRate(9,'DATA Input'!$E$7:$AH$56)</f>
        <v>0.20000000298023224</v>
      </c>
    </row>
    <row r="33" spans="4:10" ht="15.75" thickBot="1" x14ac:dyDescent="0.3">
      <c r="D33" s="179" t="str">
        <f>IF('DATA Input'!$W$5="","",'DATA Input'!$W$5)</f>
        <v>PLAC_NORX</v>
      </c>
      <c r="E33" s="184">
        <f>COUNTIF('DATA Input'!$X$7:$X$56,"&lt;&gt;")</f>
        <v>9</v>
      </c>
      <c r="F33" s="184">
        <f>SUM('DATA Input'!$W$7:$W$56)</f>
        <v>51</v>
      </c>
      <c r="G33" s="184">
        <f>SUM('DATA Input'!$X$7:$X$56)</f>
        <v>263</v>
      </c>
      <c r="H33" s="188">
        <f t="shared" si="0"/>
        <v>0.19391634980988592</v>
      </c>
      <c r="I33" s="188">
        <f>MinRate(10,'DATA Input'!$E$7:$AH$56)</f>
        <v>4.1666667908430099E-2</v>
      </c>
      <c r="J33" s="190">
        <f>MaxRate(10,'DATA Input'!$E$7:$AH$56)</f>
        <v>0.61904764175415039</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285</v>
      </c>
      <c r="E41" s="259"/>
      <c r="F41" s="259"/>
    </row>
    <row r="42" spans="4:10" ht="15.75" thickBot="1" x14ac:dyDescent="0.3">
      <c r="D42" s="214" t="s">
        <v>276</v>
      </c>
      <c r="E42" s="213" t="s">
        <v>283</v>
      </c>
      <c r="F42" s="213" t="s">
        <v>279</v>
      </c>
      <c r="G42" s="208" t="s">
        <v>278</v>
      </c>
    </row>
    <row r="43" spans="4:10" x14ac:dyDescent="0.25">
      <c r="D43" s="216" t="s">
        <v>780</v>
      </c>
      <c r="E43" s="195">
        <v>1</v>
      </c>
      <c r="F43" s="196">
        <v>136</v>
      </c>
      <c r="G43" s="197">
        <v>17</v>
      </c>
    </row>
    <row r="44" spans="4:10" x14ac:dyDescent="0.25">
      <c r="D44" s="179" t="s">
        <v>380</v>
      </c>
      <c r="E44" s="184">
        <v>1</v>
      </c>
      <c r="F44" s="185">
        <v>73</v>
      </c>
      <c r="G44" s="182">
        <v>0</v>
      </c>
    </row>
    <row r="45" spans="4:10" x14ac:dyDescent="0.25">
      <c r="D45" s="179" t="s">
        <v>383</v>
      </c>
      <c r="E45" s="184">
        <v>3</v>
      </c>
      <c r="F45" s="185">
        <v>236</v>
      </c>
      <c r="G45" s="182">
        <v>9</v>
      </c>
    </row>
    <row r="46" spans="4:10" x14ac:dyDescent="0.25">
      <c r="D46" s="179" t="s">
        <v>384</v>
      </c>
      <c r="E46" s="184">
        <v>3</v>
      </c>
      <c r="F46" s="185">
        <v>186</v>
      </c>
      <c r="G46" s="182">
        <v>11</v>
      </c>
    </row>
    <row r="47" spans="4:10" x14ac:dyDescent="0.25">
      <c r="D47" s="179" t="s">
        <v>385</v>
      </c>
      <c r="E47" s="184">
        <v>1</v>
      </c>
      <c r="F47" s="185">
        <v>63</v>
      </c>
      <c r="G47" s="182">
        <v>6</v>
      </c>
    </row>
    <row r="48" spans="4:10" x14ac:dyDescent="0.25">
      <c r="D48" s="179" t="s">
        <v>386</v>
      </c>
      <c r="E48" s="184">
        <v>1</v>
      </c>
      <c r="F48" s="185">
        <v>70</v>
      </c>
      <c r="G48" s="182">
        <v>4</v>
      </c>
    </row>
    <row r="49" spans="4:7" x14ac:dyDescent="0.25">
      <c r="D49" s="179" t="s">
        <v>389</v>
      </c>
      <c r="E49" s="184">
        <v>1</v>
      </c>
      <c r="F49" s="185">
        <v>111</v>
      </c>
      <c r="G49" s="182">
        <v>14</v>
      </c>
    </row>
    <row r="50" spans="4:7" x14ac:dyDescent="0.25">
      <c r="D50" s="178" t="s">
        <v>379</v>
      </c>
      <c r="E50" s="184">
        <v>1</v>
      </c>
      <c r="F50" s="185">
        <v>140</v>
      </c>
      <c r="G50" s="182">
        <v>21</v>
      </c>
    </row>
    <row r="51" spans="4:7" x14ac:dyDescent="0.25">
      <c r="D51" s="217" t="s">
        <v>391</v>
      </c>
      <c r="E51" s="198">
        <v>4</v>
      </c>
      <c r="F51" s="200">
        <v>143</v>
      </c>
      <c r="G51" s="201">
        <v>45</v>
      </c>
    </row>
    <row r="52" spans="4:7" x14ac:dyDescent="0.25">
      <c r="D52" s="217" t="s">
        <v>382</v>
      </c>
      <c r="E52" s="198">
        <v>1</v>
      </c>
      <c r="F52" s="200">
        <v>80</v>
      </c>
      <c r="G52" s="201">
        <v>3</v>
      </c>
    </row>
    <row r="53" spans="4:7" x14ac:dyDescent="0.25">
      <c r="D53" s="217" t="s">
        <v>388</v>
      </c>
      <c r="E53" s="198">
        <v>7</v>
      </c>
      <c r="F53" s="200">
        <v>566</v>
      </c>
      <c r="G53" s="201">
        <v>79</v>
      </c>
    </row>
    <row r="54" spans="4:7" x14ac:dyDescent="0.25">
      <c r="D54" s="217" t="s">
        <v>381</v>
      </c>
      <c r="E54" s="198">
        <v>1</v>
      </c>
      <c r="F54" s="200">
        <v>62</v>
      </c>
      <c r="G54" s="201">
        <v>1</v>
      </c>
    </row>
    <row r="55" spans="4:7" x14ac:dyDescent="0.25">
      <c r="D55" s="217" t="s">
        <v>387</v>
      </c>
      <c r="E55" s="198">
        <v>1</v>
      </c>
      <c r="F55" s="200">
        <v>83</v>
      </c>
      <c r="G55" s="201">
        <v>19</v>
      </c>
    </row>
    <row r="56" spans="4:7" x14ac:dyDescent="0.25">
      <c r="D56" s="217" t="s">
        <v>390</v>
      </c>
      <c r="E56" s="198">
        <v>1</v>
      </c>
      <c r="F56" s="200">
        <v>60</v>
      </c>
      <c r="G56" s="201">
        <v>7</v>
      </c>
    </row>
    <row r="57" spans="4:7" ht="15.75" thickBot="1" x14ac:dyDescent="0.3">
      <c r="D57" s="217" t="s">
        <v>378</v>
      </c>
      <c r="E57" s="198">
        <v>1</v>
      </c>
      <c r="F57" s="200">
        <v>34</v>
      </c>
      <c r="G57" s="201">
        <v>3</v>
      </c>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40" zoomScaleNormal="40" workbookViewId="0">
      <selection activeCell="Y20" sqref="Y20"/>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44" t="s">
        <v>13</v>
      </c>
      <c r="C23" s="246"/>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INDOTHERS</v>
      </c>
      <c r="C33" s="97" t="s">
        <v>306</v>
      </c>
    </row>
    <row r="34" spans="2:3" x14ac:dyDescent="0.25">
      <c r="B34" s="101" t="str">
        <f>'WINBUGS data'!B13</f>
        <v>PLAC_NORX</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223</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workbookViewId="0">
      <selection activeCell="F5" sqref="F5:O14"/>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356</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784</v>
      </c>
      <c r="G6" s="223" t="s">
        <v>357</v>
      </c>
      <c r="H6" s="70"/>
      <c r="I6" s="70"/>
      <c r="J6" s="70"/>
      <c r="K6" s="70"/>
      <c r="L6" s="70"/>
      <c r="M6" s="70"/>
      <c r="N6" s="70"/>
      <c r="O6" s="70"/>
      <c r="P6" s="70"/>
      <c r="Q6" s="70"/>
      <c r="R6" s="70"/>
      <c r="S6" s="70"/>
      <c r="Y6" t="s">
        <v>783</v>
      </c>
    </row>
    <row r="7" spans="2:26" ht="39.950000000000003" customHeight="1" thickBot="1" x14ac:dyDescent="0.3">
      <c r="E7" s="69"/>
      <c r="F7" s="225" t="s">
        <v>785</v>
      </c>
      <c r="G7" s="224" t="s">
        <v>793</v>
      </c>
      <c r="H7" s="223" t="s">
        <v>359</v>
      </c>
      <c r="I7" s="70"/>
      <c r="J7" s="70"/>
      <c r="K7" s="70"/>
      <c r="L7" s="70"/>
      <c r="M7" s="70"/>
      <c r="N7" s="70"/>
      <c r="O7" s="70"/>
      <c r="P7" s="70"/>
      <c r="Q7" s="70"/>
      <c r="R7" s="70"/>
      <c r="S7" s="70"/>
    </row>
    <row r="8" spans="2:26" ht="39.950000000000003" customHeight="1" thickBot="1" x14ac:dyDescent="0.3">
      <c r="E8" s="69"/>
      <c r="F8" s="225" t="s">
        <v>786</v>
      </c>
      <c r="G8" s="221" t="s">
        <v>794</v>
      </c>
      <c r="H8" s="224" t="s">
        <v>801</v>
      </c>
      <c r="I8" s="223" t="s">
        <v>354</v>
      </c>
      <c r="J8" s="70"/>
      <c r="K8" s="70"/>
      <c r="L8" s="70"/>
      <c r="M8" s="70"/>
      <c r="N8" s="70"/>
      <c r="O8" s="70"/>
      <c r="P8" s="70"/>
      <c r="Q8" s="70"/>
      <c r="R8" s="70"/>
      <c r="S8" s="70"/>
    </row>
    <row r="9" spans="2:26" ht="39.950000000000003" customHeight="1" thickBot="1" x14ac:dyDescent="0.3">
      <c r="E9" s="69"/>
      <c r="F9" s="225" t="s">
        <v>787</v>
      </c>
      <c r="G9" s="221" t="s">
        <v>795</v>
      </c>
      <c r="H9" s="221" t="s">
        <v>802</v>
      </c>
      <c r="I9" s="224" t="s">
        <v>808</v>
      </c>
      <c r="J9" s="223" t="s">
        <v>358</v>
      </c>
      <c r="K9" s="70"/>
      <c r="L9" s="70"/>
      <c r="M9" s="70"/>
      <c r="N9" s="70"/>
      <c r="O9" s="70"/>
      <c r="P9" s="70"/>
      <c r="Q9" s="70"/>
      <c r="R9" s="70"/>
      <c r="S9" s="70"/>
    </row>
    <row r="10" spans="2:26" ht="39.950000000000003" customHeight="1" thickBot="1" x14ac:dyDescent="0.3">
      <c r="E10" s="69"/>
      <c r="F10" s="225" t="s">
        <v>788</v>
      </c>
      <c r="G10" s="221" t="s">
        <v>796</v>
      </c>
      <c r="H10" s="221" t="s">
        <v>803</v>
      </c>
      <c r="I10" s="221" t="s">
        <v>809</v>
      </c>
      <c r="J10" s="224" t="s">
        <v>814</v>
      </c>
      <c r="K10" s="223" t="s">
        <v>353</v>
      </c>
      <c r="L10" s="70"/>
      <c r="M10" s="70"/>
      <c r="N10" s="70"/>
      <c r="O10" s="70"/>
      <c r="P10" s="70"/>
      <c r="Q10" s="70"/>
      <c r="R10" s="70"/>
      <c r="S10" s="70"/>
    </row>
    <row r="11" spans="2:26" ht="39.950000000000003" customHeight="1" thickBot="1" x14ac:dyDescent="0.3">
      <c r="E11" s="69"/>
      <c r="F11" s="225" t="s">
        <v>789</v>
      </c>
      <c r="G11" s="221" t="s">
        <v>797</v>
      </c>
      <c r="H11" s="221" t="s">
        <v>804</v>
      </c>
      <c r="I11" s="221" t="s">
        <v>810</v>
      </c>
      <c r="J11" s="221" t="s">
        <v>815</v>
      </c>
      <c r="K11" s="224" t="s">
        <v>819</v>
      </c>
      <c r="L11" s="223" t="s">
        <v>351</v>
      </c>
      <c r="M11" s="70"/>
      <c r="N11" s="70"/>
      <c r="O11" s="70"/>
      <c r="P11" s="70"/>
      <c r="Q11" s="70"/>
      <c r="R11" s="70"/>
      <c r="S11" s="70"/>
    </row>
    <row r="12" spans="2:26" ht="39.950000000000003" customHeight="1" thickBot="1" x14ac:dyDescent="0.3">
      <c r="E12" s="69"/>
      <c r="F12" s="225" t="s">
        <v>790</v>
      </c>
      <c r="G12" s="221" t="s">
        <v>798</v>
      </c>
      <c r="H12" s="221" t="s">
        <v>805</v>
      </c>
      <c r="I12" s="221" t="s">
        <v>811</v>
      </c>
      <c r="J12" s="221" t="s">
        <v>816</v>
      </c>
      <c r="K12" s="221" t="s">
        <v>820</v>
      </c>
      <c r="L12" s="224" t="s">
        <v>823</v>
      </c>
      <c r="M12" s="223" t="s">
        <v>355</v>
      </c>
      <c r="N12" s="70"/>
      <c r="O12" s="70"/>
      <c r="P12" s="70"/>
      <c r="Q12" s="70"/>
      <c r="R12" s="70"/>
      <c r="S12" s="70"/>
    </row>
    <row r="13" spans="2:26" ht="39.950000000000003" customHeight="1" thickBot="1" x14ac:dyDescent="0.3">
      <c r="E13" s="69"/>
      <c r="F13" s="225" t="s">
        <v>791</v>
      </c>
      <c r="G13" s="221" t="s">
        <v>799</v>
      </c>
      <c r="H13" s="221" t="s">
        <v>806</v>
      </c>
      <c r="I13" s="221" t="s">
        <v>812</v>
      </c>
      <c r="J13" s="221" t="s">
        <v>817</v>
      </c>
      <c r="K13" s="221" t="s">
        <v>821</v>
      </c>
      <c r="L13" s="221" t="s">
        <v>824</v>
      </c>
      <c r="M13" s="224" t="s">
        <v>826</v>
      </c>
      <c r="N13" s="223" t="s">
        <v>352</v>
      </c>
      <c r="O13" s="70"/>
      <c r="P13" s="70"/>
      <c r="Q13" s="70"/>
      <c r="R13" s="70"/>
      <c r="S13" s="70"/>
    </row>
    <row r="14" spans="2:26" ht="39.950000000000003" customHeight="1" thickBot="1" x14ac:dyDescent="0.3">
      <c r="E14" s="69"/>
      <c r="F14" s="226" t="s">
        <v>792</v>
      </c>
      <c r="G14" s="222" t="s">
        <v>800</v>
      </c>
      <c r="H14" s="222" t="s">
        <v>807</v>
      </c>
      <c r="I14" s="222" t="s">
        <v>813</v>
      </c>
      <c r="J14" s="222" t="s">
        <v>818</v>
      </c>
      <c r="K14" s="222" t="s">
        <v>822</v>
      </c>
      <c r="L14" s="222" t="s">
        <v>825</v>
      </c>
      <c r="M14" s="222" t="s">
        <v>827</v>
      </c>
      <c r="N14" s="228" t="s">
        <v>828</v>
      </c>
      <c r="O14" s="223" t="s">
        <v>360</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V17" sqref="V17"/>
    </sheetView>
  </sheetViews>
  <sheetFormatPr defaultRowHeight="15" x14ac:dyDescent="0.25"/>
  <cols>
    <col min="2" max="2" width="11.85546875" customWidth="1"/>
    <col min="3" max="3" width="33" customWidth="1"/>
    <col min="13" max="27" width="9.140625" customWidth="1"/>
  </cols>
  <sheetData>
    <row r="2" spans="2:30" hidden="1" x14ac:dyDescent="0.25">
      <c r="B2" t="s">
        <v>829</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356</v>
      </c>
      <c r="D15" s="107">
        <v>0.97389999999999999</v>
      </c>
    </row>
    <row r="16" spans="2:30" x14ac:dyDescent="0.25">
      <c r="C16" s="108" t="s">
        <v>357</v>
      </c>
      <c r="D16" s="109">
        <v>0.73709999999999998</v>
      </c>
    </row>
    <row r="17" spans="2:5" x14ac:dyDescent="0.25">
      <c r="C17" s="108" t="s">
        <v>359</v>
      </c>
      <c r="D17" s="109">
        <v>0.64280000000000004</v>
      </c>
    </row>
    <row r="18" spans="2:5" x14ac:dyDescent="0.25">
      <c r="C18" s="108" t="s">
        <v>354</v>
      </c>
      <c r="D18" s="109">
        <v>0.61750000000000005</v>
      </c>
    </row>
    <row r="19" spans="2:5" x14ac:dyDescent="0.25">
      <c r="C19" s="108" t="s">
        <v>358</v>
      </c>
      <c r="D19" s="109">
        <v>0.55159999999999998</v>
      </c>
    </row>
    <row r="20" spans="2:5" x14ac:dyDescent="0.25">
      <c r="C20" s="108" t="s">
        <v>353</v>
      </c>
      <c r="D20" s="109">
        <v>0.47560000000000002</v>
      </c>
    </row>
    <row r="21" spans="2:5" x14ac:dyDescent="0.25">
      <c r="C21" s="108" t="s">
        <v>351</v>
      </c>
      <c r="D21" s="109">
        <v>0.38500000000000001</v>
      </c>
    </row>
    <row r="22" spans="2:5" x14ac:dyDescent="0.25">
      <c r="C22" s="108" t="s">
        <v>355</v>
      </c>
      <c r="D22" s="109">
        <v>0.29630000000000001</v>
      </c>
    </row>
    <row r="23" spans="2:5" x14ac:dyDescent="0.25">
      <c r="C23" s="108" t="s">
        <v>352</v>
      </c>
      <c r="D23" s="109">
        <v>0.23530000000000001</v>
      </c>
    </row>
    <row r="24" spans="2:5" x14ac:dyDescent="0.25">
      <c r="C24" s="108" t="s">
        <v>360</v>
      </c>
      <c r="D24" s="109">
        <v>8.4849999999999995E-2</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1</v>
      </c>
      <c r="Z5" t="str">
        <f>R5</f>
        <v>Study Name</v>
      </c>
      <c r="AB5" s="262"/>
      <c r="AC5" s="262"/>
      <c r="AD5" s="262"/>
      <c r="AE5" s="262"/>
      <c r="AH5" s="19"/>
      <c r="AI5" s="19"/>
    </row>
    <row r="6" spans="1:35" x14ac:dyDescent="0.25">
      <c r="A6">
        <v>0</v>
      </c>
      <c r="B6">
        <v>0</v>
      </c>
      <c r="D6" s="26"/>
      <c r="E6" s="31"/>
      <c r="F6" s="31"/>
      <c r="G6" s="31"/>
      <c r="H6" s="1" t="str">
        <f>IF(D6="","",G6-E6)</f>
        <v/>
      </c>
      <c r="I6" s="26"/>
      <c r="J6" s="31"/>
      <c r="K6" s="31"/>
      <c r="L6" s="31"/>
      <c r="M6" s="1" t="str">
        <f>IF(I6="","",L6-J6)</f>
        <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c r="J7" s="31"/>
      <c r="K7" s="31"/>
      <c r="L7" s="31"/>
      <c r="M7" s="1" t="str">
        <f t="shared" ref="M7:M70" si="5">IF(I7="","",L7-J7)</f>
        <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c r="J8" s="31"/>
      <c r="K8" s="31"/>
      <c r="L8" s="31"/>
      <c r="M8" s="1" t="str">
        <f t="shared" si="5"/>
        <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c r="J9" s="31"/>
      <c r="K9" s="31"/>
      <c r="L9" s="31"/>
      <c r="M9" s="1" t="str">
        <f t="shared" si="5"/>
        <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c r="J10" s="31"/>
      <c r="K10" s="31"/>
      <c r="L10" s="31"/>
      <c r="M10" s="1" t="str">
        <f t="shared" si="5"/>
        <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c r="J11" s="31"/>
      <c r="K11" s="31"/>
      <c r="L11" s="31"/>
      <c r="M11" s="1" t="str">
        <f t="shared" si="5"/>
        <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c r="J12" s="31"/>
      <c r="K12" s="31"/>
      <c r="L12" s="31"/>
      <c r="M12" s="1" t="str">
        <f t="shared" si="5"/>
        <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c r="J13" s="31"/>
      <c r="K13" s="31"/>
      <c r="L13" s="31"/>
      <c r="M13" s="1" t="str">
        <f t="shared" si="5"/>
        <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c r="J14" s="31"/>
      <c r="K14" s="31"/>
      <c r="L14" s="31"/>
      <c r="M14" s="1" t="str">
        <f t="shared" si="5"/>
        <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c r="J15" s="31"/>
      <c r="K15" s="31"/>
      <c r="L15" s="31"/>
      <c r="M15" s="1" t="str">
        <f t="shared" si="5"/>
        <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c r="J16" s="31"/>
      <c r="K16" s="31"/>
      <c r="L16" s="31"/>
      <c r="M16" s="1" t="str">
        <f t="shared" si="5"/>
        <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c r="J17" s="31"/>
      <c r="K17" s="31"/>
      <c r="L17" s="31"/>
      <c r="M17" s="1" t="str">
        <f t="shared" si="5"/>
        <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c r="J18" s="31"/>
      <c r="K18" s="31"/>
      <c r="L18" s="31"/>
      <c r="M18" s="1" t="str">
        <f t="shared" si="5"/>
        <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c r="J19" s="31"/>
      <c r="K19" s="31"/>
      <c r="L19" s="31"/>
      <c r="M19" s="1" t="str">
        <f t="shared" si="5"/>
        <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c r="J20" s="31"/>
      <c r="K20" s="31"/>
      <c r="L20" s="31"/>
      <c r="M20" s="1" t="str">
        <f t="shared" si="5"/>
        <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c r="J21" s="31"/>
      <c r="K21" s="31"/>
      <c r="L21" s="31"/>
      <c r="M21" s="1" t="str">
        <f t="shared" si="5"/>
        <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c r="J22" s="31"/>
      <c r="K22" s="31"/>
      <c r="L22" s="31"/>
      <c r="M22" s="1" t="str">
        <f t="shared" si="5"/>
        <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c r="J23" s="31"/>
      <c r="K23" s="31"/>
      <c r="L23" s="31"/>
      <c r="M23" s="1" t="str">
        <f t="shared" si="5"/>
        <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c r="J24" s="31"/>
      <c r="K24" s="31"/>
      <c r="L24" s="31"/>
      <c r="M24" s="1" t="str">
        <f t="shared" si="5"/>
        <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c r="J25" s="31"/>
      <c r="K25" s="31"/>
      <c r="L25" s="31"/>
      <c r="M25" s="1" t="str">
        <f t="shared" si="5"/>
        <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c r="J26" s="39"/>
      <c r="K26" s="39"/>
      <c r="L26" s="39"/>
      <c r="M26" s="52" t="str">
        <f t="shared" si="5"/>
        <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c r="J27" s="39"/>
      <c r="K27" s="39"/>
      <c r="L27" s="39"/>
      <c r="M27" s="52" t="str">
        <f t="shared" si="5"/>
        <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c r="J28" s="39"/>
      <c r="K28" s="39"/>
      <c r="L28" s="39"/>
      <c r="M28" s="52" t="str">
        <f t="shared" si="5"/>
        <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c r="J29" s="39"/>
      <c r="K29" s="39"/>
      <c r="L29" s="39"/>
      <c r="M29" s="52" t="str">
        <f t="shared" si="5"/>
        <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c r="J30" s="39"/>
      <c r="K30" s="39"/>
      <c r="L30" s="39"/>
      <c r="M30" s="52" t="str">
        <f t="shared" si="5"/>
        <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c r="J31" s="39"/>
      <c r="K31" s="39"/>
      <c r="L31" s="39"/>
      <c r="M31" s="52" t="str">
        <f t="shared" si="5"/>
        <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c r="J32" s="39"/>
      <c r="K32" s="39"/>
      <c r="L32" s="39"/>
      <c r="M32" s="52" t="str">
        <f t="shared" si="5"/>
        <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c r="J33" s="39"/>
      <c r="K33" s="39"/>
      <c r="L33" s="39"/>
      <c r="M33" s="52" t="str">
        <f t="shared" si="5"/>
        <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c r="J34" s="39"/>
      <c r="K34" s="39"/>
      <c r="L34" s="39"/>
      <c r="M34" s="52" t="str">
        <f t="shared" si="5"/>
        <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c r="J35" s="39"/>
      <c r="K35" s="39"/>
      <c r="L35" s="39"/>
      <c r="M35" s="52" t="str">
        <f t="shared" si="5"/>
        <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c r="J36" s="39"/>
      <c r="K36" s="39"/>
      <c r="L36" s="39"/>
      <c r="M36" s="52" t="str">
        <f t="shared" si="5"/>
        <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c r="J37" s="39"/>
      <c r="K37" s="39"/>
      <c r="L37" s="39"/>
      <c r="M37" s="52" t="str">
        <f t="shared" si="5"/>
        <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c r="J38" s="39"/>
      <c r="K38" s="39"/>
      <c r="L38" s="39"/>
      <c r="M38" s="52" t="str">
        <f t="shared" si="5"/>
        <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c r="J39" s="39"/>
      <c r="K39" s="39"/>
      <c r="L39" s="39"/>
      <c r="M39" s="52" t="str">
        <f t="shared" si="5"/>
        <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c r="J40" s="39"/>
      <c r="K40" s="39"/>
      <c r="L40" s="39"/>
      <c r="M40" s="52" t="str">
        <f t="shared" si="5"/>
        <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c r="J41" s="39"/>
      <c r="K41" s="39"/>
      <c r="L41" s="39"/>
      <c r="M41" s="52" t="str">
        <f t="shared" si="5"/>
        <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c r="J42" s="39"/>
      <c r="K42" s="39"/>
      <c r="L42" s="39"/>
      <c r="M42" s="52" t="str">
        <f t="shared" si="5"/>
        <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c r="J43" s="39"/>
      <c r="K43" s="39"/>
      <c r="L43" s="39"/>
      <c r="M43" s="52" t="str">
        <f t="shared" si="5"/>
        <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c r="J44" s="39"/>
      <c r="K44" s="39"/>
      <c r="L44" s="39"/>
      <c r="M44" s="52" t="str">
        <f t="shared" si="5"/>
        <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c r="J45" s="39"/>
      <c r="K45" s="39"/>
      <c r="L45" s="39"/>
      <c r="M45" s="52" t="str">
        <f t="shared" si="5"/>
        <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c r="J46" s="39"/>
      <c r="K46" s="39"/>
      <c r="L46" s="39"/>
      <c r="M46" s="52" t="str">
        <f t="shared" si="5"/>
        <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c r="J47" s="39"/>
      <c r="K47" s="39"/>
      <c r="L47" s="39"/>
      <c r="M47" s="52" t="str">
        <f t="shared" si="5"/>
        <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c r="J48" s="39"/>
      <c r="K48" s="39"/>
      <c r="L48" s="39"/>
      <c r="M48" s="52" t="str">
        <f t="shared" si="5"/>
        <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c r="J49" s="39"/>
      <c r="K49" s="39"/>
      <c r="L49" s="39"/>
      <c r="M49" s="52" t="str">
        <f t="shared" si="5"/>
        <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c r="J50" s="39"/>
      <c r="K50" s="39"/>
      <c r="L50" s="39"/>
      <c r="M50" s="52" t="str">
        <f t="shared" si="5"/>
        <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c r="J51" s="39"/>
      <c r="K51" s="39"/>
      <c r="L51" s="39"/>
      <c r="M51" s="52" t="str">
        <f t="shared" si="5"/>
        <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c r="J52" s="39"/>
      <c r="K52" s="39"/>
      <c r="L52" s="39"/>
      <c r="M52" s="52" t="str">
        <f t="shared" si="5"/>
        <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c r="J53" s="39"/>
      <c r="K53" s="39"/>
      <c r="L53" s="39"/>
      <c r="M53" s="52" t="str">
        <f t="shared" si="5"/>
        <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c r="J54" s="39"/>
      <c r="K54" s="39"/>
      <c r="L54" s="39"/>
      <c r="M54" s="52" t="str">
        <f t="shared" si="5"/>
        <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c r="J55" s="39"/>
      <c r="K55" s="39"/>
      <c r="L55" s="39"/>
      <c r="M55" s="52" t="str">
        <f t="shared" si="5"/>
        <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c r="J56" s="39"/>
      <c r="K56" s="39"/>
      <c r="L56" s="39"/>
      <c r="M56" s="52" t="str">
        <f t="shared" si="5"/>
        <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c r="J57" s="39"/>
      <c r="K57" s="39"/>
      <c r="L57" s="39"/>
      <c r="M57" s="52" t="str">
        <f t="shared" si="5"/>
        <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c r="J58" s="39"/>
      <c r="K58" s="39"/>
      <c r="L58" s="39"/>
      <c r="M58" s="52" t="str">
        <f t="shared" si="5"/>
        <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c r="J59" s="39"/>
      <c r="K59" s="39"/>
      <c r="L59" s="39"/>
      <c r="M59" s="52" t="str">
        <f t="shared" si="5"/>
        <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c r="J60" s="39"/>
      <c r="K60" s="39"/>
      <c r="L60" s="39"/>
      <c r="M60" s="52" t="str">
        <f t="shared" si="5"/>
        <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c r="J61" s="39"/>
      <c r="K61" s="39"/>
      <c r="L61" s="39"/>
      <c r="M61" s="52" t="str">
        <f t="shared" si="5"/>
        <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1.333</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0.76990000000000003</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0.42020000000000002</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1.429</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1.495E-2</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0.29020000000000001</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0.55600000000000005</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OR[1,9]</v>
      </c>
      <c r="J12" s="126" t="str">
        <f ca="1">IF(INDIRECT(CONCATENATE("'",'Inconsistency Data'!$I$4,"'!O12"))="","",INDIRECT(CONCATENATE("'",'Inconsistency Data'!$I$4,"'!O12")))</f>
        <v>INDOTHERS versus INDOIV</v>
      </c>
      <c r="K12" s="127">
        <f ca="1">IF(INDIRECT(CONCATENATE("'",'Inconsistency Data'!$I$4,"'!Q12"))="","",INDIRECT(CONCATENATE("'",'Inconsistency Data'!$I$4,"'!Q12")))</f>
        <v>0.50339999999999996</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OR[1,10]</v>
      </c>
      <c r="J13" s="126" t="str">
        <f ca="1">IF(INDIRECT(CONCATENATE("'",'Inconsistency Data'!$I$4,"'!O13"))="","",INDIRECT(CONCATENATE("'",'Inconsistency Data'!$I$4,"'!O13")))</f>
        <v>PLAC_NORX versus INDOIV</v>
      </c>
      <c r="K13" s="127">
        <f ca="1">IF(INDIRECT(CONCATENATE("'",'Inconsistency Data'!$I$4,"'!Q13"))="","",INDIRECT(CONCATENATE("'",'Inconsistency Data'!$I$4,"'!Q13")))</f>
        <v>2.3069999999999999</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OR[2,3]</v>
      </c>
      <c r="J14" s="126" t="str">
        <f ca="1">IF(INDIRECT(CONCATENATE("'",'Inconsistency Data'!$I$4,"'!O14"))="","",INDIRECT(CONCATENATE("'",'Inconsistency Data'!$I$4,"'!O14")))</f>
        <v>IBUPO versus IBUIV</v>
      </c>
      <c r="K14" s="127">
        <f ca="1">IF(INDIRECT(CONCATENATE("'",'Inconsistency Data'!$I$4,"'!Q14"))="","",INDIRECT(CONCATENATE("'",'Inconsistency Data'!$I$4,"'!Q14")))</f>
        <v>0.57079999999999997</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OR[2,4]</v>
      </c>
      <c r="J15" s="126" t="str">
        <f ca="1">IF(INDIRECT(CONCATENATE("'",'Inconsistency Data'!$I$4,"'!O15"))="","",INDIRECT(CONCATENATE("'",'Inconsistency Data'!$I$4,"'!O15")))</f>
        <v>PARAPO versus IBUIV</v>
      </c>
      <c r="K15" s="127">
        <f ca="1">IF(INDIRECT(CONCATENATE("'",'Inconsistency Data'!$I$4,"'!Q15"))="","",INDIRECT(CONCATENATE("'",'Inconsistency Data'!$I$4,"'!Q15")))</f>
        <v>0.30099999999999999</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OR[2,5]</v>
      </c>
      <c r="J16" s="126" t="str">
        <f ca="1">IF(INDIRECT(CONCATENATE("'",'Inconsistency Data'!$I$4,"'!O16"))="","",INDIRECT(CONCATENATE("'",'Inconsistency Data'!$I$4,"'!O16")))</f>
        <v>IBUIVHIGHDOSE versus IBUIV</v>
      </c>
      <c r="K16" s="127">
        <f ca="1">IF(INDIRECT(CONCATENATE("'",'Inconsistency Data'!$I$4,"'!Q16"))="","",INDIRECT(CONCATENATE("'",'Inconsistency Data'!$I$4,"'!Q16")))</f>
        <v>1.08</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OR[2,6]</v>
      </c>
      <c r="J17" s="126" t="str">
        <f ca="1">IF(INDIRECT(CONCATENATE("'",'Inconsistency Data'!$I$4,"'!O17"))="","",INDIRECT(CONCATENATE("'",'Inconsistency Data'!$I$4,"'!O17")))</f>
        <v>IBUPOHIGHDOSE versus IBUIV</v>
      </c>
      <c r="K17" s="127">
        <f ca="1">IF(INDIRECT(CONCATENATE("'",'Inconsistency Data'!$I$4,"'!Q17"))="","",INDIRECT(CONCATENATE("'",'Inconsistency Data'!$I$4,"'!Q17")))</f>
        <v>1.069E-2</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OR[2,7]</v>
      </c>
      <c r="J18" s="126" t="str">
        <f ca="1">IF(INDIRECT(CONCATENATE("'",'Inconsistency Data'!$I$4,"'!O18"))="","",INDIRECT(CONCATENATE("'",'Inconsistency Data'!$I$4,"'!O18")))</f>
        <v>IBUIVCONT versus IBUIV</v>
      </c>
      <c r="K18" s="127">
        <f ca="1">IF(INDIRECT(CONCATENATE("'",'Inconsistency Data'!$I$4,"'!Q18"))="","",INDIRECT(CONCATENATE("'",'Inconsistency Data'!$I$4,"'!Q18")))</f>
        <v>0.21579999999999999</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OR[2,8]</v>
      </c>
      <c r="J19" s="126" t="str">
        <f ca="1">IF(INDIRECT(CONCATENATE("'",'Inconsistency Data'!$I$4,"'!O19"))="","",INDIRECT(CONCATENATE("'",'Inconsistency Data'!$I$4,"'!O19")))</f>
        <v>INDOIVCONT versus IBUIV</v>
      </c>
      <c r="K19" s="127">
        <f ca="1">IF(INDIRECT(CONCATENATE("'",'Inconsistency Data'!$I$4,"'!Q19"))="","",INDIRECT(CONCATENATE("'",'Inconsistency Data'!$I$4,"'!Q19")))</f>
        <v>0.41749999999999998</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OR[2,9]</v>
      </c>
      <c r="J20" s="126" t="str">
        <f ca="1">IF(INDIRECT(CONCATENATE("'",'Inconsistency Data'!$I$4,"'!O20"))="","",INDIRECT(CONCATENATE("'",'Inconsistency Data'!$I$4,"'!O20")))</f>
        <v>INDOTHERS versus IBUIV</v>
      </c>
      <c r="K20" s="127">
        <f ca="1">IF(INDIRECT(CONCATENATE("'",'Inconsistency Data'!$I$4,"'!Q20"))="","",INDIRECT(CONCATENATE("'",'Inconsistency Data'!$I$4,"'!Q20")))</f>
        <v>0.37040000000000001</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OR[2,10]</v>
      </c>
      <c r="J21" s="126" t="str">
        <f ca="1">IF(INDIRECT(CONCATENATE("'",'Inconsistency Data'!$I$4,"'!O21"))="","",INDIRECT(CONCATENATE("'",'Inconsistency Data'!$I$4,"'!O21")))</f>
        <v>PLAC_NORX versus IBUIV</v>
      </c>
      <c r="K21" s="127">
        <f ca="1">IF(INDIRECT(CONCATENATE("'",'Inconsistency Data'!$I$4,"'!Q21"))="","",INDIRECT(CONCATENATE("'",'Inconsistency Data'!$I$4,"'!Q21")))</f>
        <v>1.6890000000000001</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OR[3,4]</v>
      </c>
      <c r="J22" s="126" t="str">
        <f ca="1">IF(INDIRECT(CONCATENATE("'",'Inconsistency Data'!$I$4,"'!O22"))="","",INDIRECT(CONCATENATE("'",'Inconsistency Data'!$I$4,"'!O22")))</f>
        <v>PARAPO versus IBUPO</v>
      </c>
      <c r="K22" s="127">
        <f ca="1">IF(INDIRECT(CONCATENATE("'",'Inconsistency Data'!$I$4,"'!Q22"))="","",INDIRECT(CONCATENATE("'",'Inconsistency Data'!$I$4,"'!Q22")))</f>
        <v>0.55710000000000004</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OR[3,5]</v>
      </c>
      <c r="J23" s="126" t="str">
        <f ca="1">IF(INDIRECT(CONCATENATE("'",'Inconsistency Data'!$I$4,"'!O23"))="","",INDIRECT(CONCATENATE("'",'Inconsistency Data'!$I$4,"'!O23")))</f>
        <v>IBUIVHIGHDOSE versus IBUPO</v>
      </c>
      <c r="K23" s="127">
        <f ca="1">IF(INDIRECT(CONCATENATE("'",'Inconsistency Data'!$I$4,"'!Q23"))="","",INDIRECT(CONCATENATE("'",'Inconsistency Data'!$I$4,"'!Q23")))</f>
        <v>1.8620000000000001</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OR[3,6]</v>
      </c>
      <c r="J24" s="126" t="str">
        <f ca="1">IF(INDIRECT(CONCATENATE("'",'Inconsistency Data'!$I$4,"'!O24"))="","",INDIRECT(CONCATENATE("'",'Inconsistency Data'!$I$4,"'!O24")))</f>
        <v>IBUPOHIGHDOSE versus IBUPO</v>
      </c>
      <c r="K24" s="127">
        <f ca="1">IF(INDIRECT(CONCATENATE("'",'Inconsistency Data'!$I$4,"'!Q24"))="","",INDIRECT(CONCATENATE("'",'Inconsistency Data'!$I$4,"'!Q24")))</f>
        <v>2.0820000000000002E-2</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OR[3,7]</v>
      </c>
      <c r="J25" s="126" t="str">
        <f ca="1">IF(INDIRECT(CONCATENATE("'",'Inconsistency Data'!$I$4,"'!O25"))="","",INDIRECT(CONCATENATE("'",'Inconsistency Data'!$I$4,"'!O25")))</f>
        <v>IBUIVCONT versus IBUPO</v>
      </c>
      <c r="K25" s="127">
        <f ca="1">IF(INDIRECT(CONCATENATE("'",'Inconsistency Data'!$I$4,"'!Q25"))="","",INDIRECT(CONCATENATE("'",'Inconsistency Data'!$I$4,"'!Q25")))</f>
        <v>0.37530000000000002</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OR[3,8]</v>
      </c>
      <c r="J26" s="126" t="str">
        <f ca="1">IF(INDIRECT(CONCATENATE("'",'Inconsistency Data'!$I$4,"'!O26"))="","",INDIRECT(CONCATENATE("'",'Inconsistency Data'!$I$4,"'!O26")))</f>
        <v>INDOIVCONT versus IBUPO</v>
      </c>
      <c r="K26" s="127">
        <f ca="1">IF(INDIRECT(CONCATENATE("'",'Inconsistency Data'!$I$4,"'!Q26"))="","",INDIRECT(CONCATENATE("'",'Inconsistency Data'!$I$4,"'!Q26")))</f>
        <v>0.74829999999999997</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OR[3,9]</v>
      </c>
      <c r="J27" s="126" t="str">
        <f ca="1">IF(INDIRECT(CONCATENATE("'",'Inconsistency Data'!$I$4,"'!O27"))="","",INDIRECT(CONCATENATE("'",'Inconsistency Data'!$I$4,"'!O27")))</f>
        <v>INDOTHERS versus IBUPO</v>
      </c>
      <c r="K27" s="127">
        <f ca="1">IF(INDIRECT(CONCATENATE("'",'Inconsistency Data'!$I$4,"'!Q27"))="","",INDIRECT(CONCATENATE("'",'Inconsistency Data'!$I$4,"'!Q27")))</f>
        <v>0.64759999999999995</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OR[3,10]</v>
      </c>
      <c r="J28" s="126" t="str">
        <f ca="1">IF(INDIRECT(CONCATENATE("'",'Inconsistency Data'!$I$4,"'!O28"))="","",INDIRECT(CONCATENATE("'",'Inconsistency Data'!$I$4,"'!O28")))</f>
        <v>PLAC_NORX versus IBUPO</v>
      </c>
      <c r="K28" s="127">
        <f ca="1">IF(INDIRECT(CONCATENATE("'",'Inconsistency Data'!$I$4,"'!Q28"))="","",INDIRECT(CONCATENATE("'",'Inconsistency Data'!$I$4,"'!Q28")))</f>
        <v>2.956</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OR[4,5]</v>
      </c>
      <c r="J29" s="126" t="str">
        <f ca="1">IF(INDIRECT(CONCATENATE("'",'Inconsistency Data'!$I$4,"'!O29"))="","",INDIRECT(CONCATENATE("'",'Inconsistency Data'!$I$4,"'!O29")))</f>
        <v>IBUIVHIGHDOSE versus PARAPO</v>
      </c>
      <c r="K29" s="127">
        <f ca="1">IF(INDIRECT(CONCATENATE("'",'Inconsistency Data'!$I$4,"'!Q29"))="","",INDIRECT(CONCATENATE("'",'Inconsistency Data'!$I$4,"'!Q29")))</f>
        <v>3.2370000000000001</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OR[4,6]</v>
      </c>
      <c r="J30" s="126" t="str">
        <f ca="1">IF(INDIRECT(CONCATENATE("'",'Inconsistency Data'!$I$4,"'!O30"))="","",INDIRECT(CONCATENATE("'",'Inconsistency Data'!$I$4,"'!O30")))</f>
        <v>IBUPOHIGHDOSE versus PARAPO</v>
      </c>
      <c r="K30" s="127">
        <f ca="1">IF(INDIRECT(CONCATENATE("'",'Inconsistency Data'!$I$4,"'!Q30"))="","",INDIRECT(CONCATENATE("'",'Inconsistency Data'!$I$4,"'!Q30")))</f>
        <v>3.499E-2</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OR[4,7]</v>
      </c>
      <c r="J31" s="126" t="str">
        <f ca="1">IF(INDIRECT(CONCATENATE("'",'Inconsistency Data'!$I$4,"'!O31"))="","",INDIRECT(CONCATENATE("'",'Inconsistency Data'!$I$4,"'!O31")))</f>
        <v>IBUIVCONT versus PARAPO</v>
      </c>
      <c r="K31" s="127">
        <f ca="1">IF(INDIRECT(CONCATENATE("'",'Inconsistency Data'!$I$4,"'!Q31"))="","",INDIRECT(CONCATENATE("'",'Inconsistency Data'!$I$4,"'!Q31")))</f>
        <v>0.70699999999999996</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OR[4,8]</v>
      </c>
      <c r="J32" s="126" t="str">
        <f ca="1">IF(INDIRECT(CONCATENATE("'",'Inconsistency Data'!$I$4,"'!O32"))="","",INDIRECT(CONCATENATE("'",'Inconsistency Data'!$I$4,"'!O32")))</f>
        <v>INDOIVCONT versus PARAPO</v>
      </c>
      <c r="K32" s="127">
        <f ca="1">IF(INDIRECT(CONCATENATE("'",'Inconsistency Data'!$I$4,"'!Q32"))="","",INDIRECT(CONCATENATE("'",'Inconsistency Data'!$I$4,"'!Q32")))</f>
        <v>1.397</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OR[4,9]</v>
      </c>
      <c r="J33" s="126" t="str">
        <f ca="1">IF(INDIRECT(CONCATENATE("'",'Inconsistency Data'!$I$4,"'!O33"))="","",INDIRECT(CONCATENATE("'",'Inconsistency Data'!$I$4,"'!O33")))</f>
        <v>INDOTHERS versus PARAPO</v>
      </c>
      <c r="K33" s="127">
        <f ca="1">IF(INDIRECT(CONCATENATE("'",'Inconsistency Data'!$I$4,"'!Q33"))="","",INDIRECT(CONCATENATE("'",'Inconsistency Data'!$I$4,"'!Q33")))</f>
        <v>1.155</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OR[4,10]</v>
      </c>
      <c r="J34" s="126" t="str">
        <f ca="1">IF(INDIRECT(CONCATENATE("'",'Inconsistency Data'!$I$4,"'!O34"))="","",INDIRECT(CONCATENATE("'",'Inconsistency Data'!$I$4,"'!O34")))</f>
        <v>PLAC_NORX versus PARAPO</v>
      </c>
      <c r="K34" s="127">
        <f ca="1">IF(INDIRECT(CONCATENATE("'",'Inconsistency Data'!$I$4,"'!Q34"))="","",INDIRECT(CONCATENATE("'",'Inconsistency Data'!$I$4,"'!Q34")))</f>
        <v>5.476</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OR[5,6]</v>
      </c>
      <c r="J35" s="126" t="str">
        <f ca="1">IF(INDIRECT(CONCATENATE("'",'Inconsistency Data'!$I$4,"'!O35"))="","",INDIRECT(CONCATENATE("'",'Inconsistency Data'!$I$4,"'!O35")))</f>
        <v>IBUPOHIGHDOSE versus IBUIVHIGHDOSE</v>
      </c>
      <c r="K35" s="127">
        <f ca="1">IF(INDIRECT(CONCATENATE("'",'Inconsistency Data'!$I$4,"'!Q35"))="","",INDIRECT(CONCATENATE("'",'Inconsistency Data'!$I$4,"'!Q35")))</f>
        <v>9.2029999999999994E-3</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OR[5,7]</v>
      </c>
      <c r="J36" s="126" t="str">
        <f ca="1">IF(INDIRECT(CONCATENATE("'",'Inconsistency Data'!$I$4,"'!O36"))="","",INDIRECT(CONCATENATE("'",'Inconsistency Data'!$I$4,"'!O36")))</f>
        <v>IBUIVCONT versus IBUIVHIGHDOSE</v>
      </c>
      <c r="K36" s="127">
        <f ca="1">IF(INDIRECT(CONCATENATE("'",'Inconsistency Data'!$I$4,"'!Q36"))="","",INDIRECT(CONCATENATE("'",'Inconsistency Data'!$I$4,"'!Q36")))</f>
        <v>0.1988</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OR[5,8]</v>
      </c>
      <c r="J37" s="126" t="str">
        <f ca="1">IF(INDIRECT(CONCATENATE("'",'Inconsistency Data'!$I$4,"'!O37"))="","",INDIRECT(CONCATENATE("'",'Inconsistency Data'!$I$4,"'!O37")))</f>
        <v>INDOIVCONT versus IBUIVHIGHDOSE</v>
      </c>
      <c r="K37" s="127">
        <f ca="1">IF(INDIRECT(CONCATENATE("'",'Inconsistency Data'!$I$4,"'!Q37"))="","",INDIRECT(CONCATENATE("'",'Inconsistency Data'!$I$4,"'!Q37")))</f>
        <v>0.3962</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OR[5,9]</v>
      </c>
      <c r="J38" s="126" t="str">
        <f ca="1">IF(INDIRECT(CONCATENATE("'",'Inconsistency Data'!$I$4,"'!O38"))="","",INDIRECT(CONCATENATE("'",'Inconsistency Data'!$I$4,"'!O38")))</f>
        <v>INDOTHERS versus IBUIVHIGHDOSE</v>
      </c>
      <c r="K38" s="127">
        <f ca="1">IF(INDIRECT(CONCATENATE("'",'Inconsistency Data'!$I$4,"'!Q38"))="","",INDIRECT(CONCATENATE("'",'Inconsistency Data'!$I$4,"'!Q38")))</f>
        <v>0.34789999999999999</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OR[5,10]</v>
      </c>
      <c r="J39" s="126" t="str">
        <f ca="1">IF(INDIRECT(CONCATENATE("'",'Inconsistency Data'!$I$4,"'!O39"))="","",INDIRECT(CONCATENATE("'",'Inconsistency Data'!$I$4,"'!O39")))</f>
        <v>PLAC_NORX versus IBUIVHIGHDOSE</v>
      </c>
      <c r="K39" s="127">
        <f ca="1">IF(INDIRECT(CONCATENATE("'",'Inconsistency Data'!$I$4,"'!Q39"))="","",INDIRECT(CONCATENATE("'",'Inconsistency Data'!$I$4,"'!Q39")))</f>
        <v>1.6080000000000001</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OR[6,7]</v>
      </c>
      <c r="J40" s="126" t="str">
        <f ca="1">IF(INDIRECT(CONCATENATE("'",'Inconsistency Data'!$I$4,"'!O40"))="","",INDIRECT(CONCATENATE("'",'Inconsistency Data'!$I$4,"'!O40")))</f>
        <v>IBUIVCONT versus IBUPOHIGHDOSE</v>
      </c>
      <c r="K40" s="127">
        <f ca="1">IF(INDIRECT(CONCATENATE("'",'Inconsistency Data'!$I$4,"'!Q40"))="","",INDIRECT(CONCATENATE("'",'Inconsistency Data'!$I$4,"'!Q40")))</f>
        <v>21.07</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OR[6,8]</v>
      </c>
      <c r="J41" s="126" t="str">
        <f ca="1">IF(INDIRECT(CONCATENATE("'",'Inconsistency Data'!$I$4,"'!O41"))="","",INDIRECT(CONCATENATE("'",'Inconsistency Data'!$I$4,"'!O41")))</f>
        <v>INDOIVCONT versus IBUPOHIGHDOSE</v>
      </c>
      <c r="K41" s="127">
        <f ca="1">IF(INDIRECT(CONCATENATE("'",'Inconsistency Data'!$I$4,"'!Q41"))="","",INDIRECT(CONCATENATE("'",'Inconsistency Data'!$I$4,"'!Q41")))</f>
        <v>41.44</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OR[6,9]</v>
      </c>
      <c r="J42" s="126" t="str">
        <f ca="1">IF(INDIRECT(CONCATENATE("'",'Inconsistency Data'!$I$4,"'!O42"))="","",INDIRECT(CONCATENATE("'",'Inconsistency Data'!$I$4,"'!O42")))</f>
        <v>INDOTHERS versus IBUPOHIGHDOSE</v>
      </c>
      <c r="K42" s="127">
        <f ca="1">IF(INDIRECT(CONCATENATE("'",'Inconsistency Data'!$I$4,"'!Q42"))="","",INDIRECT(CONCATENATE("'",'Inconsistency Data'!$I$4,"'!Q42")))</f>
        <v>33.92</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OR[6,10]</v>
      </c>
      <c r="J43" s="126" t="str">
        <f ca="1">IF(INDIRECT(CONCATENATE("'",'Inconsistency Data'!$I$4,"'!O43"))="","",INDIRECT(CONCATENATE("'",'Inconsistency Data'!$I$4,"'!O43")))</f>
        <v>PLAC_NORX versus IBUPOHIGHDOSE</v>
      </c>
      <c r="K43" s="127">
        <f ca="1">IF(INDIRECT(CONCATENATE("'",'Inconsistency Data'!$I$4,"'!Q43"))="","",INDIRECT(CONCATENATE("'",'Inconsistency Data'!$I$4,"'!Q43")))</f>
        <v>159</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OR[7,8]</v>
      </c>
      <c r="J44" s="126" t="str">
        <f ca="1">IF(INDIRECT(CONCATENATE("'",'Inconsistency Data'!$I$4,"'!O44"))="","",INDIRECT(CONCATENATE("'",'Inconsistency Data'!$I$4,"'!O44")))</f>
        <v>INDOIVCONT versus IBUIVCONT</v>
      </c>
      <c r="K44" s="127">
        <f ca="1">IF(INDIRECT(CONCATENATE("'",'Inconsistency Data'!$I$4,"'!Q44"))="","",INDIRECT(CONCATENATE("'",'Inconsistency Data'!$I$4,"'!Q44")))</f>
        <v>1.8640000000000001</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OR[7,9]</v>
      </c>
      <c r="J45" s="126" t="str">
        <f ca="1">IF(INDIRECT(CONCATENATE("'",'Inconsistency Data'!$I$4,"'!O45"))="","",INDIRECT(CONCATENATE("'",'Inconsistency Data'!$I$4,"'!O45")))</f>
        <v>INDOTHERS versus IBUIVCONT</v>
      </c>
      <c r="K45" s="127">
        <f ca="1">IF(INDIRECT(CONCATENATE("'",'Inconsistency Data'!$I$4,"'!Q45"))="","",INDIRECT(CONCATENATE("'",'Inconsistency Data'!$I$4,"'!Q45")))</f>
        <v>1.75</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OR[7,10]</v>
      </c>
      <c r="J46" s="126" t="str">
        <f ca="1">IF(INDIRECT(CONCATENATE("'",'Inconsistency Data'!$I$4,"'!O46"))="","",INDIRECT(CONCATENATE("'",'Inconsistency Data'!$I$4,"'!O46")))</f>
        <v>PLAC_NORX versus IBUIVCONT</v>
      </c>
      <c r="K46" s="127">
        <f ca="1">IF(INDIRECT(CONCATENATE("'",'Inconsistency Data'!$I$4,"'!Q46"))="","",INDIRECT(CONCATENATE("'",'Inconsistency Data'!$I$4,"'!Q46")))</f>
        <v>7.9740000000000002</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OR[8,9]</v>
      </c>
      <c r="J47" s="126" t="str">
        <f ca="1">IF(INDIRECT(CONCATENATE("'",'Inconsistency Data'!$I$4,"'!O47"))="","",INDIRECT(CONCATENATE("'",'Inconsistency Data'!$I$4,"'!O47")))</f>
        <v>INDOTHERS versus INDOIVCONT</v>
      </c>
      <c r="K47" s="127">
        <f ca="1">IF(INDIRECT(CONCATENATE("'",'Inconsistency Data'!$I$4,"'!Q47"))="","",INDIRECT(CONCATENATE("'",'Inconsistency Data'!$I$4,"'!Q47")))</f>
        <v>0.89149999999999996</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OR[8,10]</v>
      </c>
      <c r="J48" s="126" t="str">
        <f ca="1">IF(INDIRECT(CONCATENATE("'",'Inconsistency Data'!$I$4,"'!O48"))="","",INDIRECT(CONCATENATE("'",'Inconsistency Data'!$I$4,"'!O48")))</f>
        <v>PLAC_NORX versus INDOIVCONT</v>
      </c>
      <c r="K48" s="127">
        <f ca="1">IF(INDIRECT(CONCATENATE("'",'Inconsistency Data'!$I$4,"'!Q48"))="","",INDIRECT(CONCATENATE("'",'Inconsistency Data'!$I$4,"'!Q48")))</f>
        <v>4.1180000000000003</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OR[9,10]</v>
      </c>
      <c r="J49" s="126" t="str">
        <f ca="1">IF(INDIRECT(CONCATENATE("'",'Inconsistency Data'!$I$4,"'!O49"))="","",INDIRECT(CONCATENATE("'",'Inconsistency Data'!$I$4,"'!O49")))</f>
        <v>PLAC_NORX versus INDOTHERS</v>
      </c>
      <c r="K49" s="127">
        <f ca="1">IF(INDIRECT(CONCATENATE("'",'Inconsistency Data'!$I$4,"'!Q49"))="","",INDIRECT(CONCATENATE("'",'Inconsistency Data'!$I$4,"'!Q49")))</f>
        <v>4.5270000000000001</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310"/>
  <sheetViews>
    <sheetView showGridLines="0" topLeftCell="A31" workbookViewId="0">
      <selection activeCell="V292" sqref="V292"/>
    </sheetView>
  </sheetViews>
  <sheetFormatPr defaultRowHeight="15" x14ac:dyDescent="0.25"/>
  <sheetData>
    <row r="1" spans="1:1" hidden="1" x14ac:dyDescent="0.25">
      <c r="A1" t="s">
        <v>392</v>
      </c>
    </row>
    <row r="2" spans="1:1" hidden="1" x14ac:dyDescent="0.25">
      <c r="A2" t="s">
        <v>757</v>
      </c>
    </row>
    <row r="3" spans="1:1" hidden="1" x14ac:dyDescent="0.25">
      <c r="A3" t="s">
        <v>394</v>
      </c>
    </row>
    <row r="4" spans="1:1" hidden="1" x14ac:dyDescent="0.25">
      <c r="A4" t="s">
        <v>395</v>
      </c>
    </row>
    <row r="5" spans="1:1" hidden="1" x14ac:dyDescent="0.25">
      <c r="A5" t="s">
        <v>396</v>
      </c>
    </row>
    <row r="6" spans="1:1" hidden="1" x14ac:dyDescent="0.25">
      <c r="A6" t="s">
        <v>397</v>
      </c>
    </row>
    <row r="7" spans="1:1" hidden="1" x14ac:dyDescent="0.25">
      <c r="A7" t="s">
        <v>396</v>
      </c>
    </row>
    <row r="8" spans="1:1" hidden="1" x14ac:dyDescent="0.25">
      <c r="A8" t="s">
        <v>21</v>
      </c>
    </row>
    <row r="9" spans="1:1" hidden="1" x14ac:dyDescent="0.25">
      <c r="A9" t="s">
        <v>398</v>
      </c>
    </row>
    <row r="10" spans="1:1" hidden="1" x14ac:dyDescent="0.25">
      <c r="A10" t="s">
        <v>758</v>
      </c>
    </row>
    <row r="11" spans="1:1" hidden="1" x14ac:dyDescent="0.25">
      <c r="A11" t="s">
        <v>748</v>
      </c>
    </row>
    <row r="12" spans="1:1" hidden="1" x14ac:dyDescent="0.25">
      <c r="A12" t="s">
        <v>759</v>
      </c>
    </row>
    <row r="13" spans="1:1" hidden="1" x14ac:dyDescent="0.25">
      <c r="A13" t="s">
        <v>748</v>
      </c>
    </row>
    <row r="14" spans="1:1" hidden="1" x14ac:dyDescent="0.25">
      <c r="A14" t="s">
        <v>760</v>
      </c>
    </row>
    <row r="15" spans="1:1" hidden="1" x14ac:dyDescent="0.25">
      <c r="A15" t="s">
        <v>748</v>
      </c>
    </row>
    <row r="16" spans="1:1" hidden="1" x14ac:dyDescent="0.25">
      <c r="A16" t="s">
        <v>23</v>
      </c>
    </row>
    <row r="17" spans="1:1" hidden="1" x14ac:dyDescent="0.25">
      <c r="A17" t="s">
        <v>751</v>
      </c>
    </row>
    <row r="18" spans="1:1" hidden="1" x14ac:dyDescent="0.25">
      <c r="A18" t="s">
        <v>761</v>
      </c>
    </row>
    <row r="19" spans="1:1" hidden="1" x14ac:dyDescent="0.25">
      <c r="A19" t="s">
        <v>399</v>
      </c>
    </row>
    <row r="20" spans="1:1" hidden="1" x14ac:dyDescent="0.25">
      <c r="A20" t="s">
        <v>400</v>
      </c>
    </row>
    <row r="21" spans="1:1" hidden="1" x14ac:dyDescent="0.25">
      <c r="A21" t="s">
        <v>401</v>
      </c>
    </row>
    <row r="22" spans="1:1" hidden="1" x14ac:dyDescent="0.25">
      <c r="A22" t="s">
        <v>402</v>
      </c>
    </row>
    <row r="23" spans="1:1" hidden="1" x14ac:dyDescent="0.25">
      <c r="A23" t="s">
        <v>403</v>
      </c>
    </row>
    <row r="24" spans="1:1" hidden="1" x14ac:dyDescent="0.25">
      <c r="A24" t="s">
        <v>404</v>
      </c>
    </row>
    <row r="25" spans="1:1" hidden="1" x14ac:dyDescent="0.25">
      <c r="A25" t="s">
        <v>405</v>
      </c>
    </row>
    <row r="26" spans="1:1" hidden="1" x14ac:dyDescent="0.25">
      <c r="A26" t="s">
        <v>197</v>
      </c>
    </row>
    <row r="27" spans="1:1" hidden="1" x14ac:dyDescent="0.25">
      <c r="A27" t="s">
        <v>199</v>
      </c>
    </row>
    <row r="28" spans="1:1" hidden="1" x14ac:dyDescent="0.25">
      <c r="A28" t="s">
        <v>261</v>
      </c>
    </row>
    <row r="29" spans="1:1" hidden="1" x14ac:dyDescent="0.25">
      <c r="A29" t="s">
        <v>761</v>
      </c>
    </row>
    <row r="30" spans="1:1" hidden="1" x14ac:dyDescent="0.25">
      <c r="A30" t="s">
        <v>393</v>
      </c>
    </row>
    <row r="32" spans="1:1" x14ac:dyDescent="0.25">
      <c r="A32" t="s">
        <v>406</v>
      </c>
    </row>
    <row r="33" spans="2:10" x14ac:dyDescent="0.25">
      <c r="B33" t="s">
        <v>407</v>
      </c>
      <c r="C33" t="s">
        <v>408</v>
      </c>
      <c r="D33" t="s">
        <v>409</v>
      </c>
      <c r="E33" t="s">
        <v>410</v>
      </c>
      <c r="F33" s="12">
        <v>2.5000000000000001E-2</v>
      </c>
      <c r="G33" t="s">
        <v>411</v>
      </c>
      <c r="H33" s="12">
        <v>0.97499999999999998</v>
      </c>
      <c r="I33" t="s">
        <v>412</v>
      </c>
      <c r="J33" t="s">
        <v>413</v>
      </c>
    </row>
    <row r="34" spans="2:10" x14ac:dyDescent="0.25">
      <c r="B34" t="s">
        <v>414</v>
      </c>
      <c r="C34">
        <v>1.4610000000000001</v>
      </c>
      <c r="D34">
        <v>0.58399999999999996</v>
      </c>
      <c r="E34">
        <v>1.5299999999999999E-2</v>
      </c>
      <c r="F34">
        <v>0.7863</v>
      </c>
      <c r="G34">
        <v>1.333</v>
      </c>
      <c r="H34">
        <v>2.8769999999999998</v>
      </c>
      <c r="I34">
        <v>10001</v>
      </c>
      <c r="J34">
        <v>30000</v>
      </c>
    </row>
    <row r="35" spans="2:10" x14ac:dyDescent="0.25">
      <c r="B35" t="s">
        <v>415</v>
      </c>
      <c r="C35">
        <v>0.92490000000000006</v>
      </c>
      <c r="D35">
        <v>0.6381</v>
      </c>
      <c r="E35">
        <v>1.686E-2</v>
      </c>
      <c r="F35">
        <v>0.25990000000000002</v>
      </c>
      <c r="G35">
        <v>0.76990000000000003</v>
      </c>
      <c r="H35">
        <v>2.508</v>
      </c>
      <c r="I35">
        <v>10001</v>
      </c>
      <c r="J35">
        <v>30000</v>
      </c>
    </row>
    <row r="36" spans="2:10" x14ac:dyDescent="0.25">
      <c r="B36" t="s">
        <v>416</v>
      </c>
      <c r="C36">
        <v>0.97550000000000003</v>
      </c>
      <c r="D36">
        <v>2.3580000000000001</v>
      </c>
      <c r="E36">
        <v>5.0549999999999998E-2</v>
      </c>
      <c r="F36">
        <v>2.8740000000000002E-2</v>
      </c>
      <c r="G36">
        <v>0.42020000000000002</v>
      </c>
      <c r="H36">
        <v>5.1909999999999998</v>
      </c>
      <c r="I36">
        <v>10001</v>
      </c>
      <c r="J36">
        <v>30000</v>
      </c>
    </row>
    <row r="37" spans="2:10" x14ac:dyDescent="0.25">
      <c r="B37" t="s">
        <v>417</v>
      </c>
      <c r="C37">
        <v>3.54</v>
      </c>
      <c r="D37">
        <v>12.4</v>
      </c>
      <c r="E37">
        <v>0.22470000000000001</v>
      </c>
      <c r="F37">
        <v>0.1221</v>
      </c>
      <c r="G37">
        <v>1.429</v>
      </c>
      <c r="H37">
        <v>17.36</v>
      </c>
      <c r="I37">
        <v>10001</v>
      </c>
      <c r="J37">
        <v>30000</v>
      </c>
    </row>
    <row r="38" spans="2:10" x14ac:dyDescent="0.25">
      <c r="B38" t="s">
        <v>418</v>
      </c>
      <c r="C38">
        <v>7.0499999999999993E-2</v>
      </c>
      <c r="D38">
        <v>0.24540000000000001</v>
      </c>
      <c r="E38">
        <v>5.0920000000000002E-3</v>
      </c>
      <c r="F38" s="13">
        <v>1.1739999999999999E-5</v>
      </c>
      <c r="G38">
        <v>1.495E-2</v>
      </c>
      <c r="H38">
        <v>0.4425</v>
      </c>
      <c r="I38">
        <v>10001</v>
      </c>
      <c r="J38">
        <v>30000</v>
      </c>
    </row>
    <row r="39" spans="2:10" x14ac:dyDescent="0.25">
      <c r="B39" t="s">
        <v>419</v>
      </c>
      <c r="C39">
        <v>0.4617</v>
      </c>
      <c r="D39">
        <v>0.86729999999999996</v>
      </c>
      <c r="E39">
        <v>1.158E-2</v>
      </c>
      <c r="F39">
        <v>4.5350000000000001E-2</v>
      </c>
      <c r="G39">
        <v>0.29020000000000001</v>
      </c>
      <c r="H39">
        <v>1.7989999999999999</v>
      </c>
      <c r="I39">
        <v>10001</v>
      </c>
      <c r="J39">
        <v>30000</v>
      </c>
    </row>
    <row r="40" spans="2:10" x14ac:dyDescent="0.25">
      <c r="B40" t="s">
        <v>420</v>
      </c>
      <c r="C40">
        <v>1.1319999999999999</v>
      </c>
      <c r="D40">
        <v>4.0629999999999997</v>
      </c>
      <c r="E40">
        <v>4.6530000000000002E-2</v>
      </c>
      <c r="F40">
        <v>5.1630000000000002E-2</v>
      </c>
      <c r="G40">
        <v>0.55600000000000005</v>
      </c>
      <c r="H40">
        <v>4.9790000000000001</v>
      </c>
      <c r="I40">
        <v>10001</v>
      </c>
      <c r="J40">
        <v>30000</v>
      </c>
    </row>
    <row r="41" spans="2:10" x14ac:dyDescent="0.25">
      <c r="B41" t="s">
        <v>421</v>
      </c>
      <c r="C41">
        <v>0.5645</v>
      </c>
      <c r="D41">
        <v>0.29680000000000001</v>
      </c>
      <c r="E41">
        <v>6.0850000000000001E-3</v>
      </c>
      <c r="F41">
        <v>0.21310000000000001</v>
      </c>
      <c r="G41">
        <v>0.50339999999999996</v>
      </c>
      <c r="H41">
        <v>1.31</v>
      </c>
      <c r="I41">
        <v>10001</v>
      </c>
      <c r="J41">
        <v>30000</v>
      </c>
    </row>
    <row r="42" spans="2:10" x14ac:dyDescent="0.25">
      <c r="B42" t="s">
        <v>422</v>
      </c>
      <c r="C42">
        <v>2.577</v>
      </c>
      <c r="D42">
        <v>1.3520000000000001</v>
      </c>
      <c r="E42">
        <v>3.0280000000000001E-2</v>
      </c>
      <c r="F42">
        <v>0.99229999999999996</v>
      </c>
      <c r="G42">
        <v>2.3069999999999999</v>
      </c>
      <c r="H42">
        <v>5.9320000000000004</v>
      </c>
      <c r="I42">
        <v>10001</v>
      </c>
      <c r="J42">
        <v>30000</v>
      </c>
    </row>
    <row r="43" spans="2:10" x14ac:dyDescent="0.25">
      <c r="B43" t="s">
        <v>423</v>
      </c>
      <c r="C43">
        <v>0.65869999999999995</v>
      </c>
      <c r="D43">
        <v>0.3906</v>
      </c>
      <c r="E43">
        <v>1.09E-2</v>
      </c>
      <c r="F43">
        <v>0.19259999999999999</v>
      </c>
      <c r="G43">
        <v>0.57079999999999997</v>
      </c>
      <c r="H43">
        <v>1.6639999999999999</v>
      </c>
      <c r="I43">
        <v>10001</v>
      </c>
      <c r="J43">
        <v>30000</v>
      </c>
    </row>
    <row r="44" spans="2:10" x14ac:dyDescent="0.25">
      <c r="B44" t="s">
        <v>424</v>
      </c>
      <c r="C44">
        <v>0.70269999999999999</v>
      </c>
      <c r="D44">
        <v>1.6910000000000001</v>
      </c>
      <c r="E44">
        <v>3.8850000000000003E-2</v>
      </c>
      <c r="F44">
        <v>2.102E-2</v>
      </c>
      <c r="G44">
        <v>0.30099999999999999</v>
      </c>
      <c r="H44">
        <v>3.637</v>
      </c>
      <c r="I44">
        <v>10001</v>
      </c>
      <c r="J44">
        <v>30000</v>
      </c>
    </row>
    <row r="45" spans="2:10" x14ac:dyDescent="0.25">
      <c r="B45" t="s">
        <v>425</v>
      </c>
      <c r="C45">
        <v>2.3140000000000001</v>
      </c>
      <c r="D45">
        <v>6.1139999999999999</v>
      </c>
      <c r="E45">
        <v>0.11849999999999999</v>
      </c>
      <c r="F45">
        <v>9.325E-2</v>
      </c>
      <c r="G45">
        <v>1.08</v>
      </c>
      <c r="H45">
        <v>10.9</v>
      </c>
      <c r="I45">
        <v>10001</v>
      </c>
      <c r="J45">
        <v>30000</v>
      </c>
    </row>
    <row r="46" spans="2:10" x14ac:dyDescent="0.25">
      <c r="B46" t="s">
        <v>426</v>
      </c>
      <c r="C46">
        <v>4.9099999999999998E-2</v>
      </c>
      <c r="D46">
        <v>0.15140000000000001</v>
      </c>
      <c r="E46">
        <v>3.6679999999999998E-3</v>
      </c>
      <c r="F46" s="13">
        <v>8.8459999999999997E-6</v>
      </c>
      <c r="G46">
        <v>1.069E-2</v>
      </c>
      <c r="H46">
        <v>0.33389999999999997</v>
      </c>
      <c r="I46">
        <v>10001</v>
      </c>
      <c r="J46">
        <v>30000</v>
      </c>
    </row>
    <row r="47" spans="2:10" x14ac:dyDescent="0.25">
      <c r="B47" t="s">
        <v>427</v>
      </c>
      <c r="C47">
        <v>0.3075</v>
      </c>
      <c r="D47">
        <v>0.3911</v>
      </c>
      <c r="E47">
        <v>5.8170000000000001E-3</v>
      </c>
      <c r="F47">
        <v>3.44E-2</v>
      </c>
      <c r="G47">
        <v>0.21579999999999999</v>
      </c>
      <c r="H47">
        <v>1.071</v>
      </c>
      <c r="I47">
        <v>10001</v>
      </c>
      <c r="J47">
        <v>30000</v>
      </c>
    </row>
    <row r="48" spans="2:10" x14ac:dyDescent="0.25">
      <c r="B48" t="s">
        <v>428</v>
      </c>
      <c r="C48">
        <v>0.72929999999999995</v>
      </c>
      <c r="D48">
        <v>1.6</v>
      </c>
      <c r="E48">
        <v>2.3269999999999999E-2</v>
      </c>
      <c r="F48">
        <v>3.984E-2</v>
      </c>
      <c r="G48">
        <v>0.41749999999999998</v>
      </c>
      <c r="H48">
        <v>3.1480000000000001</v>
      </c>
      <c r="I48">
        <v>10001</v>
      </c>
      <c r="J48">
        <v>30000</v>
      </c>
    </row>
    <row r="49" spans="2:10" x14ac:dyDescent="0.25">
      <c r="B49" t="s">
        <v>429</v>
      </c>
      <c r="C49">
        <v>0.41260000000000002</v>
      </c>
      <c r="D49">
        <v>0.21360000000000001</v>
      </c>
      <c r="E49">
        <v>4.4939999999999997E-3</v>
      </c>
      <c r="F49">
        <v>0.13669999999999999</v>
      </c>
      <c r="G49">
        <v>0.37040000000000001</v>
      </c>
      <c r="H49">
        <v>0.92490000000000006</v>
      </c>
      <c r="I49">
        <v>10001</v>
      </c>
      <c r="J49">
        <v>30000</v>
      </c>
    </row>
    <row r="50" spans="2:10" x14ac:dyDescent="0.25">
      <c r="B50" t="s">
        <v>430</v>
      </c>
      <c r="C50">
        <v>1.871</v>
      </c>
      <c r="D50">
        <v>0.91249999999999998</v>
      </c>
      <c r="E50">
        <v>2.0150000000000001E-2</v>
      </c>
      <c r="F50">
        <v>0.65749999999999997</v>
      </c>
      <c r="G50">
        <v>1.6890000000000001</v>
      </c>
      <c r="H50">
        <v>4.101</v>
      </c>
      <c r="I50">
        <v>10001</v>
      </c>
      <c r="J50">
        <v>30000</v>
      </c>
    </row>
    <row r="51" spans="2:10" x14ac:dyDescent="0.25">
      <c r="B51" t="s">
        <v>431</v>
      </c>
      <c r="C51">
        <v>1.105</v>
      </c>
      <c r="D51">
        <v>2.0449999999999999</v>
      </c>
      <c r="E51">
        <v>5.3010000000000002E-2</v>
      </c>
      <c r="F51">
        <v>4.0649999999999999E-2</v>
      </c>
      <c r="G51">
        <v>0.55710000000000004</v>
      </c>
      <c r="H51">
        <v>5.5010000000000003</v>
      </c>
      <c r="I51">
        <v>10001</v>
      </c>
      <c r="J51">
        <v>30000</v>
      </c>
    </row>
    <row r="52" spans="2:10" x14ac:dyDescent="0.25">
      <c r="B52" t="s">
        <v>432</v>
      </c>
      <c r="C52">
        <v>4.7389999999999999</v>
      </c>
      <c r="D52">
        <v>19.03</v>
      </c>
      <c r="E52">
        <v>0.26779999999999998</v>
      </c>
      <c r="F52">
        <v>0.13170000000000001</v>
      </c>
      <c r="G52">
        <v>1.8620000000000001</v>
      </c>
      <c r="H52">
        <v>25.36</v>
      </c>
      <c r="I52">
        <v>10001</v>
      </c>
      <c r="J52">
        <v>30000</v>
      </c>
    </row>
    <row r="53" spans="2:10" x14ac:dyDescent="0.25">
      <c r="B53" t="s">
        <v>433</v>
      </c>
      <c r="C53">
        <v>7.2959999999999997E-2</v>
      </c>
      <c r="D53">
        <v>0.17449999999999999</v>
      </c>
      <c r="E53">
        <v>4.1289999999999999E-3</v>
      </c>
      <c r="F53" s="13">
        <v>1.4620000000000001E-5</v>
      </c>
      <c r="G53">
        <v>2.0820000000000002E-2</v>
      </c>
      <c r="H53">
        <v>0.4708</v>
      </c>
      <c r="I53">
        <v>10001</v>
      </c>
      <c r="J53">
        <v>30000</v>
      </c>
    </row>
    <row r="54" spans="2:10" x14ac:dyDescent="0.25">
      <c r="B54" t="s">
        <v>434</v>
      </c>
      <c r="C54">
        <v>0.63319999999999999</v>
      </c>
      <c r="D54">
        <v>1.089</v>
      </c>
      <c r="E54">
        <v>1.6969999999999999E-2</v>
      </c>
      <c r="F54">
        <v>4.4749999999999998E-2</v>
      </c>
      <c r="G54">
        <v>0.37530000000000002</v>
      </c>
      <c r="H54">
        <v>2.593</v>
      </c>
      <c r="I54">
        <v>10001</v>
      </c>
      <c r="J54">
        <v>30000</v>
      </c>
    </row>
    <row r="55" spans="2:10" x14ac:dyDescent="0.25">
      <c r="B55" t="s">
        <v>435</v>
      </c>
      <c r="C55">
        <v>1.508</v>
      </c>
      <c r="D55">
        <v>3.8519999999999999</v>
      </c>
      <c r="E55">
        <v>5.9760000000000001E-2</v>
      </c>
      <c r="F55">
        <v>4.8640000000000003E-2</v>
      </c>
      <c r="G55">
        <v>0.74829999999999997</v>
      </c>
      <c r="H55">
        <v>7.1040000000000001</v>
      </c>
      <c r="I55">
        <v>10001</v>
      </c>
      <c r="J55">
        <v>30000</v>
      </c>
    </row>
    <row r="56" spans="2:10" x14ac:dyDescent="0.25">
      <c r="B56" t="s">
        <v>436</v>
      </c>
      <c r="C56">
        <v>0.75029999999999997</v>
      </c>
      <c r="D56">
        <v>0.45440000000000003</v>
      </c>
      <c r="E56">
        <v>1.2290000000000001E-2</v>
      </c>
      <c r="F56">
        <v>0.21390000000000001</v>
      </c>
      <c r="G56">
        <v>0.64759999999999995</v>
      </c>
      <c r="H56">
        <v>1.899</v>
      </c>
      <c r="I56">
        <v>10001</v>
      </c>
      <c r="J56">
        <v>30000</v>
      </c>
    </row>
    <row r="57" spans="2:10" x14ac:dyDescent="0.25">
      <c r="B57" t="s">
        <v>437</v>
      </c>
      <c r="C57">
        <v>3.5430000000000001</v>
      </c>
      <c r="D57">
        <v>2.39</v>
      </c>
      <c r="E57">
        <v>6.855E-2</v>
      </c>
      <c r="F57">
        <v>0.90549999999999997</v>
      </c>
      <c r="G57">
        <v>2.956</v>
      </c>
      <c r="H57">
        <v>9.8409999999999993</v>
      </c>
      <c r="I57">
        <v>10001</v>
      </c>
      <c r="J57">
        <v>30000</v>
      </c>
    </row>
    <row r="58" spans="2:10" x14ac:dyDescent="0.25">
      <c r="B58" t="s">
        <v>438</v>
      </c>
      <c r="C58">
        <v>23.49</v>
      </c>
      <c r="D58">
        <v>204.7</v>
      </c>
      <c r="E58">
        <v>4.7590000000000003</v>
      </c>
      <c r="F58">
        <v>0.1069</v>
      </c>
      <c r="G58">
        <v>3.2370000000000001</v>
      </c>
      <c r="H58">
        <v>115.9</v>
      </c>
      <c r="I58">
        <v>10001</v>
      </c>
      <c r="J58">
        <v>30000</v>
      </c>
    </row>
    <row r="59" spans="2:10" x14ac:dyDescent="0.25">
      <c r="B59" t="s">
        <v>439</v>
      </c>
      <c r="C59">
        <v>0.50239999999999996</v>
      </c>
      <c r="D59">
        <v>9.8800000000000008</v>
      </c>
      <c r="E59">
        <v>0.12770000000000001</v>
      </c>
      <c r="F59" s="13">
        <v>1.7649999999999999E-5</v>
      </c>
      <c r="G59">
        <v>3.499E-2</v>
      </c>
      <c r="H59">
        <v>2.952</v>
      </c>
      <c r="I59">
        <v>10001</v>
      </c>
      <c r="J59">
        <v>30000</v>
      </c>
    </row>
    <row r="60" spans="2:10" x14ac:dyDescent="0.25">
      <c r="B60" t="s">
        <v>440</v>
      </c>
      <c r="C60">
        <v>3.2429999999999999</v>
      </c>
      <c r="D60">
        <v>30.24</v>
      </c>
      <c r="E60">
        <v>0.39140000000000003</v>
      </c>
      <c r="F60">
        <v>3.1850000000000003E-2</v>
      </c>
      <c r="G60">
        <v>0.70699999999999996</v>
      </c>
      <c r="H60">
        <v>16.93</v>
      </c>
      <c r="I60">
        <v>10001</v>
      </c>
      <c r="J60">
        <v>30000</v>
      </c>
    </row>
    <row r="61" spans="2:10" x14ac:dyDescent="0.25">
      <c r="B61" t="s">
        <v>441</v>
      </c>
      <c r="C61">
        <v>7.3470000000000004</v>
      </c>
      <c r="D61">
        <v>66.23</v>
      </c>
      <c r="E61">
        <v>0.75190000000000001</v>
      </c>
      <c r="F61">
        <v>4.376E-2</v>
      </c>
      <c r="G61">
        <v>1.397</v>
      </c>
      <c r="H61">
        <v>42.67</v>
      </c>
      <c r="I61">
        <v>10001</v>
      </c>
      <c r="J61">
        <v>30000</v>
      </c>
    </row>
    <row r="62" spans="2:10" x14ac:dyDescent="0.25">
      <c r="B62" t="s">
        <v>442</v>
      </c>
      <c r="C62">
        <v>3.5910000000000002</v>
      </c>
      <c r="D62">
        <v>41.35</v>
      </c>
      <c r="E62">
        <v>0.42459999999999998</v>
      </c>
      <c r="F62">
        <v>9.7699999999999995E-2</v>
      </c>
      <c r="G62">
        <v>1.155</v>
      </c>
      <c r="H62">
        <v>18.05</v>
      </c>
      <c r="I62">
        <v>10001</v>
      </c>
      <c r="J62">
        <v>30000</v>
      </c>
    </row>
    <row r="63" spans="2:10" x14ac:dyDescent="0.25">
      <c r="B63" t="s">
        <v>443</v>
      </c>
      <c r="C63">
        <v>16.62</v>
      </c>
      <c r="D63">
        <v>117.1</v>
      </c>
      <c r="E63">
        <v>1.645</v>
      </c>
      <c r="F63">
        <v>0.40139999999999998</v>
      </c>
      <c r="G63">
        <v>5.476</v>
      </c>
      <c r="H63">
        <v>84.75</v>
      </c>
      <c r="I63">
        <v>10001</v>
      </c>
      <c r="J63">
        <v>30000</v>
      </c>
    </row>
    <row r="64" spans="2:10" x14ac:dyDescent="0.25">
      <c r="B64" t="s">
        <v>444</v>
      </c>
      <c r="C64">
        <v>0.109</v>
      </c>
      <c r="D64">
        <v>1.167</v>
      </c>
      <c r="E64">
        <v>1.145E-2</v>
      </c>
      <c r="F64" s="13">
        <v>8.9150000000000002E-6</v>
      </c>
      <c r="G64">
        <v>9.2029999999999994E-3</v>
      </c>
      <c r="H64">
        <v>0.61360000000000003</v>
      </c>
      <c r="I64">
        <v>10001</v>
      </c>
      <c r="J64">
        <v>30000</v>
      </c>
    </row>
    <row r="65" spans="2:10" x14ac:dyDescent="0.25">
      <c r="B65" t="s">
        <v>445</v>
      </c>
      <c r="C65">
        <v>0.70379999999999998</v>
      </c>
      <c r="D65">
        <v>4.4359999999999999</v>
      </c>
      <c r="E65">
        <v>3.95E-2</v>
      </c>
      <c r="F65">
        <v>1.0500000000000001E-2</v>
      </c>
      <c r="G65">
        <v>0.1988</v>
      </c>
      <c r="H65">
        <v>4.0860000000000003</v>
      </c>
      <c r="I65">
        <v>10001</v>
      </c>
      <c r="J65">
        <v>30000</v>
      </c>
    </row>
    <row r="66" spans="2:10" x14ac:dyDescent="0.25">
      <c r="B66" t="s">
        <v>446</v>
      </c>
      <c r="C66">
        <v>1.6559999999999999</v>
      </c>
      <c r="D66">
        <v>15.89</v>
      </c>
      <c r="E66">
        <v>0.13270000000000001</v>
      </c>
      <c r="F66">
        <v>1.2019999999999999E-2</v>
      </c>
      <c r="G66">
        <v>0.3962</v>
      </c>
      <c r="H66">
        <v>9.218</v>
      </c>
      <c r="I66">
        <v>10001</v>
      </c>
      <c r="J66">
        <v>30000</v>
      </c>
    </row>
    <row r="67" spans="2:10" x14ac:dyDescent="0.25">
      <c r="B67" t="s">
        <v>447</v>
      </c>
      <c r="C67">
        <v>0.86509999999999998</v>
      </c>
      <c r="D67">
        <v>2.605</v>
      </c>
      <c r="E67">
        <v>3.9289999999999999E-2</v>
      </c>
      <c r="F67">
        <v>2.75E-2</v>
      </c>
      <c r="G67">
        <v>0.34789999999999999</v>
      </c>
      <c r="H67">
        <v>4.7720000000000002</v>
      </c>
      <c r="I67">
        <v>10001</v>
      </c>
      <c r="J67">
        <v>30000</v>
      </c>
    </row>
    <row r="68" spans="2:10" x14ac:dyDescent="0.25">
      <c r="B68" t="s">
        <v>448</v>
      </c>
      <c r="C68">
        <v>3.9</v>
      </c>
      <c r="D68">
        <v>10.63</v>
      </c>
      <c r="E68">
        <v>0.1731</v>
      </c>
      <c r="F68">
        <v>0.12959999999999999</v>
      </c>
      <c r="G68">
        <v>1.6080000000000001</v>
      </c>
      <c r="H68">
        <v>21.86</v>
      </c>
      <c r="I68">
        <v>10001</v>
      </c>
      <c r="J68">
        <v>30000</v>
      </c>
    </row>
    <row r="69" spans="2:10" x14ac:dyDescent="0.25">
      <c r="B69" t="s">
        <v>449</v>
      </c>
      <c r="C69">
        <v>34420</v>
      </c>
      <c r="D69" s="13">
        <v>1798000</v>
      </c>
      <c r="E69">
        <v>28210</v>
      </c>
      <c r="F69">
        <v>0.38500000000000001</v>
      </c>
      <c r="G69">
        <v>21.07</v>
      </c>
      <c r="H69">
        <v>33620</v>
      </c>
      <c r="I69">
        <v>10001</v>
      </c>
      <c r="J69">
        <v>30000</v>
      </c>
    </row>
    <row r="70" spans="2:10" x14ac:dyDescent="0.25">
      <c r="B70" t="s">
        <v>450</v>
      </c>
      <c r="C70">
        <v>42270</v>
      </c>
      <c r="D70" s="13">
        <v>3149000</v>
      </c>
      <c r="E70">
        <v>30650</v>
      </c>
      <c r="F70">
        <v>0.54710000000000003</v>
      </c>
      <c r="G70">
        <v>41.44</v>
      </c>
      <c r="H70">
        <v>57870</v>
      </c>
      <c r="I70">
        <v>10001</v>
      </c>
      <c r="J70">
        <v>30000</v>
      </c>
    </row>
    <row r="71" spans="2:10" x14ac:dyDescent="0.25">
      <c r="B71" t="s">
        <v>451</v>
      </c>
      <c r="C71">
        <v>35520</v>
      </c>
      <c r="D71" s="13">
        <v>1929000</v>
      </c>
      <c r="E71">
        <v>26850</v>
      </c>
      <c r="F71">
        <v>1.1459999999999999</v>
      </c>
      <c r="G71">
        <v>33.92</v>
      </c>
      <c r="H71">
        <v>42200</v>
      </c>
      <c r="I71">
        <v>10001</v>
      </c>
      <c r="J71">
        <v>30000</v>
      </c>
    </row>
    <row r="72" spans="2:10" x14ac:dyDescent="0.25">
      <c r="B72" t="s">
        <v>452</v>
      </c>
      <c r="C72">
        <v>195500</v>
      </c>
      <c r="D72" s="13">
        <v>11810000</v>
      </c>
      <c r="E72">
        <v>152600</v>
      </c>
      <c r="F72">
        <v>4.1139999999999999</v>
      </c>
      <c r="G72">
        <v>159</v>
      </c>
      <c r="H72">
        <v>189900</v>
      </c>
      <c r="I72">
        <v>10001</v>
      </c>
      <c r="J72">
        <v>30000</v>
      </c>
    </row>
    <row r="73" spans="2:10" x14ac:dyDescent="0.25">
      <c r="B73" t="s">
        <v>453</v>
      </c>
      <c r="C73">
        <v>5.4909999999999997</v>
      </c>
      <c r="D73">
        <v>23.45</v>
      </c>
      <c r="E73">
        <v>0.2792</v>
      </c>
      <c r="F73">
        <v>0.12920000000000001</v>
      </c>
      <c r="G73">
        <v>1.8640000000000001</v>
      </c>
      <c r="H73">
        <v>31.63</v>
      </c>
      <c r="I73">
        <v>10001</v>
      </c>
      <c r="J73">
        <v>30000</v>
      </c>
    </row>
    <row r="74" spans="2:10" x14ac:dyDescent="0.25">
      <c r="B74" t="s">
        <v>454</v>
      </c>
      <c r="C74">
        <v>2.9769999999999999</v>
      </c>
      <c r="D74">
        <v>5.7960000000000003</v>
      </c>
      <c r="E74">
        <v>0.1031</v>
      </c>
      <c r="F74">
        <v>0.26</v>
      </c>
      <c r="G74">
        <v>1.75</v>
      </c>
      <c r="H74">
        <v>12.67</v>
      </c>
      <c r="I74">
        <v>10001</v>
      </c>
      <c r="J74">
        <v>30000</v>
      </c>
    </row>
    <row r="75" spans="2:10" x14ac:dyDescent="0.25">
      <c r="B75" t="s">
        <v>455</v>
      </c>
      <c r="C75">
        <v>13.45</v>
      </c>
      <c r="D75">
        <v>22.66</v>
      </c>
      <c r="E75">
        <v>0.39250000000000002</v>
      </c>
      <c r="F75">
        <v>1.218</v>
      </c>
      <c r="G75">
        <v>7.9740000000000002</v>
      </c>
      <c r="H75">
        <v>58.2</v>
      </c>
      <c r="I75">
        <v>10001</v>
      </c>
      <c r="J75">
        <v>30000</v>
      </c>
    </row>
    <row r="76" spans="2:10" x14ac:dyDescent="0.25">
      <c r="B76" t="s">
        <v>456</v>
      </c>
      <c r="C76">
        <v>2.0750000000000002</v>
      </c>
      <c r="D76">
        <v>5.9370000000000003</v>
      </c>
      <c r="E76">
        <v>0.1208</v>
      </c>
      <c r="F76">
        <v>9.1859999999999997E-2</v>
      </c>
      <c r="G76">
        <v>0.89149999999999996</v>
      </c>
      <c r="H76">
        <v>11.48</v>
      </c>
      <c r="I76">
        <v>10001</v>
      </c>
      <c r="J76">
        <v>30000</v>
      </c>
    </row>
    <row r="77" spans="2:10" x14ac:dyDescent="0.25">
      <c r="B77" t="s">
        <v>457</v>
      </c>
      <c r="C77">
        <v>9.3330000000000002</v>
      </c>
      <c r="D77">
        <v>27.1</v>
      </c>
      <c r="E77">
        <v>0.5544</v>
      </c>
      <c r="F77">
        <v>0.43780000000000002</v>
      </c>
      <c r="G77">
        <v>4.1180000000000003</v>
      </c>
      <c r="H77">
        <v>51.06</v>
      </c>
      <c r="I77">
        <v>10001</v>
      </c>
      <c r="J77">
        <v>30000</v>
      </c>
    </row>
    <row r="78" spans="2:10" x14ac:dyDescent="0.25">
      <c r="B78" t="s">
        <v>458</v>
      </c>
      <c r="C78">
        <v>4.9850000000000003</v>
      </c>
      <c r="D78">
        <v>2.2559999999999998</v>
      </c>
      <c r="E78">
        <v>5.126E-2</v>
      </c>
      <c r="F78">
        <v>2.097</v>
      </c>
      <c r="G78">
        <v>4.5270000000000001</v>
      </c>
      <c r="H78">
        <v>10.47</v>
      </c>
      <c r="I78">
        <v>10001</v>
      </c>
      <c r="J78">
        <v>30000</v>
      </c>
    </row>
    <row r="79" spans="2:10" x14ac:dyDescent="0.25">
      <c r="B79" t="s">
        <v>459</v>
      </c>
      <c r="C79">
        <v>0.38500000000000001</v>
      </c>
      <c r="D79">
        <v>0.14369999999999999</v>
      </c>
      <c r="E79">
        <v>4.2709999999999996E-3</v>
      </c>
      <c r="F79">
        <v>0.1111</v>
      </c>
      <c r="G79">
        <v>0.33329999999999999</v>
      </c>
      <c r="H79">
        <v>0.66669999999999996</v>
      </c>
      <c r="I79">
        <v>10001</v>
      </c>
      <c r="J79">
        <v>30000</v>
      </c>
    </row>
    <row r="80" spans="2:10" x14ac:dyDescent="0.25">
      <c r="B80" t="s">
        <v>460</v>
      </c>
      <c r="C80">
        <v>0.23530000000000001</v>
      </c>
      <c r="D80">
        <v>0.1193</v>
      </c>
      <c r="E80">
        <v>3.1389999999999999E-3</v>
      </c>
      <c r="F80">
        <v>0</v>
      </c>
      <c r="G80">
        <v>0.22220000000000001</v>
      </c>
      <c r="H80">
        <v>0.55559999999999998</v>
      </c>
      <c r="I80">
        <v>10001</v>
      </c>
      <c r="J80">
        <v>30000</v>
      </c>
    </row>
    <row r="81" spans="2:10" x14ac:dyDescent="0.25">
      <c r="B81" t="s">
        <v>461</v>
      </c>
      <c r="C81">
        <v>0.47560000000000002</v>
      </c>
      <c r="D81">
        <v>0.17929999999999999</v>
      </c>
      <c r="E81">
        <v>5.019E-3</v>
      </c>
      <c r="F81">
        <v>0.1111</v>
      </c>
      <c r="G81">
        <v>0.44440000000000002</v>
      </c>
      <c r="H81">
        <v>0.77780000000000005</v>
      </c>
      <c r="I81">
        <v>10001</v>
      </c>
      <c r="J81">
        <v>30000</v>
      </c>
    </row>
    <row r="82" spans="2:10" x14ac:dyDescent="0.25">
      <c r="B82" t="s">
        <v>462</v>
      </c>
      <c r="C82">
        <v>0.61750000000000005</v>
      </c>
      <c r="D82">
        <v>0.29370000000000002</v>
      </c>
      <c r="E82">
        <v>1.065E-2</v>
      </c>
      <c r="F82">
        <v>0</v>
      </c>
      <c r="G82">
        <v>0.66669999999999996</v>
      </c>
      <c r="H82">
        <v>1</v>
      </c>
      <c r="I82">
        <v>10001</v>
      </c>
      <c r="J82">
        <v>30000</v>
      </c>
    </row>
    <row r="83" spans="2:10" x14ac:dyDescent="0.25">
      <c r="B83" t="s">
        <v>463</v>
      </c>
      <c r="C83">
        <v>0.29630000000000001</v>
      </c>
      <c r="D83">
        <v>0.29949999999999999</v>
      </c>
      <c r="E83">
        <v>9.1249999999999994E-3</v>
      </c>
      <c r="F83">
        <v>0</v>
      </c>
      <c r="G83">
        <v>0.22220000000000001</v>
      </c>
      <c r="H83">
        <v>0.88890000000000002</v>
      </c>
      <c r="I83">
        <v>10001</v>
      </c>
      <c r="J83">
        <v>30000</v>
      </c>
    </row>
    <row r="84" spans="2:10" x14ac:dyDescent="0.25">
      <c r="B84" t="s">
        <v>464</v>
      </c>
      <c r="C84">
        <v>0.97389999999999999</v>
      </c>
      <c r="D84">
        <v>8.634E-2</v>
      </c>
      <c r="E84">
        <v>2.5309999999999998E-3</v>
      </c>
      <c r="F84">
        <v>0.66669999999999996</v>
      </c>
      <c r="G84">
        <v>1</v>
      </c>
      <c r="H84">
        <v>1</v>
      </c>
      <c r="I84">
        <v>10001</v>
      </c>
      <c r="J84">
        <v>30000</v>
      </c>
    </row>
    <row r="85" spans="2:10" x14ac:dyDescent="0.25">
      <c r="B85" t="s">
        <v>465</v>
      </c>
      <c r="C85">
        <v>0.73709999999999998</v>
      </c>
      <c r="D85">
        <v>0.19409999999999999</v>
      </c>
      <c r="E85">
        <v>4.4609999999999997E-3</v>
      </c>
      <c r="F85">
        <v>0.22220000000000001</v>
      </c>
      <c r="G85">
        <v>0.77780000000000005</v>
      </c>
      <c r="H85">
        <v>1</v>
      </c>
      <c r="I85">
        <v>10001</v>
      </c>
      <c r="J85">
        <v>30000</v>
      </c>
    </row>
    <row r="86" spans="2:10" x14ac:dyDescent="0.25">
      <c r="B86" t="s">
        <v>466</v>
      </c>
      <c r="C86">
        <v>0.55159999999999998</v>
      </c>
      <c r="D86">
        <v>0.2863</v>
      </c>
      <c r="E86">
        <v>8.2590000000000007E-3</v>
      </c>
      <c r="F86">
        <v>0</v>
      </c>
      <c r="G86">
        <v>0.55559999999999998</v>
      </c>
      <c r="H86">
        <v>0.88890000000000002</v>
      </c>
      <c r="I86">
        <v>10001</v>
      </c>
      <c r="J86">
        <v>30000</v>
      </c>
    </row>
    <row r="87" spans="2:10" x14ac:dyDescent="0.25">
      <c r="B87" t="s">
        <v>467</v>
      </c>
      <c r="C87">
        <v>0.64280000000000004</v>
      </c>
      <c r="D87">
        <v>0.1449</v>
      </c>
      <c r="E87">
        <v>3.5400000000000002E-3</v>
      </c>
      <c r="F87">
        <v>0.33329999999999999</v>
      </c>
      <c r="G87">
        <v>0.66669999999999996</v>
      </c>
      <c r="H87">
        <v>0.88890000000000002</v>
      </c>
      <c r="I87">
        <v>10001</v>
      </c>
      <c r="J87">
        <v>30000</v>
      </c>
    </row>
    <row r="88" spans="2:10" x14ac:dyDescent="0.25">
      <c r="B88" t="s">
        <v>468</v>
      </c>
      <c r="C88">
        <v>8.4849999999999995E-2</v>
      </c>
      <c r="D88">
        <v>0.1095</v>
      </c>
      <c r="E88">
        <v>2.8800000000000002E-3</v>
      </c>
      <c r="F88">
        <v>0</v>
      </c>
      <c r="G88">
        <v>0.1111</v>
      </c>
      <c r="H88">
        <v>0.33329999999999999</v>
      </c>
      <c r="I88">
        <v>10001</v>
      </c>
      <c r="J88">
        <v>30000</v>
      </c>
    </row>
    <row r="89" spans="2:10" x14ac:dyDescent="0.25">
      <c r="B89" t="s">
        <v>469</v>
      </c>
      <c r="C89" s="13">
        <v>1.6670000000000001E-4</v>
      </c>
      <c r="D89">
        <v>1.291E-2</v>
      </c>
      <c r="E89" s="13">
        <v>8.8109999999999995E-5</v>
      </c>
      <c r="F89">
        <v>0</v>
      </c>
      <c r="G89">
        <v>0</v>
      </c>
      <c r="H89">
        <v>0</v>
      </c>
      <c r="I89">
        <v>10001</v>
      </c>
      <c r="J89">
        <v>30000</v>
      </c>
    </row>
    <row r="90" spans="2:10" x14ac:dyDescent="0.25">
      <c r="B90" t="s">
        <v>470</v>
      </c>
      <c r="C90">
        <v>0</v>
      </c>
      <c r="D90">
        <v>0</v>
      </c>
      <c r="E90" s="13">
        <v>3.333E-13</v>
      </c>
      <c r="F90">
        <v>0</v>
      </c>
      <c r="G90">
        <v>0</v>
      </c>
      <c r="H90">
        <v>0</v>
      </c>
      <c r="I90">
        <v>10001</v>
      </c>
      <c r="J90">
        <v>30000</v>
      </c>
    </row>
    <row r="91" spans="2:10" x14ac:dyDescent="0.25">
      <c r="B91" t="s">
        <v>471</v>
      </c>
      <c r="C91" s="13">
        <v>1.3329999999999999E-4</v>
      </c>
      <c r="D91">
        <v>1.155E-2</v>
      </c>
      <c r="E91" s="13">
        <v>8.1699999999999994E-5</v>
      </c>
      <c r="F91">
        <v>0</v>
      </c>
      <c r="G91">
        <v>0</v>
      </c>
      <c r="H91">
        <v>0</v>
      </c>
      <c r="I91">
        <v>10001</v>
      </c>
      <c r="J91">
        <v>30000</v>
      </c>
    </row>
    <row r="92" spans="2:10" x14ac:dyDescent="0.25">
      <c r="B92" t="s">
        <v>472</v>
      </c>
      <c r="C92">
        <v>5.0700000000000002E-2</v>
      </c>
      <c r="D92">
        <v>0.21940000000000001</v>
      </c>
      <c r="E92">
        <v>6.842E-3</v>
      </c>
      <c r="F92">
        <v>0</v>
      </c>
      <c r="G92">
        <v>0</v>
      </c>
      <c r="H92">
        <v>1</v>
      </c>
      <c r="I92">
        <v>10001</v>
      </c>
      <c r="J92">
        <v>30000</v>
      </c>
    </row>
    <row r="93" spans="2:10" x14ac:dyDescent="0.25">
      <c r="B93" t="s">
        <v>473</v>
      </c>
      <c r="C93">
        <v>6.1000000000000004E-3</v>
      </c>
      <c r="D93">
        <v>7.7859999999999999E-2</v>
      </c>
      <c r="E93">
        <v>1.0579999999999999E-3</v>
      </c>
      <c r="F93">
        <v>0</v>
      </c>
      <c r="G93">
        <v>0</v>
      </c>
      <c r="H93">
        <v>0</v>
      </c>
      <c r="I93">
        <v>10001</v>
      </c>
      <c r="J93">
        <v>30000</v>
      </c>
    </row>
    <row r="94" spans="2:10" x14ac:dyDescent="0.25">
      <c r="B94" t="s">
        <v>474</v>
      </c>
      <c r="C94">
        <v>0.87280000000000002</v>
      </c>
      <c r="D94">
        <v>0.3332</v>
      </c>
      <c r="E94">
        <v>9.2630000000000004E-3</v>
      </c>
      <c r="F94">
        <v>0</v>
      </c>
      <c r="G94">
        <v>1</v>
      </c>
      <c r="H94">
        <v>1</v>
      </c>
      <c r="I94">
        <v>10001</v>
      </c>
      <c r="J94">
        <v>30000</v>
      </c>
    </row>
    <row r="95" spans="2:10" x14ac:dyDescent="0.25">
      <c r="B95" t="s">
        <v>475</v>
      </c>
      <c r="C95">
        <v>4.7070000000000001E-2</v>
      </c>
      <c r="D95">
        <v>0.21179999999999999</v>
      </c>
      <c r="E95">
        <v>4.6899999999999997E-3</v>
      </c>
      <c r="F95">
        <v>0</v>
      </c>
      <c r="G95">
        <v>0</v>
      </c>
      <c r="H95">
        <v>1</v>
      </c>
      <c r="I95">
        <v>10001</v>
      </c>
      <c r="J95">
        <v>30000</v>
      </c>
    </row>
    <row r="96" spans="2:10" x14ac:dyDescent="0.25">
      <c r="B96" t="s">
        <v>476</v>
      </c>
      <c r="C96">
        <v>2.103E-2</v>
      </c>
      <c r="D96">
        <v>0.14349999999999999</v>
      </c>
      <c r="E96">
        <v>2.5690000000000001E-3</v>
      </c>
      <c r="F96">
        <v>0</v>
      </c>
      <c r="G96">
        <v>0</v>
      </c>
      <c r="H96">
        <v>0</v>
      </c>
      <c r="I96">
        <v>10001</v>
      </c>
      <c r="J96">
        <v>30000</v>
      </c>
    </row>
    <row r="97" spans="2:10" x14ac:dyDescent="0.25">
      <c r="B97" t="s">
        <v>477</v>
      </c>
      <c r="C97">
        <v>2E-3</v>
      </c>
      <c r="D97">
        <v>4.4679999999999997E-2</v>
      </c>
      <c r="E97" s="13">
        <v>3.143E-4</v>
      </c>
      <c r="F97">
        <v>0</v>
      </c>
      <c r="G97">
        <v>0</v>
      </c>
      <c r="H97">
        <v>0</v>
      </c>
      <c r="I97">
        <v>10001</v>
      </c>
      <c r="J97">
        <v>30000</v>
      </c>
    </row>
    <row r="98" spans="2:10" x14ac:dyDescent="0.25">
      <c r="B98" t="s">
        <v>478</v>
      </c>
      <c r="C98">
        <v>0</v>
      </c>
      <c r="D98">
        <v>0</v>
      </c>
      <c r="E98" s="13">
        <v>3.333E-13</v>
      </c>
      <c r="F98">
        <v>0</v>
      </c>
      <c r="G98">
        <v>0</v>
      </c>
      <c r="H98">
        <v>0</v>
      </c>
      <c r="I98">
        <v>10001</v>
      </c>
      <c r="J98">
        <v>30000</v>
      </c>
    </row>
    <row r="99" spans="2:10" x14ac:dyDescent="0.25">
      <c r="B99" t="s">
        <v>479</v>
      </c>
      <c r="C99">
        <v>1.036</v>
      </c>
      <c r="D99">
        <v>1.389</v>
      </c>
      <c r="E99">
        <v>1.9130000000000001E-2</v>
      </c>
      <c r="F99">
        <v>1.098E-3</v>
      </c>
      <c r="G99">
        <v>0.50270000000000004</v>
      </c>
      <c r="H99">
        <v>5.0170000000000003</v>
      </c>
      <c r="I99">
        <v>10001</v>
      </c>
      <c r="J99">
        <v>30000</v>
      </c>
    </row>
    <row r="100" spans="2:10" x14ac:dyDescent="0.25">
      <c r="B100" t="s">
        <v>480</v>
      </c>
      <c r="C100">
        <v>0.9123</v>
      </c>
      <c r="D100">
        <v>1.296</v>
      </c>
      <c r="E100">
        <v>1.106E-2</v>
      </c>
      <c r="F100" s="13">
        <v>9.0689999999999998E-4</v>
      </c>
      <c r="G100">
        <v>0.41639999999999999</v>
      </c>
      <c r="H100">
        <v>4.6050000000000004</v>
      </c>
      <c r="I100">
        <v>10001</v>
      </c>
      <c r="J100">
        <v>30000</v>
      </c>
    </row>
    <row r="101" spans="2:10" x14ac:dyDescent="0.25">
      <c r="B101" t="s">
        <v>481</v>
      </c>
      <c r="C101">
        <v>0.71230000000000004</v>
      </c>
      <c r="D101">
        <v>0.9909</v>
      </c>
      <c r="E101">
        <v>6.803E-3</v>
      </c>
      <c r="F101" s="13">
        <v>6.9620000000000001E-4</v>
      </c>
      <c r="G101">
        <v>0.3332</v>
      </c>
      <c r="H101">
        <v>3.4489999999999998</v>
      </c>
      <c r="I101">
        <v>10001</v>
      </c>
      <c r="J101">
        <v>30000</v>
      </c>
    </row>
    <row r="102" spans="2:10" x14ac:dyDescent="0.25">
      <c r="B102" t="s">
        <v>482</v>
      </c>
      <c r="C102">
        <v>0.93240000000000001</v>
      </c>
      <c r="D102">
        <v>1.1180000000000001</v>
      </c>
      <c r="E102">
        <v>1.9730000000000001E-2</v>
      </c>
      <c r="F102">
        <v>1.245E-3</v>
      </c>
      <c r="G102">
        <v>0.52610000000000001</v>
      </c>
      <c r="H102">
        <v>3.9540000000000002</v>
      </c>
      <c r="I102">
        <v>10001</v>
      </c>
      <c r="J102">
        <v>30000</v>
      </c>
    </row>
    <row r="103" spans="2:10" x14ac:dyDescent="0.25">
      <c r="B103" t="s">
        <v>483</v>
      </c>
      <c r="C103">
        <v>0.64639999999999997</v>
      </c>
      <c r="D103">
        <v>0.92410000000000003</v>
      </c>
      <c r="E103">
        <v>5.7619999999999998E-3</v>
      </c>
      <c r="F103" s="13">
        <v>5.2070000000000003E-4</v>
      </c>
      <c r="G103">
        <v>0.29330000000000001</v>
      </c>
      <c r="H103">
        <v>3.274</v>
      </c>
      <c r="I103">
        <v>10001</v>
      </c>
      <c r="J103">
        <v>30000</v>
      </c>
    </row>
    <row r="104" spans="2:10" x14ac:dyDescent="0.25">
      <c r="B104" t="s">
        <v>484</v>
      </c>
      <c r="C104">
        <v>0.7258</v>
      </c>
      <c r="D104">
        <v>0.94510000000000005</v>
      </c>
      <c r="E104">
        <v>8.0490000000000006E-3</v>
      </c>
      <c r="F104" s="13">
        <v>7.1190000000000001E-4</v>
      </c>
      <c r="G104">
        <v>0.36570000000000003</v>
      </c>
      <c r="H104">
        <v>3.39</v>
      </c>
      <c r="I104">
        <v>10001</v>
      </c>
      <c r="J104">
        <v>30000</v>
      </c>
    </row>
    <row r="105" spans="2:10" x14ac:dyDescent="0.25">
      <c r="B105" t="s">
        <v>485</v>
      </c>
      <c r="C105">
        <v>0.65049999999999997</v>
      </c>
      <c r="D105">
        <v>0.92049999999999998</v>
      </c>
      <c r="E105">
        <v>5.9430000000000004E-3</v>
      </c>
      <c r="F105" s="13">
        <v>6.1930000000000004E-4</v>
      </c>
      <c r="G105">
        <v>0.29360000000000003</v>
      </c>
      <c r="H105">
        <v>3.2789999999999999</v>
      </c>
      <c r="I105">
        <v>10001</v>
      </c>
      <c r="J105">
        <v>30000</v>
      </c>
    </row>
    <row r="106" spans="2:10" x14ac:dyDescent="0.25">
      <c r="B106" t="s">
        <v>486</v>
      </c>
      <c r="C106">
        <v>0.745</v>
      </c>
      <c r="D106">
        <v>0.94799999999999995</v>
      </c>
      <c r="E106">
        <v>7.724E-3</v>
      </c>
      <c r="F106" s="13">
        <v>9.523E-4</v>
      </c>
      <c r="G106">
        <v>0.38640000000000002</v>
      </c>
      <c r="H106">
        <v>3.3889999999999998</v>
      </c>
      <c r="I106">
        <v>10001</v>
      </c>
      <c r="J106">
        <v>30000</v>
      </c>
    </row>
    <row r="107" spans="2:10" x14ac:dyDescent="0.25">
      <c r="B107" t="s">
        <v>487</v>
      </c>
      <c r="C107">
        <v>1.137</v>
      </c>
      <c r="D107">
        <v>1.522</v>
      </c>
      <c r="E107">
        <v>1.5310000000000001E-2</v>
      </c>
      <c r="F107">
        <v>1.111E-3</v>
      </c>
      <c r="G107">
        <v>0.54100000000000004</v>
      </c>
      <c r="H107">
        <v>5.4509999999999996</v>
      </c>
      <c r="I107">
        <v>10001</v>
      </c>
      <c r="J107">
        <v>30000</v>
      </c>
    </row>
    <row r="108" spans="2:10" x14ac:dyDescent="0.25">
      <c r="B108" t="s">
        <v>488</v>
      </c>
      <c r="C108">
        <v>0.77859999999999996</v>
      </c>
      <c r="D108">
        <v>1.0960000000000001</v>
      </c>
      <c r="E108">
        <v>1.6070000000000001E-2</v>
      </c>
      <c r="F108" s="13">
        <v>8.0179999999999997E-4</v>
      </c>
      <c r="G108">
        <v>0.35880000000000001</v>
      </c>
      <c r="H108">
        <v>3.8</v>
      </c>
      <c r="I108">
        <v>10001</v>
      </c>
      <c r="J108">
        <v>30000</v>
      </c>
    </row>
    <row r="109" spans="2:10" x14ac:dyDescent="0.25">
      <c r="B109" t="s">
        <v>489</v>
      </c>
      <c r="C109">
        <v>1.681</v>
      </c>
      <c r="D109">
        <v>1.756</v>
      </c>
      <c r="E109">
        <v>3.3439999999999998E-2</v>
      </c>
      <c r="F109">
        <v>4.2620000000000002E-3</v>
      </c>
      <c r="G109">
        <v>1.151</v>
      </c>
      <c r="H109">
        <v>6.3280000000000003</v>
      </c>
      <c r="I109">
        <v>10001</v>
      </c>
      <c r="J109">
        <v>30000</v>
      </c>
    </row>
    <row r="110" spans="2:10" x14ac:dyDescent="0.25">
      <c r="B110" t="s">
        <v>490</v>
      </c>
      <c r="C110">
        <v>1.5389999999999999</v>
      </c>
      <c r="D110">
        <v>1.9350000000000001</v>
      </c>
      <c r="E110">
        <v>2.0930000000000001E-2</v>
      </c>
      <c r="F110">
        <v>1.928E-3</v>
      </c>
      <c r="G110">
        <v>0.82330000000000003</v>
      </c>
      <c r="H110">
        <v>7.0090000000000003</v>
      </c>
      <c r="I110">
        <v>10001</v>
      </c>
      <c r="J110">
        <v>30000</v>
      </c>
    </row>
    <row r="111" spans="2:10" x14ac:dyDescent="0.25">
      <c r="B111" t="s">
        <v>491</v>
      </c>
      <c r="C111">
        <v>1.0009999999999999</v>
      </c>
      <c r="D111">
        <v>1.3919999999999999</v>
      </c>
      <c r="E111">
        <v>1.542E-2</v>
      </c>
      <c r="F111">
        <v>1.091E-3</v>
      </c>
      <c r="G111">
        <v>0.46610000000000001</v>
      </c>
      <c r="H111">
        <v>4.9379999999999997</v>
      </c>
      <c r="I111">
        <v>10001</v>
      </c>
      <c r="J111">
        <v>30000</v>
      </c>
    </row>
    <row r="112" spans="2:10" x14ac:dyDescent="0.25">
      <c r="B112" t="s">
        <v>492</v>
      </c>
      <c r="C112">
        <v>1.0509999999999999</v>
      </c>
      <c r="D112">
        <v>1.486</v>
      </c>
      <c r="E112">
        <v>3.304E-2</v>
      </c>
      <c r="F112">
        <v>1.111E-3</v>
      </c>
      <c r="G112">
        <v>0.47710000000000002</v>
      </c>
      <c r="H112">
        <v>5.3650000000000002</v>
      </c>
      <c r="I112">
        <v>10001</v>
      </c>
      <c r="J112">
        <v>30000</v>
      </c>
    </row>
    <row r="113" spans="2:10" x14ac:dyDescent="0.25">
      <c r="B113" t="s">
        <v>493</v>
      </c>
      <c r="C113">
        <v>1.0680000000000001</v>
      </c>
      <c r="D113">
        <v>1.466</v>
      </c>
      <c r="E113">
        <v>2.6839999999999999E-2</v>
      </c>
      <c r="F113" s="13">
        <v>9.9360000000000008E-4</v>
      </c>
      <c r="G113">
        <v>0.497</v>
      </c>
      <c r="H113">
        <v>5.2720000000000002</v>
      </c>
      <c r="I113">
        <v>10001</v>
      </c>
      <c r="J113">
        <v>30000</v>
      </c>
    </row>
    <row r="114" spans="2:10" x14ac:dyDescent="0.25">
      <c r="B114" t="s">
        <v>494</v>
      </c>
      <c r="C114">
        <v>1.034</v>
      </c>
      <c r="D114">
        <v>1.4390000000000001</v>
      </c>
      <c r="E114">
        <v>2.1219999999999999E-2</v>
      </c>
      <c r="F114">
        <v>1.0319999999999999E-3</v>
      </c>
      <c r="G114">
        <v>0.48199999999999998</v>
      </c>
      <c r="H114">
        <v>5.1360000000000001</v>
      </c>
      <c r="I114">
        <v>10001</v>
      </c>
      <c r="J114">
        <v>30000</v>
      </c>
    </row>
    <row r="115" spans="2:10" x14ac:dyDescent="0.25">
      <c r="B115" t="s">
        <v>495</v>
      </c>
      <c r="C115">
        <v>1.1339999999999999</v>
      </c>
      <c r="D115">
        <v>0.96319999999999995</v>
      </c>
      <c r="E115">
        <v>1.227E-2</v>
      </c>
      <c r="F115">
        <v>9.3149999999999997E-2</v>
      </c>
      <c r="G115">
        <v>0.87160000000000004</v>
      </c>
      <c r="H115">
        <v>3.633</v>
      </c>
      <c r="I115">
        <v>10001</v>
      </c>
      <c r="J115">
        <v>30000</v>
      </c>
    </row>
    <row r="116" spans="2:10" x14ac:dyDescent="0.25">
      <c r="B116" t="s">
        <v>496</v>
      </c>
      <c r="C116">
        <v>1.3220000000000001</v>
      </c>
      <c r="D116">
        <v>1.7629999999999999</v>
      </c>
      <c r="E116">
        <v>1.159E-2</v>
      </c>
      <c r="F116">
        <v>1.467E-3</v>
      </c>
      <c r="G116">
        <v>0.64580000000000004</v>
      </c>
      <c r="H116">
        <v>6.2519999999999998</v>
      </c>
      <c r="I116">
        <v>10001</v>
      </c>
      <c r="J116">
        <v>30000</v>
      </c>
    </row>
    <row r="117" spans="2:10" x14ac:dyDescent="0.25">
      <c r="B117" t="s">
        <v>497</v>
      </c>
      <c r="C117">
        <v>1.014</v>
      </c>
      <c r="D117">
        <v>1.4419999999999999</v>
      </c>
      <c r="E117">
        <v>1.0800000000000001E-2</v>
      </c>
      <c r="F117">
        <v>1.1299999999999999E-3</v>
      </c>
      <c r="G117">
        <v>0.4582</v>
      </c>
      <c r="H117">
        <v>5.1219999999999999</v>
      </c>
      <c r="I117">
        <v>10001</v>
      </c>
      <c r="J117">
        <v>30000</v>
      </c>
    </row>
    <row r="118" spans="2:10" x14ac:dyDescent="0.25">
      <c r="B118" t="s">
        <v>498</v>
      </c>
      <c r="C118">
        <v>1.026</v>
      </c>
      <c r="D118">
        <v>1.425</v>
      </c>
      <c r="E118">
        <v>2.4320000000000001E-2</v>
      </c>
      <c r="F118">
        <v>1.013E-3</v>
      </c>
      <c r="G118">
        <v>0.47639999999999999</v>
      </c>
      <c r="H118">
        <v>5.0620000000000003</v>
      </c>
      <c r="I118">
        <v>10001</v>
      </c>
      <c r="J118">
        <v>30000</v>
      </c>
    </row>
    <row r="119" spans="2:10" x14ac:dyDescent="0.25">
      <c r="B119" t="s">
        <v>499</v>
      </c>
      <c r="C119">
        <v>0.85629999999999995</v>
      </c>
      <c r="D119">
        <v>1.216</v>
      </c>
      <c r="E119">
        <v>9.8180000000000003E-3</v>
      </c>
      <c r="F119" s="13">
        <v>7.0189999999999998E-4</v>
      </c>
      <c r="G119">
        <v>0.39179999999999998</v>
      </c>
      <c r="H119">
        <v>4.2709999999999999</v>
      </c>
      <c r="I119">
        <v>10001</v>
      </c>
      <c r="J119">
        <v>30000</v>
      </c>
    </row>
    <row r="120" spans="2:10" x14ac:dyDescent="0.25">
      <c r="B120" t="s">
        <v>500</v>
      </c>
      <c r="C120">
        <v>0.83140000000000003</v>
      </c>
      <c r="D120">
        <v>1.149</v>
      </c>
      <c r="E120">
        <v>1.3339999999999999E-2</v>
      </c>
      <c r="F120" s="13">
        <v>7.9219999999999996E-4</v>
      </c>
      <c r="G120">
        <v>0.38119999999999998</v>
      </c>
      <c r="H120">
        <v>4.0979999999999999</v>
      </c>
      <c r="I120">
        <v>10001</v>
      </c>
      <c r="J120">
        <v>30000</v>
      </c>
    </row>
    <row r="121" spans="2:10" x14ac:dyDescent="0.25">
      <c r="B121" t="s">
        <v>501</v>
      </c>
      <c r="C121">
        <v>0.73499999999999999</v>
      </c>
      <c r="D121">
        <v>1.048</v>
      </c>
      <c r="E121">
        <v>1.11E-2</v>
      </c>
      <c r="F121" s="13">
        <v>6.5620000000000001E-4</v>
      </c>
      <c r="G121">
        <v>0.33119999999999999</v>
      </c>
      <c r="H121">
        <v>3.71</v>
      </c>
      <c r="I121">
        <v>10001</v>
      </c>
      <c r="J121">
        <v>30000</v>
      </c>
    </row>
    <row r="122" spans="2:10" x14ac:dyDescent="0.25">
      <c r="B122" t="s">
        <v>502</v>
      </c>
      <c r="C122">
        <v>0.87219999999999998</v>
      </c>
      <c r="D122">
        <v>1.218</v>
      </c>
      <c r="E122">
        <v>9.672E-3</v>
      </c>
      <c r="F122" s="13">
        <v>8.3160000000000005E-4</v>
      </c>
      <c r="G122">
        <v>0.39579999999999999</v>
      </c>
      <c r="H122">
        <v>4.4089999999999998</v>
      </c>
      <c r="I122">
        <v>10001</v>
      </c>
      <c r="J122">
        <v>30000</v>
      </c>
    </row>
    <row r="123" spans="2:10" x14ac:dyDescent="0.25">
      <c r="B123" t="s">
        <v>503</v>
      </c>
      <c r="C123">
        <v>0.55089999999999995</v>
      </c>
      <c r="D123">
        <v>0.77749999999999997</v>
      </c>
      <c r="E123">
        <v>6.4929999999999996E-3</v>
      </c>
      <c r="F123" s="13">
        <v>5.6260000000000001E-4</v>
      </c>
      <c r="G123">
        <v>0.25580000000000003</v>
      </c>
      <c r="H123">
        <v>2.7440000000000002</v>
      </c>
      <c r="I123">
        <v>10001</v>
      </c>
      <c r="J123">
        <v>30000</v>
      </c>
    </row>
    <row r="124" spans="2:10" x14ac:dyDescent="0.25">
      <c r="B124" t="s">
        <v>504</v>
      </c>
      <c r="C124">
        <v>0.74250000000000005</v>
      </c>
      <c r="D124">
        <v>1.042</v>
      </c>
      <c r="E124">
        <v>6.6249999999999998E-3</v>
      </c>
      <c r="F124" s="13">
        <v>6.8440000000000005E-4</v>
      </c>
      <c r="G124">
        <v>0.34539999999999998</v>
      </c>
      <c r="H124">
        <v>3.7229999999999999</v>
      </c>
      <c r="I124">
        <v>10001</v>
      </c>
      <c r="J124">
        <v>30000</v>
      </c>
    </row>
    <row r="125" spans="2:10" x14ac:dyDescent="0.25">
      <c r="B125" t="s">
        <v>505</v>
      </c>
      <c r="C125">
        <v>1.044</v>
      </c>
      <c r="D125">
        <v>1.4419999999999999</v>
      </c>
      <c r="E125">
        <v>2.2720000000000001E-2</v>
      </c>
      <c r="F125">
        <v>1.127E-3</v>
      </c>
      <c r="G125">
        <v>0.49120000000000003</v>
      </c>
      <c r="H125">
        <v>5.1349999999999998</v>
      </c>
      <c r="I125">
        <v>10001</v>
      </c>
      <c r="J125">
        <v>30000</v>
      </c>
    </row>
    <row r="126" spans="2:10" x14ac:dyDescent="0.25">
      <c r="B126" t="s">
        <v>506</v>
      </c>
      <c r="C126">
        <v>0.84130000000000005</v>
      </c>
      <c r="D126">
        <v>1.1579999999999999</v>
      </c>
      <c r="E126">
        <v>2.0899999999999998E-2</v>
      </c>
      <c r="F126" s="13">
        <v>8.7120000000000003E-4</v>
      </c>
      <c r="G126">
        <v>0.39340000000000003</v>
      </c>
      <c r="H126">
        <v>4.133</v>
      </c>
      <c r="I126">
        <v>10001</v>
      </c>
      <c r="J126">
        <v>30000</v>
      </c>
    </row>
    <row r="127" spans="2:10" x14ac:dyDescent="0.25">
      <c r="B127" t="s">
        <v>507</v>
      </c>
      <c r="C127">
        <v>0.97699999999999998</v>
      </c>
      <c r="D127">
        <v>1.2669999999999999</v>
      </c>
      <c r="E127">
        <v>1.129E-2</v>
      </c>
      <c r="F127">
        <v>1.0889999999999999E-3</v>
      </c>
      <c r="G127">
        <v>0.4889</v>
      </c>
      <c r="H127">
        <v>4.5129999999999999</v>
      </c>
      <c r="I127">
        <v>10001</v>
      </c>
      <c r="J127">
        <v>30000</v>
      </c>
    </row>
    <row r="128" spans="2:10" x14ac:dyDescent="0.25">
      <c r="B128" t="s">
        <v>508</v>
      </c>
      <c r="C128">
        <v>0.73089999999999999</v>
      </c>
      <c r="D128">
        <v>1.05</v>
      </c>
      <c r="E128">
        <v>7.5900000000000004E-3</v>
      </c>
      <c r="F128" s="13">
        <v>7.5469999999999997E-4</v>
      </c>
      <c r="G128">
        <v>0.32319999999999999</v>
      </c>
      <c r="H128">
        <v>3.71</v>
      </c>
      <c r="I128">
        <v>10001</v>
      </c>
      <c r="J128">
        <v>30000</v>
      </c>
    </row>
    <row r="129" spans="2:10" x14ac:dyDescent="0.25">
      <c r="B129" t="s">
        <v>509</v>
      </c>
      <c r="C129">
        <v>2.2410000000000001</v>
      </c>
      <c r="D129">
        <v>1.534</v>
      </c>
      <c r="E129">
        <v>2.1559999999999999E-2</v>
      </c>
      <c r="F129">
        <v>0.312</v>
      </c>
      <c r="G129">
        <v>1.91</v>
      </c>
      <c r="H129">
        <v>6.1289999999999996</v>
      </c>
      <c r="I129">
        <v>10001</v>
      </c>
      <c r="J129">
        <v>30000</v>
      </c>
    </row>
    <row r="130" spans="2:10" x14ac:dyDescent="0.25">
      <c r="B130" t="s">
        <v>510</v>
      </c>
      <c r="C130">
        <v>1.663</v>
      </c>
      <c r="D130">
        <v>2.0329999999999999</v>
      </c>
      <c r="E130">
        <v>1.439E-2</v>
      </c>
      <c r="F130">
        <v>2.287E-3</v>
      </c>
      <c r="G130">
        <v>0.92169999999999996</v>
      </c>
      <c r="H130">
        <v>7.2640000000000002</v>
      </c>
      <c r="I130">
        <v>10001</v>
      </c>
      <c r="J130">
        <v>30000</v>
      </c>
    </row>
    <row r="131" spans="2:10" x14ac:dyDescent="0.25">
      <c r="B131" t="s">
        <v>511</v>
      </c>
      <c r="C131">
        <v>1.669</v>
      </c>
      <c r="D131">
        <v>1.613</v>
      </c>
      <c r="E131">
        <v>2.0410000000000001E-2</v>
      </c>
      <c r="F131">
        <v>5.11E-3</v>
      </c>
      <c r="G131">
        <v>1.218</v>
      </c>
      <c r="H131">
        <v>5.83</v>
      </c>
      <c r="I131">
        <v>10001</v>
      </c>
      <c r="J131">
        <v>30000</v>
      </c>
    </row>
    <row r="132" spans="2:10" x14ac:dyDescent="0.25">
      <c r="B132" t="s">
        <v>512</v>
      </c>
      <c r="C132">
        <v>1.07</v>
      </c>
      <c r="D132">
        <v>1.4550000000000001</v>
      </c>
      <c r="E132">
        <v>9.7040000000000008E-3</v>
      </c>
      <c r="F132">
        <v>1.0219999999999999E-3</v>
      </c>
      <c r="G132">
        <v>0.50929999999999997</v>
      </c>
      <c r="H132">
        <v>5.141</v>
      </c>
      <c r="I132">
        <v>10001</v>
      </c>
      <c r="J132">
        <v>30000</v>
      </c>
    </row>
    <row r="133" spans="2:10" x14ac:dyDescent="0.25">
      <c r="B133" t="s">
        <v>513</v>
      </c>
      <c r="C133">
        <v>2.3759999999999999</v>
      </c>
      <c r="D133">
        <v>2.2589999999999999</v>
      </c>
      <c r="E133">
        <v>2.315E-2</v>
      </c>
      <c r="F133">
        <v>1.119E-2</v>
      </c>
      <c r="G133">
        <v>1.7809999999999999</v>
      </c>
      <c r="H133">
        <v>8.26</v>
      </c>
      <c r="I133">
        <v>10001</v>
      </c>
      <c r="J133">
        <v>30000</v>
      </c>
    </row>
    <row r="134" spans="2:10" x14ac:dyDescent="0.25">
      <c r="B134" t="s">
        <v>514</v>
      </c>
      <c r="C134">
        <v>1.4219999999999999</v>
      </c>
      <c r="D134">
        <v>1.476</v>
      </c>
      <c r="E134">
        <v>1.1310000000000001E-2</v>
      </c>
      <c r="F134">
        <v>3.329E-2</v>
      </c>
      <c r="G134">
        <v>0.95809999999999995</v>
      </c>
      <c r="H134">
        <v>5.43</v>
      </c>
      <c r="I134">
        <v>10001</v>
      </c>
      <c r="J134">
        <v>30000</v>
      </c>
    </row>
    <row r="135" spans="2:10" x14ac:dyDescent="0.25">
      <c r="B135" t="s">
        <v>515</v>
      </c>
      <c r="C135">
        <v>0.95920000000000005</v>
      </c>
      <c r="D135">
        <v>1.2689999999999999</v>
      </c>
      <c r="E135">
        <v>1.21E-2</v>
      </c>
      <c r="F135">
        <v>1.1119999999999999E-3</v>
      </c>
      <c r="G135">
        <v>0.47520000000000001</v>
      </c>
      <c r="H135">
        <v>4.5570000000000004</v>
      </c>
      <c r="I135">
        <v>10001</v>
      </c>
      <c r="J135">
        <v>30000</v>
      </c>
    </row>
    <row r="136" spans="2:10" x14ac:dyDescent="0.25">
      <c r="B136" t="s">
        <v>516</v>
      </c>
      <c r="C136">
        <v>0.76680000000000004</v>
      </c>
      <c r="D136">
        <v>1.0920000000000001</v>
      </c>
      <c r="E136">
        <v>8.7770000000000001E-3</v>
      </c>
      <c r="F136" s="13">
        <v>7.8850000000000003E-4</v>
      </c>
      <c r="G136">
        <v>0.35049999999999998</v>
      </c>
      <c r="H136">
        <v>3.8290000000000002</v>
      </c>
      <c r="I136">
        <v>10001</v>
      </c>
      <c r="J136">
        <v>30000</v>
      </c>
    </row>
    <row r="137" spans="2:10" x14ac:dyDescent="0.25">
      <c r="B137" t="s">
        <v>517</v>
      </c>
      <c r="C137">
        <v>0.77569999999999995</v>
      </c>
      <c r="D137">
        <v>1.101</v>
      </c>
      <c r="E137">
        <v>1.106E-2</v>
      </c>
      <c r="F137" s="13">
        <v>7.8430000000000004E-4</v>
      </c>
      <c r="G137">
        <v>0.35589999999999999</v>
      </c>
      <c r="H137">
        <v>3.9049999999999998</v>
      </c>
      <c r="I137">
        <v>10001</v>
      </c>
      <c r="J137">
        <v>30000</v>
      </c>
    </row>
    <row r="138" spans="2:10" x14ac:dyDescent="0.25">
      <c r="B138" t="s">
        <v>518</v>
      </c>
      <c r="C138">
        <v>0.77280000000000004</v>
      </c>
      <c r="D138">
        <v>1.115</v>
      </c>
      <c r="E138">
        <v>8.1700000000000002E-3</v>
      </c>
      <c r="F138" s="13">
        <v>8.0320000000000001E-4</v>
      </c>
      <c r="G138">
        <v>0.35039999999999999</v>
      </c>
      <c r="H138">
        <v>3.93</v>
      </c>
      <c r="I138">
        <v>10001</v>
      </c>
      <c r="J138">
        <v>30000</v>
      </c>
    </row>
    <row r="139" spans="2:10" x14ac:dyDescent="0.25">
      <c r="B139" t="s">
        <v>519</v>
      </c>
      <c r="C139">
        <v>0.90629999999999999</v>
      </c>
      <c r="D139">
        <v>1.2789999999999999</v>
      </c>
      <c r="E139">
        <v>1.328E-2</v>
      </c>
      <c r="F139" s="13">
        <v>9.079E-4</v>
      </c>
      <c r="G139">
        <v>0.41</v>
      </c>
      <c r="H139">
        <v>4.4740000000000002</v>
      </c>
      <c r="I139">
        <v>10001</v>
      </c>
      <c r="J139">
        <v>30000</v>
      </c>
    </row>
    <row r="140" spans="2:10" x14ac:dyDescent="0.25">
      <c r="B140" t="s">
        <v>520</v>
      </c>
      <c r="C140">
        <v>0.87560000000000004</v>
      </c>
      <c r="D140">
        <v>1.214</v>
      </c>
      <c r="E140">
        <v>1.7049999999999999E-2</v>
      </c>
      <c r="F140" s="13">
        <v>9.9010000000000005E-4</v>
      </c>
      <c r="G140">
        <v>0.40770000000000001</v>
      </c>
      <c r="H140">
        <v>4.319</v>
      </c>
      <c r="I140">
        <v>10001</v>
      </c>
      <c r="J140">
        <v>30000</v>
      </c>
    </row>
    <row r="141" spans="2:10" x14ac:dyDescent="0.25">
      <c r="B141" t="s">
        <v>521</v>
      </c>
      <c r="C141">
        <v>0.79779999999999995</v>
      </c>
      <c r="D141">
        <v>1.117</v>
      </c>
      <c r="E141">
        <v>1.248E-2</v>
      </c>
      <c r="F141" s="13">
        <v>8.0489999999999999E-4</v>
      </c>
      <c r="G141">
        <v>0.36409999999999998</v>
      </c>
      <c r="H141">
        <v>3.9159999999999999</v>
      </c>
      <c r="I141">
        <v>10001</v>
      </c>
      <c r="J141">
        <v>30000</v>
      </c>
    </row>
    <row r="142" spans="2:10" x14ac:dyDescent="0.25">
      <c r="B142" t="s">
        <v>522</v>
      </c>
      <c r="C142">
        <v>0.89890000000000003</v>
      </c>
      <c r="D142">
        <v>1.264</v>
      </c>
      <c r="E142">
        <v>1.0959999999999999E-2</v>
      </c>
      <c r="F142" s="13">
        <v>8.4130000000000001E-4</v>
      </c>
      <c r="G142">
        <v>0.41239999999999999</v>
      </c>
      <c r="H142">
        <v>4.532</v>
      </c>
      <c r="I142">
        <v>10001</v>
      </c>
      <c r="J142">
        <v>30000</v>
      </c>
    </row>
    <row r="143" spans="2:10" x14ac:dyDescent="0.25">
      <c r="B143" t="s">
        <v>523</v>
      </c>
      <c r="C143">
        <v>1.0409999999999999</v>
      </c>
      <c r="D143">
        <v>1.4870000000000001</v>
      </c>
      <c r="E143">
        <v>1.234E-2</v>
      </c>
      <c r="F143" s="13">
        <v>8.8460000000000003E-4</v>
      </c>
      <c r="G143">
        <v>0.46579999999999999</v>
      </c>
      <c r="H143">
        <v>5.226</v>
      </c>
      <c r="I143">
        <v>10001</v>
      </c>
      <c r="J143">
        <v>30000</v>
      </c>
    </row>
    <row r="144" spans="2:10" x14ac:dyDescent="0.25">
      <c r="B144" t="s">
        <v>524</v>
      </c>
      <c r="C144">
        <v>1.52</v>
      </c>
      <c r="D144">
        <v>1.952</v>
      </c>
      <c r="E144">
        <v>8.6440000000000003E-2</v>
      </c>
      <c r="F144">
        <v>1.421E-3</v>
      </c>
      <c r="G144">
        <v>0.7288</v>
      </c>
      <c r="H144">
        <v>7.2009999999999996</v>
      </c>
      <c r="I144">
        <v>10001</v>
      </c>
      <c r="J144">
        <v>30000</v>
      </c>
    </row>
    <row r="145" spans="2:10" x14ac:dyDescent="0.25">
      <c r="B145" t="s">
        <v>525</v>
      </c>
      <c r="C145">
        <v>2.0939999999999999</v>
      </c>
      <c r="D145">
        <v>2.15</v>
      </c>
      <c r="E145">
        <v>1.652E-2</v>
      </c>
      <c r="F145">
        <v>6.6730000000000001E-3</v>
      </c>
      <c r="G145">
        <v>1.4590000000000001</v>
      </c>
      <c r="H145">
        <v>7.7329999999999997</v>
      </c>
      <c r="I145">
        <v>10001</v>
      </c>
      <c r="J145">
        <v>30000</v>
      </c>
    </row>
    <row r="146" spans="2:10" x14ac:dyDescent="0.25">
      <c r="B146" t="s">
        <v>526</v>
      </c>
      <c r="C146">
        <v>1.3120000000000001</v>
      </c>
      <c r="D146">
        <v>1.371</v>
      </c>
      <c r="E146">
        <v>9.3200000000000002E-3</v>
      </c>
      <c r="F146">
        <v>3.1050000000000001E-2</v>
      </c>
      <c r="G146">
        <v>0.88239999999999996</v>
      </c>
      <c r="H146">
        <v>4.9640000000000004</v>
      </c>
      <c r="I146">
        <v>10001</v>
      </c>
      <c r="J146">
        <v>30000</v>
      </c>
    </row>
    <row r="147" spans="2:10" x14ac:dyDescent="0.25">
      <c r="B147" t="s">
        <v>527</v>
      </c>
      <c r="C147">
        <v>0.65969999999999995</v>
      </c>
      <c r="D147">
        <v>0.9456</v>
      </c>
      <c r="E147">
        <v>8.0370000000000007E-3</v>
      </c>
      <c r="F147" s="13">
        <v>5.8770000000000003E-4</v>
      </c>
      <c r="G147">
        <v>0.2989</v>
      </c>
      <c r="H147">
        <v>3.351</v>
      </c>
      <c r="I147">
        <v>10001</v>
      </c>
      <c r="J147">
        <v>30000</v>
      </c>
    </row>
    <row r="148" spans="2:10" x14ac:dyDescent="0.25">
      <c r="B148" t="s">
        <v>528</v>
      </c>
      <c r="C148">
        <v>0.89559999999999995</v>
      </c>
      <c r="D148">
        <v>1.2150000000000001</v>
      </c>
      <c r="E148">
        <v>8.4130000000000003E-3</v>
      </c>
      <c r="F148" s="13">
        <v>9.6880000000000002E-4</v>
      </c>
      <c r="G148">
        <v>0.42770000000000002</v>
      </c>
      <c r="H148">
        <v>4.3920000000000003</v>
      </c>
      <c r="I148">
        <v>10001</v>
      </c>
      <c r="J148">
        <v>30000</v>
      </c>
    </row>
    <row r="149" spans="2:10" x14ac:dyDescent="0.25">
      <c r="B149" t="s">
        <v>529</v>
      </c>
      <c r="C149">
        <v>1.8140000000000001</v>
      </c>
      <c r="D149">
        <v>1.423</v>
      </c>
      <c r="E149">
        <v>1.6080000000000001E-2</v>
      </c>
      <c r="F149">
        <v>0.1681</v>
      </c>
      <c r="G149">
        <v>1.4510000000000001</v>
      </c>
      <c r="H149">
        <v>5.52</v>
      </c>
      <c r="I149">
        <v>10001</v>
      </c>
      <c r="J149">
        <v>30000</v>
      </c>
    </row>
    <row r="150" spans="2:10" x14ac:dyDescent="0.25">
      <c r="B150" t="s">
        <v>530</v>
      </c>
      <c r="C150">
        <v>1.73</v>
      </c>
      <c r="D150">
        <v>2.0339999999999998</v>
      </c>
      <c r="E150">
        <v>1.4590000000000001E-2</v>
      </c>
      <c r="F150">
        <v>2.5300000000000001E-3</v>
      </c>
      <c r="G150">
        <v>1.016</v>
      </c>
      <c r="H150">
        <v>7.327</v>
      </c>
      <c r="I150">
        <v>10001</v>
      </c>
      <c r="J150">
        <v>30000</v>
      </c>
    </row>
    <row r="151" spans="2:10" x14ac:dyDescent="0.25">
      <c r="B151" t="s">
        <v>531</v>
      </c>
      <c r="C151">
        <v>0.84970000000000001</v>
      </c>
      <c r="D151">
        <v>1.1819999999999999</v>
      </c>
      <c r="E151">
        <v>9.5149999999999992E-3</v>
      </c>
      <c r="F151" s="13">
        <v>8.1919999999999996E-4</v>
      </c>
      <c r="G151">
        <v>0.39119999999999999</v>
      </c>
      <c r="H151">
        <v>4.2210000000000001</v>
      </c>
      <c r="I151">
        <v>10001</v>
      </c>
      <c r="J151">
        <v>30000</v>
      </c>
    </row>
    <row r="152" spans="2:10" x14ac:dyDescent="0.25">
      <c r="B152" t="s">
        <v>532</v>
      </c>
      <c r="C152">
        <v>0.53810000000000002</v>
      </c>
      <c r="D152">
        <v>0.79210000000000003</v>
      </c>
      <c r="E152">
        <v>6.3540000000000003E-3</v>
      </c>
      <c r="F152" s="13">
        <v>5.3830000000000002E-4</v>
      </c>
      <c r="G152">
        <v>0.2402</v>
      </c>
      <c r="H152">
        <v>2.774</v>
      </c>
      <c r="I152">
        <v>10001</v>
      </c>
      <c r="J152">
        <v>30000</v>
      </c>
    </row>
    <row r="153" spans="2:10" x14ac:dyDescent="0.25">
      <c r="B153" t="s">
        <v>533</v>
      </c>
      <c r="C153">
        <v>1.099</v>
      </c>
      <c r="D153">
        <v>1.4730000000000001</v>
      </c>
      <c r="E153">
        <v>1.7909999999999999E-2</v>
      </c>
      <c r="F153">
        <v>1.042E-3</v>
      </c>
      <c r="G153">
        <v>0.53210000000000002</v>
      </c>
      <c r="H153">
        <v>5.2770000000000001</v>
      </c>
      <c r="I153">
        <v>10001</v>
      </c>
      <c r="J153">
        <v>30000</v>
      </c>
    </row>
    <row r="154" spans="2:10" x14ac:dyDescent="0.25">
      <c r="B154" t="s">
        <v>534</v>
      </c>
      <c r="C154">
        <v>1.0189999999999999</v>
      </c>
      <c r="D154">
        <v>1.395</v>
      </c>
      <c r="E154">
        <v>1.5010000000000001E-2</v>
      </c>
      <c r="F154">
        <v>1.018E-3</v>
      </c>
      <c r="G154">
        <v>0.47660000000000002</v>
      </c>
      <c r="H154">
        <v>4.9960000000000004</v>
      </c>
      <c r="I154">
        <v>10001</v>
      </c>
      <c r="J154">
        <v>30000</v>
      </c>
    </row>
    <row r="155" spans="2:10" x14ac:dyDescent="0.25">
      <c r="B155" t="s">
        <v>535</v>
      </c>
      <c r="C155" s="13">
        <v>1.6670000000000001E-4</v>
      </c>
      <c r="D155">
        <v>1.291E-2</v>
      </c>
      <c r="E155" s="13">
        <v>8.8109999999999995E-5</v>
      </c>
      <c r="F155">
        <v>0</v>
      </c>
      <c r="G155">
        <v>0</v>
      </c>
      <c r="H155">
        <v>0</v>
      </c>
      <c r="I155">
        <v>10001</v>
      </c>
      <c r="J155">
        <v>30000</v>
      </c>
    </row>
    <row r="156" spans="2:10" x14ac:dyDescent="0.25">
      <c r="B156" t="s">
        <v>536</v>
      </c>
      <c r="C156">
        <v>2.0669999999999998E-3</v>
      </c>
      <c r="D156">
        <v>4.5409999999999999E-2</v>
      </c>
      <c r="E156" s="13">
        <v>3.5639999999999999E-4</v>
      </c>
      <c r="F156">
        <v>0</v>
      </c>
      <c r="G156">
        <v>0</v>
      </c>
      <c r="H156">
        <v>0</v>
      </c>
      <c r="I156">
        <v>10001</v>
      </c>
      <c r="J156">
        <v>30000</v>
      </c>
    </row>
    <row r="157" spans="2:10" x14ac:dyDescent="0.25">
      <c r="B157" t="s">
        <v>537</v>
      </c>
      <c r="C157">
        <v>1.2070000000000001E-2</v>
      </c>
      <c r="D157">
        <v>0.10920000000000001</v>
      </c>
      <c r="E157">
        <v>1.2179999999999999E-3</v>
      </c>
      <c r="F157">
        <v>0</v>
      </c>
      <c r="G157">
        <v>0</v>
      </c>
      <c r="H157">
        <v>0</v>
      </c>
      <c r="I157">
        <v>10001</v>
      </c>
      <c r="J157">
        <v>30000</v>
      </c>
    </row>
    <row r="158" spans="2:10" x14ac:dyDescent="0.25">
      <c r="B158" t="s">
        <v>538</v>
      </c>
      <c r="C158">
        <v>5.1069999999999997E-2</v>
      </c>
      <c r="D158">
        <v>0.22009999999999999</v>
      </c>
      <c r="E158">
        <v>3.6310000000000001E-3</v>
      </c>
      <c r="F158">
        <v>0</v>
      </c>
      <c r="G158">
        <v>0</v>
      </c>
      <c r="H158">
        <v>1</v>
      </c>
      <c r="I158">
        <v>10001</v>
      </c>
      <c r="J158">
        <v>30000</v>
      </c>
    </row>
    <row r="159" spans="2:10" x14ac:dyDescent="0.25">
      <c r="B159" t="s">
        <v>539</v>
      </c>
      <c r="C159">
        <v>0.1298</v>
      </c>
      <c r="D159">
        <v>0.33600000000000002</v>
      </c>
      <c r="E159">
        <v>6.097E-3</v>
      </c>
      <c r="F159">
        <v>0</v>
      </c>
      <c r="G159">
        <v>0</v>
      </c>
      <c r="H159">
        <v>1</v>
      </c>
      <c r="I159">
        <v>10001</v>
      </c>
      <c r="J159">
        <v>30000</v>
      </c>
    </row>
    <row r="160" spans="2:10" x14ac:dyDescent="0.25">
      <c r="B160" t="s">
        <v>540</v>
      </c>
      <c r="C160">
        <v>0.27350000000000002</v>
      </c>
      <c r="D160">
        <v>0.44579999999999997</v>
      </c>
      <c r="E160">
        <v>1.0330000000000001E-2</v>
      </c>
      <c r="F160">
        <v>0</v>
      </c>
      <c r="G160">
        <v>0</v>
      </c>
      <c r="H160">
        <v>1</v>
      </c>
      <c r="I160">
        <v>10001</v>
      </c>
      <c r="J160">
        <v>30000</v>
      </c>
    </row>
    <row r="161" spans="2:10" x14ac:dyDescent="0.25">
      <c r="B161" t="s">
        <v>541</v>
      </c>
      <c r="C161">
        <v>0.30070000000000002</v>
      </c>
      <c r="D161">
        <v>0.45860000000000001</v>
      </c>
      <c r="E161">
        <v>9.4160000000000008E-3</v>
      </c>
      <c r="F161">
        <v>0</v>
      </c>
      <c r="G161">
        <v>0</v>
      </c>
      <c r="H161">
        <v>1</v>
      </c>
      <c r="I161">
        <v>10001</v>
      </c>
      <c r="J161">
        <v>30000</v>
      </c>
    </row>
    <row r="162" spans="2:10" x14ac:dyDescent="0.25">
      <c r="B162" t="s">
        <v>542</v>
      </c>
      <c r="C162">
        <v>0.18390000000000001</v>
      </c>
      <c r="D162">
        <v>0.38740000000000002</v>
      </c>
      <c r="E162">
        <v>1.013E-2</v>
      </c>
      <c r="F162">
        <v>0</v>
      </c>
      <c r="G162">
        <v>0</v>
      </c>
      <c r="H162">
        <v>1</v>
      </c>
      <c r="I162">
        <v>10001</v>
      </c>
      <c r="J162">
        <v>30000</v>
      </c>
    </row>
    <row r="163" spans="2:10" x14ac:dyDescent="0.25">
      <c r="B163" t="s">
        <v>543</v>
      </c>
      <c r="C163">
        <v>4.3729999999999998E-2</v>
      </c>
      <c r="D163">
        <v>0.20449999999999999</v>
      </c>
      <c r="E163">
        <v>4.2050000000000004E-3</v>
      </c>
      <c r="F163">
        <v>0</v>
      </c>
      <c r="G163">
        <v>0</v>
      </c>
      <c r="H163">
        <v>1</v>
      </c>
      <c r="I163">
        <v>10001</v>
      </c>
      <c r="J163">
        <v>30000</v>
      </c>
    </row>
    <row r="164" spans="2:10" x14ac:dyDescent="0.25">
      <c r="B164" t="s">
        <v>544</v>
      </c>
      <c r="C164">
        <v>3.0330000000000001E-3</v>
      </c>
      <c r="D164">
        <v>5.4989999999999997E-2</v>
      </c>
      <c r="E164" s="13">
        <v>8.7580000000000004E-4</v>
      </c>
      <c r="F164">
        <v>0</v>
      </c>
      <c r="G164">
        <v>0</v>
      </c>
      <c r="H164">
        <v>0</v>
      </c>
      <c r="I164">
        <v>10001</v>
      </c>
      <c r="J164">
        <v>30000</v>
      </c>
    </row>
    <row r="165" spans="2:10" x14ac:dyDescent="0.25">
      <c r="B165" t="s">
        <v>545</v>
      </c>
      <c r="C165">
        <v>0</v>
      </c>
      <c r="D165">
        <v>0</v>
      </c>
      <c r="E165" s="13">
        <v>3.333E-13</v>
      </c>
      <c r="F165">
        <v>0</v>
      </c>
      <c r="G165">
        <v>0</v>
      </c>
      <c r="H165">
        <v>0</v>
      </c>
      <c r="I165">
        <v>10001</v>
      </c>
      <c r="J165">
        <v>30000</v>
      </c>
    </row>
    <row r="166" spans="2:10" x14ac:dyDescent="0.25">
      <c r="B166" t="s">
        <v>546</v>
      </c>
      <c r="C166" s="13">
        <v>3.3330000000000001E-5</v>
      </c>
      <c r="D166">
        <v>5.7730000000000004E-3</v>
      </c>
      <c r="E166" s="13">
        <v>3.345E-5</v>
      </c>
      <c r="F166">
        <v>0</v>
      </c>
      <c r="G166">
        <v>0</v>
      </c>
      <c r="H166">
        <v>0</v>
      </c>
      <c r="I166">
        <v>10001</v>
      </c>
      <c r="J166">
        <v>30000</v>
      </c>
    </row>
    <row r="167" spans="2:10" x14ac:dyDescent="0.25">
      <c r="B167" t="s">
        <v>547</v>
      </c>
      <c r="C167" s="13">
        <v>2.3330000000000001E-4</v>
      </c>
      <c r="D167">
        <v>1.5270000000000001E-2</v>
      </c>
      <c r="E167" s="13">
        <v>8.7600000000000002E-5</v>
      </c>
      <c r="F167">
        <v>0</v>
      </c>
      <c r="G167">
        <v>0</v>
      </c>
      <c r="H167">
        <v>0</v>
      </c>
      <c r="I167">
        <v>10001</v>
      </c>
      <c r="J167">
        <v>30000</v>
      </c>
    </row>
    <row r="168" spans="2:10" x14ac:dyDescent="0.25">
      <c r="B168" t="s">
        <v>548</v>
      </c>
      <c r="C168">
        <v>3.3999999999999998E-3</v>
      </c>
      <c r="D168">
        <v>5.8209999999999998E-2</v>
      </c>
      <c r="E168" s="13">
        <v>5.0060000000000002E-4</v>
      </c>
      <c r="F168">
        <v>0</v>
      </c>
      <c r="G168">
        <v>0</v>
      </c>
      <c r="H168">
        <v>0</v>
      </c>
      <c r="I168">
        <v>10001</v>
      </c>
      <c r="J168">
        <v>30000</v>
      </c>
    </row>
    <row r="169" spans="2:10" x14ac:dyDescent="0.25">
      <c r="B169" t="s">
        <v>549</v>
      </c>
      <c r="C169">
        <v>2.2100000000000002E-2</v>
      </c>
      <c r="D169">
        <v>0.14699999999999999</v>
      </c>
      <c r="E169">
        <v>4.078E-3</v>
      </c>
      <c r="F169">
        <v>0</v>
      </c>
      <c r="G169">
        <v>0</v>
      </c>
      <c r="H169">
        <v>0</v>
      </c>
      <c r="I169">
        <v>10001</v>
      </c>
      <c r="J169">
        <v>30000</v>
      </c>
    </row>
    <row r="170" spans="2:10" x14ac:dyDescent="0.25">
      <c r="B170" t="s">
        <v>550</v>
      </c>
      <c r="C170">
        <v>6.9199999999999998E-2</v>
      </c>
      <c r="D170">
        <v>0.25380000000000003</v>
      </c>
      <c r="E170">
        <v>4.731E-3</v>
      </c>
      <c r="F170">
        <v>0</v>
      </c>
      <c r="G170">
        <v>0</v>
      </c>
      <c r="H170">
        <v>1</v>
      </c>
      <c r="I170">
        <v>10001</v>
      </c>
      <c r="J170">
        <v>30000</v>
      </c>
    </row>
    <row r="171" spans="2:10" x14ac:dyDescent="0.25">
      <c r="B171" t="s">
        <v>551</v>
      </c>
      <c r="C171">
        <v>0.23119999999999999</v>
      </c>
      <c r="D171">
        <v>0.42159999999999997</v>
      </c>
      <c r="E171">
        <v>9.3810000000000004E-3</v>
      </c>
      <c r="F171">
        <v>0</v>
      </c>
      <c r="G171">
        <v>0</v>
      </c>
      <c r="H171">
        <v>1</v>
      </c>
      <c r="I171">
        <v>10001</v>
      </c>
      <c r="J171">
        <v>30000</v>
      </c>
    </row>
    <row r="172" spans="2:10" x14ac:dyDescent="0.25">
      <c r="B172" t="s">
        <v>552</v>
      </c>
      <c r="C172">
        <v>0.373</v>
      </c>
      <c r="D172">
        <v>0.48359999999999997</v>
      </c>
      <c r="E172">
        <v>9.2420000000000002E-3</v>
      </c>
      <c r="F172">
        <v>0</v>
      </c>
      <c r="G172">
        <v>0</v>
      </c>
      <c r="H172">
        <v>1</v>
      </c>
      <c r="I172">
        <v>10001</v>
      </c>
      <c r="J172">
        <v>30000</v>
      </c>
    </row>
    <row r="173" spans="2:10" x14ac:dyDescent="0.25">
      <c r="B173" t="s">
        <v>553</v>
      </c>
      <c r="C173">
        <v>0.26850000000000002</v>
      </c>
      <c r="D173">
        <v>0.44319999999999998</v>
      </c>
      <c r="E173">
        <v>1.086E-2</v>
      </c>
      <c r="F173">
        <v>0</v>
      </c>
      <c r="G173">
        <v>0</v>
      </c>
      <c r="H173">
        <v>1</v>
      </c>
      <c r="I173">
        <v>10001</v>
      </c>
      <c r="J173">
        <v>30000</v>
      </c>
    </row>
    <row r="174" spans="2:10" x14ac:dyDescent="0.25">
      <c r="B174" t="s">
        <v>554</v>
      </c>
      <c r="C174">
        <v>3.2399999999999998E-2</v>
      </c>
      <c r="D174">
        <v>0.17710000000000001</v>
      </c>
      <c r="E174">
        <v>2.1840000000000002E-3</v>
      </c>
      <c r="F174">
        <v>0</v>
      </c>
      <c r="G174">
        <v>0</v>
      </c>
      <c r="H174">
        <v>1</v>
      </c>
      <c r="I174">
        <v>10001</v>
      </c>
      <c r="J174">
        <v>30000</v>
      </c>
    </row>
    <row r="175" spans="2:10" x14ac:dyDescent="0.25">
      <c r="B175" t="s">
        <v>555</v>
      </c>
      <c r="C175" s="13">
        <v>1.3329999999999999E-4</v>
      </c>
      <c r="D175">
        <v>1.155E-2</v>
      </c>
      <c r="E175" s="13">
        <v>8.1699999999999994E-5</v>
      </c>
      <c r="F175">
        <v>0</v>
      </c>
      <c r="G175">
        <v>0</v>
      </c>
      <c r="H175">
        <v>0</v>
      </c>
      <c r="I175">
        <v>10001</v>
      </c>
      <c r="J175">
        <v>30000</v>
      </c>
    </row>
    <row r="176" spans="2:10" x14ac:dyDescent="0.25">
      <c r="B176" t="s">
        <v>556</v>
      </c>
      <c r="C176">
        <v>1.1270000000000001E-2</v>
      </c>
      <c r="D176">
        <v>0.1055</v>
      </c>
      <c r="E176">
        <v>1.395E-3</v>
      </c>
      <c r="F176">
        <v>0</v>
      </c>
      <c r="G176">
        <v>0</v>
      </c>
      <c r="H176">
        <v>0</v>
      </c>
      <c r="I176">
        <v>10001</v>
      </c>
      <c r="J176">
        <v>30000</v>
      </c>
    </row>
    <row r="177" spans="2:10" x14ac:dyDescent="0.25">
      <c r="B177" t="s">
        <v>557</v>
      </c>
      <c r="C177">
        <v>6.4170000000000005E-2</v>
      </c>
      <c r="D177">
        <v>0.245</v>
      </c>
      <c r="E177">
        <v>5.5620000000000001E-3</v>
      </c>
      <c r="F177">
        <v>0</v>
      </c>
      <c r="G177">
        <v>0</v>
      </c>
      <c r="H177">
        <v>1</v>
      </c>
      <c r="I177">
        <v>10001</v>
      </c>
      <c r="J177">
        <v>30000</v>
      </c>
    </row>
    <row r="178" spans="2:10" x14ac:dyDescent="0.25">
      <c r="B178" t="s">
        <v>558</v>
      </c>
      <c r="C178">
        <v>0.14910000000000001</v>
      </c>
      <c r="D178">
        <v>0.35620000000000002</v>
      </c>
      <c r="E178">
        <v>6.855E-3</v>
      </c>
      <c r="F178">
        <v>0</v>
      </c>
      <c r="G178">
        <v>0</v>
      </c>
      <c r="H178">
        <v>1</v>
      </c>
      <c r="I178">
        <v>10001</v>
      </c>
      <c r="J178">
        <v>30000</v>
      </c>
    </row>
    <row r="179" spans="2:10" x14ac:dyDescent="0.25">
      <c r="B179" t="s">
        <v>559</v>
      </c>
      <c r="C179">
        <v>0.25209999999999999</v>
      </c>
      <c r="D179">
        <v>0.43419999999999997</v>
      </c>
      <c r="E179">
        <v>8.9809999999999994E-3</v>
      </c>
      <c r="F179">
        <v>0</v>
      </c>
      <c r="G179">
        <v>0</v>
      </c>
      <c r="H179">
        <v>1</v>
      </c>
      <c r="I179">
        <v>10001</v>
      </c>
      <c r="J179">
        <v>30000</v>
      </c>
    </row>
    <row r="180" spans="2:10" x14ac:dyDescent="0.25">
      <c r="B180" t="s">
        <v>560</v>
      </c>
      <c r="C180">
        <v>0.22500000000000001</v>
      </c>
      <c r="D180">
        <v>0.41760000000000003</v>
      </c>
      <c r="E180">
        <v>7.8969999999999995E-3</v>
      </c>
      <c r="F180">
        <v>0</v>
      </c>
      <c r="G180">
        <v>0</v>
      </c>
      <c r="H180">
        <v>1</v>
      </c>
      <c r="I180">
        <v>10001</v>
      </c>
      <c r="J180">
        <v>30000</v>
      </c>
    </row>
    <row r="181" spans="2:10" x14ac:dyDescent="0.25">
      <c r="B181" t="s">
        <v>561</v>
      </c>
      <c r="C181">
        <v>0.15160000000000001</v>
      </c>
      <c r="D181">
        <v>0.35859999999999997</v>
      </c>
      <c r="E181">
        <v>7.1060000000000003E-3</v>
      </c>
      <c r="F181">
        <v>0</v>
      </c>
      <c r="G181">
        <v>0</v>
      </c>
      <c r="H181">
        <v>1</v>
      </c>
      <c r="I181">
        <v>10001</v>
      </c>
      <c r="J181">
        <v>30000</v>
      </c>
    </row>
    <row r="182" spans="2:10" x14ac:dyDescent="0.25">
      <c r="B182" t="s">
        <v>562</v>
      </c>
      <c r="C182">
        <v>9.2100000000000001E-2</v>
      </c>
      <c r="D182">
        <v>0.28920000000000001</v>
      </c>
      <c r="E182">
        <v>6.3569999999999998E-3</v>
      </c>
      <c r="F182">
        <v>0</v>
      </c>
      <c r="G182">
        <v>0</v>
      </c>
      <c r="H182">
        <v>1</v>
      </c>
      <c r="I182">
        <v>10001</v>
      </c>
      <c r="J182">
        <v>30000</v>
      </c>
    </row>
    <row r="183" spans="2:10" x14ac:dyDescent="0.25">
      <c r="B183" t="s">
        <v>563</v>
      </c>
      <c r="C183">
        <v>4.5969999999999997E-2</v>
      </c>
      <c r="D183">
        <v>0.2094</v>
      </c>
      <c r="E183">
        <v>3.4629999999999999E-3</v>
      </c>
      <c r="F183">
        <v>0</v>
      </c>
      <c r="G183">
        <v>0</v>
      </c>
      <c r="H183">
        <v>1</v>
      </c>
      <c r="I183">
        <v>10001</v>
      </c>
      <c r="J183">
        <v>30000</v>
      </c>
    </row>
    <row r="184" spans="2:10" x14ac:dyDescent="0.25">
      <c r="B184" t="s">
        <v>564</v>
      </c>
      <c r="C184">
        <v>8.6669999999999994E-3</v>
      </c>
      <c r="D184">
        <v>9.2689999999999995E-2</v>
      </c>
      <c r="E184">
        <v>1.005E-3</v>
      </c>
      <c r="F184">
        <v>0</v>
      </c>
      <c r="G184">
        <v>0</v>
      </c>
      <c r="H184">
        <v>0</v>
      </c>
      <c r="I184">
        <v>10001</v>
      </c>
      <c r="J184">
        <v>30000</v>
      </c>
    </row>
    <row r="185" spans="2:10" x14ac:dyDescent="0.25">
      <c r="B185" t="s">
        <v>565</v>
      </c>
      <c r="C185">
        <v>5.0700000000000002E-2</v>
      </c>
      <c r="D185">
        <v>0.21940000000000001</v>
      </c>
      <c r="E185">
        <v>6.842E-3</v>
      </c>
      <c r="F185">
        <v>0</v>
      </c>
      <c r="G185">
        <v>0</v>
      </c>
      <c r="H185">
        <v>1</v>
      </c>
      <c r="I185">
        <v>10001</v>
      </c>
      <c r="J185">
        <v>30000</v>
      </c>
    </row>
    <row r="186" spans="2:10" x14ac:dyDescent="0.25">
      <c r="B186" t="s">
        <v>566</v>
      </c>
      <c r="C186">
        <v>0.26350000000000001</v>
      </c>
      <c r="D186">
        <v>0.4405</v>
      </c>
      <c r="E186">
        <v>1.289E-2</v>
      </c>
      <c r="F186">
        <v>0</v>
      </c>
      <c r="G186">
        <v>0</v>
      </c>
      <c r="H186">
        <v>1</v>
      </c>
      <c r="I186">
        <v>10001</v>
      </c>
      <c r="J186">
        <v>30000</v>
      </c>
    </row>
    <row r="187" spans="2:10" x14ac:dyDescent="0.25">
      <c r="B187" t="s">
        <v>567</v>
      </c>
      <c r="C187">
        <v>0.16689999999999999</v>
      </c>
      <c r="D187">
        <v>0.37290000000000001</v>
      </c>
      <c r="E187">
        <v>7.3550000000000004E-3</v>
      </c>
      <c r="F187">
        <v>0</v>
      </c>
      <c r="G187">
        <v>0</v>
      </c>
      <c r="H187">
        <v>1</v>
      </c>
      <c r="I187">
        <v>10001</v>
      </c>
      <c r="J187">
        <v>30000</v>
      </c>
    </row>
    <row r="188" spans="2:10" x14ac:dyDescent="0.25">
      <c r="B188" t="s">
        <v>568</v>
      </c>
      <c r="C188">
        <v>0.1293</v>
      </c>
      <c r="D188">
        <v>0.33550000000000002</v>
      </c>
      <c r="E188">
        <v>6.796E-3</v>
      </c>
      <c r="F188">
        <v>0</v>
      </c>
      <c r="G188">
        <v>0</v>
      </c>
      <c r="H188">
        <v>1</v>
      </c>
      <c r="I188">
        <v>10001</v>
      </c>
      <c r="J188">
        <v>30000</v>
      </c>
    </row>
    <row r="189" spans="2:10" x14ac:dyDescent="0.25">
      <c r="B189" t="s">
        <v>569</v>
      </c>
      <c r="C189">
        <v>8.8730000000000003E-2</v>
      </c>
      <c r="D189">
        <v>0.28439999999999999</v>
      </c>
      <c r="E189">
        <v>4.2589999999999998E-3</v>
      </c>
      <c r="F189">
        <v>0</v>
      </c>
      <c r="G189">
        <v>0</v>
      </c>
      <c r="H189">
        <v>1</v>
      </c>
      <c r="I189">
        <v>10001</v>
      </c>
      <c r="J189">
        <v>30000</v>
      </c>
    </row>
    <row r="190" spans="2:10" x14ac:dyDescent="0.25">
      <c r="B190" t="s">
        <v>570</v>
      </c>
      <c r="C190">
        <v>6.9070000000000006E-2</v>
      </c>
      <c r="D190">
        <v>0.25359999999999999</v>
      </c>
      <c r="E190">
        <v>4.4809999999999997E-3</v>
      </c>
      <c r="F190">
        <v>0</v>
      </c>
      <c r="G190">
        <v>0</v>
      </c>
      <c r="H190">
        <v>1</v>
      </c>
      <c r="I190">
        <v>10001</v>
      </c>
      <c r="J190">
        <v>30000</v>
      </c>
    </row>
    <row r="191" spans="2:10" x14ac:dyDescent="0.25">
      <c r="B191" t="s">
        <v>571</v>
      </c>
      <c r="C191">
        <v>5.11E-2</v>
      </c>
      <c r="D191">
        <v>0.22020000000000001</v>
      </c>
      <c r="E191">
        <v>3.1199999999999999E-3</v>
      </c>
      <c r="F191">
        <v>0</v>
      </c>
      <c r="G191">
        <v>0</v>
      </c>
      <c r="H191">
        <v>1</v>
      </c>
      <c r="I191">
        <v>10001</v>
      </c>
      <c r="J191">
        <v>30000</v>
      </c>
    </row>
    <row r="192" spans="2:10" x14ac:dyDescent="0.25">
      <c r="B192" t="s">
        <v>572</v>
      </c>
      <c r="C192">
        <v>5.4399999999999997E-2</v>
      </c>
      <c r="D192">
        <v>0.2268</v>
      </c>
      <c r="E192">
        <v>5.1529999999999996E-3</v>
      </c>
      <c r="F192">
        <v>0</v>
      </c>
      <c r="G192">
        <v>0</v>
      </c>
      <c r="H192">
        <v>1</v>
      </c>
      <c r="I192">
        <v>10001</v>
      </c>
      <c r="J192">
        <v>30000</v>
      </c>
    </row>
    <row r="193" spans="2:10" x14ac:dyDescent="0.25">
      <c r="B193" t="s">
        <v>573</v>
      </c>
      <c r="C193">
        <v>6.6769999999999996E-2</v>
      </c>
      <c r="D193">
        <v>0.24959999999999999</v>
      </c>
      <c r="E193">
        <v>6.6449999999999999E-3</v>
      </c>
      <c r="F193">
        <v>0</v>
      </c>
      <c r="G193">
        <v>0</v>
      </c>
      <c r="H193">
        <v>1</v>
      </c>
      <c r="I193">
        <v>10001</v>
      </c>
      <c r="J193">
        <v>30000</v>
      </c>
    </row>
    <row r="194" spans="2:10" x14ac:dyDescent="0.25">
      <c r="B194" t="s">
        <v>574</v>
      </c>
      <c r="C194">
        <v>5.9499999999999997E-2</v>
      </c>
      <c r="D194">
        <v>0.2366</v>
      </c>
      <c r="E194">
        <v>6.1520000000000004E-3</v>
      </c>
      <c r="F194">
        <v>0</v>
      </c>
      <c r="G194">
        <v>0</v>
      </c>
      <c r="H194">
        <v>1</v>
      </c>
      <c r="I194">
        <v>10001</v>
      </c>
      <c r="J194">
        <v>30000</v>
      </c>
    </row>
    <row r="195" spans="2:10" x14ac:dyDescent="0.25">
      <c r="B195" t="s">
        <v>575</v>
      </c>
      <c r="C195">
        <v>6.1000000000000004E-3</v>
      </c>
      <c r="D195">
        <v>7.7859999999999999E-2</v>
      </c>
      <c r="E195">
        <v>1.0579999999999999E-3</v>
      </c>
      <c r="F195">
        <v>0</v>
      </c>
      <c r="G195">
        <v>0</v>
      </c>
      <c r="H195">
        <v>0</v>
      </c>
      <c r="I195">
        <v>10001</v>
      </c>
      <c r="J195">
        <v>30000</v>
      </c>
    </row>
    <row r="196" spans="2:10" x14ac:dyDescent="0.25">
      <c r="B196" t="s">
        <v>576</v>
      </c>
      <c r="C196">
        <v>5.4129999999999998E-2</v>
      </c>
      <c r="D196">
        <v>0.2263</v>
      </c>
      <c r="E196">
        <v>4.594E-3</v>
      </c>
      <c r="F196">
        <v>0</v>
      </c>
      <c r="G196">
        <v>0</v>
      </c>
      <c r="H196">
        <v>1</v>
      </c>
      <c r="I196">
        <v>10001</v>
      </c>
      <c r="J196">
        <v>30000</v>
      </c>
    </row>
    <row r="197" spans="2:10" x14ac:dyDescent="0.25">
      <c r="B197" t="s">
        <v>577</v>
      </c>
      <c r="C197">
        <v>7.0099999999999996E-2</v>
      </c>
      <c r="D197">
        <v>0.25530000000000003</v>
      </c>
      <c r="E197">
        <v>4.2050000000000004E-3</v>
      </c>
      <c r="F197">
        <v>0</v>
      </c>
      <c r="G197">
        <v>0</v>
      </c>
      <c r="H197">
        <v>1</v>
      </c>
      <c r="I197">
        <v>10001</v>
      </c>
      <c r="J197">
        <v>30000</v>
      </c>
    </row>
    <row r="198" spans="2:10" x14ac:dyDescent="0.25">
      <c r="B198" t="s">
        <v>578</v>
      </c>
      <c r="C198">
        <v>7.3169999999999999E-2</v>
      </c>
      <c r="D198">
        <v>0.26040000000000002</v>
      </c>
      <c r="E198">
        <v>4.1859999999999996E-3</v>
      </c>
      <c r="F198">
        <v>0</v>
      </c>
      <c r="G198">
        <v>0</v>
      </c>
      <c r="H198">
        <v>1</v>
      </c>
      <c r="I198">
        <v>10001</v>
      </c>
      <c r="J198">
        <v>30000</v>
      </c>
    </row>
    <row r="199" spans="2:10" x14ac:dyDescent="0.25">
      <c r="B199" t="s">
        <v>579</v>
      </c>
      <c r="C199">
        <v>7.3099999999999998E-2</v>
      </c>
      <c r="D199">
        <v>0.26029999999999998</v>
      </c>
      <c r="E199">
        <v>4.0759999999999998E-3</v>
      </c>
      <c r="F199">
        <v>0</v>
      </c>
      <c r="G199">
        <v>0</v>
      </c>
      <c r="H199">
        <v>1</v>
      </c>
      <c r="I199">
        <v>10001</v>
      </c>
      <c r="J199">
        <v>30000</v>
      </c>
    </row>
    <row r="200" spans="2:10" x14ac:dyDescent="0.25">
      <c r="B200" t="s">
        <v>580</v>
      </c>
      <c r="C200">
        <v>8.6269999999999999E-2</v>
      </c>
      <c r="D200">
        <v>0.28079999999999999</v>
      </c>
      <c r="E200">
        <v>6.463E-3</v>
      </c>
      <c r="F200">
        <v>0</v>
      </c>
      <c r="G200">
        <v>0</v>
      </c>
      <c r="H200">
        <v>1</v>
      </c>
      <c r="I200">
        <v>10001</v>
      </c>
      <c r="J200">
        <v>30000</v>
      </c>
    </row>
    <row r="201" spans="2:10" x14ac:dyDescent="0.25">
      <c r="B201" t="s">
        <v>581</v>
      </c>
      <c r="C201">
        <v>7.3300000000000004E-2</v>
      </c>
      <c r="D201">
        <v>0.2606</v>
      </c>
      <c r="E201">
        <v>3.0790000000000001E-3</v>
      </c>
      <c r="F201">
        <v>0</v>
      </c>
      <c r="G201">
        <v>0</v>
      </c>
      <c r="H201">
        <v>1</v>
      </c>
      <c r="I201">
        <v>10001</v>
      </c>
      <c r="J201">
        <v>30000</v>
      </c>
    </row>
    <row r="202" spans="2:10" x14ac:dyDescent="0.25">
      <c r="B202" t="s">
        <v>582</v>
      </c>
      <c r="C202">
        <v>8.2229999999999998E-2</v>
      </c>
      <c r="D202">
        <v>0.2747</v>
      </c>
      <c r="E202">
        <v>3.3830000000000002E-3</v>
      </c>
      <c r="F202">
        <v>0</v>
      </c>
      <c r="G202">
        <v>0</v>
      </c>
      <c r="H202">
        <v>1</v>
      </c>
      <c r="I202">
        <v>10001</v>
      </c>
      <c r="J202">
        <v>30000</v>
      </c>
    </row>
    <row r="203" spans="2:10" x14ac:dyDescent="0.25">
      <c r="B203" t="s">
        <v>583</v>
      </c>
      <c r="C203">
        <v>0.1542</v>
      </c>
      <c r="D203">
        <v>0.36109999999999998</v>
      </c>
      <c r="E203">
        <v>7.0239999999999999E-3</v>
      </c>
      <c r="F203">
        <v>0</v>
      </c>
      <c r="G203">
        <v>0</v>
      </c>
      <c r="H203">
        <v>1</v>
      </c>
      <c r="I203">
        <v>10001</v>
      </c>
      <c r="J203">
        <v>30000</v>
      </c>
    </row>
    <row r="204" spans="2:10" x14ac:dyDescent="0.25">
      <c r="B204" t="s">
        <v>584</v>
      </c>
      <c r="C204">
        <v>0.32740000000000002</v>
      </c>
      <c r="D204">
        <v>0.46929999999999999</v>
      </c>
      <c r="E204">
        <v>1.4189999999999999E-2</v>
      </c>
      <c r="F204">
        <v>0</v>
      </c>
      <c r="G204">
        <v>0</v>
      </c>
      <c r="H204">
        <v>1</v>
      </c>
      <c r="I204">
        <v>10001</v>
      </c>
      <c r="J204">
        <v>30000</v>
      </c>
    </row>
    <row r="205" spans="2:10" x14ac:dyDescent="0.25">
      <c r="B205" t="s">
        <v>585</v>
      </c>
      <c r="C205">
        <v>0.87280000000000002</v>
      </c>
      <c r="D205">
        <v>0.3332</v>
      </c>
      <c r="E205">
        <v>9.2630000000000004E-3</v>
      </c>
      <c r="F205">
        <v>0</v>
      </c>
      <c r="G205">
        <v>1</v>
      </c>
      <c r="H205">
        <v>1</v>
      </c>
      <c r="I205">
        <v>10001</v>
      </c>
      <c r="J205">
        <v>30000</v>
      </c>
    </row>
    <row r="206" spans="2:10" x14ac:dyDescent="0.25">
      <c r="B206" t="s">
        <v>586</v>
      </c>
      <c r="C206">
        <v>7.22E-2</v>
      </c>
      <c r="D206">
        <v>0.25879999999999997</v>
      </c>
      <c r="E206">
        <v>4.816E-3</v>
      </c>
      <c r="F206">
        <v>0</v>
      </c>
      <c r="G206">
        <v>0</v>
      </c>
      <c r="H206">
        <v>1</v>
      </c>
      <c r="I206">
        <v>10001</v>
      </c>
      <c r="J206">
        <v>30000</v>
      </c>
    </row>
    <row r="207" spans="2:10" x14ac:dyDescent="0.25">
      <c r="B207" t="s">
        <v>587</v>
      </c>
      <c r="C207">
        <v>2.777E-2</v>
      </c>
      <c r="D207">
        <v>0.1643</v>
      </c>
      <c r="E207">
        <v>3.2529999999999998E-3</v>
      </c>
      <c r="F207">
        <v>0</v>
      </c>
      <c r="G207">
        <v>0</v>
      </c>
      <c r="H207">
        <v>1</v>
      </c>
      <c r="I207">
        <v>10001</v>
      </c>
      <c r="J207">
        <v>30000</v>
      </c>
    </row>
    <row r="208" spans="2:10" x14ac:dyDescent="0.25">
      <c r="B208" t="s">
        <v>588</v>
      </c>
      <c r="C208">
        <v>1.5730000000000001E-2</v>
      </c>
      <c r="D208">
        <v>0.1244</v>
      </c>
      <c r="E208">
        <v>4.1619999999999999E-3</v>
      </c>
      <c r="F208">
        <v>0</v>
      </c>
      <c r="G208">
        <v>0</v>
      </c>
      <c r="H208">
        <v>0</v>
      </c>
      <c r="I208">
        <v>10001</v>
      </c>
      <c r="J208">
        <v>30000</v>
      </c>
    </row>
    <row r="209" spans="2:10" x14ac:dyDescent="0.25">
      <c r="B209" t="s">
        <v>589</v>
      </c>
      <c r="C209">
        <v>5.1330000000000004E-3</v>
      </c>
      <c r="D209">
        <v>7.1459999999999996E-2</v>
      </c>
      <c r="E209">
        <v>1.312E-3</v>
      </c>
      <c r="F209">
        <v>0</v>
      </c>
      <c r="G209">
        <v>0</v>
      </c>
      <c r="H209">
        <v>0</v>
      </c>
      <c r="I209">
        <v>10001</v>
      </c>
      <c r="J209">
        <v>30000</v>
      </c>
    </row>
    <row r="210" spans="2:10" x14ac:dyDescent="0.25">
      <c r="B210" t="s">
        <v>590</v>
      </c>
      <c r="C210">
        <v>1.933E-3</v>
      </c>
      <c r="D210">
        <v>4.3929999999999997E-2</v>
      </c>
      <c r="E210" s="13">
        <v>6.2029999999999995E-4</v>
      </c>
      <c r="F210">
        <v>0</v>
      </c>
      <c r="G210">
        <v>0</v>
      </c>
      <c r="H210">
        <v>0</v>
      </c>
      <c r="I210">
        <v>10001</v>
      </c>
      <c r="J210">
        <v>30000</v>
      </c>
    </row>
    <row r="211" spans="2:10" x14ac:dyDescent="0.25">
      <c r="B211" t="s">
        <v>591</v>
      </c>
      <c r="C211">
        <v>2.5999999999999999E-3</v>
      </c>
      <c r="D211">
        <v>5.092E-2</v>
      </c>
      <c r="E211">
        <v>1.072E-3</v>
      </c>
      <c r="F211">
        <v>0</v>
      </c>
      <c r="G211">
        <v>0</v>
      </c>
      <c r="H211">
        <v>0</v>
      </c>
      <c r="I211">
        <v>10001</v>
      </c>
      <c r="J211">
        <v>30000</v>
      </c>
    </row>
    <row r="212" spans="2:10" x14ac:dyDescent="0.25">
      <c r="B212" t="s">
        <v>592</v>
      </c>
      <c r="C212" s="13">
        <v>8.9999999999999998E-4</v>
      </c>
      <c r="D212">
        <v>2.9989999999999999E-2</v>
      </c>
      <c r="E212" s="13">
        <v>1.9699999999999999E-4</v>
      </c>
      <c r="F212">
        <v>0</v>
      </c>
      <c r="G212">
        <v>0</v>
      </c>
      <c r="H212">
        <v>0</v>
      </c>
      <c r="I212">
        <v>10001</v>
      </c>
      <c r="J212">
        <v>30000</v>
      </c>
    </row>
    <row r="213" spans="2:10" x14ac:dyDescent="0.25">
      <c r="B213" t="s">
        <v>593</v>
      </c>
      <c r="C213" s="13">
        <v>5.6669999999999995E-4</v>
      </c>
      <c r="D213">
        <v>2.3800000000000002E-2</v>
      </c>
      <c r="E213" s="13">
        <v>1.774E-4</v>
      </c>
      <c r="F213">
        <v>0</v>
      </c>
      <c r="G213">
        <v>0</v>
      </c>
      <c r="H213">
        <v>0</v>
      </c>
      <c r="I213">
        <v>10001</v>
      </c>
      <c r="J213">
        <v>30000</v>
      </c>
    </row>
    <row r="214" spans="2:10" x14ac:dyDescent="0.25">
      <c r="B214" t="s">
        <v>594</v>
      </c>
      <c r="C214" s="13">
        <v>3.6670000000000002E-4</v>
      </c>
      <c r="D214">
        <v>1.915E-2</v>
      </c>
      <c r="E214" s="13">
        <v>1.2799999999999999E-4</v>
      </c>
      <c r="F214">
        <v>0</v>
      </c>
      <c r="G214">
        <v>0</v>
      </c>
      <c r="H214">
        <v>0</v>
      </c>
      <c r="I214">
        <v>10001</v>
      </c>
      <c r="J214">
        <v>30000</v>
      </c>
    </row>
    <row r="215" spans="2:10" x14ac:dyDescent="0.25">
      <c r="B215" t="s">
        <v>595</v>
      </c>
      <c r="C215">
        <v>4.7070000000000001E-2</v>
      </c>
      <c r="D215">
        <v>0.21179999999999999</v>
      </c>
      <c r="E215">
        <v>4.6899999999999997E-3</v>
      </c>
      <c r="F215">
        <v>0</v>
      </c>
      <c r="G215">
        <v>0</v>
      </c>
      <c r="H215">
        <v>1</v>
      </c>
      <c r="I215">
        <v>10001</v>
      </c>
      <c r="J215">
        <v>30000</v>
      </c>
    </row>
    <row r="216" spans="2:10" x14ac:dyDescent="0.25">
      <c r="B216" t="s">
        <v>596</v>
      </c>
      <c r="C216">
        <v>0.34599999999999997</v>
      </c>
      <c r="D216">
        <v>0.47570000000000001</v>
      </c>
      <c r="E216">
        <v>1.1679999999999999E-2</v>
      </c>
      <c r="F216">
        <v>0</v>
      </c>
      <c r="G216">
        <v>0</v>
      </c>
      <c r="H216">
        <v>1</v>
      </c>
      <c r="I216">
        <v>10001</v>
      </c>
      <c r="J216">
        <v>30000</v>
      </c>
    </row>
    <row r="217" spans="2:10" x14ac:dyDescent="0.25">
      <c r="B217" t="s">
        <v>597</v>
      </c>
      <c r="C217">
        <v>0.26129999999999998</v>
      </c>
      <c r="D217">
        <v>0.43940000000000001</v>
      </c>
      <c r="E217">
        <v>9.9290000000000003E-3</v>
      </c>
      <c r="F217">
        <v>0</v>
      </c>
      <c r="G217">
        <v>0</v>
      </c>
      <c r="H217">
        <v>1</v>
      </c>
      <c r="I217">
        <v>10001</v>
      </c>
      <c r="J217">
        <v>30000</v>
      </c>
    </row>
    <row r="218" spans="2:10" x14ac:dyDescent="0.25">
      <c r="B218" t="s">
        <v>598</v>
      </c>
      <c r="C218">
        <v>0.13109999999999999</v>
      </c>
      <c r="D218">
        <v>0.33750000000000002</v>
      </c>
      <c r="E218">
        <v>5.0679999999999996E-3</v>
      </c>
      <c r="F218">
        <v>0</v>
      </c>
      <c r="G218">
        <v>0</v>
      </c>
      <c r="H218">
        <v>1</v>
      </c>
      <c r="I218">
        <v>10001</v>
      </c>
      <c r="J218">
        <v>30000</v>
      </c>
    </row>
    <row r="219" spans="2:10" x14ac:dyDescent="0.25">
      <c r="B219" t="s">
        <v>599</v>
      </c>
      <c r="C219">
        <v>9.3329999999999996E-2</v>
      </c>
      <c r="D219">
        <v>0.29089999999999999</v>
      </c>
      <c r="E219">
        <v>5.764E-3</v>
      </c>
      <c r="F219">
        <v>0</v>
      </c>
      <c r="G219">
        <v>0</v>
      </c>
      <c r="H219">
        <v>1</v>
      </c>
      <c r="I219">
        <v>10001</v>
      </c>
      <c r="J219">
        <v>30000</v>
      </c>
    </row>
    <row r="220" spans="2:10" x14ac:dyDescent="0.25">
      <c r="B220" t="s">
        <v>600</v>
      </c>
      <c r="C220">
        <v>5.6129999999999999E-2</v>
      </c>
      <c r="D220">
        <v>0.23019999999999999</v>
      </c>
      <c r="E220">
        <v>4.8450000000000003E-3</v>
      </c>
      <c r="F220">
        <v>0</v>
      </c>
      <c r="G220">
        <v>0</v>
      </c>
      <c r="H220">
        <v>1</v>
      </c>
      <c r="I220">
        <v>10001</v>
      </c>
      <c r="J220">
        <v>30000</v>
      </c>
    </row>
    <row r="221" spans="2:10" x14ac:dyDescent="0.25">
      <c r="B221" t="s">
        <v>601</v>
      </c>
      <c r="C221">
        <v>2.98E-2</v>
      </c>
      <c r="D221">
        <v>0.17</v>
      </c>
      <c r="E221">
        <v>2.088E-3</v>
      </c>
      <c r="F221">
        <v>0</v>
      </c>
      <c r="G221">
        <v>0</v>
      </c>
      <c r="H221">
        <v>1</v>
      </c>
      <c r="I221">
        <v>10001</v>
      </c>
      <c r="J221">
        <v>30000</v>
      </c>
    </row>
    <row r="222" spans="2:10" x14ac:dyDescent="0.25">
      <c r="B222" t="s">
        <v>602</v>
      </c>
      <c r="C222">
        <v>1.7129999999999999E-2</v>
      </c>
      <c r="D222">
        <v>0.1298</v>
      </c>
      <c r="E222">
        <v>1.1709999999999999E-3</v>
      </c>
      <c r="F222">
        <v>0</v>
      </c>
      <c r="G222">
        <v>0</v>
      </c>
      <c r="H222">
        <v>0</v>
      </c>
      <c r="I222">
        <v>10001</v>
      </c>
      <c r="J222">
        <v>30000</v>
      </c>
    </row>
    <row r="223" spans="2:10" x14ac:dyDescent="0.25">
      <c r="B223" t="s">
        <v>603</v>
      </c>
      <c r="C223">
        <v>1.1469999999999999E-2</v>
      </c>
      <c r="D223">
        <v>0.1065</v>
      </c>
      <c r="E223" s="13">
        <v>9.4729999999999999E-4</v>
      </c>
      <c r="F223">
        <v>0</v>
      </c>
      <c r="G223">
        <v>0</v>
      </c>
      <c r="H223">
        <v>0</v>
      </c>
      <c r="I223">
        <v>10001</v>
      </c>
      <c r="J223">
        <v>30000</v>
      </c>
    </row>
    <row r="224" spans="2:10" x14ac:dyDescent="0.25">
      <c r="B224" t="s">
        <v>604</v>
      </c>
      <c r="C224">
        <v>6.633E-3</v>
      </c>
      <c r="D224">
        <v>8.1170000000000006E-2</v>
      </c>
      <c r="E224" s="13">
        <v>6.7089999999999999E-4</v>
      </c>
      <c r="F224">
        <v>0</v>
      </c>
      <c r="G224">
        <v>0</v>
      </c>
      <c r="H224">
        <v>0</v>
      </c>
      <c r="I224">
        <v>10001</v>
      </c>
      <c r="J224">
        <v>30000</v>
      </c>
    </row>
    <row r="225" spans="2:10" x14ac:dyDescent="0.25">
      <c r="B225" t="s">
        <v>605</v>
      </c>
      <c r="C225">
        <v>2.103E-2</v>
      </c>
      <c r="D225">
        <v>0.14349999999999999</v>
      </c>
      <c r="E225">
        <v>2.5690000000000001E-3</v>
      </c>
      <c r="F225">
        <v>0</v>
      </c>
      <c r="G225">
        <v>0</v>
      </c>
      <c r="H225">
        <v>0</v>
      </c>
      <c r="I225">
        <v>10001</v>
      </c>
      <c r="J225">
        <v>30000</v>
      </c>
    </row>
    <row r="226" spans="2:10" x14ac:dyDescent="0.25">
      <c r="B226" t="s">
        <v>606</v>
      </c>
      <c r="C226">
        <v>0.1779</v>
      </c>
      <c r="D226">
        <v>0.38240000000000002</v>
      </c>
      <c r="E226">
        <v>1.0540000000000001E-2</v>
      </c>
      <c r="F226">
        <v>0</v>
      </c>
      <c r="G226">
        <v>0</v>
      </c>
      <c r="H226">
        <v>1</v>
      </c>
      <c r="I226">
        <v>10001</v>
      </c>
      <c r="J226">
        <v>30000</v>
      </c>
    </row>
    <row r="227" spans="2:10" x14ac:dyDescent="0.25">
      <c r="B227" t="s">
        <v>607</v>
      </c>
      <c r="C227">
        <v>0.1653</v>
      </c>
      <c r="D227">
        <v>0.3715</v>
      </c>
      <c r="E227">
        <v>6.6290000000000003E-3</v>
      </c>
      <c r="F227">
        <v>0</v>
      </c>
      <c r="G227">
        <v>0</v>
      </c>
      <c r="H227">
        <v>1</v>
      </c>
      <c r="I227">
        <v>10001</v>
      </c>
      <c r="J227">
        <v>30000</v>
      </c>
    </row>
    <row r="228" spans="2:10" x14ac:dyDescent="0.25">
      <c r="B228" t="s">
        <v>608</v>
      </c>
      <c r="C228">
        <v>0.13139999999999999</v>
      </c>
      <c r="D228">
        <v>0.33789999999999998</v>
      </c>
      <c r="E228">
        <v>5.6820000000000004E-3</v>
      </c>
      <c r="F228">
        <v>0</v>
      </c>
      <c r="G228">
        <v>0</v>
      </c>
      <c r="H228">
        <v>1</v>
      </c>
      <c r="I228">
        <v>10001</v>
      </c>
      <c r="J228">
        <v>30000</v>
      </c>
    </row>
    <row r="229" spans="2:10" x14ac:dyDescent="0.25">
      <c r="B229" t="s">
        <v>609</v>
      </c>
      <c r="C229">
        <v>0.1057</v>
      </c>
      <c r="D229">
        <v>0.30740000000000001</v>
      </c>
      <c r="E229">
        <v>5.1570000000000001E-3</v>
      </c>
      <c r="F229">
        <v>0</v>
      </c>
      <c r="G229">
        <v>0</v>
      </c>
      <c r="H229">
        <v>1</v>
      </c>
      <c r="I229">
        <v>10001</v>
      </c>
      <c r="J229">
        <v>30000</v>
      </c>
    </row>
    <row r="230" spans="2:10" x14ac:dyDescent="0.25">
      <c r="B230" t="s">
        <v>610</v>
      </c>
      <c r="C230">
        <v>9.937E-2</v>
      </c>
      <c r="D230">
        <v>0.29920000000000002</v>
      </c>
      <c r="E230">
        <v>4.5880000000000001E-3</v>
      </c>
      <c r="F230">
        <v>0</v>
      </c>
      <c r="G230">
        <v>0</v>
      </c>
      <c r="H230">
        <v>1</v>
      </c>
      <c r="I230">
        <v>10001</v>
      </c>
      <c r="J230">
        <v>30000</v>
      </c>
    </row>
    <row r="231" spans="2:10" x14ac:dyDescent="0.25">
      <c r="B231" t="s">
        <v>611</v>
      </c>
      <c r="C231">
        <v>8.3529999999999993E-2</v>
      </c>
      <c r="D231">
        <v>0.2767</v>
      </c>
      <c r="E231">
        <v>4.2789999999999998E-3</v>
      </c>
      <c r="F231">
        <v>0</v>
      </c>
      <c r="G231">
        <v>0</v>
      </c>
      <c r="H231">
        <v>1</v>
      </c>
      <c r="I231">
        <v>10001</v>
      </c>
      <c r="J231">
        <v>30000</v>
      </c>
    </row>
    <row r="232" spans="2:10" x14ac:dyDescent="0.25">
      <c r="B232" t="s">
        <v>612</v>
      </c>
      <c r="C232">
        <v>7.6730000000000007E-2</v>
      </c>
      <c r="D232">
        <v>0.26619999999999999</v>
      </c>
      <c r="E232">
        <v>5.6519999999999999E-3</v>
      </c>
      <c r="F232">
        <v>0</v>
      </c>
      <c r="G232">
        <v>0</v>
      </c>
      <c r="H232">
        <v>1</v>
      </c>
      <c r="I232">
        <v>10001</v>
      </c>
      <c r="J232">
        <v>30000</v>
      </c>
    </row>
    <row r="233" spans="2:10" x14ac:dyDescent="0.25">
      <c r="B233" t="s">
        <v>613</v>
      </c>
      <c r="C233">
        <v>7.6429999999999998E-2</v>
      </c>
      <c r="D233">
        <v>0.26569999999999999</v>
      </c>
      <c r="E233">
        <v>5.9189999999999998E-3</v>
      </c>
      <c r="F233">
        <v>0</v>
      </c>
      <c r="G233">
        <v>0</v>
      </c>
      <c r="H233">
        <v>1</v>
      </c>
      <c r="I233">
        <v>10001</v>
      </c>
      <c r="J233">
        <v>30000</v>
      </c>
    </row>
    <row r="234" spans="2:10" x14ac:dyDescent="0.25">
      <c r="B234" t="s">
        <v>614</v>
      </c>
      <c r="C234">
        <v>6.2570000000000001E-2</v>
      </c>
      <c r="D234">
        <v>0.2422</v>
      </c>
      <c r="E234">
        <v>4.2789999999999998E-3</v>
      </c>
      <c r="F234">
        <v>0</v>
      </c>
      <c r="G234">
        <v>0</v>
      </c>
      <c r="H234">
        <v>1</v>
      </c>
      <c r="I234">
        <v>10001</v>
      </c>
      <c r="J234">
        <v>30000</v>
      </c>
    </row>
    <row r="235" spans="2:10" x14ac:dyDescent="0.25">
      <c r="B235" t="s">
        <v>615</v>
      </c>
      <c r="C235">
        <v>2E-3</v>
      </c>
      <c r="D235">
        <v>4.4679999999999997E-2</v>
      </c>
      <c r="E235" s="13">
        <v>3.143E-4</v>
      </c>
      <c r="F235">
        <v>0</v>
      </c>
      <c r="G235">
        <v>0</v>
      </c>
      <c r="H235">
        <v>0</v>
      </c>
      <c r="I235">
        <v>10001</v>
      </c>
      <c r="J235">
        <v>30000</v>
      </c>
    </row>
    <row r="236" spans="2:10" x14ac:dyDescent="0.25">
      <c r="B236" t="s">
        <v>616</v>
      </c>
      <c r="C236">
        <v>7.2830000000000006E-2</v>
      </c>
      <c r="D236">
        <v>0.25990000000000002</v>
      </c>
      <c r="E236">
        <v>4.8849999999999996E-3</v>
      </c>
      <c r="F236">
        <v>0</v>
      </c>
      <c r="G236">
        <v>0</v>
      </c>
      <c r="H236">
        <v>1</v>
      </c>
      <c r="I236">
        <v>10001</v>
      </c>
      <c r="J236">
        <v>30000</v>
      </c>
    </row>
    <row r="237" spans="2:10" x14ac:dyDescent="0.25">
      <c r="B237" t="s">
        <v>617</v>
      </c>
      <c r="C237">
        <v>0.23180000000000001</v>
      </c>
      <c r="D237">
        <v>0.42199999999999999</v>
      </c>
      <c r="E237">
        <v>9.3150000000000004E-3</v>
      </c>
      <c r="F237">
        <v>0</v>
      </c>
      <c r="G237">
        <v>0</v>
      </c>
      <c r="H237">
        <v>1</v>
      </c>
      <c r="I237">
        <v>10001</v>
      </c>
      <c r="J237">
        <v>30000</v>
      </c>
    </row>
    <row r="238" spans="2:10" x14ac:dyDescent="0.25">
      <c r="B238" t="s">
        <v>618</v>
      </c>
      <c r="C238">
        <v>0.31440000000000001</v>
      </c>
      <c r="D238">
        <v>0.46429999999999999</v>
      </c>
      <c r="E238">
        <v>9.5510000000000005E-3</v>
      </c>
      <c r="F238">
        <v>0</v>
      </c>
      <c r="G238">
        <v>0</v>
      </c>
      <c r="H238">
        <v>1</v>
      </c>
      <c r="I238">
        <v>10001</v>
      </c>
      <c r="J238">
        <v>30000</v>
      </c>
    </row>
    <row r="239" spans="2:10" x14ac:dyDescent="0.25">
      <c r="B239" t="s">
        <v>619</v>
      </c>
      <c r="C239">
        <v>0.2248</v>
      </c>
      <c r="D239">
        <v>0.41749999999999998</v>
      </c>
      <c r="E239">
        <v>8.8640000000000004E-3</v>
      </c>
      <c r="F239">
        <v>0</v>
      </c>
      <c r="G239">
        <v>0</v>
      </c>
      <c r="H239">
        <v>1</v>
      </c>
      <c r="I239">
        <v>10001</v>
      </c>
      <c r="J239">
        <v>30000</v>
      </c>
    </row>
    <row r="240" spans="2:10" x14ac:dyDescent="0.25">
      <c r="B240" t="s">
        <v>620</v>
      </c>
      <c r="C240">
        <v>0.1056</v>
      </c>
      <c r="D240">
        <v>0.30730000000000002</v>
      </c>
      <c r="E240">
        <v>5.4260000000000003E-3</v>
      </c>
      <c r="F240">
        <v>0</v>
      </c>
      <c r="G240">
        <v>0</v>
      </c>
      <c r="H240">
        <v>1</v>
      </c>
      <c r="I240">
        <v>10001</v>
      </c>
      <c r="J240">
        <v>30000</v>
      </c>
    </row>
    <row r="241" spans="2:10" x14ac:dyDescent="0.25">
      <c r="B241" t="s">
        <v>621</v>
      </c>
      <c r="C241">
        <v>3.5499999999999997E-2</v>
      </c>
      <c r="D241">
        <v>0.185</v>
      </c>
      <c r="E241">
        <v>2.947E-3</v>
      </c>
      <c r="F241">
        <v>0</v>
      </c>
      <c r="G241">
        <v>0</v>
      </c>
      <c r="H241">
        <v>1</v>
      </c>
      <c r="I241">
        <v>10001</v>
      </c>
      <c r="J241">
        <v>30000</v>
      </c>
    </row>
    <row r="242" spans="2:10" x14ac:dyDescent="0.25">
      <c r="B242" t="s">
        <v>622</v>
      </c>
      <c r="C242">
        <v>9.7000000000000003E-3</v>
      </c>
      <c r="D242">
        <v>9.801E-2</v>
      </c>
      <c r="E242" s="13">
        <v>8.6629999999999997E-4</v>
      </c>
      <c r="F242">
        <v>0</v>
      </c>
      <c r="G242">
        <v>0</v>
      </c>
      <c r="H242">
        <v>0</v>
      </c>
      <c r="I242">
        <v>10001</v>
      </c>
      <c r="J242">
        <v>30000</v>
      </c>
    </row>
    <row r="243" spans="2:10" x14ac:dyDescent="0.25">
      <c r="B243" t="s">
        <v>623</v>
      </c>
      <c r="C243">
        <v>3.3E-3</v>
      </c>
      <c r="D243">
        <v>5.7349999999999998E-2</v>
      </c>
      <c r="E243" s="13">
        <v>4.08E-4</v>
      </c>
      <c r="F243">
        <v>0</v>
      </c>
      <c r="G243">
        <v>0</v>
      </c>
      <c r="H243">
        <v>0</v>
      </c>
      <c r="I243">
        <v>10001</v>
      </c>
      <c r="J243">
        <v>30000</v>
      </c>
    </row>
    <row r="244" spans="2:10" x14ac:dyDescent="0.25">
      <c r="B244" t="s">
        <v>624</v>
      </c>
      <c r="C244" s="13">
        <v>6.6669999999999997E-5</v>
      </c>
      <c r="D244">
        <v>8.1650000000000004E-3</v>
      </c>
      <c r="E244" s="13">
        <v>4.7219999999999999E-5</v>
      </c>
      <c r="F244">
        <v>0</v>
      </c>
      <c r="G244">
        <v>0</v>
      </c>
      <c r="H244">
        <v>0</v>
      </c>
      <c r="I244">
        <v>10001</v>
      </c>
      <c r="J244">
        <v>30000</v>
      </c>
    </row>
    <row r="245" spans="2:10" x14ac:dyDescent="0.25">
      <c r="B245" t="s">
        <v>625</v>
      </c>
      <c r="C245">
        <v>0</v>
      </c>
      <c r="D245">
        <v>0</v>
      </c>
      <c r="E245" s="13">
        <v>3.333E-13</v>
      </c>
      <c r="F245">
        <v>0</v>
      </c>
      <c r="G245">
        <v>0</v>
      </c>
      <c r="H245">
        <v>0</v>
      </c>
      <c r="I245">
        <v>10001</v>
      </c>
      <c r="J245">
        <v>30000</v>
      </c>
    </row>
    <row r="246" spans="2:10" x14ac:dyDescent="0.25">
      <c r="B246" t="s">
        <v>626</v>
      </c>
      <c r="C246">
        <v>0</v>
      </c>
      <c r="D246">
        <v>0</v>
      </c>
      <c r="E246" s="13">
        <v>3.333E-13</v>
      </c>
      <c r="F246">
        <v>0</v>
      </c>
      <c r="G246">
        <v>0</v>
      </c>
      <c r="H246">
        <v>0</v>
      </c>
      <c r="I246">
        <v>10001</v>
      </c>
      <c r="J246">
        <v>30000</v>
      </c>
    </row>
    <row r="247" spans="2:10" x14ac:dyDescent="0.25">
      <c r="B247" t="s">
        <v>627</v>
      </c>
      <c r="C247" s="13">
        <v>2.9999999999999997E-4</v>
      </c>
      <c r="D247">
        <v>1.7319999999999999E-2</v>
      </c>
      <c r="E247" s="13">
        <v>9.8980000000000004E-5</v>
      </c>
      <c r="F247">
        <v>0</v>
      </c>
      <c r="G247">
        <v>0</v>
      </c>
      <c r="H247">
        <v>0</v>
      </c>
      <c r="I247">
        <v>10001</v>
      </c>
      <c r="J247">
        <v>30000</v>
      </c>
    </row>
    <row r="248" spans="2:10" x14ac:dyDescent="0.25">
      <c r="B248" t="s">
        <v>628</v>
      </c>
      <c r="C248">
        <v>1.4E-3</v>
      </c>
      <c r="D248">
        <v>3.739E-2</v>
      </c>
      <c r="E248" s="13">
        <v>3.0360000000000001E-4</v>
      </c>
      <c r="F248">
        <v>0</v>
      </c>
      <c r="G248">
        <v>0</v>
      </c>
      <c r="H248">
        <v>0</v>
      </c>
      <c r="I248">
        <v>10001</v>
      </c>
      <c r="J248">
        <v>30000</v>
      </c>
    </row>
    <row r="249" spans="2:10" x14ac:dyDescent="0.25">
      <c r="B249" t="s">
        <v>629</v>
      </c>
      <c r="C249">
        <v>5.2329999999999998E-3</v>
      </c>
      <c r="D249">
        <v>7.2150000000000006E-2</v>
      </c>
      <c r="E249" s="13">
        <v>6.8400000000000004E-4</v>
      </c>
      <c r="F249">
        <v>0</v>
      </c>
      <c r="G249">
        <v>0</v>
      </c>
      <c r="H249">
        <v>0</v>
      </c>
      <c r="I249">
        <v>10001</v>
      </c>
      <c r="J249">
        <v>30000</v>
      </c>
    </row>
    <row r="250" spans="2:10" x14ac:dyDescent="0.25">
      <c r="B250" t="s">
        <v>630</v>
      </c>
      <c r="C250">
        <v>1.397E-2</v>
      </c>
      <c r="D250">
        <v>0.1174</v>
      </c>
      <c r="E250">
        <v>1.325E-3</v>
      </c>
      <c r="F250">
        <v>0</v>
      </c>
      <c r="G250">
        <v>0</v>
      </c>
      <c r="H250">
        <v>0</v>
      </c>
      <c r="I250">
        <v>10001</v>
      </c>
      <c r="J250">
        <v>30000</v>
      </c>
    </row>
    <row r="251" spans="2:10" x14ac:dyDescent="0.25">
      <c r="B251" t="s">
        <v>631</v>
      </c>
      <c r="C251">
        <v>4.07E-2</v>
      </c>
      <c r="D251">
        <v>0.1976</v>
      </c>
      <c r="E251">
        <v>3.787E-3</v>
      </c>
      <c r="F251">
        <v>0</v>
      </c>
      <c r="G251">
        <v>0</v>
      </c>
      <c r="H251">
        <v>1</v>
      </c>
      <c r="I251">
        <v>10001</v>
      </c>
      <c r="J251">
        <v>30000</v>
      </c>
    </row>
    <row r="252" spans="2:10" x14ac:dyDescent="0.25">
      <c r="B252" t="s">
        <v>632</v>
      </c>
      <c r="C252">
        <v>0.11</v>
      </c>
      <c r="D252">
        <v>0.31280000000000002</v>
      </c>
      <c r="E252">
        <v>6.8250000000000003E-3</v>
      </c>
      <c r="F252">
        <v>0</v>
      </c>
      <c r="G252">
        <v>0</v>
      </c>
      <c r="H252">
        <v>1</v>
      </c>
      <c r="I252">
        <v>10001</v>
      </c>
      <c r="J252">
        <v>30000</v>
      </c>
    </row>
    <row r="253" spans="2:10" x14ac:dyDescent="0.25">
      <c r="B253" t="s">
        <v>633</v>
      </c>
      <c r="C253">
        <v>0.3291</v>
      </c>
      <c r="D253">
        <v>0.46989999999999998</v>
      </c>
      <c r="E253">
        <v>1.153E-2</v>
      </c>
      <c r="F253">
        <v>0</v>
      </c>
      <c r="G253">
        <v>0</v>
      </c>
      <c r="H253">
        <v>1</v>
      </c>
      <c r="I253">
        <v>10001</v>
      </c>
      <c r="J253">
        <v>30000</v>
      </c>
    </row>
    <row r="254" spans="2:10" x14ac:dyDescent="0.25">
      <c r="B254" t="s">
        <v>634</v>
      </c>
      <c r="C254">
        <v>0.49930000000000002</v>
      </c>
      <c r="D254">
        <v>0.5</v>
      </c>
      <c r="E254">
        <v>1.4120000000000001E-2</v>
      </c>
      <c r="F254">
        <v>0</v>
      </c>
      <c r="G254">
        <v>0</v>
      </c>
      <c r="H254">
        <v>1</v>
      </c>
      <c r="I254">
        <v>10001</v>
      </c>
      <c r="J254">
        <v>30000</v>
      </c>
    </row>
    <row r="255" spans="2:10" x14ac:dyDescent="0.25">
      <c r="B255" t="s">
        <v>635</v>
      </c>
      <c r="C255">
        <v>1.948</v>
      </c>
      <c r="D255">
        <v>1.871</v>
      </c>
      <c r="E255">
        <v>2.7900000000000001E-2</v>
      </c>
      <c r="F255">
        <v>5.1610000000000003E-2</v>
      </c>
      <c r="G255">
        <v>1.393</v>
      </c>
      <c r="H255">
        <v>6.9720000000000004</v>
      </c>
      <c r="I255">
        <v>10001</v>
      </c>
      <c r="J255">
        <v>30000</v>
      </c>
    </row>
    <row r="256" spans="2:10" x14ac:dyDescent="0.25">
      <c r="B256" t="s">
        <v>636</v>
      </c>
      <c r="C256">
        <v>1.645</v>
      </c>
      <c r="D256">
        <v>1.732</v>
      </c>
      <c r="E256">
        <v>2.3E-2</v>
      </c>
      <c r="F256">
        <v>4.3589999999999997E-2</v>
      </c>
      <c r="G256">
        <v>1.1040000000000001</v>
      </c>
      <c r="H256">
        <v>6.367</v>
      </c>
      <c r="I256">
        <v>10001</v>
      </c>
      <c r="J256">
        <v>30000</v>
      </c>
    </row>
    <row r="257" spans="2:10" x14ac:dyDescent="0.25">
      <c r="B257" t="s">
        <v>637</v>
      </c>
      <c r="C257">
        <v>1.3720000000000001</v>
      </c>
      <c r="D257">
        <v>1.5649999999999999</v>
      </c>
      <c r="E257">
        <v>1.2370000000000001E-2</v>
      </c>
      <c r="F257">
        <v>3.3090000000000001E-2</v>
      </c>
      <c r="G257">
        <v>0.85229999999999995</v>
      </c>
      <c r="H257">
        <v>5.78</v>
      </c>
      <c r="I257">
        <v>10001</v>
      </c>
      <c r="J257">
        <v>30000</v>
      </c>
    </row>
    <row r="258" spans="2:10" x14ac:dyDescent="0.25">
      <c r="B258" t="s">
        <v>638</v>
      </c>
      <c r="C258">
        <v>1.3959999999999999</v>
      </c>
      <c r="D258">
        <v>1.5680000000000001</v>
      </c>
      <c r="E258">
        <v>1.184E-2</v>
      </c>
      <c r="F258">
        <v>3.5430000000000003E-2</v>
      </c>
      <c r="G258">
        <v>0.87690000000000001</v>
      </c>
      <c r="H258">
        <v>5.8440000000000003</v>
      </c>
      <c r="I258">
        <v>10001</v>
      </c>
      <c r="J258">
        <v>30000</v>
      </c>
    </row>
    <row r="259" spans="2:10" x14ac:dyDescent="0.25">
      <c r="B259" t="s">
        <v>639</v>
      </c>
      <c r="C259">
        <v>1.915</v>
      </c>
      <c r="D259">
        <v>1.756</v>
      </c>
      <c r="E259">
        <v>2.8910000000000002E-2</v>
      </c>
      <c r="F259">
        <v>6.9529999999999995E-2</v>
      </c>
      <c r="G259">
        <v>1.427</v>
      </c>
      <c r="H259">
        <v>6.61</v>
      </c>
      <c r="I259">
        <v>10001</v>
      </c>
      <c r="J259">
        <v>30000</v>
      </c>
    </row>
    <row r="260" spans="2:10" x14ac:dyDescent="0.25">
      <c r="B260" t="s">
        <v>640</v>
      </c>
      <c r="C260">
        <v>3.2189999999999999</v>
      </c>
      <c r="D260">
        <v>2.194</v>
      </c>
      <c r="E260">
        <v>5.1400000000000001E-2</v>
      </c>
      <c r="F260">
        <v>0.20649999999999999</v>
      </c>
      <c r="G260">
        <v>2.8330000000000002</v>
      </c>
      <c r="H260">
        <v>8.5069999999999997</v>
      </c>
      <c r="I260">
        <v>10001</v>
      </c>
      <c r="J260">
        <v>30000</v>
      </c>
    </row>
    <row r="261" spans="2:10" x14ac:dyDescent="0.25">
      <c r="B261" t="s">
        <v>641</v>
      </c>
      <c r="C261">
        <v>2.052</v>
      </c>
      <c r="D261">
        <v>2.0339999999999998</v>
      </c>
      <c r="E261">
        <v>4.0930000000000001E-2</v>
      </c>
      <c r="F261">
        <v>5.4269999999999999E-2</v>
      </c>
      <c r="G261">
        <v>1.4279999999999999</v>
      </c>
      <c r="H261">
        <v>7.5510000000000002</v>
      </c>
      <c r="I261">
        <v>10001</v>
      </c>
      <c r="J261">
        <v>30000</v>
      </c>
    </row>
    <row r="262" spans="2:10" x14ac:dyDescent="0.25">
      <c r="B262" t="s">
        <v>642</v>
      </c>
      <c r="C262">
        <v>2.1019999999999999</v>
      </c>
      <c r="D262">
        <v>2.0430000000000001</v>
      </c>
      <c r="E262">
        <v>3.848E-2</v>
      </c>
      <c r="F262">
        <v>5.185E-2</v>
      </c>
      <c r="G262">
        <v>1.4910000000000001</v>
      </c>
      <c r="H262">
        <v>7.5190000000000001</v>
      </c>
      <c r="I262">
        <v>10001</v>
      </c>
      <c r="J262">
        <v>30000</v>
      </c>
    </row>
    <row r="263" spans="2:10" x14ac:dyDescent="0.25">
      <c r="B263" t="s">
        <v>643</v>
      </c>
      <c r="C263">
        <v>2.4550000000000001</v>
      </c>
      <c r="D263">
        <v>1.66</v>
      </c>
      <c r="E263">
        <v>1.6830000000000001E-2</v>
      </c>
      <c r="F263">
        <v>0.57099999999999995</v>
      </c>
      <c r="G263">
        <v>2.0179999999999998</v>
      </c>
      <c r="H263">
        <v>6.9</v>
      </c>
      <c r="I263">
        <v>10001</v>
      </c>
      <c r="J263">
        <v>30000</v>
      </c>
    </row>
    <row r="264" spans="2:10" x14ac:dyDescent="0.25">
      <c r="B264" t="s">
        <v>644</v>
      </c>
      <c r="C264">
        <v>2.04</v>
      </c>
      <c r="D264">
        <v>2.0190000000000001</v>
      </c>
      <c r="E264">
        <v>2.9950000000000001E-2</v>
      </c>
      <c r="F264">
        <v>5.0799999999999998E-2</v>
      </c>
      <c r="G264">
        <v>1.425</v>
      </c>
      <c r="H264">
        <v>7.4379999999999997</v>
      </c>
      <c r="I264">
        <v>10001</v>
      </c>
      <c r="J264">
        <v>30000</v>
      </c>
    </row>
    <row r="265" spans="2:10" x14ac:dyDescent="0.25">
      <c r="B265" t="s">
        <v>645</v>
      </c>
      <c r="C265">
        <v>1.6879999999999999</v>
      </c>
      <c r="D265">
        <v>1.7150000000000001</v>
      </c>
      <c r="E265">
        <v>2.0490000000000001E-2</v>
      </c>
      <c r="F265">
        <v>3.984E-2</v>
      </c>
      <c r="G265">
        <v>1.151</v>
      </c>
      <c r="H265">
        <v>6.2489999999999997</v>
      </c>
      <c r="I265">
        <v>10001</v>
      </c>
      <c r="J265">
        <v>30000</v>
      </c>
    </row>
    <row r="266" spans="2:10" x14ac:dyDescent="0.25">
      <c r="B266" t="s">
        <v>646</v>
      </c>
      <c r="C266">
        <v>1.607</v>
      </c>
      <c r="D266">
        <v>1.6279999999999999</v>
      </c>
      <c r="E266">
        <v>1.8419999999999999E-2</v>
      </c>
      <c r="F266">
        <v>4.5539999999999997E-2</v>
      </c>
      <c r="G266">
        <v>1.105</v>
      </c>
      <c r="H266">
        <v>6.0419999999999998</v>
      </c>
      <c r="I266">
        <v>10001</v>
      </c>
      <c r="J266">
        <v>30000</v>
      </c>
    </row>
    <row r="267" spans="2:10" x14ac:dyDescent="0.25">
      <c r="B267" t="s">
        <v>647</v>
      </c>
      <c r="C267">
        <v>1.2929999999999999</v>
      </c>
      <c r="D267">
        <v>1.5089999999999999</v>
      </c>
      <c r="E267">
        <v>1.162E-2</v>
      </c>
      <c r="F267">
        <v>2.2929999999999999E-2</v>
      </c>
      <c r="G267">
        <v>0.78220000000000001</v>
      </c>
      <c r="H267">
        <v>5.4729999999999999</v>
      </c>
      <c r="I267">
        <v>10001</v>
      </c>
      <c r="J267">
        <v>30000</v>
      </c>
    </row>
    <row r="268" spans="2:10" x14ac:dyDescent="0.25">
      <c r="B268" t="s">
        <v>648</v>
      </c>
      <c r="C268">
        <v>1.885</v>
      </c>
      <c r="D268">
        <v>1.881</v>
      </c>
      <c r="E268">
        <v>3.4860000000000002E-2</v>
      </c>
      <c r="F268">
        <v>4.7879999999999999E-2</v>
      </c>
      <c r="G268">
        <v>1.3180000000000001</v>
      </c>
      <c r="H268">
        <v>6.9080000000000004</v>
      </c>
      <c r="I268">
        <v>10001</v>
      </c>
      <c r="J268">
        <v>30000</v>
      </c>
    </row>
    <row r="269" spans="2:10" x14ac:dyDescent="0.25">
      <c r="B269" t="s">
        <v>649</v>
      </c>
      <c r="C269">
        <v>1.708</v>
      </c>
      <c r="D269">
        <v>1.633</v>
      </c>
      <c r="E269">
        <v>1.6289999999999999E-2</v>
      </c>
      <c r="F269">
        <v>8.6870000000000003E-2</v>
      </c>
      <c r="G269">
        <v>1.222</v>
      </c>
      <c r="H269">
        <v>6.1239999999999997</v>
      </c>
      <c r="I269">
        <v>10001</v>
      </c>
      <c r="J269">
        <v>30000</v>
      </c>
    </row>
    <row r="270" spans="2:10" x14ac:dyDescent="0.25">
      <c r="B270" t="s">
        <v>650</v>
      </c>
      <c r="C270">
        <v>3.9039999999999999</v>
      </c>
      <c r="D270">
        <v>1.861</v>
      </c>
      <c r="E270">
        <v>2.964E-2</v>
      </c>
      <c r="F270">
        <v>1.1020000000000001</v>
      </c>
      <c r="G270">
        <v>3.64</v>
      </c>
      <c r="H270">
        <v>8.5359999999999996</v>
      </c>
      <c r="I270">
        <v>10001</v>
      </c>
      <c r="J270">
        <v>30000</v>
      </c>
    </row>
    <row r="271" spans="2:10" x14ac:dyDescent="0.25">
      <c r="B271" t="s">
        <v>651</v>
      </c>
      <c r="C271">
        <v>2.7389999999999999</v>
      </c>
      <c r="D271">
        <v>1.8380000000000001</v>
      </c>
      <c r="E271">
        <v>2.5430000000000001E-2</v>
      </c>
      <c r="F271">
        <v>0.27129999999999999</v>
      </c>
      <c r="G271">
        <v>2.3809999999999998</v>
      </c>
      <c r="H271">
        <v>7.3449999999999998</v>
      </c>
      <c r="I271">
        <v>10001</v>
      </c>
      <c r="J271">
        <v>30000</v>
      </c>
    </row>
    <row r="272" spans="2:10" x14ac:dyDescent="0.25">
      <c r="B272" t="s">
        <v>652</v>
      </c>
      <c r="C272">
        <v>3.798</v>
      </c>
      <c r="D272">
        <v>1.895</v>
      </c>
      <c r="E272">
        <v>2.8469999999999999E-2</v>
      </c>
      <c r="F272">
        <v>1.1850000000000001</v>
      </c>
      <c r="G272">
        <v>3.4220000000000002</v>
      </c>
      <c r="H272">
        <v>8.6609999999999996</v>
      </c>
      <c r="I272">
        <v>10001</v>
      </c>
      <c r="J272">
        <v>30000</v>
      </c>
    </row>
    <row r="273" spans="2:10" x14ac:dyDescent="0.25">
      <c r="B273" t="s">
        <v>653</v>
      </c>
      <c r="C273">
        <v>1.726</v>
      </c>
      <c r="D273">
        <v>1.673</v>
      </c>
      <c r="E273">
        <v>1.8249999999999999E-2</v>
      </c>
      <c r="F273">
        <v>6.1990000000000003E-2</v>
      </c>
      <c r="G273">
        <v>1.2210000000000001</v>
      </c>
      <c r="H273">
        <v>6.2309999999999999</v>
      </c>
      <c r="I273">
        <v>10001</v>
      </c>
      <c r="J273">
        <v>30000</v>
      </c>
    </row>
    <row r="274" spans="2:10" x14ac:dyDescent="0.25">
      <c r="B274" t="s">
        <v>654</v>
      </c>
      <c r="C274">
        <v>1.5489999999999999</v>
      </c>
      <c r="D274">
        <v>1.675</v>
      </c>
      <c r="E274">
        <v>1.6879999999999999E-2</v>
      </c>
      <c r="F274">
        <v>3.7519999999999998E-2</v>
      </c>
      <c r="G274">
        <v>1.0009999999999999</v>
      </c>
      <c r="H274">
        <v>6.2039999999999997</v>
      </c>
      <c r="I274">
        <v>10001</v>
      </c>
      <c r="J274">
        <v>30000</v>
      </c>
    </row>
    <row r="275" spans="2:10" x14ac:dyDescent="0.25">
      <c r="B275" t="s">
        <v>655</v>
      </c>
      <c r="C275">
        <v>1.782</v>
      </c>
      <c r="D275">
        <v>1.77</v>
      </c>
      <c r="E275">
        <v>2.7879999999999999E-2</v>
      </c>
      <c r="F275">
        <v>4.1910000000000003E-2</v>
      </c>
      <c r="G275">
        <v>1.2450000000000001</v>
      </c>
      <c r="H275">
        <v>6.5380000000000003</v>
      </c>
      <c r="I275">
        <v>10001</v>
      </c>
      <c r="J275">
        <v>30000</v>
      </c>
    </row>
    <row r="276" spans="2:10" x14ac:dyDescent="0.25">
      <c r="B276" t="s">
        <v>656</v>
      </c>
      <c r="C276">
        <v>1.6970000000000001</v>
      </c>
      <c r="D276">
        <v>1.659</v>
      </c>
      <c r="E276">
        <v>2.1090000000000001E-2</v>
      </c>
      <c r="F276">
        <v>5.1560000000000002E-2</v>
      </c>
      <c r="G276">
        <v>1.206</v>
      </c>
      <c r="H276">
        <v>6.1280000000000001</v>
      </c>
      <c r="I276">
        <v>10001</v>
      </c>
      <c r="J276">
        <v>30000</v>
      </c>
    </row>
    <row r="277" spans="2:10" x14ac:dyDescent="0.25">
      <c r="B277" t="s">
        <v>657</v>
      </c>
      <c r="C277">
        <v>2.5619999999999998</v>
      </c>
      <c r="D277">
        <v>2.4289999999999998</v>
      </c>
      <c r="E277">
        <v>8.7120000000000003E-2</v>
      </c>
      <c r="F277">
        <v>6.1990000000000003E-2</v>
      </c>
      <c r="G277">
        <v>1.837</v>
      </c>
      <c r="H277">
        <v>9.0579999999999998</v>
      </c>
      <c r="I277">
        <v>10001</v>
      </c>
      <c r="J277">
        <v>30000</v>
      </c>
    </row>
    <row r="278" spans="2:10" x14ac:dyDescent="0.25">
      <c r="B278" t="s">
        <v>658</v>
      </c>
      <c r="C278">
        <v>3.4060000000000001</v>
      </c>
      <c r="D278">
        <v>1.7909999999999999</v>
      </c>
      <c r="E278">
        <v>1.8350000000000002E-2</v>
      </c>
      <c r="F278">
        <v>1.1639999999999999</v>
      </c>
      <c r="G278">
        <v>2.9670000000000001</v>
      </c>
      <c r="H278">
        <v>8.1470000000000002</v>
      </c>
      <c r="I278">
        <v>10001</v>
      </c>
      <c r="J278">
        <v>30000</v>
      </c>
    </row>
    <row r="279" spans="2:10" x14ac:dyDescent="0.25">
      <c r="B279" t="s">
        <v>659</v>
      </c>
      <c r="C279">
        <v>1.5549999999999999</v>
      </c>
      <c r="D279">
        <v>1.58</v>
      </c>
      <c r="E279">
        <v>1.3610000000000001E-2</v>
      </c>
      <c r="F279">
        <v>5.5759999999999997E-2</v>
      </c>
      <c r="G279">
        <v>1.075</v>
      </c>
      <c r="H279">
        <v>5.9180000000000001</v>
      </c>
      <c r="I279">
        <v>10001</v>
      </c>
      <c r="J279">
        <v>30000</v>
      </c>
    </row>
    <row r="280" spans="2:10" x14ac:dyDescent="0.25">
      <c r="B280" t="s">
        <v>660</v>
      </c>
      <c r="C280">
        <v>3.544</v>
      </c>
      <c r="D280">
        <v>1.764</v>
      </c>
      <c r="E280">
        <v>2.503E-2</v>
      </c>
      <c r="F280">
        <v>1.0269999999999999</v>
      </c>
      <c r="G280">
        <v>3.2330000000000001</v>
      </c>
      <c r="H280">
        <v>8.1940000000000008</v>
      </c>
      <c r="I280">
        <v>10001</v>
      </c>
      <c r="J280">
        <v>30000</v>
      </c>
    </row>
    <row r="281" spans="2:10" x14ac:dyDescent="0.25">
      <c r="B281" t="s">
        <v>661</v>
      </c>
      <c r="C281">
        <v>1.3879999999999999</v>
      </c>
      <c r="D281">
        <v>1.6040000000000001</v>
      </c>
      <c r="E281">
        <v>1.436E-2</v>
      </c>
      <c r="F281">
        <v>3.0259999999999999E-2</v>
      </c>
      <c r="G281">
        <v>0.84489999999999998</v>
      </c>
      <c r="H281">
        <v>5.835</v>
      </c>
      <c r="I281">
        <v>10001</v>
      </c>
      <c r="J281">
        <v>30000</v>
      </c>
    </row>
    <row r="282" spans="2:10" x14ac:dyDescent="0.25">
      <c r="B282" t="s">
        <v>662</v>
      </c>
      <c r="C282">
        <v>2.1179999999999999</v>
      </c>
      <c r="D282">
        <v>1.962</v>
      </c>
      <c r="E282">
        <v>3.0630000000000001E-2</v>
      </c>
      <c r="F282">
        <v>6.6220000000000001E-2</v>
      </c>
      <c r="G282">
        <v>1.5640000000000001</v>
      </c>
      <c r="H282">
        <v>7.343</v>
      </c>
      <c r="I282">
        <v>10001</v>
      </c>
      <c r="J282">
        <v>30000</v>
      </c>
    </row>
    <row r="283" spans="2:10" x14ac:dyDescent="0.25">
      <c r="B283" t="s">
        <v>663</v>
      </c>
      <c r="C283">
        <v>6.5350000000000001</v>
      </c>
      <c r="D283">
        <v>1.2929999999999999</v>
      </c>
      <c r="E283">
        <v>3.8440000000000002E-2</v>
      </c>
      <c r="F283">
        <v>4</v>
      </c>
      <c r="G283">
        <v>7</v>
      </c>
      <c r="H283">
        <v>9</v>
      </c>
      <c r="I283">
        <v>10001</v>
      </c>
      <c r="J283">
        <v>30000</v>
      </c>
    </row>
    <row r="284" spans="2:10" x14ac:dyDescent="0.25">
      <c r="B284" t="s">
        <v>664</v>
      </c>
      <c r="C284">
        <v>7.8819999999999997</v>
      </c>
      <c r="D284">
        <v>1.0740000000000001</v>
      </c>
      <c r="E284">
        <v>2.8250000000000001E-2</v>
      </c>
      <c r="F284">
        <v>5</v>
      </c>
      <c r="G284">
        <v>8</v>
      </c>
      <c r="H284">
        <v>10</v>
      </c>
      <c r="I284">
        <v>10001</v>
      </c>
      <c r="J284">
        <v>30000</v>
      </c>
    </row>
    <row r="285" spans="2:10" x14ac:dyDescent="0.25">
      <c r="B285" t="s">
        <v>665</v>
      </c>
      <c r="C285">
        <v>5.72</v>
      </c>
      <c r="D285">
        <v>1.613</v>
      </c>
      <c r="E285">
        <v>4.5170000000000002E-2</v>
      </c>
      <c r="F285">
        <v>3</v>
      </c>
      <c r="G285">
        <v>6</v>
      </c>
      <c r="H285">
        <v>9</v>
      </c>
      <c r="I285">
        <v>10001</v>
      </c>
      <c r="J285">
        <v>30000</v>
      </c>
    </row>
    <row r="286" spans="2:10" x14ac:dyDescent="0.25">
      <c r="B286" t="s">
        <v>666</v>
      </c>
      <c r="C286">
        <v>4.4429999999999996</v>
      </c>
      <c r="D286">
        <v>2.6429999999999998</v>
      </c>
      <c r="E286">
        <v>9.5890000000000003E-2</v>
      </c>
      <c r="F286">
        <v>1</v>
      </c>
      <c r="G286">
        <v>4</v>
      </c>
      <c r="H286">
        <v>10</v>
      </c>
      <c r="I286">
        <v>10001</v>
      </c>
      <c r="J286">
        <v>30000</v>
      </c>
    </row>
    <row r="287" spans="2:10" x14ac:dyDescent="0.25">
      <c r="B287" t="s">
        <v>667</v>
      </c>
      <c r="C287">
        <v>7.3330000000000002</v>
      </c>
      <c r="D287">
        <v>2.6960000000000002</v>
      </c>
      <c r="E287">
        <v>8.2129999999999995E-2</v>
      </c>
      <c r="F287">
        <v>2</v>
      </c>
      <c r="G287">
        <v>8</v>
      </c>
      <c r="H287">
        <v>10</v>
      </c>
      <c r="I287">
        <v>10001</v>
      </c>
      <c r="J287">
        <v>30000</v>
      </c>
    </row>
    <row r="288" spans="2:10" x14ac:dyDescent="0.25">
      <c r="B288" t="s">
        <v>668</v>
      </c>
      <c r="C288">
        <v>1.2350000000000001</v>
      </c>
      <c r="D288">
        <v>0.77710000000000001</v>
      </c>
      <c r="E288">
        <v>2.2780000000000002E-2</v>
      </c>
      <c r="F288">
        <v>1</v>
      </c>
      <c r="G288">
        <v>1</v>
      </c>
      <c r="H288">
        <v>4</v>
      </c>
      <c r="I288">
        <v>10001</v>
      </c>
      <c r="J288">
        <v>30000</v>
      </c>
    </row>
    <row r="289" spans="1:10" x14ac:dyDescent="0.25">
      <c r="B289" t="s">
        <v>669</v>
      </c>
      <c r="C289">
        <v>3.3660000000000001</v>
      </c>
      <c r="D289">
        <v>1.7470000000000001</v>
      </c>
      <c r="E289">
        <v>4.0149999999999998E-2</v>
      </c>
      <c r="F289">
        <v>1</v>
      </c>
      <c r="G289">
        <v>3</v>
      </c>
      <c r="H289">
        <v>8</v>
      </c>
      <c r="I289">
        <v>10001</v>
      </c>
      <c r="J289">
        <v>30000</v>
      </c>
    </row>
    <row r="290" spans="1:10" x14ac:dyDescent="0.25">
      <c r="B290" t="s">
        <v>670</v>
      </c>
      <c r="C290">
        <v>5.0350000000000001</v>
      </c>
      <c r="D290">
        <v>2.577</v>
      </c>
      <c r="E290">
        <v>7.4329999999999993E-2</v>
      </c>
      <c r="F290">
        <v>2</v>
      </c>
      <c r="G290">
        <v>5</v>
      </c>
      <c r="H290">
        <v>10</v>
      </c>
      <c r="I290">
        <v>10001</v>
      </c>
      <c r="J290">
        <v>30000</v>
      </c>
    </row>
    <row r="291" spans="1:10" x14ac:dyDescent="0.25">
      <c r="B291" t="s">
        <v>671</v>
      </c>
      <c r="C291">
        <v>4.2149999999999999</v>
      </c>
      <c r="D291">
        <v>1.3049999999999999</v>
      </c>
      <c r="E291">
        <v>3.1859999999999999E-2</v>
      </c>
      <c r="F291">
        <v>2</v>
      </c>
      <c r="G291">
        <v>4</v>
      </c>
      <c r="H291">
        <v>7</v>
      </c>
      <c r="I291">
        <v>10001</v>
      </c>
      <c r="J291">
        <v>30000</v>
      </c>
    </row>
    <row r="292" spans="1:10" x14ac:dyDescent="0.25">
      <c r="B292" t="s">
        <v>672</v>
      </c>
      <c r="C292">
        <v>9.2360000000000007</v>
      </c>
      <c r="D292">
        <v>0.98560000000000003</v>
      </c>
      <c r="E292">
        <v>2.5919999999999999E-2</v>
      </c>
      <c r="F292">
        <v>7</v>
      </c>
      <c r="G292">
        <v>9</v>
      </c>
      <c r="H292">
        <v>10</v>
      </c>
      <c r="I292">
        <v>10001</v>
      </c>
      <c r="J292">
        <v>30000</v>
      </c>
    </row>
    <row r="293" spans="1:10" x14ac:dyDescent="0.25">
      <c r="B293" t="s">
        <v>752</v>
      </c>
      <c r="C293">
        <v>0.39400000000000002</v>
      </c>
      <c r="D293">
        <v>0.29799999999999999</v>
      </c>
      <c r="E293">
        <v>1.1820000000000001E-2</v>
      </c>
      <c r="F293">
        <v>1.609E-2</v>
      </c>
      <c r="G293">
        <v>0.3362</v>
      </c>
      <c r="H293">
        <v>1.113</v>
      </c>
      <c r="I293">
        <v>10001</v>
      </c>
      <c r="J293">
        <v>30000</v>
      </c>
    </row>
    <row r="294" spans="1:10" x14ac:dyDescent="0.25">
      <c r="B294" t="s">
        <v>673</v>
      </c>
      <c r="C294">
        <v>60.09</v>
      </c>
      <c r="D294">
        <v>9.5969999999999995</v>
      </c>
      <c r="E294">
        <v>0.16300000000000001</v>
      </c>
      <c r="F294">
        <v>42.89</v>
      </c>
      <c r="G294">
        <v>59.57</v>
      </c>
      <c r="H294">
        <v>80.58</v>
      </c>
      <c r="I294">
        <v>10001</v>
      </c>
      <c r="J294">
        <v>30000</v>
      </c>
    </row>
    <row r="295" spans="1:10" x14ac:dyDescent="0.25">
      <c r="A295" t="s">
        <v>674</v>
      </c>
    </row>
    <row r="297" spans="1:10" x14ac:dyDescent="0.25">
      <c r="A297" t="s">
        <v>675</v>
      </c>
    </row>
    <row r="298" spans="1:10" x14ac:dyDescent="0.25">
      <c r="A298" t="s">
        <v>676</v>
      </c>
    </row>
    <row r="299" spans="1:10" x14ac:dyDescent="0.25">
      <c r="B299" t="s">
        <v>677</v>
      </c>
      <c r="C299" t="s">
        <v>678</v>
      </c>
      <c r="D299" t="s">
        <v>679</v>
      </c>
      <c r="E299" t="s">
        <v>675</v>
      </c>
    </row>
    <row r="300" spans="1:10" x14ac:dyDescent="0.25">
      <c r="A300" t="s">
        <v>680</v>
      </c>
      <c r="B300">
        <v>206.018</v>
      </c>
      <c r="C300">
        <v>166.88800000000001</v>
      </c>
      <c r="D300">
        <v>39.130000000000003</v>
      </c>
      <c r="E300">
        <v>245.149</v>
      </c>
    </row>
    <row r="301" spans="1:10" x14ac:dyDescent="0.25">
      <c r="A301" t="s">
        <v>681</v>
      </c>
      <c r="B301">
        <v>206.018</v>
      </c>
      <c r="C301">
        <v>166.88800000000001</v>
      </c>
      <c r="D301">
        <v>39.130000000000003</v>
      </c>
      <c r="E301">
        <v>245.149</v>
      </c>
    </row>
    <row r="302" spans="1:10" x14ac:dyDescent="0.25">
      <c r="A302" t="s">
        <v>682</v>
      </c>
    </row>
    <row r="304" spans="1:10" x14ac:dyDescent="0.25">
      <c r="A304" t="s">
        <v>683</v>
      </c>
    </row>
    <row r="306" spans="1:1" x14ac:dyDescent="0.25">
      <c r="A306" t="s">
        <v>684</v>
      </c>
    </row>
    <row r="308" spans="1:1" x14ac:dyDescent="0.25">
      <c r="A308" t="s">
        <v>685</v>
      </c>
    </row>
    <row r="310" spans="1:1" x14ac:dyDescent="0.25">
      <c r="A310" t="s">
        <v>781</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10"/>
  <sheetViews>
    <sheetView showGridLines="0" topLeftCell="A49" workbookViewId="0">
      <selection activeCell="Q82" sqref="Q82"/>
    </sheetView>
  </sheetViews>
  <sheetFormatPr defaultRowHeight="15" x14ac:dyDescent="0.25"/>
  <sheetData>
    <row r="1" spans="1:1" hidden="1" x14ac:dyDescent="0.25">
      <c r="A1" t="s">
        <v>392</v>
      </c>
    </row>
    <row r="2" spans="1:1" hidden="1" x14ac:dyDescent="0.25">
      <c r="A2" t="s">
        <v>746</v>
      </c>
    </row>
    <row r="3" spans="1:1" hidden="1" x14ac:dyDescent="0.25">
      <c r="A3" t="s">
        <v>394</v>
      </c>
    </row>
    <row r="4" spans="1:1" hidden="1" x14ac:dyDescent="0.25">
      <c r="A4" t="s">
        <v>395</v>
      </c>
    </row>
    <row r="5" spans="1:1" hidden="1" x14ac:dyDescent="0.25">
      <c r="A5" t="s">
        <v>396</v>
      </c>
    </row>
    <row r="6" spans="1:1" hidden="1" x14ac:dyDescent="0.25">
      <c r="A6" t="s">
        <v>397</v>
      </c>
    </row>
    <row r="7" spans="1:1" hidden="1" x14ac:dyDescent="0.25">
      <c r="A7" t="s">
        <v>396</v>
      </c>
    </row>
    <row r="8" spans="1:1" hidden="1" x14ac:dyDescent="0.25">
      <c r="A8" t="s">
        <v>21</v>
      </c>
    </row>
    <row r="9" spans="1:1" hidden="1" x14ac:dyDescent="0.25">
      <c r="A9" t="s">
        <v>398</v>
      </c>
    </row>
    <row r="10" spans="1:1" hidden="1" x14ac:dyDescent="0.25">
      <c r="A10" t="s">
        <v>747</v>
      </c>
    </row>
    <row r="11" spans="1:1" hidden="1" x14ac:dyDescent="0.25">
      <c r="A11" t="s">
        <v>748</v>
      </c>
    </row>
    <row r="12" spans="1:1" hidden="1" x14ac:dyDescent="0.25">
      <c r="A12" t="s">
        <v>749</v>
      </c>
    </row>
    <row r="13" spans="1:1" hidden="1" x14ac:dyDescent="0.25">
      <c r="A13" t="s">
        <v>748</v>
      </c>
    </row>
    <row r="14" spans="1:1" hidden="1" x14ac:dyDescent="0.25">
      <c r="A14" t="s">
        <v>750</v>
      </c>
    </row>
    <row r="15" spans="1:1" hidden="1" x14ac:dyDescent="0.25">
      <c r="A15" t="s">
        <v>748</v>
      </c>
    </row>
    <row r="16" spans="1:1" hidden="1" x14ac:dyDescent="0.25">
      <c r="A16" t="s">
        <v>23</v>
      </c>
    </row>
    <row r="17" spans="1:1" hidden="1" x14ac:dyDescent="0.25">
      <c r="A17" t="s">
        <v>751</v>
      </c>
    </row>
    <row r="18" spans="1:1" hidden="1" x14ac:dyDescent="0.25">
      <c r="A18" t="s">
        <v>761</v>
      </c>
    </row>
    <row r="19" spans="1:1" hidden="1" x14ac:dyDescent="0.25">
      <c r="A19" t="s">
        <v>399</v>
      </c>
    </row>
    <row r="20" spans="1:1" hidden="1" x14ac:dyDescent="0.25">
      <c r="A20" t="s">
        <v>400</v>
      </c>
    </row>
    <row r="21" spans="1:1" hidden="1" x14ac:dyDescent="0.25">
      <c r="A21" t="s">
        <v>401</v>
      </c>
    </row>
    <row r="22" spans="1:1" hidden="1" x14ac:dyDescent="0.25">
      <c r="A22" t="s">
        <v>402</v>
      </c>
    </row>
    <row r="23" spans="1:1" hidden="1" x14ac:dyDescent="0.25">
      <c r="A23" t="s">
        <v>403</v>
      </c>
    </row>
    <row r="24" spans="1:1" hidden="1" x14ac:dyDescent="0.25">
      <c r="A24" t="s">
        <v>404</v>
      </c>
    </row>
    <row r="25" spans="1:1" hidden="1" x14ac:dyDescent="0.25">
      <c r="A25" t="s">
        <v>405</v>
      </c>
    </row>
    <row r="26" spans="1:1" hidden="1" x14ac:dyDescent="0.25">
      <c r="A26" t="s">
        <v>197</v>
      </c>
    </row>
    <row r="27" spans="1:1" hidden="1" x14ac:dyDescent="0.25">
      <c r="A27" t="s">
        <v>199</v>
      </c>
    </row>
    <row r="28" spans="1:1" hidden="1" x14ac:dyDescent="0.25">
      <c r="A28" t="s">
        <v>261</v>
      </c>
    </row>
    <row r="29" spans="1:1" hidden="1" x14ac:dyDescent="0.25">
      <c r="A29" t="s">
        <v>761</v>
      </c>
    </row>
    <row r="30" spans="1:1" hidden="1" x14ac:dyDescent="0.25">
      <c r="A30" t="s">
        <v>393</v>
      </c>
    </row>
    <row r="32" spans="1:1" x14ac:dyDescent="0.25">
      <c r="A32" t="s">
        <v>406</v>
      </c>
    </row>
    <row r="33" spans="2:10" x14ac:dyDescent="0.25">
      <c r="B33" t="s">
        <v>407</v>
      </c>
      <c r="C33" t="s">
        <v>408</v>
      </c>
      <c r="D33" t="s">
        <v>409</v>
      </c>
      <c r="E33" t="s">
        <v>410</v>
      </c>
      <c r="F33" s="12">
        <v>2.5000000000000001E-2</v>
      </c>
      <c r="G33" t="s">
        <v>411</v>
      </c>
      <c r="H33" s="12">
        <v>0.97499999999999998</v>
      </c>
      <c r="I33" t="s">
        <v>412</v>
      </c>
      <c r="J33" t="s">
        <v>413</v>
      </c>
    </row>
    <row r="34" spans="2:10" x14ac:dyDescent="0.25">
      <c r="B34" t="s">
        <v>414</v>
      </c>
      <c r="C34">
        <v>1.361</v>
      </c>
      <c r="D34">
        <v>0.33</v>
      </c>
      <c r="E34">
        <v>1.261E-2</v>
      </c>
      <c r="F34">
        <v>0.84350000000000003</v>
      </c>
      <c r="G34">
        <v>1.325</v>
      </c>
      <c r="H34">
        <v>2.1230000000000002</v>
      </c>
      <c r="I34">
        <v>10001</v>
      </c>
      <c r="J34">
        <v>30000</v>
      </c>
    </row>
    <row r="35" spans="2:10" x14ac:dyDescent="0.25">
      <c r="B35" t="s">
        <v>415</v>
      </c>
      <c r="C35">
        <v>0.84470000000000001</v>
      </c>
      <c r="D35">
        <v>0.40060000000000001</v>
      </c>
      <c r="E35">
        <v>1.7829999999999999E-2</v>
      </c>
      <c r="F35">
        <v>0.34399999999999997</v>
      </c>
      <c r="G35">
        <v>0.75419999999999998</v>
      </c>
      <c r="H35">
        <v>1.8380000000000001</v>
      </c>
      <c r="I35">
        <v>10001</v>
      </c>
      <c r="J35">
        <v>30000</v>
      </c>
    </row>
    <row r="36" spans="2:10" x14ac:dyDescent="0.25">
      <c r="B36" t="s">
        <v>416</v>
      </c>
      <c r="C36">
        <v>0.72370000000000001</v>
      </c>
      <c r="D36">
        <v>1.1339999999999999</v>
      </c>
      <c r="E36">
        <v>4.9059999999999999E-2</v>
      </c>
      <c r="F36">
        <v>2.342E-2</v>
      </c>
      <c r="G36">
        <v>0.39389999999999997</v>
      </c>
      <c r="H36">
        <v>3.7679999999999998</v>
      </c>
      <c r="I36">
        <v>10001</v>
      </c>
      <c r="J36">
        <v>30000</v>
      </c>
    </row>
    <row r="37" spans="2:10" x14ac:dyDescent="0.25">
      <c r="B37" t="s">
        <v>417</v>
      </c>
      <c r="C37">
        <v>2.903</v>
      </c>
      <c r="D37">
        <v>5.0469999999999997</v>
      </c>
      <c r="E37">
        <v>0.192</v>
      </c>
      <c r="F37">
        <v>0.1295</v>
      </c>
      <c r="G37">
        <v>1.4019999999999999</v>
      </c>
      <c r="H37">
        <v>15.95</v>
      </c>
      <c r="I37">
        <v>10001</v>
      </c>
      <c r="J37">
        <v>30000</v>
      </c>
    </row>
    <row r="38" spans="2:10" x14ac:dyDescent="0.25">
      <c r="B38" t="s">
        <v>418</v>
      </c>
      <c r="C38">
        <v>5.5780000000000003E-2</v>
      </c>
      <c r="D38">
        <v>9.1889999999999999E-2</v>
      </c>
      <c r="E38">
        <v>3.669E-3</v>
      </c>
      <c r="F38" s="13">
        <v>9.0590000000000006E-8</v>
      </c>
      <c r="G38">
        <v>2.5530000000000001E-2</v>
      </c>
      <c r="H38">
        <v>0.29899999999999999</v>
      </c>
      <c r="I38">
        <v>10001</v>
      </c>
      <c r="J38">
        <v>30000</v>
      </c>
    </row>
    <row r="39" spans="2:10" x14ac:dyDescent="0.25">
      <c r="B39" t="s">
        <v>419</v>
      </c>
      <c r="C39">
        <v>0.3765</v>
      </c>
      <c r="D39">
        <v>0.32829999999999998</v>
      </c>
      <c r="E39">
        <v>1.174E-2</v>
      </c>
      <c r="F39">
        <v>5.5100000000000003E-2</v>
      </c>
      <c r="G39">
        <v>0.2848</v>
      </c>
      <c r="H39">
        <v>1.252</v>
      </c>
      <c r="I39">
        <v>10001</v>
      </c>
      <c r="J39">
        <v>30000</v>
      </c>
    </row>
    <row r="40" spans="2:10" x14ac:dyDescent="0.25">
      <c r="B40" t="s">
        <v>420</v>
      </c>
      <c r="C40">
        <v>1.0029999999999999</v>
      </c>
      <c r="D40">
        <v>1.165</v>
      </c>
      <c r="E40">
        <v>4.6530000000000002E-2</v>
      </c>
      <c r="F40">
        <v>5.8470000000000001E-2</v>
      </c>
      <c r="G40">
        <v>0.62670000000000003</v>
      </c>
      <c r="H40">
        <v>4.1749999999999998</v>
      </c>
      <c r="I40">
        <v>10001</v>
      </c>
      <c r="J40">
        <v>30000</v>
      </c>
    </row>
    <row r="41" spans="2:10" x14ac:dyDescent="0.25">
      <c r="B41" t="s">
        <v>421</v>
      </c>
      <c r="C41">
        <v>0.54349999999999998</v>
      </c>
      <c r="D41">
        <v>0.2172</v>
      </c>
      <c r="E41">
        <v>8.1069999999999996E-3</v>
      </c>
      <c r="F41">
        <v>0.23980000000000001</v>
      </c>
      <c r="G41">
        <v>0.50009999999999999</v>
      </c>
      <c r="H41">
        <v>1.083</v>
      </c>
      <c r="I41">
        <v>10001</v>
      </c>
      <c r="J41">
        <v>30000</v>
      </c>
    </row>
    <row r="42" spans="2:10" x14ac:dyDescent="0.25">
      <c r="B42" t="s">
        <v>422</v>
      </c>
      <c r="C42">
        <v>2.6560000000000001</v>
      </c>
      <c r="D42">
        <v>1.0620000000000001</v>
      </c>
      <c r="E42">
        <v>4.2889999999999998E-2</v>
      </c>
      <c r="F42">
        <v>1.159</v>
      </c>
      <c r="G42">
        <v>2.464</v>
      </c>
      <c r="H42">
        <v>5.2750000000000004</v>
      </c>
      <c r="I42">
        <v>10001</v>
      </c>
      <c r="J42">
        <v>30000</v>
      </c>
    </row>
    <row r="43" spans="2:10" x14ac:dyDescent="0.25">
      <c r="B43" t="s">
        <v>423</v>
      </c>
      <c r="C43">
        <v>0.64049999999999996</v>
      </c>
      <c r="D43">
        <v>0.30549999999999999</v>
      </c>
      <c r="E43">
        <v>1.346E-2</v>
      </c>
      <c r="F43">
        <v>0.25459999999999999</v>
      </c>
      <c r="G43">
        <v>0.56879999999999997</v>
      </c>
      <c r="H43">
        <v>1.43</v>
      </c>
      <c r="I43">
        <v>10001</v>
      </c>
      <c r="J43">
        <v>30000</v>
      </c>
    </row>
    <row r="44" spans="2:10" x14ac:dyDescent="0.25">
      <c r="B44" t="s">
        <v>424</v>
      </c>
      <c r="C44">
        <v>0.54479999999999995</v>
      </c>
      <c r="D44">
        <v>0.8246</v>
      </c>
      <c r="E44">
        <v>3.56E-2</v>
      </c>
      <c r="F44">
        <v>1.6740000000000001E-2</v>
      </c>
      <c r="G44">
        <v>0.30349999999999999</v>
      </c>
      <c r="H44">
        <v>2.7679999999999998</v>
      </c>
      <c r="I44">
        <v>10001</v>
      </c>
      <c r="J44">
        <v>30000</v>
      </c>
    </row>
    <row r="45" spans="2:10" x14ac:dyDescent="0.25">
      <c r="B45" t="s">
        <v>425</v>
      </c>
      <c r="C45">
        <v>2.1110000000000002</v>
      </c>
      <c r="D45">
        <v>3.6280000000000001</v>
      </c>
      <c r="E45">
        <v>0.13650000000000001</v>
      </c>
      <c r="F45">
        <v>0.1004</v>
      </c>
      <c r="G45">
        <v>1.0669999999999999</v>
      </c>
      <c r="H45">
        <v>10.7</v>
      </c>
      <c r="I45">
        <v>10001</v>
      </c>
      <c r="J45">
        <v>30000</v>
      </c>
    </row>
    <row r="46" spans="2:10" x14ac:dyDescent="0.25">
      <c r="B46" t="s">
        <v>426</v>
      </c>
      <c r="C46">
        <v>4.2500000000000003E-2</v>
      </c>
      <c r="D46">
        <v>6.7470000000000002E-2</v>
      </c>
      <c r="E46">
        <v>2.7690000000000002E-3</v>
      </c>
      <c r="F46" s="13">
        <v>7.2639999999999994E-8</v>
      </c>
      <c r="G46">
        <v>1.907E-2</v>
      </c>
      <c r="H46">
        <v>0.23419999999999999</v>
      </c>
      <c r="I46">
        <v>10001</v>
      </c>
      <c r="J46">
        <v>30000</v>
      </c>
    </row>
    <row r="47" spans="2:10" x14ac:dyDescent="0.25">
      <c r="B47" t="s">
        <v>427</v>
      </c>
      <c r="C47">
        <v>0.27489999999999998</v>
      </c>
      <c r="D47">
        <v>0.22070000000000001</v>
      </c>
      <c r="E47">
        <v>7.7479999999999997E-3</v>
      </c>
      <c r="F47">
        <v>4.4139999999999999E-2</v>
      </c>
      <c r="G47">
        <v>0.21479999999999999</v>
      </c>
      <c r="H47">
        <v>0.84789999999999999</v>
      </c>
      <c r="I47">
        <v>10001</v>
      </c>
      <c r="J47">
        <v>30000</v>
      </c>
    </row>
    <row r="48" spans="2:10" x14ac:dyDescent="0.25">
      <c r="B48" t="s">
        <v>428</v>
      </c>
      <c r="C48">
        <v>0.74360000000000004</v>
      </c>
      <c r="D48">
        <v>0.85419999999999996</v>
      </c>
      <c r="E48">
        <v>3.4599999999999999E-2</v>
      </c>
      <c r="F48">
        <v>4.675E-2</v>
      </c>
      <c r="G48">
        <v>0.4753</v>
      </c>
      <c r="H48">
        <v>3.097</v>
      </c>
      <c r="I48">
        <v>10001</v>
      </c>
      <c r="J48">
        <v>30000</v>
      </c>
    </row>
    <row r="49" spans="2:10" x14ac:dyDescent="0.25">
      <c r="B49" t="s">
        <v>429</v>
      </c>
      <c r="C49">
        <v>0.4148</v>
      </c>
      <c r="D49">
        <v>0.17660000000000001</v>
      </c>
      <c r="E49">
        <v>6.5469999999999999E-3</v>
      </c>
      <c r="F49">
        <v>0.17369999999999999</v>
      </c>
      <c r="G49">
        <v>0.38109999999999999</v>
      </c>
      <c r="H49">
        <v>0.8528</v>
      </c>
      <c r="I49">
        <v>10001</v>
      </c>
      <c r="J49">
        <v>30000</v>
      </c>
    </row>
    <row r="50" spans="2:10" x14ac:dyDescent="0.25">
      <c r="B50" t="s">
        <v>430</v>
      </c>
      <c r="C50">
        <v>2.0049999999999999</v>
      </c>
      <c r="D50">
        <v>0.79830000000000001</v>
      </c>
      <c r="E50">
        <v>3.0429999999999999E-2</v>
      </c>
      <c r="F50">
        <v>0.87870000000000004</v>
      </c>
      <c r="G50">
        <v>1.845</v>
      </c>
      <c r="H50">
        <v>3.911</v>
      </c>
      <c r="I50">
        <v>10001</v>
      </c>
      <c r="J50">
        <v>30000</v>
      </c>
    </row>
    <row r="51" spans="2:10" x14ac:dyDescent="0.25">
      <c r="B51" t="s">
        <v>431</v>
      </c>
      <c r="C51">
        <v>0.85850000000000004</v>
      </c>
      <c r="D51">
        <v>1.1100000000000001</v>
      </c>
      <c r="E51">
        <v>4.7169999999999997E-2</v>
      </c>
      <c r="F51">
        <v>3.4959999999999998E-2</v>
      </c>
      <c r="G51">
        <v>0.51880000000000004</v>
      </c>
      <c r="H51">
        <v>3.9329999999999998</v>
      </c>
      <c r="I51">
        <v>10001</v>
      </c>
      <c r="J51">
        <v>30000</v>
      </c>
    </row>
    <row r="52" spans="2:10" x14ac:dyDescent="0.25">
      <c r="B52" t="s">
        <v>432</v>
      </c>
      <c r="C52">
        <v>3.8130000000000002</v>
      </c>
      <c r="D52">
        <v>6.8860000000000001</v>
      </c>
      <c r="E52">
        <v>0.24729999999999999</v>
      </c>
      <c r="F52">
        <v>0.14430000000000001</v>
      </c>
      <c r="G52">
        <v>1.849</v>
      </c>
      <c r="H52">
        <v>19.91</v>
      </c>
      <c r="I52">
        <v>10001</v>
      </c>
      <c r="J52">
        <v>30000</v>
      </c>
    </row>
    <row r="53" spans="2:10" x14ac:dyDescent="0.25">
      <c r="B53" t="s">
        <v>433</v>
      </c>
      <c r="C53">
        <v>6.9000000000000006E-2</v>
      </c>
      <c r="D53">
        <v>0.1016</v>
      </c>
      <c r="E53">
        <v>4.2649999999999997E-3</v>
      </c>
      <c r="F53" s="13">
        <v>1.2940000000000001E-7</v>
      </c>
      <c r="G53">
        <v>3.3570000000000003E-2</v>
      </c>
      <c r="H53">
        <v>0.34320000000000001</v>
      </c>
      <c r="I53">
        <v>10001</v>
      </c>
      <c r="J53">
        <v>30000</v>
      </c>
    </row>
    <row r="54" spans="2:10" x14ac:dyDescent="0.25">
      <c r="B54" t="s">
        <v>434</v>
      </c>
      <c r="C54">
        <v>0.52249999999999996</v>
      </c>
      <c r="D54">
        <v>0.50819999999999999</v>
      </c>
      <c r="E54">
        <v>1.864E-2</v>
      </c>
      <c r="F54">
        <v>6.216E-2</v>
      </c>
      <c r="G54">
        <v>0.35959999999999998</v>
      </c>
      <c r="H54">
        <v>1.899</v>
      </c>
      <c r="I54">
        <v>10001</v>
      </c>
      <c r="J54">
        <v>30000</v>
      </c>
    </row>
    <row r="55" spans="2:10" x14ac:dyDescent="0.25">
      <c r="B55" t="s">
        <v>435</v>
      </c>
      <c r="C55">
        <v>1.401</v>
      </c>
      <c r="D55">
        <v>1.857</v>
      </c>
      <c r="E55">
        <v>7.374E-2</v>
      </c>
      <c r="F55">
        <v>7.2580000000000006E-2</v>
      </c>
      <c r="G55">
        <v>0.8175</v>
      </c>
      <c r="H55">
        <v>6.5229999999999997</v>
      </c>
      <c r="I55">
        <v>10001</v>
      </c>
      <c r="J55">
        <v>30000</v>
      </c>
    </row>
    <row r="56" spans="2:10" x14ac:dyDescent="0.25">
      <c r="B56" t="s">
        <v>436</v>
      </c>
      <c r="C56">
        <v>0.72140000000000004</v>
      </c>
      <c r="D56">
        <v>0.314</v>
      </c>
      <c r="E56">
        <v>1.163E-2</v>
      </c>
      <c r="F56">
        <v>0.2828</v>
      </c>
      <c r="G56">
        <v>0.66490000000000005</v>
      </c>
      <c r="H56">
        <v>1.4710000000000001</v>
      </c>
      <c r="I56">
        <v>10001</v>
      </c>
      <c r="J56">
        <v>30000</v>
      </c>
    </row>
    <row r="57" spans="2:10" x14ac:dyDescent="0.25">
      <c r="B57" t="s">
        <v>437</v>
      </c>
      <c r="C57">
        <v>3.609</v>
      </c>
      <c r="D57">
        <v>1.7909999999999999</v>
      </c>
      <c r="E57">
        <v>7.3760000000000006E-2</v>
      </c>
      <c r="F57">
        <v>1.222</v>
      </c>
      <c r="G57">
        <v>3.2629999999999999</v>
      </c>
      <c r="H57">
        <v>7.8390000000000004</v>
      </c>
      <c r="I57">
        <v>10001</v>
      </c>
      <c r="J57">
        <v>30000</v>
      </c>
    </row>
    <row r="58" spans="2:10" x14ac:dyDescent="0.25">
      <c r="B58" t="s">
        <v>438</v>
      </c>
      <c r="C58">
        <v>42.63</v>
      </c>
      <c r="D58">
        <v>813.4</v>
      </c>
      <c r="E58">
        <v>24.67</v>
      </c>
      <c r="F58">
        <v>0.15359999999999999</v>
      </c>
      <c r="G58">
        <v>3.7109999999999999</v>
      </c>
      <c r="H58">
        <v>112.9</v>
      </c>
      <c r="I58">
        <v>10001</v>
      </c>
      <c r="J58">
        <v>30000</v>
      </c>
    </row>
    <row r="59" spans="2:10" x14ac:dyDescent="0.25">
      <c r="B59" t="s">
        <v>439</v>
      </c>
      <c r="C59">
        <v>1.145</v>
      </c>
      <c r="D59">
        <v>18.829999999999998</v>
      </c>
      <c r="E59">
        <v>0.67130000000000001</v>
      </c>
      <c r="F59" s="13">
        <v>3.9070000000000002E-7</v>
      </c>
      <c r="G59">
        <v>5.8680000000000003E-2</v>
      </c>
      <c r="H59">
        <v>3.01</v>
      </c>
      <c r="I59">
        <v>10001</v>
      </c>
      <c r="J59">
        <v>30000</v>
      </c>
    </row>
    <row r="60" spans="2:10" x14ac:dyDescent="0.25">
      <c r="B60" t="s">
        <v>440</v>
      </c>
      <c r="C60">
        <v>4.8079999999999998</v>
      </c>
      <c r="D60">
        <v>65.94</v>
      </c>
      <c r="E60">
        <v>2.5459999999999998</v>
      </c>
      <c r="F60">
        <v>4.7849999999999997E-2</v>
      </c>
      <c r="G60">
        <v>0.74060000000000004</v>
      </c>
      <c r="H60">
        <v>14.05</v>
      </c>
      <c r="I60">
        <v>10001</v>
      </c>
      <c r="J60">
        <v>30000</v>
      </c>
    </row>
    <row r="61" spans="2:10" x14ac:dyDescent="0.25">
      <c r="B61" t="s">
        <v>441</v>
      </c>
      <c r="C61">
        <v>10.14</v>
      </c>
      <c r="D61">
        <v>109.3</v>
      </c>
      <c r="E61">
        <v>3.3319999999999999</v>
      </c>
      <c r="F61">
        <v>7.1929999999999994E-2</v>
      </c>
      <c r="G61">
        <v>1.54</v>
      </c>
      <c r="H61">
        <v>47.83</v>
      </c>
      <c r="I61">
        <v>10001</v>
      </c>
      <c r="J61">
        <v>30000</v>
      </c>
    </row>
    <row r="62" spans="2:10" x14ac:dyDescent="0.25">
      <c r="B62" t="s">
        <v>442</v>
      </c>
      <c r="C62">
        <v>7.43</v>
      </c>
      <c r="D62">
        <v>87.96</v>
      </c>
      <c r="E62">
        <v>3.6320000000000001</v>
      </c>
      <c r="F62">
        <v>0.13469999999999999</v>
      </c>
      <c r="G62">
        <v>1.274</v>
      </c>
      <c r="H62">
        <v>20.38</v>
      </c>
      <c r="I62">
        <v>10001</v>
      </c>
      <c r="J62">
        <v>30000</v>
      </c>
    </row>
    <row r="63" spans="2:10" x14ac:dyDescent="0.25">
      <c r="B63" t="s">
        <v>443</v>
      </c>
      <c r="C63">
        <v>37.619999999999997</v>
      </c>
      <c r="D63">
        <v>498.3</v>
      </c>
      <c r="E63">
        <v>18.829999999999998</v>
      </c>
      <c r="F63">
        <v>0.63980000000000004</v>
      </c>
      <c r="G63">
        <v>6.2469999999999999</v>
      </c>
      <c r="H63">
        <v>114.7</v>
      </c>
      <c r="I63">
        <v>10001</v>
      </c>
      <c r="J63">
        <v>30000</v>
      </c>
    </row>
    <row r="64" spans="2:10" x14ac:dyDescent="0.25">
      <c r="B64" t="s">
        <v>444</v>
      </c>
      <c r="C64">
        <v>7.5439999999999993E-2</v>
      </c>
      <c r="D64">
        <v>0.217</v>
      </c>
      <c r="E64">
        <v>7.3439999999999998E-3</v>
      </c>
      <c r="F64" s="13">
        <v>5.1609999999999997E-8</v>
      </c>
      <c r="G64">
        <v>1.49E-2</v>
      </c>
      <c r="H64">
        <v>0.55740000000000001</v>
      </c>
      <c r="I64">
        <v>10001</v>
      </c>
      <c r="J64">
        <v>30000</v>
      </c>
    </row>
    <row r="65" spans="2:10" x14ac:dyDescent="0.25">
      <c r="B65" t="s">
        <v>445</v>
      </c>
      <c r="C65">
        <v>0.52139999999999997</v>
      </c>
      <c r="D65">
        <v>1.1930000000000001</v>
      </c>
      <c r="E65">
        <v>4.3619999999999999E-2</v>
      </c>
      <c r="F65">
        <v>1.3690000000000001E-2</v>
      </c>
      <c r="G65">
        <v>0.19750000000000001</v>
      </c>
      <c r="H65">
        <v>3.117</v>
      </c>
      <c r="I65">
        <v>10001</v>
      </c>
      <c r="J65">
        <v>30000</v>
      </c>
    </row>
    <row r="66" spans="2:10" x14ac:dyDescent="0.25">
      <c r="B66" t="s">
        <v>446</v>
      </c>
      <c r="C66">
        <v>1.4530000000000001</v>
      </c>
      <c r="D66">
        <v>4.0510000000000002</v>
      </c>
      <c r="E66">
        <v>0.15310000000000001</v>
      </c>
      <c r="F66">
        <v>1.6E-2</v>
      </c>
      <c r="G66">
        <v>0.4466</v>
      </c>
      <c r="H66">
        <v>8.673</v>
      </c>
      <c r="I66">
        <v>10001</v>
      </c>
      <c r="J66">
        <v>30000</v>
      </c>
    </row>
    <row r="67" spans="2:10" x14ac:dyDescent="0.25">
      <c r="B67" t="s">
        <v>447</v>
      </c>
      <c r="C67">
        <v>0.78939999999999999</v>
      </c>
      <c r="D67">
        <v>1.407</v>
      </c>
      <c r="E67">
        <v>5.7020000000000001E-2</v>
      </c>
      <c r="F67">
        <v>3.1620000000000002E-2</v>
      </c>
      <c r="G67">
        <v>0.35439999999999999</v>
      </c>
      <c r="H67">
        <v>4.6459999999999999</v>
      </c>
      <c r="I67">
        <v>10001</v>
      </c>
      <c r="J67">
        <v>30000</v>
      </c>
    </row>
    <row r="68" spans="2:10" x14ac:dyDescent="0.25">
      <c r="B68" t="s">
        <v>448</v>
      </c>
      <c r="C68">
        <v>3.8170000000000002</v>
      </c>
      <c r="D68">
        <v>6.8330000000000002</v>
      </c>
      <c r="E68">
        <v>0.28920000000000001</v>
      </c>
      <c r="F68">
        <v>0.1628</v>
      </c>
      <c r="G68">
        <v>1.7070000000000001</v>
      </c>
      <c r="H68">
        <v>22.01</v>
      </c>
      <c r="I68">
        <v>10001</v>
      </c>
      <c r="J68">
        <v>30000</v>
      </c>
    </row>
    <row r="69" spans="2:10" x14ac:dyDescent="0.25">
      <c r="B69" t="s">
        <v>449</v>
      </c>
      <c r="C69">
        <v>512100</v>
      </c>
      <c r="D69" s="13">
        <v>5008000</v>
      </c>
      <c r="E69">
        <v>226700</v>
      </c>
      <c r="F69">
        <v>0.60780000000000001</v>
      </c>
      <c r="G69">
        <v>12.01</v>
      </c>
      <c r="H69" s="13">
        <v>2496000</v>
      </c>
      <c r="I69">
        <v>10001</v>
      </c>
      <c r="J69">
        <v>30000</v>
      </c>
    </row>
    <row r="70" spans="2:10" x14ac:dyDescent="0.25">
      <c r="B70" t="s">
        <v>450</v>
      </c>
      <c r="C70" s="13">
        <v>2021000</v>
      </c>
      <c r="D70" s="13">
        <v>16310000</v>
      </c>
      <c r="E70">
        <v>840700</v>
      </c>
      <c r="F70">
        <v>0.80400000000000005</v>
      </c>
      <c r="G70">
        <v>26.1</v>
      </c>
      <c r="H70" s="13">
        <v>13370000</v>
      </c>
      <c r="I70">
        <v>10001</v>
      </c>
      <c r="J70">
        <v>30000</v>
      </c>
    </row>
    <row r="71" spans="2:10" x14ac:dyDescent="0.25">
      <c r="B71" t="s">
        <v>451</v>
      </c>
      <c r="C71" s="13">
        <v>1060000</v>
      </c>
      <c r="D71" s="13">
        <v>9399000</v>
      </c>
      <c r="E71">
        <v>491900</v>
      </c>
      <c r="F71">
        <v>1.585</v>
      </c>
      <c r="G71">
        <v>20.03</v>
      </c>
      <c r="H71" s="13">
        <v>5797000</v>
      </c>
      <c r="I71">
        <v>10001</v>
      </c>
      <c r="J71">
        <v>30000</v>
      </c>
    </row>
    <row r="72" spans="2:10" x14ac:dyDescent="0.25">
      <c r="B72" t="s">
        <v>452</v>
      </c>
      <c r="C72" s="13">
        <v>5880000</v>
      </c>
      <c r="D72" s="13">
        <v>50020000</v>
      </c>
      <c r="E72" s="13">
        <v>2680000</v>
      </c>
      <c r="F72">
        <v>8.0990000000000002</v>
      </c>
      <c r="G72">
        <v>98.13</v>
      </c>
      <c r="H72" s="13">
        <v>27750000</v>
      </c>
      <c r="I72">
        <v>10001</v>
      </c>
      <c r="J72">
        <v>30000</v>
      </c>
    </row>
    <row r="73" spans="2:10" x14ac:dyDescent="0.25">
      <c r="B73" t="s">
        <v>453</v>
      </c>
      <c r="C73">
        <v>4.7539999999999996</v>
      </c>
      <c r="D73">
        <v>9.7330000000000005</v>
      </c>
      <c r="E73">
        <v>0.32400000000000001</v>
      </c>
      <c r="F73">
        <v>0.16520000000000001</v>
      </c>
      <c r="G73">
        <v>2.2599999999999998</v>
      </c>
      <c r="H73">
        <v>25.91</v>
      </c>
      <c r="I73">
        <v>10001</v>
      </c>
      <c r="J73">
        <v>30000</v>
      </c>
    </row>
    <row r="74" spans="2:10" x14ac:dyDescent="0.25">
      <c r="B74" t="s">
        <v>454</v>
      </c>
      <c r="C74">
        <v>2.7160000000000002</v>
      </c>
      <c r="D74">
        <v>3.3439999999999999</v>
      </c>
      <c r="E74">
        <v>0.1157</v>
      </c>
      <c r="F74">
        <v>0.35639999999999999</v>
      </c>
      <c r="G74">
        <v>1.7709999999999999</v>
      </c>
      <c r="H74">
        <v>10.85</v>
      </c>
      <c r="I74">
        <v>10001</v>
      </c>
      <c r="J74">
        <v>30000</v>
      </c>
    </row>
    <row r="75" spans="2:10" x14ac:dyDescent="0.25">
      <c r="B75" t="s">
        <v>455</v>
      </c>
      <c r="C75">
        <v>13.06</v>
      </c>
      <c r="D75">
        <v>15.1</v>
      </c>
      <c r="E75">
        <v>0.56999999999999995</v>
      </c>
      <c r="F75">
        <v>1.9430000000000001</v>
      </c>
      <c r="G75">
        <v>8.5920000000000005</v>
      </c>
      <c r="H75">
        <v>51.16</v>
      </c>
      <c r="I75">
        <v>10001</v>
      </c>
      <c r="J75">
        <v>30000</v>
      </c>
    </row>
    <row r="76" spans="2:10" x14ac:dyDescent="0.25">
      <c r="B76" t="s">
        <v>456</v>
      </c>
      <c r="C76">
        <v>1.8109999999999999</v>
      </c>
      <c r="D76">
        <v>4.7480000000000002</v>
      </c>
      <c r="E76">
        <v>0.1832</v>
      </c>
      <c r="F76">
        <v>0.10199999999999999</v>
      </c>
      <c r="G76">
        <v>0.81910000000000005</v>
      </c>
      <c r="H76">
        <v>8.5950000000000006</v>
      </c>
      <c r="I76">
        <v>10001</v>
      </c>
      <c r="J76">
        <v>30000</v>
      </c>
    </row>
    <row r="77" spans="2:10" x14ac:dyDescent="0.25">
      <c r="B77" t="s">
        <v>457</v>
      </c>
      <c r="C77">
        <v>8.3059999999999992</v>
      </c>
      <c r="D77">
        <v>17.600000000000001</v>
      </c>
      <c r="E77">
        <v>0.70599999999999996</v>
      </c>
      <c r="F77">
        <v>0.51839999999999997</v>
      </c>
      <c r="G77">
        <v>4.0049999999999999</v>
      </c>
      <c r="H77">
        <v>44.52</v>
      </c>
      <c r="I77">
        <v>10001</v>
      </c>
      <c r="J77">
        <v>30000</v>
      </c>
    </row>
    <row r="78" spans="2:10" x14ac:dyDescent="0.25">
      <c r="B78" t="s">
        <v>458</v>
      </c>
      <c r="C78">
        <v>5.194</v>
      </c>
      <c r="D78">
        <v>1.8879999999999999</v>
      </c>
      <c r="E78">
        <v>7.7460000000000001E-2</v>
      </c>
      <c r="F78">
        <v>2.4740000000000002</v>
      </c>
      <c r="G78">
        <v>4.8959999999999999</v>
      </c>
      <c r="H78">
        <v>9.8290000000000006</v>
      </c>
      <c r="I78">
        <v>10001</v>
      </c>
      <c r="J78">
        <v>30000</v>
      </c>
    </row>
    <row r="79" spans="2:10" x14ac:dyDescent="0.25">
      <c r="B79" t="s">
        <v>459</v>
      </c>
      <c r="C79">
        <v>0.37240000000000001</v>
      </c>
      <c r="D79">
        <v>0.12909999999999999</v>
      </c>
      <c r="E79">
        <v>5.2760000000000003E-3</v>
      </c>
      <c r="F79">
        <v>0.1111</v>
      </c>
      <c r="G79">
        <v>0.33329999999999999</v>
      </c>
      <c r="H79">
        <v>0.66669999999999996</v>
      </c>
      <c r="I79">
        <v>10001</v>
      </c>
      <c r="J79">
        <v>30000</v>
      </c>
    </row>
    <row r="80" spans="2:10" x14ac:dyDescent="0.25">
      <c r="B80" t="s">
        <v>460</v>
      </c>
      <c r="C80">
        <v>0.2331</v>
      </c>
      <c r="D80">
        <v>0.1053</v>
      </c>
      <c r="E80">
        <v>3.6449999999999998E-3</v>
      </c>
      <c r="F80">
        <v>0.1111</v>
      </c>
      <c r="G80">
        <v>0.22220000000000001</v>
      </c>
      <c r="H80">
        <v>0.44440000000000002</v>
      </c>
      <c r="I80">
        <v>10001</v>
      </c>
      <c r="J80">
        <v>30000</v>
      </c>
    </row>
    <row r="81" spans="2:10" x14ac:dyDescent="0.25">
      <c r="B81" t="s">
        <v>461</v>
      </c>
      <c r="C81">
        <v>0.47789999999999999</v>
      </c>
      <c r="D81">
        <v>0.1598</v>
      </c>
      <c r="E81">
        <v>6.3610000000000003E-3</v>
      </c>
      <c r="F81">
        <v>0.1111</v>
      </c>
      <c r="G81">
        <v>0.44440000000000002</v>
      </c>
      <c r="H81">
        <v>0.77780000000000005</v>
      </c>
      <c r="I81">
        <v>10001</v>
      </c>
      <c r="J81">
        <v>30000</v>
      </c>
    </row>
    <row r="82" spans="2:10" x14ac:dyDescent="0.25">
      <c r="B82" t="s">
        <v>462</v>
      </c>
      <c r="C82">
        <v>0.64839999999999998</v>
      </c>
      <c r="D82">
        <v>0.26989999999999997</v>
      </c>
      <c r="E82">
        <v>1.255E-2</v>
      </c>
      <c r="F82">
        <v>0</v>
      </c>
      <c r="G82">
        <v>0.77780000000000005</v>
      </c>
      <c r="H82">
        <v>1</v>
      </c>
      <c r="I82">
        <v>10001</v>
      </c>
      <c r="J82">
        <v>30000</v>
      </c>
    </row>
    <row r="83" spans="2:10" x14ac:dyDescent="0.25">
      <c r="B83" t="s">
        <v>463</v>
      </c>
      <c r="C83">
        <v>0.29720000000000002</v>
      </c>
      <c r="D83">
        <v>0.29570000000000002</v>
      </c>
      <c r="E83">
        <v>1.3089999999999999E-2</v>
      </c>
      <c r="F83">
        <v>0</v>
      </c>
      <c r="G83">
        <v>0.22220000000000001</v>
      </c>
      <c r="H83">
        <v>0.88890000000000002</v>
      </c>
      <c r="I83">
        <v>10001</v>
      </c>
      <c r="J83">
        <v>30000</v>
      </c>
    </row>
    <row r="84" spans="2:10" x14ac:dyDescent="0.25">
      <c r="B84" t="s">
        <v>464</v>
      </c>
      <c r="C84">
        <v>0.97940000000000005</v>
      </c>
      <c r="D84">
        <v>5.9249999999999997E-2</v>
      </c>
      <c r="E84">
        <v>2.209E-3</v>
      </c>
      <c r="F84">
        <v>0.77780000000000005</v>
      </c>
      <c r="G84">
        <v>1</v>
      </c>
      <c r="H84">
        <v>1</v>
      </c>
      <c r="I84">
        <v>10001</v>
      </c>
      <c r="J84">
        <v>30000</v>
      </c>
    </row>
    <row r="85" spans="2:10" x14ac:dyDescent="0.25">
      <c r="B85" t="s">
        <v>465</v>
      </c>
      <c r="C85">
        <v>0.75890000000000002</v>
      </c>
      <c r="D85">
        <v>0.17019999999999999</v>
      </c>
      <c r="E85">
        <v>6.0340000000000003E-3</v>
      </c>
      <c r="F85">
        <v>0.33329999999999999</v>
      </c>
      <c r="G85">
        <v>0.77780000000000005</v>
      </c>
      <c r="H85">
        <v>1</v>
      </c>
      <c r="I85">
        <v>10001</v>
      </c>
      <c r="J85">
        <v>30000</v>
      </c>
    </row>
    <row r="86" spans="2:10" x14ac:dyDescent="0.25">
      <c r="B86" t="s">
        <v>466</v>
      </c>
      <c r="C86">
        <v>0.5252</v>
      </c>
      <c r="D86">
        <v>0.2888</v>
      </c>
      <c r="E86">
        <v>1.261E-2</v>
      </c>
      <c r="F86">
        <v>0</v>
      </c>
      <c r="G86">
        <v>0.55559999999999998</v>
      </c>
      <c r="H86">
        <v>1</v>
      </c>
      <c r="I86">
        <v>10001</v>
      </c>
      <c r="J86">
        <v>30000</v>
      </c>
    </row>
    <row r="87" spans="2:10" x14ac:dyDescent="0.25">
      <c r="B87" t="s">
        <v>467</v>
      </c>
      <c r="C87">
        <v>0.64670000000000005</v>
      </c>
      <c r="D87">
        <v>0.1384</v>
      </c>
      <c r="E87">
        <v>5.2389999999999997E-3</v>
      </c>
      <c r="F87">
        <v>0.33329999999999999</v>
      </c>
      <c r="G87">
        <v>0.66669999999999996</v>
      </c>
      <c r="H87">
        <v>0.88890000000000002</v>
      </c>
      <c r="I87">
        <v>10001</v>
      </c>
      <c r="J87">
        <v>30000</v>
      </c>
    </row>
    <row r="88" spans="2:10" x14ac:dyDescent="0.25">
      <c r="B88" t="s">
        <v>468</v>
      </c>
      <c r="C88">
        <v>6.0830000000000002E-2</v>
      </c>
      <c r="D88">
        <v>8.2869999999999999E-2</v>
      </c>
      <c r="E88">
        <v>3.1089999999999998E-3</v>
      </c>
      <c r="F88">
        <v>0</v>
      </c>
      <c r="G88">
        <v>0</v>
      </c>
      <c r="H88">
        <v>0.22220000000000001</v>
      </c>
      <c r="I88">
        <v>10001</v>
      </c>
      <c r="J88">
        <v>30000</v>
      </c>
    </row>
    <row r="89" spans="2:10" x14ac:dyDescent="0.25">
      <c r="B89" t="s">
        <v>469</v>
      </c>
      <c r="C89">
        <v>0</v>
      </c>
      <c r="D89">
        <v>0</v>
      </c>
      <c r="E89" s="13">
        <v>3.333E-13</v>
      </c>
      <c r="F89">
        <v>0</v>
      </c>
      <c r="G89">
        <v>0</v>
      </c>
      <c r="H89">
        <v>0</v>
      </c>
      <c r="I89">
        <v>10001</v>
      </c>
      <c r="J89">
        <v>30000</v>
      </c>
    </row>
    <row r="90" spans="2:10" x14ac:dyDescent="0.25">
      <c r="B90" t="s">
        <v>470</v>
      </c>
      <c r="C90">
        <v>0</v>
      </c>
      <c r="D90">
        <v>0</v>
      </c>
      <c r="E90" s="13">
        <v>3.333E-13</v>
      </c>
      <c r="F90">
        <v>0</v>
      </c>
      <c r="G90">
        <v>0</v>
      </c>
      <c r="H90">
        <v>0</v>
      </c>
      <c r="I90">
        <v>10001</v>
      </c>
      <c r="J90">
        <v>30000</v>
      </c>
    </row>
    <row r="91" spans="2:10" x14ac:dyDescent="0.25">
      <c r="B91" t="s">
        <v>471</v>
      </c>
      <c r="C91">
        <v>0</v>
      </c>
      <c r="D91">
        <v>0</v>
      </c>
      <c r="E91" s="13">
        <v>3.333E-13</v>
      </c>
      <c r="F91">
        <v>0</v>
      </c>
      <c r="G91">
        <v>0</v>
      </c>
      <c r="H91">
        <v>0</v>
      </c>
      <c r="I91">
        <v>10001</v>
      </c>
      <c r="J91">
        <v>30000</v>
      </c>
    </row>
    <row r="92" spans="2:10" x14ac:dyDescent="0.25">
      <c r="B92" t="s">
        <v>472</v>
      </c>
      <c r="C92">
        <v>6.1199999999999997E-2</v>
      </c>
      <c r="D92">
        <v>0.2397</v>
      </c>
      <c r="E92">
        <v>1.0710000000000001E-2</v>
      </c>
      <c r="F92">
        <v>0</v>
      </c>
      <c r="G92">
        <v>0</v>
      </c>
      <c r="H92">
        <v>1</v>
      </c>
      <c r="I92">
        <v>10001</v>
      </c>
      <c r="J92">
        <v>30000</v>
      </c>
    </row>
    <row r="93" spans="2:10" x14ac:dyDescent="0.25">
      <c r="B93" t="s">
        <v>473</v>
      </c>
      <c r="C93">
        <v>3.333E-3</v>
      </c>
      <c r="D93">
        <v>5.7639999999999997E-2</v>
      </c>
      <c r="E93">
        <v>1.16E-3</v>
      </c>
      <c r="F93">
        <v>0</v>
      </c>
      <c r="G93">
        <v>0</v>
      </c>
      <c r="H93">
        <v>0</v>
      </c>
      <c r="I93">
        <v>10001</v>
      </c>
      <c r="J93">
        <v>30000</v>
      </c>
    </row>
    <row r="94" spans="2:10" x14ac:dyDescent="0.25">
      <c r="B94" t="s">
        <v>474</v>
      </c>
      <c r="C94">
        <v>0.86250000000000004</v>
      </c>
      <c r="D94">
        <v>0.34439999999999998</v>
      </c>
      <c r="E94">
        <v>1.383E-2</v>
      </c>
      <c r="F94">
        <v>0</v>
      </c>
      <c r="G94">
        <v>1</v>
      </c>
      <c r="H94">
        <v>1</v>
      </c>
      <c r="I94">
        <v>10001</v>
      </c>
      <c r="J94">
        <v>30000</v>
      </c>
    </row>
    <row r="95" spans="2:10" x14ac:dyDescent="0.25">
      <c r="B95" t="s">
        <v>475</v>
      </c>
      <c r="C95">
        <v>4.6300000000000001E-2</v>
      </c>
      <c r="D95">
        <v>0.21010000000000001</v>
      </c>
      <c r="E95">
        <v>6.7210000000000004E-3</v>
      </c>
      <c r="F95">
        <v>0</v>
      </c>
      <c r="G95">
        <v>0</v>
      </c>
      <c r="H95">
        <v>1</v>
      </c>
      <c r="I95">
        <v>10001</v>
      </c>
      <c r="J95">
        <v>30000</v>
      </c>
    </row>
    <row r="96" spans="2:10" x14ac:dyDescent="0.25">
      <c r="B96" t="s">
        <v>476</v>
      </c>
      <c r="C96">
        <v>2.58E-2</v>
      </c>
      <c r="D96">
        <v>0.1585</v>
      </c>
      <c r="E96">
        <v>5.6490000000000004E-3</v>
      </c>
      <c r="F96">
        <v>0</v>
      </c>
      <c r="G96">
        <v>0</v>
      </c>
      <c r="H96">
        <v>1</v>
      </c>
      <c r="I96">
        <v>10001</v>
      </c>
      <c r="J96">
        <v>30000</v>
      </c>
    </row>
    <row r="97" spans="2:10" x14ac:dyDescent="0.25">
      <c r="B97" t="s">
        <v>477</v>
      </c>
      <c r="C97" s="13">
        <v>8.9999999999999998E-4</v>
      </c>
      <c r="D97">
        <v>2.9989999999999999E-2</v>
      </c>
      <c r="E97" s="13">
        <v>4.192E-4</v>
      </c>
      <c r="F97">
        <v>0</v>
      </c>
      <c r="G97">
        <v>0</v>
      </c>
      <c r="H97">
        <v>0</v>
      </c>
      <c r="I97">
        <v>10001</v>
      </c>
      <c r="J97">
        <v>30000</v>
      </c>
    </row>
    <row r="98" spans="2:10" x14ac:dyDescent="0.25">
      <c r="B98" t="s">
        <v>478</v>
      </c>
      <c r="C98">
        <v>0</v>
      </c>
      <c r="D98">
        <v>0</v>
      </c>
      <c r="E98" s="13">
        <v>3.333E-13</v>
      </c>
      <c r="F98">
        <v>0</v>
      </c>
      <c r="G98">
        <v>0</v>
      </c>
      <c r="H98">
        <v>0</v>
      </c>
      <c r="I98">
        <v>10001</v>
      </c>
      <c r="J98">
        <v>30000</v>
      </c>
    </row>
    <row r="99" spans="2:10" x14ac:dyDescent="0.25">
      <c r="B99" t="s">
        <v>479</v>
      </c>
      <c r="C99">
        <v>1.2549999999999999</v>
      </c>
      <c r="D99">
        <v>1.569</v>
      </c>
      <c r="E99">
        <v>3.381E-2</v>
      </c>
      <c r="F99">
        <v>1.7619999999999999E-3</v>
      </c>
      <c r="G99">
        <v>0.66549999999999998</v>
      </c>
      <c r="H99">
        <v>5.6790000000000003</v>
      </c>
      <c r="I99">
        <v>10001</v>
      </c>
      <c r="J99">
        <v>30000</v>
      </c>
    </row>
    <row r="100" spans="2:10" x14ac:dyDescent="0.25">
      <c r="B100" t="s">
        <v>480</v>
      </c>
      <c r="C100">
        <v>1.006</v>
      </c>
      <c r="D100">
        <v>1.39</v>
      </c>
      <c r="E100">
        <v>1.7780000000000001E-2</v>
      </c>
      <c r="F100" s="13">
        <v>9.5540000000000002E-4</v>
      </c>
      <c r="G100">
        <v>0.46729999999999999</v>
      </c>
      <c r="H100">
        <v>4.9619999999999997</v>
      </c>
      <c r="I100">
        <v>10001</v>
      </c>
      <c r="J100">
        <v>30000</v>
      </c>
    </row>
    <row r="101" spans="2:10" x14ac:dyDescent="0.25">
      <c r="B101" t="s">
        <v>481</v>
      </c>
      <c r="C101">
        <v>0.70220000000000005</v>
      </c>
      <c r="D101">
        <v>0.98939999999999995</v>
      </c>
      <c r="E101">
        <v>6.8950000000000001E-3</v>
      </c>
      <c r="F101" s="13">
        <v>8.0409999999999998E-4</v>
      </c>
      <c r="G101">
        <v>0.32750000000000001</v>
      </c>
      <c r="H101">
        <v>3.4630000000000001</v>
      </c>
      <c r="I101">
        <v>10001</v>
      </c>
      <c r="J101">
        <v>30000</v>
      </c>
    </row>
    <row r="102" spans="2:10" x14ac:dyDescent="0.25">
      <c r="B102" t="s">
        <v>482</v>
      </c>
      <c r="C102">
        <v>0.96260000000000001</v>
      </c>
      <c r="D102">
        <v>1.1559999999999999</v>
      </c>
      <c r="E102">
        <v>3.2140000000000002E-2</v>
      </c>
      <c r="F102">
        <v>1.371E-3</v>
      </c>
      <c r="G102">
        <v>0.55230000000000001</v>
      </c>
      <c r="H102">
        <v>4.1040000000000001</v>
      </c>
      <c r="I102">
        <v>10001</v>
      </c>
      <c r="J102">
        <v>30000</v>
      </c>
    </row>
    <row r="103" spans="2:10" x14ac:dyDescent="0.25">
      <c r="B103" t="s">
        <v>483</v>
      </c>
      <c r="C103">
        <v>0.61209999999999998</v>
      </c>
      <c r="D103">
        <v>0.86909999999999998</v>
      </c>
      <c r="E103">
        <v>6.2119999999999996E-3</v>
      </c>
      <c r="F103" s="13">
        <v>5.3229999999999998E-4</v>
      </c>
      <c r="G103">
        <v>0.2797</v>
      </c>
      <c r="H103">
        <v>3.113</v>
      </c>
      <c r="I103">
        <v>10001</v>
      </c>
      <c r="J103">
        <v>30000</v>
      </c>
    </row>
    <row r="104" spans="2:10" x14ac:dyDescent="0.25">
      <c r="B104" t="s">
        <v>484</v>
      </c>
      <c r="C104">
        <v>0.66759999999999997</v>
      </c>
      <c r="D104">
        <v>0.8851</v>
      </c>
      <c r="E104">
        <v>7.7060000000000002E-3</v>
      </c>
      <c r="F104" s="13">
        <v>7.3459999999999997E-4</v>
      </c>
      <c r="G104">
        <v>0.3276</v>
      </c>
      <c r="H104">
        <v>3.2040000000000002</v>
      </c>
      <c r="I104">
        <v>10001</v>
      </c>
      <c r="J104">
        <v>30000</v>
      </c>
    </row>
    <row r="105" spans="2:10" x14ac:dyDescent="0.25">
      <c r="B105" t="s">
        <v>485</v>
      </c>
      <c r="C105">
        <v>0.62190000000000001</v>
      </c>
      <c r="D105">
        <v>0.89639999999999997</v>
      </c>
      <c r="E105">
        <v>6.2480000000000001E-3</v>
      </c>
      <c r="F105" s="13">
        <v>5.9999999999999995E-4</v>
      </c>
      <c r="G105">
        <v>0.28299999999999997</v>
      </c>
      <c r="H105">
        <v>3.14</v>
      </c>
      <c r="I105">
        <v>10001</v>
      </c>
      <c r="J105">
        <v>30000</v>
      </c>
    </row>
    <row r="106" spans="2:10" x14ac:dyDescent="0.25">
      <c r="B106" t="s">
        <v>486</v>
      </c>
      <c r="C106">
        <v>0.68610000000000004</v>
      </c>
      <c r="D106">
        <v>0.8931</v>
      </c>
      <c r="E106">
        <v>8.0520000000000001E-3</v>
      </c>
      <c r="F106" s="13">
        <v>7.7110000000000004E-4</v>
      </c>
      <c r="G106">
        <v>0.34789999999999999</v>
      </c>
      <c r="H106">
        <v>3.1960000000000002</v>
      </c>
      <c r="I106">
        <v>10001</v>
      </c>
      <c r="J106">
        <v>30000</v>
      </c>
    </row>
    <row r="107" spans="2:10" x14ac:dyDescent="0.25">
      <c r="B107" t="s">
        <v>487</v>
      </c>
      <c r="C107">
        <v>1.1779999999999999</v>
      </c>
      <c r="D107">
        <v>1.5509999999999999</v>
      </c>
      <c r="E107">
        <v>1.8319999999999999E-2</v>
      </c>
      <c r="F107">
        <v>1.389E-3</v>
      </c>
      <c r="G107">
        <v>0.57830000000000004</v>
      </c>
      <c r="H107">
        <v>5.5019999999999998</v>
      </c>
      <c r="I107">
        <v>10001</v>
      </c>
      <c r="J107">
        <v>30000</v>
      </c>
    </row>
    <row r="108" spans="2:10" x14ac:dyDescent="0.25">
      <c r="B108" t="s">
        <v>488</v>
      </c>
      <c r="C108">
        <v>0.82140000000000002</v>
      </c>
      <c r="D108">
        <v>1.1060000000000001</v>
      </c>
      <c r="E108">
        <v>2.1399999999999999E-2</v>
      </c>
      <c r="F108" s="13">
        <v>9.278E-4</v>
      </c>
      <c r="G108">
        <v>0.39960000000000001</v>
      </c>
      <c r="H108">
        <v>3.944</v>
      </c>
      <c r="I108">
        <v>10001</v>
      </c>
      <c r="J108">
        <v>30000</v>
      </c>
    </row>
    <row r="109" spans="2:10" x14ac:dyDescent="0.25">
      <c r="B109" t="s">
        <v>489</v>
      </c>
      <c r="C109">
        <v>1.83</v>
      </c>
      <c r="D109">
        <v>1.7090000000000001</v>
      </c>
      <c r="E109">
        <v>3.4799999999999998E-2</v>
      </c>
      <c r="F109">
        <v>1.542E-2</v>
      </c>
      <c r="G109">
        <v>1.3560000000000001</v>
      </c>
      <c r="H109">
        <v>6.327</v>
      </c>
      <c r="I109">
        <v>10001</v>
      </c>
      <c r="J109">
        <v>30000</v>
      </c>
    </row>
    <row r="110" spans="2:10" x14ac:dyDescent="0.25">
      <c r="B110" t="s">
        <v>490</v>
      </c>
      <c r="C110">
        <v>1.585</v>
      </c>
      <c r="D110">
        <v>1.911</v>
      </c>
      <c r="E110">
        <v>2.4060000000000002E-2</v>
      </c>
      <c r="F110">
        <v>2.3149999999999998E-3</v>
      </c>
      <c r="G110">
        <v>0.88380000000000003</v>
      </c>
      <c r="H110">
        <v>6.8209999999999997</v>
      </c>
      <c r="I110">
        <v>10001</v>
      </c>
      <c r="J110">
        <v>30000</v>
      </c>
    </row>
    <row r="111" spans="2:10" x14ac:dyDescent="0.25">
      <c r="B111" t="s">
        <v>491</v>
      </c>
      <c r="C111">
        <v>1.0840000000000001</v>
      </c>
      <c r="D111">
        <v>1.522</v>
      </c>
      <c r="E111">
        <v>2.7730000000000001E-2</v>
      </c>
      <c r="F111">
        <v>1.186E-3</v>
      </c>
      <c r="G111">
        <v>0.4945</v>
      </c>
      <c r="H111">
        <v>5.444</v>
      </c>
      <c r="I111">
        <v>10001</v>
      </c>
      <c r="J111">
        <v>30000</v>
      </c>
    </row>
    <row r="112" spans="2:10" x14ac:dyDescent="0.25">
      <c r="B112" t="s">
        <v>492</v>
      </c>
      <c r="C112">
        <v>1.1000000000000001</v>
      </c>
      <c r="D112">
        <v>1.554</v>
      </c>
      <c r="E112">
        <v>4.6109999999999998E-2</v>
      </c>
      <c r="F112">
        <v>1.14E-3</v>
      </c>
      <c r="G112">
        <v>0.50680000000000003</v>
      </c>
      <c r="H112">
        <v>5.6180000000000003</v>
      </c>
      <c r="I112">
        <v>10001</v>
      </c>
      <c r="J112">
        <v>30000</v>
      </c>
    </row>
    <row r="113" spans="2:10" x14ac:dyDescent="0.25">
      <c r="B113" t="s">
        <v>493</v>
      </c>
      <c r="C113">
        <v>1.1120000000000001</v>
      </c>
      <c r="D113">
        <v>1.5149999999999999</v>
      </c>
      <c r="E113">
        <v>3.8789999999999998E-2</v>
      </c>
      <c r="F113">
        <v>1.1689999999999999E-3</v>
      </c>
      <c r="G113">
        <v>0.51180000000000003</v>
      </c>
      <c r="H113">
        <v>5.5590000000000002</v>
      </c>
      <c r="I113">
        <v>10001</v>
      </c>
      <c r="J113">
        <v>30000</v>
      </c>
    </row>
    <row r="114" spans="2:10" x14ac:dyDescent="0.25">
      <c r="B114" t="s">
        <v>494</v>
      </c>
      <c r="C114">
        <v>1.0469999999999999</v>
      </c>
      <c r="D114">
        <v>1.458</v>
      </c>
      <c r="E114">
        <v>3.7010000000000001E-2</v>
      </c>
      <c r="F114" s="13">
        <v>9.5270000000000001E-4</v>
      </c>
      <c r="G114">
        <v>0.47670000000000001</v>
      </c>
      <c r="H114">
        <v>5.2720000000000002</v>
      </c>
      <c r="I114">
        <v>10001</v>
      </c>
      <c r="J114">
        <v>30000</v>
      </c>
    </row>
    <row r="115" spans="2:10" x14ac:dyDescent="0.25">
      <c r="B115" t="s">
        <v>495</v>
      </c>
      <c r="C115">
        <v>1.131</v>
      </c>
      <c r="D115">
        <v>0.89600000000000002</v>
      </c>
      <c r="E115">
        <v>1.3610000000000001E-2</v>
      </c>
      <c r="F115">
        <v>0.1193</v>
      </c>
      <c r="G115">
        <v>0.89539999999999997</v>
      </c>
      <c r="H115">
        <v>3.4529999999999998</v>
      </c>
      <c r="I115">
        <v>10001</v>
      </c>
      <c r="J115">
        <v>30000</v>
      </c>
    </row>
    <row r="116" spans="2:10" x14ac:dyDescent="0.25">
      <c r="B116" t="s">
        <v>496</v>
      </c>
      <c r="C116">
        <v>1.3009999999999999</v>
      </c>
      <c r="D116">
        <v>1.746</v>
      </c>
      <c r="E116">
        <v>1.176E-2</v>
      </c>
      <c r="F116">
        <v>1.3500000000000001E-3</v>
      </c>
      <c r="G116">
        <v>0.63329999999999997</v>
      </c>
      <c r="H116">
        <v>6.2030000000000003</v>
      </c>
      <c r="I116">
        <v>10001</v>
      </c>
      <c r="J116">
        <v>30000</v>
      </c>
    </row>
    <row r="117" spans="2:10" x14ac:dyDescent="0.25">
      <c r="B117" t="s">
        <v>497</v>
      </c>
      <c r="C117">
        <v>1.038</v>
      </c>
      <c r="D117">
        <v>1.466</v>
      </c>
      <c r="E117">
        <v>1.704E-2</v>
      </c>
      <c r="F117" s="13">
        <v>9.1410000000000005E-4</v>
      </c>
      <c r="G117">
        <v>0.46739999999999998</v>
      </c>
      <c r="H117">
        <v>5.2450000000000001</v>
      </c>
      <c r="I117">
        <v>10001</v>
      </c>
      <c r="J117">
        <v>30000</v>
      </c>
    </row>
    <row r="118" spans="2:10" x14ac:dyDescent="0.25">
      <c r="B118" t="s">
        <v>498</v>
      </c>
      <c r="C118">
        <v>1.069</v>
      </c>
      <c r="D118">
        <v>1.5389999999999999</v>
      </c>
      <c r="E118">
        <v>4.299E-2</v>
      </c>
      <c r="F118">
        <v>1.114E-3</v>
      </c>
      <c r="G118">
        <v>0.49630000000000002</v>
      </c>
      <c r="H118">
        <v>5.3810000000000002</v>
      </c>
      <c r="I118">
        <v>10001</v>
      </c>
      <c r="J118">
        <v>30000</v>
      </c>
    </row>
    <row r="119" spans="2:10" x14ac:dyDescent="0.25">
      <c r="B119" t="s">
        <v>499</v>
      </c>
      <c r="C119">
        <v>0.8357</v>
      </c>
      <c r="D119">
        <v>1.1830000000000001</v>
      </c>
      <c r="E119">
        <v>1.1769999999999999E-2</v>
      </c>
      <c r="F119" s="13">
        <v>8.9919999999999996E-4</v>
      </c>
      <c r="G119">
        <v>0.3821</v>
      </c>
      <c r="H119">
        <v>4.2270000000000003</v>
      </c>
      <c r="I119">
        <v>10001</v>
      </c>
      <c r="J119">
        <v>30000</v>
      </c>
    </row>
    <row r="120" spans="2:10" x14ac:dyDescent="0.25">
      <c r="B120" t="s">
        <v>500</v>
      </c>
      <c r="C120">
        <v>0.78290000000000004</v>
      </c>
      <c r="D120">
        <v>1.0820000000000001</v>
      </c>
      <c r="E120">
        <v>1.584E-2</v>
      </c>
      <c r="F120" s="13">
        <v>8.2050000000000005E-4</v>
      </c>
      <c r="G120">
        <v>0.36270000000000002</v>
      </c>
      <c r="H120">
        <v>3.8519999999999999</v>
      </c>
      <c r="I120">
        <v>10001</v>
      </c>
      <c r="J120">
        <v>30000</v>
      </c>
    </row>
    <row r="121" spans="2:10" x14ac:dyDescent="0.25">
      <c r="B121" t="s">
        <v>501</v>
      </c>
      <c r="C121">
        <v>0.65739999999999998</v>
      </c>
      <c r="D121">
        <v>0.95679999999999998</v>
      </c>
      <c r="E121">
        <v>1.2999999999999999E-2</v>
      </c>
      <c r="F121" s="13">
        <v>6.7509999999999998E-4</v>
      </c>
      <c r="G121">
        <v>0.2923</v>
      </c>
      <c r="H121">
        <v>3.395</v>
      </c>
      <c r="I121">
        <v>10001</v>
      </c>
      <c r="J121">
        <v>30000</v>
      </c>
    </row>
    <row r="122" spans="2:10" x14ac:dyDescent="0.25">
      <c r="B122" t="s">
        <v>502</v>
      </c>
      <c r="C122">
        <v>0.8155</v>
      </c>
      <c r="D122">
        <v>1.139</v>
      </c>
      <c r="E122">
        <v>1.0659999999999999E-2</v>
      </c>
      <c r="F122" s="13">
        <v>7.6440000000000004E-4</v>
      </c>
      <c r="G122">
        <v>0.37609999999999999</v>
      </c>
      <c r="H122">
        <v>4.0810000000000004</v>
      </c>
      <c r="I122">
        <v>10001</v>
      </c>
      <c r="J122">
        <v>30000</v>
      </c>
    </row>
    <row r="123" spans="2:10" x14ac:dyDescent="0.25">
      <c r="B123" t="s">
        <v>503</v>
      </c>
      <c r="C123">
        <v>0.48749999999999999</v>
      </c>
      <c r="D123">
        <v>0.66269999999999996</v>
      </c>
      <c r="E123">
        <v>5.986E-3</v>
      </c>
      <c r="F123" s="13">
        <v>4.8319999999999998E-4</v>
      </c>
      <c r="G123">
        <v>0.2303</v>
      </c>
      <c r="H123">
        <v>2.3540000000000001</v>
      </c>
      <c r="I123">
        <v>10001</v>
      </c>
      <c r="J123">
        <v>30000</v>
      </c>
    </row>
    <row r="124" spans="2:10" x14ac:dyDescent="0.25">
      <c r="B124" t="s">
        <v>504</v>
      </c>
      <c r="C124">
        <v>0.70250000000000001</v>
      </c>
      <c r="D124">
        <v>0.98270000000000002</v>
      </c>
      <c r="E124">
        <v>6.3229999999999996E-3</v>
      </c>
      <c r="F124" s="13">
        <v>6.935E-4</v>
      </c>
      <c r="G124">
        <v>0.32319999999999999</v>
      </c>
      <c r="H124">
        <v>3.464</v>
      </c>
      <c r="I124">
        <v>10001</v>
      </c>
      <c r="J124">
        <v>30000</v>
      </c>
    </row>
    <row r="125" spans="2:10" x14ac:dyDescent="0.25">
      <c r="B125" t="s">
        <v>505</v>
      </c>
      <c r="C125">
        <v>0.97050000000000003</v>
      </c>
      <c r="D125">
        <v>1.3280000000000001</v>
      </c>
      <c r="E125">
        <v>2.2120000000000001E-2</v>
      </c>
      <c r="F125" s="13">
        <v>9.6610000000000001E-4</v>
      </c>
      <c r="G125">
        <v>0.44650000000000001</v>
      </c>
      <c r="H125">
        <v>4.8129999999999997</v>
      </c>
      <c r="I125">
        <v>10001</v>
      </c>
      <c r="J125">
        <v>30000</v>
      </c>
    </row>
    <row r="126" spans="2:10" x14ac:dyDescent="0.25">
      <c r="B126" t="s">
        <v>506</v>
      </c>
      <c r="C126">
        <v>0.82479999999999998</v>
      </c>
      <c r="D126">
        <v>1.2390000000000001</v>
      </c>
      <c r="E126">
        <v>4.4170000000000001E-2</v>
      </c>
      <c r="F126" s="13">
        <v>9.3170000000000004E-4</v>
      </c>
      <c r="G126">
        <v>0.3664</v>
      </c>
      <c r="H126">
        <v>4.1879999999999997</v>
      </c>
      <c r="I126">
        <v>10001</v>
      </c>
      <c r="J126">
        <v>30000</v>
      </c>
    </row>
    <row r="127" spans="2:10" x14ac:dyDescent="0.25">
      <c r="B127" t="s">
        <v>507</v>
      </c>
      <c r="C127">
        <v>0.95099999999999996</v>
      </c>
      <c r="D127">
        <v>1.2090000000000001</v>
      </c>
      <c r="E127">
        <v>1.069E-2</v>
      </c>
      <c r="F127">
        <v>1.0889999999999999E-3</v>
      </c>
      <c r="G127">
        <v>0.49819999999999998</v>
      </c>
      <c r="H127">
        <v>4.319</v>
      </c>
      <c r="I127">
        <v>10001</v>
      </c>
      <c r="J127">
        <v>30000</v>
      </c>
    </row>
    <row r="128" spans="2:10" x14ac:dyDescent="0.25">
      <c r="B128" t="s">
        <v>508</v>
      </c>
      <c r="C128">
        <v>0.73799999999999999</v>
      </c>
      <c r="D128">
        <v>1.026</v>
      </c>
      <c r="E128">
        <v>8.2059999999999998E-3</v>
      </c>
      <c r="F128" s="13">
        <v>7.8779999999999996E-4</v>
      </c>
      <c r="G128">
        <v>0.34300000000000003</v>
      </c>
      <c r="H128">
        <v>3.7090000000000001</v>
      </c>
      <c r="I128">
        <v>10001</v>
      </c>
      <c r="J128">
        <v>30000</v>
      </c>
    </row>
    <row r="129" spans="2:10" x14ac:dyDescent="0.25">
      <c r="B129" t="s">
        <v>509</v>
      </c>
      <c r="C129">
        <v>2.4649999999999999</v>
      </c>
      <c r="D129">
        <v>1.5049999999999999</v>
      </c>
      <c r="E129">
        <v>1.592E-2</v>
      </c>
      <c r="F129">
        <v>0.47649999999999998</v>
      </c>
      <c r="G129">
        <v>2.1640000000000001</v>
      </c>
      <c r="H129">
        <v>6.21</v>
      </c>
      <c r="I129">
        <v>10001</v>
      </c>
      <c r="J129">
        <v>30000</v>
      </c>
    </row>
    <row r="130" spans="2:10" x14ac:dyDescent="0.25">
      <c r="B130" t="s">
        <v>510</v>
      </c>
      <c r="C130">
        <v>1.74</v>
      </c>
      <c r="D130">
        <v>2.0499999999999998</v>
      </c>
      <c r="E130">
        <v>1.469E-2</v>
      </c>
      <c r="F130">
        <v>2.5579999999999999E-3</v>
      </c>
      <c r="G130">
        <v>1.0209999999999999</v>
      </c>
      <c r="H130">
        <v>7.2949999999999999</v>
      </c>
      <c r="I130">
        <v>10001</v>
      </c>
      <c r="J130">
        <v>30000</v>
      </c>
    </row>
    <row r="131" spans="2:10" x14ac:dyDescent="0.25">
      <c r="B131" t="s">
        <v>511</v>
      </c>
      <c r="C131">
        <v>1.9179999999999999</v>
      </c>
      <c r="D131">
        <v>1.635</v>
      </c>
      <c r="E131">
        <v>2.7779999999999999E-2</v>
      </c>
      <c r="F131">
        <v>1.427E-2</v>
      </c>
      <c r="G131">
        <v>1.538</v>
      </c>
      <c r="H131">
        <v>6.0019999999999998</v>
      </c>
      <c r="I131">
        <v>10001</v>
      </c>
      <c r="J131">
        <v>30000</v>
      </c>
    </row>
    <row r="132" spans="2:10" x14ac:dyDescent="0.25">
      <c r="B132" t="s">
        <v>512</v>
      </c>
      <c r="C132">
        <v>1.1759999999999999</v>
      </c>
      <c r="D132">
        <v>1.5529999999999999</v>
      </c>
      <c r="E132">
        <v>1.2760000000000001E-2</v>
      </c>
      <c r="F132">
        <v>1.2539999999999999E-3</v>
      </c>
      <c r="G132">
        <v>0.57789999999999997</v>
      </c>
      <c r="H132">
        <v>5.4939999999999998</v>
      </c>
      <c r="I132">
        <v>10001</v>
      </c>
      <c r="J132">
        <v>30000</v>
      </c>
    </row>
    <row r="133" spans="2:10" x14ac:dyDescent="0.25">
      <c r="B133" t="s">
        <v>513</v>
      </c>
      <c r="C133">
        <v>2.544</v>
      </c>
      <c r="D133">
        <v>2.2679999999999998</v>
      </c>
      <c r="E133">
        <v>2.6620000000000001E-2</v>
      </c>
      <c r="F133">
        <v>2.1739999999999999E-2</v>
      </c>
      <c r="G133">
        <v>1.9890000000000001</v>
      </c>
      <c r="H133">
        <v>8.3320000000000007</v>
      </c>
      <c r="I133">
        <v>10001</v>
      </c>
      <c r="J133">
        <v>30000</v>
      </c>
    </row>
    <row r="134" spans="2:10" x14ac:dyDescent="0.25">
      <c r="B134" t="s">
        <v>514</v>
      </c>
      <c r="C134">
        <v>1.512</v>
      </c>
      <c r="D134">
        <v>1.5289999999999999</v>
      </c>
      <c r="E134">
        <v>1.1180000000000001E-2</v>
      </c>
      <c r="F134">
        <v>3.8600000000000002E-2</v>
      </c>
      <c r="G134">
        <v>1.036</v>
      </c>
      <c r="H134">
        <v>5.63</v>
      </c>
      <c r="I134">
        <v>10001</v>
      </c>
      <c r="J134">
        <v>30000</v>
      </c>
    </row>
    <row r="135" spans="2:10" x14ac:dyDescent="0.25">
      <c r="B135" t="s">
        <v>515</v>
      </c>
      <c r="C135">
        <v>0.95399999999999996</v>
      </c>
      <c r="D135">
        <v>1.212</v>
      </c>
      <c r="E135">
        <v>1.3639999999999999E-2</v>
      </c>
      <c r="F135">
        <v>1.0989999999999999E-3</v>
      </c>
      <c r="G135">
        <v>0.49709999999999999</v>
      </c>
      <c r="H135">
        <v>4.3170000000000002</v>
      </c>
      <c r="I135">
        <v>10001</v>
      </c>
      <c r="J135">
        <v>30000</v>
      </c>
    </row>
    <row r="136" spans="2:10" x14ac:dyDescent="0.25">
      <c r="B136" t="s">
        <v>516</v>
      </c>
      <c r="C136">
        <v>0.76980000000000004</v>
      </c>
      <c r="D136">
        <v>1.0720000000000001</v>
      </c>
      <c r="E136">
        <v>9.7909999999999994E-3</v>
      </c>
      <c r="F136" s="13">
        <v>8.1519999999999997E-4</v>
      </c>
      <c r="G136">
        <v>0.35610000000000003</v>
      </c>
      <c r="H136">
        <v>3.8159999999999998</v>
      </c>
      <c r="I136">
        <v>10001</v>
      </c>
      <c r="J136">
        <v>30000</v>
      </c>
    </row>
    <row r="137" spans="2:10" x14ac:dyDescent="0.25">
      <c r="B137" t="s">
        <v>517</v>
      </c>
      <c r="C137">
        <v>0.68120000000000003</v>
      </c>
      <c r="D137">
        <v>0.94259999999999999</v>
      </c>
      <c r="E137">
        <v>9.9170000000000005E-3</v>
      </c>
      <c r="F137" s="13">
        <v>7.3459999999999997E-4</v>
      </c>
      <c r="G137">
        <v>0.31790000000000002</v>
      </c>
      <c r="H137">
        <v>3.391</v>
      </c>
      <c r="I137">
        <v>10001</v>
      </c>
      <c r="J137">
        <v>30000</v>
      </c>
    </row>
    <row r="138" spans="2:10" x14ac:dyDescent="0.25">
      <c r="B138" t="s">
        <v>518</v>
      </c>
      <c r="C138">
        <v>0.68369999999999997</v>
      </c>
      <c r="D138">
        <v>0.96409999999999996</v>
      </c>
      <c r="E138">
        <v>7.1549999999999999E-3</v>
      </c>
      <c r="F138" s="13">
        <v>6.4320000000000002E-4</v>
      </c>
      <c r="G138">
        <v>0.31140000000000001</v>
      </c>
      <c r="H138">
        <v>3.4430000000000001</v>
      </c>
      <c r="I138">
        <v>10001</v>
      </c>
      <c r="J138">
        <v>30000</v>
      </c>
    </row>
    <row r="139" spans="2:10" x14ac:dyDescent="0.25">
      <c r="B139" t="s">
        <v>519</v>
      </c>
      <c r="C139">
        <v>0.85340000000000005</v>
      </c>
      <c r="D139">
        <v>1.204</v>
      </c>
      <c r="E139">
        <v>1.076E-2</v>
      </c>
      <c r="F139" s="13">
        <v>8.9179999999999999E-4</v>
      </c>
      <c r="G139">
        <v>0.38829999999999998</v>
      </c>
      <c r="H139">
        <v>4.26</v>
      </c>
      <c r="I139">
        <v>10001</v>
      </c>
      <c r="J139">
        <v>30000</v>
      </c>
    </row>
    <row r="140" spans="2:10" x14ac:dyDescent="0.25">
      <c r="B140" t="s">
        <v>520</v>
      </c>
      <c r="C140">
        <v>0.8145</v>
      </c>
      <c r="D140">
        <v>1.123</v>
      </c>
      <c r="E140">
        <v>2.0199999999999999E-2</v>
      </c>
      <c r="F140" s="13">
        <v>8.6050000000000005E-4</v>
      </c>
      <c r="G140">
        <v>0.37490000000000001</v>
      </c>
      <c r="H140">
        <v>4.0410000000000004</v>
      </c>
      <c r="I140">
        <v>10001</v>
      </c>
      <c r="J140">
        <v>30000</v>
      </c>
    </row>
    <row r="141" spans="2:10" x14ac:dyDescent="0.25">
      <c r="B141" t="s">
        <v>521</v>
      </c>
      <c r="C141">
        <v>0.73750000000000004</v>
      </c>
      <c r="D141">
        <v>1.056</v>
      </c>
      <c r="E141">
        <v>1.5879999999999998E-2</v>
      </c>
      <c r="F141" s="13">
        <v>7.3709999999999997E-4</v>
      </c>
      <c r="G141">
        <v>0.3301</v>
      </c>
      <c r="H141">
        <v>3.8010000000000002</v>
      </c>
      <c r="I141">
        <v>10001</v>
      </c>
      <c r="J141">
        <v>30000</v>
      </c>
    </row>
    <row r="142" spans="2:10" x14ac:dyDescent="0.25">
      <c r="B142" t="s">
        <v>522</v>
      </c>
      <c r="C142">
        <v>0.84460000000000002</v>
      </c>
      <c r="D142">
        <v>1.1910000000000001</v>
      </c>
      <c r="E142">
        <v>1.2800000000000001E-2</v>
      </c>
      <c r="F142" s="13">
        <v>8.0239999999999999E-4</v>
      </c>
      <c r="G142">
        <v>0.38919999999999999</v>
      </c>
      <c r="H142">
        <v>4.2080000000000002</v>
      </c>
      <c r="I142">
        <v>10001</v>
      </c>
      <c r="J142">
        <v>30000</v>
      </c>
    </row>
    <row r="143" spans="2:10" x14ac:dyDescent="0.25">
      <c r="B143" t="s">
        <v>523</v>
      </c>
      <c r="C143">
        <v>1.0229999999999999</v>
      </c>
      <c r="D143">
        <v>1.4450000000000001</v>
      </c>
      <c r="E143">
        <v>1.095E-2</v>
      </c>
      <c r="F143" s="13">
        <v>9.3579999999999998E-4</v>
      </c>
      <c r="G143">
        <v>0.47</v>
      </c>
      <c r="H143">
        <v>5.093</v>
      </c>
      <c r="I143">
        <v>10001</v>
      </c>
      <c r="J143">
        <v>30000</v>
      </c>
    </row>
    <row r="144" spans="2:10" x14ac:dyDescent="0.25">
      <c r="B144" t="s">
        <v>524</v>
      </c>
      <c r="C144">
        <v>1.579</v>
      </c>
      <c r="D144">
        <v>2.798</v>
      </c>
      <c r="E144">
        <v>0.15559999999999999</v>
      </c>
      <c r="F144">
        <v>1.0629999999999999E-3</v>
      </c>
      <c r="G144">
        <v>0.4924</v>
      </c>
      <c r="H144">
        <v>11.77</v>
      </c>
      <c r="I144">
        <v>10001</v>
      </c>
      <c r="J144">
        <v>30000</v>
      </c>
    </row>
    <row r="145" spans="2:10" x14ac:dyDescent="0.25">
      <c r="B145" t="s">
        <v>525</v>
      </c>
      <c r="C145">
        <v>2.2010000000000001</v>
      </c>
      <c r="D145">
        <v>2.153</v>
      </c>
      <c r="E145">
        <v>2.0279999999999999E-2</v>
      </c>
      <c r="F145">
        <v>8.9250000000000006E-3</v>
      </c>
      <c r="G145">
        <v>1.597</v>
      </c>
      <c r="H145">
        <v>7.8940000000000001</v>
      </c>
      <c r="I145">
        <v>10001</v>
      </c>
      <c r="J145">
        <v>30000</v>
      </c>
    </row>
    <row r="146" spans="2:10" x14ac:dyDescent="0.25">
      <c r="B146" t="s">
        <v>526</v>
      </c>
      <c r="C146">
        <v>1.4079999999999999</v>
      </c>
      <c r="D146">
        <v>1.427</v>
      </c>
      <c r="E146">
        <v>1.095E-2</v>
      </c>
      <c r="F146">
        <v>3.6209999999999999E-2</v>
      </c>
      <c r="G146">
        <v>0.96399999999999997</v>
      </c>
      <c r="H146">
        <v>5.2590000000000003</v>
      </c>
      <c r="I146">
        <v>10001</v>
      </c>
      <c r="J146">
        <v>30000</v>
      </c>
    </row>
    <row r="147" spans="2:10" x14ac:dyDescent="0.25">
      <c r="B147" t="s">
        <v>527</v>
      </c>
      <c r="C147">
        <v>0.62480000000000002</v>
      </c>
      <c r="D147">
        <v>0.87649999999999995</v>
      </c>
      <c r="E147">
        <v>8.3160000000000005E-3</v>
      </c>
      <c r="F147" s="13">
        <v>6.5010000000000003E-4</v>
      </c>
      <c r="G147">
        <v>0.28739999999999999</v>
      </c>
      <c r="H147">
        <v>3.1429999999999998</v>
      </c>
      <c r="I147">
        <v>10001</v>
      </c>
      <c r="J147">
        <v>30000</v>
      </c>
    </row>
    <row r="148" spans="2:10" x14ac:dyDescent="0.25">
      <c r="B148" t="s">
        <v>528</v>
      </c>
      <c r="C148">
        <v>0.85929999999999995</v>
      </c>
      <c r="D148">
        <v>1.1659999999999999</v>
      </c>
      <c r="E148">
        <v>8.9519999999999999E-3</v>
      </c>
      <c r="F148" s="13">
        <v>9.1730000000000002E-4</v>
      </c>
      <c r="G148">
        <v>0.41410000000000002</v>
      </c>
      <c r="H148">
        <v>4.1609999999999996</v>
      </c>
      <c r="I148">
        <v>10001</v>
      </c>
      <c r="J148">
        <v>30000</v>
      </c>
    </row>
    <row r="149" spans="2:10" x14ac:dyDescent="0.25">
      <c r="B149" t="s">
        <v>529</v>
      </c>
      <c r="C149">
        <v>1.97</v>
      </c>
      <c r="D149">
        <v>1.4379999999999999</v>
      </c>
      <c r="E149">
        <v>1.209E-2</v>
      </c>
      <c r="F149">
        <v>0.2266</v>
      </c>
      <c r="G149">
        <v>1.6279999999999999</v>
      </c>
      <c r="H149">
        <v>5.6310000000000002</v>
      </c>
      <c r="I149">
        <v>10001</v>
      </c>
      <c r="J149">
        <v>30000</v>
      </c>
    </row>
    <row r="150" spans="2:10" x14ac:dyDescent="0.25">
      <c r="B150" t="s">
        <v>530</v>
      </c>
      <c r="C150">
        <v>1.8149999999999999</v>
      </c>
      <c r="D150">
        <v>2.0819999999999999</v>
      </c>
      <c r="E150">
        <v>1.4630000000000001E-2</v>
      </c>
      <c r="F150">
        <v>3.1800000000000001E-3</v>
      </c>
      <c r="G150">
        <v>1.1120000000000001</v>
      </c>
      <c r="H150">
        <v>7.4640000000000004</v>
      </c>
      <c r="I150">
        <v>10001</v>
      </c>
      <c r="J150">
        <v>30000</v>
      </c>
    </row>
    <row r="151" spans="2:10" x14ac:dyDescent="0.25">
      <c r="B151" t="s">
        <v>531</v>
      </c>
      <c r="C151">
        <v>0.79410000000000003</v>
      </c>
      <c r="D151">
        <v>1.0880000000000001</v>
      </c>
      <c r="E151">
        <v>8.7410000000000005E-3</v>
      </c>
      <c r="F151" s="13">
        <v>7.7700000000000002E-4</v>
      </c>
      <c r="G151">
        <v>0.3745</v>
      </c>
      <c r="H151">
        <v>3.8290000000000002</v>
      </c>
      <c r="I151">
        <v>10001</v>
      </c>
      <c r="J151">
        <v>30000</v>
      </c>
    </row>
    <row r="152" spans="2:10" x14ac:dyDescent="0.25">
      <c r="B152" t="s">
        <v>532</v>
      </c>
      <c r="C152">
        <v>0.48570000000000002</v>
      </c>
      <c r="D152">
        <v>0.70499999999999996</v>
      </c>
      <c r="E152">
        <v>7.0800000000000004E-3</v>
      </c>
      <c r="F152" s="13">
        <v>4.3629999999999998E-4</v>
      </c>
      <c r="G152">
        <v>0.21690000000000001</v>
      </c>
      <c r="H152">
        <v>2.4900000000000002</v>
      </c>
      <c r="I152">
        <v>10001</v>
      </c>
      <c r="J152">
        <v>30000</v>
      </c>
    </row>
    <row r="153" spans="2:10" x14ac:dyDescent="0.25">
      <c r="B153" t="s">
        <v>533</v>
      </c>
      <c r="C153">
        <v>1.3180000000000001</v>
      </c>
      <c r="D153">
        <v>1.623</v>
      </c>
      <c r="E153">
        <v>2.7689999999999999E-2</v>
      </c>
      <c r="F153">
        <v>1.7329999999999999E-3</v>
      </c>
      <c r="G153">
        <v>0.72589999999999999</v>
      </c>
      <c r="H153">
        <v>5.8360000000000003</v>
      </c>
      <c r="I153">
        <v>10001</v>
      </c>
      <c r="J153">
        <v>30000</v>
      </c>
    </row>
    <row r="154" spans="2:10" x14ac:dyDescent="0.25">
      <c r="B154" t="s">
        <v>534</v>
      </c>
      <c r="C154">
        <v>1.1990000000000001</v>
      </c>
      <c r="D154">
        <v>1.581</v>
      </c>
      <c r="E154">
        <v>2.3640000000000001E-2</v>
      </c>
      <c r="F154">
        <v>1.361E-3</v>
      </c>
      <c r="G154">
        <v>0.59919999999999995</v>
      </c>
      <c r="H154">
        <v>5.63</v>
      </c>
      <c r="I154">
        <v>10001</v>
      </c>
      <c r="J154">
        <v>30000</v>
      </c>
    </row>
    <row r="155" spans="2:10" x14ac:dyDescent="0.25">
      <c r="B155" t="s">
        <v>535</v>
      </c>
      <c r="C155">
        <v>0</v>
      </c>
      <c r="D155">
        <v>0</v>
      </c>
      <c r="E155" s="13">
        <v>3.333E-13</v>
      </c>
      <c r="F155">
        <v>0</v>
      </c>
      <c r="G155">
        <v>0</v>
      </c>
      <c r="H155">
        <v>0</v>
      </c>
      <c r="I155">
        <v>10001</v>
      </c>
      <c r="J155">
        <v>30000</v>
      </c>
    </row>
    <row r="156" spans="2:10" x14ac:dyDescent="0.25">
      <c r="B156" t="s">
        <v>536</v>
      </c>
      <c r="C156" s="13">
        <v>5.6669999999999995E-4</v>
      </c>
      <c r="D156">
        <v>2.3800000000000002E-2</v>
      </c>
      <c r="E156" s="13">
        <v>3.3510000000000001E-4</v>
      </c>
      <c r="F156">
        <v>0</v>
      </c>
      <c r="G156">
        <v>0</v>
      </c>
      <c r="H156">
        <v>0</v>
      </c>
      <c r="I156">
        <v>10001</v>
      </c>
      <c r="J156">
        <v>30000</v>
      </c>
    </row>
    <row r="157" spans="2:10" x14ac:dyDescent="0.25">
      <c r="B157" t="s">
        <v>537</v>
      </c>
      <c r="C157">
        <v>4.633E-3</v>
      </c>
      <c r="D157">
        <v>6.7909999999999998E-2</v>
      </c>
      <c r="E157">
        <v>1.242E-3</v>
      </c>
      <c r="F157">
        <v>0</v>
      </c>
      <c r="G157">
        <v>0</v>
      </c>
      <c r="H157">
        <v>0</v>
      </c>
      <c r="I157">
        <v>10001</v>
      </c>
      <c r="J157">
        <v>30000</v>
      </c>
    </row>
    <row r="158" spans="2:10" x14ac:dyDescent="0.25">
      <c r="B158" t="s">
        <v>538</v>
      </c>
      <c r="C158">
        <v>3.313E-2</v>
      </c>
      <c r="D158">
        <v>0.17899999999999999</v>
      </c>
      <c r="E158">
        <v>5.2360000000000002E-3</v>
      </c>
      <c r="F158">
        <v>0</v>
      </c>
      <c r="G158">
        <v>0</v>
      </c>
      <c r="H158">
        <v>1</v>
      </c>
      <c r="I158">
        <v>10001</v>
      </c>
      <c r="J158">
        <v>30000</v>
      </c>
    </row>
    <row r="159" spans="2:10" x14ac:dyDescent="0.25">
      <c r="B159" t="s">
        <v>539</v>
      </c>
      <c r="C159">
        <v>0.11559999999999999</v>
      </c>
      <c r="D159">
        <v>0.31979999999999997</v>
      </c>
      <c r="E159">
        <v>9.1260000000000004E-3</v>
      </c>
      <c r="F159">
        <v>0</v>
      </c>
      <c r="G159">
        <v>0</v>
      </c>
      <c r="H159">
        <v>1</v>
      </c>
      <c r="I159">
        <v>10001</v>
      </c>
      <c r="J159">
        <v>30000</v>
      </c>
    </row>
    <row r="160" spans="2:10" x14ac:dyDescent="0.25">
      <c r="B160" t="s">
        <v>540</v>
      </c>
      <c r="C160">
        <v>0.26219999999999999</v>
      </c>
      <c r="D160">
        <v>0.43980000000000002</v>
      </c>
      <c r="E160">
        <v>1.1730000000000001E-2</v>
      </c>
      <c r="F160">
        <v>0</v>
      </c>
      <c r="G160">
        <v>0</v>
      </c>
      <c r="H160">
        <v>1</v>
      </c>
      <c r="I160">
        <v>10001</v>
      </c>
      <c r="J160">
        <v>30000</v>
      </c>
    </row>
    <row r="161" spans="2:10" x14ac:dyDescent="0.25">
      <c r="B161" t="s">
        <v>541</v>
      </c>
      <c r="C161">
        <v>0.36870000000000003</v>
      </c>
      <c r="D161">
        <v>0.48249999999999998</v>
      </c>
      <c r="E161">
        <v>1.3050000000000001E-2</v>
      </c>
      <c r="F161">
        <v>0</v>
      </c>
      <c r="G161">
        <v>0</v>
      </c>
      <c r="H161">
        <v>1</v>
      </c>
      <c r="I161">
        <v>10001</v>
      </c>
      <c r="J161">
        <v>30000</v>
      </c>
    </row>
    <row r="162" spans="2:10" x14ac:dyDescent="0.25">
      <c r="B162" t="s">
        <v>542</v>
      </c>
      <c r="C162">
        <v>0.1691</v>
      </c>
      <c r="D162">
        <v>0.37490000000000001</v>
      </c>
      <c r="E162">
        <v>1.085E-2</v>
      </c>
      <c r="F162">
        <v>0</v>
      </c>
      <c r="G162">
        <v>0</v>
      </c>
      <c r="H162">
        <v>1</v>
      </c>
      <c r="I162">
        <v>10001</v>
      </c>
      <c r="J162">
        <v>30000</v>
      </c>
    </row>
    <row r="163" spans="2:10" x14ac:dyDescent="0.25">
      <c r="B163" t="s">
        <v>543</v>
      </c>
      <c r="C163">
        <v>4.4229999999999998E-2</v>
      </c>
      <c r="D163">
        <v>0.2056</v>
      </c>
      <c r="E163">
        <v>6.5420000000000001E-3</v>
      </c>
      <c r="F163">
        <v>0</v>
      </c>
      <c r="G163">
        <v>0</v>
      </c>
      <c r="H163">
        <v>1</v>
      </c>
      <c r="I163">
        <v>10001</v>
      </c>
      <c r="J163">
        <v>30000</v>
      </c>
    </row>
    <row r="164" spans="2:10" x14ac:dyDescent="0.25">
      <c r="B164" t="s">
        <v>544</v>
      </c>
      <c r="C164">
        <v>1.7329999999999999E-3</v>
      </c>
      <c r="D164">
        <v>4.1599999999999998E-2</v>
      </c>
      <c r="E164" s="13">
        <v>8.4690000000000004E-4</v>
      </c>
      <c r="F164">
        <v>0</v>
      </c>
      <c r="G164">
        <v>0</v>
      </c>
      <c r="H164">
        <v>0</v>
      </c>
      <c r="I164">
        <v>10001</v>
      </c>
      <c r="J164">
        <v>30000</v>
      </c>
    </row>
    <row r="165" spans="2:10" x14ac:dyDescent="0.25">
      <c r="B165" t="s">
        <v>545</v>
      </c>
      <c r="C165">
        <v>0</v>
      </c>
      <c r="D165">
        <v>0</v>
      </c>
      <c r="E165" s="13">
        <v>3.333E-13</v>
      </c>
      <c r="F165">
        <v>0</v>
      </c>
      <c r="G165">
        <v>0</v>
      </c>
      <c r="H165">
        <v>0</v>
      </c>
      <c r="I165">
        <v>10001</v>
      </c>
      <c r="J165">
        <v>30000</v>
      </c>
    </row>
    <row r="166" spans="2:10" x14ac:dyDescent="0.25">
      <c r="B166" t="s">
        <v>546</v>
      </c>
      <c r="C166">
        <v>0</v>
      </c>
      <c r="D166">
        <v>0</v>
      </c>
      <c r="E166" s="13">
        <v>3.333E-13</v>
      </c>
      <c r="F166">
        <v>0</v>
      </c>
      <c r="G166">
        <v>0</v>
      </c>
      <c r="H166">
        <v>0</v>
      </c>
      <c r="I166">
        <v>10001</v>
      </c>
      <c r="J166">
        <v>30000</v>
      </c>
    </row>
    <row r="167" spans="2:10" x14ac:dyDescent="0.25">
      <c r="B167" t="s">
        <v>547</v>
      </c>
      <c r="C167" s="13">
        <v>6.6669999999999997E-5</v>
      </c>
      <c r="D167">
        <v>8.1650000000000004E-3</v>
      </c>
      <c r="E167" s="13">
        <v>4.7219999999999999E-5</v>
      </c>
      <c r="F167">
        <v>0</v>
      </c>
      <c r="G167">
        <v>0</v>
      </c>
      <c r="H167">
        <v>0</v>
      </c>
      <c r="I167">
        <v>10001</v>
      </c>
      <c r="J167">
        <v>30000</v>
      </c>
    </row>
    <row r="168" spans="2:10" x14ac:dyDescent="0.25">
      <c r="B168" t="s">
        <v>548</v>
      </c>
      <c r="C168" s="13">
        <v>8.9999999999999998E-4</v>
      </c>
      <c r="D168">
        <v>2.9989999999999999E-2</v>
      </c>
      <c r="E168" s="13">
        <v>2.8929999999999998E-4</v>
      </c>
      <c r="F168">
        <v>0</v>
      </c>
      <c r="G168">
        <v>0</v>
      </c>
      <c r="H168">
        <v>0</v>
      </c>
      <c r="I168">
        <v>10001</v>
      </c>
      <c r="J168">
        <v>30000</v>
      </c>
    </row>
    <row r="169" spans="2:10" x14ac:dyDescent="0.25">
      <c r="B169" t="s">
        <v>549</v>
      </c>
      <c r="C169">
        <v>1.4670000000000001E-2</v>
      </c>
      <c r="D169">
        <v>0.1202</v>
      </c>
      <c r="E169">
        <v>2.8370000000000001E-3</v>
      </c>
      <c r="F169">
        <v>0</v>
      </c>
      <c r="G169">
        <v>0</v>
      </c>
      <c r="H169">
        <v>0</v>
      </c>
      <c r="I169">
        <v>10001</v>
      </c>
      <c r="J169">
        <v>30000</v>
      </c>
    </row>
    <row r="170" spans="2:10" x14ac:dyDescent="0.25">
      <c r="B170" t="s">
        <v>550</v>
      </c>
      <c r="C170">
        <v>6.0769999999999998E-2</v>
      </c>
      <c r="D170">
        <v>0.2389</v>
      </c>
      <c r="E170">
        <v>6.1089999999999998E-3</v>
      </c>
      <c r="F170">
        <v>0</v>
      </c>
      <c r="G170">
        <v>0</v>
      </c>
      <c r="H170">
        <v>1</v>
      </c>
      <c r="I170">
        <v>10001</v>
      </c>
      <c r="J170">
        <v>30000</v>
      </c>
    </row>
    <row r="171" spans="2:10" x14ac:dyDescent="0.25">
      <c r="B171" t="s">
        <v>551</v>
      </c>
      <c r="C171">
        <v>0.2082</v>
      </c>
      <c r="D171">
        <v>0.40600000000000003</v>
      </c>
      <c r="E171">
        <v>1.051E-2</v>
      </c>
      <c r="F171">
        <v>0</v>
      </c>
      <c r="G171">
        <v>0</v>
      </c>
      <c r="H171">
        <v>1</v>
      </c>
      <c r="I171">
        <v>10001</v>
      </c>
      <c r="J171">
        <v>30000</v>
      </c>
    </row>
    <row r="172" spans="2:10" x14ac:dyDescent="0.25">
      <c r="B172" t="s">
        <v>552</v>
      </c>
      <c r="C172">
        <v>0.44990000000000002</v>
      </c>
      <c r="D172">
        <v>0.4975</v>
      </c>
      <c r="E172">
        <v>1.32E-2</v>
      </c>
      <c r="F172">
        <v>0</v>
      </c>
      <c r="G172">
        <v>0</v>
      </c>
      <c r="H172">
        <v>1</v>
      </c>
      <c r="I172">
        <v>10001</v>
      </c>
      <c r="J172">
        <v>30000</v>
      </c>
    </row>
    <row r="173" spans="2:10" x14ac:dyDescent="0.25">
      <c r="B173" t="s">
        <v>553</v>
      </c>
      <c r="C173">
        <v>0.25140000000000001</v>
      </c>
      <c r="D173">
        <v>0.43380000000000002</v>
      </c>
      <c r="E173">
        <v>1.3639999999999999E-2</v>
      </c>
      <c r="F173">
        <v>0</v>
      </c>
      <c r="G173">
        <v>0</v>
      </c>
      <c r="H173">
        <v>1</v>
      </c>
      <c r="I173">
        <v>10001</v>
      </c>
      <c r="J173">
        <v>30000</v>
      </c>
    </row>
    <row r="174" spans="2:10" x14ac:dyDescent="0.25">
      <c r="B174" t="s">
        <v>554</v>
      </c>
      <c r="C174">
        <v>1.41E-2</v>
      </c>
      <c r="D174">
        <v>0.1179</v>
      </c>
      <c r="E174">
        <v>2.287E-3</v>
      </c>
      <c r="F174">
        <v>0</v>
      </c>
      <c r="G174">
        <v>0</v>
      </c>
      <c r="H174">
        <v>0</v>
      </c>
      <c r="I174">
        <v>10001</v>
      </c>
      <c r="J174">
        <v>30000</v>
      </c>
    </row>
    <row r="175" spans="2:10" x14ac:dyDescent="0.25">
      <c r="B175" t="s">
        <v>555</v>
      </c>
      <c r="C175">
        <v>0</v>
      </c>
      <c r="D175">
        <v>0</v>
      </c>
      <c r="E175" s="13">
        <v>3.333E-13</v>
      </c>
      <c r="F175">
        <v>0</v>
      </c>
      <c r="G175">
        <v>0</v>
      </c>
      <c r="H175">
        <v>0</v>
      </c>
      <c r="I175">
        <v>10001</v>
      </c>
      <c r="J175">
        <v>30000</v>
      </c>
    </row>
    <row r="176" spans="2:10" x14ac:dyDescent="0.25">
      <c r="B176" t="s">
        <v>556</v>
      </c>
      <c r="C176">
        <v>7.1000000000000004E-3</v>
      </c>
      <c r="D176">
        <v>8.3960000000000007E-2</v>
      </c>
      <c r="E176">
        <v>2.0449999999999999E-3</v>
      </c>
      <c r="F176">
        <v>0</v>
      </c>
      <c r="G176">
        <v>0</v>
      </c>
      <c r="H176">
        <v>0</v>
      </c>
      <c r="I176">
        <v>10001</v>
      </c>
      <c r="J176">
        <v>30000</v>
      </c>
    </row>
    <row r="177" spans="2:10" x14ac:dyDescent="0.25">
      <c r="B177" t="s">
        <v>557</v>
      </c>
      <c r="C177">
        <v>4.2999999999999997E-2</v>
      </c>
      <c r="D177">
        <v>0.2029</v>
      </c>
      <c r="E177">
        <v>4.9069999999999999E-3</v>
      </c>
      <c r="F177">
        <v>0</v>
      </c>
      <c r="G177">
        <v>0</v>
      </c>
      <c r="H177">
        <v>1</v>
      </c>
      <c r="I177">
        <v>10001</v>
      </c>
      <c r="J177">
        <v>30000</v>
      </c>
    </row>
    <row r="178" spans="2:10" x14ac:dyDescent="0.25">
      <c r="B178" t="s">
        <v>558</v>
      </c>
      <c r="C178">
        <v>0.1399</v>
      </c>
      <c r="D178">
        <v>0.34689999999999999</v>
      </c>
      <c r="E178">
        <v>8.966E-3</v>
      </c>
      <c r="F178">
        <v>0</v>
      </c>
      <c r="G178">
        <v>0</v>
      </c>
      <c r="H178">
        <v>1</v>
      </c>
      <c r="I178">
        <v>10001</v>
      </c>
      <c r="J178">
        <v>30000</v>
      </c>
    </row>
    <row r="179" spans="2:10" x14ac:dyDescent="0.25">
      <c r="B179" t="s">
        <v>559</v>
      </c>
      <c r="C179">
        <v>0.27679999999999999</v>
      </c>
      <c r="D179">
        <v>0.44740000000000002</v>
      </c>
      <c r="E179">
        <v>1.1220000000000001E-2</v>
      </c>
      <c r="F179">
        <v>0</v>
      </c>
      <c r="G179">
        <v>0</v>
      </c>
      <c r="H179">
        <v>1</v>
      </c>
      <c r="I179">
        <v>10001</v>
      </c>
      <c r="J179">
        <v>30000</v>
      </c>
    </row>
    <row r="180" spans="2:10" x14ac:dyDescent="0.25">
      <c r="B180" t="s">
        <v>560</v>
      </c>
      <c r="C180">
        <v>0.2782</v>
      </c>
      <c r="D180">
        <v>0.4481</v>
      </c>
      <c r="E180">
        <v>1.081E-2</v>
      </c>
      <c r="F180">
        <v>0</v>
      </c>
      <c r="G180">
        <v>0</v>
      </c>
      <c r="H180">
        <v>1</v>
      </c>
      <c r="I180">
        <v>10001</v>
      </c>
      <c r="J180">
        <v>30000</v>
      </c>
    </row>
    <row r="181" spans="2:10" x14ac:dyDescent="0.25">
      <c r="B181" t="s">
        <v>561</v>
      </c>
      <c r="C181">
        <v>0.1406</v>
      </c>
      <c r="D181">
        <v>0.34760000000000002</v>
      </c>
      <c r="E181">
        <v>8.3250000000000008E-3</v>
      </c>
      <c r="F181">
        <v>0</v>
      </c>
      <c r="G181">
        <v>0</v>
      </c>
      <c r="H181">
        <v>1</v>
      </c>
      <c r="I181">
        <v>10001</v>
      </c>
      <c r="J181">
        <v>30000</v>
      </c>
    </row>
    <row r="182" spans="2:10" x14ac:dyDescent="0.25">
      <c r="B182" t="s">
        <v>562</v>
      </c>
      <c r="C182">
        <v>7.2800000000000004E-2</v>
      </c>
      <c r="D182">
        <v>0.25979999999999998</v>
      </c>
      <c r="E182">
        <v>7.4530000000000004E-3</v>
      </c>
      <c r="F182">
        <v>0</v>
      </c>
      <c r="G182">
        <v>0</v>
      </c>
      <c r="H182">
        <v>1</v>
      </c>
      <c r="I182">
        <v>10001</v>
      </c>
      <c r="J182">
        <v>30000</v>
      </c>
    </row>
    <row r="183" spans="2:10" x14ac:dyDescent="0.25">
      <c r="B183" t="s">
        <v>563</v>
      </c>
      <c r="C183">
        <v>3.9269999999999999E-2</v>
      </c>
      <c r="D183">
        <v>0.19420000000000001</v>
      </c>
      <c r="E183">
        <v>6.1180000000000002E-3</v>
      </c>
      <c r="F183">
        <v>0</v>
      </c>
      <c r="G183">
        <v>0</v>
      </c>
      <c r="H183">
        <v>1</v>
      </c>
      <c r="I183">
        <v>10001</v>
      </c>
      <c r="J183">
        <v>30000</v>
      </c>
    </row>
    <row r="184" spans="2:10" x14ac:dyDescent="0.25">
      <c r="B184" t="s">
        <v>564</v>
      </c>
      <c r="C184">
        <v>2.3E-3</v>
      </c>
      <c r="D184">
        <v>4.7899999999999998E-2</v>
      </c>
      <c r="E184" s="13">
        <v>8.4429999999999998E-4</v>
      </c>
      <c r="F184">
        <v>0</v>
      </c>
      <c r="G184">
        <v>0</v>
      </c>
      <c r="H184">
        <v>0</v>
      </c>
      <c r="I184">
        <v>10001</v>
      </c>
      <c r="J184">
        <v>30000</v>
      </c>
    </row>
    <row r="185" spans="2:10" x14ac:dyDescent="0.25">
      <c r="B185" t="s">
        <v>565</v>
      </c>
      <c r="C185">
        <v>6.1199999999999997E-2</v>
      </c>
      <c r="D185">
        <v>0.2397</v>
      </c>
      <c r="E185">
        <v>1.0710000000000001E-2</v>
      </c>
      <c r="F185">
        <v>0</v>
      </c>
      <c r="G185">
        <v>0</v>
      </c>
      <c r="H185">
        <v>1</v>
      </c>
      <c r="I185">
        <v>10001</v>
      </c>
      <c r="J185">
        <v>30000</v>
      </c>
    </row>
    <row r="186" spans="2:10" x14ac:dyDescent="0.25">
      <c r="B186" t="s">
        <v>566</v>
      </c>
      <c r="C186">
        <v>0.26179999999999998</v>
      </c>
      <c r="D186">
        <v>0.43959999999999999</v>
      </c>
      <c r="E186">
        <v>1.6670000000000001E-2</v>
      </c>
      <c r="F186">
        <v>0</v>
      </c>
      <c r="G186">
        <v>0</v>
      </c>
      <c r="H186">
        <v>1</v>
      </c>
      <c r="I186">
        <v>10001</v>
      </c>
      <c r="J186">
        <v>30000</v>
      </c>
    </row>
    <row r="187" spans="2:10" x14ac:dyDescent="0.25">
      <c r="B187" t="s">
        <v>567</v>
      </c>
      <c r="C187">
        <v>0.18609999999999999</v>
      </c>
      <c r="D187">
        <v>0.38919999999999999</v>
      </c>
      <c r="E187">
        <v>1.1129999999999999E-2</v>
      </c>
      <c r="F187">
        <v>0</v>
      </c>
      <c r="G187">
        <v>0</v>
      </c>
      <c r="H187">
        <v>1</v>
      </c>
      <c r="I187">
        <v>10001</v>
      </c>
      <c r="J187">
        <v>30000</v>
      </c>
    </row>
    <row r="188" spans="2:10" x14ac:dyDescent="0.25">
      <c r="B188" t="s">
        <v>568</v>
      </c>
      <c r="C188">
        <v>0.1265</v>
      </c>
      <c r="D188">
        <v>0.33239999999999997</v>
      </c>
      <c r="E188">
        <v>7.5630000000000003E-3</v>
      </c>
      <c r="F188">
        <v>0</v>
      </c>
      <c r="G188">
        <v>0</v>
      </c>
      <c r="H188">
        <v>1</v>
      </c>
      <c r="I188">
        <v>10001</v>
      </c>
      <c r="J188">
        <v>30000</v>
      </c>
    </row>
    <row r="189" spans="2:10" x14ac:dyDescent="0.25">
      <c r="B189" t="s">
        <v>569</v>
      </c>
      <c r="C189">
        <v>0.1113</v>
      </c>
      <c r="D189">
        <v>0.3145</v>
      </c>
      <c r="E189">
        <v>8.0820000000000006E-3</v>
      </c>
      <c r="F189">
        <v>0</v>
      </c>
      <c r="G189">
        <v>0</v>
      </c>
      <c r="H189">
        <v>1</v>
      </c>
      <c r="I189">
        <v>10001</v>
      </c>
      <c r="J189">
        <v>30000</v>
      </c>
    </row>
    <row r="190" spans="2:10" x14ac:dyDescent="0.25">
      <c r="B190" t="s">
        <v>570</v>
      </c>
      <c r="C190">
        <v>6.9029999999999994E-2</v>
      </c>
      <c r="D190">
        <v>0.2535</v>
      </c>
      <c r="E190">
        <v>5.5189999999999996E-3</v>
      </c>
      <c r="F190">
        <v>0</v>
      </c>
      <c r="G190">
        <v>0</v>
      </c>
      <c r="H190">
        <v>1</v>
      </c>
      <c r="I190">
        <v>10001</v>
      </c>
      <c r="J190">
        <v>30000</v>
      </c>
    </row>
    <row r="191" spans="2:10" x14ac:dyDescent="0.25">
      <c r="B191" t="s">
        <v>571</v>
      </c>
      <c r="C191">
        <v>4.727E-2</v>
      </c>
      <c r="D191">
        <v>0.2122</v>
      </c>
      <c r="E191">
        <v>4.235E-3</v>
      </c>
      <c r="F191">
        <v>0</v>
      </c>
      <c r="G191">
        <v>0</v>
      </c>
      <c r="H191">
        <v>1</v>
      </c>
      <c r="I191">
        <v>10001</v>
      </c>
      <c r="J191">
        <v>30000</v>
      </c>
    </row>
    <row r="192" spans="2:10" x14ac:dyDescent="0.25">
      <c r="B192" t="s">
        <v>572</v>
      </c>
      <c r="C192">
        <v>4.863E-2</v>
      </c>
      <c r="D192">
        <v>0.21510000000000001</v>
      </c>
      <c r="E192">
        <v>5.1910000000000003E-3</v>
      </c>
      <c r="F192">
        <v>0</v>
      </c>
      <c r="G192">
        <v>0</v>
      </c>
      <c r="H192">
        <v>1</v>
      </c>
      <c r="I192">
        <v>10001</v>
      </c>
      <c r="J192">
        <v>30000</v>
      </c>
    </row>
    <row r="193" spans="2:10" x14ac:dyDescent="0.25">
      <c r="B193" t="s">
        <v>573</v>
      </c>
      <c r="C193">
        <v>5.6370000000000003E-2</v>
      </c>
      <c r="D193">
        <v>0.2306</v>
      </c>
      <c r="E193">
        <v>8.0009999999999994E-3</v>
      </c>
      <c r="F193">
        <v>0</v>
      </c>
      <c r="G193">
        <v>0</v>
      </c>
      <c r="H193">
        <v>1</v>
      </c>
      <c r="I193">
        <v>10001</v>
      </c>
      <c r="J193">
        <v>30000</v>
      </c>
    </row>
    <row r="194" spans="2:10" x14ac:dyDescent="0.25">
      <c r="B194" t="s">
        <v>574</v>
      </c>
      <c r="C194">
        <v>3.1730000000000001E-2</v>
      </c>
      <c r="D194">
        <v>0.17530000000000001</v>
      </c>
      <c r="E194">
        <v>6.378E-3</v>
      </c>
      <c r="F194">
        <v>0</v>
      </c>
      <c r="G194">
        <v>0</v>
      </c>
      <c r="H194">
        <v>1</v>
      </c>
      <c r="I194">
        <v>10001</v>
      </c>
      <c r="J194">
        <v>30000</v>
      </c>
    </row>
    <row r="195" spans="2:10" x14ac:dyDescent="0.25">
      <c r="B195" t="s">
        <v>575</v>
      </c>
      <c r="C195">
        <v>3.333E-3</v>
      </c>
      <c r="D195">
        <v>5.7639999999999997E-2</v>
      </c>
      <c r="E195">
        <v>1.16E-3</v>
      </c>
      <c r="F195">
        <v>0</v>
      </c>
      <c r="G195">
        <v>0</v>
      </c>
      <c r="H195">
        <v>0</v>
      </c>
      <c r="I195">
        <v>10001</v>
      </c>
      <c r="J195">
        <v>30000</v>
      </c>
    </row>
    <row r="196" spans="2:10" x14ac:dyDescent="0.25">
      <c r="B196" t="s">
        <v>576</v>
      </c>
      <c r="C196">
        <v>5.6829999999999999E-2</v>
      </c>
      <c r="D196">
        <v>0.23150000000000001</v>
      </c>
      <c r="E196">
        <v>8.5920000000000007E-3</v>
      </c>
      <c r="F196">
        <v>0</v>
      </c>
      <c r="G196">
        <v>0</v>
      </c>
      <c r="H196">
        <v>1</v>
      </c>
      <c r="I196">
        <v>10001</v>
      </c>
      <c r="J196">
        <v>30000</v>
      </c>
    </row>
    <row r="197" spans="2:10" x14ac:dyDescent="0.25">
      <c r="B197" t="s">
        <v>577</v>
      </c>
      <c r="C197">
        <v>6.6400000000000001E-2</v>
      </c>
      <c r="D197">
        <v>0.249</v>
      </c>
      <c r="E197">
        <v>6.221E-3</v>
      </c>
      <c r="F197">
        <v>0</v>
      </c>
      <c r="G197">
        <v>0</v>
      </c>
      <c r="H197">
        <v>1</v>
      </c>
      <c r="I197">
        <v>10001</v>
      </c>
      <c r="J197">
        <v>30000</v>
      </c>
    </row>
    <row r="198" spans="2:10" x14ac:dyDescent="0.25">
      <c r="B198" t="s">
        <v>578</v>
      </c>
      <c r="C198">
        <v>8.0130000000000007E-2</v>
      </c>
      <c r="D198">
        <v>0.27150000000000002</v>
      </c>
      <c r="E198">
        <v>6.8349999999999999E-3</v>
      </c>
      <c r="F198">
        <v>0</v>
      </c>
      <c r="G198">
        <v>0</v>
      </c>
      <c r="H198">
        <v>1</v>
      </c>
      <c r="I198">
        <v>10001</v>
      </c>
      <c r="J198">
        <v>30000</v>
      </c>
    </row>
    <row r="199" spans="2:10" x14ac:dyDescent="0.25">
      <c r="B199" t="s">
        <v>579</v>
      </c>
      <c r="C199">
        <v>6.6470000000000001E-2</v>
      </c>
      <c r="D199">
        <v>0.24909999999999999</v>
      </c>
      <c r="E199">
        <v>4.6059999999999999E-3</v>
      </c>
      <c r="F199">
        <v>0</v>
      </c>
      <c r="G199">
        <v>0</v>
      </c>
      <c r="H199">
        <v>1</v>
      </c>
      <c r="I199">
        <v>10001</v>
      </c>
      <c r="J199">
        <v>30000</v>
      </c>
    </row>
    <row r="200" spans="2:10" x14ac:dyDescent="0.25">
      <c r="B200" t="s">
        <v>580</v>
      </c>
      <c r="C200">
        <v>7.6700000000000004E-2</v>
      </c>
      <c r="D200">
        <v>0.2661</v>
      </c>
      <c r="E200">
        <v>5.2329999999999998E-3</v>
      </c>
      <c r="F200">
        <v>0</v>
      </c>
      <c r="G200">
        <v>0</v>
      </c>
      <c r="H200">
        <v>1</v>
      </c>
      <c r="I200">
        <v>10001</v>
      </c>
      <c r="J200">
        <v>30000</v>
      </c>
    </row>
    <row r="201" spans="2:10" x14ac:dyDescent="0.25">
      <c r="B201" t="s">
        <v>581</v>
      </c>
      <c r="C201">
        <v>8.7069999999999995E-2</v>
      </c>
      <c r="D201">
        <v>0.28189999999999998</v>
      </c>
      <c r="E201">
        <v>5.4039999999999999E-3</v>
      </c>
      <c r="F201">
        <v>0</v>
      </c>
      <c r="G201">
        <v>0</v>
      </c>
      <c r="H201">
        <v>1</v>
      </c>
      <c r="I201">
        <v>10001</v>
      </c>
      <c r="J201">
        <v>30000</v>
      </c>
    </row>
    <row r="202" spans="2:10" x14ac:dyDescent="0.25">
      <c r="B202" t="s">
        <v>582</v>
      </c>
      <c r="C202">
        <v>8.6529999999999996E-2</v>
      </c>
      <c r="D202">
        <v>0.28110000000000002</v>
      </c>
      <c r="E202">
        <v>5.1229999999999999E-3</v>
      </c>
      <c r="F202">
        <v>0</v>
      </c>
      <c r="G202">
        <v>0</v>
      </c>
      <c r="H202">
        <v>1</v>
      </c>
      <c r="I202">
        <v>10001</v>
      </c>
      <c r="J202">
        <v>30000</v>
      </c>
    </row>
    <row r="203" spans="2:10" x14ac:dyDescent="0.25">
      <c r="B203" t="s">
        <v>583</v>
      </c>
      <c r="C203">
        <v>0.1709</v>
      </c>
      <c r="D203">
        <v>0.3765</v>
      </c>
      <c r="E203">
        <v>8.9949999999999995E-3</v>
      </c>
      <c r="F203">
        <v>0</v>
      </c>
      <c r="G203">
        <v>0</v>
      </c>
      <c r="H203">
        <v>1</v>
      </c>
      <c r="I203">
        <v>10001</v>
      </c>
      <c r="J203">
        <v>30000</v>
      </c>
    </row>
    <row r="204" spans="2:10" x14ac:dyDescent="0.25">
      <c r="B204" t="s">
        <v>584</v>
      </c>
      <c r="C204">
        <v>0.30559999999999998</v>
      </c>
      <c r="D204">
        <v>0.4607</v>
      </c>
      <c r="E204">
        <v>1.8020000000000001E-2</v>
      </c>
      <c r="F204">
        <v>0</v>
      </c>
      <c r="G204">
        <v>0</v>
      </c>
      <c r="H204">
        <v>1</v>
      </c>
      <c r="I204">
        <v>10001</v>
      </c>
      <c r="J204">
        <v>30000</v>
      </c>
    </row>
    <row r="205" spans="2:10" x14ac:dyDescent="0.25">
      <c r="B205" t="s">
        <v>585</v>
      </c>
      <c r="C205">
        <v>0.86250000000000004</v>
      </c>
      <c r="D205">
        <v>0.34439999999999998</v>
      </c>
      <c r="E205">
        <v>1.383E-2</v>
      </c>
      <c r="F205">
        <v>0</v>
      </c>
      <c r="G205">
        <v>1</v>
      </c>
      <c r="H205">
        <v>1</v>
      </c>
      <c r="I205">
        <v>10001</v>
      </c>
      <c r="J205">
        <v>30000</v>
      </c>
    </row>
    <row r="206" spans="2:10" x14ac:dyDescent="0.25">
      <c r="B206" t="s">
        <v>586</v>
      </c>
      <c r="C206">
        <v>0.1043</v>
      </c>
      <c r="D206">
        <v>0.30570000000000003</v>
      </c>
      <c r="E206">
        <v>1.0919999999999999E-2</v>
      </c>
      <c r="F206">
        <v>0</v>
      </c>
      <c r="G206">
        <v>0</v>
      </c>
      <c r="H206">
        <v>1</v>
      </c>
      <c r="I206">
        <v>10001</v>
      </c>
      <c r="J206">
        <v>30000</v>
      </c>
    </row>
    <row r="207" spans="2:10" x14ac:dyDescent="0.25">
      <c r="B207" t="s">
        <v>587</v>
      </c>
      <c r="C207">
        <v>2.1999999999999999E-2</v>
      </c>
      <c r="D207">
        <v>0.1467</v>
      </c>
      <c r="E207">
        <v>3.2750000000000001E-3</v>
      </c>
      <c r="F207">
        <v>0</v>
      </c>
      <c r="G207">
        <v>0</v>
      </c>
      <c r="H207">
        <v>0</v>
      </c>
      <c r="I207">
        <v>10001</v>
      </c>
      <c r="J207">
        <v>30000</v>
      </c>
    </row>
    <row r="208" spans="2:10" x14ac:dyDescent="0.25">
      <c r="B208" t="s">
        <v>588</v>
      </c>
      <c r="C208">
        <v>8.9999999999999993E-3</v>
      </c>
      <c r="D208">
        <v>9.4439999999999996E-2</v>
      </c>
      <c r="E208">
        <v>2.049E-3</v>
      </c>
      <c r="F208">
        <v>0</v>
      </c>
      <c r="G208">
        <v>0</v>
      </c>
      <c r="H208">
        <v>0</v>
      </c>
      <c r="I208">
        <v>10001</v>
      </c>
      <c r="J208">
        <v>30000</v>
      </c>
    </row>
    <row r="209" spans="2:10" x14ac:dyDescent="0.25">
      <c r="B209" t="s">
        <v>589</v>
      </c>
      <c r="C209">
        <v>1.5E-3</v>
      </c>
      <c r="D209">
        <v>3.8699999999999998E-2</v>
      </c>
      <c r="E209" s="13">
        <v>4.5229999999999999E-4</v>
      </c>
      <c r="F209">
        <v>0</v>
      </c>
      <c r="G209">
        <v>0</v>
      </c>
      <c r="H209">
        <v>0</v>
      </c>
      <c r="I209">
        <v>10001</v>
      </c>
      <c r="J209">
        <v>30000</v>
      </c>
    </row>
    <row r="210" spans="2:10" x14ac:dyDescent="0.25">
      <c r="B210" t="s">
        <v>590</v>
      </c>
      <c r="C210" s="13">
        <v>4.3330000000000002E-4</v>
      </c>
      <c r="D210">
        <v>2.0809999999999999E-2</v>
      </c>
      <c r="E210" s="13">
        <v>1.6559999999999999E-4</v>
      </c>
      <c r="F210">
        <v>0</v>
      </c>
      <c r="G210">
        <v>0</v>
      </c>
      <c r="H210">
        <v>0</v>
      </c>
      <c r="I210">
        <v>10001</v>
      </c>
      <c r="J210">
        <v>30000</v>
      </c>
    </row>
    <row r="211" spans="2:10" x14ac:dyDescent="0.25">
      <c r="B211" t="s">
        <v>591</v>
      </c>
      <c r="C211" s="13">
        <v>2.0000000000000001E-4</v>
      </c>
      <c r="D211">
        <v>1.414E-2</v>
      </c>
      <c r="E211" s="13">
        <v>1.155E-4</v>
      </c>
      <c r="F211">
        <v>0</v>
      </c>
      <c r="G211">
        <v>0</v>
      </c>
      <c r="H211">
        <v>0</v>
      </c>
      <c r="I211">
        <v>10001</v>
      </c>
      <c r="J211">
        <v>30000</v>
      </c>
    </row>
    <row r="212" spans="2:10" x14ac:dyDescent="0.25">
      <c r="B212" t="s">
        <v>592</v>
      </c>
      <c r="C212" s="13">
        <v>6.6669999999999997E-5</v>
      </c>
      <c r="D212">
        <v>8.1650000000000004E-3</v>
      </c>
      <c r="E212" s="13">
        <v>4.7219999999999999E-5</v>
      </c>
      <c r="F212">
        <v>0</v>
      </c>
      <c r="G212">
        <v>0</v>
      </c>
      <c r="H212">
        <v>0</v>
      </c>
      <c r="I212">
        <v>10001</v>
      </c>
      <c r="J212">
        <v>30000</v>
      </c>
    </row>
    <row r="213" spans="2:10" x14ac:dyDescent="0.25">
      <c r="B213" t="s">
        <v>593</v>
      </c>
      <c r="C213">
        <v>0</v>
      </c>
      <c r="D213">
        <v>0</v>
      </c>
      <c r="E213" s="13">
        <v>3.333E-13</v>
      </c>
      <c r="F213">
        <v>0</v>
      </c>
      <c r="G213">
        <v>0</v>
      </c>
      <c r="H213">
        <v>0</v>
      </c>
      <c r="I213">
        <v>10001</v>
      </c>
      <c r="J213">
        <v>30000</v>
      </c>
    </row>
    <row r="214" spans="2:10" x14ac:dyDescent="0.25">
      <c r="B214" t="s">
        <v>594</v>
      </c>
      <c r="C214">
        <v>0</v>
      </c>
      <c r="D214">
        <v>0</v>
      </c>
      <c r="E214" s="13">
        <v>3.333E-13</v>
      </c>
      <c r="F214">
        <v>0</v>
      </c>
      <c r="G214">
        <v>0</v>
      </c>
      <c r="H214">
        <v>0</v>
      </c>
      <c r="I214">
        <v>10001</v>
      </c>
      <c r="J214">
        <v>30000</v>
      </c>
    </row>
    <row r="215" spans="2:10" x14ac:dyDescent="0.25">
      <c r="B215" t="s">
        <v>595</v>
      </c>
      <c r="C215">
        <v>4.6300000000000001E-2</v>
      </c>
      <c r="D215">
        <v>0.21010000000000001</v>
      </c>
      <c r="E215">
        <v>6.7210000000000004E-3</v>
      </c>
      <c r="F215">
        <v>0</v>
      </c>
      <c r="G215">
        <v>0</v>
      </c>
      <c r="H215">
        <v>1</v>
      </c>
      <c r="I215">
        <v>10001</v>
      </c>
      <c r="J215">
        <v>30000</v>
      </c>
    </row>
    <row r="216" spans="2:10" x14ac:dyDescent="0.25">
      <c r="B216" t="s">
        <v>596</v>
      </c>
      <c r="C216">
        <v>0.37559999999999999</v>
      </c>
      <c r="D216">
        <v>0.48430000000000001</v>
      </c>
      <c r="E216">
        <v>1.6129999999999999E-2</v>
      </c>
      <c r="F216">
        <v>0</v>
      </c>
      <c r="G216">
        <v>0</v>
      </c>
      <c r="H216">
        <v>1</v>
      </c>
      <c r="I216">
        <v>10001</v>
      </c>
      <c r="J216">
        <v>30000</v>
      </c>
    </row>
    <row r="217" spans="2:10" x14ac:dyDescent="0.25">
      <c r="B217" t="s">
        <v>597</v>
      </c>
      <c r="C217">
        <v>0.26819999999999999</v>
      </c>
      <c r="D217">
        <v>0.443</v>
      </c>
      <c r="E217">
        <v>1.162E-2</v>
      </c>
      <c r="F217">
        <v>0</v>
      </c>
      <c r="G217">
        <v>0</v>
      </c>
      <c r="H217">
        <v>1</v>
      </c>
      <c r="I217">
        <v>10001</v>
      </c>
      <c r="J217">
        <v>30000</v>
      </c>
    </row>
    <row r="218" spans="2:10" x14ac:dyDescent="0.25">
      <c r="B218" t="s">
        <v>598</v>
      </c>
      <c r="C218">
        <v>0.14380000000000001</v>
      </c>
      <c r="D218">
        <v>0.35089999999999999</v>
      </c>
      <c r="E218">
        <v>8.3099999999999997E-3</v>
      </c>
      <c r="F218">
        <v>0</v>
      </c>
      <c r="G218">
        <v>0</v>
      </c>
      <c r="H218">
        <v>1</v>
      </c>
      <c r="I218">
        <v>10001</v>
      </c>
      <c r="J218">
        <v>30000</v>
      </c>
    </row>
    <row r="219" spans="2:10" x14ac:dyDescent="0.25">
      <c r="B219" t="s">
        <v>599</v>
      </c>
      <c r="C219">
        <v>7.0930000000000007E-2</v>
      </c>
      <c r="D219">
        <v>0.25669999999999998</v>
      </c>
      <c r="E219">
        <v>4.973E-3</v>
      </c>
      <c r="F219">
        <v>0</v>
      </c>
      <c r="G219">
        <v>0</v>
      </c>
      <c r="H219">
        <v>1</v>
      </c>
      <c r="I219">
        <v>10001</v>
      </c>
      <c r="J219">
        <v>30000</v>
      </c>
    </row>
    <row r="220" spans="2:10" x14ac:dyDescent="0.25">
      <c r="B220" t="s">
        <v>600</v>
      </c>
      <c r="C220">
        <v>5.1330000000000001E-2</v>
      </c>
      <c r="D220">
        <v>0.22070000000000001</v>
      </c>
      <c r="E220">
        <v>5.1619999999999999E-3</v>
      </c>
      <c r="F220">
        <v>0</v>
      </c>
      <c r="G220">
        <v>0</v>
      </c>
      <c r="H220">
        <v>1</v>
      </c>
      <c r="I220">
        <v>10001</v>
      </c>
      <c r="J220">
        <v>30000</v>
      </c>
    </row>
    <row r="221" spans="2:10" x14ac:dyDescent="0.25">
      <c r="B221" t="s">
        <v>601</v>
      </c>
      <c r="C221">
        <v>2.7529999999999999E-2</v>
      </c>
      <c r="D221">
        <v>0.1636</v>
      </c>
      <c r="E221">
        <v>3.6419999999999998E-3</v>
      </c>
      <c r="F221">
        <v>0</v>
      </c>
      <c r="G221">
        <v>0</v>
      </c>
      <c r="H221">
        <v>1</v>
      </c>
      <c r="I221">
        <v>10001</v>
      </c>
      <c r="J221">
        <v>30000</v>
      </c>
    </row>
    <row r="222" spans="2:10" x14ac:dyDescent="0.25">
      <c r="B222" t="s">
        <v>602</v>
      </c>
      <c r="C222">
        <v>1.107E-2</v>
      </c>
      <c r="D222">
        <v>0.1046</v>
      </c>
      <c r="E222">
        <v>2.049E-3</v>
      </c>
      <c r="F222">
        <v>0</v>
      </c>
      <c r="G222">
        <v>0</v>
      </c>
      <c r="H222">
        <v>0</v>
      </c>
      <c r="I222">
        <v>10001</v>
      </c>
      <c r="J222">
        <v>30000</v>
      </c>
    </row>
    <row r="223" spans="2:10" x14ac:dyDescent="0.25">
      <c r="B223" t="s">
        <v>603</v>
      </c>
      <c r="C223">
        <v>3.5000000000000001E-3</v>
      </c>
      <c r="D223">
        <v>5.9060000000000001E-2</v>
      </c>
      <c r="E223" s="13">
        <v>7.0450000000000005E-4</v>
      </c>
      <c r="F223">
        <v>0</v>
      </c>
      <c r="G223">
        <v>0</v>
      </c>
      <c r="H223">
        <v>0</v>
      </c>
      <c r="I223">
        <v>10001</v>
      </c>
      <c r="J223">
        <v>30000</v>
      </c>
    </row>
    <row r="224" spans="2:10" x14ac:dyDescent="0.25">
      <c r="B224" t="s">
        <v>604</v>
      </c>
      <c r="C224">
        <v>1.6670000000000001E-3</v>
      </c>
      <c r="D224">
        <v>4.079E-2</v>
      </c>
      <c r="E224" s="13">
        <v>7.3519999999999998E-4</v>
      </c>
      <c r="F224">
        <v>0</v>
      </c>
      <c r="G224">
        <v>0</v>
      </c>
      <c r="H224">
        <v>0</v>
      </c>
      <c r="I224">
        <v>10001</v>
      </c>
      <c r="J224">
        <v>30000</v>
      </c>
    </row>
    <row r="225" spans="2:10" x14ac:dyDescent="0.25">
      <c r="B225" t="s">
        <v>605</v>
      </c>
      <c r="C225">
        <v>2.58E-2</v>
      </c>
      <c r="D225">
        <v>0.1585</v>
      </c>
      <c r="E225">
        <v>5.6490000000000004E-3</v>
      </c>
      <c r="F225">
        <v>0</v>
      </c>
      <c r="G225">
        <v>0</v>
      </c>
      <c r="H225">
        <v>1</v>
      </c>
      <c r="I225">
        <v>10001</v>
      </c>
      <c r="J225">
        <v>30000</v>
      </c>
    </row>
    <row r="226" spans="2:10" x14ac:dyDescent="0.25">
      <c r="B226" t="s">
        <v>606</v>
      </c>
      <c r="C226">
        <v>0.12770000000000001</v>
      </c>
      <c r="D226">
        <v>0.3337</v>
      </c>
      <c r="E226">
        <v>1.048E-2</v>
      </c>
      <c r="F226">
        <v>0</v>
      </c>
      <c r="G226">
        <v>0</v>
      </c>
      <c r="H226">
        <v>1</v>
      </c>
      <c r="I226">
        <v>10001</v>
      </c>
      <c r="J226">
        <v>30000</v>
      </c>
    </row>
    <row r="227" spans="2:10" x14ac:dyDescent="0.25">
      <c r="B227" t="s">
        <v>607</v>
      </c>
      <c r="C227">
        <v>0.17299999999999999</v>
      </c>
      <c r="D227">
        <v>0.37819999999999998</v>
      </c>
      <c r="E227">
        <v>1.026E-2</v>
      </c>
      <c r="F227">
        <v>0</v>
      </c>
      <c r="G227">
        <v>0</v>
      </c>
      <c r="H227">
        <v>1</v>
      </c>
      <c r="I227">
        <v>10001</v>
      </c>
      <c r="J227">
        <v>30000</v>
      </c>
    </row>
    <row r="228" spans="2:10" x14ac:dyDescent="0.25">
      <c r="B228" t="s">
        <v>608</v>
      </c>
      <c r="C228">
        <v>0.13009999999999999</v>
      </c>
      <c r="D228">
        <v>0.33639999999999998</v>
      </c>
      <c r="E228">
        <v>7.417E-3</v>
      </c>
      <c r="F228">
        <v>0</v>
      </c>
      <c r="G228">
        <v>0</v>
      </c>
      <c r="H228">
        <v>1</v>
      </c>
      <c r="I228">
        <v>10001</v>
      </c>
      <c r="J228">
        <v>30000</v>
      </c>
    </row>
    <row r="229" spans="2:10" x14ac:dyDescent="0.25">
      <c r="B229" t="s">
        <v>609</v>
      </c>
      <c r="C229">
        <v>0.1183</v>
      </c>
      <c r="D229">
        <v>0.32300000000000001</v>
      </c>
      <c r="E229">
        <v>6.7470000000000004E-3</v>
      </c>
      <c r="F229">
        <v>0</v>
      </c>
      <c r="G229">
        <v>0</v>
      </c>
      <c r="H229">
        <v>1</v>
      </c>
      <c r="I229">
        <v>10001</v>
      </c>
      <c r="J229">
        <v>30000</v>
      </c>
    </row>
    <row r="230" spans="2:10" x14ac:dyDescent="0.25">
      <c r="B230" t="s">
        <v>610</v>
      </c>
      <c r="C230">
        <v>0.1014</v>
      </c>
      <c r="D230">
        <v>0.30180000000000001</v>
      </c>
      <c r="E230">
        <v>5.9449999999999998E-3</v>
      </c>
      <c r="F230">
        <v>0</v>
      </c>
      <c r="G230">
        <v>0</v>
      </c>
      <c r="H230">
        <v>1</v>
      </c>
      <c r="I230">
        <v>10001</v>
      </c>
      <c r="J230">
        <v>30000</v>
      </c>
    </row>
    <row r="231" spans="2:10" x14ac:dyDescent="0.25">
      <c r="B231" t="s">
        <v>611</v>
      </c>
      <c r="C231">
        <v>7.7030000000000001E-2</v>
      </c>
      <c r="D231">
        <v>0.2666</v>
      </c>
      <c r="E231">
        <v>4.6189999999999998E-3</v>
      </c>
      <c r="F231">
        <v>0</v>
      </c>
      <c r="G231">
        <v>0</v>
      </c>
      <c r="H231">
        <v>1</v>
      </c>
      <c r="I231">
        <v>10001</v>
      </c>
      <c r="J231">
        <v>30000</v>
      </c>
    </row>
    <row r="232" spans="2:10" x14ac:dyDescent="0.25">
      <c r="B232" t="s">
        <v>612</v>
      </c>
      <c r="C232">
        <v>7.5370000000000006E-2</v>
      </c>
      <c r="D232">
        <v>0.26400000000000001</v>
      </c>
      <c r="E232">
        <v>5.2599999999999999E-3</v>
      </c>
      <c r="F232">
        <v>0</v>
      </c>
      <c r="G232">
        <v>0</v>
      </c>
      <c r="H232">
        <v>1</v>
      </c>
      <c r="I232">
        <v>10001</v>
      </c>
      <c r="J232">
        <v>30000</v>
      </c>
    </row>
    <row r="233" spans="2:10" x14ac:dyDescent="0.25">
      <c r="B233" t="s">
        <v>613</v>
      </c>
      <c r="C233">
        <v>0.1028</v>
      </c>
      <c r="D233">
        <v>0.30370000000000003</v>
      </c>
      <c r="E233">
        <v>8.5489999999999993E-3</v>
      </c>
      <c r="F233">
        <v>0</v>
      </c>
      <c r="G233">
        <v>0</v>
      </c>
      <c r="H233">
        <v>1</v>
      </c>
      <c r="I233">
        <v>10001</v>
      </c>
      <c r="J233">
        <v>30000</v>
      </c>
    </row>
    <row r="234" spans="2:10" x14ac:dyDescent="0.25">
      <c r="B234" t="s">
        <v>614</v>
      </c>
      <c r="C234">
        <v>6.8570000000000006E-2</v>
      </c>
      <c r="D234">
        <v>0.25269999999999998</v>
      </c>
      <c r="E234">
        <v>8.404E-3</v>
      </c>
      <c r="F234">
        <v>0</v>
      </c>
      <c r="G234">
        <v>0</v>
      </c>
      <c r="H234">
        <v>1</v>
      </c>
      <c r="I234">
        <v>10001</v>
      </c>
      <c r="J234">
        <v>30000</v>
      </c>
    </row>
    <row r="235" spans="2:10" x14ac:dyDescent="0.25">
      <c r="B235" t="s">
        <v>615</v>
      </c>
      <c r="C235" s="13">
        <v>8.9999999999999998E-4</v>
      </c>
      <c r="D235">
        <v>2.9989999999999999E-2</v>
      </c>
      <c r="E235" s="13">
        <v>4.192E-4</v>
      </c>
      <c r="F235">
        <v>0</v>
      </c>
      <c r="G235">
        <v>0</v>
      </c>
      <c r="H235">
        <v>0</v>
      </c>
      <c r="I235">
        <v>10001</v>
      </c>
      <c r="J235">
        <v>30000</v>
      </c>
    </row>
    <row r="236" spans="2:10" x14ac:dyDescent="0.25">
      <c r="B236" t="s">
        <v>616</v>
      </c>
      <c r="C236">
        <v>6.6100000000000006E-2</v>
      </c>
      <c r="D236">
        <v>0.2485</v>
      </c>
      <c r="E236">
        <v>7.3940000000000004E-3</v>
      </c>
      <c r="F236">
        <v>0</v>
      </c>
      <c r="G236">
        <v>0</v>
      </c>
      <c r="H236">
        <v>1</v>
      </c>
      <c r="I236">
        <v>10001</v>
      </c>
      <c r="J236">
        <v>30000</v>
      </c>
    </row>
    <row r="237" spans="2:10" x14ac:dyDescent="0.25">
      <c r="B237" t="s">
        <v>617</v>
      </c>
      <c r="C237">
        <v>0.23649999999999999</v>
      </c>
      <c r="D237">
        <v>0.42499999999999999</v>
      </c>
      <c r="E237">
        <v>1.238E-2</v>
      </c>
      <c r="F237">
        <v>0</v>
      </c>
      <c r="G237">
        <v>0</v>
      </c>
      <c r="H237">
        <v>1</v>
      </c>
      <c r="I237">
        <v>10001</v>
      </c>
      <c r="J237">
        <v>30000</v>
      </c>
    </row>
    <row r="238" spans="2:10" x14ac:dyDescent="0.25">
      <c r="B238" t="s">
        <v>618</v>
      </c>
      <c r="C238">
        <v>0.33600000000000002</v>
      </c>
      <c r="D238">
        <v>0.4723</v>
      </c>
      <c r="E238">
        <v>1.2160000000000001E-2</v>
      </c>
      <c r="F238">
        <v>0</v>
      </c>
      <c r="G238">
        <v>0</v>
      </c>
      <c r="H238">
        <v>1</v>
      </c>
      <c r="I238">
        <v>10001</v>
      </c>
      <c r="J238">
        <v>30000</v>
      </c>
    </row>
    <row r="239" spans="2:10" x14ac:dyDescent="0.25">
      <c r="B239" t="s">
        <v>619</v>
      </c>
      <c r="C239">
        <v>0.22409999999999999</v>
      </c>
      <c r="D239">
        <v>0.41699999999999998</v>
      </c>
      <c r="E239">
        <v>1.055E-2</v>
      </c>
      <c r="F239">
        <v>0</v>
      </c>
      <c r="G239">
        <v>0</v>
      </c>
      <c r="H239">
        <v>1</v>
      </c>
      <c r="I239">
        <v>10001</v>
      </c>
      <c r="J239">
        <v>30000</v>
      </c>
    </row>
    <row r="240" spans="2:10" x14ac:dyDescent="0.25">
      <c r="B240" t="s">
        <v>620</v>
      </c>
      <c r="C240">
        <v>9.6129999999999993E-2</v>
      </c>
      <c r="D240">
        <v>0.29480000000000001</v>
      </c>
      <c r="E240">
        <v>7.5820000000000002E-3</v>
      </c>
      <c r="F240">
        <v>0</v>
      </c>
      <c r="G240">
        <v>0</v>
      </c>
      <c r="H240">
        <v>1</v>
      </c>
      <c r="I240">
        <v>10001</v>
      </c>
      <c r="J240">
        <v>30000</v>
      </c>
    </row>
    <row r="241" spans="2:10" x14ac:dyDescent="0.25">
      <c r="B241" t="s">
        <v>621</v>
      </c>
      <c r="C241">
        <v>2.843E-2</v>
      </c>
      <c r="D241">
        <v>0.16619999999999999</v>
      </c>
      <c r="E241">
        <v>3.5349999999999999E-3</v>
      </c>
      <c r="F241">
        <v>0</v>
      </c>
      <c r="G241">
        <v>0</v>
      </c>
      <c r="H241">
        <v>1</v>
      </c>
      <c r="I241">
        <v>10001</v>
      </c>
      <c r="J241">
        <v>30000</v>
      </c>
    </row>
    <row r="242" spans="2:10" x14ac:dyDescent="0.25">
      <c r="B242" t="s">
        <v>622</v>
      </c>
      <c r="C242">
        <v>9.4000000000000004E-3</v>
      </c>
      <c r="D242">
        <v>9.6500000000000002E-2</v>
      </c>
      <c r="E242">
        <v>2.0839999999999999E-3</v>
      </c>
      <c r="F242">
        <v>0</v>
      </c>
      <c r="G242">
        <v>0</v>
      </c>
      <c r="H242">
        <v>0</v>
      </c>
      <c r="I242">
        <v>10001</v>
      </c>
      <c r="J242">
        <v>30000</v>
      </c>
    </row>
    <row r="243" spans="2:10" x14ac:dyDescent="0.25">
      <c r="B243" t="s">
        <v>623</v>
      </c>
      <c r="C243">
        <v>2.3670000000000002E-3</v>
      </c>
      <c r="D243">
        <v>4.8590000000000001E-2</v>
      </c>
      <c r="E243">
        <v>1.2260000000000001E-3</v>
      </c>
      <c r="F243">
        <v>0</v>
      </c>
      <c r="G243">
        <v>0</v>
      </c>
      <c r="H243">
        <v>0</v>
      </c>
      <c r="I243">
        <v>10001</v>
      </c>
      <c r="J243">
        <v>30000</v>
      </c>
    </row>
    <row r="244" spans="2:10" x14ac:dyDescent="0.25">
      <c r="B244" t="s">
        <v>624</v>
      </c>
      <c r="C244">
        <v>0</v>
      </c>
      <c r="D244">
        <v>0</v>
      </c>
      <c r="E244" s="13">
        <v>3.333E-13</v>
      </c>
      <c r="F244">
        <v>0</v>
      </c>
      <c r="G244">
        <v>0</v>
      </c>
      <c r="H244">
        <v>0</v>
      </c>
      <c r="I244">
        <v>10001</v>
      </c>
      <c r="J244">
        <v>30000</v>
      </c>
    </row>
    <row r="245" spans="2:10" x14ac:dyDescent="0.25">
      <c r="B245" t="s">
        <v>625</v>
      </c>
      <c r="C245">
        <v>0</v>
      </c>
      <c r="D245">
        <v>0</v>
      </c>
      <c r="E245" s="13">
        <v>3.333E-13</v>
      </c>
      <c r="F245">
        <v>0</v>
      </c>
      <c r="G245">
        <v>0</v>
      </c>
      <c r="H245">
        <v>0</v>
      </c>
      <c r="I245">
        <v>10001</v>
      </c>
      <c r="J245">
        <v>30000</v>
      </c>
    </row>
    <row r="246" spans="2:10" x14ac:dyDescent="0.25">
      <c r="B246" t="s">
        <v>626</v>
      </c>
      <c r="C246">
        <v>0</v>
      </c>
      <c r="D246">
        <v>0</v>
      </c>
      <c r="E246" s="13">
        <v>3.333E-13</v>
      </c>
      <c r="F246">
        <v>0</v>
      </c>
      <c r="G246">
        <v>0</v>
      </c>
      <c r="H246">
        <v>0</v>
      </c>
      <c r="I246">
        <v>10001</v>
      </c>
      <c r="J246">
        <v>30000</v>
      </c>
    </row>
    <row r="247" spans="2:10" x14ac:dyDescent="0.25">
      <c r="B247" t="s">
        <v>627</v>
      </c>
      <c r="C247">
        <v>0</v>
      </c>
      <c r="D247">
        <v>0</v>
      </c>
      <c r="E247" s="13">
        <v>3.333E-13</v>
      </c>
      <c r="F247">
        <v>0</v>
      </c>
      <c r="G247">
        <v>0</v>
      </c>
      <c r="H247">
        <v>0</v>
      </c>
      <c r="I247">
        <v>10001</v>
      </c>
      <c r="J247">
        <v>30000</v>
      </c>
    </row>
    <row r="248" spans="2:10" x14ac:dyDescent="0.25">
      <c r="B248" t="s">
        <v>628</v>
      </c>
      <c r="C248" s="13">
        <v>4.3330000000000002E-4</v>
      </c>
      <c r="D248">
        <v>2.0809999999999999E-2</v>
      </c>
      <c r="E248" s="13">
        <v>3.7070000000000001E-4</v>
      </c>
      <c r="F248">
        <v>0</v>
      </c>
      <c r="G248">
        <v>0</v>
      </c>
      <c r="H248">
        <v>0</v>
      </c>
      <c r="I248">
        <v>10001</v>
      </c>
      <c r="J248">
        <v>30000</v>
      </c>
    </row>
    <row r="249" spans="2:10" x14ac:dyDescent="0.25">
      <c r="B249" t="s">
        <v>629</v>
      </c>
      <c r="C249" s="13">
        <v>2.9999999999999997E-4</v>
      </c>
      <c r="D249">
        <v>1.7319999999999999E-2</v>
      </c>
      <c r="E249" s="13">
        <v>1.097E-4</v>
      </c>
      <c r="F249">
        <v>0</v>
      </c>
      <c r="G249">
        <v>0</v>
      </c>
      <c r="H249">
        <v>0</v>
      </c>
      <c r="I249">
        <v>10001</v>
      </c>
      <c r="J249">
        <v>30000</v>
      </c>
    </row>
    <row r="250" spans="2:10" x14ac:dyDescent="0.25">
      <c r="B250" t="s">
        <v>630</v>
      </c>
      <c r="C250">
        <v>3.833E-3</v>
      </c>
      <c r="D250">
        <v>6.1800000000000001E-2</v>
      </c>
      <c r="E250">
        <v>1.067E-3</v>
      </c>
      <c r="F250">
        <v>0</v>
      </c>
      <c r="G250">
        <v>0</v>
      </c>
      <c r="H250">
        <v>0</v>
      </c>
      <c r="I250">
        <v>10001</v>
      </c>
      <c r="J250">
        <v>30000</v>
      </c>
    </row>
    <row r="251" spans="2:10" x14ac:dyDescent="0.25">
      <c r="B251" t="s">
        <v>631</v>
      </c>
      <c r="C251">
        <v>1.487E-2</v>
      </c>
      <c r="D251">
        <v>0.121</v>
      </c>
      <c r="E251">
        <v>2.5430000000000001E-3</v>
      </c>
      <c r="F251">
        <v>0</v>
      </c>
      <c r="G251">
        <v>0</v>
      </c>
      <c r="H251">
        <v>0</v>
      </c>
      <c r="I251">
        <v>10001</v>
      </c>
      <c r="J251">
        <v>30000</v>
      </c>
    </row>
    <row r="252" spans="2:10" x14ac:dyDescent="0.25">
      <c r="B252" t="s">
        <v>632</v>
      </c>
      <c r="C252">
        <v>7.7130000000000004E-2</v>
      </c>
      <c r="D252">
        <v>0.26679999999999998</v>
      </c>
      <c r="E252">
        <v>8.5030000000000001E-3</v>
      </c>
      <c r="F252">
        <v>0</v>
      </c>
      <c r="G252">
        <v>0</v>
      </c>
      <c r="H252">
        <v>1</v>
      </c>
      <c r="I252">
        <v>10001</v>
      </c>
      <c r="J252">
        <v>30000</v>
      </c>
    </row>
    <row r="253" spans="2:10" x14ac:dyDescent="0.25">
      <c r="B253" t="s">
        <v>633</v>
      </c>
      <c r="C253">
        <v>0.3291</v>
      </c>
      <c r="D253">
        <v>0.46989999999999998</v>
      </c>
      <c r="E253">
        <v>1.5559999999999999E-2</v>
      </c>
      <c r="F253">
        <v>0</v>
      </c>
      <c r="G253">
        <v>0</v>
      </c>
      <c r="H253">
        <v>1</v>
      </c>
      <c r="I253">
        <v>10001</v>
      </c>
      <c r="J253">
        <v>30000</v>
      </c>
    </row>
    <row r="254" spans="2:10" x14ac:dyDescent="0.25">
      <c r="B254" t="s">
        <v>634</v>
      </c>
      <c r="C254">
        <v>0.57430000000000003</v>
      </c>
      <c r="D254">
        <v>0.49440000000000001</v>
      </c>
      <c r="E254">
        <v>1.865E-2</v>
      </c>
      <c r="F254">
        <v>0</v>
      </c>
      <c r="G254">
        <v>1</v>
      </c>
      <c r="H254">
        <v>1</v>
      </c>
      <c r="I254">
        <v>10001</v>
      </c>
      <c r="J254">
        <v>30000</v>
      </c>
    </row>
    <row r="255" spans="2:10" x14ac:dyDescent="0.25">
      <c r="B255" t="s">
        <v>635</v>
      </c>
      <c r="C255">
        <v>2.262</v>
      </c>
      <c r="D255">
        <v>1.9990000000000001</v>
      </c>
      <c r="E255">
        <v>4.9619999999999997E-2</v>
      </c>
      <c r="F255">
        <v>7.7689999999999995E-2</v>
      </c>
      <c r="G255">
        <v>1.72</v>
      </c>
      <c r="H255">
        <v>7.4749999999999996</v>
      </c>
      <c r="I255">
        <v>10001</v>
      </c>
      <c r="J255">
        <v>30000</v>
      </c>
    </row>
    <row r="256" spans="2:10" x14ac:dyDescent="0.25">
      <c r="B256" t="s">
        <v>636</v>
      </c>
      <c r="C256">
        <v>1.665</v>
      </c>
      <c r="D256">
        <v>1.764</v>
      </c>
      <c r="E256">
        <v>3.603E-2</v>
      </c>
      <c r="F256">
        <v>4.3540000000000002E-2</v>
      </c>
      <c r="G256">
        <v>1.097</v>
      </c>
      <c r="H256">
        <v>6.548</v>
      </c>
      <c r="I256">
        <v>10001</v>
      </c>
      <c r="J256">
        <v>30000</v>
      </c>
    </row>
    <row r="257" spans="2:10" x14ac:dyDescent="0.25">
      <c r="B257" t="s">
        <v>637</v>
      </c>
      <c r="C257">
        <v>1.28</v>
      </c>
      <c r="D257">
        <v>1.5209999999999999</v>
      </c>
      <c r="E257">
        <v>1.2800000000000001E-2</v>
      </c>
      <c r="F257">
        <v>2.767E-2</v>
      </c>
      <c r="G257">
        <v>0.74580000000000002</v>
      </c>
      <c r="H257">
        <v>5.601</v>
      </c>
      <c r="I257">
        <v>10001</v>
      </c>
      <c r="J257">
        <v>30000</v>
      </c>
    </row>
    <row r="258" spans="2:10" x14ac:dyDescent="0.25">
      <c r="B258" t="s">
        <v>638</v>
      </c>
      <c r="C258">
        <v>1.3080000000000001</v>
      </c>
      <c r="D258">
        <v>1.5449999999999999</v>
      </c>
      <c r="E258">
        <v>1.306E-2</v>
      </c>
      <c r="F258">
        <v>3.2059999999999998E-2</v>
      </c>
      <c r="G258">
        <v>0.77480000000000004</v>
      </c>
      <c r="H258">
        <v>5.62</v>
      </c>
      <c r="I258">
        <v>10001</v>
      </c>
      <c r="J258">
        <v>30000</v>
      </c>
    </row>
    <row r="259" spans="2:10" x14ac:dyDescent="0.25">
      <c r="B259" t="s">
        <v>639</v>
      </c>
      <c r="C259">
        <v>1.9990000000000001</v>
      </c>
      <c r="D259">
        <v>1.7170000000000001</v>
      </c>
      <c r="E259">
        <v>3.78E-2</v>
      </c>
      <c r="F259">
        <v>0.12559999999999999</v>
      </c>
      <c r="G259">
        <v>1.5509999999999999</v>
      </c>
      <c r="H259">
        <v>6.5279999999999996</v>
      </c>
      <c r="I259">
        <v>10001</v>
      </c>
      <c r="J259">
        <v>30000</v>
      </c>
    </row>
    <row r="260" spans="2:10" x14ac:dyDescent="0.25">
      <c r="B260" t="s">
        <v>640</v>
      </c>
      <c r="C260">
        <v>3.415</v>
      </c>
      <c r="D260">
        <v>1.9850000000000001</v>
      </c>
      <c r="E260">
        <v>5.5809999999999998E-2</v>
      </c>
      <c r="F260">
        <v>0.65139999999999998</v>
      </c>
      <c r="G260">
        <v>3.0379999999999998</v>
      </c>
      <c r="H260">
        <v>8.2200000000000006</v>
      </c>
      <c r="I260">
        <v>10001</v>
      </c>
      <c r="J260">
        <v>30000</v>
      </c>
    </row>
    <row r="261" spans="2:10" x14ac:dyDescent="0.25">
      <c r="B261" t="s">
        <v>641</v>
      </c>
      <c r="C261">
        <v>2.1840000000000002</v>
      </c>
      <c r="D261">
        <v>2.157</v>
      </c>
      <c r="E261">
        <v>6.2429999999999999E-2</v>
      </c>
      <c r="F261">
        <v>5.738E-2</v>
      </c>
      <c r="G261">
        <v>1.5209999999999999</v>
      </c>
      <c r="H261">
        <v>8.0459999999999994</v>
      </c>
      <c r="I261">
        <v>10001</v>
      </c>
      <c r="J261">
        <v>30000</v>
      </c>
    </row>
    <row r="262" spans="2:10" x14ac:dyDescent="0.25">
      <c r="B262" t="s">
        <v>642</v>
      </c>
      <c r="C262">
        <v>2.1589999999999998</v>
      </c>
      <c r="D262">
        <v>2.0870000000000002</v>
      </c>
      <c r="E262">
        <v>5.9209999999999999E-2</v>
      </c>
      <c r="F262">
        <v>5.0590000000000003E-2</v>
      </c>
      <c r="G262">
        <v>1.522</v>
      </c>
      <c r="H262">
        <v>7.7009999999999996</v>
      </c>
      <c r="I262">
        <v>10001</v>
      </c>
      <c r="J262">
        <v>30000</v>
      </c>
    </row>
    <row r="263" spans="2:10" x14ac:dyDescent="0.25">
      <c r="B263" t="s">
        <v>643</v>
      </c>
      <c r="C263">
        <v>2.4319999999999999</v>
      </c>
      <c r="D263">
        <v>1.601</v>
      </c>
      <c r="E263">
        <v>2.0299999999999999E-2</v>
      </c>
      <c r="F263">
        <v>0.80379999999999996</v>
      </c>
      <c r="G263">
        <v>1.964</v>
      </c>
      <c r="H263">
        <v>6.8390000000000004</v>
      </c>
      <c r="I263">
        <v>10001</v>
      </c>
      <c r="J263">
        <v>30000</v>
      </c>
    </row>
    <row r="264" spans="2:10" x14ac:dyDescent="0.25">
      <c r="B264" t="s">
        <v>644</v>
      </c>
      <c r="C264">
        <v>2.1070000000000002</v>
      </c>
      <c r="D264">
        <v>2.129</v>
      </c>
      <c r="E264">
        <v>5.271E-2</v>
      </c>
      <c r="F264">
        <v>5.194E-2</v>
      </c>
      <c r="G264">
        <v>1.4610000000000001</v>
      </c>
      <c r="H264">
        <v>7.9740000000000002</v>
      </c>
      <c r="I264">
        <v>10001</v>
      </c>
      <c r="J264">
        <v>30000</v>
      </c>
    </row>
    <row r="265" spans="2:10" x14ac:dyDescent="0.25">
      <c r="B265" t="s">
        <v>645</v>
      </c>
      <c r="C265">
        <v>1.619</v>
      </c>
      <c r="D265">
        <v>1.657</v>
      </c>
      <c r="E265">
        <v>2.554E-2</v>
      </c>
      <c r="F265">
        <v>4.0919999999999998E-2</v>
      </c>
      <c r="G265">
        <v>1.099</v>
      </c>
      <c r="H265">
        <v>6.0609999999999999</v>
      </c>
      <c r="I265">
        <v>10001</v>
      </c>
      <c r="J265">
        <v>30000</v>
      </c>
    </row>
    <row r="266" spans="2:10" x14ac:dyDescent="0.25">
      <c r="B266" t="s">
        <v>646</v>
      </c>
      <c r="C266">
        <v>1.4730000000000001</v>
      </c>
      <c r="D266">
        <v>1.5509999999999999</v>
      </c>
      <c r="E266">
        <v>2.1999999999999999E-2</v>
      </c>
      <c r="F266">
        <v>3.5450000000000002E-2</v>
      </c>
      <c r="G266">
        <v>0.99039999999999995</v>
      </c>
      <c r="H266">
        <v>5.7069999999999999</v>
      </c>
      <c r="I266">
        <v>10001</v>
      </c>
      <c r="J266">
        <v>30000</v>
      </c>
    </row>
    <row r="267" spans="2:10" x14ac:dyDescent="0.25">
      <c r="B267" t="s">
        <v>647</v>
      </c>
      <c r="C267">
        <v>1.19</v>
      </c>
      <c r="D267">
        <v>1.4550000000000001</v>
      </c>
      <c r="E267">
        <v>1.115E-2</v>
      </c>
      <c r="F267">
        <v>2.2790000000000001E-2</v>
      </c>
      <c r="G267">
        <v>0.67149999999999999</v>
      </c>
      <c r="H267">
        <v>5.327</v>
      </c>
      <c r="I267">
        <v>10001</v>
      </c>
      <c r="J267">
        <v>30000</v>
      </c>
    </row>
    <row r="268" spans="2:10" x14ac:dyDescent="0.25">
      <c r="B268" t="s">
        <v>648</v>
      </c>
      <c r="C268">
        <v>1.7949999999999999</v>
      </c>
      <c r="D268">
        <v>1.86</v>
      </c>
      <c r="E268">
        <v>5.3719999999999997E-2</v>
      </c>
      <c r="F268">
        <v>4.7329999999999997E-2</v>
      </c>
      <c r="G268">
        <v>1.218</v>
      </c>
      <c r="H268">
        <v>6.7220000000000004</v>
      </c>
      <c r="I268">
        <v>10001</v>
      </c>
      <c r="J268">
        <v>30000</v>
      </c>
    </row>
    <row r="269" spans="2:10" x14ac:dyDescent="0.25">
      <c r="B269" t="s">
        <v>649</v>
      </c>
      <c r="C269">
        <v>1.6890000000000001</v>
      </c>
      <c r="D269">
        <v>1.544</v>
      </c>
      <c r="E269">
        <v>1.6449999999999999E-2</v>
      </c>
      <c r="F269">
        <v>0.17130000000000001</v>
      </c>
      <c r="G269">
        <v>1.228</v>
      </c>
      <c r="H269">
        <v>5.9509999999999996</v>
      </c>
      <c r="I269">
        <v>10001</v>
      </c>
      <c r="J269">
        <v>30000</v>
      </c>
    </row>
    <row r="270" spans="2:10" x14ac:dyDescent="0.25">
      <c r="B270" t="s">
        <v>650</v>
      </c>
      <c r="C270">
        <v>4.2050000000000001</v>
      </c>
      <c r="D270">
        <v>1.6359999999999999</v>
      </c>
      <c r="E270">
        <v>2.3349999999999999E-2</v>
      </c>
      <c r="F270">
        <v>2.226</v>
      </c>
      <c r="G270">
        <v>3.8220000000000001</v>
      </c>
      <c r="H270">
        <v>8.5120000000000005</v>
      </c>
      <c r="I270">
        <v>10001</v>
      </c>
      <c r="J270">
        <v>30000</v>
      </c>
    </row>
    <row r="271" spans="2:10" x14ac:dyDescent="0.25">
      <c r="B271" t="s">
        <v>651</v>
      </c>
      <c r="C271">
        <v>3.0939999999999999</v>
      </c>
      <c r="D271">
        <v>1.7170000000000001</v>
      </c>
      <c r="E271">
        <v>3.6269999999999997E-2</v>
      </c>
      <c r="F271">
        <v>0.83309999999999995</v>
      </c>
      <c r="G271">
        <v>2.7519999999999998</v>
      </c>
      <c r="H271">
        <v>7.5490000000000004</v>
      </c>
      <c r="I271">
        <v>10001</v>
      </c>
      <c r="J271">
        <v>30000</v>
      </c>
    </row>
    <row r="272" spans="2:10" x14ac:dyDescent="0.25">
      <c r="B272" t="s">
        <v>652</v>
      </c>
      <c r="C272">
        <v>4.0570000000000004</v>
      </c>
      <c r="D272">
        <v>1.7649999999999999</v>
      </c>
      <c r="E272">
        <v>3.2379999999999999E-2</v>
      </c>
      <c r="F272">
        <v>1.831</v>
      </c>
      <c r="G272">
        <v>3.6739999999999999</v>
      </c>
      <c r="H272">
        <v>8.74</v>
      </c>
      <c r="I272">
        <v>10001</v>
      </c>
      <c r="J272">
        <v>30000</v>
      </c>
    </row>
    <row r="273" spans="2:10" x14ac:dyDescent="0.25">
      <c r="B273" t="s">
        <v>653</v>
      </c>
      <c r="C273">
        <v>1.724</v>
      </c>
      <c r="D273">
        <v>1.5740000000000001</v>
      </c>
      <c r="E273">
        <v>2.1160000000000002E-2</v>
      </c>
      <c r="F273">
        <v>9.9970000000000003E-2</v>
      </c>
      <c r="G273">
        <v>1.282</v>
      </c>
      <c r="H273">
        <v>5.9640000000000004</v>
      </c>
      <c r="I273">
        <v>10001</v>
      </c>
      <c r="J273">
        <v>30000</v>
      </c>
    </row>
    <row r="274" spans="2:10" x14ac:dyDescent="0.25">
      <c r="B274" t="s">
        <v>654</v>
      </c>
      <c r="C274">
        <v>1.365</v>
      </c>
      <c r="D274">
        <v>1.4970000000000001</v>
      </c>
      <c r="E274">
        <v>1.537E-2</v>
      </c>
      <c r="F274">
        <v>3.0439999999999998E-2</v>
      </c>
      <c r="G274">
        <v>0.87960000000000005</v>
      </c>
      <c r="H274">
        <v>5.5209999999999999</v>
      </c>
      <c r="I274">
        <v>10001</v>
      </c>
      <c r="J274">
        <v>30000</v>
      </c>
    </row>
    <row r="275" spans="2:10" x14ac:dyDescent="0.25">
      <c r="B275" t="s">
        <v>655</v>
      </c>
      <c r="C275">
        <v>1.6679999999999999</v>
      </c>
      <c r="D275">
        <v>1.6839999999999999</v>
      </c>
      <c r="E275">
        <v>2.879E-2</v>
      </c>
      <c r="F275">
        <v>4.2209999999999998E-2</v>
      </c>
      <c r="G275">
        <v>1.1519999999999999</v>
      </c>
      <c r="H275">
        <v>6.1150000000000002</v>
      </c>
      <c r="I275">
        <v>10001</v>
      </c>
      <c r="J275">
        <v>30000</v>
      </c>
    </row>
    <row r="276" spans="2:10" x14ac:dyDescent="0.25">
      <c r="B276" t="s">
        <v>656</v>
      </c>
      <c r="C276">
        <v>1.5820000000000001</v>
      </c>
      <c r="D276">
        <v>1.5940000000000001</v>
      </c>
      <c r="E276">
        <v>2.7130000000000001E-2</v>
      </c>
      <c r="F276">
        <v>4.6010000000000002E-2</v>
      </c>
      <c r="G276">
        <v>1.1120000000000001</v>
      </c>
      <c r="H276">
        <v>5.8179999999999996</v>
      </c>
      <c r="I276">
        <v>10001</v>
      </c>
      <c r="J276">
        <v>30000</v>
      </c>
    </row>
    <row r="277" spans="2:10" x14ac:dyDescent="0.25">
      <c r="B277" t="s">
        <v>657</v>
      </c>
      <c r="C277">
        <v>2.6019999999999999</v>
      </c>
      <c r="D277">
        <v>3.1389999999999998</v>
      </c>
      <c r="E277">
        <v>0.15609999999999999</v>
      </c>
      <c r="F277">
        <v>5.1090000000000003E-2</v>
      </c>
      <c r="G277">
        <v>1.5</v>
      </c>
      <c r="H277">
        <v>12.69</v>
      </c>
      <c r="I277">
        <v>10001</v>
      </c>
      <c r="J277">
        <v>30000</v>
      </c>
    </row>
    <row r="278" spans="2:10" x14ac:dyDescent="0.25">
      <c r="B278" t="s">
        <v>658</v>
      </c>
      <c r="C278">
        <v>3.609</v>
      </c>
      <c r="D278">
        <v>1.6919999999999999</v>
      </c>
      <c r="E278">
        <v>2.4570000000000002E-2</v>
      </c>
      <c r="F278">
        <v>1.694</v>
      </c>
      <c r="G278">
        <v>3.1579999999999999</v>
      </c>
      <c r="H278">
        <v>8.2010000000000005</v>
      </c>
      <c r="I278">
        <v>10001</v>
      </c>
      <c r="J278">
        <v>30000</v>
      </c>
    </row>
    <row r="279" spans="2:10" x14ac:dyDescent="0.25">
      <c r="B279" t="s">
        <v>659</v>
      </c>
      <c r="C279">
        <v>1.484</v>
      </c>
      <c r="D279">
        <v>1.5009999999999999</v>
      </c>
      <c r="E279">
        <v>1.487E-2</v>
      </c>
      <c r="F279">
        <v>8.5010000000000002E-2</v>
      </c>
      <c r="G279">
        <v>1.0169999999999999</v>
      </c>
      <c r="H279">
        <v>5.6509999999999998</v>
      </c>
      <c r="I279">
        <v>10001</v>
      </c>
      <c r="J279">
        <v>30000</v>
      </c>
    </row>
    <row r="280" spans="2:10" x14ac:dyDescent="0.25">
      <c r="B280" t="s">
        <v>660</v>
      </c>
      <c r="C280">
        <v>3.7850000000000001</v>
      </c>
      <c r="D280">
        <v>1.629</v>
      </c>
      <c r="E280">
        <v>1.993E-2</v>
      </c>
      <c r="F280">
        <v>1.99</v>
      </c>
      <c r="G280">
        <v>3.3479999999999999</v>
      </c>
      <c r="H280">
        <v>8.234</v>
      </c>
      <c r="I280">
        <v>10001</v>
      </c>
      <c r="J280">
        <v>30000</v>
      </c>
    </row>
    <row r="281" spans="2:10" x14ac:dyDescent="0.25">
      <c r="B281" t="s">
        <v>661</v>
      </c>
      <c r="C281">
        <v>1.28</v>
      </c>
      <c r="D281">
        <v>1.514</v>
      </c>
      <c r="E281">
        <v>1.4590000000000001E-2</v>
      </c>
      <c r="F281">
        <v>2.5649999999999999E-2</v>
      </c>
      <c r="G281">
        <v>0.76190000000000002</v>
      </c>
      <c r="H281">
        <v>5.61</v>
      </c>
      <c r="I281">
        <v>10001</v>
      </c>
      <c r="J281">
        <v>30000</v>
      </c>
    </row>
    <row r="282" spans="2:10" x14ac:dyDescent="0.25">
      <c r="B282" t="s">
        <v>662</v>
      </c>
      <c r="C282">
        <v>2.5169999999999999</v>
      </c>
      <c r="D282">
        <v>2.0270000000000001</v>
      </c>
      <c r="E282">
        <v>4.9099999999999998E-2</v>
      </c>
      <c r="F282">
        <v>0.115</v>
      </c>
      <c r="G282">
        <v>2.04</v>
      </c>
      <c r="H282">
        <v>7.68</v>
      </c>
      <c r="I282">
        <v>10001</v>
      </c>
      <c r="J282">
        <v>30000</v>
      </c>
    </row>
    <row r="283" spans="2:10" x14ac:dyDescent="0.25">
      <c r="B283" t="s">
        <v>663</v>
      </c>
      <c r="C283">
        <v>6.649</v>
      </c>
      <c r="D283">
        <v>1.1619999999999999</v>
      </c>
      <c r="E283">
        <v>4.7489999999999997E-2</v>
      </c>
      <c r="F283">
        <v>4</v>
      </c>
      <c r="G283">
        <v>7</v>
      </c>
      <c r="H283">
        <v>9</v>
      </c>
      <c r="I283">
        <v>10001</v>
      </c>
      <c r="J283">
        <v>30000</v>
      </c>
    </row>
    <row r="284" spans="2:10" x14ac:dyDescent="0.25">
      <c r="B284" t="s">
        <v>664</v>
      </c>
      <c r="C284">
        <v>7.9020000000000001</v>
      </c>
      <c r="D284">
        <v>0.94740000000000002</v>
      </c>
      <c r="E284">
        <v>3.2800000000000003E-2</v>
      </c>
      <c r="F284">
        <v>6</v>
      </c>
      <c r="G284">
        <v>8</v>
      </c>
      <c r="H284">
        <v>9</v>
      </c>
      <c r="I284">
        <v>10001</v>
      </c>
      <c r="J284">
        <v>30000</v>
      </c>
    </row>
    <row r="285" spans="2:10" x14ac:dyDescent="0.25">
      <c r="B285" t="s">
        <v>665</v>
      </c>
      <c r="C285">
        <v>5.6989999999999998</v>
      </c>
      <c r="D285">
        <v>1.4379999999999999</v>
      </c>
      <c r="E285">
        <v>5.7250000000000002E-2</v>
      </c>
      <c r="F285">
        <v>3</v>
      </c>
      <c r="G285">
        <v>6</v>
      </c>
      <c r="H285">
        <v>9</v>
      </c>
      <c r="I285">
        <v>10001</v>
      </c>
      <c r="J285">
        <v>30000</v>
      </c>
    </row>
    <row r="286" spans="2:10" x14ac:dyDescent="0.25">
      <c r="B286" t="s">
        <v>666</v>
      </c>
      <c r="C286">
        <v>4.165</v>
      </c>
      <c r="D286">
        <v>2.4289999999999998</v>
      </c>
      <c r="E286">
        <v>0.113</v>
      </c>
      <c r="F286">
        <v>1</v>
      </c>
      <c r="G286">
        <v>3</v>
      </c>
      <c r="H286">
        <v>10</v>
      </c>
      <c r="I286">
        <v>10001</v>
      </c>
      <c r="J286">
        <v>30000</v>
      </c>
    </row>
    <row r="287" spans="2:10" x14ac:dyDescent="0.25">
      <c r="B287" t="s">
        <v>667</v>
      </c>
      <c r="C287">
        <v>7.3250000000000002</v>
      </c>
      <c r="D287">
        <v>2.661</v>
      </c>
      <c r="E287">
        <v>0.1179</v>
      </c>
      <c r="F287">
        <v>2</v>
      </c>
      <c r="G287">
        <v>8</v>
      </c>
      <c r="H287">
        <v>10</v>
      </c>
      <c r="I287">
        <v>10001</v>
      </c>
      <c r="J287">
        <v>30000</v>
      </c>
    </row>
    <row r="288" spans="2:10" x14ac:dyDescent="0.25">
      <c r="B288" t="s">
        <v>668</v>
      </c>
      <c r="C288">
        <v>1.1850000000000001</v>
      </c>
      <c r="D288">
        <v>0.53320000000000001</v>
      </c>
      <c r="E288">
        <v>1.9879999999999998E-2</v>
      </c>
      <c r="F288">
        <v>1</v>
      </c>
      <c r="G288">
        <v>1</v>
      </c>
      <c r="H288">
        <v>3</v>
      </c>
      <c r="I288">
        <v>10001</v>
      </c>
      <c r="J288">
        <v>30000</v>
      </c>
    </row>
    <row r="289" spans="1:10" x14ac:dyDescent="0.25">
      <c r="B289" t="s">
        <v>669</v>
      </c>
      <c r="C289">
        <v>3.17</v>
      </c>
      <c r="D289">
        <v>1.532</v>
      </c>
      <c r="E289">
        <v>5.4300000000000001E-2</v>
      </c>
      <c r="F289">
        <v>1</v>
      </c>
      <c r="G289">
        <v>3</v>
      </c>
      <c r="H289">
        <v>7</v>
      </c>
      <c r="I289">
        <v>10001</v>
      </c>
      <c r="J289">
        <v>30000</v>
      </c>
    </row>
    <row r="290" spans="1:10" x14ac:dyDescent="0.25">
      <c r="B290" t="s">
        <v>670</v>
      </c>
      <c r="C290">
        <v>5.2729999999999997</v>
      </c>
      <c r="D290">
        <v>2.5990000000000002</v>
      </c>
      <c r="E290">
        <v>0.1135</v>
      </c>
      <c r="F290">
        <v>1</v>
      </c>
      <c r="G290">
        <v>5</v>
      </c>
      <c r="H290">
        <v>10</v>
      </c>
      <c r="I290">
        <v>10001</v>
      </c>
      <c r="J290">
        <v>30000</v>
      </c>
    </row>
    <row r="291" spans="1:10" x14ac:dyDescent="0.25">
      <c r="B291" t="s">
        <v>671</v>
      </c>
      <c r="C291">
        <v>4.18</v>
      </c>
      <c r="D291">
        <v>1.2450000000000001</v>
      </c>
      <c r="E291">
        <v>4.7160000000000001E-2</v>
      </c>
      <c r="F291">
        <v>2</v>
      </c>
      <c r="G291">
        <v>4</v>
      </c>
      <c r="H291">
        <v>7</v>
      </c>
      <c r="I291">
        <v>10001</v>
      </c>
      <c r="J291">
        <v>30000</v>
      </c>
    </row>
    <row r="292" spans="1:10" x14ac:dyDescent="0.25">
      <c r="B292" t="s">
        <v>672</v>
      </c>
      <c r="C292">
        <v>9.4529999999999994</v>
      </c>
      <c r="D292">
        <v>0.74580000000000002</v>
      </c>
      <c r="E292">
        <v>2.7980000000000001E-2</v>
      </c>
      <c r="F292">
        <v>8</v>
      </c>
      <c r="G292">
        <v>10</v>
      </c>
      <c r="H292">
        <v>10</v>
      </c>
      <c r="I292">
        <v>10001</v>
      </c>
      <c r="J292">
        <v>30000</v>
      </c>
    </row>
    <row r="293" spans="1:10" x14ac:dyDescent="0.25">
      <c r="B293" t="s">
        <v>752</v>
      </c>
      <c r="C293">
        <v>0.14649999999999999</v>
      </c>
      <c r="D293">
        <v>8.5739999999999997E-2</v>
      </c>
      <c r="E293">
        <v>2.8E-3</v>
      </c>
      <c r="F293">
        <v>4.1660000000000003E-2</v>
      </c>
      <c r="G293">
        <v>0.12709999999999999</v>
      </c>
      <c r="H293">
        <v>0.3609</v>
      </c>
      <c r="I293">
        <v>10001</v>
      </c>
      <c r="J293">
        <v>30000</v>
      </c>
    </row>
    <row r="294" spans="1:10" x14ac:dyDescent="0.25">
      <c r="B294" t="s">
        <v>673</v>
      </c>
      <c r="C294">
        <v>61.55</v>
      </c>
      <c r="D294">
        <v>9.2769999999999992</v>
      </c>
      <c r="E294">
        <v>0.20610000000000001</v>
      </c>
      <c r="F294">
        <v>45.45</v>
      </c>
      <c r="G294">
        <v>60.86</v>
      </c>
      <c r="H294">
        <v>81.3</v>
      </c>
      <c r="I294">
        <v>10001</v>
      </c>
      <c r="J294">
        <v>30000</v>
      </c>
    </row>
    <row r="295" spans="1:10" x14ac:dyDescent="0.25">
      <c r="A295" t="s">
        <v>674</v>
      </c>
    </row>
    <row r="297" spans="1:10" x14ac:dyDescent="0.25">
      <c r="A297" t="s">
        <v>675</v>
      </c>
    </row>
    <row r="298" spans="1:10" x14ac:dyDescent="0.25">
      <c r="A298" t="s">
        <v>676</v>
      </c>
    </row>
    <row r="299" spans="1:10" x14ac:dyDescent="0.25">
      <c r="B299" t="s">
        <v>677</v>
      </c>
      <c r="C299" t="s">
        <v>678</v>
      </c>
      <c r="D299" t="s">
        <v>679</v>
      </c>
      <c r="E299" t="s">
        <v>675</v>
      </c>
    </row>
    <row r="300" spans="1:10" x14ac:dyDescent="0.25">
      <c r="A300" t="s">
        <v>680</v>
      </c>
      <c r="B300">
        <v>207.47</v>
      </c>
      <c r="C300">
        <v>170.923</v>
      </c>
      <c r="D300">
        <v>36.548000000000002</v>
      </c>
      <c r="E300">
        <v>244.018</v>
      </c>
    </row>
    <row r="301" spans="1:10" x14ac:dyDescent="0.25">
      <c r="A301" t="s">
        <v>681</v>
      </c>
      <c r="B301">
        <v>207.47</v>
      </c>
      <c r="C301">
        <v>170.923</v>
      </c>
      <c r="D301">
        <v>36.548000000000002</v>
      </c>
      <c r="E301">
        <v>244.018</v>
      </c>
    </row>
    <row r="302" spans="1:10" x14ac:dyDescent="0.25">
      <c r="A302" t="s">
        <v>682</v>
      </c>
    </row>
    <row r="304" spans="1:10" x14ac:dyDescent="0.25">
      <c r="A304" t="s">
        <v>683</v>
      </c>
    </row>
    <row r="306" spans="1:1" x14ac:dyDescent="0.25">
      <c r="A306" t="s">
        <v>684</v>
      </c>
    </row>
    <row r="308" spans="1:1" x14ac:dyDescent="0.25">
      <c r="A308" t="s">
        <v>685</v>
      </c>
    </row>
    <row r="310" spans="1:1" x14ac:dyDescent="0.25">
      <c r="A310" t="s">
        <v>782</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F1:H145"/>
  <sheetViews>
    <sheetView showGridLines="0" topLeftCell="A24" workbookViewId="0">
      <selection activeCell="A24" sqref="A24"/>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6" spans="6:8" x14ac:dyDescent="0.25">
      <c r="F26" s="12"/>
      <c r="H26" s="12"/>
    </row>
    <row r="72" spans="6:6" x14ac:dyDescent="0.25">
      <c r="F72" s="13"/>
    </row>
    <row r="73" spans="6:6" x14ac:dyDescent="0.25">
      <c r="F73" s="13"/>
    </row>
    <row r="76" spans="6:6" x14ac:dyDescent="0.25">
      <c r="F76" s="13"/>
    </row>
    <row r="78" spans="6:6" x14ac:dyDescent="0.25">
      <c r="F78" s="13"/>
    </row>
    <row r="83" spans="6:6" x14ac:dyDescent="0.25">
      <c r="F83" s="13"/>
    </row>
    <row r="84" spans="6:6" x14ac:dyDescent="0.25">
      <c r="F84" s="13"/>
    </row>
    <row r="86" spans="6:6" x14ac:dyDescent="0.25">
      <c r="F86" s="13"/>
    </row>
    <row r="90" spans="6:6" x14ac:dyDescent="0.25">
      <c r="F90" s="13"/>
    </row>
    <row r="91" spans="6:6" x14ac:dyDescent="0.25">
      <c r="F91" s="13"/>
    </row>
    <row r="94" spans="6:6" x14ac:dyDescent="0.25">
      <c r="F94" s="13"/>
    </row>
    <row r="95" spans="6:6" x14ac:dyDescent="0.25">
      <c r="F95" s="13"/>
    </row>
    <row r="97" spans="6:6" x14ac:dyDescent="0.25">
      <c r="F97" s="13"/>
    </row>
    <row r="102" spans="6:6" x14ac:dyDescent="0.25">
      <c r="F102" s="13"/>
    </row>
    <row r="103" spans="6:6" x14ac:dyDescent="0.25">
      <c r="F103" s="13"/>
    </row>
    <row r="104" spans="6:6" x14ac:dyDescent="0.25">
      <c r="F104" s="13"/>
    </row>
    <row r="105" spans="6:6" x14ac:dyDescent="0.25">
      <c r="F105" s="13"/>
    </row>
    <row r="108" spans="6:6" x14ac:dyDescent="0.25">
      <c r="F108" s="13"/>
    </row>
    <row r="109" spans="6:6" x14ac:dyDescent="0.25">
      <c r="F109" s="13"/>
    </row>
    <row r="120" spans="6:6" x14ac:dyDescent="0.25">
      <c r="F120" s="13"/>
    </row>
    <row r="121" spans="6:6" x14ac:dyDescent="0.25">
      <c r="F121" s="13"/>
    </row>
    <row r="122" spans="6:6" x14ac:dyDescent="0.25">
      <c r="F122" s="13"/>
    </row>
    <row r="123" spans="6:6" x14ac:dyDescent="0.25">
      <c r="F123" s="13"/>
    </row>
    <row r="126" spans="6:6" x14ac:dyDescent="0.25">
      <c r="F126" s="13"/>
    </row>
    <row r="127" spans="6:6" x14ac:dyDescent="0.25">
      <c r="F127" s="13"/>
    </row>
    <row r="130" spans="6:6" x14ac:dyDescent="0.25">
      <c r="F130" s="13"/>
    </row>
    <row r="131" spans="6:6" x14ac:dyDescent="0.25">
      <c r="F131" s="13"/>
    </row>
    <row r="138" spans="6:6" x14ac:dyDescent="0.25">
      <c r="F138" s="13"/>
    </row>
    <row r="144" spans="6:6" x14ac:dyDescent="0.25">
      <c r="F144" s="13"/>
    </row>
    <row r="145" spans="6:6" x14ac:dyDescent="0.25">
      <c r="F145" s="1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369</v>
      </c>
      <c r="T1" s="16" t="s">
        <v>370</v>
      </c>
      <c r="U1" s="16" t="s">
        <v>4</v>
      </c>
      <c r="V1" s="16" t="s">
        <v>5</v>
      </c>
      <c r="W1" s="16" t="s">
        <v>46</v>
      </c>
      <c r="X1" s="16" t="s">
        <v>47</v>
      </c>
      <c r="Y1" t="s">
        <v>253</v>
      </c>
      <c r="Z1" t="s">
        <v>371</v>
      </c>
      <c r="AA1" t="s">
        <v>372</v>
      </c>
      <c r="AB1" t="s">
        <v>373</v>
      </c>
      <c r="AC1" t="s">
        <v>374</v>
      </c>
      <c r="AD1" t="s">
        <v>375</v>
      </c>
      <c r="AE1" t="s">
        <v>6</v>
      </c>
    </row>
    <row r="2" spans="1:31" x14ac:dyDescent="0.25">
      <c r="A2" s="19">
        <v>8</v>
      </c>
      <c r="B2" s="19">
        <v>68</v>
      </c>
      <c r="C2" s="19">
        <v>9</v>
      </c>
      <c r="D2" s="19">
        <v>68</v>
      </c>
      <c r="E2" s="19" t="s">
        <v>376</v>
      </c>
      <c r="F2" s="19">
        <v>1</v>
      </c>
      <c r="G2" s="19" t="s">
        <v>376</v>
      </c>
      <c r="H2" s="19">
        <v>1</v>
      </c>
      <c r="I2" s="19" t="s">
        <v>376</v>
      </c>
      <c r="J2" s="19">
        <v>1</v>
      </c>
      <c r="K2" s="19" t="s">
        <v>376</v>
      </c>
      <c r="L2" s="19">
        <v>1</v>
      </c>
      <c r="M2" s="19" t="s">
        <v>376</v>
      </c>
      <c r="N2" s="19">
        <v>1</v>
      </c>
      <c r="O2" s="19" t="s">
        <v>376</v>
      </c>
      <c r="P2" s="19">
        <v>1</v>
      </c>
      <c r="Q2" s="19" t="s">
        <v>376</v>
      </c>
      <c r="R2" s="19">
        <v>1</v>
      </c>
      <c r="S2" s="19" t="s">
        <v>376</v>
      </c>
      <c r="T2" s="16">
        <v>1</v>
      </c>
      <c r="U2" s="16">
        <v>2</v>
      </c>
      <c r="V2" s="16">
        <v>10</v>
      </c>
      <c r="W2" s="16" t="s">
        <v>376</v>
      </c>
      <c r="X2" s="16" t="s">
        <v>376</v>
      </c>
      <c r="Y2" t="s">
        <v>376</v>
      </c>
      <c r="Z2" t="s">
        <v>376</v>
      </c>
      <c r="AA2" t="s">
        <v>376</v>
      </c>
      <c r="AB2" t="s">
        <v>376</v>
      </c>
      <c r="AC2" t="s">
        <v>376</v>
      </c>
      <c r="AD2" t="s">
        <v>376</v>
      </c>
      <c r="AE2">
        <v>2</v>
      </c>
    </row>
    <row r="3" spans="1:31" x14ac:dyDescent="0.25">
      <c r="A3" s="19">
        <v>0.50684931506849318</v>
      </c>
      <c r="B3" s="19">
        <v>37.506849315068493</v>
      </c>
      <c r="C3" s="19">
        <v>0.49315068493150682</v>
      </c>
      <c r="D3" s="19">
        <v>36.493150684931507</v>
      </c>
      <c r="E3" s="19" t="s">
        <v>376</v>
      </c>
      <c r="F3" s="19">
        <v>1</v>
      </c>
      <c r="G3" s="19" t="s">
        <v>376</v>
      </c>
      <c r="H3" s="19">
        <v>1</v>
      </c>
      <c r="I3" s="19" t="s">
        <v>376</v>
      </c>
      <c r="J3" s="19">
        <v>1</v>
      </c>
      <c r="K3" s="19" t="s">
        <v>376</v>
      </c>
      <c r="L3" s="19">
        <v>1</v>
      </c>
      <c r="M3" s="19" t="s">
        <v>376</v>
      </c>
      <c r="N3" s="19">
        <v>1</v>
      </c>
      <c r="O3" s="19" t="s">
        <v>376</v>
      </c>
      <c r="P3" s="19">
        <v>1</v>
      </c>
      <c r="Q3" s="19" t="s">
        <v>376</v>
      </c>
      <c r="R3" s="19">
        <v>1</v>
      </c>
      <c r="S3" s="19" t="s">
        <v>376</v>
      </c>
      <c r="T3" s="16">
        <v>1</v>
      </c>
      <c r="U3" s="16">
        <v>1</v>
      </c>
      <c r="V3" s="16">
        <v>4</v>
      </c>
      <c r="W3" s="16" t="s">
        <v>376</v>
      </c>
      <c r="X3" s="16" t="s">
        <v>376</v>
      </c>
      <c r="Y3" t="s">
        <v>376</v>
      </c>
      <c r="Z3" t="s">
        <v>376</v>
      </c>
      <c r="AA3" t="s">
        <v>376</v>
      </c>
      <c r="AB3" t="s">
        <v>376</v>
      </c>
      <c r="AC3" t="s">
        <v>376</v>
      </c>
      <c r="AD3" t="s">
        <v>376</v>
      </c>
      <c r="AE3">
        <v>2</v>
      </c>
    </row>
    <row r="4" spans="1:31" x14ac:dyDescent="0.25">
      <c r="A4" s="19">
        <v>1</v>
      </c>
      <c r="B4" s="19">
        <v>34</v>
      </c>
      <c r="C4" s="19">
        <v>1</v>
      </c>
      <c r="D4" s="19">
        <v>36</v>
      </c>
      <c r="E4" s="19" t="s">
        <v>376</v>
      </c>
      <c r="F4" s="19">
        <v>1</v>
      </c>
      <c r="G4" s="19" t="s">
        <v>376</v>
      </c>
      <c r="H4" s="19">
        <v>1</v>
      </c>
      <c r="I4" s="19" t="s">
        <v>376</v>
      </c>
      <c r="J4" s="19">
        <v>1</v>
      </c>
      <c r="K4" s="19" t="s">
        <v>376</v>
      </c>
      <c r="L4" s="19">
        <v>1</v>
      </c>
      <c r="M4" s="19" t="s">
        <v>376</v>
      </c>
      <c r="N4" s="19">
        <v>1</v>
      </c>
      <c r="O4" s="19" t="s">
        <v>376</v>
      </c>
      <c r="P4" s="19">
        <v>1</v>
      </c>
      <c r="Q4" s="19" t="s">
        <v>376</v>
      </c>
      <c r="R4" s="19">
        <v>1</v>
      </c>
      <c r="S4" s="19" t="s">
        <v>376</v>
      </c>
      <c r="T4" s="16">
        <v>1</v>
      </c>
      <c r="U4" s="16">
        <v>2</v>
      </c>
      <c r="V4" s="16">
        <v>3</v>
      </c>
      <c r="W4" s="16" t="s">
        <v>376</v>
      </c>
      <c r="X4" s="16" t="s">
        <v>376</v>
      </c>
      <c r="Y4" t="s">
        <v>376</v>
      </c>
      <c r="Z4" t="s">
        <v>376</v>
      </c>
      <c r="AA4" t="s">
        <v>376</v>
      </c>
      <c r="AB4" t="s">
        <v>376</v>
      </c>
      <c r="AC4" t="s">
        <v>376</v>
      </c>
      <c r="AD4" t="s">
        <v>376</v>
      </c>
      <c r="AE4">
        <v>2</v>
      </c>
    </row>
    <row r="5" spans="1:31" x14ac:dyDescent="0.25">
      <c r="A5" s="19">
        <v>1</v>
      </c>
      <c r="B5" s="19">
        <v>50</v>
      </c>
      <c r="C5" s="19">
        <v>1</v>
      </c>
      <c r="D5" s="19">
        <v>52</v>
      </c>
      <c r="E5" s="19" t="s">
        <v>376</v>
      </c>
      <c r="F5" s="19">
        <v>1</v>
      </c>
      <c r="G5" s="19" t="s">
        <v>376</v>
      </c>
      <c r="H5" s="19">
        <v>1</v>
      </c>
      <c r="I5" s="19" t="s">
        <v>376</v>
      </c>
      <c r="J5" s="19">
        <v>1</v>
      </c>
      <c r="K5" s="19" t="s">
        <v>376</v>
      </c>
      <c r="L5" s="19">
        <v>1</v>
      </c>
      <c r="M5" s="19" t="s">
        <v>376</v>
      </c>
      <c r="N5" s="19">
        <v>1</v>
      </c>
      <c r="O5" s="19" t="s">
        <v>376</v>
      </c>
      <c r="P5" s="19">
        <v>1</v>
      </c>
      <c r="Q5" s="19" t="s">
        <v>376</v>
      </c>
      <c r="R5" s="19">
        <v>1</v>
      </c>
      <c r="S5" s="19" t="s">
        <v>376</v>
      </c>
      <c r="T5" s="16">
        <v>1</v>
      </c>
      <c r="U5" s="16">
        <v>2</v>
      </c>
      <c r="V5" s="16">
        <v>3</v>
      </c>
      <c r="W5" s="16" t="s">
        <v>376</v>
      </c>
      <c r="X5" s="16" t="s">
        <v>376</v>
      </c>
      <c r="Y5" t="s">
        <v>376</v>
      </c>
      <c r="Z5" t="s">
        <v>376</v>
      </c>
      <c r="AA5" t="s">
        <v>376</v>
      </c>
      <c r="AB5" t="s">
        <v>376</v>
      </c>
      <c r="AC5" t="s">
        <v>376</v>
      </c>
      <c r="AD5" t="s">
        <v>376</v>
      </c>
      <c r="AE5">
        <v>2</v>
      </c>
    </row>
    <row r="6" spans="1:31" x14ac:dyDescent="0.25">
      <c r="A6" s="19">
        <v>4</v>
      </c>
      <c r="B6" s="19">
        <v>32</v>
      </c>
      <c r="C6" s="19">
        <v>1</v>
      </c>
      <c r="D6" s="19">
        <v>32</v>
      </c>
      <c r="E6" s="19" t="s">
        <v>376</v>
      </c>
      <c r="F6" s="19">
        <v>1</v>
      </c>
      <c r="G6" s="19" t="s">
        <v>376</v>
      </c>
      <c r="H6" s="19">
        <v>1</v>
      </c>
      <c r="I6" s="19" t="s">
        <v>376</v>
      </c>
      <c r="J6" s="19">
        <v>1</v>
      </c>
      <c r="K6" s="19" t="s">
        <v>376</v>
      </c>
      <c r="L6" s="19">
        <v>1</v>
      </c>
      <c r="M6" s="19" t="s">
        <v>376</v>
      </c>
      <c r="N6" s="19">
        <v>1</v>
      </c>
      <c r="O6" s="19" t="s">
        <v>376</v>
      </c>
      <c r="P6" s="19">
        <v>1</v>
      </c>
      <c r="Q6" s="19" t="s">
        <v>376</v>
      </c>
      <c r="R6" s="19">
        <v>1</v>
      </c>
      <c r="S6" s="19" t="s">
        <v>376</v>
      </c>
      <c r="T6" s="16">
        <v>1</v>
      </c>
      <c r="U6" s="16">
        <v>2</v>
      </c>
      <c r="V6" s="16">
        <v>3</v>
      </c>
      <c r="W6" s="16" t="s">
        <v>376</v>
      </c>
      <c r="X6" s="16" t="s">
        <v>376</v>
      </c>
      <c r="Y6" t="s">
        <v>376</v>
      </c>
      <c r="Z6" t="s">
        <v>376</v>
      </c>
      <c r="AA6" t="s">
        <v>376</v>
      </c>
      <c r="AB6" t="s">
        <v>376</v>
      </c>
      <c r="AC6" t="s">
        <v>376</v>
      </c>
      <c r="AD6" t="s">
        <v>376</v>
      </c>
      <c r="AE6">
        <v>2</v>
      </c>
    </row>
    <row r="7" spans="1:31" x14ac:dyDescent="0.25">
      <c r="A7" s="19">
        <v>1</v>
      </c>
      <c r="B7" s="19">
        <v>20</v>
      </c>
      <c r="C7" s="19">
        <v>7</v>
      </c>
      <c r="D7" s="19">
        <v>19</v>
      </c>
      <c r="E7" s="19" t="s">
        <v>376</v>
      </c>
      <c r="F7" s="19">
        <v>1</v>
      </c>
      <c r="G7" s="19" t="s">
        <v>376</v>
      </c>
      <c r="H7" s="19">
        <v>1</v>
      </c>
      <c r="I7" s="19" t="s">
        <v>376</v>
      </c>
      <c r="J7" s="19">
        <v>1</v>
      </c>
      <c r="K7" s="19" t="s">
        <v>376</v>
      </c>
      <c r="L7" s="19">
        <v>1</v>
      </c>
      <c r="M7" s="19" t="s">
        <v>376</v>
      </c>
      <c r="N7" s="19">
        <v>1</v>
      </c>
      <c r="O7" s="19" t="s">
        <v>376</v>
      </c>
      <c r="P7" s="19">
        <v>1</v>
      </c>
      <c r="Q7" s="19" t="s">
        <v>376</v>
      </c>
      <c r="R7" s="19">
        <v>1</v>
      </c>
      <c r="S7" s="19" t="s">
        <v>376</v>
      </c>
      <c r="T7" s="16">
        <v>1</v>
      </c>
      <c r="U7" s="16">
        <v>1</v>
      </c>
      <c r="V7" s="16">
        <v>10</v>
      </c>
      <c r="W7" s="16" t="s">
        <v>376</v>
      </c>
      <c r="X7" s="16" t="s">
        <v>376</v>
      </c>
      <c r="Y7" t="s">
        <v>376</v>
      </c>
      <c r="Z7" t="s">
        <v>376</v>
      </c>
      <c r="AA7" t="s">
        <v>376</v>
      </c>
      <c r="AB7" t="s">
        <v>376</v>
      </c>
      <c r="AC7" t="s">
        <v>376</v>
      </c>
      <c r="AD7" t="s">
        <v>376</v>
      </c>
      <c r="AE7">
        <v>2</v>
      </c>
    </row>
    <row r="8" spans="1:31" x14ac:dyDescent="0.25">
      <c r="A8" s="19">
        <v>4</v>
      </c>
      <c r="B8" s="19">
        <v>32</v>
      </c>
      <c r="C8" s="19">
        <v>2</v>
      </c>
      <c r="D8" s="19">
        <v>31</v>
      </c>
      <c r="E8" s="19" t="s">
        <v>376</v>
      </c>
      <c r="F8" s="19">
        <v>1</v>
      </c>
      <c r="G8" s="19" t="s">
        <v>376</v>
      </c>
      <c r="H8" s="19">
        <v>1</v>
      </c>
      <c r="I8" s="19" t="s">
        <v>376</v>
      </c>
      <c r="J8" s="19">
        <v>1</v>
      </c>
      <c r="K8" s="19" t="s">
        <v>376</v>
      </c>
      <c r="L8" s="19">
        <v>1</v>
      </c>
      <c r="M8" s="19" t="s">
        <v>376</v>
      </c>
      <c r="N8" s="19">
        <v>1</v>
      </c>
      <c r="O8" s="19" t="s">
        <v>376</v>
      </c>
      <c r="P8" s="19">
        <v>1</v>
      </c>
      <c r="Q8" s="19" t="s">
        <v>376</v>
      </c>
      <c r="R8" s="19">
        <v>1</v>
      </c>
      <c r="S8" s="19" t="s">
        <v>376</v>
      </c>
      <c r="T8" s="16">
        <v>1</v>
      </c>
      <c r="U8" s="16">
        <v>2</v>
      </c>
      <c r="V8" s="16">
        <v>8</v>
      </c>
      <c r="W8" s="16" t="s">
        <v>376</v>
      </c>
      <c r="X8" s="16" t="s">
        <v>376</v>
      </c>
      <c r="Y8" t="s">
        <v>376</v>
      </c>
      <c r="Z8" t="s">
        <v>376</v>
      </c>
      <c r="AA8" t="s">
        <v>376</v>
      </c>
      <c r="AB8" t="s">
        <v>376</v>
      </c>
      <c r="AC8" t="s">
        <v>376</v>
      </c>
      <c r="AD8" t="s">
        <v>376</v>
      </c>
      <c r="AE8">
        <v>2</v>
      </c>
    </row>
    <row r="9" spans="1:31" x14ac:dyDescent="0.25">
      <c r="A9" s="19">
        <v>2</v>
      </c>
      <c r="B9" s="19">
        <v>35</v>
      </c>
      <c r="C9" s="19">
        <v>2</v>
      </c>
      <c r="D9" s="19">
        <v>35</v>
      </c>
      <c r="E9" s="19" t="s">
        <v>376</v>
      </c>
      <c r="F9" s="19">
        <v>1</v>
      </c>
      <c r="G9" s="19" t="s">
        <v>376</v>
      </c>
      <c r="H9" s="19">
        <v>1</v>
      </c>
      <c r="I9" s="19" t="s">
        <v>376</v>
      </c>
      <c r="J9" s="19">
        <v>1</v>
      </c>
      <c r="K9" s="19" t="s">
        <v>376</v>
      </c>
      <c r="L9" s="19">
        <v>1</v>
      </c>
      <c r="M9" s="19" t="s">
        <v>376</v>
      </c>
      <c r="N9" s="19">
        <v>1</v>
      </c>
      <c r="O9" s="19" t="s">
        <v>376</v>
      </c>
      <c r="P9" s="19">
        <v>1</v>
      </c>
      <c r="Q9" s="19" t="s">
        <v>376</v>
      </c>
      <c r="R9" s="19">
        <v>1</v>
      </c>
      <c r="S9" s="19" t="s">
        <v>376</v>
      </c>
      <c r="T9" s="16">
        <v>1</v>
      </c>
      <c r="U9" s="16">
        <v>2</v>
      </c>
      <c r="V9" s="16">
        <v>5</v>
      </c>
      <c r="W9" s="16" t="s">
        <v>376</v>
      </c>
      <c r="X9" s="16" t="s">
        <v>376</v>
      </c>
      <c r="Y9" t="s">
        <v>376</v>
      </c>
      <c r="Z9" t="s">
        <v>376</v>
      </c>
      <c r="AA9" t="s">
        <v>376</v>
      </c>
      <c r="AB9" t="s">
        <v>376</v>
      </c>
      <c r="AC9" t="s">
        <v>376</v>
      </c>
      <c r="AD9" t="s">
        <v>376</v>
      </c>
      <c r="AE9">
        <v>2</v>
      </c>
    </row>
    <row r="10" spans="1:31" x14ac:dyDescent="0.25">
      <c r="A10" s="19">
        <v>0</v>
      </c>
      <c r="B10" s="19">
        <v>44</v>
      </c>
      <c r="C10" s="19">
        <v>2</v>
      </c>
      <c r="D10" s="19">
        <v>48</v>
      </c>
      <c r="E10" s="19" t="s">
        <v>376</v>
      </c>
      <c r="F10" s="19">
        <v>1</v>
      </c>
      <c r="G10" s="19" t="s">
        <v>376</v>
      </c>
      <c r="H10" s="19">
        <v>1</v>
      </c>
      <c r="I10" s="19" t="s">
        <v>376</v>
      </c>
      <c r="J10" s="19">
        <v>1</v>
      </c>
      <c r="K10" s="19" t="s">
        <v>376</v>
      </c>
      <c r="L10" s="19">
        <v>1</v>
      </c>
      <c r="M10" s="19" t="s">
        <v>376</v>
      </c>
      <c r="N10" s="19">
        <v>1</v>
      </c>
      <c r="O10" s="19" t="s">
        <v>376</v>
      </c>
      <c r="P10" s="19">
        <v>1</v>
      </c>
      <c r="Q10" s="19" t="s">
        <v>376</v>
      </c>
      <c r="R10" s="19">
        <v>1</v>
      </c>
      <c r="S10" s="19" t="s">
        <v>376</v>
      </c>
      <c r="T10" s="16">
        <v>1</v>
      </c>
      <c r="U10" s="16">
        <v>1</v>
      </c>
      <c r="V10" s="16">
        <v>10</v>
      </c>
      <c r="W10" s="16" t="s">
        <v>376</v>
      </c>
      <c r="X10" s="16" t="s">
        <v>376</v>
      </c>
      <c r="Y10" t="s">
        <v>376</v>
      </c>
      <c r="Z10" t="s">
        <v>376</v>
      </c>
      <c r="AA10" t="s">
        <v>376</v>
      </c>
      <c r="AB10" t="s">
        <v>376</v>
      </c>
      <c r="AC10" t="s">
        <v>376</v>
      </c>
      <c r="AD10" t="s">
        <v>376</v>
      </c>
      <c r="AE10">
        <v>2</v>
      </c>
    </row>
    <row r="11" spans="1:31" x14ac:dyDescent="0.25">
      <c r="A11" s="19">
        <v>11</v>
      </c>
      <c r="B11" s="19">
        <v>56</v>
      </c>
      <c r="C11" s="19">
        <v>3</v>
      </c>
      <c r="D11" s="19">
        <v>55</v>
      </c>
      <c r="E11" s="19" t="s">
        <v>376</v>
      </c>
      <c r="F11" s="19">
        <v>1</v>
      </c>
      <c r="G11" s="19" t="s">
        <v>376</v>
      </c>
      <c r="H11" s="19">
        <v>1</v>
      </c>
      <c r="I11" s="19" t="s">
        <v>376</v>
      </c>
      <c r="J11" s="19">
        <v>1</v>
      </c>
      <c r="K11" s="19" t="s">
        <v>376</v>
      </c>
      <c r="L11" s="19">
        <v>1</v>
      </c>
      <c r="M11" s="19" t="s">
        <v>376</v>
      </c>
      <c r="N11" s="19">
        <v>1</v>
      </c>
      <c r="O11" s="19" t="s">
        <v>376</v>
      </c>
      <c r="P11" s="19">
        <v>1</v>
      </c>
      <c r="Q11" s="19" t="s">
        <v>376</v>
      </c>
      <c r="R11" s="19">
        <v>1</v>
      </c>
      <c r="S11" s="19" t="s">
        <v>376</v>
      </c>
      <c r="T11" s="16">
        <v>1</v>
      </c>
      <c r="U11" s="16">
        <v>2</v>
      </c>
      <c r="V11" s="16">
        <v>7</v>
      </c>
      <c r="W11" s="16" t="s">
        <v>376</v>
      </c>
      <c r="X11" s="16" t="s">
        <v>376</v>
      </c>
      <c r="Y11" t="s">
        <v>376</v>
      </c>
      <c r="Z11" t="s">
        <v>376</v>
      </c>
      <c r="AA11" t="s">
        <v>376</v>
      </c>
      <c r="AB11" t="s">
        <v>376</v>
      </c>
      <c r="AC11" t="s">
        <v>376</v>
      </c>
      <c r="AD11" t="s">
        <v>376</v>
      </c>
      <c r="AE11">
        <v>2</v>
      </c>
    </row>
    <row r="12" spans="1:31" x14ac:dyDescent="0.25">
      <c r="A12" s="19">
        <v>13</v>
      </c>
      <c r="B12" s="19">
        <v>69</v>
      </c>
      <c r="C12" s="19">
        <v>8</v>
      </c>
      <c r="D12" s="19">
        <v>71</v>
      </c>
      <c r="E12" s="19" t="s">
        <v>376</v>
      </c>
      <c r="F12" s="19">
        <v>1</v>
      </c>
      <c r="G12" s="19" t="s">
        <v>376</v>
      </c>
      <c r="H12" s="19">
        <v>1</v>
      </c>
      <c r="I12" s="19" t="s">
        <v>376</v>
      </c>
      <c r="J12" s="19">
        <v>1</v>
      </c>
      <c r="K12" s="19" t="s">
        <v>376</v>
      </c>
      <c r="L12" s="19">
        <v>1</v>
      </c>
      <c r="M12" s="19" t="s">
        <v>376</v>
      </c>
      <c r="N12" s="19">
        <v>1</v>
      </c>
      <c r="O12" s="19" t="s">
        <v>376</v>
      </c>
      <c r="P12" s="19">
        <v>1</v>
      </c>
      <c r="Q12" s="19" t="s">
        <v>376</v>
      </c>
      <c r="R12" s="19">
        <v>1</v>
      </c>
      <c r="S12" s="19" t="s">
        <v>376</v>
      </c>
      <c r="T12" s="16">
        <v>1</v>
      </c>
      <c r="U12" s="16">
        <v>1</v>
      </c>
      <c r="V12" s="16">
        <v>9</v>
      </c>
      <c r="W12" s="16" t="s">
        <v>376</v>
      </c>
      <c r="X12" s="16" t="s">
        <v>376</v>
      </c>
      <c r="Y12" t="s">
        <v>376</v>
      </c>
      <c r="Z12" t="s">
        <v>376</v>
      </c>
      <c r="AA12" t="s">
        <v>376</v>
      </c>
      <c r="AB12" t="s">
        <v>376</v>
      </c>
      <c r="AC12" t="s">
        <v>376</v>
      </c>
      <c r="AD12" t="s">
        <v>376</v>
      </c>
      <c r="AE12">
        <v>2</v>
      </c>
    </row>
    <row r="13" spans="1:31" x14ac:dyDescent="0.25">
      <c r="A13" s="19">
        <v>4</v>
      </c>
      <c r="B13" s="19">
        <v>24</v>
      </c>
      <c r="C13" s="19">
        <v>13</v>
      </c>
      <c r="D13" s="19">
        <v>23</v>
      </c>
      <c r="E13" s="19" t="s">
        <v>376</v>
      </c>
      <c r="F13" s="19">
        <v>1</v>
      </c>
      <c r="G13" s="19" t="s">
        <v>376</v>
      </c>
      <c r="H13" s="19">
        <v>1</v>
      </c>
      <c r="I13" s="19" t="s">
        <v>376</v>
      </c>
      <c r="J13" s="19">
        <v>1</v>
      </c>
      <c r="K13" s="19" t="s">
        <v>376</v>
      </c>
      <c r="L13" s="19">
        <v>1</v>
      </c>
      <c r="M13" s="19" t="s">
        <v>376</v>
      </c>
      <c r="N13" s="19">
        <v>1</v>
      </c>
      <c r="O13" s="19" t="s">
        <v>376</v>
      </c>
      <c r="P13" s="19">
        <v>1</v>
      </c>
      <c r="Q13" s="19" t="s">
        <v>376</v>
      </c>
      <c r="R13" s="19">
        <v>1</v>
      </c>
      <c r="S13" s="19" t="s">
        <v>376</v>
      </c>
      <c r="T13" s="16">
        <v>1</v>
      </c>
      <c r="U13" s="16">
        <v>9</v>
      </c>
      <c r="V13" s="16">
        <v>10</v>
      </c>
      <c r="W13" s="16" t="s">
        <v>376</v>
      </c>
      <c r="X13" s="16" t="s">
        <v>376</v>
      </c>
      <c r="Y13" t="s">
        <v>376</v>
      </c>
      <c r="Z13" t="s">
        <v>376</v>
      </c>
      <c r="AA13" t="s">
        <v>376</v>
      </c>
      <c r="AB13" t="s">
        <v>376</v>
      </c>
      <c r="AC13" t="s">
        <v>376</v>
      </c>
      <c r="AD13" t="s">
        <v>376</v>
      </c>
      <c r="AE13">
        <v>2</v>
      </c>
    </row>
    <row r="14" spans="1:31" x14ac:dyDescent="0.25">
      <c r="A14" s="19">
        <v>2</v>
      </c>
      <c r="B14" s="19">
        <v>12</v>
      </c>
      <c r="C14" s="19">
        <v>5</v>
      </c>
      <c r="D14" s="19">
        <v>11</v>
      </c>
      <c r="E14" s="19" t="s">
        <v>376</v>
      </c>
      <c r="F14" s="19">
        <v>1</v>
      </c>
      <c r="G14" s="19" t="s">
        <v>376</v>
      </c>
      <c r="H14" s="19">
        <v>1</v>
      </c>
      <c r="I14" s="19" t="s">
        <v>376</v>
      </c>
      <c r="J14" s="19">
        <v>1</v>
      </c>
      <c r="K14" s="19" t="s">
        <v>376</v>
      </c>
      <c r="L14" s="19">
        <v>1</v>
      </c>
      <c r="M14" s="19" t="s">
        <v>376</v>
      </c>
      <c r="N14" s="19">
        <v>1</v>
      </c>
      <c r="O14" s="19" t="s">
        <v>376</v>
      </c>
      <c r="P14" s="19">
        <v>1</v>
      </c>
      <c r="Q14" s="19" t="s">
        <v>376</v>
      </c>
      <c r="R14" s="19">
        <v>1</v>
      </c>
      <c r="S14" s="19" t="s">
        <v>376</v>
      </c>
      <c r="T14" s="16">
        <v>1</v>
      </c>
      <c r="U14" s="16">
        <v>9</v>
      </c>
      <c r="V14" s="16">
        <v>10</v>
      </c>
      <c r="W14" s="16" t="s">
        <v>376</v>
      </c>
      <c r="X14" s="16" t="s">
        <v>376</v>
      </c>
      <c r="Y14" t="s">
        <v>376</v>
      </c>
      <c r="Z14" t="s">
        <v>376</v>
      </c>
      <c r="AA14" t="s">
        <v>376</v>
      </c>
      <c r="AB14" t="s">
        <v>376</v>
      </c>
      <c r="AC14" t="s">
        <v>376</v>
      </c>
      <c r="AD14" t="s">
        <v>376</v>
      </c>
      <c r="AE14">
        <v>2</v>
      </c>
    </row>
    <row r="15" spans="1:31" x14ac:dyDescent="0.25">
      <c r="A15" s="19">
        <v>2</v>
      </c>
      <c r="B15" s="19">
        <v>40</v>
      </c>
      <c r="C15" s="19">
        <v>1</v>
      </c>
      <c r="D15" s="19">
        <v>40</v>
      </c>
      <c r="E15" s="19" t="s">
        <v>376</v>
      </c>
      <c r="F15" s="19">
        <v>1</v>
      </c>
      <c r="G15" s="19" t="s">
        <v>376</v>
      </c>
      <c r="H15" s="19">
        <v>1</v>
      </c>
      <c r="I15" s="19" t="s">
        <v>376</v>
      </c>
      <c r="J15" s="19">
        <v>1</v>
      </c>
      <c r="K15" s="19" t="s">
        <v>376</v>
      </c>
      <c r="L15" s="19">
        <v>1</v>
      </c>
      <c r="M15" s="19" t="s">
        <v>376</v>
      </c>
      <c r="N15" s="19">
        <v>1</v>
      </c>
      <c r="O15" s="19" t="s">
        <v>376</v>
      </c>
      <c r="P15" s="19">
        <v>1</v>
      </c>
      <c r="Q15" s="19" t="s">
        <v>376</v>
      </c>
      <c r="R15" s="19">
        <v>1</v>
      </c>
      <c r="S15" s="19" t="s">
        <v>376</v>
      </c>
      <c r="T15" s="16">
        <v>1</v>
      </c>
      <c r="U15" s="16">
        <v>3</v>
      </c>
      <c r="V15" s="16">
        <v>4</v>
      </c>
      <c r="W15" s="16" t="s">
        <v>376</v>
      </c>
      <c r="X15" s="16" t="s">
        <v>376</v>
      </c>
      <c r="Y15" t="s">
        <v>376</v>
      </c>
      <c r="Z15" t="s">
        <v>376</v>
      </c>
      <c r="AA15" t="s">
        <v>376</v>
      </c>
      <c r="AB15" t="s">
        <v>376</v>
      </c>
      <c r="AC15" t="s">
        <v>376</v>
      </c>
      <c r="AD15" t="s">
        <v>376</v>
      </c>
      <c r="AE15">
        <v>2</v>
      </c>
    </row>
    <row r="16" spans="1:31" x14ac:dyDescent="0.25">
      <c r="A16" s="19">
        <v>3</v>
      </c>
      <c r="B16" s="19">
        <v>20</v>
      </c>
      <c r="C16" s="19">
        <v>2</v>
      </c>
      <c r="D16" s="19">
        <v>20</v>
      </c>
      <c r="E16" s="19" t="s">
        <v>376</v>
      </c>
      <c r="F16" s="19">
        <v>1</v>
      </c>
      <c r="G16" s="19" t="s">
        <v>376</v>
      </c>
      <c r="H16" s="19">
        <v>1</v>
      </c>
      <c r="I16" s="19" t="s">
        <v>376</v>
      </c>
      <c r="J16" s="19">
        <v>1</v>
      </c>
      <c r="K16" s="19" t="s">
        <v>376</v>
      </c>
      <c r="L16" s="19">
        <v>1</v>
      </c>
      <c r="M16" s="19" t="s">
        <v>376</v>
      </c>
      <c r="N16" s="19">
        <v>1</v>
      </c>
      <c r="O16" s="19" t="s">
        <v>376</v>
      </c>
      <c r="P16" s="19">
        <v>1</v>
      </c>
      <c r="Q16" s="19" t="s">
        <v>376</v>
      </c>
      <c r="R16" s="19">
        <v>1</v>
      </c>
      <c r="S16" s="19" t="s">
        <v>376</v>
      </c>
      <c r="T16" s="16">
        <v>1</v>
      </c>
      <c r="U16" s="16">
        <v>1</v>
      </c>
      <c r="V16" s="16">
        <v>2</v>
      </c>
      <c r="W16" s="16" t="s">
        <v>376</v>
      </c>
      <c r="X16" s="16" t="s">
        <v>376</v>
      </c>
      <c r="Y16" t="s">
        <v>376</v>
      </c>
      <c r="Z16" t="s">
        <v>376</v>
      </c>
      <c r="AA16" t="s">
        <v>376</v>
      </c>
      <c r="AB16" t="s">
        <v>376</v>
      </c>
      <c r="AC16" t="s">
        <v>376</v>
      </c>
      <c r="AD16" t="s">
        <v>376</v>
      </c>
      <c r="AE16">
        <v>2</v>
      </c>
    </row>
    <row r="17" spans="1:31" x14ac:dyDescent="0.25">
      <c r="A17" s="19">
        <v>0</v>
      </c>
      <c r="B17" s="19">
        <v>15</v>
      </c>
      <c r="C17" s="19">
        <v>3</v>
      </c>
      <c r="D17" s="19">
        <v>18</v>
      </c>
      <c r="E17" s="19" t="s">
        <v>376</v>
      </c>
      <c r="F17" s="19">
        <v>1</v>
      </c>
      <c r="G17" s="19" t="s">
        <v>376</v>
      </c>
      <c r="H17" s="19">
        <v>1</v>
      </c>
      <c r="I17" s="19" t="s">
        <v>376</v>
      </c>
      <c r="J17" s="19">
        <v>1</v>
      </c>
      <c r="K17" s="19" t="s">
        <v>376</v>
      </c>
      <c r="L17" s="19">
        <v>1</v>
      </c>
      <c r="M17" s="19" t="s">
        <v>376</v>
      </c>
      <c r="N17" s="19">
        <v>1</v>
      </c>
      <c r="O17" s="19" t="s">
        <v>376</v>
      </c>
      <c r="P17" s="19">
        <v>1</v>
      </c>
      <c r="Q17" s="19" t="s">
        <v>376</v>
      </c>
      <c r="R17" s="19">
        <v>1</v>
      </c>
      <c r="S17" s="19" t="s">
        <v>376</v>
      </c>
      <c r="T17" s="16">
        <v>1</v>
      </c>
      <c r="U17" s="16">
        <v>1</v>
      </c>
      <c r="V17" s="16">
        <v>2</v>
      </c>
      <c r="W17" s="16" t="s">
        <v>376</v>
      </c>
      <c r="X17" s="16" t="s">
        <v>376</v>
      </c>
      <c r="Y17" t="s">
        <v>376</v>
      </c>
      <c r="Z17" t="s">
        <v>376</v>
      </c>
      <c r="AA17" t="s">
        <v>376</v>
      </c>
      <c r="AB17" t="s">
        <v>376</v>
      </c>
      <c r="AC17" t="s">
        <v>376</v>
      </c>
      <c r="AD17" t="s">
        <v>376</v>
      </c>
      <c r="AE17">
        <v>2</v>
      </c>
    </row>
    <row r="18" spans="1:31" x14ac:dyDescent="0.25">
      <c r="A18" s="19">
        <v>2</v>
      </c>
      <c r="B18" s="19">
        <v>15</v>
      </c>
      <c r="C18" s="19">
        <v>2</v>
      </c>
      <c r="D18" s="19">
        <v>15</v>
      </c>
      <c r="E18" s="19" t="s">
        <v>376</v>
      </c>
      <c r="F18" s="19">
        <v>1</v>
      </c>
      <c r="G18" s="19" t="s">
        <v>376</v>
      </c>
      <c r="H18" s="19">
        <v>1</v>
      </c>
      <c r="I18" s="19" t="s">
        <v>376</v>
      </c>
      <c r="J18" s="19">
        <v>1</v>
      </c>
      <c r="K18" s="19" t="s">
        <v>376</v>
      </c>
      <c r="L18" s="19">
        <v>1</v>
      </c>
      <c r="M18" s="19" t="s">
        <v>376</v>
      </c>
      <c r="N18" s="19">
        <v>1</v>
      </c>
      <c r="O18" s="19" t="s">
        <v>376</v>
      </c>
      <c r="P18" s="19">
        <v>1</v>
      </c>
      <c r="Q18" s="19" t="s">
        <v>376</v>
      </c>
      <c r="R18" s="19">
        <v>1</v>
      </c>
      <c r="S18" s="19" t="s">
        <v>376</v>
      </c>
      <c r="T18" s="16">
        <v>1</v>
      </c>
      <c r="U18" s="16">
        <v>9</v>
      </c>
      <c r="V18" s="16">
        <v>10</v>
      </c>
      <c r="W18" s="16" t="s">
        <v>376</v>
      </c>
      <c r="X18" s="16" t="s">
        <v>376</v>
      </c>
      <c r="Y18" t="s">
        <v>376</v>
      </c>
      <c r="Z18" t="s">
        <v>376</v>
      </c>
      <c r="AA18" t="s">
        <v>376</v>
      </c>
      <c r="AB18" t="s">
        <v>376</v>
      </c>
      <c r="AC18" t="s">
        <v>376</v>
      </c>
      <c r="AD18" t="s">
        <v>376</v>
      </c>
      <c r="AE18">
        <v>2</v>
      </c>
    </row>
    <row r="19" spans="1:31" x14ac:dyDescent="0.25">
      <c r="A19" s="19">
        <v>1</v>
      </c>
      <c r="B19" s="19">
        <v>31</v>
      </c>
      <c r="C19" s="19">
        <v>0</v>
      </c>
      <c r="D19" s="19">
        <v>31</v>
      </c>
      <c r="E19" s="19" t="s">
        <v>376</v>
      </c>
      <c r="F19" s="19">
        <v>1</v>
      </c>
      <c r="G19" s="19" t="s">
        <v>376</v>
      </c>
      <c r="H19" s="19">
        <v>1</v>
      </c>
      <c r="I19" s="19" t="s">
        <v>376</v>
      </c>
      <c r="J19" s="19">
        <v>1</v>
      </c>
      <c r="K19" s="19" t="s">
        <v>376</v>
      </c>
      <c r="L19" s="19">
        <v>1</v>
      </c>
      <c r="M19" s="19" t="s">
        <v>376</v>
      </c>
      <c r="N19" s="19">
        <v>1</v>
      </c>
      <c r="O19" s="19" t="s">
        <v>376</v>
      </c>
      <c r="P19" s="19">
        <v>1</v>
      </c>
      <c r="Q19" s="19" t="s">
        <v>376</v>
      </c>
      <c r="R19" s="19">
        <v>1</v>
      </c>
      <c r="S19" s="19" t="s">
        <v>376</v>
      </c>
      <c r="T19" s="16">
        <v>1</v>
      </c>
      <c r="U19" s="16">
        <v>3</v>
      </c>
      <c r="V19" s="16">
        <v>10</v>
      </c>
      <c r="W19" s="16" t="s">
        <v>376</v>
      </c>
      <c r="X19" s="16" t="s">
        <v>376</v>
      </c>
      <c r="Y19" t="s">
        <v>376</v>
      </c>
      <c r="Z19" t="s">
        <v>376</v>
      </c>
      <c r="AA19" t="s">
        <v>376</v>
      </c>
      <c r="AB19" t="s">
        <v>376</v>
      </c>
      <c r="AC19" t="s">
        <v>376</v>
      </c>
      <c r="AD19" t="s">
        <v>376</v>
      </c>
      <c r="AE19">
        <v>2</v>
      </c>
    </row>
    <row r="20" spans="1:31" x14ac:dyDescent="0.25">
      <c r="A20" s="19">
        <v>5</v>
      </c>
      <c r="B20" s="19">
        <v>59</v>
      </c>
      <c r="C20" s="19">
        <v>4</v>
      </c>
      <c r="D20" s="19">
        <v>60</v>
      </c>
      <c r="E20" s="19" t="s">
        <v>376</v>
      </c>
      <c r="F20" s="19">
        <v>1</v>
      </c>
      <c r="G20" s="19" t="s">
        <v>376</v>
      </c>
      <c r="H20" s="19">
        <v>1</v>
      </c>
      <c r="I20" s="19" t="s">
        <v>376</v>
      </c>
      <c r="J20" s="19">
        <v>1</v>
      </c>
      <c r="K20" s="19" t="s">
        <v>376</v>
      </c>
      <c r="L20" s="19">
        <v>1</v>
      </c>
      <c r="M20" s="19" t="s">
        <v>376</v>
      </c>
      <c r="N20" s="19">
        <v>1</v>
      </c>
      <c r="O20" s="19" t="s">
        <v>376</v>
      </c>
      <c r="P20" s="19">
        <v>1</v>
      </c>
      <c r="Q20" s="19" t="s">
        <v>376</v>
      </c>
      <c r="R20" s="19">
        <v>1</v>
      </c>
      <c r="S20" s="19" t="s">
        <v>376</v>
      </c>
      <c r="T20" s="16">
        <v>1</v>
      </c>
      <c r="U20" s="16">
        <v>1</v>
      </c>
      <c r="V20" s="16">
        <v>2</v>
      </c>
      <c r="W20" s="16" t="s">
        <v>376</v>
      </c>
      <c r="X20" s="16" t="s">
        <v>376</v>
      </c>
      <c r="Y20" t="s">
        <v>376</v>
      </c>
      <c r="Z20" t="s">
        <v>376</v>
      </c>
      <c r="AA20" t="s">
        <v>376</v>
      </c>
      <c r="AB20" t="s">
        <v>376</v>
      </c>
      <c r="AC20" t="s">
        <v>376</v>
      </c>
      <c r="AD20" t="s">
        <v>376</v>
      </c>
      <c r="AE20">
        <v>2</v>
      </c>
    </row>
    <row r="21" spans="1:31" x14ac:dyDescent="0.25">
      <c r="A21" s="19">
        <v>9</v>
      </c>
      <c r="B21" s="19">
        <v>74</v>
      </c>
      <c r="C21" s="19">
        <v>10</v>
      </c>
      <c r="D21" s="19">
        <v>74</v>
      </c>
      <c r="E21" s="19" t="s">
        <v>376</v>
      </c>
      <c r="F21" s="19">
        <v>1</v>
      </c>
      <c r="G21" s="19" t="s">
        <v>376</v>
      </c>
      <c r="H21" s="19">
        <v>1</v>
      </c>
      <c r="I21" s="19" t="s">
        <v>376</v>
      </c>
      <c r="J21" s="19">
        <v>1</v>
      </c>
      <c r="K21" s="19" t="s">
        <v>376</v>
      </c>
      <c r="L21" s="19">
        <v>1</v>
      </c>
      <c r="M21" s="19" t="s">
        <v>376</v>
      </c>
      <c r="N21" s="19">
        <v>1</v>
      </c>
      <c r="O21" s="19" t="s">
        <v>376</v>
      </c>
      <c r="P21" s="19">
        <v>1</v>
      </c>
      <c r="Q21" s="19" t="s">
        <v>376</v>
      </c>
      <c r="R21" s="19">
        <v>1</v>
      </c>
      <c r="S21" s="19" t="s">
        <v>376</v>
      </c>
      <c r="T21" s="16">
        <v>1</v>
      </c>
      <c r="U21" s="16">
        <v>1</v>
      </c>
      <c r="V21" s="16">
        <v>2</v>
      </c>
      <c r="W21" s="16" t="s">
        <v>376</v>
      </c>
      <c r="X21" s="16" t="s">
        <v>376</v>
      </c>
      <c r="Y21" t="s">
        <v>376</v>
      </c>
      <c r="Z21" t="s">
        <v>376</v>
      </c>
      <c r="AA21" t="s">
        <v>376</v>
      </c>
      <c r="AB21" t="s">
        <v>376</v>
      </c>
      <c r="AC21" t="s">
        <v>376</v>
      </c>
      <c r="AD21" t="s">
        <v>376</v>
      </c>
      <c r="AE21">
        <v>2</v>
      </c>
    </row>
    <row r="22" spans="1:31" x14ac:dyDescent="0.25">
      <c r="A22" s="19">
        <v>12</v>
      </c>
      <c r="B22" s="19">
        <v>48</v>
      </c>
      <c r="C22" s="19">
        <v>7</v>
      </c>
      <c r="D22" s="19">
        <v>35</v>
      </c>
      <c r="E22" s="19" t="s">
        <v>376</v>
      </c>
      <c r="F22" s="19">
        <v>1</v>
      </c>
      <c r="G22" s="19" t="s">
        <v>376</v>
      </c>
      <c r="H22" s="19">
        <v>1</v>
      </c>
      <c r="I22" s="19" t="s">
        <v>376</v>
      </c>
      <c r="J22" s="19">
        <v>1</v>
      </c>
      <c r="K22" s="19" t="s">
        <v>376</v>
      </c>
      <c r="L22" s="19">
        <v>1</v>
      </c>
      <c r="M22" s="19" t="s">
        <v>376</v>
      </c>
      <c r="N22" s="19">
        <v>1</v>
      </c>
      <c r="O22" s="19" t="s">
        <v>376</v>
      </c>
      <c r="P22" s="19">
        <v>1</v>
      </c>
      <c r="Q22" s="19" t="s">
        <v>376</v>
      </c>
      <c r="R22" s="19">
        <v>1</v>
      </c>
      <c r="S22" s="19" t="s">
        <v>376</v>
      </c>
      <c r="T22" s="16">
        <v>1</v>
      </c>
      <c r="U22" s="16">
        <v>3</v>
      </c>
      <c r="V22" s="16">
        <v>9</v>
      </c>
      <c r="W22" s="16" t="s">
        <v>376</v>
      </c>
      <c r="X22" s="16" t="s">
        <v>376</v>
      </c>
      <c r="Y22" t="s">
        <v>376</v>
      </c>
      <c r="Z22" t="s">
        <v>376</v>
      </c>
      <c r="AA22" t="s">
        <v>376</v>
      </c>
      <c r="AB22" t="s">
        <v>376</v>
      </c>
      <c r="AC22" t="s">
        <v>376</v>
      </c>
      <c r="AD22" t="s">
        <v>376</v>
      </c>
      <c r="AE22">
        <v>2</v>
      </c>
    </row>
    <row r="23" spans="1:31" x14ac:dyDescent="0.25">
      <c r="A23" s="19">
        <v>4</v>
      </c>
      <c r="B23" s="19">
        <v>22</v>
      </c>
      <c r="C23" s="19">
        <v>13</v>
      </c>
      <c r="D23" s="19">
        <v>21</v>
      </c>
      <c r="E23" s="19" t="s">
        <v>376</v>
      </c>
      <c r="F23" s="19">
        <v>1</v>
      </c>
      <c r="G23" s="19" t="s">
        <v>376</v>
      </c>
      <c r="H23" s="19">
        <v>1</v>
      </c>
      <c r="I23" s="19" t="s">
        <v>376</v>
      </c>
      <c r="J23" s="19">
        <v>1</v>
      </c>
      <c r="K23" s="19" t="s">
        <v>376</v>
      </c>
      <c r="L23" s="19">
        <v>1</v>
      </c>
      <c r="M23" s="19" t="s">
        <v>376</v>
      </c>
      <c r="N23" s="19">
        <v>1</v>
      </c>
      <c r="O23" s="19" t="s">
        <v>376</v>
      </c>
      <c r="P23" s="19">
        <v>1</v>
      </c>
      <c r="Q23" s="19" t="s">
        <v>376</v>
      </c>
      <c r="R23" s="19">
        <v>1</v>
      </c>
      <c r="S23" s="19" t="s">
        <v>376</v>
      </c>
      <c r="T23" s="16">
        <v>1</v>
      </c>
      <c r="U23" s="16">
        <v>9</v>
      </c>
      <c r="V23" s="16">
        <v>10</v>
      </c>
      <c r="W23" s="16" t="s">
        <v>376</v>
      </c>
      <c r="X23" s="16" t="s">
        <v>376</v>
      </c>
      <c r="Y23" t="s">
        <v>376</v>
      </c>
      <c r="Z23" t="s">
        <v>376</v>
      </c>
      <c r="AA23" t="s">
        <v>376</v>
      </c>
      <c r="AB23" t="s">
        <v>376</v>
      </c>
      <c r="AC23" t="s">
        <v>376</v>
      </c>
      <c r="AD23" t="s">
        <v>376</v>
      </c>
      <c r="AE23">
        <v>2</v>
      </c>
    </row>
    <row r="24" spans="1:31" x14ac:dyDescent="0.25">
      <c r="A24" s="19">
        <v>7.5</v>
      </c>
      <c r="B24" s="19">
        <v>30.5</v>
      </c>
      <c r="C24" s="19">
        <v>0.5</v>
      </c>
      <c r="D24" s="19">
        <v>30.5</v>
      </c>
      <c r="E24" s="19" t="s">
        <v>376</v>
      </c>
      <c r="F24" s="19">
        <v>1</v>
      </c>
      <c r="G24" s="19" t="s">
        <v>376</v>
      </c>
      <c r="H24" s="19">
        <v>1</v>
      </c>
      <c r="I24" s="19" t="s">
        <v>376</v>
      </c>
      <c r="J24" s="19">
        <v>1</v>
      </c>
      <c r="K24" s="19" t="s">
        <v>376</v>
      </c>
      <c r="L24" s="19">
        <v>1</v>
      </c>
      <c r="M24" s="19" t="s">
        <v>376</v>
      </c>
      <c r="N24" s="19">
        <v>1</v>
      </c>
      <c r="O24" s="19" t="s">
        <v>376</v>
      </c>
      <c r="P24" s="19">
        <v>1</v>
      </c>
      <c r="Q24" s="19" t="s">
        <v>376</v>
      </c>
      <c r="R24" s="19">
        <v>1</v>
      </c>
      <c r="S24" s="19" t="s">
        <v>376</v>
      </c>
      <c r="T24" s="16">
        <v>1</v>
      </c>
      <c r="U24" s="16">
        <v>3</v>
      </c>
      <c r="V24" s="16">
        <v>6</v>
      </c>
      <c r="W24" s="16" t="s">
        <v>376</v>
      </c>
      <c r="X24" s="16" t="s">
        <v>376</v>
      </c>
      <c r="Y24" t="s">
        <v>376</v>
      </c>
      <c r="Z24" t="s">
        <v>376</v>
      </c>
      <c r="AA24" t="s">
        <v>376</v>
      </c>
      <c r="AB24" t="s">
        <v>376</v>
      </c>
      <c r="AC24" t="s">
        <v>376</v>
      </c>
      <c r="AD24" t="s">
        <v>376</v>
      </c>
      <c r="AE24">
        <v>2</v>
      </c>
    </row>
    <row r="25" spans="1:31" x14ac:dyDescent="0.25">
      <c r="A25" s="19">
        <v>1</v>
      </c>
      <c r="B25" s="19">
        <v>28</v>
      </c>
      <c r="C25" s="19">
        <v>0</v>
      </c>
      <c r="D25" s="19">
        <v>27</v>
      </c>
      <c r="E25" s="19" t="s">
        <v>376</v>
      </c>
      <c r="F25" s="19">
        <v>1</v>
      </c>
      <c r="G25" s="19" t="s">
        <v>376</v>
      </c>
      <c r="H25" s="19">
        <v>1</v>
      </c>
      <c r="I25" s="19" t="s">
        <v>376</v>
      </c>
      <c r="J25" s="19">
        <v>1</v>
      </c>
      <c r="K25" s="19" t="s">
        <v>376</v>
      </c>
      <c r="L25" s="19">
        <v>1</v>
      </c>
      <c r="M25" s="19" t="s">
        <v>376</v>
      </c>
      <c r="N25" s="19">
        <v>1</v>
      </c>
      <c r="O25" s="19" t="s">
        <v>376</v>
      </c>
      <c r="P25" s="19">
        <v>1</v>
      </c>
      <c r="Q25" s="19" t="s">
        <v>376</v>
      </c>
      <c r="R25" s="19">
        <v>1</v>
      </c>
      <c r="S25" s="19" t="s">
        <v>376</v>
      </c>
      <c r="T25" s="16">
        <v>1</v>
      </c>
      <c r="U25" s="16">
        <v>1</v>
      </c>
      <c r="V25" s="16">
        <v>10</v>
      </c>
      <c r="W25" s="16" t="s">
        <v>376</v>
      </c>
      <c r="X25" s="16" t="s">
        <v>376</v>
      </c>
      <c r="Y25" t="s">
        <v>376</v>
      </c>
      <c r="Z25" t="s">
        <v>376</v>
      </c>
      <c r="AA25" t="s">
        <v>376</v>
      </c>
      <c r="AB25" t="s">
        <v>376</v>
      </c>
      <c r="AC25" t="s">
        <v>376</v>
      </c>
      <c r="AD25" t="s">
        <v>376</v>
      </c>
      <c r="AE25">
        <v>2</v>
      </c>
    </row>
    <row r="26" spans="1:31" x14ac:dyDescent="0.25">
      <c r="A26" s="19">
        <v>2</v>
      </c>
      <c r="B26" s="19">
        <v>24</v>
      </c>
      <c r="C26" s="19">
        <v>4</v>
      </c>
      <c r="D26" s="19">
        <v>23</v>
      </c>
      <c r="E26" s="19" t="s">
        <v>376</v>
      </c>
      <c r="F26" s="19">
        <v>1</v>
      </c>
      <c r="G26" s="19" t="s">
        <v>376</v>
      </c>
      <c r="H26" s="19">
        <v>1</v>
      </c>
      <c r="I26" s="19" t="s">
        <v>376</v>
      </c>
      <c r="J26" s="19">
        <v>1</v>
      </c>
      <c r="K26" s="19" t="s">
        <v>376</v>
      </c>
      <c r="L26" s="19">
        <v>1</v>
      </c>
      <c r="M26" s="19" t="s">
        <v>376</v>
      </c>
      <c r="N26" s="19">
        <v>1</v>
      </c>
      <c r="O26" s="19" t="s">
        <v>376</v>
      </c>
      <c r="P26" s="19">
        <v>1</v>
      </c>
      <c r="Q26" s="19" t="s">
        <v>376</v>
      </c>
      <c r="R26" s="19">
        <v>1</v>
      </c>
      <c r="S26" s="19" t="s">
        <v>376</v>
      </c>
      <c r="T26" s="16">
        <v>1</v>
      </c>
      <c r="U26" s="16">
        <v>1</v>
      </c>
      <c r="V26" s="16">
        <v>2</v>
      </c>
      <c r="W26" s="16" t="s">
        <v>376</v>
      </c>
      <c r="X26" s="16" t="s">
        <v>376</v>
      </c>
      <c r="Y26" t="s">
        <v>376</v>
      </c>
      <c r="Z26" t="s">
        <v>376</v>
      </c>
      <c r="AA26" t="s">
        <v>376</v>
      </c>
      <c r="AB26" t="s">
        <v>376</v>
      </c>
      <c r="AC26" t="s">
        <v>376</v>
      </c>
      <c r="AD26" t="s">
        <v>376</v>
      </c>
      <c r="AE26">
        <v>2</v>
      </c>
    </row>
    <row r="27" spans="1:31" x14ac:dyDescent="0.25">
      <c r="A27" s="19">
        <v>0</v>
      </c>
      <c r="B27" s="19">
        <v>19</v>
      </c>
      <c r="C27" s="19">
        <v>2</v>
      </c>
      <c r="D27" s="19">
        <v>16</v>
      </c>
      <c r="E27" s="19" t="s">
        <v>376</v>
      </c>
      <c r="F27" s="19">
        <v>1</v>
      </c>
      <c r="G27" s="19" t="s">
        <v>376</v>
      </c>
      <c r="H27" s="19">
        <v>1</v>
      </c>
      <c r="I27" s="19" t="s">
        <v>376</v>
      </c>
      <c r="J27" s="19">
        <v>1</v>
      </c>
      <c r="K27" s="19" t="s">
        <v>376</v>
      </c>
      <c r="L27" s="19">
        <v>1</v>
      </c>
      <c r="M27" s="19" t="s">
        <v>376</v>
      </c>
      <c r="N27" s="19">
        <v>1</v>
      </c>
      <c r="O27" s="19" t="s">
        <v>376</v>
      </c>
      <c r="P27" s="19">
        <v>1</v>
      </c>
      <c r="Q27" s="19" t="s">
        <v>376</v>
      </c>
      <c r="R27" s="19">
        <v>1</v>
      </c>
      <c r="S27" s="19" t="s">
        <v>376</v>
      </c>
      <c r="T27" s="16">
        <v>1</v>
      </c>
      <c r="U27" s="16">
        <v>1</v>
      </c>
      <c r="V27" s="16">
        <v>2</v>
      </c>
      <c r="W27" s="16" t="s">
        <v>376</v>
      </c>
      <c r="X27" s="16" t="s">
        <v>376</v>
      </c>
      <c r="Y27" t="s">
        <v>376</v>
      </c>
      <c r="Z27" t="s">
        <v>376</v>
      </c>
      <c r="AA27" t="s">
        <v>376</v>
      </c>
      <c r="AB27" t="s">
        <v>376</v>
      </c>
      <c r="AC27" t="s">
        <v>376</v>
      </c>
      <c r="AD27" t="s">
        <v>376</v>
      </c>
      <c r="AE27">
        <v>2</v>
      </c>
    </row>
    <row r="28" spans="1:31" x14ac:dyDescent="0.25">
      <c r="A28" s="19">
        <v>2</v>
      </c>
      <c r="B28" s="19">
        <v>18</v>
      </c>
      <c r="C28" s="19">
        <v>1</v>
      </c>
      <c r="D28" s="19">
        <v>16</v>
      </c>
      <c r="E28" s="19" t="s">
        <v>376</v>
      </c>
      <c r="F28" s="19">
        <v>1</v>
      </c>
      <c r="G28" s="19" t="s">
        <v>376</v>
      </c>
      <c r="H28" s="19">
        <v>1</v>
      </c>
      <c r="I28" s="19" t="s">
        <v>376</v>
      </c>
      <c r="J28" s="19">
        <v>1</v>
      </c>
      <c r="K28" s="19" t="s">
        <v>376</v>
      </c>
      <c r="L28" s="19">
        <v>1</v>
      </c>
      <c r="M28" s="19" t="s">
        <v>376</v>
      </c>
      <c r="N28" s="19">
        <v>1</v>
      </c>
      <c r="O28" s="19" t="s">
        <v>376</v>
      </c>
      <c r="P28" s="19">
        <v>1</v>
      </c>
      <c r="Q28" s="19" t="s">
        <v>376</v>
      </c>
      <c r="R28" s="19">
        <v>1</v>
      </c>
      <c r="S28" s="19" t="s">
        <v>376</v>
      </c>
      <c r="T28" s="16">
        <v>1</v>
      </c>
      <c r="U28" s="16">
        <v>1</v>
      </c>
      <c r="V28" s="16">
        <v>3</v>
      </c>
      <c r="W28" s="16" t="s">
        <v>376</v>
      </c>
      <c r="X28" s="16" t="s">
        <v>376</v>
      </c>
      <c r="Y28" t="s">
        <v>376</v>
      </c>
      <c r="Z28" t="s">
        <v>376</v>
      </c>
      <c r="AA28" t="s">
        <v>376</v>
      </c>
      <c r="AB28" t="s">
        <v>376</v>
      </c>
      <c r="AC28" t="s">
        <v>376</v>
      </c>
      <c r="AD28" t="s">
        <v>376</v>
      </c>
      <c r="AE28">
        <v>2</v>
      </c>
    </row>
    <row r="29" spans="1:31" x14ac:dyDescent="0.25">
      <c r="A29" s="19">
        <v>19</v>
      </c>
      <c r="B29" s="19">
        <v>73</v>
      </c>
      <c r="C29" s="19">
        <v>16</v>
      </c>
      <c r="D29" s="19">
        <v>71</v>
      </c>
      <c r="E29" s="19" t="s">
        <v>376</v>
      </c>
      <c r="F29" s="19">
        <v>1</v>
      </c>
      <c r="G29" s="19" t="s">
        <v>376</v>
      </c>
      <c r="H29" s="19">
        <v>1</v>
      </c>
      <c r="I29" s="19" t="s">
        <v>376</v>
      </c>
      <c r="J29" s="19">
        <v>1</v>
      </c>
      <c r="K29" s="19" t="s">
        <v>376</v>
      </c>
      <c r="L29" s="19">
        <v>1</v>
      </c>
      <c r="M29" s="19" t="s">
        <v>376</v>
      </c>
      <c r="N29" s="19">
        <v>1</v>
      </c>
      <c r="O29" s="19" t="s">
        <v>376</v>
      </c>
      <c r="P29" s="19">
        <v>1</v>
      </c>
      <c r="Q29" s="19" t="s">
        <v>376</v>
      </c>
      <c r="R29" s="19">
        <v>1</v>
      </c>
      <c r="S29" s="19" t="s">
        <v>376</v>
      </c>
      <c r="T29" s="16">
        <v>1</v>
      </c>
      <c r="U29" s="16">
        <v>1</v>
      </c>
      <c r="V29" s="16">
        <v>2</v>
      </c>
      <c r="W29" s="16" t="s">
        <v>376</v>
      </c>
      <c r="X29" s="16" t="s">
        <v>376</v>
      </c>
      <c r="Y29" t="s">
        <v>376</v>
      </c>
      <c r="Z29" t="s">
        <v>376</v>
      </c>
      <c r="AA29" t="s">
        <v>376</v>
      </c>
      <c r="AB29" t="s">
        <v>376</v>
      </c>
      <c r="AC29" t="s">
        <v>376</v>
      </c>
      <c r="AD29" t="s">
        <v>376</v>
      </c>
      <c r="AE29">
        <v>2</v>
      </c>
    </row>
    <row r="30" spans="1:31" x14ac:dyDescent="0.25">
      <c r="A30" s="19" t="s">
        <v>377</v>
      </c>
      <c r="B30" s="19"/>
      <c r="C30" s="19"/>
      <c r="D30" s="19"/>
      <c r="E30" s="19"/>
      <c r="F30" s="19"/>
      <c r="G30" s="19"/>
      <c r="H30" s="19"/>
      <c r="I30" s="19"/>
      <c r="J30" s="19"/>
      <c r="K30" s="19"/>
      <c r="L30" s="19"/>
      <c r="M30" s="19"/>
      <c r="N30" s="19"/>
      <c r="O30" s="19"/>
      <c r="P30" s="19"/>
      <c r="Q30" s="19"/>
      <c r="R30" s="19"/>
      <c r="S30" s="19"/>
      <c r="T30" s="16"/>
      <c r="U30" s="16"/>
      <c r="V30" s="16"/>
      <c r="W30" s="16"/>
      <c r="X30" s="16"/>
    </row>
    <row r="31" spans="1:31" x14ac:dyDescent="0.25">
      <c r="A31" s="19"/>
      <c r="B31" s="19"/>
      <c r="C31" s="19"/>
      <c r="D31" s="19"/>
      <c r="E31" s="19"/>
      <c r="F31" s="19"/>
      <c r="G31" s="19"/>
      <c r="H31" s="19"/>
      <c r="I31" s="19"/>
      <c r="J31" s="19"/>
      <c r="K31" s="19"/>
      <c r="L31" s="19"/>
      <c r="M31" s="19"/>
      <c r="N31" s="19"/>
      <c r="O31" s="19"/>
      <c r="P31" s="19"/>
      <c r="Q31" s="19"/>
      <c r="R31" s="19"/>
      <c r="S31" s="19"/>
      <c r="T31" s="16"/>
      <c r="U31" s="16"/>
      <c r="V31" s="16"/>
      <c r="W31" s="16"/>
      <c r="X31" s="16"/>
    </row>
    <row r="32" spans="1:31" x14ac:dyDescent="0.25">
      <c r="A32" s="19"/>
      <c r="B32" s="19"/>
      <c r="C32" s="19"/>
      <c r="D32" s="19"/>
      <c r="E32" s="19"/>
      <c r="F32" s="19"/>
      <c r="G32" s="19"/>
      <c r="H32" s="19"/>
      <c r="I32" s="19"/>
      <c r="J32" s="19"/>
      <c r="K32" s="19"/>
      <c r="L32" s="19"/>
      <c r="M32" s="19"/>
      <c r="N32" s="19"/>
      <c r="O32" s="19"/>
      <c r="P32" s="19"/>
      <c r="Q32" s="19"/>
      <c r="R32" s="19"/>
      <c r="S32" s="19"/>
      <c r="T32" s="16"/>
      <c r="U32" s="16"/>
      <c r="V32" s="16"/>
      <c r="W32" s="16"/>
      <c r="X32" s="16"/>
    </row>
    <row r="33" spans="1:24" x14ac:dyDescent="0.25">
      <c r="A33" s="19"/>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5 2018 3 58 35 PM.txt')</v>
      </c>
    </row>
    <row r="46" spans="1:1" x14ac:dyDescent="0.25">
      <c r="A46" t="str">
        <f ca="1">IF(auto_run,CONCATENATE("save('",SUBSTITUTE(results_directory,"\","/"),FEresults_name,TEXT(date_time," m d yyyy h mm ss AM/PM"),".odc')"),"")</f>
        <v>save('C:/WinBUGS Results/Fixed Effect Results 2 5 2018 3 58 35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5 2018 3 58 35 PM.txt')</v>
      </c>
    </row>
    <row r="46" spans="1:1" x14ac:dyDescent="0.25">
      <c r="A46" t="str">
        <f ca="1">IF(auto_run,CONCATENATE("save('",SUBSTITUTE(results_directory,"\","/"),REresults_name,TEXT(date_time," m d yyyy h mm ss AM/PM"),".odc')"),"")</f>
        <v>save('C:/WinBUGS Results/Random Effect Results (Vague ) 2 5 2018 3 58 35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5 2018 3 58 35 PM.txt')</v>
      </c>
    </row>
    <row r="32" spans="1:1" x14ac:dyDescent="0.25">
      <c r="A32" t="str">
        <f ca="1">IF(auto_run,CONCATENATE("save('",SUBSTITUTE(results_directory,"\","/"),"Inconsistency ",FEresults_name,TEXT(date_time," m d yyyy h mm ss AM/PM"),".odc')"),"")</f>
        <v>save('C:/WinBUGS Results/Inconsistency Fixed Effect Results 2 5 2018 3 58 35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5 2018 3 58 35 PM.txt')</v>
      </c>
    </row>
    <row r="31" spans="1:1" x14ac:dyDescent="0.25">
      <c r="A31" t="str">
        <f ca="1">IF(auto_run,CONCATENATE("save('",SUBSTITUTE(results_directory,"\","/"),"Inconsistency ",REresults_name,TEXT(date_time," m d yyyy h mm ss AM/PM"),".odc')"),"")</f>
        <v>save('C:/WinBUGS Results/Inconsistency Random Effect Results (Vague ) 2 5 2018 3 58 35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1.2350000000000001</v>
      </c>
      <c r="E5" s="19">
        <v>6</v>
      </c>
      <c r="F5" s="59">
        <v>7</v>
      </c>
      <c r="G5" s="54" t="s">
        <v>733</v>
      </c>
      <c r="H5" s="16">
        <v>2.97441998810232E-5</v>
      </c>
      <c r="I5" s="16">
        <v>4.7460844803037493E-2</v>
      </c>
      <c r="J5" s="16">
        <v>2.5974025974025974</v>
      </c>
      <c r="K5" s="59" t="str">
        <f>CONCATENATE(TEXT(I5,"0.00")," (",TEXT(H5,"0.00")," – ",TEXT(J5,"0.00"),")")</f>
        <v>0.05 (0.00 – 2.60)</v>
      </c>
      <c r="L5" s="16" t="str">
        <f>CONCATENATE(TEXT(I5,"0.00"),"
(",TEXT(H5,"0.00")," – ",TEXT(J5,"0.00"),")")</f>
        <v>0.05
(0.00 – 2.60)</v>
      </c>
      <c r="N5" s="59" t="s">
        <v>414</v>
      </c>
      <c r="O5" s="104" t="s">
        <v>686</v>
      </c>
      <c r="P5">
        <v>0.7863</v>
      </c>
      <c r="Q5">
        <v>1.333</v>
      </c>
      <c r="R5">
        <v>2.8769999999999998</v>
      </c>
      <c r="S5">
        <v>2</v>
      </c>
      <c r="T5">
        <v>1</v>
      </c>
    </row>
    <row r="6" spans="1:20" x14ac:dyDescent="0.25">
      <c r="A6" t="s">
        <v>357</v>
      </c>
      <c r="B6" s="19">
        <v>7</v>
      </c>
      <c r="C6" s="19">
        <v>3.3660000000000001</v>
      </c>
      <c r="E6" s="19">
        <v>6</v>
      </c>
      <c r="F6" s="59">
        <v>9</v>
      </c>
      <c r="G6" s="54" t="s">
        <v>731</v>
      </c>
      <c r="H6" s="16">
        <v>2.3696682464454976E-5</v>
      </c>
      <c r="I6" s="16">
        <v>2.9481132075471695E-2</v>
      </c>
      <c r="J6" s="16">
        <v>0.87260034904013972</v>
      </c>
      <c r="K6" s="59" t="str">
        <f t="shared" ref="K6:K69" si="0">CONCATENATE(TEXT(I6,"0.00")," (",TEXT(H6,"0.00")," – ",TEXT(J6,"0.00"),")")</f>
        <v>0.03 (0.00 – 0.87)</v>
      </c>
      <c r="L6" s="16" t="str">
        <f t="shared" ref="L6:L69" si="1">CONCATENATE(TEXT(I6,"0.00"),"
(",TEXT(H6,"0.00")," – ",TEXT(J6,"0.00"),")")</f>
        <v>0.03
(0.00 – 0.87)</v>
      </c>
      <c r="N6" s="59" t="s">
        <v>415</v>
      </c>
      <c r="O6" s="104" t="s">
        <v>687</v>
      </c>
      <c r="P6">
        <v>0.25990000000000002</v>
      </c>
      <c r="Q6">
        <v>0.76990000000000003</v>
      </c>
      <c r="R6">
        <v>2.508</v>
      </c>
      <c r="S6">
        <v>3</v>
      </c>
      <c r="T6">
        <v>1</v>
      </c>
    </row>
    <row r="7" spans="1:20" x14ac:dyDescent="0.25">
      <c r="A7" t="s">
        <v>359</v>
      </c>
      <c r="B7" s="19">
        <v>9</v>
      </c>
      <c r="C7" s="19">
        <v>4.2149999999999999</v>
      </c>
      <c r="E7" s="19">
        <v>6</v>
      </c>
      <c r="F7" s="59">
        <v>4</v>
      </c>
      <c r="G7" s="54" t="s">
        <v>711</v>
      </c>
      <c r="H7" s="16">
        <v>1.7649999999999999E-5</v>
      </c>
      <c r="I7" s="16">
        <v>3.499E-2</v>
      </c>
      <c r="J7" s="16">
        <v>2.952</v>
      </c>
      <c r="K7" s="59" t="str">
        <f t="shared" si="0"/>
        <v>0.03 (0.00 – 2.95)</v>
      </c>
      <c r="L7" s="16" t="str">
        <f t="shared" si="1"/>
        <v>0.03
(0.00 – 2.95)</v>
      </c>
      <c r="N7" s="59" t="s">
        <v>416</v>
      </c>
      <c r="O7" s="104" t="s">
        <v>688</v>
      </c>
      <c r="P7">
        <v>2.8740000000000002E-2</v>
      </c>
      <c r="Q7">
        <v>0.42020000000000002</v>
      </c>
      <c r="R7">
        <v>5.1909999999999998</v>
      </c>
      <c r="S7">
        <v>4</v>
      </c>
      <c r="T7">
        <v>1</v>
      </c>
    </row>
    <row r="8" spans="1:20" x14ac:dyDescent="0.25">
      <c r="A8" t="s">
        <v>354</v>
      </c>
      <c r="B8" s="54">
        <v>4</v>
      </c>
      <c r="C8" s="54">
        <v>4.4429999999999996</v>
      </c>
      <c r="E8" s="19">
        <v>6</v>
      </c>
      <c r="F8" s="59">
        <v>8</v>
      </c>
      <c r="G8" s="54" t="s">
        <v>732</v>
      </c>
      <c r="H8" s="16">
        <v>1.7280110592707793E-5</v>
      </c>
      <c r="I8" s="16">
        <v>2.4131274131274132E-2</v>
      </c>
      <c r="J8" s="16">
        <v>1.8278194114421493</v>
      </c>
      <c r="K8" s="59" t="str">
        <f t="shared" si="0"/>
        <v>0.02 (0.00 – 1.83)</v>
      </c>
      <c r="L8" s="16" t="str">
        <f t="shared" si="1"/>
        <v>0.02
(0.00 – 1.83)</v>
      </c>
      <c r="N8" s="59" t="s">
        <v>417</v>
      </c>
      <c r="O8" s="104" t="s">
        <v>689</v>
      </c>
      <c r="P8">
        <v>0.1221</v>
      </c>
      <c r="Q8">
        <v>1.429</v>
      </c>
      <c r="R8">
        <v>17.36</v>
      </c>
      <c r="S8">
        <v>5</v>
      </c>
      <c r="T8">
        <v>1</v>
      </c>
    </row>
    <row r="9" spans="1:20" x14ac:dyDescent="0.25">
      <c r="A9" t="s">
        <v>358</v>
      </c>
      <c r="B9" s="19">
        <v>8</v>
      </c>
      <c r="C9" s="19">
        <v>5.0350000000000001</v>
      </c>
      <c r="E9" s="19">
        <v>6</v>
      </c>
      <c r="F9" s="59">
        <v>3</v>
      </c>
      <c r="G9" s="54" t="s">
        <v>705</v>
      </c>
      <c r="H9" s="16">
        <v>1.4620000000000001E-5</v>
      </c>
      <c r="I9" s="16">
        <v>2.0820000000000002E-2</v>
      </c>
      <c r="J9" s="16">
        <v>0.4708</v>
      </c>
      <c r="K9" s="59" t="str">
        <f t="shared" si="0"/>
        <v>0.02 (0.00 – 0.47)</v>
      </c>
      <c r="L9" s="16" t="str">
        <f t="shared" si="1"/>
        <v>0.02
(0.00 – 0.47)</v>
      </c>
      <c r="N9" s="59" t="s">
        <v>418</v>
      </c>
      <c r="O9" s="104" t="s">
        <v>690</v>
      </c>
      <c r="P9">
        <v>1.1739999999999999E-5</v>
      </c>
      <c r="Q9">
        <v>1.495E-2</v>
      </c>
      <c r="R9">
        <v>0.4425</v>
      </c>
      <c r="S9">
        <v>6</v>
      </c>
      <c r="T9">
        <v>1</v>
      </c>
    </row>
    <row r="10" spans="1:20" x14ac:dyDescent="0.25">
      <c r="A10" t="s">
        <v>353</v>
      </c>
      <c r="B10" s="54">
        <v>3</v>
      </c>
      <c r="C10" s="54">
        <v>5.72</v>
      </c>
      <c r="E10" s="19">
        <v>6</v>
      </c>
      <c r="F10" s="59">
        <v>1</v>
      </c>
      <c r="G10" s="54" t="s">
        <v>690</v>
      </c>
      <c r="H10" s="16">
        <v>1.1739999999999999E-5</v>
      </c>
      <c r="I10" s="16">
        <v>1.495E-2</v>
      </c>
      <c r="J10" s="16">
        <v>0.4425</v>
      </c>
      <c r="K10" s="59" t="str">
        <f t="shared" si="0"/>
        <v>0.01 (0.00 – 0.44)</v>
      </c>
      <c r="L10" s="16" t="str">
        <f t="shared" si="1"/>
        <v>0.01
(0.00 – 0.44)</v>
      </c>
      <c r="N10" s="59" t="s">
        <v>419</v>
      </c>
      <c r="O10" s="104" t="s">
        <v>691</v>
      </c>
      <c r="P10">
        <v>4.5350000000000001E-2</v>
      </c>
      <c r="Q10">
        <v>0.29020000000000001</v>
      </c>
      <c r="R10">
        <v>1.7989999999999999</v>
      </c>
      <c r="S10">
        <v>7</v>
      </c>
      <c r="T10">
        <v>1</v>
      </c>
    </row>
    <row r="11" spans="1:20" x14ac:dyDescent="0.25">
      <c r="A11" t="s">
        <v>351</v>
      </c>
      <c r="B11" s="19">
        <v>1</v>
      </c>
      <c r="C11" s="19">
        <v>6.5350000000000001</v>
      </c>
      <c r="E11" s="19">
        <v>6</v>
      </c>
      <c r="F11" s="59">
        <v>5</v>
      </c>
      <c r="G11" s="54" t="s">
        <v>716</v>
      </c>
      <c r="H11" s="16">
        <v>8.9150000000000002E-6</v>
      </c>
      <c r="I11" s="16">
        <v>9.2029999999999994E-3</v>
      </c>
      <c r="J11" s="16">
        <v>0.61360000000000003</v>
      </c>
      <c r="K11" s="59" t="str">
        <f t="shared" si="0"/>
        <v>0.01 (0.00 – 0.61)</v>
      </c>
      <c r="L11" s="16" t="str">
        <f t="shared" si="1"/>
        <v>0.01
(0.00 – 0.61)</v>
      </c>
      <c r="N11" s="59" t="s">
        <v>420</v>
      </c>
      <c r="O11" s="104" t="s">
        <v>692</v>
      </c>
      <c r="P11">
        <v>5.1630000000000002E-2</v>
      </c>
      <c r="Q11">
        <v>0.55600000000000005</v>
      </c>
      <c r="R11">
        <v>4.9790000000000001</v>
      </c>
      <c r="S11">
        <v>8</v>
      </c>
      <c r="T11">
        <v>1</v>
      </c>
    </row>
    <row r="12" spans="1:20" x14ac:dyDescent="0.25">
      <c r="A12" t="s">
        <v>355</v>
      </c>
      <c r="B12" s="54">
        <v>5</v>
      </c>
      <c r="C12" s="54">
        <v>7.3330000000000002</v>
      </c>
      <c r="E12" s="19">
        <v>6</v>
      </c>
      <c r="F12" s="59">
        <v>2</v>
      </c>
      <c r="G12" s="54" t="s">
        <v>698</v>
      </c>
      <c r="H12" s="16">
        <v>8.8459999999999997E-6</v>
      </c>
      <c r="I12" s="16">
        <v>1.069E-2</v>
      </c>
      <c r="J12" s="16">
        <v>0.33389999999999997</v>
      </c>
      <c r="K12" s="59" t="str">
        <f t="shared" si="0"/>
        <v>0.01 (0.00 – 0.33)</v>
      </c>
      <c r="L12" s="16" t="str">
        <f t="shared" si="1"/>
        <v>0.01
(0.00 – 0.33)</v>
      </c>
      <c r="N12" s="59" t="s">
        <v>421</v>
      </c>
      <c r="O12" s="104" t="s">
        <v>693</v>
      </c>
      <c r="P12">
        <v>0.21310000000000001</v>
      </c>
      <c r="Q12">
        <v>0.50339999999999996</v>
      </c>
      <c r="R12">
        <v>1.31</v>
      </c>
      <c r="S12">
        <v>9</v>
      </c>
      <c r="T12">
        <v>1</v>
      </c>
    </row>
    <row r="13" spans="1:20" x14ac:dyDescent="0.25">
      <c r="A13" t="s">
        <v>352</v>
      </c>
      <c r="B13" s="19">
        <v>2</v>
      </c>
      <c r="C13" s="19">
        <v>7.8819999999999997</v>
      </c>
      <c r="E13" s="19">
        <v>6</v>
      </c>
      <c r="F13" s="59">
        <v>10</v>
      </c>
      <c r="G13" s="54" t="s">
        <v>734</v>
      </c>
      <c r="H13" s="16">
        <v>5.2659294365455505E-6</v>
      </c>
      <c r="I13" s="16">
        <v>6.2893081761006293E-3</v>
      </c>
      <c r="J13" s="16">
        <v>0.24307243558580457</v>
      </c>
      <c r="K13" s="59" t="str">
        <f t="shared" si="0"/>
        <v>0.01 (0.00 – 0.24)</v>
      </c>
      <c r="L13" s="16" t="str">
        <f t="shared" si="1"/>
        <v>0.01
(0.00 – 0.24)</v>
      </c>
      <c r="N13" s="59" t="s">
        <v>422</v>
      </c>
      <c r="O13" s="104" t="s">
        <v>694</v>
      </c>
      <c r="P13">
        <v>0.99229999999999996</v>
      </c>
      <c r="Q13">
        <v>2.3069999999999999</v>
      </c>
      <c r="R13">
        <v>5.9320000000000004</v>
      </c>
      <c r="S13">
        <v>10</v>
      </c>
      <c r="T13">
        <v>1</v>
      </c>
    </row>
    <row r="14" spans="1:20" x14ac:dyDescent="0.25">
      <c r="A14" t="s">
        <v>360</v>
      </c>
      <c r="B14" s="54">
        <v>10</v>
      </c>
      <c r="C14" s="54">
        <v>9.2360000000000007</v>
      </c>
      <c r="E14" s="19">
        <v>7</v>
      </c>
      <c r="F14" s="59">
        <v>9</v>
      </c>
      <c r="G14" s="54" t="s">
        <v>763</v>
      </c>
      <c r="H14" s="16">
        <v>7.8926598263614839E-2</v>
      </c>
      <c r="I14" s="16">
        <v>0.5714285714285714</v>
      </c>
      <c r="J14" s="16">
        <v>3.8461538461538458</v>
      </c>
      <c r="K14" s="59" t="str">
        <f t="shared" si="0"/>
        <v>0.57 (0.08 – 3.85)</v>
      </c>
      <c r="L14" s="16" t="str">
        <f t="shared" si="1"/>
        <v>0.57
(0.08 – 3.85)</v>
      </c>
      <c r="N14" s="59" t="s">
        <v>423</v>
      </c>
      <c r="O14" s="104" t="s">
        <v>695</v>
      </c>
      <c r="P14">
        <v>0.19259999999999999</v>
      </c>
      <c r="Q14">
        <v>0.57079999999999997</v>
      </c>
      <c r="R14">
        <v>1.6639999999999999</v>
      </c>
      <c r="S14">
        <v>3</v>
      </c>
      <c r="T14">
        <v>2</v>
      </c>
    </row>
    <row r="15" spans="1:20" ht="15" customHeight="1" x14ac:dyDescent="0.25">
      <c r="E15" s="19">
        <v>7</v>
      </c>
      <c r="F15" s="19">
        <v>4</v>
      </c>
      <c r="G15" s="19" t="s">
        <v>712</v>
      </c>
      <c r="H15" s="19">
        <v>3.1850000000000003E-2</v>
      </c>
      <c r="I15" s="19">
        <v>0.70699999999999996</v>
      </c>
      <c r="J15" s="19">
        <v>16.93</v>
      </c>
      <c r="K15" s="59" t="str">
        <f t="shared" si="0"/>
        <v>0.71 (0.03 – 16.93)</v>
      </c>
      <c r="L15" s="16" t="str">
        <f t="shared" si="1"/>
        <v>0.71
(0.03 – 16.93)</v>
      </c>
      <c r="N15" s="59" t="s">
        <v>424</v>
      </c>
      <c r="O15" s="16" t="s">
        <v>696</v>
      </c>
      <c r="P15">
        <v>2.102E-2</v>
      </c>
      <c r="Q15">
        <v>0.30099999999999999</v>
      </c>
      <c r="R15">
        <v>3.637</v>
      </c>
      <c r="S15">
        <v>4</v>
      </c>
      <c r="T15">
        <v>2</v>
      </c>
    </row>
    <row r="16" spans="1:20" ht="15" customHeight="1" x14ac:dyDescent="0.25">
      <c r="E16" s="19">
        <v>7</v>
      </c>
      <c r="F16" s="19">
        <v>8</v>
      </c>
      <c r="G16" s="19" t="s">
        <v>762</v>
      </c>
      <c r="H16" s="19">
        <v>3.1615554852987671E-2</v>
      </c>
      <c r="I16" s="19">
        <v>0.53648068669527893</v>
      </c>
      <c r="J16" s="19">
        <v>7.7399380804953557</v>
      </c>
      <c r="K16" s="59" t="str">
        <f t="shared" si="0"/>
        <v>0.54 (0.03 – 7.74)</v>
      </c>
      <c r="L16" s="16" t="str">
        <f t="shared" si="1"/>
        <v>0.54
(0.03 – 7.74)</v>
      </c>
      <c r="N16" s="59" t="s">
        <v>425</v>
      </c>
      <c r="O16" s="16" t="s">
        <v>697</v>
      </c>
      <c r="P16">
        <v>9.325E-2</v>
      </c>
      <c r="Q16">
        <v>1.08</v>
      </c>
      <c r="R16">
        <v>10.9</v>
      </c>
      <c r="S16">
        <v>5</v>
      </c>
      <c r="T16">
        <v>2</v>
      </c>
    </row>
    <row r="17" spans="5:20" ht="15" customHeight="1" x14ac:dyDescent="0.25">
      <c r="E17" s="19">
        <v>7</v>
      </c>
      <c r="F17" s="19">
        <v>3</v>
      </c>
      <c r="G17" s="19" t="s">
        <v>706</v>
      </c>
      <c r="H17" s="19">
        <v>4.4749999999999998E-2</v>
      </c>
      <c r="I17" s="19">
        <v>0.37530000000000002</v>
      </c>
      <c r="J17" s="19">
        <v>2.593</v>
      </c>
      <c r="K17" s="59" t="str">
        <f t="shared" si="0"/>
        <v>0.38 (0.04 – 2.59)</v>
      </c>
      <c r="L17" s="16" t="str">
        <f t="shared" si="1"/>
        <v>0.38
(0.04 – 2.59)</v>
      </c>
      <c r="N17" s="59" t="s">
        <v>426</v>
      </c>
      <c r="O17" s="16" t="s">
        <v>698</v>
      </c>
      <c r="P17">
        <v>8.8459999999999997E-6</v>
      </c>
      <c r="Q17">
        <v>1.069E-2</v>
      </c>
      <c r="R17">
        <v>0.33389999999999997</v>
      </c>
      <c r="S17">
        <v>6</v>
      </c>
      <c r="T17">
        <v>2</v>
      </c>
    </row>
    <row r="18" spans="5:20" ht="15" customHeight="1" x14ac:dyDescent="0.25">
      <c r="E18" s="19">
        <v>7</v>
      </c>
      <c r="F18" s="19">
        <v>1</v>
      </c>
      <c r="G18" s="19" t="s">
        <v>691</v>
      </c>
      <c r="H18" s="19">
        <v>4.5350000000000001E-2</v>
      </c>
      <c r="I18" s="19">
        <v>0.29020000000000001</v>
      </c>
      <c r="J18" s="19">
        <v>1.7989999999999999</v>
      </c>
      <c r="K18" s="59" t="str">
        <f t="shared" si="0"/>
        <v>0.29 (0.05 – 1.80)</v>
      </c>
      <c r="L18" s="16" t="str">
        <f t="shared" si="1"/>
        <v>0.29
(0.05 – 1.80)</v>
      </c>
      <c r="N18" s="59" t="s">
        <v>427</v>
      </c>
      <c r="O18" s="16" t="s">
        <v>699</v>
      </c>
      <c r="P18">
        <v>3.44E-2</v>
      </c>
      <c r="Q18">
        <v>0.21579999999999999</v>
      </c>
      <c r="R18">
        <v>1.071</v>
      </c>
      <c r="S18">
        <v>7</v>
      </c>
      <c r="T18">
        <v>2</v>
      </c>
    </row>
    <row r="19" spans="5:20" ht="15" customHeight="1" x14ac:dyDescent="0.25">
      <c r="E19" s="19">
        <v>7</v>
      </c>
      <c r="F19" s="19">
        <v>5</v>
      </c>
      <c r="G19" s="19" t="s">
        <v>717</v>
      </c>
      <c r="H19" s="19">
        <v>1.0500000000000001E-2</v>
      </c>
      <c r="I19" s="19">
        <v>0.1988</v>
      </c>
      <c r="J19" s="19">
        <v>4.0860000000000003</v>
      </c>
      <c r="K19" s="59" t="str">
        <f t="shared" si="0"/>
        <v>0.20 (0.01 – 4.09)</v>
      </c>
      <c r="L19" s="16" t="str">
        <f t="shared" si="1"/>
        <v>0.20
(0.01 – 4.09)</v>
      </c>
      <c r="N19" s="59" t="s">
        <v>428</v>
      </c>
      <c r="O19" s="16" t="s">
        <v>700</v>
      </c>
      <c r="P19">
        <v>3.984E-2</v>
      </c>
      <c r="Q19">
        <v>0.41749999999999998</v>
      </c>
      <c r="R19">
        <v>3.1480000000000001</v>
      </c>
      <c r="S19">
        <v>8</v>
      </c>
      <c r="T19">
        <v>2</v>
      </c>
    </row>
    <row r="20" spans="5:20" ht="15" customHeight="1" x14ac:dyDescent="0.25">
      <c r="E20" s="19">
        <v>7</v>
      </c>
      <c r="F20" s="19">
        <v>2</v>
      </c>
      <c r="G20" s="19" t="s">
        <v>699</v>
      </c>
      <c r="H20" s="19">
        <v>3.44E-2</v>
      </c>
      <c r="I20" s="19">
        <v>0.21579999999999999</v>
      </c>
      <c r="J20" s="19">
        <v>1.071</v>
      </c>
      <c r="K20" s="59" t="str">
        <f t="shared" si="0"/>
        <v>0.22 (0.03 – 1.07)</v>
      </c>
      <c r="L20" s="16" t="str">
        <f t="shared" si="1"/>
        <v>0.22
(0.03 – 1.07)</v>
      </c>
      <c r="N20" s="59" t="s">
        <v>429</v>
      </c>
      <c r="O20" s="16" t="s">
        <v>701</v>
      </c>
      <c r="P20">
        <v>0.13669999999999999</v>
      </c>
      <c r="Q20">
        <v>0.37040000000000001</v>
      </c>
      <c r="R20">
        <v>0.92490000000000006</v>
      </c>
      <c r="S20">
        <v>9</v>
      </c>
      <c r="T20">
        <v>2</v>
      </c>
    </row>
    <row r="21" spans="5:20" ht="15" customHeight="1" x14ac:dyDescent="0.25">
      <c r="E21" s="19">
        <v>7</v>
      </c>
      <c r="F21" s="19">
        <v>10</v>
      </c>
      <c r="G21" s="19" t="s">
        <v>745</v>
      </c>
      <c r="H21" s="19">
        <v>1.7182130584192438E-2</v>
      </c>
      <c r="I21" s="19">
        <v>0.1254075746175069</v>
      </c>
      <c r="J21" s="19">
        <v>0.82101806239737274</v>
      </c>
      <c r="K21" s="59" t="str">
        <f t="shared" si="0"/>
        <v>0.13 (0.02 – 0.82)</v>
      </c>
      <c r="L21" s="16" t="str">
        <f t="shared" si="1"/>
        <v>0.13
(0.02 – 0.82)</v>
      </c>
      <c r="N21" s="59" t="s">
        <v>430</v>
      </c>
      <c r="O21" s="16" t="s">
        <v>702</v>
      </c>
      <c r="P21">
        <v>0.65749999999999997</v>
      </c>
      <c r="Q21">
        <v>1.6890000000000001</v>
      </c>
      <c r="R21">
        <v>4.101</v>
      </c>
      <c r="S21">
        <v>10</v>
      </c>
      <c r="T21">
        <v>2</v>
      </c>
    </row>
    <row r="22" spans="5:20" ht="15" customHeight="1" x14ac:dyDescent="0.25">
      <c r="E22" s="19">
        <v>9</v>
      </c>
      <c r="F22" s="19">
        <v>4</v>
      </c>
      <c r="G22" s="19" t="s">
        <v>714</v>
      </c>
      <c r="H22" s="19">
        <v>9.7699999999999995E-2</v>
      </c>
      <c r="I22" s="19">
        <v>1.155</v>
      </c>
      <c r="J22" s="19">
        <v>18.05</v>
      </c>
      <c r="K22" s="59" t="str">
        <f t="shared" si="0"/>
        <v>1.16 (0.10 – 18.05)</v>
      </c>
      <c r="L22" s="16" t="str">
        <f t="shared" si="1"/>
        <v>1.16
(0.10 – 18.05)</v>
      </c>
      <c r="N22" s="59" t="s">
        <v>431</v>
      </c>
      <c r="O22" s="16" t="s">
        <v>703</v>
      </c>
      <c r="P22">
        <v>4.0649999999999999E-2</v>
      </c>
      <c r="Q22">
        <v>0.55710000000000004</v>
      </c>
      <c r="R22">
        <v>5.5010000000000003</v>
      </c>
      <c r="S22">
        <v>4</v>
      </c>
      <c r="T22">
        <v>3</v>
      </c>
    </row>
    <row r="23" spans="5:20" ht="15" customHeight="1" x14ac:dyDescent="0.25">
      <c r="E23" s="19">
        <v>9</v>
      </c>
      <c r="F23" s="19">
        <v>8</v>
      </c>
      <c r="G23" s="19" t="s">
        <v>728</v>
      </c>
      <c r="H23" s="19">
        <v>9.1859999999999997E-2</v>
      </c>
      <c r="I23" s="19">
        <v>0.89149999999999996</v>
      </c>
      <c r="J23" s="19">
        <v>11.48</v>
      </c>
      <c r="K23" s="59" t="str">
        <f t="shared" si="0"/>
        <v>0.89 (0.09 – 11.48)</v>
      </c>
      <c r="L23" s="16" t="str">
        <f t="shared" si="1"/>
        <v>0.89
(0.09 – 11.48)</v>
      </c>
      <c r="N23" s="59" t="s">
        <v>432</v>
      </c>
      <c r="O23" s="16" t="s">
        <v>704</v>
      </c>
      <c r="P23">
        <v>0.13170000000000001</v>
      </c>
      <c r="Q23">
        <v>1.8620000000000001</v>
      </c>
      <c r="R23">
        <v>25.36</v>
      </c>
      <c r="S23">
        <v>5</v>
      </c>
      <c r="T23">
        <v>3</v>
      </c>
    </row>
    <row r="24" spans="5:20" ht="15" customHeight="1" x14ac:dyDescent="0.25">
      <c r="E24" s="19">
        <v>9</v>
      </c>
      <c r="F24" s="19">
        <v>3</v>
      </c>
      <c r="G24" s="19" t="s">
        <v>708</v>
      </c>
      <c r="H24" s="19">
        <v>0.21390000000000001</v>
      </c>
      <c r="I24" s="19">
        <v>0.64759999999999995</v>
      </c>
      <c r="J24" s="19">
        <v>1.899</v>
      </c>
      <c r="K24" s="59" t="str">
        <f t="shared" si="0"/>
        <v>0.65 (0.21 – 1.90)</v>
      </c>
      <c r="L24" s="16" t="str">
        <f t="shared" si="1"/>
        <v>0.65
(0.21 – 1.90)</v>
      </c>
      <c r="N24" s="59" t="s">
        <v>433</v>
      </c>
      <c r="O24" s="16" t="s">
        <v>705</v>
      </c>
      <c r="P24">
        <v>1.4620000000000001E-5</v>
      </c>
      <c r="Q24">
        <v>2.0820000000000002E-2</v>
      </c>
      <c r="R24">
        <v>0.4708</v>
      </c>
      <c r="S24">
        <v>6</v>
      </c>
      <c r="T24">
        <v>3</v>
      </c>
    </row>
    <row r="25" spans="5:20" ht="15" customHeight="1" x14ac:dyDescent="0.25">
      <c r="E25" s="19">
        <v>9</v>
      </c>
      <c r="F25" s="19">
        <v>1</v>
      </c>
      <c r="G25" s="19" t="s">
        <v>693</v>
      </c>
      <c r="H25" s="19">
        <v>0.21310000000000001</v>
      </c>
      <c r="I25" s="19">
        <v>0.50339999999999996</v>
      </c>
      <c r="J25" s="19">
        <v>1.31</v>
      </c>
      <c r="K25" s="59" t="str">
        <f t="shared" si="0"/>
        <v>0.50 (0.21 – 1.31)</v>
      </c>
      <c r="L25" s="16" t="str">
        <f t="shared" si="1"/>
        <v>0.50
(0.21 – 1.31)</v>
      </c>
      <c r="N25" s="59" t="s">
        <v>434</v>
      </c>
      <c r="O25" s="16" t="s">
        <v>706</v>
      </c>
      <c r="P25">
        <v>4.4749999999999998E-2</v>
      </c>
      <c r="Q25">
        <v>0.37530000000000002</v>
      </c>
      <c r="R25">
        <v>2.593</v>
      </c>
      <c r="S25">
        <v>7</v>
      </c>
      <c r="T25">
        <v>3</v>
      </c>
    </row>
    <row r="26" spans="5:20" ht="15" customHeight="1" x14ac:dyDescent="0.25">
      <c r="E26" s="19">
        <v>9</v>
      </c>
      <c r="F26" s="19">
        <v>5</v>
      </c>
      <c r="G26" s="19" t="s">
        <v>719</v>
      </c>
      <c r="H26" s="19">
        <v>2.75E-2</v>
      </c>
      <c r="I26" s="19">
        <v>0.34789999999999999</v>
      </c>
      <c r="J26" s="19">
        <v>4.7720000000000002</v>
      </c>
      <c r="K26" s="59" t="str">
        <f t="shared" si="0"/>
        <v>0.35 (0.03 – 4.77)</v>
      </c>
      <c r="L26" s="16" t="str">
        <f t="shared" si="1"/>
        <v>0.35
(0.03 – 4.77)</v>
      </c>
      <c r="N26" s="59" t="s">
        <v>435</v>
      </c>
      <c r="O26" s="16" t="s">
        <v>707</v>
      </c>
      <c r="P26">
        <v>4.8640000000000003E-2</v>
      </c>
      <c r="Q26">
        <v>0.74829999999999997</v>
      </c>
      <c r="R26">
        <v>7.1040000000000001</v>
      </c>
      <c r="S26">
        <v>8</v>
      </c>
      <c r="T26">
        <v>3</v>
      </c>
    </row>
    <row r="27" spans="5:20" ht="15" customHeight="1" x14ac:dyDescent="0.25">
      <c r="E27" s="19">
        <v>9</v>
      </c>
      <c r="F27" s="19">
        <v>2</v>
      </c>
      <c r="G27" s="19" t="s">
        <v>701</v>
      </c>
      <c r="H27" s="19">
        <v>0.13669999999999999</v>
      </c>
      <c r="I27" s="19">
        <v>0.37040000000000001</v>
      </c>
      <c r="J27" s="19">
        <v>0.92490000000000006</v>
      </c>
      <c r="K27" s="59" t="str">
        <f t="shared" si="0"/>
        <v>0.37 (0.14 – 0.92)</v>
      </c>
      <c r="L27" s="16" t="str">
        <f t="shared" si="1"/>
        <v>0.37
(0.14 – 0.92)</v>
      </c>
      <c r="N27" s="59" t="s">
        <v>436</v>
      </c>
      <c r="O27" s="16" t="s">
        <v>708</v>
      </c>
      <c r="P27">
        <v>0.21390000000000001</v>
      </c>
      <c r="Q27">
        <v>0.64759999999999995</v>
      </c>
      <c r="R27">
        <v>1.899</v>
      </c>
      <c r="S27">
        <v>9</v>
      </c>
      <c r="T27">
        <v>3</v>
      </c>
    </row>
    <row r="28" spans="5:20" ht="15" customHeight="1" x14ac:dyDescent="0.25">
      <c r="E28" s="19">
        <v>9</v>
      </c>
      <c r="F28" s="19">
        <v>10</v>
      </c>
      <c r="G28" s="19" t="s">
        <v>742</v>
      </c>
      <c r="H28" s="19">
        <v>9.5510983763132759E-2</v>
      </c>
      <c r="I28" s="19">
        <v>0.22089684117517119</v>
      </c>
      <c r="J28" s="19">
        <v>0.47687172150691465</v>
      </c>
      <c r="K28" s="59" t="str">
        <f t="shared" si="0"/>
        <v>0.22 (0.10 – 0.48)</v>
      </c>
      <c r="L28" s="16" t="str">
        <f t="shared" si="1"/>
        <v>0.22
(0.10 – 0.48)</v>
      </c>
      <c r="N28" s="59" t="s">
        <v>437</v>
      </c>
      <c r="O28" s="16" t="s">
        <v>709</v>
      </c>
      <c r="P28">
        <v>0.90549999999999997</v>
      </c>
      <c r="Q28">
        <v>2.956</v>
      </c>
      <c r="R28">
        <v>9.8409999999999993</v>
      </c>
      <c r="S28">
        <v>10</v>
      </c>
      <c r="T28">
        <v>3</v>
      </c>
    </row>
    <row r="29" spans="5:20" ht="15" customHeight="1" x14ac:dyDescent="0.25">
      <c r="E29" s="19">
        <v>4</v>
      </c>
      <c r="F29" s="19">
        <v>8</v>
      </c>
      <c r="G29" s="19" t="s">
        <v>737</v>
      </c>
      <c r="H29" s="19">
        <v>2.343566908835247E-2</v>
      </c>
      <c r="I29" s="19">
        <v>0.71581961345740874</v>
      </c>
      <c r="J29" s="19">
        <v>22.851919561243143</v>
      </c>
      <c r="K29" s="59" t="str">
        <f t="shared" si="0"/>
        <v>0.72 (0.02 – 22.85)</v>
      </c>
      <c r="L29" s="16" t="str">
        <f t="shared" si="1"/>
        <v>0.72
(0.02 – 22.85)</v>
      </c>
      <c r="N29" s="59" t="s">
        <v>438</v>
      </c>
      <c r="O29" s="16" t="s">
        <v>710</v>
      </c>
      <c r="P29">
        <v>0.1069</v>
      </c>
      <c r="Q29">
        <v>3.2370000000000001</v>
      </c>
      <c r="R29">
        <v>115.9</v>
      </c>
      <c r="S29">
        <v>5</v>
      </c>
      <c r="T29">
        <v>4</v>
      </c>
    </row>
    <row r="30" spans="5:20" ht="15" customHeight="1" x14ac:dyDescent="0.25">
      <c r="E30" s="19">
        <v>4</v>
      </c>
      <c r="F30" s="19">
        <v>3</v>
      </c>
      <c r="G30" s="19" t="s">
        <v>703</v>
      </c>
      <c r="H30" s="19">
        <v>4.0649999999999999E-2</v>
      </c>
      <c r="I30" s="19">
        <v>0.55710000000000004</v>
      </c>
      <c r="J30" s="19">
        <v>5.5010000000000003</v>
      </c>
      <c r="K30" s="59" t="str">
        <f t="shared" si="0"/>
        <v>0.56 (0.04 – 5.50)</v>
      </c>
      <c r="L30" s="16" t="str">
        <f t="shared" si="1"/>
        <v>0.56
(0.04 – 5.50)</v>
      </c>
      <c r="N30" s="59" t="s">
        <v>439</v>
      </c>
      <c r="O30" s="16" t="s">
        <v>711</v>
      </c>
      <c r="P30">
        <v>1.7649999999999999E-5</v>
      </c>
      <c r="Q30">
        <v>3.499E-2</v>
      </c>
      <c r="R30">
        <v>2.952</v>
      </c>
      <c r="S30">
        <v>6</v>
      </c>
      <c r="T30">
        <v>4</v>
      </c>
    </row>
    <row r="31" spans="5:20" ht="15" customHeight="1" x14ac:dyDescent="0.25">
      <c r="E31" s="19">
        <v>4</v>
      </c>
      <c r="F31" s="19">
        <v>1</v>
      </c>
      <c r="G31" s="19" t="s">
        <v>688</v>
      </c>
      <c r="H31" s="19">
        <v>2.8740000000000002E-2</v>
      </c>
      <c r="I31" s="19">
        <v>0.42020000000000002</v>
      </c>
      <c r="J31" s="19">
        <v>5.1909999999999998</v>
      </c>
      <c r="K31" s="59" t="str">
        <f t="shared" si="0"/>
        <v>0.42 (0.03 – 5.19)</v>
      </c>
      <c r="L31" s="16" t="str">
        <f t="shared" si="1"/>
        <v>0.42
(0.03 – 5.19)</v>
      </c>
      <c r="N31" s="59" t="s">
        <v>440</v>
      </c>
      <c r="O31" s="16" t="s">
        <v>712</v>
      </c>
      <c r="P31">
        <v>3.1850000000000003E-2</v>
      </c>
      <c r="Q31">
        <v>0.70699999999999996</v>
      </c>
      <c r="R31">
        <v>16.93</v>
      </c>
      <c r="S31">
        <v>7</v>
      </c>
      <c r="T31">
        <v>4</v>
      </c>
    </row>
    <row r="32" spans="5:20" ht="15" customHeight="1" x14ac:dyDescent="0.25">
      <c r="E32" s="19">
        <v>4</v>
      </c>
      <c r="F32" s="19">
        <v>5</v>
      </c>
      <c r="G32" s="19" t="s">
        <v>764</v>
      </c>
      <c r="H32" s="19">
        <v>8.6281276962899053E-3</v>
      </c>
      <c r="I32" s="19">
        <v>0.30892801977139328</v>
      </c>
      <c r="J32" s="19">
        <v>9.3545369504209539</v>
      </c>
      <c r="K32" s="59" t="str">
        <f t="shared" si="0"/>
        <v>0.31 (0.01 – 9.35)</v>
      </c>
      <c r="L32" s="16" t="str">
        <f t="shared" si="1"/>
        <v>0.31
(0.01 – 9.35)</v>
      </c>
      <c r="N32" s="59" t="s">
        <v>441</v>
      </c>
      <c r="O32" s="16" t="s">
        <v>713</v>
      </c>
      <c r="P32">
        <v>4.376E-2</v>
      </c>
      <c r="Q32">
        <v>1.397</v>
      </c>
      <c r="R32">
        <v>42.67</v>
      </c>
      <c r="S32">
        <v>8</v>
      </c>
      <c r="T32">
        <v>4</v>
      </c>
    </row>
    <row r="33" spans="3:20" ht="15" customHeight="1" x14ac:dyDescent="0.25">
      <c r="E33" s="19">
        <v>4</v>
      </c>
      <c r="F33" s="19">
        <v>2</v>
      </c>
      <c r="G33" s="19" t="s">
        <v>696</v>
      </c>
      <c r="H33" s="19">
        <v>2.102E-2</v>
      </c>
      <c r="I33" s="19">
        <v>0.30099999999999999</v>
      </c>
      <c r="J33" s="19">
        <v>3.637</v>
      </c>
      <c r="K33" s="59" t="str">
        <f t="shared" si="0"/>
        <v>0.30 (0.02 – 3.64)</v>
      </c>
      <c r="L33" s="16" t="str">
        <f t="shared" si="1"/>
        <v>0.30
(0.02 – 3.64)</v>
      </c>
      <c r="N33" s="59" t="s">
        <v>442</v>
      </c>
      <c r="O33" s="16" t="s">
        <v>714</v>
      </c>
      <c r="P33">
        <v>9.7699999999999995E-2</v>
      </c>
      <c r="Q33">
        <v>1.155</v>
      </c>
      <c r="R33">
        <v>18.05</v>
      </c>
      <c r="S33">
        <v>9</v>
      </c>
      <c r="T33">
        <v>4</v>
      </c>
    </row>
    <row r="34" spans="3:20" ht="15" customHeight="1" x14ac:dyDescent="0.25">
      <c r="E34" s="19">
        <v>4</v>
      </c>
      <c r="F34" s="19">
        <v>10</v>
      </c>
      <c r="G34" s="19" t="s">
        <v>738</v>
      </c>
      <c r="H34" s="19">
        <v>1.1799410029498525E-2</v>
      </c>
      <c r="I34" s="19">
        <v>0.18261504747991233</v>
      </c>
      <c r="J34" s="19">
        <v>2.4912805181863478</v>
      </c>
      <c r="K34" s="59" t="str">
        <f t="shared" si="0"/>
        <v>0.18 (0.01 – 2.49)</v>
      </c>
      <c r="L34" s="16" t="str">
        <f t="shared" si="1"/>
        <v>0.18
(0.01 – 2.49)</v>
      </c>
      <c r="N34" s="59" t="s">
        <v>443</v>
      </c>
      <c r="O34" s="16" t="s">
        <v>715</v>
      </c>
      <c r="P34">
        <v>0.40139999999999998</v>
      </c>
      <c r="Q34">
        <v>5.476</v>
      </c>
      <c r="R34">
        <v>84.75</v>
      </c>
      <c r="S34">
        <v>10</v>
      </c>
      <c r="T34">
        <v>4</v>
      </c>
    </row>
    <row r="35" spans="3:20" ht="15" customHeight="1" x14ac:dyDescent="0.25">
      <c r="E35" s="19">
        <v>8</v>
      </c>
      <c r="F35" s="19">
        <v>3</v>
      </c>
      <c r="G35" s="19" t="s">
        <v>707</v>
      </c>
      <c r="H35" s="19">
        <v>4.8640000000000003E-2</v>
      </c>
      <c r="I35" s="19">
        <v>0.74829999999999997</v>
      </c>
      <c r="J35" s="19">
        <v>7.1040000000000001</v>
      </c>
      <c r="K35" s="59" t="str">
        <f t="shared" si="0"/>
        <v>0.75 (0.05 – 7.10)</v>
      </c>
      <c r="L35" s="16" t="str">
        <f t="shared" si="1"/>
        <v>0.75
(0.05 – 7.10)</v>
      </c>
      <c r="N35" s="59" t="s">
        <v>444</v>
      </c>
      <c r="O35" s="16" t="s">
        <v>716</v>
      </c>
      <c r="P35">
        <v>8.9150000000000002E-6</v>
      </c>
      <c r="Q35">
        <v>9.2029999999999994E-3</v>
      </c>
      <c r="R35">
        <v>0.61360000000000003</v>
      </c>
      <c r="S35">
        <v>6</v>
      </c>
      <c r="T35">
        <v>5</v>
      </c>
    </row>
    <row r="36" spans="3:20" ht="15" customHeight="1" x14ac:dyDescent="0.25">
      <c r="C36" s="56"/>
      <c r="D36" s="57"/>
      <c r="E36" s="57">
        <v>8</v>
      </c>
      <c r="F36" s="57">
        <v>1</v>
      </c>
      <c r="G36" s="57" t="s">
        <v>692</v>
      </c>
      <c r="H36" s="57">
        <v>5.1630000000000002E-2</v>
      </c>
      <c r="I36" s="57">
        <v>0.55600000000000005</v>
      </c>
      <c r="J36" s="57">
        <v>4.9790000000000001</v>
      </c>
      <c r="K36" s="59" t="str">
        <f t="shared" si="0"/>
        <v>0.56 (0.05 – 4.98)</v>
      </c>
      <c r="L36" s="16" t="str">
        <f t="shared" si="1"/>
        <v>0.56
(0.05 – 4.98)</v>
      </c>
      <c r="M36" s="57"/>
      <c r="N36" s="59" t="s">
        <v>445</v>
      </c>
      <c r="O36" s="16" t="s">
        <v>717</v>
      </c>
      <c r="P36">
        <v>1.0500000000000001E-2</v>
      </c>
      <c r="Q36">
        <v>0.1988</v>
      </c>
      <c r="R36">
        <v>4.0860000000000003</v>
      </c>
      <c r="S36">
        <v>7</v>
      </c>
      <c r="T36">
        <v>5</v>
      </c>
    </row>
    <row r="37" spans="3:20" ht="15" customHeight="1" x14ac:dyDescent="0.25">
      <c r="C37" s="56"/>
      <c r="D37" s="57"/>
      <c r="E37" s="57">
        <v>8</v>
      </c>
      <c r="F37" s="57">
        <v>5</v>
      </c>
      <c r="G37" s="57" t="s">
        <v>718</v>
      </c>
      <c r="H37" s="57">
        <v>1.2019999999999999E-2</v>
      </c>
      <c r="I37" s="57">
        <v>0.3962</v>
      </c>
      <c r="J37" s="57">
        <v>9.218</v>
      </c>
      <c r="K37" s="59" t="str">
        <f t="shared" si="0"/>
        <v>0.40 (0.01 – 9.22)</v>
      </c>
      <c r="L37" s="16" t="str">
        <f t="shared" si="1"/>
        <v>0.40
(0.01 – 9.22)</v>
      </c>
      <c r="M37" s="57"/>
      <c r="N37" s="59" t="s">
        <v>446</v>
      </c>
      <c r="O37" s="16" t="s">
        <v>718</v>
      </c>
      <c r="P37">
        <v>1.2019999999999999E-2</v>
      </c>
      <c r="Q37">
        <v>0.3962</v>
      </c>
      <c r="R37">
        <v>9.218</v>
      </c>
      <c r="S37">
        <v>8</v>
      </c>
      <c r="T37">
        <v>5</v>
      </c>
    </row>
    <row r="38" spans="3:20" ht="15" customHeight="1" x14ac:dyDescent="0.25">
      <c r="C38" s="56"/>
      <c r="D38" s="57"/>
      <c r="E38" s="57">
        <v>8</v>
      </c>
      <c r="F38" s="57">
        <v>2</v>
      </c>
      <c r="G38" s="57" t="s">
        <v>700</v>
      </c>
      <c r="H38" s="57">
        <v>3.984E-2</v>
      </c>
      <c r="I38" s="57">
        <v>0.41749999999999998</v>
      </c>
      <c r="J38" s="57">
        <v>3.1480000000000001</v>
      </c>
      <c r="K38" s="59" t="str">
        <f t="shared" si="0"/>
        <v>0.42 (0.04 – 3.15)</v>
      </c>
      <c r="L38" s="16" t="str">
        <f t="shared" si="1"/>
        <v>0.42
(0.04 – 3.15)</v>
      </c>
      <c r="M38" s="57"/>
      <c r="N38" s="59" t="s">
        <v>447</v>
      </c>
      <c r="O38" s="16" t="s">
        <v>719</v>
      </c>
      <c r="P38">
        <v>2.75E-2</v>
      </c>
      <c r="Q38">
        <v>0.34789999999999999</v>
      </c>
      <c r="R38">
        <v>4.7720000000000002</v>
      </c>
      <c r="S38">
        <v>9</v>
      </c>
      <c r="T38">
        <v>5</v>
      </c>
    </row>
    <row r="39" spans="3:20" ht="15" customHeight="1" x14ac:dyDescent="0.25">
      <c r="C39" s="56"/>
      <c r="D39" s="57"/>
      <c r="E39" s="57">
        <v>8</v>
      </c>
      <c r="F39" s="57">
        <v>10</v>
      </c>
      <c r="G39" s="57" t="s">
        <v>743</v>
      </c>
      <c r="H39" s="57">
        <v>1.9584802193497845E-2</v>
      </c>
      <c r="I39" s="57">
        <v>0.24283632831471585</v>
      </c>
      <c r="J39" s="57">
        <v>2.2841480127912286</v>
      </c>
      <c r="K39" s="59" t="str">
        <f t="shared" si="0"/>
        <v>0.24 (0.02 – 2.28)</v>
      </c>
      <c r="L39" s="16" t="str">
        <f t="shared" si="1"/>
        <v>0.24
(0.02 – 2.28)</v>
      </c>
      <c r="M39" s="57"/>
      <c r="N39" s="59" t="s">
        <v>448</v>
      </c>
      <c r="O39" s="16" t="s">
        <v>720</v>
      </c>
      <c r="P39">
        <v>0.12959999999999999</v>
      </c>
      <c r="Q39">
        <v>1.6080000000000001</v>
      </c>
      <c r="R39">
        <v>21.86</v>
      </c>
      <c r="S39">
        <v>10</v>
      </c>
      <c r="T39">
        <v>5</v>
      </c>
    </row>
    <row r="40" spans="3:20" ht="15" customHeight="1" x14ac:dyDescent="0.25">
      <c r="C40" s="56"/>
      <c r="D40" s="57"/>
      <c r="E40" s="57">
        <v>3</v>
      </c>
      <c r="F40" s="57">
        <v>1</v>
      </c>
      <c r="G40" s="57" t="s">
        <v>687</v>
      </c>
      <c r="H40" s="57">
        <v>0.25990000000000002</v>
      </c>
      <c r="I40" s="57">
        <v>0.76990000000000003</v>
      </c>
      <c r="J40" s="57">
        <v>2.508</v>
      </c>
      <c r="K40" s="59" t="str">
        <f t="shared" si="0"/>
        <v>0.77 (0.26 – 2.51)</v>
      </c>
      <c r="L40" s="16" t="str">
        <f t="shared" si="1"/>
        <v>0.77
(0.26 – 2.51)</v>
      </c>
      <c r="M40" s="57"/>
      <c r="N40" s="59" t="s">
        <v>449</v>
      </c>
      <c r="O40" s="16" t="s">
        <v>721</v>
      </c>
      <c r="P40">
        <v>0.38500000000000001</v>
      </c>
      <c r="Q40">
        <v>21.07</v>
      </c>
      <c r="R40">
        <v>33620</v>
      </c>
      <c r="S40">
        <v>7</v>
      </c>
      <c r="T40">
        <v>6</v>
      </c>
    </row>
    <row r="41" spans="3:20" ht="15" customHeight="1" x14ac:dyDescent="0.25">
      <c r="C41" s="56"/>
      <c r="D41" s="57"/>
      <c r="E41" s="57">
        <v>3</v>
      </c>
      <c r="F41" s="57">
        <v>5</v>
      </c>
      <c r="G41" s="57" t="s">
        <v>765</v>
      </c>
      <c r="H41" s="57">
        <v>3.9432176656151417E-2</v>
      </c>
      <c r="I41" s="57">
        <v>0.53705692803437166</v>
      </c>
      <c r="J41" s="57">
        <v>7.59301442672741</v>
      </c>
      <c r="K41" s="59" t="str">
        <f t="shared" si="0"/>
        <v>0.54 (0.04 – 7.59)</v>
      </c>
      <c r="L41" s="16" t="str">
        <f t="shared" si="1"/>
        <v>0.54
(0.04 – 7.59)</v>
      </c>
      <c r="M41" s="57"/>
      <c r="N41" s="59" t="s">
        <v>450</v>
      </c>
      <c r="O41" s="16" t="s">
        <v>722</v>
      </c>
      <c r="P41">
        <v>0.54710000000000003</v>
      </c>
      <c r="Q41">
        <v>41.44</v>
      </c>
      <c r="R41">
        <v>57870</v>
      </c>
      <c r="S41">
        <v>8</v>
      </c>
      <c r="T41">
        <v>6</v>
      </c>
    </row>
    <row r="42" spans="3:20" ht="15" customHeight="1" x14ac:dyDescent="0.25">
      <c r="C42" s="56"/>
      <c r="D42" s="57"/>
      <c r="E42" s="57">
        <v>3</v>
      </c>
      <c r="F42" s="57">
        <v>2</v>
      </c>
      <c r="G42" s="57" t="s">
        <v>695</v>
      </c>
      <c r="H42" s="57">
        <v>0.19259999999999999</v>
      </c>
      <c r="I42" s="57">
        <v>0.57079999999999997</v>
      </c>
      <c r="J42" s="57">
        <v>1.6639999999999999</v>
      </c>
      <c r="K42" s="59" t="str">
        <f t="shared" si="0"/>
        <v>0.57 (0.19 – 1.66)</v>
      </c>
      <c r="L42" s="16" t="str">
        <f t="shared" si="1"/>
        <v>0.57
(0.19 – 1.66)</v>
      </c>
      <c r="M42" s="57"/>
      <c r="N42" s="59" t="s">
        <v>451</v>
      </c>
      <c r="O42" s="16" t="s">
        <v>723</v>
      </c>
      <c r="P42">
        <v>1.1459999999999999</v>
      </c>
      <c r="Q42">
        <v>33.92</v>
      </c>
      <c r="R42">
        <v>42200</v>
      </c>
      <c r="S42">
        <v>9</v>
      </c>
      <c r="T42">
        <v>6</v>
      </c>
    </row>
    <row r="43" spans="3:20" ht="15" customHeight="1" x14ac:dyDescent="0.25">
      <c r="C43" s="56"/>
      <c r="D43" s="57"/>
      <c r="E43" s="57">
        <v>3</v>
      </c>
      <c r="F43" s="57">
        <v>10</v>
      </c>
      <c r="G43" s="57" t="s">
        <v>739</v>
      </c>
      <c r="H43" s="57">
        <v>0.10161568946245302</v>
      </c>
      <c r="I43" s="57">
        <v>0.33829499323410012</v>
      </c>
      <c r="J43" s="57">
        <v>1.1043622308117063</v>
      </c>
      <c r="K43" s="59" t="str">
        <f t="shared" si="0"/>
        <v>0.34 (0.10 – 1.10)</v>
      </c>
      <c r="L43" s="16" t="str">
        <f t="shared" si="1"/>
        <v>0.34
(0.10 – 1.10)</v>
      </c>
      <c r="M43" s="57"/>
      <c r="N43" s="59" t="s">
        <v>452</v>
      </c>
      <c r="O43" s="16" t="s">
        <v>724</v>
      </c>
      <c r="P43">
        <v>4.1139999999999999</v>
      </c>
      <c r="Q43">
        <v>159</v>
      </c>
      <c r="R43">
        <v>189900</v>
      </c>
      <c r="S43">
        <v>10</v>
      </c>
      <c r="T43">
        <v>6</v>
      </c>
    </row>
    <row r="44" spans="3:20" ht="15" customHeight="1" x14ac:dyDescent="0.25">
      <c r="C44" s="56"/>
      <c r="D44" s="57"/>
      <c r="E44" s="57">
        <v>1</v>
      </c>
      <c r="F44" s="57">
        <v>5</v>
      </c>
      <c r="G44" s="57" t="s">
        <v>766</v>
      </c>
      <c r="H44" s="57">
        <v>5.7603686635944701E-2</v>
      </c>
      <c r="I44" s="57">
        <v>0.69979006298110569</v>
      </c>
      <c r="J44" s="57">
        <v>8.1900081900081894</v>
      </c>
      <c r="K44" s="59" t="str">
        <f t="shared" si="0"/>
        <v>0.70 (0.06 – 8.19)</v>
      </c>
      <c r="L44" s="16" t="str">
        <f t="shared" si="1"/>
        <v>0.70
(0.06 – 8.19)</v>
      </c>
      <c r="M44" s="57"/>
      <c r="N44" s="59" t="s">
        <v>453</v>
      </c>
      <c r="O44" s="16" t="s">
        <v>725</v>
      </c>
      <c r="P44">
        <v>0.12920000000000001</v>
      </c>
      <c r="Q44">
        <v>1.8640000000000001</v>
      </c>
      <c r="R44">
        <v>31.63</v>
      </c>
      <c r="S44">
        <v>8</v>
      </c>
      <c r="T44">
        <v>7</v>
      </c>
    </row>
    <row r="45" spans="3:20" ht="15" customHeight="1" x14ac:dyDescent="0.25">
      <c r="C45" s="56"/>
      <c r="D45" s="57"/>
      <c r="E45" s="57">
        <v>1</v>
      </c>
      <c r="F45" s="57">
        <v>2</v>
      </c>
      <c r="G45" s="57" t="s">
        <v>740</v>
      </c>
      <c r="H45" s="57">
        <v>0.34758428919012863</v>
      </c>
      <c r="I45" s="57">
        <v>0.75018754688672173</v>
      </c>
      <c r="J45" s="57">
        <v>1.2717792191275594</v>
      </c>
      <c r="K45" s="59" t="str">
        <f t="shared" si="0"/>
        <v>0.75 (0.35 – 1.27)</v>
      </c>
      <c r="L45" s="16" t="str">
        <f t="shared" si="1"/>
        <v>0.75
(0.35 – 1.27)</v>
      </c>
      <c r="M45" s="57"/>
      <c r="N45" s="59" t="s">
        <v>454</v>
      </c>
      <c r="O45" s="16" t="s">
        <v>726</v>
      </c>
      <c r="P45">
        <v>0.26</v>
      </c>
      <c r="Q45">
        <v>1.75</v>
      </c>
      <c r="R45">
        <v>12.67</v>
      </c>
      <c r="S45">
        <v>9</v>
      </c>
      <c r="T45">
        <v>7</v>
      </c>
    </row>
    <row r="46" spans="3:20" ht="15" customHeight="1" x14ac:dyDescent="0.25">
      <c r="C46" s="56"/>
      <c r="D46" s="57"/>
      <c r="E46" s="57">
        <v>1</v>
      </c>
      <c r="F46" s="57">
        <v>10</v>
      </c>
      <c r="G46" s="57" t="s">
        <v>741</v>
      </c>
      <c r="H46" s="57">
        <v>0.16857720836142953</v>
      </c>
      <c r="I46" s="57">
        <v>0.43346337234503685</v>
      </c>
      <c r="J46" s="57">
        <v>1.0077597500755819</v>
      </c>
      <c r="K46" s="59" t="str">
        <f t="shared" si="0"/>
        <v>0.43 (0.17 – 1.01)</v>
      </c>
      <c r="L46" s="16" t="str">
        <f t="shared" si="1"/>
        <v>0.43
(0.17 – 1.01)</v>
      </c>
      <c r="M46" s="57"/>
      <c r="N46" s="59" t="s">
        <v>455</v>
      </c>
      <c r="O46" s="16" t="s">
        <v>727</v>
      </c>
      <c r="P46">
        <v>1.218</v>
      </c>
      <c r="Q46">
        <v>7.9740000000000002</v>
      </c>
      <c r="R46">
        <v>58.2</v>
      </c>
      <c r="S46">
        <v>10</v>
      </c>
      <c r="T46">
        <v>7</v>
      </c>
    </row>
    <row r="47" spans="3:20" ht="15" customHeight="1" x14ac:dyDescent="0.25">
      <c r="C47" s="56"/>
      <c r="D47" s="57"/>
      <c r="E47" s="57">
        <v>5</v>
      </c>
      <c r="F47" s="57">
        <v>2</v>
      </c>
      <c r="G47" s="57" t="s">
        <v>697</v>
      </c>
      <c r="H47" s="57">
        <v>9.325E-2</v>
      </c>
      <c r="I47" s="57">
        <v>1.08</v>
      </c>
      <c r="J47" s="57">
        <v>10.9</v>
      </c>
      <c r="K47" s="59" t="str">
        <f t="shared" si="0"/>
        <v>1.08 (0.09 – 10.90)</v>
      </c>
      <c r="L47" s="16" t="str">
        <f t="shared" si="1"/>
        <v>1.08
(0.09 – 10.90)</v>
      </c>
      <c r="M47" s="57"/>
      <c r="N47" s="59" t="s">
        <v>456</v>
      </c>
      <c r="O47" s="16" t="s">
        <v>728</v>
      </c>
      <c r="P47">
        <v>9.1859999999999997E-2</v>
      </c>
      <c r="Q47">
        <v>0.89149999999999996</v>
      </c>
      <c r="R47">
        <v>11.48</v>
      </c>
      <c r="S47">
        <v>9</v>
      </c>
      <c r="T47">
        <v>8</v>
      </c>
    </row>
    <row r="48" spans="3:20" ht="15" customHeight="1" x14ac:dyDescent="0.25">
      <c r="C48" s="56"/>
      <c r="D48" s="57"/>
      <c r="E48" s="57">
        <v>5</v>
      </c>
      <c r="F48" s="57">
        <v>10</v>
      </c>
      <c r="G48" s="57" t="s">
        <v>735</v>
      </c>
      <c r="H48" s="57">
        <v>4.5745654162854532E-2</v>
      </c>
      <c r="I48" s="57">
        <v>0.62189054726368154</v>
      </c>
      <c r="J48" s="57">
        <v>7.7160493827160499</v>
      </c>
      <c r="K48" s="59" t="str">
        <f t="shared" si="0"/>
        <v>0.62 (0.05 – 7.72)</v>
      </c>
      <c r="L48" s="16" t="str">
        <f t="shared" si="1"/>
        <v>0.62
(0.05 – 7.72)</v>
      </c>
      <c r="M48" s="57"/>
      <c r="N48" s="59" t="s">
        <v>457</v>
      </c>
      <c r="O48" s="16" t="s">
        <v>729</v>
      </c>
      <c r="P48">
        <v>0.43780000000000002</v>
      </c>
      <c r="Q48">
        <v>4.1180000000000003</v>
      </c>
      <c r="R48">
        <v>51.06</v>
      </c>
      <c r="S48">
        <v>10</v>
      </c>
      <c r="T48">
        <v>8</v>
      </c>
    </row>
    <row r="49" spans="3:20" ht="15" customHeight="1" x14ac:dyDescent="0.25">
      <c r="C49" s="56"/>
      <c r="D49" s="57"/>
      <c r="E49" s="57">
        <v>2</v>
      </c>
      <c r="F49" s="57">
        <v>10</v>
      </c>
      <c r="G49" s="57" t="s">
        <v>744</v>
      </c>
      <c r="H49" s="57">
        <v>0.24384296513045597</v>
      </c>
      <c r="I49" s="57">
        <v>0.59206631142687982</v>
      </c>
      <c r="J49" s="57">
        <v>1.5209125475285172</v>
      </c>
      <c r="K49" s="59" t="str">
        <f t="shared" si="0"/>
        <v>0.59 (0.24 – 1.52)</v>
      </c>
      <c r="L49" s="16" t="str">
        <f t="shared" si="1"/>
        <v>0.59
(0.24 – 1.52)</v>
      </c>
      <c r="M49" s="57"/>
      <c r="N49" s="59" t="s">
        <v>458</v>
      </c>
      <c r="O49" s="16" t="s">
        <v>730</v>
      </c>
      <c r="P49">
        <v>2.097</v>
      </c>
      <c r="Q49">
        <v>4.5270000000000001</v>
      </c>
      <c r="R49">
        <v>10.47</v>
      </c>
      <c r="S49">
        <v>10</v>
      </c>
      <c r="T49">
        <v>9</v>
      </c>
    </row>
    <row r="50" spans="3:20" ht="15" hidden="1" customHeight="1" x14ac:dyDescent="0.25">
      <c r="C50" s="56"/>
      <c r="D50" s="57"/>
      <c r="E50" s="57"/>
      <c r="F50" s="57"/>
      <c r="G50" s="57"/>
      <c r="H50" s="57"/>
      <c r="I50" s="57"/>
      <c r="J50" s="57"/>
      <c r="K50" s="59" t="str">
        <f t="shared" si="0"/>
        <v>0.00 (0.00 – 0.00)</v>
      </c>
      <c r="L50" s="16" t="str">
        <f t="shared" si="1"/>
        <v>0.00
(0.00 – 0.00)</v>
      </c>
      <c r="M50" s="57"/>
      <c r="N50" s="59"/>
      <c r="O50" s="16"/>
    </row>
    <row r="51" spans="3:20" ht="15" hidden="1" customHeight="1" x14ac:dyDescent="0.25">
      <c r="C51" s="56"/>
      <c r="D51" s="57"/>
      <c r="E51" s="57"/>
      <c r="F51" s="57"/>
      <c r="G51" s="57"/>
      <c r="H51" s="57"/>
      <c r="I51" s="57"/>
      <c r="J51" s="57"/>
      <c r="K51" s="59" t="str">
        <f t="shared" si="0"/>
        <v>0.00 (0.00 – 0.00)</v>
      </c>
      <c r="L51" s="16" t="str">
        <f t="shared" si="1"/>
        <v>0.00
(0.00 – 0.00)</v>
      </c>
      <c r="M51" s="57"/>
      <c r="N51" s="59"/>
      <c r="O51" s="16"/>
    </row>
    <row r="52" spans="3:20" ht="15" hidden="1" customHeight="1" x14ac:dyDescent="0.25">
      <c r="C52" s="56"/>
      <c r="D52" s="57"/>
      <c r="E52" s="57"/>
      <c r="F52" s="57"/>
      <c r="G52" s="57"/>
      <c r="H52" s="57"/>
      <c r="I52" s="57"/>
      <c r="J52" s="57"/>
      <c r="K52" s="59" t="str">
        <f t="shared" si="0"/>
        <v>0.00 (0.00 – 0.00)</v>
      </c>
      <c r="L52" s="16" t="str">
        <f t="shared" si="1"/>
        <v>0.00
(0.00 – 0.00)</v>
      </c>
      <c r="M52" s="57"/>
      <c r="N52" s="59"/>
      <c r="O52" s="16"/>
    </row>
    <row r="53" spans="3:20" ht="15" hidden="1" customHeight="1" x14ac:dyDescent="0.25">
      <c r="C53" s="56"/>
      <c r="D53" s="57"/>
      <c r="E53" s="57"/>
      <c r="F53" s="57"/>
      <c r="G53" s="57"/>
      <c r="H53" s="57"/>
      <c r="I53" s="57"/>
      <c r="J53" s="57"/>
      <c r="K53" s="59" t="str">
        <f t="shared" si="0"/>
        <v>0.00 (0.00 – 0.00)</v>
      </c>
      <c r="L53" s="16" t="str">
        <f t="shared" si="1"/>
        <v>0.00
(0.00 – 0.00)</v>
      </c>
      <c r="M53" s="57"/>
      <c r="N53" s="59"/>
      <c r="O53" s="16"/>
    </row>
    <row r="54" spans="3:20" ht="15" hidden="1" customHeight="1" x14ac:dyDescent="0.25">
      <c r="C54" s="56"/>
      <c r="D54" s="57"/>
      <c r="E54" s="57"/>
      <c r="F54" s="57"/>
      <c r="G54" s="57"/>
      <c r="H54" s="57"/>
      <c r="I54" s="57"/>
      <c r="J54" s="57"/>
      <c r="K54" s="59" t="str">
        <f t="shared" si="0"/>
        <v>0.00 (0.00 – 0.00)</v>
      </c>
      <c r="L54" s="16" t="str">
        <f t="shared" si="1"/>
        <v>0.00
(0.00 – 0.00)</v>
      </c>
      <c r="M54" s="57"/>
      <c r="N54" s="59"/>
      <c r="O54" s="16"/>
    </row>
    <row r="55" spans="3:20" ht="15" hidden="1" customHeight="1" x14ac:dyDescent="0.25">
      <c r="C55" s="56"/>
      <c r="D55" s="57"/>
      <c r="E55" s="57"/>
      <c r="F55" s="57"/>
      <c r="G55" s="57"/>
      <c r="H55" s="57"/>
      <c r="I55" s="57"/>
      <c r="J55" s="57"/>
      <c r="K55" s="59" t="str">
        <f t="shared" si="0"/>
        <v>0.00 (0.00 – 0.00)</v>
      </c>
      <c r="L55" s="16" t="str">
        <f t="shared" si="1"/>
        <v>0.00
(0.00 – 0.00)</v>
      </c>
      <c r="M55" s="57"/>
      <c r="N55" s="59"/>
      <c r="O55" s="16"/>
    </row>
    <row r="56" spans="3:20" ht="15" hidden="1" customHeight="1" x14ac:dyDescent="0.25">
      <c r="C56" s="56"/>
      <c r="D56" s="57"/>
      <c r="E56" s="57"/>
      <c r="F56" s="57"/>
      <c r="G56" s="57"/>
      <c r="H56" s="57"/>
      <c r="I56" s="57"/>
      <c r="J56" s="57"/>
      <c r="K56" s="59" t="str">
        <f t="shared" si="0"/>
        <v>0.00 (0.00 – 0.00)</v>
      </c>
      <c r="L56" s="16" t="str">
        <f t="shared" si="1"/>
        <v>0.00
(0.00 – 0.00)</v>
      </c>
      <c r="M56" s="57"/>
      <c r="N56" s="59"/>
      <c r="O56" s="16"/>
    </row>
    <row r="57" spans="3:20" ht="15" hidden="1" customHeight="1" x14ac:dyDescent="0.25">
      <c r="C57" s="56"/>
      <c r="D57" s="57"/>
      <c r="E57" s="57"/>
      <c r="F57" s="57"/>
      <c r="G57" s="57"/>
      <c r="H57" s="57"/>
      <c r="I57" s="57"/>
      <c r="J57" s="57"/>
      <c r="K57" s="59" t="str">
        <f t="shared" si="0"/>
        <v>0.00 (0.00 – 0.00)</v>
      </c>
      <c r="L57" s="16" t="str">
        <f t="shared" si="1"/>
        <v>0.00
(0.00 – 0.00)</v>
      </c>
      <c r="M57" s="57"/>
      <c r="N57" s="59"/>
      <c r="O57" s="16"/>
    </row>
    <row r="58" spans="3:20" ht="15" hidden="1" customHeight="1" x14ac:dyDescent="0.25">
      <c r="C58" s="56"/>
      <c r="D58" s="57"/>
      <c r="E58" s="57"/>
      <c r="F58" s="57"/>
      <c r="G58" s="57"/>
      <c r="H58" s="57"/>
      <c r="I58" s="57"/>
      <c r="J58" s="57"/>
      <c r="K58" s="59" t="str">
        <f t="shared" si="0"/>
        <v>0.00 (0.00 – 0.00)</v>
      </c>
      <c r="L58" s="16" t="str">
        <f t="shared" si="1"/>
        <v>0.00
(0.00 – 0.00)</v>
      </c>
      <c r="M58" s="57"/>
      <c r="N58" s="59"/>
      <c r="O58" s="16"/>
    </row>
    <row r="59" spans="3:20" ht="15" hidden="1" customHeight="1" x14ac:dyDescent="0.25">
      <c r="C59" s="56"/>
      <c r="D59" s="57"/>
      <c r="E59" s="57"/>
      <c r="F59" s="57"/>
      <c r="G59" s="57"/>
      <c r="H59" s="57"/>
      <c r="I59" s="57"/>
      <c r="J59" s="57"/>
      <c r="K59" s="59" t="str">
        <f t="shared" si="0"/>
        <v>0.00 (0.00 – 0.00)</v>
      </c>
      <c r="L59" s="16" t="str">
        <f t="shared" si="1"/>
        <v>0.00
(0.00 – 0.00)</v>
      </c>
      <c r="M59" s="57"/>
      <c r="N59" s="59"/>
      <c r="O59" s="16"/>
    </row>
    <row r="60" spans="3:20" ht="15" hidden="1" customHeight="1" x14ac:dyDescent="0.25">
      <c r="C60" s="56"/>
      <c r="D60" s="57"/>
      <c r="E60" s="57"/>
      <c r="F60" s="57"/>
      <c r="G60" s="57"/>
      <c r="H60" s="57"/>
      <c r="I60" s="57"/>
      <c r="J60" s="57"/>
      <c r="K60" s="59" t="str">
        <f t="shared" si="0"/>
        <v>0.00 (0.00 – 0.00)</v>
      </c>
      <c r="L60" s="16" t="str">
        <f t="shared" si="1"/>
        <v>0.00
(0.00 – 0.00)</v>
      </c>
      <c r="M60" s="57"/>
      <c r="N60" s="59"/>
      <c r="O60" s="16"/>
    </row>
    <row r="61" spans="3:20" ht="15" hidden="1" customHeight="1" x14ac:dyDescent="0.25">
      <c r="C61" s="56"/>
      <c r="D61" s="57"/>
      <c r="E61" s="57"/>
      <c r="F61" s="57"/>
      <c r="G61" s="57"/>
      <c r="H61" s="57"/>
      <c r="I61" s="57"/>
      <c r="J61" s="57"/>
      <c r="K61" s="59" t="str">
        <f t="shared" si="0"/>
        <v>0.00 (0.00 – 0.00)</v>
      </c>
      <c r="L61" s="16" t="str">
        <f t="shared" si="1"/>
        <v>0.00
(0.00 – 0.00)</v>
      </c>
      <c r="M61" s="57"/>
      <c r="N61" s="59"/>
      <c r="O61" s="16"/>
    </row>
    <row r="62" spans="3:20" ht="15" hidden="1" customHeight="1" x14ac:dyDescent="0.25">
      <c r="C62" s="56"/>
      <c r="D62" s="57"/>
      <c r="E62" s="57"/>
      <c r="F62" s="57"/>
      <c r="G62" s="57"/>
      <c r="H62" s="57"/>
      <c r="I62" s="57"/>
      <c r="J62" s="57"/>
      <c r="K62" s="59" t="str">
        <f t="shared" si="0"/>
        <v>0.00 (0.00 – 0.00)</v>
      </c>
      <c r="L62" s="16" t="str">
        <f t="shared" si="1"/>
        <v>0.00
(0.00 – 0.00)</v>
      </c>
      <c r="M62" s="57"/>
      <c r="N62" s="59"/>
      <c r="O62" s="16"/>
    </row>
    <row r="63" spans="3:20" ht="15" hidden="1" customHeight="1" x14ac:dyDescent="0.25">
      <c r="C63" s="56"/>
      <c r="D63" s="57"/>
      <c r="E63" s="57"/>
      <c r="F63" s="57"/>
      <c r="G63" s="57"/>
      <c r="H63" s="57"/>
      <c r="I63" s="57"/>
      <c r="J63" s="57"/>
      <c r="K63" s="59" t="str">
        <f t="shared" si="0"/>
        <v>0.00 (0.00 – 0.00)</v>
      </c>
      <c r="L63" s="16" t="str">
        <f t="shared" si="1"/>
        <v>0.00
(0.00 – 0.00)</v>
      </c>
      <c r="M63" s="57"/>
      <c r="N63" s="59"/>
      <c r="O63" s="16"/>
    </row>
    <row r="64" spans="3:20"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0.1271 
95% CrI (0.04166 – 0.3609)</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1.1850000000000001</v>
      </c>
      <c r="E5" s="57">
        <v>5</v>
      </c>
      <c r="F5" s="57">
        <v>2</v>
      </c>
      <c r="G5" s="57" t="s">
        <v>697</v>
      </c>
      <c r="H5" s="57">
        <v>0.1004</v>
      </c>
      <c r="I5" s="57">
        <v>1.0669999999999999</v>
      </c>
      <c r="J5" s="57">
        <v>10.7</v>
      </c>
      <c r="K5" s="59" t="str">
        <f t="shared" ref="K5:K49" si="0">CONCATENATE(TEXT(I5,"0.00")," (",TEXT(H5,"0.00")," – ",TEXT(J5,"0.00"),")")</f>
        <v>1.07 (0.10 – 10.70)</v>
      </c>
      <c r="L5" s="16" t="str">
        <f t="shared" ref="L5:L49" si="1">CONCATENATE(TEXT(I5,"0.00"),"
(",TEXT(H5,"0.00")," – ",TEXT(J5,"0.00"),")")</f>
        <v>1.07
(0.10 – 10.70)</v>
      </c>
      <c r="N5" s="59" t="s">
        <v>414</v>
      </c>
      <c r="O5" s="16" t="s">
        <v>686</v>
      </c>
      <c r="P5">
        <v>0.84350000000000003</v>
      </c>
      <c r="Q5">
        <v>1.325</v>
      </c>
      <c r="R5">
        <v>2.1230000000000002</v>
      </c>
      <c r="S5">
        <v>2</v>
      </c>
      <c r="T5">
        <v>1</v>
      </c>
    </row>
    <row r="6" spans="1:20" x14ac:dyDescent="0.25">
      <c r="A6" t="s">
        <v>357</v>
      </c>
      <c r="B6" s="54">
        <v>7</v>
      </c>
      <c r="C6" s="54">
        <v>3.17</v>
      </c>
      <c r="E6" s="19">
        <v>9</v>
      </c>
      <c r="F6" s="19">
        <v>8</v>
      </c>
      <c r="G6" s="19" t="s">
        <v>728</v>
      </c>
      <c r="H6" s="19">
        <v>0.10199999999999999</v>
      </c>
      <c r="I6" s="19">
        <v>0.81910000000000005</v>
      </c>
      <c r="J6" s="19">
        <v>8.5950000000000006</v>
      </c>
      <c r="K6" s="59" t="str">
        <f t="shared" si="0"/>
        <v>0.82 (0.10 – 8.60)</v>
      </c>
      <c r="L6" s="16" t="str">
        <f t="shared" si="1"/>
        <v>0.82
(0.10 – 8.60)</v>
      </c>
      <c r="N6" s="59" t="s">
        <v>415</v>
      </c>
      <c r="O6" s="16" t="s">
        <v>687</v>
      </c>
      <c r="P6">
        <v>0.34399999999999997</v>
      </c>
      <c r="Q6">
        <v>0.75419999999999998</v>
      </c>
      <c r="R6">
        <v>1.8380000000000001</v>
      </c>
      <c r="S6">
        <v>3</v>
      </c>
      <c r="T6">
        <v>1</v>
      </c>
    </row>
    <row r="7" spans="1:20" x14ac:dyDescent="0.25">
      <c r="A7" t="s">
        <v>354</v>
      </c>
      <c r="B7" s="19">
        <v>4</v>
      </c>
      <c r="C7" s="19">
        <v>4.165</v>
      </c>
      <c r="E7" s="19">
        <v>8</v>
      </c>
      <c r="F7" s="59">
        <v>3</v>
      </c>
      <c r="G7" s="54" t="s">
        <v>707</v>
      </c>
      <c r="H7" s="16">
        <v>7.2580000000000006E-2</v>
      </c>
      <c r="I7" s="16">
        <v>0.8175</v>
      </c>
      <c r="J7" s="16">
        <v>6.5229999999999997</v>
      </c>
      <c r="K7" s="59" t="str">
        <f t="shared" si="0"/>
        <v>0.82 (0.07 – 6.52)</v>
      </c>
      <c r="L7" s="16" t="str">
        <f t="shared" si="1"/>
        <v>0.82
(0.07 – 6.52)</v>
      </c>
      <c r="N7" s="59" t="s">
        <v>416</v>
      </c>
      <c r="O7" s="16" t="s">
        <v>688</v>
      </c>
      <c r="P7">
        <v>2.342E-2</v>
      </c>
      <c r="Q7">
        <v>0.39389999999999997</v>
      </c>
      <c r="R7">
        <v>3.7679999999999998</v>
      </c>
      <c r="S7">
        <v>4</v>
      </c>
      <c r="T7">
        <v>1</v>
      </c>
    </row>
    <row r="8" spans="1:20" x14ac:dyDescent="0.25">
      <c r="A8" t="s">
        <v>359</v>
      </c>
      <c r="B8" s="54">
        <v>9</v>
      </c>
      <c r="C8" s="54">
        <v>4.18</v>
      </c>
      <c r="E8" s="19">
        <v>4</v>
      </c>
      <c r="F8" s="59">
        <v>9</v>
      </c>
      <c r="G8" s="54" t="s">
        <v>736</v>
      </c>
      <c r="H8" s="16">
        <v>4.9067713444553483E-2</v>
      </c>
      <c r="I8" s="16">
        <v>0.78492935635792782</v>
      </c>
      <c r="J8" s="16">
        <v>7.4239049740163336</v>
      </c>
      <c r="K8" s="59" t="str">
        <f t="shared" si="0"/>
        <v>0.78 (0.05 – 7.42)</v>
      </c>
      <c r="L8" s="16" t="str">
        <f t="shared" si="1"/>
        <v>0.78
(0.05 – 7.42)</v>
      </c>
      <c r="N8" s="59" t="s">
        <v>417</v>
      </c>
      <c r="O8" s="16" t="s">
        <v>689</v>
      </c>
      <c r="P8">
        <v>0.1295</v>
      </c>
      <c r="Q8">
        <v>1.4019999999999999</v>
      </c>
      <c r="R8">
        <v>15.95</v>
      </c>
      <c r="S8">
        <v>5</v>
      </c>
      <c r="T8">
        <v>1</v>
      </c>
    </row>
    <row r="9" spans="1:20" x14ac:dyDescent="0.25">
      <c r="A9" t="s">
        <v>358</v>
      </c>
      <c r="B9" s="19">
        <v>8</v>
      </c>
      <c r="C9" s="19">
        <v>5.2729999999999997</v>
      </c>
      <c r="E9" s="19">
        <v>1</v>
      </c>
      <c r="F9" s="19">
        <v>2</v>
      </c>
      <c r="G9" s="19" t="s">
        <v>740</v>
      </c>
      <c r="H9" s="19">
        <v>0.4710315591144606</v>
      </c>
      <c r="I9" s="19">
        <v>0.75471698113207553</v>
      </c>
      <c r="J9" s="19">
        <v>1.1855364552459988</v>
      </c>
      <c r="K9" s="59" t="str">
        <f t="shared" si="0"/>
        <v>0.75 (0.47 – 1.19)</v>
      </c>
      <c r="L9" s="16" t="str">
        <f t="shared" si="1"/>
        <v>0.75
(0.47 – 1.19)</v>
      </c>
      <c r="N9" s="59" t="s">
        <v>418</v>
      </c>
      <c r="O9" s="16" t="s">
        <v>690</v>
      </c>
      <c r="P9">
        <v>9.0590000000000006E-8</v>
      </c>
      <c r="Q9">
        <v>2.5530000000000001E-2</v>
      </c>
      <c r="R9">
        <v>0.29899999999999999</v>
      </c>
      <c r="S9">
        <v>6</v>
      </c>
      <c r="T9">
        <v>1</v>
      </c>
    </row>
    <row r="10" spans="1:20" x14ac:dyDescent="0.25">
      <c r="A10" t="s">
        <v>353</v>
      </c>
      <c r="B10" s="19">
        <v>3</v>
      </c>
      <c r="C10" s="19">
        <v>5.6989999999999998</v>
      </c>
      <c r="E10" s="19">
        <v>3</v>
      </c>
      <c r="F10" s="19">
        <v>1</v>
      </c>
      <c r="G10" s="19" t="s">
        <v>687</v>
      </c>
      <c r="H10" s="19">
        <v>0.34399999999999997</v>
      </c>
      <c r="I10" s="19">
        <v>0.75419999999999998</v>
      </c>
      <c r="J10" s="19">
        <v>1.8380000000000001</v>
      </c>
      <c r="K10" s="59" t="str">
        <f t="shared" si="0"/>
        <v>0.75 (0.34 – 1.84)</v>
      </c>
      <c r="L10" s="16" t="str">
        <f t="shared" si="1"/>
        <v>0.75
(0.34 – 1.84)</v>
      </c>
      <c r="N10" s="59" t="s">
        <v>419</v>
      </c>
      <c r="O10" s="16" t="s">
        <v>691</v>
      </c>
      <c r="P10">
        <v>5.5100000000000003E-2</v>
      </c>
      <c r="Q10">
        <v>0.2848</v>
      </c>
      <c r="R10">
        <v>1.252</v>
      </c>
      <c r="S10">
        <v>7</v>
      </c>
      <c r="T10">
        <v>1</v>
      </c>
    </row>
    <row r="11" spans="1:20" x14ac:dyDescent="0.25">
      <c r="A11" t="s">
        <v>351</v>
      </c>
      <c r="B11" s="19">
        <v>1</v>
      </c>
      <c r="C11" s="19">
        <v>6.649</v>
      </c>
      <c r="E11" s="19">
        <v>7</v>
      </c>
      <c r="F11" s="59">
        <v>4</v>
      </c>
      <c r="G11" s="54" t="s">
        <v>712</v>
      </c>
      <c r="H11" s="16">
        <v>4.7849999999999997E-2</v>
      </c>
      <c r="I11" s="16">
        <v>0.74060000000000004</v>
      </c>
      <c r="J11" s="16">
        <v>14.05</v>
      </c>
      <c r="K11" s="59" t="str">
        <f t="shared" si="0"/>
        <v>0.74 (0.05 – 14.05)</v>
      </c>
      <c r="L11" s="16" t="str">
        <f t="shared" si="1"/>
        <v>0.74
(0.05 – 14.05)</v>
      </c>
      <c r="N11" s="59" t="s">
        <v>420</v>
      </c>
      <c r="O11" s="16" t="s">
        <v>692</v>
      </c>
      <c r="P11">
        <v>5.8470000000000001E-2</v>
      </c>
      <c r="Q11">
        <v>0.62670000000000003</v>
      </c>
      <c r="R11">
        <v>4.1749999999999998</v>
      </c>
      <c r="S11">
        <v>8</v>
      </c>
      <c r="T11">
        <v>1</v>
      </c>
    </row>
    <row r="12" spans="1:20" x14ac:dyDescent="0.25">
      <c r="A12" t="s">
        <v>355</v>
      </c>
      <c r="B12" s="54">
        <v>5</v>
      </c>
      <c r="C12" s="54">
        <v>7.3250000000000002</v>
      </c>
      <c r="E12" s="57">
        <v>1</v>
      </c>
      <c r="F12" s="57">
        <v>5</v>
      </c>
      <c r="G12" s="57" t="s">
        <v>766</v>
      </c>
      <c r="H12" s="57">
        <v>6.269592476489029E-2</v>
      </c>
      <c r="I12" s="57">
        <v>0.71326676176890158</v>
      </c>
      <c r="J12" s="57">
        <v>7.7220077220077217</v>
      </c>
      <c r="K12" s="59" t="str">
        <f t="shared" si="0"/>
        <v>0.71 (0.06 – 7.72)</v>
      </c>
      <c r="L12" s="16" t="str">
        <f t="shared" si="1"/>
        <v>0.71
(0.06 – 7.72)</v>
      </c>
      <c r="N12" s="59" t="s">
        <v>421</v>
      </c>
      <c r="O12" s="16" t="s">
        <v>693</v>
      </c>
      <c r="P12">
        <v>0.23980000000000001</v>
      </c>
      <c r="Q12">
        <v>0.50009999999999999</v>
      </c>
      <c r="R12">
        <v>1.083</v>
      </c>
      <c r="S12">
        <v>9</v>
      </c>
      <c r="T12">
        <v>1</v>
      </c>
    </row>
    <row r="13" spans="1:20" x14ac:dyDescent="0.25">
      <c r="A13" t="s">
        <v>352</v>
      </c>
      <c r="B13" s="19">
        <v>2</v>
      </c>
      <c r="C13" s="19">
        <v>7.9020000000000001</v>
      </c>
      <c r="E13" s="19">
        <v>9</v>
      </c>
      <c r="F13" s="19">
        <v>3</v>
      </c>
      <c r="G13" s="19" t="s">
        <v>708</v>
      </c>
      <c r="H13" s="19">
        <v>0.2828</v>
      </c>
      <c r="I13" s="19">
        <v>0.66490000000000005</v>
      </c>
      <c r="J13" s="19">
        <v>1.4710000000000001</v>
      </c>
      <c r="K13" s="59" t="str">
        <f t="shared" si="0"/>
        <v>0.66 (0.28 – 1.47)</v>
      </c>
      <c r="L13" s="16" t="str">
        <f t="shared" si="1"/>
        <v>0.66
(0.28 – 1.47)</v>
      </c>
      <c r="N13" s="59" t="s">
        <v>422</v>
      </c>
      <c r="O13" s="16" t="s">
        <v>694</v>
      </c>
      <c r="P13">
        <v>1.159</v>
      </c>
      <c r="Q13">
        <v>2.464</v>
      </c>
      <c r="R13">
        <v>5.2750000000000004</v>
      </c>
      <c r="S13">
        <v>10</v>
      </c>
      <c r="T13">
        <v>1</v>
      </c>
    </row>
    <row r="14" spans="1:20" x14ac:dyDescent="0.25">
      <c r="A14" t="s">
        <v>360</v>
      </c>
      <c r="B14" s="54">
        <v>10</v>
      </c>
      <c r="C14" s="54">
        <v>9.4529999999999994</v>
      </c>
      <c r="E14" s="19">
        <v>4</v>
      </c>
      <c r="F14" s="19">
        <v>8</v>
      </c>
      <c r="G14" s="19" t="s">
        <v>737</v>
      </c>
      <c r="H14" s="19">
        <v>2.0907380305247754E-2</v>
      </c>
      <c r="I14" s="19">
        <v>0.64935064935064934</v>
      </c>
      <c r="J14" s="19">
        <v>13.902405116085085</v>
      </c>
      <c r="K14" s="59" t="str">
        <f t="shared" si="0"/>
        <v>0.65 (0.02 – 13.90)</v>
      </c>
      <c r="L14" s="16" t="str">
        <f t="shared" si="1"/>
        <v>0.65
(0.02 – 13.90)</v>
      </c>
      <c r="N14" s="59" t="s">
        <v>423</v>
      </c>
      <c r="O14" s="16" t="s">
        <v>695</v>
      </c>
      <c r="P14">
        <v>0.25459999999999999</v>
      </c>
      <c r="Q14">
        <v>0.56879999999999997</v>
      </c>
      <c r="R14">
        <v>1.43</v>
      </c>
      <c r="S14">
        <v>3</v>
      </c>
      <c r="T14">
        <v>2</v>
      </c>
    </row>
    <row r="15" spans="1:20" ht="15" customHeight="1" x14ac:dyDescent="0.25">
      <c r="E15" s="19">
        <v>8</v>
      </c>
      <c r="F15" s="19">
        <v>1</v>
      </c>
      <c r="G15" s="19" t="s">
        <v>692</v>
      </c>
      <c r="H15" s="19">
        <v>5.8470000000000001E-2</v>
      </c>
      <c r="I15" s="19">
        <v>0.62670000000000003</v>
      </c>
      <c r="J15" s="19">
        <v>4.1749999999999998</v>
      </c>
      <c r="K15" s="59" t="str">
        <f t="shared" si="0"/>
        <v>0.63 (0.06 – 4.18)</v>
      </c>
      <c r="L15" s="16" t="str">
        <f t="shared" si="1"/>
        <v>0.63
(0.06 – 4.18)</v>
      </c>
      <c r="N15" s="59" t="s">
        <v>424</v>
      </c>
      <c r="O15" s="16" t="s">
        <v>696</v>
      </c>
      <c r="P15">
        <v>1.6740000000000001E-2</v>
      </c>
      <c r="Q15">
        <v>0.30349999999999999</v>
      </c>
      <c r="R15">
        <v>2.7679999999999998</v>
      </c>
      <c r="S15">
        <v>4</v>
      </c>
      <c r="T15">
        <v>2</v>
      </c>
    </row>
    <row r="16" spans="1:20" ht="15" customHeight="1" x14ac:dyDescent="0.25">
      <c r="E16" s="19">
        <v>5</v>
      </c>
      <c r="F16" s="59">
        <v>10</v>
      </c>
      <c r="G16" s="54" t="s">
        <v>735</v>
      </c>
      <c r="H16" s="16">
        <v>4.5433893684688774E-2</v>
      </c>
      <c r="I16" s="16">
        <v>0.58582308142940831</v>
      </c>
      <c r="J16" s="16">
        <v>6.1425061425061429</v>
      </c>
      <c r="K16" s="59" t="str">
        <f t="shared" si="0"/>
        <v>0.59 (0.05 – 6.14)</v>
      </c>
      <c r="L16" s="16" t="str">
        <f t="shared" si="1"/>
        <v>0.59
(0.05 – 6.14)</v>
      </c>
      <c r="N16" s="59" t="s">
        <v>425</v>
      </c>
      <c r="O16" s="16" t="s">
        <v>697</v>
      </c>
      <c r="P16">
        <v>0.1004</v>
      </c>
      <c r="Q16">
        <v>1.0669999999999999</v>
      </c>
      <c r="R16">
        <v>10.7</v>
      </c>
      <c r="S16">
        <v>5</v>
      </c>
      <c r="T16">
        <v>2</v>
      </c>
    </row>
    <row r="17" spans="5:20" ht="15" customHeight="1" x14ac:dyDescent="0.25">
      <c r="E17" s="57">
        <v>3</v>
      </c>
      <c r="F17" s="57">
        <v>2</v>
      </c>
      <c r="G17" s="57" t="s">
        <v>695</v>
      </c>
      <c r="H17" s="57">
        <v>0.25459999999999999</v>
      </c>
      <c r="I17" s="57">
        <v>0.56879999999999997</v>
      </c>
      <c r="J17" s="57">
        <v>1.43</v>
      </c>
      <c r="K17" s="59" t="str">
        <f t="shared" si="0"/>
        <v>0.57 (0.25 – 1.43)</v>
      </c>
      <c r="L17" s="16" t="str">
        <f t="shared" si="1"/>
        <v>0.57
(0.25 – 1.43)</v>
      </c>
      <c r="N17" s="59" t="s">
        <v>426</v>
      </c>
      <c r="O17" s="16" t="s">
        <v>698</v>
      </c>
      <c r="P17">
        <v>7.2639999999999994E-8</v>
      </c>
      <c r="Q17">
        <v>1.907E-2</v>
      </c>
      <c r="R17">
        <v>0.23419999999999999</v>
      </c>
      <c r="S17">
        <v>6</v>
      </c>
      <c r="T17">
        <v>2</v>
      </c>
    </row>
    <row r="18" spans="5:20" ht="15" customHeight="1" x14ac:dyDescent="0.25">
      <c r="E18" s="57">
        <v>7</v>
      </c>
      <c r="F18" s="57">
        <v>9</v>
      </c>
      <c r="G18" s="57" t="s">
        <v>763</v>
      </c>
      <c r="H18" s="57">
        <v>9.2165898617511524E-2</v>
      </c>
      <c r="I18" s="57">
        <v>0.56465273856578202</v>
      </c>
      <c r="J18" s="57">
        <v>2.8058361391694726</v>
      </c>
      <c r="K18" s="59" t="str">
        <f t="shared" si="0"/>
        <v>0.56 (0.09 – 2.81)</v>
      </c>
      <c r="L18" s="16" t="str">
        <f t="shared" si="1"/>
        <v>0.56
(0.09 – 2.81)</v>
      </c>
      <c r="N18" s="59" t="s">
        <v>427</v>
      </c>
      <c r="O18" s="16" t="s">
        <v>699</v>
      </c>
      <c r="P18">
        <v>4.4139999999999999E-2</v>
      </c>
      <c r="Q18">
        <v>0.21479999999999999</v>
      </c>
      <c r="R18">
        <v>0.84789999999999999</v>
      </c>
      <c r="S18">
        <v>7</v>
      </c>
      <c r="T18">
        <v>2</v>
      </c>
    </row>
    <row r="19" spans="5:20" ht="15" customHeight="1" x14ac:dyDescent="0.25">
      <c r="E19" s="19">
        <v>2</v>
      </c>
      <c r="F19" s="59">
        <v>10</v>
      </c>
      <c r="G19" s="54" t="s">
        <v>744</v>
      </c>
      <c r="H19" s="16">
        <v>0.25568908207619534</v>
      </c>
      <c r="I19" s="16">
        <v>0.5420054200542006</v>
      </c>
      <c r="J19" s="16">
        <v>1.1380448389666553</v>
      </c>
      <c r="K19" s="59" t="str">
        <f t="shared" si="0"/>
        <v>0.54 (0.26 – 1.14)</v>
      </c>
      <c r="L19" s="16" t="str">
        <f t="shared" si="1"/>
        <v>0.54
(0.26 – 1.14)</v>
      </c>
      <c r="N19" s="59" t="s">
        <v>428</v>
      </c>
      <c r="O19" s="16" t="s">
        <v>700</v>
      </c>
      <c r="P19">
        <v>4.675E-2</v>
      </c>
      <c r="Q19">
        <v>0.4753</v>
      </c>
      <c r="R19">
        <v>3.097</v>
      </c>
      <c r="S19">
        <v>8</v>
      </c>
      <c r="T19">
        <v>2</v>
      </c>
    </row>
    <row r="20" spans="5:20" ht="15" customHeight="1" x14ac:dyDescent="0.25">
      <c r="E20" s="57">
        <v>3</v>
      </c>
      <c r="F20" s="57">
        <v>5</v>
      </c>
      <c r="G20" s="57" t="s">
        <v>765</v>
      </c>
      <c r="H20" s="57">
        <v>5.0226017076845805E-2</v>
      </c>
      <c r="I20" s="57">
        <v>0.54083288263926443</v>
      </c>
      <c r="J20" s="57">
        <v>6.9300069300069298</v>
      </c>
      <c r="K20" s="59" t="str">
        <f t="shared" si="0"/>
        <v>0.54 (0.05 – 6.93)</v>
      </c>
      <c r="L20" s="16" t="str">
        <f t="shared" si="1"/>
        <v>0.54
(0.05 – 6.93)</v>
      </c>
      <c r="N20" s="59" t="s">
        <v>429</v>
      </c>
      <c r="O20" s="16" t="s">
        <v>701</v>
      </c>
      <c r="P20">
        <v>0.17369999999999999</v>
      </c>
      <c r="Q20">
        <v>0.38109999999999999</v>
      </c>
      <c r="R20">
        <v>0.8528</v>
      </c>
      <c r="S20">
        <v>9</v>
      </c>
      <c r="T20">
        <v>2</v>
      </c>
    </row>
    <row r="21" spans="5:20" ht="15" customHeight="1" x14ac:dyDescent="0.25">
      <c r="E21" s="57">
        <v>4</v>
      </c>
      <c r="F21" s="57">
        <v>3</v>
      </c>
      <c r="G21" s="57" t="s">
        <v>703</v>
      </c>
      <c r="H21" s="57">
        <v>3.4959999999999998E-2</v>
      </c>
      <c r="I21" s="57">
        <v>0.51880000000000004</v>
      </c>
      <c r="J21" s="57">
        <v>3.9329999999999998</v>
      </c>
      <c r="K21" s="59" t="str">
        <f t="shared" si="0"/>
        <v>0.52 (0.03 – 3.93)</v>
      </c>
      <c r="L21" s="16" t="str">
        <f t="shared" si="1"/>
        <v>0.52
(0.03 – 3.93)</v>
      </c>
      <c r="N21" s="59" t="s">
        <v>430</v>
      </c>
      <c r="O21" s="16" t="s">
        <v>702</v>
      </c>
      <c r="P21">
        <v>0.87870000000000004</v>
      </c>
      <c r="Q21">
        <v>1.845</v>
      </c>
      <c r="R21">
        <v>3.911</v>
      </c>
      <c r="S21">
        <v>10</v>
      </c>
      <c r="T21">
        <v>2</v>
      </c>
    </row>
    <row r="22" spans="5:20" ht="15" customHeight="1" x14ac:dyDescent="0.25">
      <c r="E22" s="19">
        <v>9</v>
      </c>
      <c r="F22" s="59">
        <v>1</v>
      </c>
      <c r="G22" s="54" t="s">
        <v>693</v>
      </c>
      <c r="H22" s="16">
        <v>0.23980000000000001</v>
      </c>
      <c r="I22" s="16">
        <v>0.50009999999999999</v>
      </c>
      <c r="J22" s="16">
        <v>1.083</v>
      </c>
      <c r="K22" s="59" t="str">
        <f t="shared" si="0"/>
        <v>0.50 (0.24 – 1.08)</v>
      </c>
      <c r="L22" s="16" t="str">
        <f t="shared" si="1"/>
        <v>0.50
(0.24 – 1.08)</v>
      </c>
      <c r="N22" s="59" t="s">
        <v>431</v>
      </c>
      <c r="O22" s="16" t="s">
        <v>703</v>
      </c>
      <c r="P22">
        <v>3.4959999999999998E-2</v>
      </c>
      <c r="Q22">
        <v>0.51880000000000004</v>
      </c>
      <c r="R22">
        <v>3.9329999999999998</v>
      </c>
      <c r="S22">
        <v>4</v>
      </c>
      <c r="T22">
        <v>3</v>
      </c>
    </row>
    <row r="23" spans="5:20" ht="15" customHeight="1" x14ac:dyDescent="0.25">
      <c r="E23" s="19">
        <v>8</v>
      </c>
      <c r="F23" s="19">
        <v>2</v>
      </c>
      <c r="G23" s="19" t="s">
        <v>700</v>
      </c>
      <c r="H23" s="19">
        <v>4.675E-2</v>
      </c>
      <c r="I23" s="19">
        <v>0.4753</v>
      </c>
      <c r="J23" s="19">
        <v>3.097</v>
      </c>
      <c r="K23" s="59" t="str">
        <f t="shared" si="0"/>
        <v>0.48 (0.05 – 3.10)</v>
      </c>
      <c r="L23" s="16" t="str">
        <f t="shared" si="1"/>
        <v>0.48
(0.05 – 3.10)</v>
      </c>
      <c r="N23" s="59" t="s">
        <v>432</v>
      </c>
      <c r="O23" s="16" t="s">
        <v>704</v>
      </c>
      <c r="P23">
        <v>0.14430000000000001</v>
      </c>
      <c r="Q23">
        <v>1.849</v>
      </c>
      <c r="R23">
        <v>19.91</v>
      </c>
      <c r="S23">
        <v>5</v>
      </c>
      <c r="T23">
        <v>3</v>
      </c>
    </row>
    <row r="24" spans="5:20" ht="15" customHeight="1" x14ac:dyDescent="0.25">
      <c r="E24" s="57">
        <v>8</v>
      </c>
      <c r="F24" s="57">
        <v>5</v>
      </c>
      <c r="G24" s="57" t="s">
        <v>718</v>
      </c>
      <c r="H24" s="57">
        <v>1.6E-2</v>
      </c>
      <c r="I24" s="57">
        <v>0.4466</v>
      </c>
      <c r="J24" s="57">
        <v>8.673</v>
      </c>
      <c r="K24" s="59" t="str">
        <f t="shared" si="0"/>
        <v>0.45 (0.02 – 8.67)</v>
      </c>
      <c r="L24" s="16" t="str">
        <f t="shared" si="1"/>
        <v>0.45
(0.02 – 8.67)</v>
      </c>
      <c r="N24" s="59" t="s">
        <v>433</v>
      </c>
      <c r="O24" s="16" t="s">
        <v>705</v>
      </c>
      <c r="P24">
        <v>1.2940000000000001E-7</v>
      </c>
      <c r="Q24">
        <v>3.3570000000000003E-2</v>
      </c>
      <c r="R24">
        <v>0.34320000000000001</v>
      </c>
      <c r="S24">
        <v>6</v>
      </c>
      <c r="T24">
        <v>3</v>
      </c>
    </row>
    <row r="25" spans="5:20" ht="15" customHeight="1" x14ac:dyDescent="0.25">
      <c r="E25" s="19">
        <v>7</v>
      </c>
      <c r="F25" s="19">
        <v>8</v>
      </c>
      <c r="G25" s="19" t="s">
        <v>762</v>
      </c>
      <c r="H25" s="19">
        <v>3.8595137012736397E-2</v>
      </c>
      <c r="I25" s="19">
        <v>0.44247787610619471</v>
      </c>
      <c r="J25" s="19">
        <v>6.0532687651331711</v>
      </c>
      <c r="K25" s="59" t="str">
        <f t="shared" si="0"/>
        <v>0.44 (0.04 – 6.05)</v>
      </c>
      <c r="L25" s="16" t="str">
        <f t="shared" si="1"/>
        <v>0.44
(0.04 – 6.05)</v>
      </c>
      <c r="N25" s="59" t="s">
        <v>434</v>
      </c>
      <c r="O25" s="16" t="s">
        <v>706</v>
      </c>
      <c r="P25">
        <v>6.216E-2</v>
      </c>
      <c r="Q25">
        <v>0.35959999999999998</v>
      </c>
      <c r="R25">
        <v>1.899</v>
      </c>
      <c r="S25">
        <v>7</v>
      </c>
      <c r="T25">
        <v>3</v>
      </c>
    </row>
    <row r="26" spans="5:20" ht="15" customHeight="1" x14ac:dyDescent="0.25">
      <c r="E26" s="57">
        <v>1</v>
      </c>
      <c r="F26" s="57">
        <v>10</v>
      </c>
      <c r="G26" s="57" t="s">
        <v>741</v>
      </c>
      <c r="H26" s="57">
        <v>0.1895734597156398</v>
      </c>
      <c r="I26" s="57">
        <v>0.40584415584415584</v>
      </c>
      <c r="J26" s="57">
        <v>0.86281276962899045</v>
      </c>
      <c r="K26" s="59" t="str">
        <f t="shared" si="0"/>
        <v>0.41 (0.19 – 0.86)</v>
      </c>
      <c r="L26" s="16" t="str">
        <f t="shared" si="1"/>
        <v>0.41
(0.19 – 0.86)</v>
      </c>
      <c r="N26" s="59" t="s">
        <v>435</v>
      </c>
      <c r="O26" s="16" t="s">
        <v>707</v>
      </c>
      <c r="P26">
        <v>7.2580000000000006E-2</v>
      </c>
      <c r="Q26">
        <v>0.8175</v>
      </c>
      <c r="R26">
        <v>6.5229999999999997</v>
      </c>
      <c r="S26">
        <v>8</v>
      </c>
      <c r="T26">
        <v>3</v>
      </c>
    </row>
    <row r="27" spans="5:20" ht="15" customHeight="1" x14ac:dyDescent="0.25">
      <c r="E27" s="57">
        <v>4</v>
      </c>
      <c r="F27" s="57">
        <v>1</v>
      </c>
      <c r="G27" s="57" t="s">
        <v>688</v>
      </c>
      <c r="H27" s="57">
        <v>2.342E-2</v>
      </c>
      <c r="I27" s="57">
        <v>0.39389999999999997</v>
      </c>
      <c r="J27" s="57">
        <v>3.7679999999999998</v>
      </c>
      <c r="K27" s="59" t="str">
        <f t="shared" si="0"/>
        <v>0.39 (0.02 – 3.77)</v>
      </c>
      <c r="L27" s="16" t="str">
        <f t="shared" si="1"/>
        <v>0.39
(0.02 – 3.77)</v>
      </c>
      <c r="N27" s="59" t="s">
        <v>436</v>
      </c>
      <c r="O27" s="16" t="s">
        <v>708</v>
      </c>
      <c r="P27">
        <v>0.2828</v>
      </c>
      <c r="Q27">
        <v>0.66490000000000005</v>
      </c>
      <c r="R27">
        <v>1.4710000000000001</v>
      </c>
      <c r="S27">
        <v>9</v>
      </c>
      <c r="T27">
        <v>3</v>
      </c>
    </row>
    <row r="28" spans="5:20" ht="15" customHeight="1" x14ac:dyDescent="0.25">
      <c r="E28" s="19">
        <v>9</v>
      </c>
      <c r="F28" s="19">
        <v>2</v>
      </c>
      <c r="G28" s="19" t="s">
        <v>701</v>
      </c>
      <c r="H28" s="19">
        <v>0.17369999999999999</v>
      </c>
      <c r="I28" s="19">
        <v>0.38109999999999999</v>
      </c>
      <c r="J28" s="19">
        <v>0.8528</v>
      </c>
      <c r="K28" s="59" t="str">
        <f t="shared" si="0"/>
        <v>0.38 (0.17 – 0.85)</v>
      </c>
      <c r="L28" s="16" t="str">
        <f t="shared" si="1"/>
        <v>0.38
(0.17 – 0.85)</v>
      </c>
      <c r="N28" s="59" t="s">
        <v>437</v>
      </c>
      <c r="O28" s="16" t="s">
        <v>709</v>
      </c>
      <c r="P28">
        <v>1.222</v>
      </c>
      <c r="Q28">
        <v>3.2629999999999999</v>
      </c>
      <c r="R28">
        <v>7.8390000000000004</v>
      </c>
      <c r="S28">
        <v>10</v>
      </c>
      <c r="T28">
        <v>3</v>
      </c>
    </row>
    <row r="29" spans="5:20" ht="15" customHeight="1" x14ac:dyDescent="0.25">
      <c r="E29" s="19">
        <v>7</v>
      </c>
      <c r="F29" s="19">
        <v>3</v>
      </c>
      <c r="G29" s="19" t="s">
        <v>706</v>
      </c>
      <c r="H29" s="19">
        <v>6.216E-2</v>
      </c>
      <c r="I29" s="19">
        <v>0.35959999999999998</v>
      </c>
      <c r="J29" s="19">
        <v>1.899</v>
      </c>
      <c r="K29" s="59" t="str">
        <f t="shared" si="0"/>
        <v>0.36 (0.06 – 1.90)</v>
      </c>
      <c r="L29" s="16" t="str">
        <f t="shared" si="1"/>
        <v>0.36
(0.06 – 1.90)</v>
      </c>
      <c r="N29" s="59" t="s">
        <v>438</v>
      </c>
      <c r="O29" s="16" t="s">
        <v>710</v>
      </c>
      <c r="P29">
        <v>0.15359999999999999</v>
      </c>
      <c r="Q29">
        <v>3.7109999999999999</v>
      </c>
      <c r="R29">
        <v>112.9</v>
      </c>
      <c r="S29">
        <v>5</v>
      </c>
      <c r="T29">
        <v>4</v>
      </c>
    </row>
    <row r="30" spans="5:20" ht="15" customHeight="1" x14ac:dyDescent="0.25">
      <c r="E30" s="19">
        <v>9</v>
      </c>
      <c r="F30" s="19">
        <v>5</v>
      </c>
      <c r="G30" s="19" t="s">
        <v>719</v>
      </c>
      <c r="H30" s="19">
        <v>3.1620000000000002E-2</v>
      </c>
      <c r="I30" s="19">
        <v>0.35439999999999999</v>
      </c>
      <c r="J30" s="19">
        <v>4.6459999999999999</v>
      </c>
      <c r="K30" s="59" t="str">
        <f t="shared" si="0"/>
        <v>0.35 (0.03 – 4.65)</v>
      </c>
      <c r="L30" s="16" t="str">
        <f t="shared" si="1"/>
        <v>0.35
(0.03 – 4.65)</v>
      </c>
      <c r="N30" s="59" t="s">
        <v>439</v>
      </c>
      <c r="O30" s="16" t="s">
        <v>711</v>
      </c>
      <c r="P30">
        <v>3.9070000000000002E-7</v>
      </c>
      <c r="Q30">
        <v>5.8680000000000003E-2</v>
      </c>
      <c r="R30">
        <v>3.01</v>
      </c>
      <c r="S30">
        <v>6</v>
      </c>
      <c r="T30">
        <v>4</v>
      </c>
    </row>
    <row r="31" spans="5:20" ht="15" customHeight="1" x14ac:dyDescent="0.25">
      <c r="E31" s="19">
        <v>3</v>
      </c>
      <c r="F31" s="59">
        <v>10</v>
      </c>
      <c r="G31" s="54" t="s">
        <v>739</v>
      </c>
      <c r="H31" s="16">
        <v>0.12756729174639622</v>
      </c>
      <c r="I31" s="16">
        <v>0.30646644192460926</v>
      </c>
      <c r="J31" s="16">
        <v>0.81833060556464809</v>
      </c>
      <c r="K31" s="59" t="str">
        <f t="shared" si="0"/>
        <v>0.31 (0.13 – 0.82)</v>
      </c>
      <c r="L31" s="16" t="str">
        <f t="shared" si="1"/>
        <v>0.31
(0.13 – 0.82)</v>
      </c>
      <c r="N31" s="59" t="s">
        <v>440</v>
      </c>
      <c r="O31" s="16" t="s">
        <v>712</v>
      </c>
      <c r="P31">
        <v>4.7849999999999997E-2</v>
      </c>
      <c r="Q31">
        <v>0.74060000000000004</v>
      </c>
      <c r="R31">
        <v>14.05</v>
      </c>
      <c r="S31">
        <v>7</v>
      </c>
      <c r="T31">
        <v>4</v>
      </c>
    </row>
    <row r="32" spans="5:20" ht="15" customHeight="1" x14ac:dyDescent="0.25">
      <c r="E32" s="57">
        <v>4</v>
      </c>
      <c r="F32" s="57">
        <v>2</v>
      </c>
      <c r="G32" s="57" t="s">
        <v>696</v>
      </c>
      <c r="H32" s="57">
        <v>1.6740000000000001E-2</v>
      </c>
      <c r="I32" s="57">
        <v>0.30349999999999999</v>
      </c>
      <c r="J32" s="57">
        <v>2.7679999999999998</v>
      </c>
      <c r="K32" s="59" t="str">
        <f t="shared" si="0"/>
        <v>0.30 (0.02 – 2.77)</v>
      </c>
      <c r="L32" s="16" t="str">
        <f t="shared" si="1"/>
        <v>0.30
(0.02 – 2.77)</v>
      </c>
      <c r="N32" s="59" t="s">
        <v>441</v>
      </c>
      <c r="O32" s="16" t="s">
        <v>713</v>
      </c>
      <c r="P32">
        <v>7.1929999999999994E-2</v>
      </c>
      <c r="Q32">
        <v>1.54</v>
      </c>
      <c r="R32">
        <v>47.83</v>
      </c>
      <c r="S32">
        <v>8</v>
      </c>
      <c r="T32">
        <v>4</v>
      </c>
    </row>
    <row r="33" spans="3:20" ht="15" customHeight="1" x14ac:dyDescent="0.25">
      <c r="E33" s="19">
        <v>7</v>
      </c>
      <c r="F33" s="59">
        <v>1</v>
      </c>
      <c r="G33" s="54" t="s">
        <v>691</v>
      </c>
      <c r="H33" s="16">
        <v>5.5100000000000003E-2</v>
      </c>
      <c r="I33" s="16">
        <v>0.2848</v>
      </c>
      <c r="J33" s="16">
        <v>1.252</v>
      </c>
      <c r="K33" s="59" t="str">
        <f t="shared" si="0"/>
        <v>0.28 (0.06 – 1.25)</v>
      </c>
      <c r="L33" s="16" t="str">
        <f t="shared" si="1"/>
        <v>0.28
(0.06 – 1.25)</v>
      </c>
      <c r="N33" s="59" t="s">
        <v>442</v>
      </c>
      <c r="O33" s="16" t="s">
        <v>714</v>
      </c>
      <c r="P33">
        <v>0.13469999999999999</v>
      </c>
      <c r="Q33">
        <v>1.274</v>
      </c>
      <c r="R33">
        <v>20.38</v>
      </c>
      <c r="S33">
        <v>9</v>
      </c>
      <c r="T33">
        <v>4</v>
      </c>
    </row>
    <row r="34" spans="3:20" ht="15" customHeight="1" x14ac:dyDescent="0.25">
      <c r="E34" s="19">
        <v>4</v>
      </c>
      <c r="F34" s="19">
        <v>5</v>
      </c>
      <c r="G34" s="19" t="s">
        <v>764</v>
      </c>
      <c r="H34" s="19">
        <v>8.8573959255978732E-3</v>
      </c>
      <c r="I34" s="19">
        <v>0.2694691457828079</v>
      </c>
      <c r="J34" s="19">
        <v>6.510416666666667</v>
      </c>
      <c r="K34" s="59" t="str">
        <f t="shared" si="0"/>
        <v>0.27 (0.01 – 6.51)</v>
      </c>
      <c r="L34" s="16" t="str">
        <f t="shared" si="1"/>
        <v>0.27
(0.01 – 6.51)</v>
      </c>
      <c r="N34" s="59" t="s">
        <v>443</v>
      </c>
      <c r="O34" s="16" t="s">
        <v>715</v>
      </c>
      <c r="P34">
        <v>0.63980000000000004</v>
      </c>
      <c r="Q34">
        <v>6.2469999999999999</v>
      </c>
      <c r="R34">
        <v>114.7</v>
      </c>
      <c r="S34">
        <v>10</v>
      </c>
      <c r="T34">
        <v>4</v>
      </c>
    </row>
    <row r="35" spans="3:20" ht="15" customHeight="1" x14ac:dyDescent="0.25">
      <c r="E35" s="57">
        <v>8</v>
      </c>
      <c r="F35" s="57">
        <v>10</v>
      </c>
      <c r="G35" s="57" t="s">
        <v>743</v>
      </c>
      <c r="H35" s="57">
        <v>2.2461814914645103E-2</v>
      </c>
      <c r="I35" s="57">
        <v>0.24968789013732834</v>
      </c>
      <c r="J35" s="57">
        <v>1.9290123456790125</v>
      </c>
      <c r="K35" s="59" t="str">
        <f t="shared" si="0"/>
        <v>0.25 (0.02 – 1.93)</v>
      </c>
      <c r="L35" s="16" t="str">
        <f t="shared" si="1"/>
        <v>0.25
(0.02 – 1.93)</v>
      </c>
      <c r="N35" s="59" t="s">
        <v>444</v>
      </c>
      <c r="O35" s="16" t="s">
        <v>716</v>
      </c>
      <c r="P35">
        <v>5.1609999999999997E-8</v>
      </c>
      <c r="Q35">
        <v>1.49E-2</v>
      </c>
      <c r="R35">
        <v>0.55740000000000001</v>
      </c>
      <c r="S35">
        <v>6</v>
      </c>
      <c r="T35">
        <v>5</v>
      </c>
    </row>
    <row r="36" spans="3:20" ht="15" customHeight="1" x14ac:dyDescent="0.25">
      <c r="C36" s="56"/>
      <c r="D36" s="57"/>
      <c r="E36" s="19">
        <v>7</v>
      </c>
      <c r="F36" s="19">
        <v>2</v>
      </c>
      <c r="G36" s="19" t="s">
        <v>699</v>
      </c>
      <c r="H36" s="19">
        <v>4.4139999999999999E-2</v>
      </c>
      <c r="I36" s="19">
        <v>0.21479999999999999</v>
      </c>
      <c r="J36" s="19">
        <v>0.84789999999999999</v>
      </c>
      <c r="K36" s="59" t="str">
        <f t="shared" si="0"/>
        <v>0.21 (0.04 – 0.85)</v>
      </c>
      <c r="L36" s="16" t="str">
        <f t="shared" si="1"/>
        <v>0.21
(0.04 – 0.85)</v>
      </c>
      <c r="M36" s="57"/>
      <c r="N36" s="59" t="s">
        <v>445</v>
      </c>
      <c r="O36" s="16" t="s">
        <v>717</v>
      </c>
      <c r="P36">
        <v>1.3690000000000001E-2</v>
      </c>
      <c r="Q36">
        <v>0.19750000000000001</v>
      </c>
      <c r="R36">
        <v>3.117</v>
      </c>
      <c r="S36">
        <v>7</v>
      </c>
      <c r="T36">
        <v>5</v>
      </c>
    </row>
    <row r="37" spans="3:20" ht="15" customHeight="1" x14ac:dyDescent="0.25">
      <c r="C37" s="56"/>
      <c r="D37" s="57"/>
      <c r="E37" s="19">
        <v>9</v>
      </c>
      <c r="F37" s="19">
        <v>10</v>
      </c>
      <c r="G37" s="19" t="s">
        <v>742</v>
      </c>
      <c r="H37" s="19">
        <v>0.10173974972021568</v>
      </c>
      <c r="I37" s="19">
        <v>0.20424836601307189</v>
      </c>
      <c r="J37" s="19">
        <v>0.40420371867421179</v>
      </c>
      <c r="K37" s="59" t="str">
        <f t="shared" si="0"/>
        <v>0.20 (0.10 – 0.40)</v>
      </c>
      <c r="L37" s="16" t="str">
        <f t="shared" si="1"/>
        <v>0.20
(0.10 – 0.40)</v>
      </c>
      <c r="M37" s="57"/>
      <c r="N37" s="59" t="s">
        <v>446</v>
      </c>
      <c r="O37" s="16" t="s">
        <v>718</v>
      </c>
      <c r="P37">
        <v>1.6E-2</v>
      </c>
      <c r="Q37">
        <v>0.4466</v>
      </c>
      <c r="R37">
        <v>8.673</v>
      </c>
      <c r="S37">
        <v>8</v>
      </c>
      <c r="T37">
        <v>5</v>
      </c>
    </row>
    <row r="38" spans="3:20" ht="15" customHeight="1" x14ac:dyDescent="0.25">
      <c r="C38" s="56"/>
      <c r="D38" s="57"/>
      <c r="E38" s="19">
        <v>7</v>
      </c>
      <c r="F38" s="59">
        <v>5</v>
      </c>
      <c r="G38" s="54" t="s">
        <v>717</v>
      </c>
      <c r="H38" s="16">
        <v>1.3690000000000001E-2</v>
      </c>
      <c r="I38" s="16">
        <v>0.19750000000000001</v>
      </c>
      <c r="J38" s="16">
        <v>3.117</v>
      </c>
      <c r="K38" s="59" t="str">
        <f t="shared" si="0"/>
        <v>0.20 (0.01 – 3.12)</v>
      </c>
      <c r="L38" s="16" t="str">
        <f t="shared" si="1"/>
        <v>0.20
(0.01 – 3.12)</v>
      </c>
      <c r="M38" s="57"/>
      <c r="N38" s="59" t="s">
        <v>447</v>
      </c>
      <c r="O38" s="16" t="s">
        <v>719</v>
      </c>
      <c r="P38">
        <v>3.1620000000000002E-2</v>
      </c>
      <c r="Q38">
        <v>0.35439999999999999</v>
      </c>
      <c r="R38">
        <v>4.6459999999999999</v>
      </c>
      <c r="S38">
        <v>9</v>
      </c>
      <c r="T38">
        <v>5</v>
      </c>
    </row>
    <row r="39" spans="3:20" ht="15" customHeight="1" x14ac:dyDescent="0.25">
      <c r="C39" s="56"/>
      <c r="D39" s="57"/>
      <c r="E39" s="19">
        <v>4</v>
      </c>
      <c r="F39" s="59">
        <v>10</v>
      </c>
      <c r="G39" s="54" t="s">
        <v>738</v>
      </c>
      <c r="H39" s="16">
        <v>8.7183958151700082E-3</v>
      </c>
      <c r="I39" s="16">
        <v>0.16007683688170321</v>
      </c>
      <c r="J39" s="16">
        <v>1.5629884338855891</v>
      </c>
      <c r="K39" s="59" t="str">
        <f t="shared" si="0"/>
        <v>0.16 (0.01 – 1.56)</v>
      </c>
      <c r="L39" s="16" t="str">
        <f t="shared" si="1"/>
        <v>0.16
(0.01 – 1.56)</v>
      </c>
      <c r="M39" s="57"/>
      <c r="N39" s="59" t="s">
        <v>448</v>
      </c>
      <c r="O39" s="16" t="s">
        <v>720</v>
      </c>
      <c r="P39">
        <v>0.1628</v>
      </c>
      <c r="Q39">
        <v>1.7070000000000001</v>
      </c>
      <c r="R39">
        <v>22.01</v>
      </c>
      <c r="S39">
        <v>10</v>
      </c>
      <c r="T39">
        <v>5</v>
      </c>
    </row>
    <row r="40" spans="3:20" ht="15" customHeight="1" x14ac:dyDescent="0.25">
      <c r="C40" s="56"/>
      <c r="D40" s="57"/>
      <c r="E40" s="57">
        <v>7</v>
      </c>
      <c r="F40" s="57">
        <v>10</v>
      </c>
      <c r="G40" s="57" t="s">
        <v>745</v>
      </c>
      <c r="H40" s="57">
        <v>1.9546520719311965E-2</v>
      </c>
      <c r="I40" s="57">
        <v>0.11638733705772811</v>
      </c>
      <c r="J40" s="57">
        <v>0.51466803911477099</v>
      </c>
      <c r="K40" s="59" t="str">
        <f t="shared" si="0"/>
        <v>0.12 (0.02 – 0.51)</v>
      </c>
      <c r="L40" s="16" t="str">
        <f t="shared" si="1"/>
        <v>0.12
(0.02 – 0.51)</v>
      </c>
      <c r="M40" s="57"/>
      <c r="N40" s="59" t="s">
        <v>449</v>
      </c>
      <c r="O40" s="16" t="s">
        <v>721</v>
      </c>
      <c r="P40">
        <v>0.60780000000000001</v>
      </c>
      <c r="Q40">
        <v>12.01</v>
      </c>
      <c r="R40">
        <v>2496000</v>
      </c>
      <c r="S40">
        <v>7</v>
      </c>
      <c r="T40">
        <v>6</v>
      </c>
    </row>
    <row r="41" spans="3:20" ht="15" customHeight="1" x14ac:dyDescent="0.25">
      <c r="C41" s="56"/>
      <c r="D41" s="57"/>
      <c r="E41" s="19">
        <v>6</v>
      </c>
      <c r="F41" s="19">
        <v>7</v>
      </c>
      <c r="G41" s="19" t="s">
        <v>733</v>
      </c>
      <c r="H41" s="19">
        <v>4.0064102564102562E-7</v>
      </c>
      <c r="I41" s="19">
        <v>8.3263946711074108E-2</v>
      </c>
      <c r="J41" s="19">
        <v>1.6452780519907864</v>
      </c>
      <c r="K41" s="59" t="str">
        <f t="shared" si="0"/>
        <v>0.08 (0.00 – 1.65)</v>
      </c>
      <c r="L41" s="16" t="str">
        <f t="shared" si="1"/>
        <v>0.08
(0.00 – 1.65)</v>
      </c>
      <c r="M41" s="57"/>
      <c r="N41" s="59" t="s">
        <v>450</v>
      </c>
      <c r="O41" s="16" t="s">
        <v>722</v>
      </c>
      <c r="P41">
        <v>0.80400000000000005</v>
      </c>
      <c r="Q41">
        <v>26.1</v>
      </c>
      <c r="R41">
        <v>13370000</v>
      </c>
      <c r="S41">
        <v>8</v>
      </c>
      <c r="T41">
        <v>6</v>
      </c>
    </row>
    <row r="42" spans="3:20" ht="15" customHeight="1" x14ac:dyDescent="0.25">
      <c r="C42" s="56"/>
      <c r="D42" s="57"/>
      <c r="E42" s="19">
        <v>6</v>
      </c>
      <c r="F42" s="19">
        <v>4</v>
      </c>
      <c r="G42" s="19" t="s">
        <v>711</v>
      </c>
      <c r="H42" s="19">
        <v>3.9070000000000002E-7</v>
      </c>
      <c r="I42" s="19">
        <v>5.8680000000000003E-2</v>
      </c>
      <c r="J42" s="19">
        <v>3.01</v>
      </c>
      <c r="K42" s="59" t="str">
        <f t="shared" si="0"/>
        <v>0.06 (0.00 – 3.01)</v>
      </c>
      <c r="L42" s="16" t="str">
        <f t="shared" si="1"/>
        <v>0.06
(0.00 – 3.01)</v>
      </c>
      <c r="M42" s="57"/>
      <c r="N42" s="59" t="s">
        <v>451</v>
      </c>
      <c r="O42" s="16" t="s">
        <v>723</v>
      </c>
      <c r="P42">
        <v>1.585</v>
      </c>
      <c r="Q42">
        <v>20.03</v>
      </c>
      <c r="R42">
        <v>5797000</v>
      </c>
      <c r="S42">
        <v>9</v>
      </c>
      <c r="T42">
        <v>6</v>
      </c>
    </row>
    <row r="43" spans="3:20" ht="15" customHeight="1" x14ac:dyDescent="0.25">
      <c r="C43" s="56"/>
      <c r="D43" s="57"/>
      <c r="E43" s="19">
        <v>6</v>
      </c>
      <c r="F43" s="19">
        <v>9</v>
      </c>
      <c r="G43" s="19" t="s">
        <v>731</v>
      </c>
      <c r="H43" s="19">
        <v>1.7250301880282906E-7</v>
      </c>
      <c r="I43" s="19">
        <v>4.9925112331502743E-2</v>
      </c>
      <c r="J43" s="19">
        <v>0.63091482649842268</v>
      </c>
      <c r="K43" s="59" t="str">
        <f t="shared" si="0"/>
        <v>0.05 (0.00 – 0.63)</v>
      </c>
      <c r="L43" s="16" t="str">
        <f t="shared" si="1"/>
        <v>0.05
(0.00 – 0.63)</v>
      </c>
      <c r="M43" s="57"/>
      <c r="N43" s="59" t="s">
        <v>452</v>
      </c>
      <c r="O43" s="16" t="s">
        <v>724</v>
      </c>
      <c r="P43">
        <v>8.0990000000000002</v>
      </c>
      <c r="Q43">
        <v>98.13</v>
      </c>
      <c r="R43">
        <v>27750000</v>
      </c>
      <c r="S43">
        <v>10</v>
      </c>
      <c r="T43">
        <v>6</v>
      </c>
    </row>
    <row r="44" spans="3:20" ht="15" customHeight="1" x14ac:dyDescent="0.25">
      <c r="C44" s="56"/>
      <c r="D44" s="57"/>
      <c r="E44" s="57">
        <v>6</v>
      </c>
      <c r="F44" s="57">
        <v>8</v>
      </c>
      <c r="G44" s="57" t="s">
        <v>732</v>
      </c>
      <c r="H44" s="57">
        <v>7.4794315632011972E-8</v>
      </c>
      <c r="I44" s="57">
        <v>3.8314176245210725E-2</v>
      </c>
      <c r="J44" s="57">
        <v>1.2437810945273631</v>
      </c>
      <c r="K44" s="59" t="str">
        <f t="shared" si="0"/>
        <v>0.04 (0.00 – 1.24)</v>
      </c>
      <c r="L44" s="16" t="str">
        <f t="shared" si="1"/>
        <v>0.04
(0.00 – 1.24)</v>
      </c>
      <c r="M44" s="57"/>
      <c r="N44" s="59" t="s">
        <v>453</v>
      </c>
      <c r="O44" s="16" t="s">
        <v>725</v>
      </c>
      <c r="P44">
        <v>0.16520000000000001</v>
      </c>
      <c r="Q44">
        <v>2.2599999999999998</v>
      </c>
      <c r="R44">
        <v>25.91</v>
      </c>
      <c r="S44">
        <v>8</v>
      </c>
      <c r="T44">
        <v>7</v>
      </c>
    </row>
    <row r="45" spans="3:20" ht="15" customHeight="1" x14ac:dyDescent="0.25">
      <c r="C45" s="56"/>
      <c r="D45" s="57"/>
      <c r="E45" s="57">
        <v>6</v>
      </c>
      <c r="F45" s="57">
        <v>3</v>
      </c>
      <c r="G45" s="57" t="s">
        <v>705</v>
      </c>
      <c r="H45" s="57">
        <v>1.2940000000000001E-7</v>
      </c>
      <c r="I45" s="57">
        <v>3.3570000000000003E-2</v>
      </c>
      <c r="J45" s="57">
        <v>0.34320000000000001</v>
      </c>
      <c r="K45" s="59" t="str">
        <f t="shared" si="0"/>
        <v>0.03 (0.00 – 0.34)</v>
      </c>
      <c r="L45" s="16" t="str">
        <f t="shared" si="1"/>
        <v>0.03
(0.00 – 0.34)</v>
      </c>
      <c r="M45" s="57"/>
      <c r="N45" s="59" t="s">
        <v>454</v>
      </c>
      <c r="O45" s="16" t="s">
        <v>726</v>
      </c>
      <c r="P45">
        <v>0.35639999999999999</v>
      </c>
      <c r="Q45">
        <v>1.7709999999999999</v>
      </c>
      <c r="R45">
        <v>10.85</v>
      </c>
      <c r="S45">
        <v>9</v>
      </c>
      <c r="T45">
        <v>7</v>
      </c>
    </row>
    <row r="46" spans="3:20" ht="15" customHeight="1" x14ac:dyDescent="0.25">
      <c r="C46" s="56"/>
      <c r="D46" s="57"/>
      <c r="E46" s="19">
        <v>6</v>
      </c>
      <c r="F46" s="19">
        <v>1</v>
      </c>
      <c r="G46" s="19" t="s">
        <v>690</v>
      </c>
      <c r="H46" s="19">
        <v>9.0590000000000006E-8</v>
      </c>
      <c r="I46" s="19">
        <v>2.5530000000000001E-2</v>
      </c>
      <c r="J46" s="19">
        <v>0.29899999999999999</v>
      </c>
      <c r="K46" s="59" t="str">
        <f t="shared" si="0"/>
        <v>0.03 (0.00 – 0.30)</v>
      </c>
      <c r="L46" s="16" t="str">
        <f t="shared" si="1"/>
        <v>0.03
(0.00 – 0.30)</v>
      </c>
      <c r="M46" s="57"/>
      <c r="N46" s="59" t="s">
        <v>455</v>
      </c>
      <c r="O46" s="16" t="s">
        <v>727</v>
      </c>
      <c r="P46">
        <v>1.9430000000000001</v>
      </c>
      <c r="Q46">
        <v>8.5920000000000005</v>
      </c>
      <c r="R46">
        <v>51.16</v>
      </c>
      <c r="S46">
        <v>10</v>
      </c>
      <c r="T46">
        <v>7</v>
      </c>
    </row>
    <row r="47" spans="3:20" ht="15" customHeight="1" x14ac:dyDescent="0.25">
      <c r="C47" s="56"/>
      <c r="D47" s="57"/>
      <c r="E47" s="19">
        <v>6</v>
      </c>
      <c r="F47" s="19">
        <v>2</v>
      </c>
      <c r="G47" s="19" t="s">
        <v>698</v>
      </c>
      <c r="H47" s="19">
        <v>7.2639999999999994E-8</v>
      </c>
      <c r="I47" s="19">
        <v>1.907E-2</v>
      </c>
      <c r="J47" s="19">
        <v>0.23419999999999999</v>
      </c>
      <c r="K47" s="59" t="str">
        <f t="shared" si="0"/>
        <v>0.02 (0.00 – 0.23)</v>
      </c>
      <c r="L47" s="16" t="str">
        <f t="shared" si="1"/>
        <v>0.02
(0.00 – 0.23)</v>
      </c>
      <c r="M47" s="57"/>
      <c r="N47" s="59" t="s">
        <v>456</v>
      </c>
      <c r="O47" s="16" t="s">
        <v>728</v>
      </c>
      <c r="P47">
        <v>0.10199999999999999</v>
      </c>
      <c r="Q47">
        <v>0.81910000000000005</v>
      </c>
      <c r="R47">
        <v>8.5950000000000006</v>
      </c>
      <c r="S47">
        <v>9</v>
      </c>
      <c r="T47">
        <v>8</v>
      </c>
    </row>
    <row r="48" spans="3:20" ht="15" customHeight="1" x14ac:dyDescent="0.25">
      <c r="C48" s="56"/>
      <c r="D48" s="57"/>
      <c r="E48" s="19">
        <v>6</v>
      </c>
      <c r="F48" s="19">
        <v>5</v>
      </c>
      <c r="G48" s="19" t="s">
        <v>716</v>
      </c>
      <c r="H48" s="19">
        <v>5.1609999999999997E-8</v>
      </c>
      <c r="I48" s="19">
        <v>1.49E-2</v>
      </c>
      <c r="J48" s="19">
        <v>0.55740000000000001</v>
      </c>
      <c r="K48" s="59" t="str">
        <f t="shared" si="0"/>
        <v>0.01 (0.00 – 0.56)</v>
      </c>
      <c r="L48" s="16" t="str">
        <f t="shared" si="1"/>
        <v>0.01
(0.00 – 0.56)</v>
      </c>
      <c r="M48" s="57"/>
      <c r="N48" s="59" t="s">
        <v>457</v>
      </c>
      <c r="O48" s="16" t="s">
        <v>729</v>
      </c>
      <c r="P48">
        <v>0.51839999999999997</v>
      </c>
      <c r="Q48">
        <v>4.0049999999999999</v>
      </c>
      <c r="R48">
        <v>44.52</v>
      </c>
      <c r="S48">
        <v>10</v>
      </c>
      <c r="T48">
        <v>8</v>
      </c>
    </row>
    <row r="49" spans="3:20" ht="15" customHeight="1" x14ac:dyDescent="0.25">
      <c r="C49" s="56"/>
      <c r="D49" s="57"/>
      <c r="E49" s="19">
        <v>6</v>
      </c>
      <c r="F49" s="19">
        <v>10</v>
      </c>
      <c r="G49" s="19" t="s">
        <v>734</v>
      </c>
      <c r="H49" s="19">
        <v>3.6036036036036035E-8</v>
      </c>
      <c r="I49" s="19">
        <v>1.0190563538163661E-2</v>
      </c>
      <c r="J49" s="19">
        <v>0.12347203358439313</v>
      </c>
      <c r="K49" s="59" t="str">
        <f t="shared" si="0"/>
        <v>0.01 (0.00 – 0.12)</v>
      </c>
      <c r="L49" s="16" t="str">
        <f t="shared" si="1"/>
        <v>0.01
(0.00 – 0.12)</v>
      </c>
      <c r="M49" s="57"/>
      <c r="N49" s="59" t="s">
        <v>458</v>
      </c>
      <c r="O49" s="16" t="s">
        <v>730</v>
      </c>
      <c r="P49">
        <v>2.4740000000000002</v>
      </c>
      <c r="Q49">
        <v>4.8959999999999999</v>
      </c>
      <c r="R49">
        <v>9.8290000000000006</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0.3362 
95% CrI (0.01609 – 1.113)</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1.2350000000000001</v>
      </c>
      <c r="E5" s="19">
        <v>9</v>
      </c>
      <c r="F5" s="19">
        <v>4</v>
      </c>
      <c r="G5" s="19" t="s">
        <v>714</v>
      </c>
      <c r="H5" s="19">
        <v>9.7699999999999995E-2</v>
      </c>
      <c r="I5" s="19">
        <v>1.155</v>
      </c>
      <c r="J5" s="19">
        <v>18.05</v>
      </c>
      <c r="K5" s="59" t="str">
        <f t="shared" ref="K5:K49" si="0">CONCATENATE(TEXT(I5,"0.00")," (",TEXT(H5,"0.00")," – ",TEXT(J5,"0.00"),")")</f>
        <v>1.16 (0.10 – 18.05)</v>
      </c>
      <c r="L5" s="16" t="str">
        <f t="shared" ref="L5:L49" si="1">CONCATENATE(TEXT(I5,"0.00"),"
(",TEXT(H5,"0.00")," – ",TEXT(J5,"0.00"),")")</f>
        <v>1.16
(0.10 – 18.05)</v>
      </c>
      <c r="N5" s="59" t="s">
        <v>414</v>
      </c>
      <c r="O5" s="16" t="s">
        <v>686</v>
      </c>
      <c r="P5">
        <v>0.7863</v>
      </c>
      <c r="Q5">
        <v>1.333</v>
      </c>
      <c r="R5">
        <v>2.8769999999999998</v>
      </c>
      <c r="S5">
        <v>2</v>
      </c>
      <c r="T5">
        <v>1</v>
      </c>
    </row>
    <row r="6" spans="1:20" x14ac:dyDescent="0.25">
      <c r="A6" t="s">
        <v>357</v>
      </c>
      <c r="B6" s="54">
        <v>7</v>
      </c>
      <c r="C6" s="54">
        <v>3.3660000000000001</v>
      </c>
      <c r="E6" s="19">
        <v>5</v>
      </c>
      <c r="F6" s="59">
        <v>2</v>
      </c>
      <c r="G6" s="54" t="s">
        <v>697</v>
      </c>
      <c r="H6" s="16">
        <v>9.325E-2</v>
      </c>
      <c r="I6" s="16">
        <v>1.08</v>
      </c>
      <c r="J6" s="16">
        <v>10.9</v>
      </c>
      <c r="K6" s="59" t="str">
        <f t="shared" si="0"/>
        <v>1.08 (0.09 – 10.90)</v>
      </c>
      <c r="L6" s="16" t="str">
        <f t="shared" si="1"/>
        <v>1.08
(0.09 – 10.90)</v>
      </c>
      <c r="N6" s="59" t="s">
        <v>415</v>
      </c>
      <c r="O6" s="16" t="s">
        <v>687</v>
      </c>
      <c r="P6">
        <v>0.25990000000000002</v>
      </c>
      <c r="Q6">
        <v>0.76990000000000003</v>
      </c>
      <c r="R6">
        <v>2.508</v>
      </c>
      <c r="S6">
        <v>3</v>
      </c>
      <c r="T6">
        <v>1</v>
      </c>
    </row>
    <row r="7" spans="1:20" x14ac:dyDescent="0.25">
      <c r="A7" t="s">
        <v>359</v>
      </c>
      <c r="B7" s="19">
        <v>9</v>
      </c>
      <c r="C7" s="19">
        <v>4.2149999999999999</v>
      </c>
      <c r="E7" s="57">
        <v>9</v>
      </c>
      <c r="F7" s="57">
        <v>8</v>
      </c>
      <c r="G7" s="57" t="s">
        <v>728</v>
      </c>
      <c r="H7" s="57">
        <v>9.1859999999999997E-2</v>
      </c>
      <c r="I7" s="57">
        <v>0.89149999999999996</v>
      </c>
      <c r="J7" s="57">
        <v>11.48</v>
      </c>
      <c r="K7" s="59" t="str">
        <f t="shared" si="0"/>
        <v>0.89 (0.09 – 11.48)</v>
      </c>
      <c r="L7" s="16" t="str">
        <f t="shared" si="1"/>
        <v>0.89
(0.09 – 11.48)</v>
      </c>
      <c r="N7" s="59" t="s">
        <v>416</v>
      </c>
      <c r="O7" s="16" t="s">
        <v>688</v>
      </c>
      <c r="P7">
        <v>2.8740000000000002E-2</v>
      </c>
      <c r="Q7">
        <v>0.42020000000000002</v>
      </c>
      <c r="R7">
        <v>5.1909999999999998</v>
      </c>
      <c r="S7">
        <v>4</v>
      </c>
      <c r="T7">
        <v>1</v>
      </c>
    </row>
    <row r="8" spans="1:20" x14ac:dyDescent="0.25">
      <c r="A8" t="s">
        <v>354</v>
      </c>
      <c r="B8" s="19">
        <v>4</v>
      </c>
      <c r="C8" s="19">
        <v>4.4429999999999996</v>
      </c>
      <c r="E8" s="19">
        <v>3</v>
      </c>
      <c r="F8" s="59">
        <v>1</v>
      </c>
      <c r="G8" s="54" t="s">
        <v>687</v>
      </c>
      <c r="H8" s="16">
        <v>0.25990000000000002</v>
      </c>
      <c r="I8" s="16">
        <v>0.76990000000000003</v>
      </c>
      <c r="J8" s="16">
        <v>2.508</v>
      </c>
      <c r="K8" s="59" t="str">
        <f t="shared" si="0"/>
        <v>0.77 (0.26 – 2.51)</v>
      </c>
      <c r="L8" s="16" t="str">
        <f t="shared" si="1"/>
        <v>0.77
(0.26 – 2.51)</v>
      </c>
      <c r="N8" s="59" t="s">
        <v>417</v>
      </c>
      <c r="O8" s="16" t="s">
        <v>689</v>
      </c>
      <c r="P8">
        <v>0.1221</v>
      </c>
      <c r="Q8">
        <v>1.429</v>
      </c>
      <c r="R8">
        <v>17.36</v>
      </c>
      <c r="S8">
        <v>5</v>
      </c>
      <c r="T8">
        <v>1</v>
      </c>
    </row>
    <row r="9" spans="1:20" x14ac:dyDescent="0.25">
      <c r="A9" t="s">
        <v>358</v>
      </c>
      <c r="B9" s="19">
        <v>8</v>
      </c>
      <c r="C9" s="19">
        <v>5.0350000000000001</v>
      </c>
      <c r="E9" s="19">
        <v>1</v>
      </c>
      <c r="F9" s="19">
        <v>2</v>
      </c>
      <c r="G9" s="19" t="s">
        <v>740</v>
      </c>
      <c r="H9" s="19">
        <v>0.34758428919012863</v>
      </c>
      <c r="I9" s="19">
        <v>0.75018754688672173</v>
      </c>
      <c r="J9" s="19">
        <v>1.2717792191275594</v>
      </c>
      <c r="K9" s="59" t="str">
        <f t="shared" si="0"/>
        <v>0.75 (0.35 – 1.27)</v>
      </c>
      <c r="L9" s="16" t="str">
        <f t="shared" si="1"/>
        <v>0.75
(0.35 – 1.27)</v>
      </c>
      <c r="N9" s="59" t="s">
        <v>418</v>
      </c>
      <c r="O9" s="16" t="s">
        <v>690</v>
      </c>
      <c r="P9">
        <v>1.1739999999999999E-5</v>
      </c>
      <c r="Q9">
        <v>1.495E-2</v>
      </c>
      <c r="R9">
        <v>0.4425</v>
      </c>
      <c r="S9">
        <v>6</v>
      </c>
      <c r="T9">
        <v>1</v>
      </c>
    </row>
    <row r="10" spans="1:20" x14ac:dyDescent="0.25">
      <c r="A10" t="s">
        <v>353</v>
      </c>
      <c r="B10" s="19">
        <v>3</v>
      </c>
      <c r="C10" s="19">
        <v>5.72</v>
      </c>
      <c r="E10" s="19">
        <v>8</v>
      </c>
      <c r="F10" s="19">
        <v>3</v>
      </c>
      <c r="G10" s="19" t="s">
        <v>707</v>
      </c>
      <c r="H10" s="19">
        <v>4.8640000000000003E-2</v>
      </c>
      <c r="I10" s="19">
        <v>0.74829999999999997</v>
      </c>
      <c r="J10" s="19">
        <v>7.1040000000000001</v>
      </c>
      <c r="K10" s="59" t="str">
        <f t="shared" si="0"/>
        <v>0.75 (0.05 – 7.10)</v>
      </c>
      <c r="L10" s="16" t="str">
        <f t="shared" si="1"/>
        <v>0.75
(0.05 – 7.10)</v>
      </c>
      <c r="N10" s="59" t="s">
        <v>419</v>
      </c>
      <c r="O10" s="16" t="s">
        <v>691</v>
      </c>
      <c r="P10">
        <v>4.5350000000000001E-2</v>
      </c>
      <c r="Q10">
        <v>0.29020000000000001</v>
      </c>
      <c r="R10">
        <v>1.7989999999999999</v>
      </c>
      <c r="S10">
        <v>7</v>
      </c>
      <c r="T10">
        <v>1</v>
      </c>
    </row>
    <row r="11" spans="1:20" x14ac:dyDescent="0.25">
      <c r="A11" t="s">
        <v>351</v>
      </c>
      <c r="B11" s="54">
        <v>1</v>
      </c>
      <c r="C11" s="54">
        <v>6.5350000000000001</v>
      </c>
      <c r="E11" s="19">
        <v>4</v>
      </c>
      <c r="F11" s="19">
        <v>8</v>
      </c>
      <c r="G11" s="19" t="s">
        <v>737</v>
      </c>
      <c r="H11" s="19">
        <v>2.343566908835247E-2</v>
      </c>
      <c r="I11" s="19">
        <v>0.71581961345740874</v>
      </c>
      <c r="J11" s="19">
        <v>22.851919561243143</v>
      </c>
      <c r="K11" s="59" t="str">
        <f t="shared" si="0"/>
        <v>0.72 (0.02 – 22.85)</v>
      </c>
      <c r="L11" s="16" t="str">
        <f t="shared" si="1"/>
        <v>0.72
(0.02 – 22.85)</v>
      </c>
      <c r="N11" s="59" t="s">
        <v>420</v>
      </c>
      <c r="O11" s="16" t="s">
        <v>692</v>
      </c>
      <c r="P11">
        <v>5.1630000000000002E-2</v>
      </c>
      <c r="Q11">
        <v>0.55600000000000005</v>
      </c>
      <c r="R11">
        <v>4.9790000000000001</v>
      </c>
      <c r="S11">
        <v>8</v>
      </c>
      <c r="T11">
        <v>1</v>
      </c>
    </row>
    <row r="12" spans="1:20" x14ac:dyDescent="0.25">
      <c r="A12" t="s">
        <v>355</v>
      </c>
      <c r="B12" s="54">
        <v>5</v>
      </c>
      <c r="C12" s="54">
        <v>7.3330000000000002</v>
      </c>
      <c r="E12" s="57">
        <v>7</v>
      </c>
      <c r="F12" s="57">
        <v>4</v>
      </c>
      <c r="G12" s="57" t="s">
        <v>712</v>
      </c>
      <c r="H12" s="57">
        <v>3.1850000000000003E-2</v>
      </c>
      <c r="I12" s="57">
        <v>0.70699999999999996</v>
      </c>
      <c r="J12" s="57">
        <v>16.93</v>
      </c>
      <c r="K12" s="59" t="str">
        <f t="shared" si="0"/>
        <v>0.71 (0.03 – 16.93)</v>
      </c>
      <c r="L12" s="16" t="str">
        <f t="shared" si="1"/>
        <v>0.71
(0.03 – 16.93)</v>
      </c>
      <c r="N12" s="59" t="s">
        <v>421</v>
      </c>
      <c r="O12" s="16" t="s">
        <v>693</v>
      </c>
      <c r="P12">
        <v>0.21310000000000001</v>
      </c>
      <c r="Q12">
        <v>0.50339999999999996</v>
      </c>
      <c r="R12">
        <v>1.31</v>
      </c>
      <c r="S12">
        <v>9</v>
      </c>
      <c r="T12">
        <v>1</v>
      </c>
    </row>
    <row r="13" spans="1:20" x14ac:dyDescent="0.25">
      <c r="A13" t="s">
        <v>352</v>
      </c>
      <c r="B13" s="19">
        <v>2</v>
      </c>
      <c r="C13" s="19">
        <v>7.8819999999999997</v>
      </c>
      <c r="E13" s="19">
        <v>1</v>
      </c>
      <c r="F13" s="59">
        <v>5</v>
      </c>
      <c r="G13" s="54" t="s">
        <v>766</v>
      </c>
      <c r="H13" s="16">
        <v>5.7603686635944701E-2</v>
      </c>
      <c r="I13" s="16">
        <v>0.69979006298110569</v>
      </c>
      <c r="J13" s="16">
        <v>8.1900081900081894</v>
      </c>
      <c r="K13" s="59" t="str">
        <f t="shared" si="0"/>
        <v>0.70 (0.06 – 8.19)</v>
      </c>
      <c r="L13" s="16" t="str">
        <f t="shared" si="1"/>
        <v>0.70
(0.06 – 8.19)</v>
      </c>
      <c r="N13" s="59" t="s">
        <v>422</v>
      </c>
      <c r="O13" s="16" t="s">
        <v>694</v>
      </c>
      <c r="P13">
        <v>0.99229999999999996</v>
      </c>
      <c r="Q13">
        <v>2.3069999999999999</v>
      </c>
      <c r="R13">
        <v>5.9320000000000004</v>
      </c>
      <c r="S13">
        <v>10</v>
      </c>
      <c r="T13">
        <v>1</v>
      </c>
    </row>
    <row r="14" spans="1:20" x14ac:dyDescent="0.25">
      <c r="A14" t="s">
        <v>360</v>
      </c>
      <c r="B14" s="54">
        <v>10</v>
      </c>
      <c r="C14" s="54">
        <v>9.2360000000000007</v>
      </c>
      <c r="E14" s="57">
        <v>9</v>
      </c>
      <c r="F14" s="57">
        <v>3</v>
      </c>
      <c r="G14" s="57" t="s">
        <v>708</v>
      </c>
      <c r="H14" s="57">
        <v>0.21390000000000001</v>
      </c>
      <c r="I14" s="57">
        <v>0.64759999999999995</v>
      </c>
      <c r="J14" s="57">
        <v>1.899</v>
      </c>
      <c r="K14" s="59" t="str">
        <f t="shared" si="0"/>
        <v>0.65 (0.21 – 1.90)</v>
      </c>
      <c r="L14" s="16" t="str">
        <f t="shared" si="1"/>
        <v>0.65
(0.21 – 1.90)</v>
      </c>
      <c r="N14" s="59" t="s">
        <v>423</v>
      </c>
      <c r="O14" s="16" t="s">
        <v>695</v>
      </c>
      <c r="P14">
        <v>0.19259999999999999</v>
      </c>
      <c r="Q14">
        <v>0.57079999999999997</v>
      </c>
      <c r="R14">
        <v>1.6639999999999999</v>
      </c>
      <c r="S14">
        <v>3</v>
      </c>
      <c r="T14">
        <v>2</v>
      </c>
    </row>
    <row r="15" spans="1:20" ht="15" customHeight="1" x14ac:dyDescent="0.25">
      <c r="E15" s="19">
        <v>5</v>
      </c>
      <c r="F15" s="19">
        <v>10</v>
      </c>
      <c r="G15" s="19" t="s">
        <v>735</v>
      </c>
      <c r="H15" s="19">
        <v>4.5745654162854532E-2</v>
      </c>
      <c r="I15" s="19">
        <v>0.62189054726368154</v>
      </c>
      <c r="J15" s="19">
        <v>7.7160493827160499</v>
      </c>
      <c r="K15" s="59" t="str">
        <f t="shared" si="0"/>
        <v>0.62 (0.05 – 7.72)</v>
      </c>
      <c r="L15" s="16" t="str">
        <f t="shared" si="1"/>
        <v>0.62
(0.05 – 7.72)</v>
      </c>
      <c r="N15" s="59" t="s">
        <v>424</v>
      </c>
      <c r="O15" s="16" t="s">
        <v>696</v>
      </c>
      <c r="P15">
        <v>2.102E-2</v>
      </c>
      <c r="Q15">
        <v>0.30099999999999999</v>
      </c>
      <c r="R15">
        <v>3.637</v>
      </c>
      <c r="S15">
        <v>4</v>
      </c>
      <c r="T15">
        <v>2</v>
      </c>
    </row>
    <row r="16" spans="1:20" ht="15" customHeight="1" x14ac:dyDescent="0.25">
      <c r="E16" s="19">
        <v>2</v>
      </c>
      <c r="F16" s="19">
        <v>10</v>
      </c>
      <c r="G16" s="19" t="s">
        <v>744</v>
      </c>
      <c r="H16" s="19">
        <v>0.24384296513045597</v>
      </c>
      <c r="I16" s="19">
        <v>0.59206631142687982</v>
      </c>
      <c r="J16" s="19">
        <v>1.5209125475285172</v>
      </c>
      <c r="K16" s="59" t="str">
        <f t="shared" si="0"/>
        <v>0.59 (0.24 – 1.52)</v>
      </c>
      <c r="L16" s="16" t="str">
        <f t="shared" si="1"/>
        <v>0.59
(0.24 – 1.52)</v>
      </c>
      <c r="N16" s="59" t="s">
        <v>425</v>
      </c>
      <c r="O16" s="16" t="s">
        <v>697</v>
      </c>
      <c r="P16">
        <v>9.325E-2</v>
      </c>
      <c r="Q16">
        <v>1.08</v>
      </c>
      <c r="R16">
        <v>10.9</v>
      </c>
      <c r="S16">
        <v>5</v>
      </c>
      <c r="T16">
        <v>2</v>
      </c>
    </row>
    <row r="17" spans="5:20" ht="15" customHeight="1" x14ac:dyDescent="0.25">
      <c r="E17" s="57">
        <v>7</v>
      </c>
      <c r="F17" s="57">
        <v>9</v>
      </c>
      <c r="G17" s="57" t="s">
        <v>763</v>
      </c>
      <c r="H17" s="57">
        <v>7.8926598263614839E-2</v>
      </c>
      <c r="I17" s="57">
        <v>0.5714285714285714</v>
      </c>
      <c r="J17" s="57">
        <v>3.8461538461538458</v>
      </c>
      <c r="K17" s="59" t="str">
        <f t="shared" si="0"/>
        <v>0.57 (0.08 – 3.85)</v>
      </c>
      <c r="L17" s="16" t="str">
        <f t="shared" si="1"/>
        <v>0.57
(0.08 – 3.85)</v>
      </c>
      <c r="N17" s="59" t="s">
        <v>426</v>
      </c>
      <c r="O17" s="16" t="s">
        <v>698</v>
      </c>
      <c r="P17">
        <v>8.8459999999999997E-6</v>
      </c>
      <c r="Q17">
        <v>1.069E-2</v>
      </c>
      <c r="R17">
        <v>0.33389999999999997</v>
      </c>
      <c r="S17">
        <v>6</v>
      </c>
      <c r="T17">
        <v>2</v>
      </c>
    </row>
    <row r="18" spans="5:20" ht="15" customHeight="1" x14ac:dyDescent="0.25">
      <c r="E18" s="19">
        <v>3</v>
      </c>
      <c r="F18" s="59">
        <v>2</v>
      </c>
      <c r="G18" s="54" t="s">
        <v>695</v>
      </c>
      <c r="H18" s="16">
        <v>0.19259999999999999</v>
      </c>
      <c r="I18" s="16">
        <v>0.57079999999999997</v>
      </c>
      <c r="J18" s="16">
        <v>1.6639999999999999</v>
      </c>
      <c r="K18" s="59" t="str">
        <f t="shared" si="0"/>
        <v>0.57 (0.19 – 1.66)</v>
      </c>
      <c r="L18" s="16" t="str">
        <f t="shared" si="1"/>
        <v>0.57
(0.19 – 1.66)</v>
      </c>
      <c r="N18" s="59" t="s">
        <v>427</v>
      </c>
      <c r="O18" s="16" t="s">
        <v>699</v>
      </c>
      <c r="P18">
        <v>3.44E-2</v>
      </c>
      <c r="Q18">
        <v>0.21579999999999999</v>
      </c>
      <c r="R18">
        <v>1.071</v>
      </c>
      <c r="S18">
        <v>7</v>
      </c>
      <c r="T18">
        <v>2</v>
      </c>
    </row>
    <row r="19" spans="5:20" ht="15" customHeight="1" x14ac:dyDescent="0.25">
      <c r="E19" s="19">
        <v>4</v>
      </c>
      <c r="F19" s="19">
        <v>3</v>
      </c>
      <c r="G19" s="19" t="s">
        <v>703</v>
      </c>
      <c r="H19" s="19">
        <v>4.0649999999999999E-2</v>
      </c>
      <c r="I19" s="19">
        <v>0.55710000000000004</v>
      </c>
      <c r="J19" s="19">
        <v>5.5010000000000003</v>
      </c>
      <c r="K19" s="59" t="str">
        <f t="shared" si="0"/>
        <v>0.56 (0.04 – 5.50)</v>
      </c>
      <c r="L19" s="16" t="str">
        <f t="shared" si="1"/>
        <v>0.56
(0.04 – 5.50)</v>
      </c>
      <c r="N19" s="59" t="s">
        <v>428</v>
      </c>
      <c r="O19" s="16" t="s">
        <v>700</v>
      </c>
      <c r="P19">
        <v>3.984E-2</v>
      </c>
      <c r="Q19">
        <v>0.41749999999999998</v>
      </c>
      <c r="R19">
        <v>3.1480000000000001</v>
      </c>
      <c r="S19">
        <v>8</v>
      </c>
      <c r="T19">
        <v>2</v>
      </c>
    </row>
    <row r="20" spans="5:20" ht="15" customHeight="1" x14ac:dyDescent="0.25">
      <c r="E20" s="19">
        <v>8</v>
      </c>
      <c r="F20" s="59">
        <v>1</v>
      </c>
      <c r="G20" s="54" t="s">
        <v>692</v>
      </c>
      <c r="H20" s="16">
        <v>5.1630000000000002E-2</v>
      </c>
      <c r="I20" s="16">
        <v>0.55600000000000005</v>
      </c>
      <c r="J20" s="16">
        <v>4.9790000000000001</v>
      </c>
      <c r="K20" s="59" t="str">
        <f t="shared" si="0"/>
        <v>0.56 (0.05 – 4.98)</v>
      </c>
      <c r="L20" s="16" t="str">
        <f t="shared" si="1"/>
        <v>0.56
(0.05 – 4.98)</v>
      </c>
      <c r="N20" s="59" t="s">
        <v>429</v>
      </c>
      <c r="O20" s="16" t="s">
        <v>701</v>
      </c>
      <c r="P20">
        <v>0.13669999999999999</v>
      </c>
      <c r="Q20">
        <v>0.37040000000000001</v>
      </c>
      <c r="R20">
        <v>0.92490000000000006</v>
      </c>
      <c r="S20">
        <v>9</v>
      </c>
      <c r="T20">
        <v>2</v>
      </c>
    </row>
    <row r="21" spans="5:20" ht="15" customHeight="1" x14ac:dyDescent="0.25">
      <c r="E21" s="19">
        <v>3</v>
      </c>
      <c r="F21" s="19">
        <v>5</v>
      </c>
      <c r="G21" s="19" t="s">
        <v>765</v>
      </c>
      <c r="H21" s="19">
        <v>3.9432176656151417E-2</v>
      </c>
      <c r="I21" s="19">
        <v>0.53705692803437166</v>
      </c>
      <c r="J21" s="19">
        <v>7.59301442672741</v>
      </c>
      <c r="K21" s="59" t="str">
        <f t="shared" si="0"/>
        <v>0.54 (0.04 – 7.59)</v>
      </c>
      <c r="L21" s="16" t="str">
        <f t="shared" si="1"/>
        <v>0.54
(0.04 – 7.59)</v>
      </c>
      <c r="N21" s="59" t="s">
        <v>430</v>
      </c>
      <c r="O21" s="16" t="s">
        <v>702</v>
      </c>
      <c r="P21">
        <v>0.65749999999999997</v>
      </c>
      <c r="Q21">
        <v>1.6890000000000001</v>
      </c>
      <c r="R21">
        <v>4.101</v>
      </c>
      <c r="S21">
        <v>10</v>
      </c>
      <c r="T21">
        <v>2</v>
      </c>
    </row>
    <row r="22" spans="5:20" ht="15" customHeight="1" x14ac:dyDescent="0.25">
      <c r="E22" s="19">
        <v>7</v>
      </c>
      <c r="F22" s="19">
        <v>8</v>
      </c>
      <c r="G22" s="19" t="s">
        <v>762</v>
      </c>
      <c r="H22" s="19">
        <v>3.1615554852987671E-2</v>
      </c>
      <c r="I22" s="19">
        <v>0.53648068669527893</v>
      </c>
      <c r="J22" s="19">
        <v>7.7399380804953557</v>
      </c>
      <c r="K22" s="59" t="str">
        <f t="shared" si="0"/>
        <v>0.54 (0.03 – 7.74)</v>
      </c>
      <c r="L22" s="16" t="str">
        <f t="shared" si="1"/>
        <v>0.54
(0.03 – 7.74)</v>
      </c>
      <c r="N22" s="59" t="s">
        <v>431</v>
      </c>
      <c r="O22" s="16" t="s">
        <v>703</v>
      </c>
      <c r="P22">
        <v>4.0649999999999999E-2</v>
      </c>
      <c r="Q22">
        <v>0.55710000000000004</v>
      </c>
      <c r="R22">
        <v>5.5010000000000003</v>
      </c>
      <c r="S22">
        <v>4</v>
      </c>
      <c r="T22">
        <v>3</v>
      </c>
    </row>
    <row r="23" spans="5:20" ht="15" customHeight="1" x14ac:dyDescent="0.25">
      <c r="E23" s="19">
        <v>9</v>
      </c>
      <c r="F23" s="19">
        <v>1</v>
      </c>
      <c r="G23" s="19" t="s">
        <v>693</v>
      </c>
      <c r="H23" s="19">
        <v>0.21310000000000001</v>
      </c>
      <c r="I23" s="19">
        <v>0.50339999999999996</v>
      </c>
      <c r="J23" s="19">
        <v>1.31</v>
      </c>
      <c r="K23" s="59" t="str">
        <f t="shared" si="0"/>
        <v>0.50 (0.21 – 1.31)</v>
      </c>
      <c r="L23" s="16" t="str">
        <f t="shared" si="1"/>
        <v>0.50
(0.21 – 1.31)</v>
      </c>
      <c r="N23" s="59" t="s">
        <v>432</v>
      </c>
      <c r="O23" s="16" t="s">
        <v>704</v>
      </c>
      <c r="P23">
        <v>0.13170000000000001</v>
      </c>
      <c r="Q23">
        <v>1.8620000000000001</v>
      </c>
      <c r="R23">
        <v>25.36</v>
      </c>
      <c r="S23">
        <v>5</v>
      </c>
      <c r="T23">
        <v>3</v>
      </c>
    </row>
    <row r="24" spans="5:20" ht="15" customHeight="1" x14ac:dyDescent="0.25">
      <c r="E24" s="19">
        <v>1</v>
      </c>
      <c r="F24" s="19">
        <v>10</v>
      </c>
      <c r="G24" s="19" t="s">
        <v>741</v>
      </c>
      <c r="H24" s="19">
        <v>0.16857720836142953</v>
      </c>
      <c r="I24" s="19">
        <v>0.43346337234503685</v>
      </c>
      <c r="J24" s="19">
        <v>1.0077597500755819</v>
      </c>
      <c r="K24" s="59" t="str">
        <f t="shared" si="0"/>
        <v>0.43 (0.17 – 1.01)</v>
      </c>
      <c r="L24" s="16" t="str">
        <f t="shared" si="1"/>
        <v>0.43
(0.17 – 1.01)</v>
      </c>
      <c r="N24" s="59" t="s">
        <v>433</v>
      </c>
      <c r="O24" s="16" t="s">
        <v>705</v>
      </c>
      <c r="P24">
        <v>1.4620000000000001E-5</v>
      </c>
      <c r="Q24">
        <v>2.0820000000000002E-2</v>
      </c>
      <c r="R24">
        <v>0.4708</v>
      </c>
      <c r="S24">
        <v>6</v>
      </c>
      <c r="T24">
        <v>3</v>
      </c>
    </row>
    <row r="25" spans="5:20" ht="15" customHeight="1" x14ac:dyDescent="0.25">
      <c r="E25" s="57">
        <v>4</v>
      </c>
      <c r="F25" s="57">
        <v>1</v>
      </c>
      <c r="G25" s="57" t="s">
        <v>688</v>
      </c>
      <c r="H25" s="57">
        <v>2.8740000000000002E-2</v>
      </c>
      <c r="I25" s="57">
        <v>0.42020000000000002</v>
      </c>
      <c r="J25" s="57">
        <v>5.1909999999999998</v>
      </c>
      <c r="K25" s="59" t="str">
        <f t="shared" si="0"/>
        <v>0.42 (0.03 – 5.19)</v>
      </c>
      <c r="L25" s="16" t="str">
        <f t="shared" si="1"/>
        <v>0.42
(0.03 – 5.19)</v>
      </c>
      <c r="N25" s="59" t="s">
        <v>434</v>
      </c>
      <c r="O25" s="16" t="s">
        <v>706</v>
      </c>
      <c r="P25">
        <v>4.4749999999999998E-2</v>
      </c>
      <c r="Q25">
        <v>0.37530000000000002</v>
      </c>
      <c r="R25">
        <v>2.593</v>
      </c>
      <c r="S25">
        <v>7</v>
      </c>
      <c r="T25">
        <v>3</v>
      </c>
    </row>
    <row r="26" spans="5:20" ht="15" customHeight="1" x14ac:dyDescent="0.25">
      <c r="E26" s="57">
        <v>8</v>
      </c>
      <c r="F26" s="57">
        <v>2</v>
      </c>
      <c r="G26" s="57" t="s">
        <v>700</v>
      </c>
      <c r="H26" s="57">
        <v>3.984E-2</v>
      </c>
      <c r="I26" s="57">
        <v>0.41749999999999998</v>
      </c>
      <c r="J26" s="57">
        <v>3.1480000000000001</v>
      </c>
      <c r="K26" s="59" t="str">
        <f t="shared" si="0"/>
        <v>0.42 (0.04 – 3.15)</v>
      </c>
      <c r="L26" s="16" t="str">
        <f t="shared" si="1"/>
        <v>0.42
(0.04 – 3.15)</v>
      </c>
      <c r="N26" s="59" t="s">
        <v>435</v>
      </c>
      <c r="O26" s="16" t="s">
        <v>707</v>
      </c>
      <c r="P26">
        <v>4.8640000000000003E-2</v>
      </c>
      <c r="Q26">
        <v>0.74829999999999997</v>
      </c>
      <c r="R26">
        <v>7.1040000000000001</v>
      </c>
      <c r="S26">
        <v>8</v>
      </c>
      <c r="T26">
        <v>3</v>
      </c>
    </row>
    <row r="27" spans="5:20" ht="15" customHeight="1" x14ac:dyDescent="0.25">
      <c r="E27" s="19">
        <v>8</v>
      </c>
      <c r="F27" s="19">
        <v>5</v>
      </c>
      <c r="G27" s="19" t="s">
        <v>718</v>
      </c>
      <c r="H27" s="19">
        <v>1.2019999999999999E-2</v>
      </c>
      <c r="I27" s="19">
        <v>0.3962</v>
      </c>
      <c r="J27" s="19">
        <v>9.218</v>
      </c>
      <c r="K27" s="59" t="str">
        <f t="shared" si="0"/>
        <v>0.40 (0.01 – 9.22)</v>
      </c>
      <c r="L27" s="16" t="str">
        <f t="shared" si="1"/>
        <v>0.40
(0.01 – 9.22)</v>
      </c>
      <c r="N27" s="59" t="s">
        <v>436</v>
      </c>
      <c r="O27" s="16" t="s">
        <v>708</v>
      </c>
      <c r="P27">
        <v>0.21390000000000001</v>
      </c>
      <c r="Q27">
        <v>0.64759999999999995</v>
      </c>
      <c r="R27">
        <v>1.899</v>
      </c>
      <c r="S27">
        <v>9</v>
      </c>
      <c r="T27">
        <v>3</v>
      </c>
    </row>
    <row r="28" spans="5:20" ht="15" customHeight="1" x14ac:dyDescent="0.25">
      <c r="E28" s="57">
        <v>7</v>
      </c>
      <c r="F28" s="57">
        <v>3</v>
      </c>
      <c r="G28" s="57" t="s">
        <v>706</v>
      </c>
      <c r="H28" s="57">
        <v>4.4749999999999998E-2</v>
      </c>
      <c r="I28" s="57">
        <v>0.37530000000000002</v>
      </c>
      <c r="J28" s="57">
        <v>2.593</v>
      </c>
      <c r="K28" s="59" t="str">
        <f t="shared" si="0"/>
        <v>0.38 (0.04 – 2.59)</v>
      </c>
      <c r="L28" s="16" t="str">
        <f t="shared" si="1"/>
        <v>0.38
(0.04 – 2.59)</v>
      </c>
      <c r="N28" s="59" t="s">
        <v>437</v>
      </c>
      <c r="O28" s="16" t="s">
        <v>709</v>
      </c>
      <c r="P28">
        <v>0.90549999999999997</v>
      </c>
      <c r="Q28">
        <v>2.956</v>
      </c>
      <c r="R28">
        <v>9.8409999999999993</v>
      </c>
      <c r="S28">
        <v>10</v>
      </c>
      <c r="T28">
        <v>3</v>
      </c>
    </row>
    <row r="29" spans="5:20" ht="15" customHeight="1" x14ac:dyDescent="0.25">
      <c r="E29" s="57">
        <v>9</v>
      </c>
      <c r="F29" s="57">
        <v>2</v>
      </c>
      <c r="G29" s="57" t="s">
        <v>701</v>
      </c>
      <c r="H29" s="57">
        <v>0.13669999999999999</v>
      </c>
      <c r="I29" s="57">
        <v>0.37040000000000001</v>
      </c>
      <c r="J29" s="57">
        <v>0.92490000000000006</v>
      </c>
      <c r="K29" s="59" t="str">
        <f t="shared" si="0"/>
        <v>0.37 (0.14 – 0.92)</v>
      </c>
      <c r="L29" s="16" t="str">
        <f t="shared" si="1"/>
        <v>0.37
(0.14 – 0.92)</v>
      </c>
      <c r="N29" s="59" t="s">
        <v>438</v>
      </c>
      <c r="O29" s="16" t="s">
        <v>710</v>
      </c>
      <c r="P29">
        <v>0.1069</v>
      </c>
      <c r="Q29">
        <v>3.2370000000000001</v>
      </c>
      <c r="R29">
        <v>115.9</v>
      </c>
      <c r="S29">
        <v>5</v>
      </c>
      <c r="T29">
        <v>4</v>
      </c>
    </row>
    <row r="30" spans="5:20" ht="15" customHeight="1" x14ac:dyDescent="0.25">
      <c r="E30" s="57">
        <v>9</v>
      </c>
      <c r="F30" s="57">
        <v>5</v>
      </c>
      <c r="G30" s="57" t="s">
        <v>719</v>
      </c>
      <c r="H30" s="57">
        <v>2.75E-2</v>
      </c>
      <c r="I30" s="57">
        <v>0.34789999999999999</v>
      </c>
      <c r="J30" s="57">
        <v>4.7720000000000002</v>
      </c>
      <c r="K30" s="59" t="str">
        <f t="shared" si="0"/>
        <v>0.35 (0.03 – 4.77)</v>
      </c>
      <c r="L30" s="16" t="str">
        <f t="shared" si="1"/>
        <v>0.35
(0.03 – 4.77)</v>
      </c>
      <c r="N30" s="59" t="s">
        <v>439</v>
      </c>
      <c r="O30" s="16" t="s">
        <v>711</v>
      </c>
      <c r="P30">
        <v>1.7649999999999999E-5</v>
      </c>
      <c r="Q30">
        <v>3.499E-2</v>
      </c>
      <c r="R30">
        <v>2.952</v>
      </c>
      <c r="S30">
        <v>6</v>
      </c>
      <c r="T30">
        <v>4</v>
      </c>
    </row>
    <row r="31" spans="5:20" ht="15" customHeight="1" x14ac:dyDescent="0.25">
      <c r="E31" s="19">
        <v>3</v>
      </c>
      <c r="F31" s="59">
        <v>10</v>
      </c>
      <c r="G31" s="54" t="s">
        <v>739</v>
      </c>
      <c r="H31" s="16">
        <v>0.10161568946245302</v>
      </c>
      <c r="I31" s="16">
        <v>0.33829499323410012</v>
      </c>
      <c r="J31" s="16">
        <v>1.1043622308117063</v>
      </c>
      <c r="K31" s="59" t="str">
        <f t="shared" si="0"/>
        <v>0.34 (0.10 – 1.10)</v>
      </c>
      <c r="L31" s="16" t="str">
        <f t="shared" si="1"/>
        <v>0.34
(0.10 – 1.10)</v>
      </c>
      <c r="N31" s="59" t="s">
        <v>440</v>
      </c>
      <c r="O31" s="16" t="s">
        <v>712</v>
      </c>
      <c r="P31">
        <v>3.1850000000000003E-2</v>
      </c>
      <c r="Q31">
        <v>0.70699999999999996</v>
      </c>
      <c r="R31">
        <v>16.93</v>
      </c>
      <c r="S31">
        <v>7</v>
      </c>
      <c r="T31">
        <v>4</v>
      </c>
    </row>
    <row r="32" spans="5:20" ht="15" customHeight="1" x14ac:dyDescent="0.25">
      <c r="E32" s="19">
        <v>4</v>
      </c>
      <c r="F32" s="19">
        <v>5</v>
      </c>
      <c r="G32" s="19" t="s">
        <v>764</v>
      </c>
      <c r="H32" s="19">
        <v>8.6281276962899053E-3</v>
      </c>
      <c r="I32" s="19">
        <v>0.30892801977139328</v>
      </c>
      <c r="J32" s="19">
        <v>9.3545369504209539</v>
      </c>
      <c r="K32" s="59" t="str">
        <f t="shared" si="0"/>
        <v>0.31 (0.01 – 9.35)</v>
      </c>
      <c r="L32" s="16" t="str">
        <f t="shared" si="1"/>
        <v>0.31
(0.01 – 9.35)</v>
      </c>
      <c r="N32" s="59" t="s">
        <v>441</v>
      </c>
      <c r="O32" s="16" t="s">
        <v>713</v>
      </c>
      <c r="P32">
        <v>4.376E-2</v>
      </c>
      <c r="Q32">
        <v>1.397</v>
      </c>
      <c r="R32">
        <v>42.67</v>
      </c>
      <c r="S32">
        <v>8</v>
      </c>
      <c r="T32">
        <v>4</v>
      </c>
    </row>
    <row r="33" spans="3:20" ht="15" customHeight="1" x14ac:dyDescent="0.25">
      <c r="E33" s="57">
        <v>4</v>
      </c>
      <c r="F33" s="57">
        <v>2</v>
      </c>
      <c r="G33" s="57" t="s">
        <v>696</v>
      </c>
      <c r="H33" s="57">
        <v>2.102E-2</v>
      </c>
      <c r="I33" s="57">
        <v>0.30099999999999999</v>
      </c>
      <c r="J33" s="57">
        <v>3.637</v>
      </c>
      <c r="K33" s="59" t="str">
        <f t="shared" si="0"/>
        <v>0.30 (0.02 – 3.64)</v>
      </c>
      <c r="L33" s="16" t="str">
        <f t="shared" si="1"/>
        <v>0.30
(0.02 – 3.64)</v>
      </c>
      <c r="N33" s="59" t="s">
        <v>442</v>
      </c>
      <c r="O33" s="16" t="s">
        <v>714</v>
      </c>
      <c r="P33">
        <v>9.7699999999999995E-2</v>
      </c>
      <c r="Q33">
        <v>1.155</v>
      </c>
      <c r="R33">
        <v>18.05</v>
      </c>
      <c r="S33">
        <v>9</v>
      </c>
      <c r="T33">
        <v>4</v>
      </c>
    </row>
    <row r="34" spans="3:20" ht="15" customHeight="1" x14ac:dyDescent="0.25">
      <c r="E34" s="19">
        <v>7</v>
      </c>
      <c r="F34" s="59">
        <v>1</v>
      </c>
      <c r="G34" s="54" t="s">
        <v>691</v>
      </c>
      <c r="H34" s="16">
        <v>4.5350000000000001E-2</v>
      </c>
      <c r="I34" s="16">
        <v>0.29020000000000001</v>
      </c>
      <c r="J34" s="16">
        <v>1.7989999999999999</v>
      </c>
      <c r="K34" s="59" t="str">
        <f t="shared" si="0"/>
        <v>0.29 (0.05 – 1.80)</v>
      </c>
      <c r="L34" s="16" t="str">
        <f t="shared" si="1"/>
        <v>0.29
(0.05 – 1.80)</v>
      </c>
      <c r="N34" s="59" t="s">
        <v>443</v>
      </c>
      <c r="O34" s="16" t="s">
        <v>715</v>
      </c>
      <c r="P34">
        <v>0.40139999999999998</v>
      </c>
      <c r="Q34">
        <v>5.476</v>
      </c>
      <c r="R34">
        <v>84.75</v>
      </c>
      <c r="S34">
        <v>10</v>
      </c>
      <c r="T34">
        <v>4</v>
      </c>
    </row>
    <row r="35" spans="3:20" ht="15" customHeight="1" x14ac:dyDescent="0.25">
      <c r="E35" s="19">
        <v>8</v>
      </c>
      <c r="F35" s="19">
        <v>10</v>
      </c>
      <c r="G35" s="19" t="s">
        <v>743</v>
      </c>
      <c r="H35" s="19">
        <v>1.9584802193497845E-2</v>
      </c>
      <c r="I35" s="19">
        <v>0.24283632831471585</v>
      </c>
      <c r="J35" s="19">
        <v>2.2841480127912286</v>
      </c>
      <c r="K35" s="59" t="str">
        <f t="shared" si="0"/>
        <v>0.24 (0.02 – 2.28)</v>
      </c>
      <c r="L35" s="16" t="str">
        <f t="shared" si="1"/>
        <v>0.24
(0.02 – 2.28)</v>
      </c>
      <c r="N35" s="59" t="s">
        <v>444</v>
      </c>
      <c r="O35" s="16" t="s">
        <v>716</v>
      </c>
      <c r="P35">
        <v>8.9150000000000002E-6</v>
      </c>
      <c r="Q35">
        <v>9.2029999999999994E-3</v>
      </c>
      <c r="R35">
        <v>0.61360000000000003</v>
      </c>
      <c r="S35">
        <v>6</v>
      </c>
      <c r="T35">
        <v>5</v>
      </c>
    </row>
    <row r="36" spans="3:20" ht="15" customHeight="1" x14ac:dyDescent="0.25">
      <c r="C36" s="56"/>
      <c r="D36" s="57"/>
      <c r="E36" s="19">
        <v>9</v>
      </c>
      <c r="F36" s="59">
        <v>10</v>
      </c>
      <c r="G36" s="54" t="s">
        <v>742</v>
      </c>
      <c r="H36" s="16">
        <v>9.5510983763132759E-2</v>
      </c>
      <c r="I36" s="16">
        <v>0.22089684117517119</v>
      </c>
      <c r="J36" s="16">
        <v>0.47687172150691465</v>
      </c>
      <c r="K36" s="59" t="str">
        <f t="shared" si="0"/>
        <v>0.22 (0.10 – 0.48)</v>
      </c>
      <c r="L36" s="16" t="str">
        <f t="shared" si="1"/>
        <v>0.22
(0.10 – 0.48)</v>
      </c>
      <c r="M36" s="57"/>
      <c r="N36" s="59" t="s">
        <v>445</v>
      </c>
      <c r="O36" s="16" t="s">
        <v>717</v>
      </c>
      <c r="P36">
        <v>1.0500000000000001E-2</v>
      </c>
      <c r="Q36">
        <v>0.1988</v>
      </c>
      <c r="R36">
        <v>4.0860000000000003</v>
      </c>
      <c r="S36">
        <v>7</v>
      </c>
      <c r="T36">
        <v>5</v>
      </c>
    </row>
    <row r="37" spans="3:20" ht="15" customHeight="1" x14ac:dyDescent="0.25">
      <c r="C37" s="56"/>
      <c r="D37" s="57"/>
      <c r="E37" s="19">
        <v>7</v>
      </c>
      <c r="F37" s="59">
        <v>2</v>
      </c>
      <c r="G37" s="54" t="s">
        <v>699</v>
      </c>
      <c r="H37" s="16">
        <v>3.44E-2</v>
      </c>
      <c r="I37" s="16">
        <v>0.21579999999999999</v>
      </c>
      <c r="J37" s="16">
        <v>1.071</v>
      </c>
      <c r="K37" s="59" t="str">
        <f t="shared" si="0"/>
        <v>0.22 (0.03 – 1.07)</v>
      </c>
      <c r="L37" s="16" t="str">
        <f t="shared" si="1"/>
        <v>0.22
(0.03 – 1.07)</v>
      </c>
      <c r="M37" s="57"/>
      <c r="N37" s="59" t="s">
        <v>446</v>
      </c>
      <c r="O37" s="16" t="s">
        <v>718</v>
      </c>
      <c r="P37">
        <v>1.2019999999999999E-2</v>
      </c>
      <c r="Q37">
        <v>0.3962</v>
      </c>
      <c r="R37">
        <v>9.218</v>
      </c>
      <c r="S37">
        <v>8</v>
      </c>
      <c r="T37">
        <v>5</v>
      </c>
    </row>
    <row r="38" spans="3:20" ht="15" customHeight="1" x14ac:dyDescent="0.25">
      <c r="C38" s="56"/>
      <c r="D38" s="57"/>
      <c r="E38" s="19">
        <v>7</v>
      </c>
      <c r="F38" s="19">
        <v>5</v>
      </c>
      <c r="G38" s="19" t="s">
        <v>717</v>
      </c>
      <c r="H38" s="19">
        <v>1.0500000000000001E-2</v>
      </c>
      <c r="I38" s="19">
        <v>0.1988</v>
      </c>
      <c r="J38" s="19">
        <v>4.0860000000000003</v>
      </c>
      <c r="K38" s="59" t="str">
        <f t="shared" si="0"/>
        <v>0.20 (0.01 – 4.09)</v>
      </c>
      <c r="L38" s="16" t="str">
        <f t="shared" si="1"/>
        <v>0.20
(0.01 – 4.09)</v>
      </c>
      <c r="M38" s="57"/>
      <c r="N38" s="59" t="s">
        <v>447</v>
      </c>
      <c r="O38" s="16" t="s">
        <v>719</v>
      </c>
      <c r="P38">
        <v>2.75E-2</v>
      </c>
      <c r="Q38">
        <v>0.34789999999999999</v>
      </c>
      <c r="R38">
        <v>4.7720000000000002</v>
      </c>
      <c r="S38">
        <v>9</v>
      </c>
      <c r="T38">
        <v>5</v>
      </c>
    </row>
    <row r="39" spans="3:20" ht="15" customHeight="1" x14ac:dyDescent="0.25">
      <c r="C39" s="56"/>
      <c r="D39" s="57"/>
      <c r="E39" s="19">
        <v>4</v>
      </c>
      <c r="F39" s="19">
        <v>10</v>
      </c>
      <c r="G39" s="19" t="s">
        <v>738</v>
      </c>
      <c r="H39" s="19">
        <v>1.1799410029498525E-2</v>
      </c>
      <c r="I39" s="19">
        <v>0.18261504747991233</v>
      </c>
      <c r="J39" s="19">
        <v>2.4912805181863478</v>
      </c>
      <c r="K39" s="59" t="str">
        <f t="shared" si="0"/>
        <v>0.18 (0.01 – 2.49)</v>
      </c>
      <c r="L39" s="16" t="str">
        <f t="shared" si="1"/>
        <v>0.18
(0.01 – 2.49)</v>
      </c>
      <c r="M39" s="57"/>
      <c r="N39" s="59" t="s">
        <v>448</v>
      </c>
      <c r="O39" s="16" t="s">
        <v>720</v>
      </c>
      <c r="P39">
        <v>0.12959999999999999</v>
      </c>
      <c r="Q39">
        <v>1.6080000000000001</v>
      </c>
      <c r="R39">
        <v>21.86</v>
      </c>
      <c r="S39">
        <v>10</v>
      </c>
      <c r="T39">
        <v>5</v>
      </c>
    </row>
    <row r="40" spans="3:20" ht="15" customHeight="1" x14ac:dyDescent="0.25">
      <c r="C40" s="56"/>
      <c r="D40" s="57"/>
      <c r="E40" s="19">
        <v>7</v>
      </c>
      <c r="F40" s="19">
        <v>10</v>
      </c>
      <c r="G40" s="19" t="s">
        <v>745</v>
      </c>
      <c r="H40" s="19">
        <v>1.7182130584192438E-2</v>
      </c>
      <c r="I40" s="19">
        <v>0.1254075746175069</v>
      </c>
      <c r="J40" s="19">
        <v>0.82101806239737274</v>
      </c>
      <c r="K40" s="59" t="str">
        <f t="shared" si="0"/>
        <v>0.13 (0.02 – 0.82)</v>
      </c>
      <c r="L40" s="16" t="str">
        <f t="shared" si="1"/>
        <v>0.13
(0.02 – 0.82)</v>
      </c>
      <c r="M40" s="57"/>
      <c r="N40" s="59" t="s">
        <v>449</v>
      </c>
      <c r="O40" s="16" t="s">
        <v>721</v>
      </c>
      <c r="P40">
        <v>0.38500000000000001</v>
      </c>
      <c r="Q40">
        <v>21.07</v>
      </c>
      <c r="R40">
        <v>33620</v>
      </c>
      <c r="S40">
        <v>7</v>
      </c>
      <c r="T40">
        <v>6</v>
      </c>
    </row>
    <row r="41" spans="3:20" ht="15" customHeight="1" x14ac:dyDescent="0.25">
      <c r="C41" s="56"/>
      <c r="D41" s="57"/>
      <c r="E41" s="19">
        <v>6</v>
      </c>
      <c r="F41" s="19">
        <v>7</v>
      </c>
      <c r="G41" s="19" t="s">
        <v>733</v>
      </c>
      <c r="H41" s="19">
        <v>2.97441998810232E-5</v>
      </c>
      <c r="I41" s="19">
        <v>4.7460844803037493E-2</v>
      </c>
      <c r="J41" s="19">
        <v>2.5974025974025974</v>
      </c>
      <c r="K41" s="59" t="str">
        <f t="shared" si="0"/>
        <v>0.05 (0.00 – 2.60)</v>
      </c>
      <c r="L41" s="16" t="str">
        <f t="shared" si="1"/>
        <v>0.05
(0.00 – 2.60)</v>
      </c>
      <c r="M41" s="57"/>
      <c r="N41" s="59" t="s">
        <v>450</v>
      </c>
      <c r="O41" s="16" t="s">
        <v>722</v>
      </c>
      <c r="P41">
        <v>0.54710000000000003</v>
      </c>
      <c r="Q41">
        <v>41.44</v>
      </c>
      <c r="R41">
        <v>57870</v>
      </c>
      <c r="S41">
        <v>8</v>
      </c>
      <c r="T41">
        <v>6</v>
      </c>
    </row>
    <row r="42" spans="3:20" ht="15" customHeight="1" x14ac:dyDescent="0.25">
      <c r="C42" s="56"/>
      <c r="D42" s="57"/>
      <c r="E42" s="57">
        <v>6</v>
      </c>
      <c r="F42" s="57">
        <v>4</v>
      </c>
      <c r="G42" s="57" t="s">
        <v>711</v>
      </c>
      <c r="H42" s="57">
        <v>1.7649999999999999E-5</v>
      </c>
      <c r="I42" s="57">
        <v>3.499E-2</v>
      </c>
      <c r="J42" s="57">
        <v>2.952</v>
      </c>
      <c r="K42" s="59" t="str">
        <f t="shared" si="0"/>
        <v>0.03 (0.00 – 2.95)</v>
      </c>
      <c r="L42" s="16" t="str">
        <f t="shared" si="1"/>
        <v>0.03
(0.00 – 2.95)</v>
      </c>
      <c r="M42" s="57"/>
      <c r="N42" s="59" t="s">
        <v>451</v>
      </c>
      <c r="O42" s="16" t="s">
        <v>723</v>
      </c>
      <c r="P42">
        <v>1.1459999999999999</v>
      </c>
      <c r="Q42">
        <v>33.92</v>
      </c>
      <c r="R42">
        <v>42200</v>
      </c>
      <c r="S42">
        <v>9</v>
      </c>
      <c r="T42">
        <v>6</v>
      </c>
    </row>
    <row r="43" spans="3:20" ht="15" customHeight="1" x14ac:dyDescent="0.25">
      <c r="C43" s="56"/>
      <c r="D43" s="57"/>
      <c r="E43" s="57">
        <v>6</v>
      </c>
      <c r="F43" s="57">
        <v>9</v>
      </c>
      <c r="G43" s="57" t="s">
        <v>731</v>
      </c>
      <c r="H43" s="57">
        <v>2.3696682464454976E-5</v>
      </c>
      <c r="I43" s="57">
        <v>2.9481132075471695E-2</v>
      </c>
      <c r="J43" s="57">
        <v>0.87260034904013972</v>
      </c>
      <c r="K43" s="59" t="str">
        <f t="shared" si="0"/>
        <v>0.03 (0.00 – 0.87)</v>
      </c>
      <c r="L43" s="16" t="str">
        <f t="shared" si="1"/>
        <v>0.03
(0.00 – 0.87)</v>
      </c>
      <c r="M43" s="57"/>
      <c r="N43" s="59" t="s">
        <v>452</v>
      </c>
      <c r="O43" s="16" t="s">
        <v>724</v>
      </c>
      <c r="P43">
        <v>4.1139999999999999</v>
      </c>
      <c r="Q43">
        <v>159</v>
      </c>
      <c r="R43">
        <v>189900</v>
      </c>
      <c r="S43">
        <v>10</v>
      </c>
      <c r="T43">
        <v>6</v>
      </c>
    </row>
    <row r="44" spans="3:20" ht="15" customHeight="1" x14ac:dyDescent="0.25">
      <c r="C44" s="56"/>
      <c r="D44" s="57"/>
      <c r="E44" s="19">
        <v>6</v>
      </c>
      <c r="F44" s="59">
        <v>8</v>
      </c>
      <c r="G44" s="54" t="s">
        <v>732</v>
      </c>
      <c r="H44" s="16">
        <v>1.7280110592707793E-5</v>
      </c>
      <c r="I44" s="16">
        <v>2.4131274131274132E-2</v>
      </c>
      <c r="J44" s="16">
        <v>1.8278194114421493</v>
      </c>
      <c r="K44" s="59" t="str">
        <f t="shared" si="0"/>
        <v>0.02 (0.00 – 1.83)</v>
      </c>
      <c r="L44" s="16" t="str">
        <f t="shared" si="1"/>
        <v>0.02
(0.00 – 1.83)</v>
      </c>
      <c r="M44" s="57"/>
      <c r="N44" s="59" t="s">
        <v>453</v>
      </c>
      <c r="O44" s="16" t="s">
        <v>725</v>
      </c>
      <c r="P44">
        <v>0.12920000000000001</v>
      </c>
      <c r="Q44">
        <v>1.8640000000000001</v>
      </c>
      <c r="R44">
        <v>31.63</v>
      </c>
      <c r="S44">
        <v>8</v>
      </c>
      <c r="T44">
        <v>7</v>
      </c>
    </row>
    <row r="45" spans="3:20" ht="15" customHeight="1" x14ac:dyDescent="0.25">
      <c r="C45" s="56"/>
      <c r="D45" s="57"/>
      <c r="E45" s="57">
        <v>6</v>
      </c>
      <c r="F45" s="57">
        <v>3</v>
      </c>
      <c r="G45" s="57" t="s">
        <v>705</v>
      </c>
      <c r="H45" s="57">
        <v>1.4620000000000001E-5</v>
      </c>
      <c r="I45" s="57">
        <v>2.0820000000000002E-2</v>
      </c>
      <c r="J45" s="57">
        <v>0.4708</v>
      </c>
      <c r="K45" s="59" t="str">
        <f t="shared" si="0"/>
        <v>0.02 (0.00 – 0.47)</v>
      </c>
      <c r="L45" s="16" t="str">
        <f t="shared" si="1"/>
        <v>0.02
(0.00 – 0.47)</v>
      </c>
      <c r="M45" s="57"/>
      <c r="N45" s="59" t="s">
        <v>454</v>
      </c>
      <c r="O45" s="16" t="s">
        <v>726</v>
      </c>
      <c r="P45">
        <v>0.26</v>
      </c>
      <c r="Q45">
        <v>1.75</v>
      </c>
      <c r="R45">
        <v>12.67</v>
      </c>
      <c r="S45">
        <v>9</v>
      </c>
      <c r="T45">
        <v>7</v>
      </c>
    </row>
    <row r="46" spans="3:20" ht="15" customHeight="1" x14ac:dyDescent="0.25">
      <c r="C46" s="56"/>
      <c r="D46" s="57"/>
      <c r="E46" s="19">
        <v>6</v>
      </c>
      <c r="F46" s="19">
        <v>1</v>
      </c>
      <c r="G46" s="19" t="s">
        <v>690</v>
      </c>
      <c r="H46" s="19">
        <v>1.1739999999999999E-5</v>
      </c>
      <c r="I46" s="19">
        <v>1.495E-2</v>
      </c>
      <c r="J46" s="19">
        <v>0.4425</v>
      </c>
      <c r="K46" s="59" t="str">
        <f t="shared" si="0"/>
        <v>0.01 (0.00 – 0.44)</v>
      </c>
      <c r="L46" s="16" t="str">
        <f t="shared" si="1"/>
        <v>0.01
(0.00 – 0.44)</v>
      </c>
      <c r="M46" s="57"/>
      <c r="N46" s="59" t="s">
        <v>455</v>
      </c>
      <c r="O46" s="16" t="s">
        <v>727</v>
      </c>
      <c r="P46">
        <v>1.218</v>
      </c>
      <c r="Q46">
        <v>7.9740000000000002</v>
      </c>
      <c r="R46">
        <v>58.2</v>
      </c>
      <c r="S46">
        <v>10</v>
      </c>
      <c r="T46">
        <v>7</v>
      </c>
    </row>
    <row r="47" spans="3:20" ht="15" customHeight="1" x14ac:dyDescent="0.25">
      <c r="C47" s="56"/>
      <c r="D47" s="57"/>
      <c r="E47" s="19">
        <v>6</v>
      </c>
      <c r="F47" s="19">
        <v>2</v>
      </c>
      <c r="G47" s="19" t="s">
        <v>698</v>
      </c>
      <c r="H47" s="19">
        <v>8.8459999999999997E-6</v>
      </c>
      <c r="I47" s="19">
        <v>1.069E-2</v>
      </c>
      <c r="J47" s="19">
        <v>0.33389999999999997</v>
      </c>
      <c r="K47" s="59" t="str">
        <f t="shared" si="0"/>
        <v>0.01 (0.00 – 0.33)</v>
      </c>
      <c r="L47" s="16" t="str">
        <f t="shared" si="1"/>
        <v>0.01
(0.00 – 0.33)</v>
      </c>
      <c r="M47" s="57"/>
      <c r="N47" s="59" t="s">
        <v>456</v>
      </c>
      <c r="O47" s="16" t="s">
        <v>728</v>
      </c>
      <c r="P47">
        <v>9.1859999999999997E-2</v>
      </c>
      <c r="Q47">
        <v>0.89149999999999996</v>
      </c>
      <c r="R47">
        <v>11.48</v>
      </c>
      <c r="S47">
        <v>9</v>
      </c>
      <c r="T47">
        <v>8</v>
      </c>
    </row>
    <row r="48" spans="3:20" ht="15" customHeight="1" x14ac:dyDescent="0.25">
      <c r="C48" s="56"/>
      <c r="D48" s="57"/>
      <c r="E48" s="57">
        <v>6</v>
      </c>
      <c r="F48" s="57">
        <v>5</v>
      </c>
      <c r="G48" s="57" t="s">
        <v>716</v>
      </c>
      <c r="H48" s="57">
        <v>8.9150000000000002E-6</v>
      </c>
      <c r="I48" s="57">
        <v>9.2029999999999994E-3</v>
      </c>
      <c r="J48" s="57">
        <v>0.61360000000000003</v>
      </c>
      <c r="K48" s="59" t="str">
        <f t="shared" si="0"/>
        <v>0.01 (0.00 – 0.61)</v>
      </c>
      <c r="L48" s="16" t="str">
        <f t="shared" si="1"/>
        <v>0.01
(0.00 – 0.61)</v>
      </c>
      <c r="M48" s="57"/>
      <c r="N48" s="59" t="s">
        <v>457</v>
      </c>
      <c r="O48" s="16" t="s">
        <v>729</v>
      </c>
      <c r="P48">
        <v>0.43780000000000002</v>
      </c>
      <c r="Q48">
        <v>4.1180000000000003</v>
      </c>
      <c r="R48">
        <v>51.06</v>
      </c>
      <c r="S48">
        <v>10</v>
      </c>
      <c r="T48">
        <v>8</v>
      </c>
    </row>
    <row r="49" spans="3:20" ht="15" customHeight="1" x14ac:dyDescent="0.25">
      <c r="C49" s="56"/>
      <c r="D49" s="57"/>
      <c r="E49" s="19">
        <v>6</v>
      </c>
      <c r="F49" s="19">
        <v>10</v>
      </c>
      <c r="G49" s="19" t="s">
        <v>734</v>
      </c>
      <c r="H49" s="19">
        <v>5.2659294365455505E-6</v>
      </c>
      <c r="I49" s="19">
        <v>6.2893081761006293E-3</v>
      </c>
      <c r="J49" s="19">
        <v>0.24307243558580457</v>
      </c>
      <c r="K49" s="59" t="str">
        <f t="shared" si="0"/>
        <v>0.01 (0.00 – 0.24)</v>
      </c>
      <c r="L49" s="16" t="str">
        <f t="shared" si="1"/>
        <v>0.01
(0.00 – 0.24)</v>
      </c>
      <c r="M49" s="57"/>
      <c r="N49" s="59" t="s">
        <v>458</v>
      </c>
      <c r="O49" s="16" t="s">
        <v>730</v>
      </c>
      <c r="P49">
        <v>2.097</v>
      </c>
      <c r="Q49">
        <v>4.5270000000000001</v>
      </c>
      <c r="R49">
        <v>10.47</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9">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351</v>
      </c>
      <c r="N4" t="s">
        <v>352</v>
      </c>
      <c r="O4" t="s">
        <v>353</v>
      </c>
      <c r="P4" t="s">
        <v>354</v>
      </c>
      <c r="Q4" t="s">
        <v>355</v>
      </c>
      <c r="R4" t="s">
        <v>356</v>
      </c>
      <c r="S4" t="s">
        <v>357</v>
      </c>
      <c r="T4" t="s">
        <v>358</v>
      </c>
      <c r="U4" t="s">
        <v>359</v>
      </c>
      <c r="V4" t="s">
        <v>360</v>
      </c>
    </row>
    <row r="5" spans="2:22" x14ac:dyDescent="0.25">
      <c r="B5" t="s">
        <v>535</v>
      </c>
      <c r="C5" s="17" t="s">
        <v>351</v>
      </c>
      <c r="D5" s="17">
        <v>1</v>
      </c>
      <c r="E5">
        <v>1.6670000000000001E-4</v>
      </c>
      <c r="F5">
        <v>1.291E-2</v>
      </c>
      <c r="G5">
        <v>8.8109999999999995E-5</v>
      </c>
      <c r="H5">
        <v>0</v>
      </c>
      <c r="I5">
        <v>0</v>
      </c>
      <c r="J5">
        <v>0</v>
      </c>
      <c r="L5">
        <v>1</v>
      </c>
      <c r="M5">
        <v>1.6670000000000001E-4</v>
      </c>
      <c r="N5">
        <v>0</v>
      </c>
      <c r="O5">
        <v>1.3329999999999999E-4</v>
      </c>
      <c r="P5">
        <v>5.0700000000000002E-2</v>
      </c>
      <c r="Q5">
        <v>6.1000000000000004E-3</v>
      </c>
      <c r="R5">
        <v>0.87280000000000002</v>
      </c>
      <c r="S5">
        <v>4.7070000000000001E-2</v>
      </c>
      <c r="T5">
        <v>2.103E-2</v>
      </c>
      <c r="U5">
        <v>2E-3</v>
      </c>
      <c r="V5">
        <v>0</v>
      </c>
    </row>
    <row r="6" spans="2:22" x14ac:dyDescent="0.25">
      <c r="B6" t="s">
        <v>536</v>
      </c>
      <c r="C6" s="17" t="s">
        <v>351</v>
      </c>
      <c r="D6" s="17">
        <v>2</v>
      </c>
      <c r="E6">
        <v>2.0669999999999998E-3</v>
      </c>
      <c r="F6">
        <v>4.5409999999999999E-2</v>
      </c>
      <c r="G6">
        <v>3.5639999999999999E-4</v>
      </c>
      <c r="H6">
        <v>0</v>
      </c>
      <c r="I6">
        <v>0</v>
      </c>
      <c r="J6">
        <v>0</v>
      </c>
      <c r="L6">
        <v>2</v>
      </c>
      <c r="M6">
        <v>2.0669999999999998E-3</v>
      </c>
      <c r="N6">
        <v>3.3330000000000001E-5</v>
      </c>
      <c r="O6">
        <v>1.1270000000000001E-2</v>
      </c>
      <c r="P6">
        <v>0.26350000000000001</v>
      </c>
      <c r="Q6">
        <v>5.4129999999999998E-2</v>
      </c>
      <c r="R6">
        <v>7.22E-2</v>
      </c>
      <c r="S6">
        <v>0.34599999999999997</v>
      </c>
      <c r="T6">
        <v>0.1779</v>
      </c>
      <c r="U6">
        <v>7.2830000000000006E-2</v>
      </c>
      <c r="V6">
        <v>0</v>
      </c>
    </row>
    <row r="7" spans="2:22" x14ac:dyDescent="0.25">
      <c r="B7" t="s">
        <v>537</v>
      </c>
      <c r="C7" s="17" t="s">
        <v>351</v>
      </c>
      <c r="D7" s="17">
        <v>3</v>
      </c>
      <c r="E7">
        <v>1.2070000000000001E-2</v>
      </c>
      <c r="F7">
        <v>0.10920000000000001</v>
      </c>
      <c r="G7">
        <v>1.2179999999999999E-3</v>
      </c>
      <c r="H7">
        <v>0</v>
      </c>
      <c r="I7">
        <v>0</v>
      </c>
      <c r="J7">
        <v>0</v>
      </c>
      <c r="L7">
        <v>3</v>
      </c>
      <c r="M7">
        <v>1.2070000000000001E-2</v>
      </c>
      <c r="N7">
        <v>2.3330000000000001E-4</v>
      </c>
      <c r="O7">
        <v>6.4170000000000005E-2</v>
      </c>
      <c r="P7">
        <v>0.16689999999999999</v>
      </c>
      <c r="Q7">
        <v>7.0099999999999996E-2</v>
      </c>
      <c r="R7">
        <v>2.777E-2</v>
      </c>
      <c r="S7">
        <v>0.26129999999999998</v>
      </c>
      <c r="T7">
        <v>0.1653</v>
      </c>
      <c r="U7">
        <v>0.23180000000000001</v>
      </c>
      <c r="V7">
        <v>2.9999999999999997E-4</v>
      </c>
    </row>
    <row r="8" spans="2:22" x14ac:dyDescent="0.25">
      <c r="B8" t="s">
        <v>538</v>
      </c>
      <c r="C8" s="17" t="s">
        <v>351</v>
      </c>
      <c r="D8" s="17">
        <v>4</v>
      </c>
      <c r="E8">
        <v>5.1069999999999997E-2</v>
      </c>
      <c r="F8">
        <v>0.22009999999999999</v>
      </c>
      <c r="G8">
        <v>3.6310000000000001E-3</v>
      </c>
      <c r="H8">
        <v>0</v>
      </c>
      <c r="I8">
        <v>0</v>
      </c>
      <c r="J8">
        <v>1</v>
      </c>
      <c r="L8">
        <v>4</v>
      </c>
      <c r="M8">
        <v>5.1069999999999997E-2</v>
      </c>
      <c r="N8">
        <v>3.3999999999999998E-3</v>
      </c>
      <c r="O8">
        <v>0.14910000000000001</v>
      </c>
      <c r="P8">
        <v>0.1293</v>
      </c>
      <c r="Q8">
        <v>7.3169999999999999E-2</v>
      </c>
      <c r="R8">
        <v>1.5730000000000001E-2</v>
      </c>
      <c r="S8">
        <v>0.13109999999999999</v>
      </c>
      <c r="T8">
        <v>0.13139999999999999</v>
      </c>
      <c r="U8">
        <v>0.31440000000000001</v>
      </c>
      <c r="V8">
        <v>1.4E-3</v>
      </c>
    </row>
    <row r="9" spans="2:22" x14ac:dyDescent="0.25">
      <c r="B9" t="s">
        <v>539</v>
      </c>
      <c r="C9" s="17" t="s">
        <v>351</v>
      </c>
      <c r="D9" s="17">
        <v>5</v>
      </c>
      <c r="E9">
        <v>0.1298</v>
      </c>
      <c r="F9">
        <v>0.33600000000000002</v>
      </c>
      <c r="G9">
        <v>6.097E-3</v>
      </c>
      <c r="H9">
        <v>0</v>
      </c>
      <c r="I9">
        <v>0</v>
      </c>
      <c r="J9">
        <v>1</v>
      </c>
      <c r="L9">
        <v>5</v>
      </c>
      <c r="M9">
        <v>0.1298</v>
      </c>
      <c r="N9">
        <v>2.2100000000000002E-2</v>
      </c>
      <c r="O9">
        <v>0.25209999999999999</v>
      </c>
      <c r="P9">
        <v>8.8730000000000003E-2</v>
      </c>
      <c r="Q9">
        <v>7.3099999999999998E-2</v>
      </c>
      <c r="R9">
        <v>5.1330000000000004E-3</v>
      </c>
      <c r="S9">
        <v>9.3329999999999996E-2</v>
      </c>
      <c r="T9">
        <v>0.1057</v>
      </c>
      <c r="U9">
        <v>0.2248</v>
      </c>
      <c r="V9">
        <v>5.2329999999999998E-3</v>
      </c>
    </row>
    <row r="10" spans="2:22" x14ac:dyDescent="0.25">
      <c r="B10" t="s">
        <v>540</v>
      </c>
      <c r="C10" s="17" t="s">
        <v>351</v>
      </c>
      <c r="D10" s="17">
        <v>6</v>
      </c>
      <c r="E10">
        <v>0.27350000000000002</v>
      </c>
      <c r="F10">
        <v>0.44579999999999997</v>
      </c>
      <c r="G10">
        <v>1.0330000000000001E-2</v>
      </c>
      <c r="H10">
        <v>0</v>
      </c>
      <c r="I10">
        <v>0</v>
      </c>
      <c r="J10">
        <v>1</v>
      </c>
      <c r="L10">
        <v>6</v>
      </c>
      <c r="M10">
        <v>0.27350000000000002</v>
      </c>
      <c r="N10">
        <v>6.9199999999999998E-2</v>
      </c>
      <c r="O10">
        <v>0.22500000000000001</v>
      </c>
      <c r="P10">
        <v>6.9070000000000006E-2</v>
      </c>
      <c r="Q10">
        <v>8.6269999999999999E-2</v>
      </c>
      <c r="R10">
        <v>1.933E-3</v>
      </c>
      <c r="S10">
        <v>5.6129999999999999E-2</v>
      </c>
      <c r="T10">
        <v>9.937E-2</v>
      </c>
      <c r="U10">
        <v>0.1056</v>
      </c>
      <c r="V10">
        <v>1.397E-2</v>
      </c>
    </row>
    <row r="11" spans="2:22" x14ac:dyDescent="0.25">
      <c r="B11" t="s">
        <v>541</v>
      </c>
      <c r="C11" s="17" t="s">
        <v>351</v>
      </c>
      <c r="D11" s="17">
        <v>7</v>
      </c>
      <c r="E11">
        <v>0.30070000000000002</v>
      </c>
      <c r="F11">
        <v>0.45860000000000001</v>
      </c>
      <c r="G11">
        <v>9.4160000000000008E-3</v>
      </c>
      <c r="H11">
        <v>0</v>
      </c>
      <c r="I11">
        <v>0</v>
      </c>
      <c r="J11">
        <v>1</v>
      </c>
      <c r="L11">
        <v>7</v>
      </c>
      <c r="M11">
        <v>0.30070000000000002</v>
      </c>
      <c r="N11">
        <v>0.23119999999999999</v>
      </c>
      <c r="O11">
        <v>0.15160000000000001</v>
      </c>
      <c r="P11">
        <v>5.11E-2</v>
      </c>
      <c r="Q11">
        <v>7.3300000000000004E-2</v>
      </c>
      <c r="R11">
        <v>2.5999999999999999E-3</v>
      </c>
      <c r="S11">
        <v>2.98E-2</v>
      </c>
      <c r="T11">
        <v>8.3529999999999993E-2</v>
      </c>
      <c r="U11">
        <v>3.5499999999999997E-2</v>
      </c>
      <c r="V11">
        <v>4.07E-2</v>
      </c>
    </row>
    <row r="12" spans="2:22" x14ac:dyDescent="0.25">
      <c r="B12" t="s">
        <v>542</v>
      </c>
      <c r="C12" s="17" t="s">
        <v>351</v>
      </c>
      <c r="D12" s="17">
        <v>8</v>
      </c>
      <c r="E12">
        <v>0.18390000000000001</v>
      </c>
      <c r="F12">
        <v>0.38740000000000002</v>
      </c>
      <c r="G12">
        <v>1.013E-2</v>
      </c>
      <c r="H12">
        <v>0</v>
      </c>
      <c r="I12">
        <v>0</v>
      </c>
      <c r="J12">
        <v>1</v>
      </c>
      <c r="L12">
        <v>8</v>
      </c>
      <c r="M12">
        <v>0.18390000000000001</v>
      </c>
      <c r="N12">
        <v>0.373</v>
      </c>
      <c r="O12">
        <v>9.2100000000000001E-2</v>
      </c>
      <c r="P12">
        <v>5.4399999999999997E-2</v>
      </c>
      <c r="Q12">
        <v>8.2229999999999998E-2</v>
      </c>
      <c r="R12">
        <v>8.9999999999999998E-4</v>
      </c>
      <c r="S12">
        <v>1.7129999999999999E-2</v>
      </c>
      <c r="T12">
        <v>7.6730000000000007E-2</v>
      </c>
      <c r="U12">
        <v>9.7000000000000003E-3</v>
      </c>
      <c r="V12">
        <v>0.11</v>
      </c>
    </row>
    <row r="13" spans="2:22" x14ac:dyDescent="0.25">
      <c r="B13" t="s">
        <v>543</v>
      </c>
      <c r="C13" s="17" t="s">
        <v>351</v>
      </c>
      <c r="D13" s="17">
        <v>9</v>
      </c>
      <c r="E13">
        <v>4.3729999999999998E-2</v>
      </c>
      <c r="F13">
        <v>0.20449999999999999</v>
      </c>
      <c r="G13">
        <v>4.2050000000000004E-3</v>
      </c>
      <c r="H13">
        <v>0</v>
      </c>
      <c r="I13">
        <v>0</v>
      </c>
      <c r="J13">
        <v>1</v>
      </c>
      <c r="L13">
        <v>9</v>
      </c>
      <c r="M13">
        <v>4.3729999999999998E-2</v>
      </c>
      <c r="N13">
        <v>0.26850000000000002</v>
      </c>
      <c r="O13">
        <v>4.5969999999999997E-2</v>
      </c>
      <c r="P13">
        <v>6.6769999999999996E-2</v>
      </c>
      <c r="Q13">
        <v>0.1542</v>
      </c>
      <c r="R13">
        <v>5.6669999999999995E-4</v>
      </c>
      <c r="S13">
        <v>1.1469999999999999E-2</v>
      </c>
      <c r="T13">
        <v>7.6429999999999998E-2</v>
      </c>
      <c r="U13">
        <v>3.3E-3</v>
      </c>
      <c r="V13">
        <v>0.3291</v>
      </c>
    </row>
    <row r="14" spans="2:22" x14ac:dyDescent="0.25">
      <c r="B14" t="s">
        <v>544</v>
      </c>
      <c r="C14" s="17" t="s">
        <v>351</v>
      </c>
      <c r="D14" s="17">
        <v>10</v>
      </c>
      <c r="E14">
        <v>3.0330000000000001E-3</v>
      </c>
      <c r="F14">
        <v>5.4989999999999997E-2</v>
      </c>
      <c r="G14">
        <v>8.7580000000000004E-4</v>
      </c>
      <c r="H14">
        <v>0</v>
      </c>
      <c r="I14">
        <v>0</v>
      </c>
      <c r="J14">
        <v>0</v>
      </c>
      <c r="L14">
        <v>10</v>
      </c>
      <c r="M14">
        <v>3.0330000000000001E-3</v>
      </c>
      <c r="N14">
        <v>3.2399999999999998E-2</v>
      </c>
      <c r="O14">
        <v>8.6669999999999994E-3</v>
      </c>
      <c r="P14">
        <v>5.9499999999999997E-2</v>
      </c>
      <c r="Q14">
        <v>0.32740000000000002</v>
      </c>
      <c r="R14">
        <v>3.6670000000000002E-4</v>
      </c>
      <c r="S14">
        <v>6.633E-3</v>
      </c>
      <c r="T14">
        <v>6.2570000000000001E-2</v>
      </c>
      <c r="U14">
        <v>6.6669999999999997E-5</v>
      </c>
      <c r="V14">
        <v>0.49930000000000002</v>
      </c>
    </row>
    <row r="15" spans="2:22" hidden="1" x14ac:dyDescent="0.25">
      <c r="B15" t="s">
        <v>545</v>
      </c>
      <c r="C15" s="17" t="s">
        <v>352</v>
      </c>
      <c r="D15" s="17">
        <v>1</v>
      </c>
      <c r="E15">
        <v>0</v>
      </c>
      <c r="F15">
        <v>0</v>
      </c>
      <c r="G15">
        <v>3.333E-13</v>
      </c>
      <c r="H15">
        <v>0</v>
      </c>
      <c r="I15">
        <v>0</v>
      </c>
      <c r="J15">
        <v>0</v>
      </c>
    </row>
    <row r="16" spans="2:22" hidden="1" x14ac:dyDescent="0.25">
      <c r="B16" t="s">
        <v>546</v>
      </c>
      <c r="C16" s="17" t="s">
        <v>352</v>
      </c>
      <c r="D16" s="17">
        <v>2</v>
      </c>
      <c r="E16">
        <v>3.3330000000000001E-5</v>
      </c>
      <c r="F16">
        <v>5.7730000000000004E-3</v>
      </c>
      <c r="G16">
        <v>3.345E-5</v>
      </c>
      <c r="H16">
        <v>0</v>
      </c>
      <c r="I16">
        <v>0</v>
      </c>
      <c r="J16">
        <v>0</v>
      </c>
    </row>
    <row r="17" spans="2:10" hidden="1" x14ac:dyDescent="0.25">
      <c r="B17" t="s">
        <v>547</v>
      </c>
      <c r="C17" s="17" t="s">
        <v>352</v>
      </c>
      <c r="D17" s="17">
        <v>3</v>
      </c>
      <c r="E17">
        <v>2.3330000000000001E-4</v>
      </c>
      <c r="F17">
        <v>1.5270000000000001E-2</v>
      </c>
      <c r="G17">
        <v>8.7600000000000002E-5</v>
      </c>
      <c r="H17">
        <v>0</v>
      </c>
      <c r="I17">
        <v>0</v>
      </c>
      <c r="J17">
        <v>0</v>
      </c>
    </row>
    <row r="18" spans="2:10" hidden="1" x14ac:dyDescent="0.25">
      <c r="B18" t="s">
        <v>548</v>
      </c>
      <c r="C18" s="17" t="s">
        <v>352</v>
      </c>
      <c r="D18" s="17">
        <v>4</v>
      </c>
      <c r="E18">
        <v>3.3999999999999998E-3</v>
      </c>
      <c r="F18">
        <v>5.8209999999999998E-2</v>
      </c>
      <c r="G18">
        <v>5.0060000000000002E-4</v>
      </c>
      <c r="H18">
        <v>0</v>
      </c>
      <c r="I18">
        <v>0</v>
      </c>
      <c r="J18">
        <v>0</v>
      </c>
    </row>
    <row r="19" spans="2:10" hidden="1" x14ac:dyDescent="0.25">
      <c r="B19" t="s">
        <v>549</v>
      </c>
      <c r="C19" s="17" t="s">
        <v>352</v>
      </c>
      <c r="D19" s="17">
        <v>5</v>
      </c>
      <c r="E19">
        <v>2.2100000000000002E-2</v>
      </c>
      <c r="F19">
        <v>0.14699999999999999</v>
      </c>
      <c r="G19">
        <v>4.078E-3</v>
      </c>
      <c r="H19">
        <v>0</v>
      </c>
      <c r="I19">
        <v>0</v>
      </c>
      <c r="J19">
        <v>0</v>
      </c>
    </row>
    <row r="20" spans="2:10" hidden="1" x14ac:dyDescent="0.25">
      <c r="B20" t="s">
        <v>550</v>
      </c>
      <c r="C20" s="17" t="s">
        <v>352</v>
      </c>
      <c r="D20" s="17">
        <v>6</v>
      </c>
      <c r="E20">
        <v>6.9199999999999998E-2</v>
      </c>
      <c r="F20">
        <v>0.25380000000000003</v>
      </c>
      <c r="G20">
        <v>4.731E-3</v>
      </c>
      <c r="H20">
        <v>0</v>
      </c>
      <c r="I20">
        <v>0</v>
      </c>
      <c r="J20">
        <v>1</v>
      </c>
    </row>
    <row r="21" spans="2:10" hidden="1" x14ac:dyDescent="0.25">
      <c r="B21" t="s">
        <v>551</v>
      </c>
      <c r="C21" s="17" t="s">
        <v>352</v>
      </c>
      <c r="D21" s="17">
        <v>7</v>
      </c>
      <c r="E21">
        <v>0.23119999999999999</v>
      </c>
      <c r="F21">
        <v>0.42159999999999997</v>
      </c>
      <c r="G21">
        <v>9.3810000000000004E-3</v>
      </c>
      <c r="H21">
        <v>0</v>
      </c>
      <c r="I21">
        <v>0</v>
      </c>
      <c r="J21">
        <v>1</v>
      </c>
    </row>
    <row r="22" spans="2:10" hidden="1" x14ac:dyDescent="0.25">
      <c r="B22" t="s">
        <v>552</v>
      </c>
      <c r="C22" s="17" t="s">
        <v>352</v>
      </c>
      <c r="D22" s="17">
        <v>8</v>
      </c>
      <c r="E22">
        <v>0.373</v>
      </c>
      <c r="F22">
        <v>0.48359999999999997</v>
      </c>
      <c r="G22">
        <v>9.2420000000000002E-3</v>
      </c>
      <c r="H22">
        <v>0</v>
      </c>
      <c r="I22">
        <v>0</v>
      </c>
      <c r="J22">
        <v>1</v>
      </c>
    </row>
    <row r="23" spans="2:10" hidden="1" x14ac:dyDescent="0.25">
      <c r="B23" t="s">
        <v>553</v>
      </c>
      <c r="C23" s="17" t="s">
        <v>352</v>
      </c>
      <c r="D23" s="17">
        <v>9</v>
      </c>
      <c r="E23">
        <v>0.26850000000000002</v>
      </c>
      <c r="F23">
        <v>0.44319999999999998</v>
      </c>
      <c r="G23">
        <v>1.086E-2</v>
      </c>
      <c r="H23">
        <v>0</v>
      </c>
      <c r="I23">
        <v>0</v>
      </c>
      <c r="J23">
        <v>1</v>
      </c>
    </row>
    <row r="24" spans="2:10" hidden="1" x14ac:dyDescent="0.25">
      <c r="B24" t="s">
        <v>554</v>
      </c>
      <c r="C24" s="17" t="s">
        <v>352</v>
      </c>
      <c r="D24" s="17">
        <v>10</v>
      </c>
      <c r="E24">
        <v>3.2399999999999998E-2</v>
      </c>
      <c r="F24">
        <v>0.17710000000000001</v>
      </c>
      <c r="G24">
        <v>2.1840000000000002E-3</v>
      </c>
      <c r="H24">
        <v>0</v>
      </c>
      <c r="I24">
        <v>0</v>
      </c>
      <c r="J24">
        <v>1</v>
      </c>
    </row>
    <row r="25" spans="2:10" hidden="1" x14ac:dyDescent="0.25">
      <c r="B25" t="s">
        <v>555</v>
      </c>
      <c r="C25" s="17" t="s">
        <v>353</v>
      </c>
      <c r="D25" s="17">
        <v>1</v>
      </c>
      <c r="E25">
        <v>1.3329999999999999E-4</v>
      </c>
      <c r="F25">
        <v>1.155E-2</v>
      </c>
      <c r="G25">
        <v>8.1699999999999994E-5</v>
      </c>
      <c r="H25">
        <v>0</v>
      </c>
      <c r="I25">
        <v>0</v>
      </c>
      <c r="J25">
        <v>0</v>
      </c>
    </row>
    <row r="26" spans="2:10" hidden="1" x14ac:dyDescent="0.25">
      <c r="B26" t="s">
        <v>556</v>
      </c>
      <c r="C26" s="17" t="s">
        <v>353</v>
      </c>
      <c r="D26" s="17">
        <v>2</v>
      </c>
      <c r="E26">
        <v>1.1270000000000001E-2</v>
      </c>
      <c r="F26">
        <v>0.1055</v>
      </c>
      <c r="G26">
        <v>1.395E-3</v>
      </c>
      <c r="H26">
        <v>0</v>
      </c>
      <c r="I26">
        <v>0</v>
      </c>
      <c r="J26">
        <v>0</v>
      </c>
    </row>
    <row r="27" spans="2:10" hidden="1" x14ac:dyDescent="0.25">
      <c r="B27" t="s">
        <v>557</v>
      </c>
      <c r="C27" s="17" t="s">
        <v>353</v>
      </c>
      <c r="D27" s="17">
        <v>3</v>
      </c>
      <c r="E27">
        <v>6.4170000000000005E-2</v>
      </c>
      <c r="F27">
        <v>0.245</v>
      </c>
      <c r="G27">
        <v>5.5620000000000001E-3</v>
      </c>
      <c r="H27">
        <v>0</v>
      </c>
      <c r="I27">
        <v>0</v>
      </c>
      <c r="J27">
        <v>1</v>
      </c>
    </row>
    <row r="28" spans="2:10" hidden="1" x14ac:dyDescent="0.25">
      <c r="B28" t="s">
        <v>558</v>
      </c>
      <c r="C28" s="17" t="s">
        <v>353</v>
      </c>
      <c r="D28" s="17">
        <v>4</v>
      </c>
      <c r="E28">
        <v>0.14910000000000001</v>
      </c>
      <c r="F28">
        <v>0.35620000000000002</v>
      </c>
      <c r="G28">
        <v>6.855E-3</v>
      </c>
      <c r="H28">
        <v>0</v>
      </c>
      <c r="I28">
        <v>0</v>
      </c>
      <c r="J28">
        <v>1</v>
      </c>
    </row>
    <row r="29" spans="2:10" hidden="1" x14ac:dyDescent="0.25">
      <c r="B29" t="s">
        <v>559</v>
      </c>
      <c r="C29" s="17" t="s">
        <v>353</v>
      </c>
      <c r="D29" s="17">
        <v>5</v>
      </c>
      <c r="E29">
        <v>0.25209999999999999</v>
      </c>
      <c r="F29">
        <v>0.43419999999999997</v>
      </c>
      <c r="G29">
        <v>8.9809999999999994E-3</v>
      </c>
      <c r="H29">
        <v>0</v>
      </c>
      <c r="I29">
        <v>0</v>
      </c>
      <c r="J29">
        <v>1</v>
      </c>
    </row>
    <row r="30" spans="2:10" hidden="1" x14ac:dyDescent="0.25">
      <c r="B30" t="s">
        <v>560</v>
      </c>
      <c r="C30" t="s">
        <v>353</v>
      </c>
      <c r="D30">
        <v>6</v>
      </c>
      <c r="E30">
        <v>0.22500000000000001</v>
      </c>
      <c r="F30">
        <v>0.41760000000000003</v>
      </c>
      <c r="G30">
        <v>7.8969999999999995E-3</v>
      </c>
      <c r="H30">
        <v>0</v>
      </c>
      <c r="I30">
        <v>0</v>
      </c>
      <c r="J30">
        <v>1</v>
      </c>
    </row>
    <row r="31" spans="2:10" hidden="1" x14ac:dyDescent="0.25">
      <c r="B31" t="s">
        <v>561</v>
      </c>
      <c r="C31" t="s">
        <v>353</v>
      </c>
      <c r="D31">
        <v>7</v>
      </c>
      <c r="E31">
        <v>0.15160000000000001</v>
      </c>
      <c r="F31">
        <v>0.35859999999999997</v>
      </c>
      <c r="G31">
        <v>7.1060000000000003E-3</v>
      </c>
      <c r="H31">
        <v>0</v>
      </c>
      <c r="I31">
        <v>0</v>
      </c>
      <c r="J31">
        <v>1</v>
      </c>
    </row>
    <row r="32" spans="2:10" hidden="1" x14ac:dyDescent="0.25">
      <c r="B32" t="s">
        <v>562</v>
      </c>
      <c r="C32" t="s">
        <v>353</v>
      </c>
      <c r="D32">
        <v>8</v>
      </c>
      <c r="E32">
        <v>9.2100000000000001E-2</v>
      </c>
      <c r="F32">
        <v>0.28920000000000001</v>
      </c>
      <c r="G32">
        <v>6.3569999999999998E-3</v>
      </c>
      <c r="H32">
        <v>0</v>
      </c>
      <c r="I32">
        <v>0</v>
      </c>
      <c r="J32">
        <v>1</v>
      </c>
    </row>
    <row r="33" spans="2:10" hidden="1" x14ac:dyDescent="0.25">
      <c r="B33" t="s">
        <v>563</v>
      </c>
      <c r="C33" t="s">
        <v>353</v>
      </c>
      <c r="D33">
        <v>9</v>
      </c>
      <c r="E33">
        <v>4.5969999999999997E-2</v>
      </c>
      <c r="F33">
        <v>0.2094</v>
      </c>
      <c r="G33">
        <v>3.4629999999999999E-3</v>
      </c>
      <c r="H33">
        <v>0</v>
      </c>
      <c r="I33">
        <v>0</v>
      </c>
      <c r="J33">
        <v>1</v>
      </c>
    </row>
    <row r="34" spans="2:10" hidden="1" x14ac:dyDescent="0.25">
      <c r="B34" t="s">
        <v>564</v>
      </c>
      <c r="C34" t="s">
        <v>353</v>
      </c>
      <c r="D34">
        <v>10</v>
      </c>
      <c r="E34">
        <v>8.6669999999999994E-3</v>
      </c>
      <c r="F34">
        <v>9.2689999999999995E-2</v>
      </c>
      <c r="G34">
        <v>1.005E-3</v>
      </c>
      <c r="H34">
        <v>0</v>
      </c>
      <c r="I34">
        <v>0</v>
      </c>
      <c r="J34">
        <v>0</v>
      </c>
    </row>
    <row r="35" spans="2:10" hidden="1" x14ac:dyDescent="0.25">
      <c r="B35" t="s">
        <v>565</v>
      </c>
      <c r="C35" t="s">
        <v>354</v>
      </c>
      <c r="D35">
        <v>1</v>
      </c>
      <c r="E35">
        <v>5.0700000000000002E-2</v>
      </c>
      <c r="F35">
        <v>0.21940000000000001</v>
      </c>
      <c r="G35">
        <v>6.842E-3</v>
      </c>
      <c r="H35">
        <v>0</v>
      </c>
      <c r="I35">
        <v>0</v>
      </c>
      <c r="J35">
        <v>1</v>
      </c>
    </row>
    <row r="36" spans="2:10" hidden="1" x14ac:dyDescent="0.25">
      <c r="B36" t="s">
        <v>566</v>
      </c>
      <c r="C36" t="s">
        <v>354</v>
      </c>
      <c r="D36">
        <v>2</v>
      </c>
      <c r="E36">
        <v>0.26350000000000001</v>
      </c>
      <c r="F36">
        <v>0.4405</v>
      </c>
      <c r="G36">
        <v>1.289E-2</v>
      </c>
      <c r="H36">
        <v>0</v>
      </c>
      <c r="I36">
        <v>0</v>
      </c>
      <c r="J36">
        <v>1</v>
      </c>
    </row>
    <row r="37" spans="2:10" hidden="1" x14ac:dyDescent="0.25">
      <c r="B37" t="s">
        <v>567</v>
      </c>
      <c r="C37" t="s">
        <v>354</v>
      </c>
      <c r="D37">
        <v>3</v>
      </c>
      <c r="E37">
        <v>0.16689999999999999</v>
      </c>
      <c r="F37">
        <v>0.37290000000000001</v>
      </c>
      <c r="G37">
        <v>7.3550000000000004E-3</v>
      </c>
      <c r="H37">
        <v>0</v>
      </c>
      <c r="I37">
        <v>0</v>
      </c>
      <c r="J37">
        <v>1</v>
      </c>
    </row>
    <row r="38" spans="2:10" hidden="1" x14ac:dyDescent="0.25">
      <c r="B38" t="s">
        <v>568</v>
      </c>
      <c r="C38" t="s">
        <v>354</v>
      </c>
      <c r="D38">
        <v>4</v>
      </c>
      <c r="E38">
        <v>0.1293</v>
      </c>
      <c r="F38">
        <v>0.33550000000000002</v>
      </c>
      <c r="G38">
        <v>6.796E-3</v>
      </c>
      <c r="H38">
        <v>0</v>
      </c>
      <c r="I38">
        <v>0</v>
      </c>
      <c r="J38">
        <v>1</v>
      </c>
    </row>
    <row r="39" spans="2:10" hidden="1" x14ac:dyDescent="0.25">
      <c r="B39" t="s">
        <v>569</v>
      </c>
      <c r="C39" t="s">
        <v>354</v>
      </c>
      <c r="D39">
        <v>5</v>
      </c>
      <c r="E39">
        <v>8.8730000000000003E-2</v>
      </c>
      <c r="F39">
        <v>0.28439999999999999</v>
      </c>
      <c r="G39">
        <v>4.2589999999999998E-3</v>
      </c>
      <c r="H39">
        <v>0</v>
      </c>
      <c r="I39">
        <v>0</v>
      </c>
      <c r="J39">
        <v>1</v>
      </c>
    </row>
    <row r="40" spans="2:10" hidden="1" x14ac:dyDescent="0.25">
      <c r="B40" t="s">
        <v>570</v>
      </c>
      <c r="C40" t="s">
        <v>354</v>
      </c>
      <c r="D40">
        <v>6</v>
      </c>
      <c r="E40">
        <v>6.9070000000000006E-2</v>
      </c>
      <c r="F40">
        <v>0.25359999999999999</v>
      </c>
      <c r="G40">
        <v>4.4809999999999997E-3</v>
      </c>
      <c r="H40">
        <v>0</v>
      </c>
      <c r="I40">
        <v>0</v>
      </c>
      <c r="J40">
        <v>1</v>
      </c>
    </row>
    <row r="41" spans="2:10" hidden="1" x14ac:dyDescent="0.25">
      <c r="B41" t="s">
        <v>571</v>
      </c>
      <c r="C41" t="s">
        <v>354</v>
      </c>
      <c r="D41">
        <v>7</v>
      </c>
      <c r="E41">
        <v>5.11E-2</v>
      </c>
      <c r="F41">
        <v>0.22020000000000001</v>
      </c>
      <c r="G41">
        <v>3.1199999999999999E-3</v>
      </c>
      <c r="H41">
        <v>0</v>
      </c>
      <c r="I41">
        <v>0</v>
      </c>
      <c r="J41">
        <v>1</v>
      </c>
    </row>
    <row r="42" spans="2:10" hidden="1" x14ac:dyDescent="0.25">
      <c r="B42" t="s">
        <v>572</v>
      </c>
      <c r="C42" t="s">
        <v>354</v>
      </c>
      <c r="D42">
        <v>8</v>
      </c>
      <c r="E42">
        <v>5.4399999999999997E-2</v>
      </c>
      <c r="F42">
        <v>0.2268</v>
      </c>
      <c r="G42">
        <v>5.1529999999999996E-3</v>
      </c>
      <c r="H42">
        <v>0</v>
      </c>
      <c r="I42">
        <v>0</v>
      </c>
      <c r="J42">
        <v>1</v>
      </c>
    </row>
    <row r="43" spans="2:10" hidden="1" x14ac:dyDescent="0.25">
      <c r="B43" t="s">
        <v>573</v>
      </c>
      <c r="C43" t="s">
        <v>354</v>
      </c>
      <c r="D43">
        <v>9</v>
      </c>
      <c r="E43">
        <v>6.6769999999999996E-2</v>
      </c>
      <c r="F43">
        <v>0.24959999999999999</v>
      </c>
      <c r="G43">
        <v>6.6449999999999999E-3</v>
      </c>
      <c r="H43">
        <v>0</v>
      </c>
      <c r="I43">
        <v>0</v>
      </c>
      <c r="J43">
        <v>1</v>
      </c>
    </row>
    <row r="44" spans="2:10" hidden="1" x14ac:dyDescent="0.25">
      <c r="B44" t="s">
        <v>574</v>
      </c>
      <c r="C44" t="s">
        <v>354</v>
      </c>
      <c r="D44">
        <v>10</v>
      </c>
      <c r="E44">
        <v>5.9499999999999997E-2</v>
      </c>
      <c r="F44">
        <v>0.2366</v>
      </c>
      <c r="G44">
        <v>6.1520000000000004E-3</v>
      </c>
      <c r="H44">
        <v>0</v>
      </c>
      <c r="I44">
        <v>0</v>
      </c>
      <c r="J44">
        <v>1</v>
      </c>
    </row>
    <row r="45" spans="2:10" hidden="1" x14ac:dyDescent="0.25">
      <c r="B45" t="s">
        <v>575</v>
      </c>
      <c r="C45" t="s">
        <v>355</v>
      </c>
      <c r="D45">
        <v>1</v>
      </c>
      <c r="E45">
        <v>6.1000000000000004E-3</v>
      </c>
      <c r="F45">
        <v>7.7859999999999999E-2</v>
      </c>
      <c r="G45">
        <v>1.0579999999999999E-3</v>
      </c>
      <c r="H45">
        <v>0</v>
      </c>
      <c r="I45">
        <v>0</v>
      </c>
      <c r="J45">
        <v>0</v>
      </c>
    </row>
    <row r="46" spans="2:10" hidden="1" x14ac:dyDescent="0.25">
      <c r="B46" t="s">
        <v>576</v>
      </c>
      <c r="C46" t="s">
        <v>355</v>
      </c>
      <c r="D46">
        <v>2</v>
      </c>
      <c r="E46">
        <v>5.4129999999999998E-2</v>
      </c>
      <c r="F46">
        <v>0.2263</v>
      </c>
      <c r="G46">
        <v>4.594E-3</v>
      </c>
      <c r="H46">
        <v>0</v>
      </c>
      <c r="I46">
        <v>0</v>
      </c>
      <c r="J46">
        <v>1</v>
      </c>
    </row>
    <row r="47" spans="2:10" hidden="1" x14ac:dyDescent="0.25">
      <c r="B47" t="s">
        <v>577</v>
      </c>
      <c r="C47" t="s">
        <v>355</v>
      </c>
      <c r="D47">
        <v>3</v>
      </c>
      <c r="E47">
        <v>7.0099999999999996E-2</v>
      </c>
      <c r="F47">
        <v>0.25530000000000003</v>
      </c>
      <c r="G47">
        <v>4.2050000000000004E-3</v>
      </c>
      <c r="H47">
        <v>0</v>
      </c>
      <c r="I47">
        <v>0</v>
      </c>
      <c r="J47">
        <v>1</v>
      </c>
    </row>
    <row r="48" spans="2:10" hidden="1" x14ac:dyDescent="0.25">
      <c r="B48" t="s">
        <v>578</v>
      </c>
      <c r="C48" t="s">
        <v>355</v>
      </c>
      <c r="D48">
        <v>4</v>
      </c>
      <c r="E48">
        <v>7.3169999999999999E-2</v>
      </c>
      <c r="F48">
        <v>0.26040000000000002</v>
      </c>
      <c r="G48">
        <v>4.1859999999999996E-3</v>
      </c>
      <c r="H48">
        <v>0</v>
      </c>
      <c r="I48">
        <v>0</v>
      </c>
      <c r="J48">
        <v>1</v>
      </c>
    </row>
    <row r="49" spans="2:10" hidden="1" x14ac:dyDescent="0.25">
      <c r="B49" t="s">
        <v>579</v>
      </c>
      <c r="C49" t="s">
        <v>355</v>
      </c>
      <c r="D49">
        <v>5</v>
      </c>
      <c r="E49">
        <v>7.3099999999999998E-2</v>
      </c>
      <c r="F49">
        <v>0.26029999999999998</v>
      </c>
      <c r="G49">
        <v>4.0759999999999998E-3</v>
      </c>
      <c r="H49">
        <v>0</v>
      </c>
      <c r="I49">
        <v>0</v>
      </c>
      <c r="J49">
        <v>1</v>
      </c>
    </row>
    <row r="50" spans="2:10" hidden="1" x14ac:dyDescent="0.25">
      <c r="B50" t="s">
        <v>580</v>
      </c>
      <c r="C50" t="s">
        <v>355</v>
      </c>
      <c r="D50">
        <v>6</v>
      </c>
      <c r="E50">
        <v>8.6269999999999999E-2</v>
      </c>
      <c r="F50">
        <v>0.28079999999999999</v>
      </c>
      <c r="G50">
        <v>6.463E-3</v>
      </c>
      <c r="H50">
        <v>0</v>
      </c>
      <c r="I50">
        <v>0</v>
      </c>
      <c r="J50">
        <v>1</v>
      </c>
    </row>
    <row r="51" spans="2:10" hidden="1" x14ac:dyDescent="0.25">
      <c r="B51" t="s">
        <v>581</v>
      </c>
      <c r="C51" t="s">
        <v>355</v>
      </c>
      <c r="D51">
        <v>7</v>
      </c>
      <c r="E51">
        <v>7.3300000000000004E-2</v>
      </c>
      <c r="F51">
        <v>0.2606</v>
      </c>
      <c r="G51">
        <v>3.0790000000000001E-3</v>
      </c>
      <c r="H51">
        <v>0</v>
      </c>
      <c r="I51">
        <v>0</v>
      </c>
      <c r="J51">
        <v>1</v>
      </c>
    </row>
    <row r="52" spans="2:10" hidden="1" x14ac:dyDescent="0.25">
      <c r="B52" t="s">
        <v>582</v>
      </c>
      <c r="C52" t="s">
        <v>355</v>
      </c>
      <c r="D52">
        <v>8</v>
      </c>
      <c r="E52">
        <v>8.2229999999999998E-2</v>
      </c>
      <c r="F52">
        <v>0.2747</v>
      </c>
      <c r="G52">
        <v>3.3830000000000002E-3</v>
      </c>
      <c r="H52">
        <v>0</v>
      </c>
      <c r="I52">
        <v>0</v>
      </c>
      <c r="J52">
        <v>1</v>
      </c>
    </row>
    <row r="53" spans="2:10" hidden="1" x14ac:dyDescent="0.25">
      <c r="B53" t="s">
        <v>583</v>
      </c>
      <c r="C53" t="s">
        <v>355</v>
      </c>
      <c r="D53">
        <v>9</v>
      </c>
      <c r="E53">
        <v>0.1542</v>
      </c>
      <c r="F53">
        <v>0.36109999999999998</v>
      </c>
      <c r="G53">
        <v>7.0239999999999999E-3</v>
      </c>
      <c r="H53">
        <v>0</v>
      </c>
      <c r="I53">
        <v>0</v>
      </c>
      <c r="J53">
        <v>1</v>
      </c>
    </row>
    <row r="54" spans="2:10" hidden="1" x14ac:dyDescent="0.25">
      <c r="B54" t="s">
        <v>584</v>
      </c>
      <c r="C54" t="s">
        <v>355</v>
      </c>
      <c r="D54">
        <v>10</v>
      </c>
      <c r="E54">
        <v>0.32740000000000002</v>
      </c>
      <c r="F54">
        <v>0.46929999999999999</v>
      </c>
      <c r="G54">
        <v>1.4189999999999999E-2</v>
      </c>
      <c r="H54">
        <v>0</v>
      </c>
      <c r="I54">
        <v>0</v>
      </c>
      <c r="J54">
        <v>1</v>
      </c>
    </row>
    <row r="55" spans="2:10" hidden="1" x14ac:dyDescent="0.25">
      <c r="B55" t="s">
        <v>585</v>
      </c>
      <c r="C55" t="s">
        <v>356</v>
      </c>
      <c r="D55">
        <v>1</v>
      </c>
      <c r="E55">
        <v>0.87280000000000002</v>
      </c>
      <c r="F55">
        <v>0.3332</v>
      </c>
      <c r="G55">
        <v>9.2630000000000004E-3</v>
      </c>
      <c r="H55">
        <v>0</v>
      </c>
      <c r="I55">
        <v>1</v>
      </c>
      <c r="J55">
        <v>1</v>
      </c>
    </row>
    <row r="56" spans="2:10" hidden="1" x14ac:dyDescent="0.25">
      <c r="B56" t="s">
        <v>586</v>
      </c>
      <c r="C56" t="s">
        <v>356</v>
      </c>
      <c r="D56">
        <v>2</v>
      </c>
      <c r="E56">
        <v>7.22E-2</v>
      </c>
      <c r="F56">
        <v>0.25879999999999997</v>
      </c>
      <c r="G56">
        <v>4.816E-3</v>
      </c>
      <c r="H56">
        <v>0</v>
      </c>
      <c r="I56">
        <v>0</v>
      </c>
      <c r="J56">
        <v>1</v>
      </c>
    </row>
    <row r="57" spans="2:10" hidden="1" x14ac:dyDescent="0.25">
      <c r="B57" t="s">
        <v>587</v>
      </c>
      <c r="C57" t="s">
        <v>356</v>
      </c>
      <c r="D57">
        <v>3</v>
      </c>
      <c r="E57">
        <v>2.777E-2</v>
      </c>
      <c r="F57">
        <v>0.1643</v>
      </c>
      <c r="G57">
        <v>3.2529999999999998E-3</v>
      </c>
      <c r="H57">
        <v>0</v>
      </c>
      <c r="I57">
        <v>0</v>
      </c>
      <c r="J57">
        <v>1</v>
      </c>
    </row>
    <row r="58" spans="2:10" hidden="1" x14ac:dyDescent="0.25">
      <c r="B58" t="s">
        <v>588</v>
      </c>
      <c r="C58" t="s">
        <v>356</v>
      </c>
      <c r="D58">
        <v>4</v>
      </c>
      <c r="E58">
        <v>1.5730000000000001E-2</v>
      </c>
      <c r="F58">
        <v>0.1244</v>
      </c>
      <c r="G58">
        <v>4.1619999999999999E-3</v>
      </c>
      <c r="H58">
        <v>0</v>
      </c>
      <c r="I58">
        <v>0</v>
      </c>
      <c r="J58">
        <v>0</v>
      </c>
    </row>
    <row r="59" spans="2:10" hidden="1" x14ac:dyDescent="0.25">
      <c r="B59" t="s">
        <v>589</v>
      </c>
      <c r="C59" t="s">
        <v>356</v>
      </c>
      <c r="D59">
        <v>5</v>
      </c>
      <c r="E59">
        <v>5.1330000000000004E-3</v>
      </c>
      <c r="F59">
        <v>7.1459999999999996E-2</v>
      </c>
      <c r="G59">
        <v>1.312E-3</v>
      </c>
      <c r="H59">
        <v>0</v>
      </c>
      <c r="I59">
        <v>0</v>
      </c>
      <c r="J59">
        <v>0</v>
      </c>
    </row>
    <row r="60" spans="2:10" hidden="1" x14ac:dyDescent="0.25">
      <c r="B60" t="s">
        <v>590</v>
      </c>
      <c r="C60" t="s">
        <v>356</v>
      </c>
      <c r="D60">
        <v>6</v>
      </c>
      <c r="E60">
        <v>1.933E-3</v>
      </c>
      <c r="F60">
        <v>4.3929999999999997E-2</v>
      </c>
      <c r="G60">
        <v>6.2029999999999995E-4</v>
      </c>
      <c r="H60">
        <v>0</v>
      </c>
      <c r="I60">
        <v>0</v>
      </c>
      <c r="J60">
        <v>0</v>
      </c>
    </row>
    <row r="61" spans="2:10" hidden="1" x14ac:dyDescent="0.25">
      <c r="B61" t="s">
        <v>591</v>
      </c>
      <c r="C61" t="s">
        <v>356</v>
      </c>
      <c r="D61">
        <v>7</v>
      </c>
      <c r="E61">
        <v>2.5999999999999999E-3</v>
      </c>
      <c r="F61">
        <v>5.092E-2</v>
      </c>
      <c r="G61">
        <v>1.072E-3</v>
      </c>
      <c r="H61">
        <v>0</v>
      </c>
      <c r="I61">
        <v>0</v>
      </c>
      <c r="J61">
        <v>0</v>
      </c>
    </row>
    <row r="62" spans="2:10" hidden="1" x14ac:dyDescent="0.25">
      <c r="B62" t="s">
        <v>592</v>
      </c>
      <c r="C62" t="s">
        <v>356</v>
      </c>
      <c r="D62">
        <v>8</v>
      </c>
      <c r="E62">
        <v>8.9999999999999998E-4</v>
      </c>
      <c r="F62">
        <v>2.9989999999999999E-2</v>
      </c>
      <c r="G62">
        <v>1.9699999999999999E-4</v>
      </c>
      <c r="H62">
        <v>0</v>
      </c>
      <c r="I62">
        <v>0</v>
      </c>
      <c r="J62">
        <v>0</v>
      </c>
    </row>
    <row r="63" spans="2:10" hidden="1" x14ac:dyDescent="0.25">
      <c r="B63" t="s">
        <v>593</v>
      </c>
      <c r="C63" t="s">
        <v>356</v>
      </c>
      <c r="D63">
        <v>9</v>
      </c>
      <c r="E63">
        <v>5.6669999999999995E-4</v>
      </c>
      <c r="F63">
        <v>2.3800000000000002E-2</v>
      </c>
      <c r="G63">
        <v>1.774E-4</v>
      </c>
      <c r="H63">
        <v>0</v>
      </c>
      <c r="I63">
        <v>0</v>
      </c>
      <c r="J63">
        <v>0</v>
      </c>
    </row>
    <row r="64" spans="2:10" hidden="1" x14ac:dyDescent="0.25">
      <c r="B64" t="s">
        <v>594</v>
      </c>
      <c r="C64" t="s">
        <v>356</v>
      </c>
      <c r="D64">
        <v>10</v>
      </c>
      <c r="E64">
        <v>3.6670000000000002E-4</v>
      </c>
      <c r="F64">
        <v>1.915E-2</v>
      </c>
      <c r="G64">
        <v>1.2799999999999999E-4</v>
      </c>
      <c r="H64">
        <v>0</v>
      </c>
      <c r="I64">
        <v>0</v>
      </c>
      <c r="J64">
        <v>0</v>
      </c>
    </row>
    <row r="65" spans="2:10" hidden="1" x14ac:dyDescent="0.25">
      <c r="B65" t="s">
        <v>595</v>
      </c>
      <c r="C65" t="s">
        <v>357</v>
      </c>
      <c r="D65">
        <v>1</v>
      </c>
      <c r="E65">
        <v>4.7070000000000001E-2</v>
      </c>
      <c r="F65">
        <v>0.21179999999999999</v>
      </c>
      <c r="G65">
        <v>4.6899999999999997E-3</v>
      </c>
      <c r="H65">
        <v>0</v>
      </c>
      <c r="I65">
        <v>0</v>
      </c>
      <c r="J65">
        <v>1</v>
      </c>
    </row>
    <row r="66" spans="2:10" hidden="1" x14ac:dyDescent="0.25">
      <c r="B66" t="s">
        <v>596</v>
      </c>
      <c r="C66" t="s">
        <v>357</v>
      </c>
      <c r="D66">
        <v>2</v>
      </c>
      <c r="E66">
        <v>0.34599999999999997</v>
      </c>
      <c r="F66">
        <v>0.47570000000000001</v>
      </c>
      <c r="G66">
        <v>1.1679999999999999E-2</v>
      </c>
      <c r="H66">
        <v>0</v>
      </c>
      <c r="I66">
        <v>0</v>
      </c>
      <c r="J66">
        <v>1</v>
      </c>
    </row>
    <row r="67" spans="2:10" hidden="1" x14ac:dyDescent="0.25">
      <c r="B67" t="s">
        <v>597</v>
      </c>
      <c r="C67" t="s">
        <v>357</v>
      </c>
      <c r="D67">
        <v>3</v>
      </c>
      <c r="E67">
        <v>0.26129999999999998</v>
      </c>
      <c r="F67">
        <v>0.43940000000000001</v>
      </c>
      <c r="G67">
        <v>9.9290000000000003E-3</v>
      </c>
      <c r="H67">
        <v>0</v>
      </c>
      <c r="I67">
        <v>0</v>
      </c>
      <c r="J67">
        <v>1</v>
      </c>
    </row>
    <row r="68" spans="2:10" hidden="1" x14ac:dyDescent="0.25">
      <c r="B68" t="s">
        <v>598</v>
      </c>
      <c r="C68" t="s">
        <v>357</v>
      </c>
      <c r="D68">
        <v>4</v>
      </c>
      <c r="E68">
        <v>0.13109999999999999</v>
      </c>
      <c r="F68">
        <v>0.33750000000000002</v>
      </c>
      <c r="G68">
        <v>5.0679999999999996E-3</v>
      </c>
      <c r="H68">
        <v>0</v>
      </c>
      <c r="I68">
        <v>0</v>
      </c>
      <c r="J68">
        <v>1</v>
      </c>
    </row>
    <row r="69" spans="2:10" hidden="1" x14ac:dyDescent="0.25">
      <c r="B69" t="s">
        <v>599</v>
      </c>
      <c r="C69" t="s">
        <v>357</v>
      </c>
      <c r="D69">
        <v>5</v>
      </c>
      <c r="E69">
        <v>9.3329999999999996E-2</v>
      </c>
      <c r="F69">
        <v>0.29089999999999999</v>
      </c>
      <c r="G69">
        <v>5.764E-3</v>
      </c>
      <c r="H69">
        <v>0</v>
      </c>
      <c r="I69">
        <v>0</v>
      </c>
      <c r="J69">
        <v>1</v>
      </c>
    </row>
    <row r="70" spans="2:10" hidden="1" x14ac:dyDescent="0.25">
      <c r="B70" t="s">
        <v>600</v>
      </c>
      <c r="C70" t="s">
        <v>357</v>
      </c>
      <c r="D70">
        <v>6</v>
      </c>
      <c r="E70">
        <v>5.6129999999999999E-2</v>
      </c>
      <c r="F70">
        <v>0.23019999999999999</v>
      </c>
      <c r="G70">
        <v>4.8450000000000003E-3</v>
      </c>
      <c r="H70">
        <v>0</v>
      </c>
      <c r="I70">
        <v>0</v>
      </c>
      <c r="J70">
        <v>1</v>
      </c>
    </row>
    <row r="71" spans="2:10" hidden="1" x14ac:dyDescent="0.25">
      <c r="B71" t="s">
        <v>601</v>
      </c>
      <c r="C71" t="s">
        <v>357</v>
      </c>
      <c r="D71">
        <v>7</v>
      </c>
      <c r="E71">
        <v>2.98E-2</v>
      </c>
      <c r="F71">
        <v>0.17</v>
      </c>
      <c r="G71">
        <v>2.088E-3</v>
      </c>
      <c r="H71">
        <v>0</v>
      </c>
      <c r="I71">
        <v>0</v>
      </c>
      <c r="J71">
        <v>1</v>
      </c>
    </row>
    <row r="72" spans="2:10" hidden="1" x14ac:dyDescent="0.25">
      <c r="B72" t="s">
        <v>602</v>
      </c>
      <c r="C72" t="s">
        <v>357</v>
      </c>
      <c r="D72">
        <v>8</v>
      </c>
      <c r="E72">
        <v>1.7129999999999999E-2</v>
      </c>
      <c r="F72">
        <v>0.1298</v>
      </c>
      <c r="G72">
        <v>1.1709999999999999E-3</v>
      </c>
      <c r="H72">
        <v>0</v>
      </c>
      <c r="I72">
        <v>0</v>
      </c>
      <c r="J72">
        <v>0</v>
      </c>
    </row>
    <row r="73" spans="2:10" hidden="1" x14ac:dyDescent="0.25">
      <c r="B73" t="s">
        <v>603</v>
      </c>
      <c r="C73" t="s">
        <v>357</v>
      </c>
      <c r="D73">
        <v>9</v>
      </c>
      <c r="E73">
        <v>1.1469999999999999E-2</v>
      </c>
      <c r="F73">
        <v>0.1065</v>
      </c>
      <c r="G73">
        <v>9.4729999999999999E-4</v>
      </c>
      <c r="H73">
        <v>0</v>
      </c>
      <c r="I73">
        <v>0</v>
      </c>
      <c r="J73">
        <v>0</v>
      </c>
    </row>
    <row r="74" spans="2:10" hidden="1" x14ac:dyDescent="0.25">
      <c r="B74" t="s">
        <v>604</v>
      </c>
      <c r="C74" t="s">
        <v>357</v>
      </c>
      <c r="D74">
        <v>10</v>
      </c>
      <c r="E74">
        <v>6.633E-3</v>
      </c>
      <c r="F74">
        <v>8.1170000000000006E-2</v>
      </c>
      <c r="G74">
        <v>6.7089999999999999E-4</v>
      </c>
      <c r="H74">
        <v>0</v>
      </c>
      <c r="I74">
        <v>0</v>
      </c>
      <c r="J74">
        <v>0</v>
      </c>
    </row>
    <row r="75" spans="2:10" hidden="1" x14ac:dyDescent="0.25">
      <c r="B75" t="s">
        <v>605</v>
      </c>
      <c r="C75" t="s">
        <v>358</v>
      </c>
      <c r="D75">
        <v>1</v>
      </c>
      <c r="E75">
        <v>2.103E-2</v>
      </c>
      <c r="F75">
        <v>0.14349999999999999</v>
      </c>
      <c r="G75">
        <v>2.5690000000000001E-3</v>
      </c>
      <c r="H75">
        <v>0</v>
      </c>
      <c r="I75">
        <v>0</v>
      </c>
      <c r="J75">
        <v>0</v>
      </c>
    </row>
    <row r="76" spans="2:10" hidden="1" x14ac:dyDescent="0.25">
      <c r="B76" t="s">
        <v>606</v>
      </c>
      <c r="C76" t="s">
        <v>358</v>
      </c>
      <c r="D76">
        <v>2</v>
      </c>
      <c r="E76">
        <v>0.1779</v>
      </c>
      <c r="F76">
        <v>0.38240000000000002</v>
      </c>
      <c r="G76">
        <v>1.0540000000000001E-2</v>
      </c>
      <c r="H76">
        <v>0</v>
      </c>
      <c r="I76">
        <v>0</v>
      </c>
      <c r="J76">
        <v>1</v>
      </c>
    </row>
    <row r="77" spans="2:10" hidden="1" x14ac:dyDescent="0.25">
      <c r="B77" t="s">
        <v>607</v>
      </c>
      <c r="C77" t="s">
        <v>358</v>
      </c>
      <c r="D77">
        <v>3</v>
      </c>
      <c r="E77">
        <v>0.1653</v>
      </c>
      <c r="F77">
        <v>0.3715</v>
      </c>
      <c r="G77">
        <v>6.6290000000000003E-3</v>
      </c>
      <c r="H77">
        <v>0</v>
      </c>
      <c r="I77">
        <v>0</v>
      </c>
      <c r="J77">
        <v>1</v>
      </c>
    </row>
    <row r="78" spans="2:10" hidden="1" x14ac:dyDescent="0.25">
      <c r="B78" t="s">
        <v>608</v>
      </c>
      <c r="C78" t="s">
        <v>358</v>
      </c>
      <c r="D78">
        <v>4</v>
      </c>
      <c r="E78">
        <v>0.13139999999999999</v>
      </c>
      <c r="F78">
        <v>0.33789999999999998</v>
      </c>
      <c r="G78">
        <v>5.6820000000000004E-3</v>
      </c>
      <c r="H78">
        <v>0</v>
      </c>
      <c r="I78">
        <v>0</v>
      </c>
      <c r="J78">
        <v>1</v>
      </c>
    </row>
    <row r="79" spans="2:10" hidden="1" x14ac:dyDescent="0.25">
      <c r="B79" t="s">
        <v>609</v>
      </c>
      <c r="C79" t="s">
        <v>358</v>
      </c>
      <c r="D79">
        <v>5</v>
      </c>
      <c r="E79">
        <v>0.1057</v>
      </c>
      <c r="F79">
        <v>0.30740000000000001</v>
      </c>
      <c r="G79">
        <v>5.1570000000000001E-3</v>
      </c>
      <c r="H79">
        <v>0</v>
      </c>
      <c r="I79">
        <v>0</v>
      </c>
      <c r="J79">
        <v>1</v>
      </c>
    </row>
    <row r="80" spans="2:10" hidden="1" x14ac:dyDescent="0.25">
      <c r="B80" t="s">
        <v>610</v>
      </c>
      <c r="C80" t="s">
        <v>358</v>
      </c>
      <c r="D80">
        <v>6</v>
      </c>
      <c r="E80">
        <v>9.937E-2</v>
      </c>
      <c r="F80">
        <v>0.29920000000000002</v>
      </c>
      <c r="G80">
        <v>4.5880000000000001E-3</v>
      </c>
      <c r="H80">
        <v>0</v>
      </c>
      <c r="I80">
        <v>0</v>
      </c>
      <c r="J80">
        <v>1</v>
      </c>
    </row>
    <row r="81" spans="2:10" hidden="1" x14ac:dyDescent="0.25">
      <c r="B81" t="s">
        <v>611</v>
      </c>
      <c r="C81" t="s">
        <v>358</v>
      </c>
      <c r="D81">
        <v>7</v>
      </c>
      <c r="E81">
        <v>8.3529999999999993E-2</v>
      </c>
      <c r="F81">
        <v>0.2767</v>
      </c>
      <c r="G81">
        <v>4.2789999999999998E-3</v>
      </c>
      <c r="H81">
        <v>0</v>
      </c>
      <c r="I81">
        <v>0</v>
      </c>
      <c r="J81">
        <v>1</v>
      </c>
    </row>
    <row r="82" spans="2:10" hidden="1" x14ac:dyDescent="0.25">
      <c r="B82" t="s">
        <v>612</v>
      </c>
      <c r="C82" t="s">
        <v>358</v>
      </c>
      <c r="D82">
        <v>8</v>
      </c>
      <c r="E82">
        <v>7.6730000000000007E-2</v>
      </c>
      <c r="F82">
        <v>0.26619999999999999</v>
      </c>
      <c r="G82">
        <v>5.6519999999999999E-3</v>
      </c>
      <c r="H82">
        <v>0</v>
      </c>
      <c r="I82">
        <v>0</v>
      </c>
      <c r="J82">
        <v>1</v>
      </c>
    </row>
    <row r="83" spans="2:10" hidden="1" x14ac:dyDescent="0.25">
      <c r="B83" t="s">
        <v>613</v>
      </c>
      <c r="C83" t="s">
        <v>358</v>
      </c>
      <c r="D83">
        <v>9</v>
      </c>
      <c r="E83">
        <v>7.6429999999999998E-2</v>
      </c>
      <c r="F83">
        <v>0.26569999999999999</v>
      </c>
      <c r="G83">
        <v>5.9189999999999998E-3</v>
      </c>
      <c r="H83">
        <v>0</v>
      </c>
      <c r="I83">
        <v>0</v>
      </c>
      <c r="J83">
        <v>1</v>
      </c>
    </row>
    <row r="84" spans="2:10" hidden="1" x14ac:dyDescent="0.25">
      <c r="B84" t="s">
        <v>614</v>
      </c>
      <c r="C84" t="s">
        <v>358</v>
      </c>
      <c r="D84">
        <v>10</v>
      </c>
      <c r="E84">
        <v>6.2570000000000001E-2</v>
      </c>
      <c r="F84">
        <v>0.2422</v>
      </c>
      <c r="G84">
        <v>4.2789999999999998E-3</v>
      </c>
      <c r="H84">
        <v>0</v>
      </c>
      <c r="I84">
        <v>0</v>
      </c>
      <c r="J84">
        <v>1</v>
      </c>
    </row>
    <row r="85" spans="2:10" hidden="1" x14ac:dyDescent="0.25">
      <c r="B85" t="s">
        <v>615</v>
      </c>
      <c r="C85" t="s">
        <v>359</v>
      </c>
      <c r="D85">
        <v>1</v>
      </c>
      <c r="E85">
        <v>2E-3</v>
      </c>
      <c r="F85">
        <v>4.4679999999999997E-2</v>
      </c>
      <c r="G85">
        <v>3.143E-4</v>
      </c>
      <c r="H85">
        <v>0</v>
      </c>
      <c r="I85">
        <v>0</v>
      </c>
      <c r="J85">
        <v>0</v>
      </c>
    </row>
    <row r="86" spans="2:10" hidden="1" x14ac:dyDescent="0.25">
      <c r="B86" t="s">
        <v>616</v>
      </c>
      <c r="C86" t="s">
        <v>359</v>
      </c>
      <c r="D86">
        <v>2</v>
      </c>
      <c r="E86">
        <v>7.2830000000000006E-2</v>
      </c>
      <c r="F86">
        <v>0.25990000000000002</v>
      </c>
      <c r="G86">
        <v>4.8849999999999996E-3</v>
      </c>
      <c r="H86">
        <v>0</v>
      </c>
      <c r="I86">
        <v>0</v>
      </c>
      <c r="J86">
        <v>1</v>
      </c>
    </row>
    <row r="87" spans="2:10" hidden="1" x14ac:dyDescent="0.25">
      <c r="B87" t="s">
        <v>617</v>
      </c>
      <c r="C87" t="s">
        <v>359</v>
      </c>
      <c r="D87">
        <v>3</v>
      </c>
      <c r="E87">
        <v>0.23180000000000001</v>
      </c>
      <c r="F87">
        <v>0.42199999999999999</v>
      </c>
      <c r="G87">
        <v>9.3150000000000004E-3</v>
      </c>
      <c r="H87">
        <v>0</v>
      </c>
      <c r="I87">
        <v>0</v>
      </c>
      <c r="J87">
        <v>1</v>
      </c>
    </row>
    <row r="88" spans="2:10" hidden="1" x14ac:dyDescent="0.25">
      <c r="B88" t="s">
        <v>618</v>
      </c>
      <c r="C88" t="s">
        <v>359</v>
      </c>
      <c r="D88">
        <v>4</v>
      </c>
      <c r="E88">
        <v>0.31440000000000001</v>
      </c>
      <c r="F88">
        <v>0.46429999999999999</v>
      </c>
      <c r="G88">
        <v>9.5510000000000005E-3</v>
      </c>
      <c r="H88">
        <v>0</v>
      </c>
      <c r="I88">
        <v>0</v>
      </c>
      <c r="J88">
        <v>1</v>
      </c>
    </row>
    <row r="89" spans="2:10" hidden="1" x14ac:dyDescent="0.25">
      <c r="B89" t="s">
        <v>619</v>
      </c>
      <c r="C89" t="s">
        <v>359</v>
      </c>
      <c r="D89">
        <v>5</v>
      </c>
      <c r="E89">
        <v>0.2248</v>
      </c>
      <c r="F89">
        <v>0.41749999999999998</v>
      </c>
      <c r="G89">
        <v>8.8640000000000004E-3</v>
      </c>
      <c r="H89">
        <v>0</v>
      </c>
      <c r="I89">
        <v>0</v>
      </c>
      <c r="J89">
        <v>1</v>
      </c>
    </row>
    <row r="90" spans="2:10" hidden="1" x14ac:dyDescent="0.25">
      <c r="B90" t="s">
        <v>620</v>
      </c>
      <c r="C90" t="s">
        <v>359</v>
      </c>
      <c r="D90">
        <v>6</v>
      </c>
      <c r="E90">
        <v>0.1056</v>
      </c>
      <c r="F90">
        <v>0.30730000000000002</v>
      </c>
      <c r="G90">
        <v>5.4260000000000003E-3</v>
      </c>
      <c r="H90">
        <v>0</v>
      </c>
      <c r="I90">
        <v>0</v>
      </c>
      <c r="J90">
        <v>1</v>
      </c>
    </row>
    <row r="91" spans="2:10" hidden="1" x14ac:dyDescent="0.25">
      <c r="B91" t="s">
        <v>621</v>
      </c>
      <c r="C91" t="s">
        <v>359</v>
      </c>
      <c r="D91">
        <v>7</v>
      </c>
      <c r="E91">
        <v>3.5499999999999997E-2</v>
      </c>
      <c r="F91">
        <v>0.185</v>
      </c>
      <c r="G91">
        <v>2.947E-3</v>
      </c>
      <c r="H91">
        <v>0</v>
      </c>
      <c r="I91">
        <v>0</v>
      </c>
      <c r="J91">
        <v>1</v>
      </c>
    </row>
    <row r="92" spans="2:10" hidden="1" x14ac:dyDescent="0.25">
      <c r="B92" t="s">
        <v>622</v>
      </c>
      <c r="C92" t="s">
        <v>359</v>
      </c>
      <c r="D92">
        <v>8</v>
      </c>
      <c r="E92">
        <v>9.7000000000000003E-3</v>
      </c>
      <c r="F92">
        <v>9.801E-2</v>
      </c>
      <c r="G92">
        <v>8.6629999999999997E-4</v>
      </c>
      <c r="H92">
        <v>0</v>
      </c>
      <c r="I92">
        <v>0</v>
      </c>
      <c r="J92">
        <v>0</v>
      </c>
    </row>
    <row r="93" spans="2:10" hidden="1" x14ac:dyDescent="0.25">
      <c r="B93" t="s">
        <v>623</v>
      </c>
      <c r="C93" t="s">
        <v>359</v>
      </c>
      <c r="D93">
        <v>9</v>
      </c>
      <c r="E93">
        <v>3.3E-3</v>
      </c>
      <c r="F93">
        <v>5.7349999999999998E-2</v>
      </c>
      <c r="G93">
        <v>4.08E-4</v>
      </c>
      <c r="H93">
        <v>0</v>
      </c>
      <c r="I93">
        <v>0</v>
      </c>
      <c r="J93">
        <v>0</v>
      </c>
    </row>
    <row r="94" spans="2:10" hidden="1" x14ac:dyDescent="0.25">
      <c r="B94" t="s">
        <v>624</v>
      </c>
      <c r="C94" t="s">
        <v>359</v>
      </c>
      <c r="D94">
        <v>10</v>
      </c>
      <c r="E94">
        <v>6.6669999999999997E-5</v>
      </c>
      <c r="F94">
        <v>8.1650000000000004E-3</v>
      </c>
      <c r="G94">
        <v>4.7219999999999999E-5</v>
      </c>
      <c r="H94">
        <v>0</v>
      </c>
      <c r="I94">
        <v>0</v>
      </c>
      <c r="J94">
        <v>0</v>
      </c>
    </row>
    <row r="95" spans="2:10" hidden="1" x14ac:dyDescent="0.25">
      <c r="B95" t="s">
        <v>625</v>
      </c>
      <c r="C95" t="s">
        <v>360</v>
      </c>
      <c r="D95">
        <v>1</v>
      </c>
      <c r="E95">
        <v>0</v>
      </c>
      <c r="F95">
        <v>0</v>
      </c>
      <c r="G95">
        <v>3.333E-13</v>
      </c>
      <c r="H95">
        <v>0</v>
      </c>
      <c r="I95">
        <v>0</v>
      </c>
      <c r="J95">
        <v>0</v>
      </c>
    </row>
    <row r="96" spans="2:10" hidden="1" x14ac:dyDescent="0.25">
      <c r="B96" t="s">
        <v>626</v>
      </c>
      <c r="C96" t="s">
        <v>360</v>
      </c>
      <c r="D96">
        <v>2</v>
      </c>
      <c r="E96">
        <v>0</v>
      </c>
      <c r="F96">
        <v>0</v>
      </c>
      <c r="G96">
        <v>3.333E-13</v>
      </c>
      <c r="H96">
        <v>0</v>
      </c>
      <c r="I96">
        <v>0</v>
      </c>
      <c r="J96">
        <v>0</v>
      </c>
    </row>
    <row r="97" spans="2:10" hidden="1" x14ac:dyDescent="0.25">
      <c r="B97" t="s">
        <v>627</v>
      </c>
      <c r="C97" t="s">
        <v>360</v>
      </c>
      <c r="D97">
        <v>3</v>
      </c>
      <c r="E97">
        <v>2.9999999999999997E-4</v>
      </c>
      <c r="F97">
        <v>1.7319999999999999E-2</v>
      </c>
      <c r="G97">
        <v>9.8980000000000004E-5</v>
      </c>
      <c r="H97">
        <v>0</v>
      </c>
      <c r="I97">
        <v>0</v>
      </c>
      <c r="J97">
        <v>0</v>
      </c>
    </row>
    <row r="98" spans="2:10" hidden="1" x14ac:dyDescent="0.25">
      <c r="B98" t="s">
        <v>628</v>
      </c>
      <c r="C98" t="s">
        <v>360</v>
      </c>
      <c r="D98">
        <v>4</v>
      </c>
      <c r="E98">
        <v>1.4E-3</v>
      </c>
      <c r="F98">
        <v>3.739E-2</v>
      </c>
      <c r="G98">
        <v>3.0360000000000001E-4</v>
      </c>
      <c r="H98">
        <v>0</v>
      </c>
      <c r="I98">
        <v>0</v>
      </c>
      <c r="J98">
        <v>0</v>
      </c>
    </row>
    <row r="99" spans="2:10" hidden="1" x14ac:dyDescent="0.25">
      <c r="B99" t="s">
        <v>629</v>
      </c>
      <c r="C99" t="s">
        <v>360</v>
      </c>
      <c r="D99">
        <v>5</v>
      </c>
      <c r="E99">
        <v>5.2329999999999998E-3</v>
      </c>
      <c r="F99">
        <v>7.2150000000000006E-2</v>
      </c>
      <c r="G99">
        <v>6.8400000000000004E-4</v>
      </c>
      <c r="H99">
        <v>0</v>
      </c>
      <c r="I99">
        <v>0</v>
      </c>
      <c r="J99">
        <v>0</v>
      </c>
    </row>
    <row r="100" spans="2:10" hidden="1" x14ac:dyDescent="0.25">
      <c r="B100" t="s">
        <v>630</v>
      </c>
      <c r="C100" t="s">
        <v>360</v>
      </c>
      <c r="D100">
        <v>6</v>
      </c>
      <c r="E100">
        <v>1.397E-2</v>
      </c>
      <c r="F100">
        <v>0.1174</v>
      </c>
      <c r="G100">
        <v>1.325E-3</v>
      </c>
      <c r="H100">
        <v>0</v>
      </c>
      <c r="I100">
        <v>0</v>
      </c>
      <c r="J100">
        <v>0</v>
      </c>
    </row>
    <row r="101" spans="2:10" hidden="1" x14ac:dyDescent="0.25">
      <c r="B101" t="s">
        <v>631</v>
      </c>
      <c r="C101" t="s">
        <v>360</v>
      </c>
      <c r="D101">
        <v>7</v>
      </c>
      <c r="E101">
        <v>4.07E-2</v>
      </c>
      <c r="F101">
        <v>0.1976</v>
      </c>
      <c r="G101">
        <v>3.787E-3</v>
      </c>
      <c r="H101">
        <v>0</v>
      </c>
      <c r="I101">
        <v>0</v>
      </c>
      <c r="J101">
        <v>1</v>
      </c>
    </row>
    <row r="102" spans="2:10" hidden="1" x14ac:dyDescent="0.25">
      <c r="B102" t="s">
        <v>632</v>
      </c>
      <c r="C102" t="s">
        <v>360</v>
      </c>
      <c r="D102">
        <v>8</v>
      </c>
      <c r="E102">
        <v>0.11</v>
      </c>
      <c r="F102">
        <v>0.31280000000000002</v>
      </c>
      <c r="G102">
        <v>6.8250000000000003E-3</v>
      </c>
      <c r="H102">
        <v>0</v>
      </c>
      <c r="I102">
        <v>0</v>
      </c>
      <c r="J102">
        <v>1</v>
      </c>
    </row>
    <row r="103" spans="2:10" hidden="1" x14ac:dyDescent="0.25">
      <c r="B103" t="s">
        <v>633</v>
      </c>
      <c r="C103" t="s">
        <v>360</v>
      </c>
      <c r="D103">
        <v>9</v>
      </c>
      <c r="E103">
        <v>0.3291</v>
      </c>
      <c r="F103">
        <v>0.46989999999999998</v>
      </c>
      <c r="G103">
        <v>1.153E-2</v>
      </c>
      <c r="H103">
        <v>0</v>
      </c>
      <c r="I103">
        <v>0</v>
      </c>
      <c r="J103">
        <v>1</v>
      </c>
    </row>
    <row r="104" spans="2:10" hidden="1" x14ac:dyDescent="0.25">
      <c r="B104" t="s">
        <v>634</v>
      </c>
      <c r="C104" t="s">
        <v>360</v>
      </c>
      <c r="D104">
        <v>10</v>
      </c>
      <c r="E104">
        <v>0.49930000000000002</v>
      </c>
      <c r="F104">
        <v>0.5</v>
      </c>
      <c r="G104">
        <v>1.4120000000000001E-2</v>
      </c>
      <c r="H104">
        <v>0</v>
      </c>
      <c r="I104">
        <v>0</v>
      </c>
      <c r="J104">
        <v>1</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5 2018 3 58 35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2018-02-05T19:59:11Z</dcterms:modified>
</cp:coreProperties>
</file>