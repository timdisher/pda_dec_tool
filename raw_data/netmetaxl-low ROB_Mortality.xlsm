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Subgroup_LOW ROB\subgroup_LOW RoB_Mortality\"/>
    </mc:Choice>
  </mc:AlternateContent>
  <bookViews>
    <workbookView xWindow="0" yWindow="0" windowWidth="28800" windowHeight="12435" tabRatio="663" firstSheet="6"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state="hidden" r:id="rId13"/>
    <sheet name="FE Results" sheetId="10" state="hidden" r:id="rId14"/>
    <sheet name="RE Results (Vague Prior)" sheetId="11" r:id="rId15"/>
    <sheet name="RE Results (Informative Prior)" sheetId="29" r:id="rId16"/>
    <sheet name="FE Inconsistency Results" sheetId="35" state="hidden" r:id="rId17"/>
    <sheet name="RE Inconsistency Results" sheetId="36" state="hidden"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31" i="37"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15" i="20"/>
  <c r="K15" i="20"/>
  <c r="L29" i="20"/>
  <c r="K29" i="20"/>
  <c r="L48" i="20"/>
  <c r="K48" i="20"/>
  <c r="L12" i="20"/>
  <c r="K12" i="20"/>
  <c r="L41" i="20"/>
  <c r="K41" i="20"/>
  <c r="L40" i="20"/>
  <c r="K40" i="20"/>
  <c r="L14" i="20"/>
  <c r="K14" i="20"/>
  <c r="L22" i="20"/>
  <c r="K22" i="20"/>
  <c r="L39" i="20"/>
  <c r="K39" i="20"/>
  <c r="L47" i="20"/>
  <c r="K47" i="20"/>
  <c r="L43" i="20"/>
  <c r="K43" i="20"/>
  <c r="L35" i="20"/>
  <c r="K35" i="20"/>
  <c r="L10" i="20"/>
  <c r="K10" i="20"/>
  <c r="L38" i="20"/>
  <c r="K38" i="20"/>
  <c r="L21" i="20"/>
  <c r="K21" i="20"/>
  <c r="L42" i="20"/>
  <c r="K42" i="20"/>
  <c r="L30" i="20"/>
  <c r="K30" i="20"/>
  <c r="L32" i="20"/>
  <c r="K32" i="20"/>
  <c r="L24" i="20"/>
  <c r="K24" i="20"/>
  <c r="L45" i="20"/>
  <c r="K45" i="20"/>
  <c r="L49" i="20"/>
  <c r="K49" i="20"/>
  <c r="L9" i="20"/>
  <c r="K9" i="20"/>
  <c r="L19" i="20"/>
  <c r="K19" i="20"/>
  <c r="L33" i="20"/>
  <c r="K33" i="20"/>
  <c r="L7" i="20"/>
  <c r="K7" i="20"/>
  <c r="L6" i="20"/>
  <c r="K6" i="20"/>
  <c r="L18" i="20"/>
  <c r="K18" i="20"/>
  <c r="L25" i="20"/>
  <c r="K25" i="20"/>
  <c r="L23" i="20"/>
  <c r="K23" i="20"/>
  <c r="L11" i="20"/>
  <c r="K11" i="20"/>
  <c r="L16" i="20"/>
  <c r="K16" i="20"/>
  <c r="L37" i="20"/>
  <c r="K37" i="20"/>
  <c r="L36" i="20"/>
  <c r="K36" i="20"/>
  <c r="L27" i="20"/>
  <c r="K27" i="20"/>
  <c r="L28" i="20"/>
  <c r="K28" i="20"/>
  <c r="L17" i="20"/>
  <c r="K17" i="20"/>
  <c r="L31" i="20"/>
  <c r="K31" i="20"/>
  <c r="L34" i="20"/>
  <c r="K34" i="20"/>
  <c r="L8" i="20"/>
  <c r="K8" i="20"/>
  <c r="L26" i="20"/>
  <c r="K26" i="20"/>
  <c r="L46" i="20"/>
  <c r="K46" i="20"/>
  <c r="L5" i="20"/>
  <c r="K5" i="20"/>
  <c r="L20" i="20"/>
  <c r="K20" i="20"/>
  <c r="L44" i="20"/>
  <c r="K44" i="20"/>
  <c r="L13" i="20"/>
  <c r="K13"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Z4" i="41" s="1"/>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6" i="27"/>
  <c r="K6" i="27"/>
  <c r="L38" i="27"/>
  <c r="K38" i="27"/>
  <c r="L20" i="27"/>
  <c r="K20" i="27"/>
  <c r="L5" i="27"/>
  <c r="K5" i="27"/>
  <c r="L9" i="27"/>
  <c r="K9" i="27"/>
  <c r="L30" i="27"/>
  <c r="K30" i="27"/>
  <c r="L17" i="27"/>
  <c r="K17" i="27"/>
  <c r="L10" i="27"/>
  <c r="K10" i="27"/>
  <c r="L47" i="27"/>
  <c r="K47" i="27"/>
  <c r="L37" i="27"/>
  <c r="K37" i="27"/>
  <c r="L29" i="27"/>
  <c r="K29" i="27"/>
  <c r="L23" i="27"/>
  <c r="K23" i="27"/>
  <c r="L22" i="27"/>
  <c r="K22" i="27"/>
  <c r="L46" i="27"/>
  <c r="K46" i="27"/>
  <c r="L39" i="27"/>
  <c r="K39" i="27"/>
  <c r="L27" i="27"/>
  <c r="K27" i="27"/>
  <c r="L31" i="27"/>
  <c r="K31" i="27"/>
  <c r="L35" i="27"/>
  <c r="K35" i="27"/>
  <c r="L21" i="27"/>
  <c r="K21" i="27"/>
  <c r="L12" i="27"/>
  <c r="K12" i="27"/>
  <c r="L15" i="27"/>
  <c r="K15" i="27"/>
  <c r="L8" i="27"/>
  <c r="K8" i="27"/>
  <c r="L36" i="27"/>
  <c r="K36" i="27"/>
  <c r="L41" i="27"/>
  <c r="K41" i="27"/>
  <c r="L44" i="27"/>
  <c r="K44" i="27"/>
  <c r="L43" i="27"/>
  <c r="K43" i="27"/>
  <c r="L18" i="27"/>
  <c r="K18" i="27"/>
  <c r="L32" i="27"/>
  <c r="K32" i="27"/>
  <c r="L13" i="27"/>
  <c r="K13" i="27"/>
  <c r="L26" i="27"/>
  <c r="K26" i="27"/>
  <c r="L24" i="27"/>
  <c r="K24" i="27"/>
  <c r="L16" i="27"/>
  <c r="K16" i="27"/>
  <c r="L25" i="27"/>
  <c r="K25" i="27"/>
  <c r="L11" i="27"/>
  <c r="K11" i="27"/>
  <c r="L7" i="27"/>
  <c r="K7" i="27"/>
  <c r="L34" i="27"/>
  <c r="K34" i="27"/>
  <c r="L14" i="27"/>
  <c r="K14" i="27"/>
  <c r="L45" i="27"/>
  <c r="K45" i="27"/>
  <c r="L33" i="27"/>
  <c r="K33" i="27"/>
  <c r="L28" i="27"/>
  <c r="K28" i="27"/>
  <c r="L49" i="27"/>
  <c r="K49" i="27"/>
  <c r="L40" i="27"/>
  <c r="K40" i="27"/>
  <c r="L48" i="27"/>
  <c r="K48" i="27"/>
  <c r="L19" i="27"/>
  <c r="K19" i="27"/>
  <c r="L42" i="27"/>
  <c r="K42"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Z5" i="44" s="1"/>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Z3" i="44" s="1"/>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Y2" i="44"/>
  <c r="Q83" i="46"/>
  <c r="S83" i="46"/>
  <c r="T83" i="46"/>
  <c r="U83" i="46"/>
  <c r="Q85" i="46"/>
  <c r="S85" i="46"/>
  <c r="T85" i="46"/>
  <c r="U85" i="46"/>
  <c r="Q92" i="46"/>
  <c r="S92" i="46"/>
  <c r="T92" i="46"/>
  <c r="U92" i="46"/>
  <c r="Q80" i="46"/>
  <c r="S80" i="46"/>
  <c r="T80" i="46"/>
  <c r="U80" i="46"/>
  <c r="Q88" i="46"/>
  <c r="S88" i="46"/>
  <c r="T88" i="46"/>
  <c r="U88" i="46"/>
  <c r="Q95" i="46"/>
  <c r="S95" i="46"/>
  <c r="T95" i="46"/>
  <c r="U95" i="46"/>
  <c r="Q97" i="46"/>
  <c r="S97" i="46"/>
  <c r="T97" i="46"/>
  <c r="U97" i="46"/>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1" i="46"/>
  <c r="S81" i="46"/>
  <c r="T81" i="46"/>
  <c r="U81" i="46"/>
  <c r="Q82" i="46"/>
  <c r="S82" i="46"/>
  <c r="T82" i="46"/>
  <c r="U82" i="46"/>
  <c r="Q84" i="46"/>
  <c r="S84" i="46"/>
  <c r="T84" i="46"/>
  <c r="U84" i="46"/>
  <c r="Q86" i="46"/>
  <c r="S86" i="46"/>
  <c r="T86" i="46"/>
  <c r="U86" i="46"/>
  <c r="Q87" i="46"/>
  <c r="S87" i="46"/>
  <c r="T87" i="46"/>
  <c r="U87" i="46"/>
  <c r="Q89" i="46"/>
  <c r="S89" i="46"/>
  <c r="T89" i="46"/>
  <c r="U89" i="46"/>
  <c r="Q90" i="46"/>
  <c r="S90" i="46"/>
  <c r="T90" i="46"/>
  <c r="U90" i="46"/>
  <c r="Q91" i="46"/>
  <c r="S91" i="46"/>
  <c r="T91" i="46"/>
  <c r="U91" i="46"/>
  <c r="Q93" i="46"/>
  <c r="S93" i="46"/>
  <c r="T93" i="46"/>
  <c r="U93" i="46"/>
  <c r="Q94" i="46"/>
  <c r="S94" i="46"/>
  <c r="T94" i="46"/>
  <c r="U94" i="46"/>
  <c r="Q96" i="46"/>
  <c r="S96" i="46"/>
  <c r="T96" i="46"/>
  <c r="U96"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24" i="48"/>
  <c r="J28" i="48"/>
  <c r="I30" i="48"/>
  <c r="I36" i="48"/>
  <c r="E17" i="48"/>
  <c r="E15" i="48"/>
  <c r="I38" i="48"/>
  <c r="I25" i="48"/>
  <c r="J29" i="48"/>
  <c r="I35" i="48"/>
  <c r="J31" i="48"/>
  <c r="I27" i="48"/>
  <c r="J27" i="48"/>
  <c r="J34" i="48"/>
  <c r="J32" i="48"/>
  <c r="I34" i="48"/>
  <c r="J30" i="48"/>
  <c r="J38" i="48"/>
  <c r="I32" i="48"/>
  <c r="J33" i="48"/>
  <c r="J26" i="48"/>
  <c r="I26" i="48"/>
  <c r="I24" i="48"/>
  <c r="J35" i="48"/>
  <c r="I28" i="48"/>
  <c r="I31" i="48"/>
  <c r="I29" i="48"/>
  <c r="J25" i="48"/>
  <c r="J37" i="48"/>
  <c r="I33" i="48"/>
  <c r="I37" i="48"/>
  <c r="J36" i="48"/>
  <c r="E8" i="48"/>
  <c r="E16" i="4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J120" i="40"/>
  <c r="K135" i="40"/>
  <c r="J47" i="40"/>
  <c r="J73" i="40"/>
  <c r="I18" i="40"/>
  <c r="K32" i="40"/>
  <c r="J18" i="40"/>
  <c r="K140" i="40"/>
  <c r="I142" i="40"/>
  <c r="I25" i="40"/>
  <c r="I15" i="40"/>
  <c r="I24" i="40"/>
  <c r="I60" i="40"/>
  <c r="K11" i="40"/>
  <c r="K133" i="40"/>
  <c r="I129" i="40"/>
  <c r="K35" i="40"/>
  <c r="J52" i="40"/>
  <c r="K139" i="40"/>
  <c r="J54" i="40"/>
  <c r="J17" i="40"/>
  <c r="J126" i="40"/>
  <c r="K21" i="40"/>
  <c r="I38" i="40"/>
  <c r="J39" i="40"/>
  <c r="K49" i="40"/>
  <c r="J76" i="40"/>
  <c r="K98" i="40"/>
  <c r="J9" i="40"/>
  <c r="J68" i="40"/>
  <c r="I16" i="40"/>
  <c r="K111" i="40"/>
  <c r="I115" i="40"/>
  <c r="I122" i="40"/>
  <c r="J36" i="40"/>
  <c r="I90" i="40"/>
  <c r="J80" i="40"/>
  <c r="I48" i="40"/>
  <c r="K107" i="40"/>
  <c r="I132" i="40"/>
  <c r="J140" i="40"/>
  <c r="K101" i="40"/>
  <c r="J33" i="40"/>
  <c r="I63" i="40"/>
  <c r="J55" i="40"/>
  <c r="K79" i="40"/>
  <c r="J129" i="40"/>
  <c r="I36" i="40"/>
  <c r="I105" i="40"/>
  <c r="K93" i="40"/>
  <c r="J141" i="40"/>
  <c r="J58" i="40"/>
  <c r="J48" i="40"/>
  <c r="J145" i="40"/>
  <c r="K80" i="40"/>
  <c r="K27" i="40"/>
  <c r="I137" i="40"/>
  <c r="J71" i="40"/>
  <c r="J70" i="40"/>
  <c r="J134" i="40"/>
  <c r="J148" i="40"/>
  <c r="J29" i="40"/>
  <c r="K66" i="40"/>
  <c r="J143" i="40"/>
  <c r="I73" i="40"/>
  <c r="I101" i="40"/>
  <c r="K74" i="40"/>
  <c r="K28" i="40"/>
  <c r="J90" i="40"/>
  <c r="J27" i="40"/>
  <c r="K9" i="40"/>
  <c r="I7" i="40"/>
  <c r="K129" i="40"/>
  <c r="I42" i="40"/>
  <c r="I110" i="40"/>
  <c r="I128" i="40"/>
  <c r="J79" i="40"/>
  <c r="J128" i="40"/>
  <c r="K84" i="40"/>
  <c r="J12" i="40"/>
  <c r="K46" i="40"/>
  <c r="J7" i="40"/>
  <c r="J77" i="40"/>
  <c r="K31" i="40"/>
  <c r="J108" i="40"/>
  <c r="J103" i="40"/>
  <c r="I144" i="40"/>
  <c r="K76" i="40"/>
  <c r="I113" i="40"/>
  <c r="I103" i="40"/>
  <c r="K5" i="40"/>
  <c r="K131" i="40"/>
  <c r="K50" i="40"/>
  <c r="I91" i="40"/>
  <c r="I82" i="40"/>
  <c r="I94" i="40"/>
  <c r="K115" i="40"/>
  <c r="K38" i="40"/>
  <c r="K45" i="40"/>
  <c r="I88" i="40"/>
  <c r="I86" i="40"/>
  <c r="J106" i="40"/>
  <c r="K141" i="40"/>
  <c r="J6" i="40"/>
  <c r="K60" i="40"/>
  <c r="K62" i="40"/>
  <c r="I121" i="40"/>
  <c r="J135" i="40"/>
  <c r="J124" i="40"/>
  <c r="K25" i="40"/>
  <c r="K116" i="40"/>
  <c r="J139" i="40"/>
  <c r="I27" i="40"/>
  <c r="J87" i="40"/>
  <c r="J102" i="40"/>
  <c r="J74" i="40"/>
  <c r="J40" i="40"/>
  <c r="I139" i="40"/>
  <c r="J117" i="40"/>
  <c r="K103" i="40"/>
  <c r="K81" i="40"/>
  <c r="K63" i="40"/>
  <c r="J83" i="40"/>
  <c r="K42" i="40"/>
  <c r="I123" i="40"/>
  <c r="I70" i="40"/>
  <c r="K18" i="40"/>
  <c r="K48" i="40"/>
  <c r="I59" i="40"/>
  <c r="K118" i="40"/>
  <c r="K72" i="40"/>
  <c r="K73" i="40"/>
  <c r="I133" i="40"/>
  <c r="K77" i="40"/>
  <c r="I100" i="40"/>
  <c r="J25" i="40"/>
  <c r="J75" i="40"/>
  <c r="I130" i="40"/>
  <c r="J26" i="40"/>
  <c r="I104" i="40"/>
  <c r="I78" i="40"/>
  <c r="J98" i="40"/>
  <c r="J115" i="40"/>
  <c r="I51" i="40"/>
  <c r="K23" i="40"/>
  <c r="J144" i="40"/>
  <c r="K145" i="40"/>
  <c r="K14" i="40"/>
  <c r="K87" i="40"/>
  <c r="K64" i="40"/>
  <c r="K122" i="40"/>
  <c r="J122" i="40"/>
  <c r="J82" i="40"/>
  <c r="K75" i="40"/>
  <c r="J84" i="40"/>
  <c r="J127" i="40"/>
  <c r="I150" i="40"/>
  <c r="I64" i="40"/>
  <c r="J61" i="40"/>
  <c r="I43" i="40"/>
  <c r="J57" i="40"/>
  <c r="I111" i="40"/>
  <c r="K90" i="40"/>
  <c r="K119" i="40"/>
  <c r="J95" i="40"/>
  <c r="I45" i="40"/>
  <c r="J130" i="40"/>
  <c r="K52" i="40"/>
  <c r="I143" i="40"/>
  <c r="J149" i="40"/>
  <c r="I126" i="40"/>
  <c r="J67" i="40"/>
  <c r="J92" i="40"/>
  <c r="J28" i="40"/>
  <c r="I33" i="40"/>
  <c r="J118" i="40"/>
  <c r="I31" i="40"/>
  <c r="K68" i="40"/>
  <c r="K54" i="40"/>
  <c r="I21" i="40"/>
  <c r="J81" i="40"/>
  <c r="I11" i="40"/>
  <c r="I119" i="40"/>
  <c r="I99" i="40"/>
  <c r="K136" i="40"/>
  <c r="K110" i="40"/>
  <c r="J22" i="40"/>
  <c r="I136" i="40"/>
  <c r="I62" i="40"/>
  <c r="I124" i="40"/>
  <c r="I77" i="40"/>
  <c r="K39" i="40"/>
  <c r="I52" i="40"/>
  <c r="K113" i="40"/>
  <c r="J35" i="40"/>
  <c r="K53" i="40"/>
  <c r="I80" i="40"/>
  <c r="I112" i="40"/>
  <c r="J30" i="40"/>
  <c r="K127" i="40"/>
  <c r="I107" i="40"/>
  <c r="I23" i="40"/>
  <c r="I95" i="40"/>
  <c r="I22" i="40"/>
  <c r="I131" i="40"/>
  <c r="J63" i="40"/>
  <c r="I41" i="40"/>
  <c r="K146" i="40"/>
  <c r="K96" i="40"/>
  <c r="J72" i="40"/>
  <c r="I118" i="40"/>
  <c r="I50" i="40"/>
  <c r="J13" i="40"/>
  <c r="K26" i="40"/>
  <c r="K106" i="40"/>
  <c r="J137" i="40"/>
  <c r="I72" i="40"/>
  <c r="K8" i="40"/>
  <c r="J133" i="40"/>
  <c r="J64" i="40"/>
  <c r="K69" i="40"/>
  <c r="K105" i="40"/>
  <c r="I141" i="40"/>
  <c r="J86" i="40"/>
  <c r="K147" i="40"/>
  <c r="K88" i="40"/>
  <c r="K40" i="40"/>
  <c r="I102" i="40"/>
  <c r="K85" i="40"/>
  <c r="J42" i="40"/>
  <c r="I20" i="40"/>
  <c r="K29" i="40"/>
  <c r="I35" i="40"/>
  <c r="K61" i="40"/>
  <c r="I89" i="40"/>
  <c r="J32" i="40"/>
  <c r="K120" i="40"/>
  <c r="K41" i="40"/>
  <c r="J60" i="40"/>
  <c r="I8" i="40"/>
  <c r="J31" i="40"/>
  <c r="I29" i="40"/>
  <c r="K94" i="40"/>
  <c r="I138" i="40"/>
  <c r="J46" i="40"/>
  <c r="K108" i="40"/>
  <c r="J125" i="40"/>
  <c r="I140" i="40"/>
  <c r="K125" i="40"/>
  <c r="I39" i="40"/>
  <c r="J97" i="40"/>
  <c r="J150" i="40"/>
  <c r="J93" i="40"/>
  <c r="K91" i="40"/>
  <c r="I93" i="40"/>
  <c r="K143" i="40"/>
  <c r="I61" i="40"/>
  <c r="I49" i="40"/>
  <c r="J132" i="40"/>
  <c r="K24" i="40"/>
  <c r="K124" i="40"/>
  <c r="I76" i="40"/>
  <c r="J19" i="40"/>
  <c r="K142" i="40"/>
  <c r="I135" i="40"/>
  <c r="I108" i="40"/>
  <c r="K144" i="40"/>
  <c r="J94" i="40"/>
  <c r="K114" i="40"/>
  <c r="K117" i="40"/>
  <c r="I116" i="40"/>
  <c r="J51" i="40"/>
  <c r="I17" i="40"/>
  <c r="K70" i="40"/>
  <c r="J147" i="40"/>
  <c r="K148" i="40"/>
  <c r="K30" i="40"/>
  <c r="K13" i="40"/>
  <c r="I65" i="40"/>
  <c r="I71" i="40"/>
  <c r="K132" i="40"/>
  <c r="K100" i="40"/>
  <c r="J78" i="40"/>
  <c r="I47" i="40"/>
  <c r="I57" i="40"/>
  <c r="I125" i="40"/>
  <c r="K126" i="40"/>
  <c r="J8" i="40"/>
  <c r="K22" i="40"/>
  <c r="K112" i="40"/>
  <c r="I19" i="40"/>
  <c r="I55" i="40"/>
  <c r="I10" i="40"/>
  <c r="J14" i="40"/>
  <c r="K34" i="40"/>
  <c r="I53" i="40"/>
  <c r="J34" i="40"/>
  <c r="K138" i="40"/>
  <c r="K92" i="40"/>
  <c r="K65" i="40"/>
  <c r="I83" i="40"/>
  <c r="I96" i="40"/>
  <c r="J113" i="40"/>
  <c r="I54" i="40"/>
  <c r="I12" i="40"/>
  <c r="I66" i="40"/>
  <c r="K128" i="40"/>
  <c r="J37" i="40"/>
  <c r="J119" i="40"/>
  <c r="J43" i="40"/>
  <c r="I9" i="40"/>
  <c r="K123" i="40"/>
  <c r="K130" i="40"/>
  <c r="I98" i="40"/>
  <c r="K86" i="40"/>
  <c r="J101" i="40"/>
  <c r="J59" i="40"/>
  <c r="I134" i="40"/>
  <c r="K15" i="40"/>
  <c r="J85" i="40"/>
  <c r="K102" i="40"/>
  <c r="K97" i="40"/>
  <c r="K137" i="40"/>
  <c r="I117" i="40"/>
  <c r="I120" i="40"/>
  <c r="J111" i="40"/>
  <c r="K36" i="40"/>
  <c r="I69" i="40"/>
  <c r="I30" i="40"/>
  <c r="K19" i="40"/>
  <c r="K6" i="40"/>
  <c r="K78" i="40"/>
  <c r="K59" i="40"/>
  <c r="I84" i="40"/>
  <c r="I46" i="40"/>
  <c r="K89" i="40"/>
  <c r="I109" i="40"/>
  <c r="K150" i="40"/>
  <c r="J65" i="40"/>
  <c r="I6" i="40"/>
  <c r="K12" i="40"/>
  <c r="J38" i="40"/>
  <c r="J15" i="40"/>
  <c r="K95" i="40"/>
  <c r="J112" i="40"/>
  <c r="I114" i="40"/>
  <c r="K104" i="40"/>
  <c r="I106" i="40"/>
  <c r="K82" i="40"/>
  <c r="J41" i="40"/>
  <c r="J114" i="40"/>
  <c r="K33" i="40"/>
  <c r="I145" i="40"/>
  <c r="I37" i="40"/>
  <c r="J100" i="40"/>
  <c r="I149" i="40"/>
  <c r="J11" i="40"/>
  <c r="I148" i="40"/>
  <c r="I40" i="40"/>
  <c r="I97" i="40"/>
  <c r="J44" i="40"/>
  <c r="J20" i="40"/>
  <c r="J131" i="40"/>
  <c r="K44" i="40"/>
  <c r="I75" i="40"/>
  <c r="J91" i="40"/>
  <c r="J146" i="40"/>
  <c r="J69" i="40"/>
  <c r="J107" i="40"/>
  <c r="J56" i="40"/>
  <c r="J45" i="40"/>
  <c r="I28" i="40"/>
  <c r="K51" i="40"/>
  <c r="J10" i="40"/>
  <c r="I81" i="40"/>
  <c r="J105" i="40"/>
  <c r="J110" i="40"/>
  <c r="I79" i="40"/>
  <c r="I127" i="40"/>
  <c r="I32" i="40"/>
  <c r="K10" i="40"/>
  <c r="K20" i="40"/>
  <c r="I5" i="40"/>
  <c r="I67" i="40"/>
  <c r="J121" i="40"/>
  <c r="I14" i="40"/>
  <c r="J49" i="40"/>
  <c r="K16" i="40"/>
  <c r="I147" i="40"/>
  <c r="K37" i="40"/>
  <c r="J116" i="40"/>
  <c r="K83" i="40"/>
  <c r="I87" i="40"/>
  <c r="K149" i="40"/>
  <c r="I56" i="40"/>
  <c r="J96" i="40"/>
  <c r="J53" i="40"/>
  <c r="K67" i="40"/>
  <c r="J142" i="40"/>
  <c r="I68" i="40"/>
  <c r="K71" i="40"/>
  <c r="K7" i="40"/>
  <c r="J66" i="40"/>
  <c r="J50" i="40"/>
  <c r="K99" i="40"/>
  <c r="I58" i="40"/>
  <c r="J138" i="40"/>
  <c r="J62" i="40"/>
  <c r="J16" i="40"/>
  <c r="I44" i="40"/>
  <c r="I34" i="40"/>
  <c r="J104" i="40"/>
  <c r="J5" i="40"/>
  <c r="K55" i="40"/>
  <c r="K58" i="40"/>
  <c r="J89" i="40"/>
  <c r="J24" i="40"/>
  <c r="I74" i="40"/>
  <c r="K109" i="40"/>
  <c r="K134" i="40"/>
  <c r="K121" i="40"/>
  <c r="K43" i="40"/>
  <c r="J21" i="40"/>
  <c r="I92" i="40"/>
  <c r="J109" i="40"/>
  <c r="J136" i="40"/>
  <c r="J23" i="40"/>
  <c r="I26" i="40"/>
  <c r="I85" i="40"/>
  <c r="I146" i="40"/>
  <c r="J123" i="40"/>
  <c r="J99" i="40"/>
  <c r="K17" i="40"/>
  <c r="J88" i="40"/>
  <c r="I13" i="40"/>
  <c r="K56" i="40"/>
  <c r="K47" i="40"/>
  <c r="K57" i="40"/>
  <c r="Z5" i="41" l="1"/>
  <c r="A45" i="4"/>
  <c r="A32" i="37"/>
  <c r="A45" i="6"/>
  <c r="A46" i="6"/>
  <c r="Z3" i="41"/>
  <c r="Z4" i="44"/>
  <c r="A30" i="38"/>
  <c r="A31" i="38"/>
  <c r="A46" i="4"/>
</calcChain>
</file>

<file path=xl/sharedStrings.xml><?xml version="1.0" encoding="utf-8"?>
<sst xmlns="http://schemas.openxmlformats.org/spreadsheetml/2006/main" count="2944" uniqueCount="852">
  <si>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</si>
  <si>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</si>
  <si>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</si>
  <si>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</si>
  <si>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</si>
  <si>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</si>
  <si>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</si>
  <si>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</si>
  <si>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</si>
  <si>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</si>
  <si>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</si>
  <si>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</si>
  <si>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</si>
  <si>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</si>
  <si>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</si>
  <si>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</si>
  <si>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</si>
  <si>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</si>
  <si>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</si>
  <si>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</si>
  <si>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</si>
  <si>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</si>
  <si>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</si>
  <si>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</si>
  <si>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</si>
  <si>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</si>
  <si>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</si>
  <si>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</si>
  <si>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</si>
  <si>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</si>
  <si>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</si>
  <si>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</si>
  <si>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</si>
  <si>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</si>
  <si>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</si>
  <si>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</si>
  <si>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</si>
  <si>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</si>
  <si>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</si>
  <si>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</si>
  <si>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</si>
  <si>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</si>
  <si>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</si>
  <si>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</si>
  <si>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</si>
  <si>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</si>
  <si>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</si>
  <si>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</si>
  <si>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</si>
  <si>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</si>
  <si>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</si>
  <si>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</si>
  <si>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</si>
  <si>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</si>
  <si>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</si>
  <si>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</si>
  <si>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</si>
  <si>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</si>
  <si>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</si>
  <si>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</si>
  <si>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</si>
  <si>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</si>
  <si>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</si>
  <si>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</si>
  <si>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</si>
  <si>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</si>
  <si>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</si>
  <si>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</si>
  <si>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</si>
  <si>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</si>
  <si>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</si>
  <si>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</si>
  <si>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</si>
  <si>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</si>
  <si>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</si>
  <si>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</si>
  <si>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</si>
  <si>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</si>
  <si>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</si>
  <si>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</si>
  <si>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</si>
  <si>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</si>
  <si>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</si>
  <si>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</si>
  <si>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</si>
  <si>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</si>
  <si>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</si>
  <si>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</si>
  <si>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</si>
  <si>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</si>
  <si>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</si>
  <si>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</si>
  <si>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</si>
  <si>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</si>
  <si>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</si>
  <si>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</si>
  <si>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</si>
  <si>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</si>
  <si>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</si>
  <si>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</si>
  <si>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</si>
  <si>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</si>
  <si>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</si>
  <si>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</si>
  <si>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</si>
  <si>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</si>
  <si>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</si>
  <si>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</si>
  <si>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</si>
  <si>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</si>
  <si>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</si>
  <si>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</si>
  <si>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</si>
  <si>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</si>
  <si>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</si>
  <si>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</si>
  <si>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</si>
  <si>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</si>
  <si>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</si>
  <si>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</si>
  <si>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</si>
  <si>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</si>
  <si>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</si>
  <si>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</si>
  <si>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</si>
  <si>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</si>
  <si>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</si>
  <si>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</si>
  <si>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</si>
  <si>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</si>
  <si>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</si>
  <si>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</si>
  <si>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</si>
  <si>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</si>
  <si>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</si>
  <si>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</si>
  <si>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</si>
  <si>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</si>
  <si>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</si>
  <si>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</si>
  <si>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</si>
  <si>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</si>
  <si>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</si>
  <si>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</si>
  <si>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</si>
  <si>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</si>
  <si>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</si>
  <si>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</si>
  <si>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</si>
  <si>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</si>
  <si>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</si>
  <si>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</si>
  <si>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</si>
  <si>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</si>
  <si>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</si>
  <si>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</si>
  <si>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</si>
  <si>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</si>
  <si>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</si>
  <si>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</si>
  <si>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</si>
  <si>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</si>
  <si>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</si>
  <si>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</si>
  <si>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</si>
  <si>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</si>
  <si>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</si>
  <si>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</si>
  <si>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</si>
  <si>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</si>
  <si>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</si>
  <si>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</si>
  <si>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</si>
  <si>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</si>
  <si>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</si>
  <si>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</si>
  <si>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</si>
  <si>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</si>
  <si>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</si>
  <si>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</si>
  <si>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</si>
  <si>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</si>
  <si>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</si>
  <si>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</si>
  <si>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</si>
  <si>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</si>
  <si>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</si>
  <si>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</si>
  <si>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</si>
  <si>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</si>
  <si>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</si>
  <si>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</si>
  <si>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</si>
  <si>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</si>
  <si>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</si>
  <si>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</si>
  <si>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</si>
  <si>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</si>
  <si>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</si>
  <si>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</si>
  <si>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</si>
  <si>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</si>
  <si>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</si>
  <si>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</si>
  <si>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</si>
  <si>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</si>
  <si>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</si>
  <si>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</si>
  <si>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</si>
  <si>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</si>
  <si>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</si>
  <si>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</si>
  <si>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</si>
  <si>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</si>
  <si>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</si>
  <si>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</si>
  <si>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</si>
  <si>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</si>
  <si>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</si>
  <si>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</si>
  <si>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</si>
  <si>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</si>
  <si>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</si>
  <si>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</si>
  <si>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</si>
  <si>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</si>
  <si>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</si>
  <si>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</si>
  <si>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</si>
  <si>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</si>
  <si>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</si>
  <si>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</si>
  <si>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</si>
  <si>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</si>
  <si>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</si>
  <si>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</si>
  <si>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</si>
  <si>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</si>
  <si>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</si>
  <si>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</si>
  <si>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</si>
  <si>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</si>
  <si>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</si>
  <si>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</si>
  <si>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</si>
  <si>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</si>
  <si>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</si>
  <si>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</si>
  <si>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</si>
  <si>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</si>
  <si>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</si>
  <si>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</si>
  <si>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</si>
  <si>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</si>
  <si>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</si>
  <si>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</si>
  <si>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</si>
  <si>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</si>
  <si>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</si>
  <si>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</si>
  <si>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</si>
  <si>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</si>
  <si>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</si>
  <si>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</si>
  <si>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</si>
  <si>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</si>
  <si>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</si>
  <si>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</si>
  <si>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</si>
  <si>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</si>
  <si>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</si>
  <si>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</si>
  <si>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</si>
  <si>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</si>
  <si>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</si>
  <si>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</si>
  <si>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</si>
  <si>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</si>
  <si>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</si>
  <si>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</si>
  <si>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</si>
  <si>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</si>
  <si>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</si>
  <si>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</si>
  <si>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</si>
  <si>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</si>
  <si>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</si>
  <si>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</si>
  <si>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</si>
  <si>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</si>
  <si>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</si>
  <si>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</si>
  <si>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</si>
  <si>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</si>
  <si>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</si>
  <si>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</si>
  <si>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</si>
  <si>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</si>
  <si>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</si>
  <si>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</si>
  <si>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</si>
  <si>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</si>
  <si>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</si>
  <si>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</si>
  <si>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</si>
  <si>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</si>
  <si>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</si>
  <si>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</si>
  <si>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</si>
  <si>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</si>
  <si>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</si>
  <si>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</si>
  <si>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</si>
  <si>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</si>
  <si>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</si>
  <si>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</si>
  <si>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</si>
  <si>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</si>
  <si>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</si>
  <si>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</si>
  <si>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</si>
  <si>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</si>
  <si>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</si>
  <si>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</si>
  <si>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</si>
  <si>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</si>
  <si>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</si>
  <si>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</si>
  <si>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</si>
  <si>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</si>
  <si>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</si>
  <si>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</si>
  <si>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</si>
  <si>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</si>
  <si>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</si>
  <si>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</si>
  <si>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</si>
  <si>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</si>
  <si>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</si>
  <si>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</si>
  <si>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</si>
  <si>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</si>
  <si>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</si>
  <si>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</si>
  <si>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</si>
  <si>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</si>
  <si>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</si>
  <si>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</si>
  <si>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</si>
  <si>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</si>
  <si>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</si>
  <si>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</si>
  <si>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</si>
  <si>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</si>
  <si>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</si>
  <si>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</si>
  <si>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</si>
  <si>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</si>
  <si>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</si>
  <si>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</si>
  <si>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</si>
  <si>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</si>
  <si>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</si>
  <si>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</si>
  <si>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</si>
  <si>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</si>
  <si>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</si>
  <si>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</si>
  <si>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</si>
  <si>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</si>
  <si>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</si>
  <si>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</si>
  <si>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</si>
  <si>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</si>
  <si>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</si>
  <si>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</si>
  <si>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</si>
  <si>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</si>
  <si>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</si>
  <si>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IBUIV vs. PLAC_NORX</t>
  </si>
  <si>
    <t>INDOIV vs. INDOTHERS</t>
  </si>
  <si>
    <t>INDOIV vs. PARAPO</t>
  </si>
  <si>
    <t>IBUPO vs. PLAC_NORX</t>
  </si>
  <si>
    <t>list(NS=47, NT=10)</t>
  </si>
  <si>
    <t>IBUPO vs. PARAPO</t>
  </si>
  <si>
    <t>IBUIV vs. IBUPO</t>
  </si>
  <si>
    <t>INDOIV vs. INDOIVCONT</t>
  </si>
  <si>
    <t>INDOIV vs. PLAC_NORX</t>
  </si>
  <si>
    <t>IBUIV vs. INDOIVCONT</t>
  </si>
  <si>
    <t>IBUIV vs. IBUIVHIGHDOSE</t>
  </si>
  <si>
    <t>IBUPO vs. INDOTHERS</t>
  </si>
  <si>
    <t>INDOIV vs. IBUIV</t>
  </si>
  <si>
    <t>IBUIV vs. IBUIVCONT</t>
  </si>
  <si>
    <t>IBUPO vs. IBUPOHIGHDOSE</t>
  </si>
  <si>
    <t>INDOTHERS vs. PLAC_NORX</t>
  </si>
  <si>
    <t>display(log)</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</si>
  <si>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</si>
  <si>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</si>
  <si>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</si>
  <si>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</si>
  <si>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</si>
  <si>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</si>
  <si>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</si>
  <si>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</si>
  <si>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</si>
  <si>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</si>
  <si>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</si>
  <si>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</si>
  <si>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</si>
  <si>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</si>
  <si>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</si>
  <si>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</si>
  <si>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</si>
  <si>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</si>
  <si>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</si>
  <si>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</si>
  <si>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</si>
  <si>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</si>
  <si>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</si>
  <si>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</si>
  <si>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</si>
  <si>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</si>
  <si>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</si>
  <si>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</si>
  <si>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</si>
  <si>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</si>
  <si>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</si>
  <si>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</si>
  <si>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</si>
  <si>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</si>
  <si>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</si>
  <si>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</si>
  <si>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</si>
  <si>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</si>
  <si>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</si>
  <si>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</si>
  <si>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</si>
  <si>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</si>
  <si>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</si>
  <si>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</si>
  <si>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</si>
  <si>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</si>
  <si>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</si>
  <si>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</si>
  <si>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</si>
  <si>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</si>
  <si>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</si>
  <si>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</si>
  <si>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</si>
  <si>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</si>
  <si>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</si>
  <si>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</si>
  <si>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</si>
  <si>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</si>
  <si>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</si>
  <si>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</si>
  <si>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</si>
  <si>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</si>
  <si>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</si>
  <si>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</si>
  <si>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</si>
  <si>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</si>
  <si>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</si>
  <si>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</si>
  <si>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</si>
  <si>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</si>
  <si>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</si>
  <si>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</si>
  <si>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</si>
  <si>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</si>
  <si>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</si>
  <si>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</si>
  <si>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</si>
  <si>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</si>
  <si>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</si>
  <si>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</si>
  <si>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</si>
  <si>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</si>
  <si>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</si>
  <si>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</si>
  <si>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</si>
  <si>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</si>
  <si>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</si>
  <si>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</si>
  <si>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</si>
  <si>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</si>
  <si>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</si>
  <si>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</si>
  <si>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</si>
  <si>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</si>
  <si>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</si>
  <si>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</si>
  <si>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</si>
  <si>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</si>
  <si>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</si>
  <si>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</si>
  <si>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</si>
  <si>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</si>
  <si>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</si>
  <si>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</si>
  <si>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</si>
  <si>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</si>
  <si>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</si>
  <si>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</si>
  <si>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</si>
  <si>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</si>
  <si>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</si>
  <si>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</si>
  <si>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</si>
  <si>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</si>
  <si>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</si>
  <si>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</si>
  <si>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</si>
  <si>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</si>
  <si>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</si>
  <si>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</si>
  <si>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</si>
  <si>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</si>
  <si>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</si>
  <si>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</si>
  <si>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</si>
  <si>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</si>
  <si>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</si>
  <si>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</si>
  <si>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</si>
  <si>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</si>
  <si>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</si>
  <si>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</si>
  <si>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</si>
  <si>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</si>
  <si>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</si>
  <si>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</si>
  <si>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</si>
  <si>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</si>
  <si>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</si>
  <si>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</si>
  <si>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</si>
  <si>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</si>
  <si>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</si>
  <si>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</si>
  <si>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</si>
  <si>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</si>
  <si>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</si>
  <si>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</si>
  <si>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</si>
  <si>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</si>
  <si>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</si>
  <si>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</si>
  <si>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</si>
  <si>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</si>
  <si>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</si>
  <si>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</si>
  <si>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</si>
  <si>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</si>
  <si>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</si>
  <si>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</si>
  <si>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</si>
  <si>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</si>
  <si>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</si>
  <si>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</si>
  <si>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</si>
  <si>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</si>
  <si>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</si>
  <si>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</si>
  <si>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</si>
  <si>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</si>
  <si>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</si>
  <si>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</si>
  <si>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</si>
  <si>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</si>
  <si>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</si>
  <si>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</si>
  <si>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</si>
  <si>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</si>
  <si>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</si>
  <si>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</si>
  <si>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</si>
  <si>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</si>
  <si>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</si>
  <si>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</si>
  <si>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</si>
  <si>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</si>
  <si>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</si>
  <si>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</si>
  <si>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</si>
  <si>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</si>
  <si>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</si>
  <si>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</si>
  <si>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</si>
  <si>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</si>
  <si>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</si>
  <si>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</si>
  <si>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</si>
  <si>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</si>
  <si>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</si>
  <si>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</si>
  <si>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</si>
  <si>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</si>
  <si>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</si>
  <si>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</si>
  <si>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</si>
  <si>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</si>
  <si>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</si>
  <si>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</si>
  <si>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</si>
  <si>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</si>
  <si>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</si>
  <si>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</si>
  <si>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</si>
  <si>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</si>
  <si>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</si>
  <si>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</si>
  <si>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</si>
  <si>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</si>
  <si>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</si>
  <si>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</si>
  <si>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</si>
  <si>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</si>
  <si>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</si>
  <si>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</si>
  <si>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</si>
  <si>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</si>
  <si>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</si>
  <si>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</si>
  <si>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</si>
  <si>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</si>
  <si>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</si>
  <si>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</si>
  <si>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</si>
  <si>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</si>
  <si>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</si>
  <si>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</si>
  <si>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</si>
  <si>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</si>
  <si>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</si>
  <si>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</si>
  <si>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</si>
  <si>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</si>
  <si>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</si>
  <si>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</si>
  <si>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</si>
  <si>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</si>
  <si>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</si>
  <si>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</si>
  <si>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</si>
  <si>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</si>
  <si>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</si>
  <si>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</si>
  <si>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</si>
  <si>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</si>
  <si>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</si>
  <si>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</si>
  <si>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</si>
  <si>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</si>
  <si>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</si>
  <si>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</si>
  <si>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</si>
  <si>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</si>
  <si>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</si>
  <si>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</si>
  <si>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</si>
  <si>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</si>
  <si>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</si>
  <si>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</si>
  <si>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</si>
  <si>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</si>
  <si>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</si>
  <si>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</si>
  <si>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</si>
  <si>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</si>
  <si>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</si>
  <si>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</si>
  <si>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</si>
  <si>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</si>
  <si>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</si>
  <si>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</si>
  <si>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</si>
  <si>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</si>
  <si>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</si>
  <si>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</si>
  <si>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</si>
  <si>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</si>
  <si>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</si>
  <si>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</si>
  <si>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</si>
  <si>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</si>
  <si>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</si>
  <si>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</si>
  <si>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</si>
  <si>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</si>
  <si>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</si>
  <si>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</si>
  <si>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</si>
  <si>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</si>
  <si>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</si>
  <si>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</si>
  <si>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</si>
  <si>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</si>
  <si>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</si>
  <si>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</si>
  <si>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</si>
  <si>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</si>
  <si>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</si>
  <si>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</si>
  <si>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</si>
  <si>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</si>
  <si>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</si>
  <si>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</si>
  <si>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</si>
  <si>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</si>
  <si>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</si>
  <si>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</si>
  <si>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</si>
  <si>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</si>
  <si>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</si>
  <si>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</si>
  <si>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</si>
  <si>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</si>
  <si>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</si>
  <si>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</si>
  <si>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</si>
  <si>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</si>
  <si>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</si>
  <si>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</si>
  <si>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</si>
  <si>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</si>
  <si>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</si>
  <si>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</si>
  <si>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</si>
  <si>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</si>
  <si>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</si>
  <si>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</si>
  <si>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</si>
  <si>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</si>
  <si>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</si>
  <si>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</si>
  <si>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</si>
  <si>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</si>
  <si>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</si>
  <si>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</si>
  <si>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</si>
  <si>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</si>
  <si>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</si>
  <si>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INDOIVCONT</t>
  </si>
  <si>
    <t>IBUPOHIGHDOSE versus PLAC_NORX</t>
  </si>
  <si>
    <t>IBUIVHIGHDOSE versus INDOIVCONT</t>
  </si>
  <si>
    <t>IBUIVHIGHDOSE versus PLAC_NORX</t>
  </si>
  <si>
    <t>PARAPO versus INDOTHERS</t>
  </si>
  <si>
    <t>PARAPO versus INDOIVCONT</t>
  </si>
  <si>
    <t>PARAPO versus IBUIVCONT</t>
  </si>
  <si>
    <t>PARAPO versus PLAC_NORX</t>
  </si>
  <si>
    <t>IBUPO versus INDOTHERS</t>
  </si>
  <si>
    <t>IBUPO versus INDOIVCONT</t>
  </si>
  <si>
    <t>IBUPO versus IBUIVCONT</t>
  </si>
  <si>
    <t>IBUPO versus PLAC_NORX</t>
  </si>
  <si>
    <t>INDOIV versus INDOIVCONT</t>
  </si>
  <si>
    <t>INDOIV versus PLAC_NORX</t>
  </si>
  <si>
    <t>INDOTHERS versus PLAC_NORX</t>
  </si>
  <si>
    <t>INDOIVCONT versus PLAC_NORX</t>
  </si>
  <si>
    <t>IBUIV versus IBUIVCONT</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</si>
  <si>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</si>
  <si>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</si>
  <si>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</si>
  <si>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</si>
  <si>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</si>
  <si>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</si>
  <si>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</si>
  <si>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</si>
  <si>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</si>
  <si>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</si>
  <si>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</si>
  <si>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</si>
  <si>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list(mu=c(1,1,0,1,0.5,0.5,0.5,0.5,2,1.5,1.5,0.5,1,1.5,1,1,0,2,1,1,0.5,0.5,0.5,0.5,1,0,0.5,0.5,1.5,2,1.5,1.5,0.5,1,1.5,0,0.5,0.5,0.5,1,0,0.5,1.5,1,1.5,0.5,1.5), sd=2, d= structure(.Data = c(NA,0.5,0.5,1.5,1.5,1,0.5,0.5,1,1, NA,NA,1,0.5,1.5,0.5,0,0.5,2,2, NA,NA,NA,2,1.5,0.5,2,1.5,1,1, NA,NA,NA,NA,1,2,0.5,1,1.5,1.5, NA,NA,NA,NA,NA,0,0.5,0.5,1,0, NA,NA,NA,NA,NA,NA,1,0.5,1.5,0.5, NA,NA,NA,NA,NA,NA,NA,1,0,1, NA,NA,NA,NA,NA,NA,NA,NA,0,0, NA,NA,NA,NA,NA,NA,NA,NA,NA,0.5), .Dim =c(9, 10)))</t>
  </si>
  <si>
    <t>list(mu=c(0,0.5,1.5,0,2,0.5,1,1,2,1.5,1,2,1.5,1.5,0,0,0.5,1,1,1,0.5,1,0,1,1,0,1.5,0,1,1,0.5,1,2,1,0,1.5,0.5,1,2,0.5,1.5,2,1,1,1.5,0,1), sd=1.5, d= structure(.Data = c(NA,1.5,2,2,1.5,0,0.5,1,2,1.5, NA,NA,0,1,0.5,2,1.5,1.5,0.5,2, NA,NA,NA,1,1.5,1.5,1.5,1,0.5,2, NA,NA,NA,NA,2,1,0,1.5,2,0.5, NA,NA,NA,NA,NA,2,1,0.5,1,0.5, NA,NA,NA,NA,NA,NA,0.5,2,1.5,1, NA,NA,NA,NA,NA,NA,NA,0,0.5,1, NA,NA,NA,NA,NA,NA,NA,NA,2,1.5, NA,NA,NA,NA,NA,NA,NA,NA,NA,1.5), .Dim =c(9, 10)))</t>
  </si>
  <si>
    <t>list(mu=c(0.5,2,1,1.5,0.5,0.5,1.5,1,0.5,1,1,0.5,0,1.5,1,1,0.5,0.5,0,2,1,1,1.5,2,1,0.5,0.5,1.5,1.5,0,0.5,1,0.5,1,0.5,2,2,0.5,1,2,1.5,1,0.5,1,0,0,2), sd=1.5, d= structure(.Data = c(NA,0,1.5,0.5,2,2,1,2,1.5,1, NA,NA,0,0.5,1,0.5,1.5,1.5,1,1, NA,NA,NA,1,2,1.5,1.5,1.5,0.5,1.5, NA,NA,NA,NA,1,1.5,2,1.5,0,0.5, NA,NA,NA,NA,NA,2,0.5,0.5,1.5,1.5, NA,NA,NA,NA,NA,NA,1.5,1,1,1.5, NA,NA,NA,NA,NA,NA,NA,1.5,0.5,1.5, NA,NA,NA,NA,NA,NA,NA,NA,0.5,0, NA,NA,NA,NA,NA,NA,NA,NA,NA,0.5), .Dim =c(9, 10)))</t>
  </si>
  <si>
    <t>check(C:/WinBUGS data/Random Effect Model (Vague).txt)</t>
  </si>
  <si>
    <t>inits(1,C:/WinBUGS data/Random Effect Inits (Vague)1.txt)</t>
  </si>
  <si>
    <t>inits(2,C:/WinBUGS data/Random Effect Inits (Vague)2.txt)</t>
  </si>
  <si>
    <t>inits(3,C:/WinBUGS data/Random Effect Inits (Vague)3.txt)</t>
  </si>
  <si>
    <t>update(10000)</t>
  </si>
  <si>
    <t>IBUPO versus PARAPO</t>
  </si>
  <si>
    <t>IBUPO versus IBUIVHIGHDOSE</t>
  </si>
  <si>
    <t>IBUPO versus IBUPOHIGHDOSE</t>
  </si>
  <si>
    <t>PARAPO versus IBUIVHIGHDOSE</t>
  </si>
  <si>
    <t>PARAPO versus IBUPOHIGHDOSE</t>
  </si>
  <si>
    <t>IBUIV versus IBUIVHIGHDOSE</t>
  </si>
  <si>
    <t>IBUIV versus INDOTHERS</t>
  </si>
  <si>
    <t>IBUIV versus IBUPOHIGHDOSE</t>
  </si>
  <si>
    <t>IBUIV versus INDOIVCONT</t>
  </si>
  <si>
    <t>INDOIV versus IBUIVHIGHDOSE</t>
  </si>
  <si>
    <t>INDOIV versus IBUPOHIGHDOSE</t>
  </si>
  <si>
    <t>IBUIVCONT versus INDOIVCONT</t>
  </si>
  <si>
    <t>IBUIVHIGHDOSE versus IBUPOHIGHDOSE</t>
  </si>
  <si>
    <t>OR &lt;1 Means the Treatment in Top Left is Better</t>
  </si>
  <si>
    <t>0.97
(0.43 – 2.04)</t>
  </si>
  <si>
    <t>0.91
(0.52 – 1.83)</t>
  </si>
  <si>
    <t>0.84
(0.45 – 1.53)</t>
  </si>
  <si>
    <t>0.95
(0.02 – 24.84)</t>
  </si>
  <si>
    <t>0.77
(0.16 – 3.31)</t>
  </si>
  <si>
    <t>0.72
(0.37 – 1.45)</t>
  </si>
  <si>
    <t>0.38
(0.01 – 5.33)</t>
  </si>
  <si>
    <t>0.44
(0.06 – 2.08)</t>
  </si>
  <si>
    <t>0.55
(0.30 – 1.03)</t>
  </si>
  <si>
    <t>0.95
(0.38 – 2.52)</t>
  </si>
  <si>
    <t>0.87
(0.35 – 2.10)</t>
  </si>
  <si>
    <t>0.91
(0.02 – 26.32)</t>
  </si>
  <si>
    <t>0.81
(0.15 – 3.98)</t>
  </si>
  <si>
    <t>0.75
(0.32 – 1.95)</t>
  </si>
  <si>
    <t>0.40
(0.01 – 6.88)</t>
  </si>
  <si>
    <t>0.45
(0.06 – 2.59)</t>
  </si>
  <si>
    <t>0.57
(0.24 – 1.40)</t>
  </si>
  <si>
    <t>0.91
(0.56 – 1.44)</t>
  </si>
  <si>
    <t>1.02
(0.03 – 25.35)</t>
  </si>
  <si>
    <t>0.84
(0.20 – 3.13)</t>
  </si>
  <si>
    <t>0.79
(0.44 – 1.42)</t>
  </si>
  <si>
    <t>0.42
(0.01 – 6.48)</t>
  </si>
  <si>
    <t>0.48
(0.07 – 2.05)</t>
  </si>
  <si>
    <t>0.60
(0.34 – 1.05)</t>
  </si>
  <si>
    <t>1.11
(0.03 – 29.26)</t>
  </si>
  <si>
    <t>0.93
(0.21 – 3.64)</t>
  </si>
  <si>
    <t>0.87
(0.59 – 1.32)</t>
  </si>
  <si>
    <t>0.46
(0.01 – 6.83)</t>
  </si>
  <si>
    <t>0.53
(0.08 – 2.36)</t>
  </si>
  <si>
    <t>0.65
(0.42 – 1.09)</t>
  </si>
  <si>
    <t>0.82
(0.02 – 33.21)</t>
  </si>
  <si>
    <t>0.79
(0.03 – 28.59)</t>
  </si>
  <si>
    <t>0.40
(0.00 – 43.72)</t>
  </si>
  <si>
    <t>0.44
(0.01 – 29.35)</t>
  </si>
  <si>
    <t>0.61
(0.02 – 22.92)</t>
  </si>
  <si>
    <t>0.94
(0.23 – 4.53)</t>
  </si>
  <si>
    <t>0.49
(0.01 – 11.00)</t>
  </si>
  <si>
    <t>0.60
(0.06 – 4.01)</t>
  </si>
  <si>
    <t>0.71
(0.18 – 3.38)</t>
  </si>
  <si>
    <t>0.52
(0.02 – 8.27)</t>
  </si>
  <si>
    <t>0.60
(0.09 – 2.75)</t>
  </si>
  <si>
    <t>0.75
(0.46 – 1.29)</t>
  </si>
  <si>
    <t>1.22
(0.04 – 53.71)</t>
  </si>
  <si>
    <t>1.41
(0.09 – 50.18)</t>
  </si>
  <si>
    <t>1.27
(0.27 – 8.39)</t>
  </si>
  <si>
    <t>list(NS=31, NT=10)</t>
  </si>
  <si>
    <t>list(d=c(NA,2,0,1,0.5,1,1,0.5,0,1.5), sd=2, mu=c(1,1,1,0,1,1,0.5,1.5,0,0.5,1,0.5,1.5,1,1,0.5,1,0,2,1.5,2,1.5,1.5,0.5,0.5,0.5,1.5,1.5,1.5,1,2))</t>
  </si>
  <si>
    <t>list(d=c(NA,0.5,2,2,1.5,1.5,1,1,2,1), sd=2, mu=c(1.5,0.5,0.5,0.5,0.5,0,1.5,0.5,0.5,2,1.5,0,1.5,1,0.5,1,1,1,2,1,0.5,0,0,1,0.5,1,1,1,1,1.5,0.5))</t>
  </si>
  <si>
    <t>list(d=c(NA,2,1.5,1,0,0.5,1,0.5,0,2), sd=1.5, mu=c(1.5,0.5,1,1.5,2,1,2,0,1,1.5,0.5,1.5,0.5,1.5,0.5,0.5,1,0.5,2,1.5,0.5,0.5,0,1,1.5,1,1.5,2,0.5,1,1.5))</t>
  </si>
  <si>
    <t>list(d=c(NA,2,0,1.5,0.5,1.5,1,1.5,2,1.5), var=1.5, mu=c(0.5,1,1,1,0.5,1,0.5,1.5,1.5,1.5,1,1.5,2,0,1.5,1,1,0.5,1,1.5,1.5,1.5,0,1.5,0.5,0.5,1.5,1.5,0.5,0.5,1.5))</t>
  </si>
  <si>
    <t>list(d=c(NA,0.5,0.5,1,1,0,0,1,2,1), var=1, mu=c(1,1.5,0,1,2,1,0,2,1.5,1,2,0,0,0.5,0,0.5,1.5,0,1.5,1.5,1.5,0.5,0.5,0.5,2,1.5,1.5,1.5,0.5,0.5,0.5))</t>
  </si>
  <si>
    <t>list(d=c(NA,0.5,2,1,1.5,1,1,1,1,1.5), var=1, mu=c(1,0,0.5,1,1.5,1.5,0.5,0.5,0,0.5,2,1.5,2,1,0,1,1,1,1,1,1.5,1.5,2,0.5,0.5,1.5,0.5,2,1,1,0))</t>
  </si>
  <si>
    <t>list(d=c(NA,1.5,1,2,1,0,0.5,1.5,1.5,1), mu=c(0,1,0.5,0.5,1,0.5,1.5,1.5,0.5,1,1.5,0.5,1,0.5,1,1,0.5,0,1,1.5,2,1.5,0.5,1.5,0.5,1,0,0,0.5,0.5,0.5))</t>
  </si>
  <si>
    <t>list(d=c(NA,1.5,0.5,1.5,1,1.5,0,0.5,1,0.5), mu=c(2,0.5,1.5,0,1,0.5,1.5,1,2,1,1.5,1,0.5,2,1,0.5,0.5,1,1,0.5,0,1.5,1,1,0.5,1,1.5,0.5,1.5,0.5,1))</t>
  </si>
  <si>
    <t>list(d=c(NA,1.5,1,1,1.5,2,1,1,1.5,0.5), mu=c(0.5,1.5,0.5,1,0,0.5,2,1,0.5,1.5,1.5,1,1,1,0,1.5,1,1.5,0.5,0,1,1.5,1.5,1,1.5,1.5,0.5,2,0.5,0.5,1))</t>
  </si>
  <si>
    <t>save(C:/WinBUGS Results/Random Effect Results (Vague ) 7 11 2017 3 20 47 PM.txt)</t>
  </si>
  <si>
    <t>save(C:/WinBUGS Results/Random Effect Results (Informative) 7 11 2017 3 22 01 PM.txt)</t>
  </si>
  <si>
    <t>Random Effects (Vague) Rankogram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</si>
</sst>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140">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dLbls>
          <c:showLegendKey val="0"/>
          <c:showVal val="0"/>
          <c:showCatName val="0"/>
          <c:showSerName val="0"/>
          <c:showPercent val="0"/>
          <c:showBubbleSize val="0"/>
        </c:dLbls>
        <c:axId val="252703792"/>
        <c:axId val="252704184"/>
      </c:scatterChart>
      <c:valAx>
        <c:axId val="252703792"/>
        <c:scaling>
          <c:logBase val="10"/>
          <c:orientation val="minMax"/>
        </c:scaling>
        <c:delete val="0"/>
        <c:axPos val="b"/>
        <c:numFmt formatCode="0.0000" sourceLinked="1"/>
        <c:majorTickMark val="out"/>
        <c:minorTickMark val="out"/>
        <c:tickLblPos val="nextTo"/>
        <c:crossAx val="252704184"/>
        <c:crossesAt val="0"/>
        <c:crossBetween val="midCat"/>
      </c:valAx>
      <c:valAx>
        <c:axId val="252704184"/>
        <c:scaling>
          <c:orientation val="minMax"/>
          <c:max val="90"/>
          <c:min val="0"/>
        </c:scaling>
        <c:delete val="0"/>
        <c:axPos val="l"/>
        <c:numFmt formatCode="General" sourceLinked="1"/>
        <c:majorTickMark val="none"/>
        <c:minorTickMark val="none"/>
        <c:tickLblPos val="none"/>
        <c:crossAx val="252703792"/>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1"/>
    <c:plotArea>
      <c:layout>
        <c:manualLayout>
          <c:layoutTarget val="inner"/>
          <c:xMode val="edge"/>
          <c:yMode val="edge"/>
          <c:x val="0.10873537086058752"/>
          <c:y val="9.2707258806466714E-2"/>
          <c:w val="0.59977788845437863"/>
          <c:h val="0.74626563106439092"/>
        </c:manualLayout>
      </c:layout>
      <c:lineChart>
        <c:grouping val="standard"/>
        <c:varyColors val="0"/>
        <c:ser>
          <c:idx val="0"/>
          <c:order val="0"/>
          <c:tx>
            <c:strRef>
              <c:f>'Rankogram Data'!$M$4</c:f>
              <c:strCache>
                <c:ptCount val="1"/>
                <c:pt idx="0">
                  <c:v>INDOIV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1.46E-2</c:v>
                </c:pt>
                <c:pt idx="1">
                  <c:v>6.9500000000000006E-2</c:v>
                </c:pt>
                <c:pt idx="2">
                  <c:v>0.1076</c:v>
                </c:pt>
                <c:pt idx="3">
                  <c:v>0.16980000000000001</c:v>
                </c:pt>
                <c:pt idx="4">
                  <c:v>0.2155</c:v>
                </c:pt>
                <c:pt idx="5">
                  <c:v>0.19980000000000001</c:v>
                </c:pt>
                <c:pt idx="6">
                  <c:v>0.14069999999999999</c:v>
                </c:pt>
                <c:pt idx="7">
                  <c:v>7.0830000000000004E-2</c:v>
                </c:pt>
                <c:pt idx="8">
                  <c:v>1.0699999999999999E-2</c:v>
                </c:pt>
                <c:pt idx="9">
                  <c:v>1E-3</c:v>
                </c:pt>
              </c:numCache>
            </c:numRef>
          </c:val>
          <c:smooth val="0"/>
        </c:ser>
        <c:ser>
          <c:idx val="1"/>
          <c:order val="1"/>
          <c:tx>
            <c:strRef>
              <c:f>'Rankogram Data'!$N$4</c:f>
              <c:strCache>
                <c:ptCount val="1"/>
                <c:pt idx="0">
                  <c:v>IBUIV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2.427E-2</c:v>
                </c:pt>
                <c:pt idx="1">
                  <c:v>9.8030000000000006E-2</c:v>
                </c:pt>
                <c:pt idx="2">
                  <c:v>0.18310000000000001</c:v>
                </c:pt>
                <c:pt idx="3">
                  <c:v>0.21340000000000001</c:v>
                </c:pt>
                <c:pt idx="4">
                  <c:v>0.21360000000000001</c:v>
                </c:pt>
                <c:pt idx="5">
                  <c:v>0.14399999999999999</c:v>
                </c:pt>
                <c:pt idx="6">
                  <c:v>9.2899999999999996E-2</c:v>
                </c:pt>
                <c:pt idx="7">
                  <c:v>2.6169999999999999E-2</c:v>
                </c:pt>
                <c:pt idx="8">
                  <c:v>3.7330000000000002E-3</c:v>
                </c:pt>
                <c:pt idx="9">
                  <c:v>8.0000000000000004E-4</c:v>
                </c:pt>
              </c:numCache>
            </c:numRef>
          </c:val>
          <c:smooth val="0"/>
        </c:ser>
        <c:ser>
          <c:idx val="2"/>
          <c:order val="2"/>
          <c:tx>
            <c:strRef>
              <c:f>'Rankogram Data'!$O$4</c:f>
              <c:strCache>
                <c:ptCount val="1"/>
                <c:pt idx="0">
                  <c:v>IBUPO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9.0029999999999999E-2</c:v>
                </c:pt>
                <c:pt idx="1">
                  <c:v>0.22689999999999999</c:v>
                </c:pt>
                <c:pt idx="2">
                  <c:v>0.2402</c:v>
                </c:pt>
                <c:pt idx="3">
                  <c:v>0.15690000000000001</c:v>
                </c:pt>
                <c:pt idx="4">
                  <c:v>0.12230000000000001</c:v>
                </c:pt>
                <c:pt idx="5">
                  <c:v>9.1700000000000004E-2</c:v>
                </c:pt>
                <c:pt idx="6">
                  <c:v>4.9169999999999998E-2</c:v>
                </c:pt>
                <c:pt idx="7">
                  <c:v>1.627E-2</c:v>
                </c:pt>
                <c:pt idx="8">
                  <c:v>6.0330000000000002E-3</c:v>
                </c:pt>
                <c:pt idx="9">
                  <c:v>5.9999999999999995E-4</c:v>
                </c:pt>
              </c:numCache>
            </c:numRef>
          </c:val>
          <c:smooth val="0"/>
        </c:ser>
        <c:ser>
          <c:idx val="3"/>
          <c:order val="3"/>
          <c:tx>
            <c:strRef>
              <c:f>'Rankogram Data'!$P$4</c:f>
              <c:strCache>
                <c:ptCount val="1"/>
                <c:pt idx="0">
                  <c:v>PARAPO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0.1216</c:v>
                </c:pt>
                <c:pt idx="1">
                  <c:v>0.2051</c:v>
                </c:pt>
                <c:pt idx="2">
                  <c:v>0.16159999999999999</c:v>
                </c:pt>
                <c:pt idx="3">
                  <c:v>0.1328</c:v>
                </c:pt>
                <c:pt idx="4">
                  <c:v>0.1099</c:v>
                </c:pt>
                <c:pt idx="5">
                  <c:v>0.1041</c:v>
                </c:pt>
                <c:pt idx="6">
                  <c:v>8.2100000000000006E-2</c:v>
                </c:pt>
                <c:pt idx="7">
                  <c:v>4.9500000000000002E-2</c:v>
                </c:pt>
                <c:pt idx="8">
                  <c:v>2.7300000000000001E-2</c:v>
                </c:pt>
                <c:pt idx="9">
                  <c:v>5.8999999999999999E-3</c:v>
                </c:pt>
              </c:numCache>
            </c:numRef>
          </c:val>
          <c:smooth val="0"/>
        </c:ser>
        <c:ser>
          <c:idx val="4"/>
          <c:order val="4"/>
          <c:tx>
            <c:strRef>
              <c:f>'Rankogram Data'!$Q$4</c:f>
              <c:strCache>
                <c:ptCount val="1"/>
                <c:pt idx="0">
                  <c:v>IBUIVHIGHDOSE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0.1087</c:v>
                </c:pt>
                <c:pt idx="1">
                  <c:v>0.1196</c:v>
                </c:pt>
                <c:pt idx="2">
                  <c:v>6.9070000000000006E-2</c:v>
                </c:pt>
                <c:pt idx="3">
                  <c:v>6.3630000000000006E-2</c:v>
                </c:pt>
                <c:pt idx="4">
                  <c:v>6.3729999999999995E-2</c:v>
                </c:pt>
                <c:pt idx="5">
                  <c:v>8.1030000000000005E-2</c:v>
                </c:pt>
                <c:pt idx="6">
                  <c:v>0.10979999999999999</c:v>
                </c:pt>
                <c:pt idx="7">
                  <c:v>0.14699999999999999</c:v>
                </c:pt>
                <c:pt idx="8">
                  <c:v>0.15329999999999999</c:v>
                </c:pt>
                <c:pt idx="9">
                  <c:v>8.4169999999999995E-2</c:v>
                </c:pt>
              </c:numCache>
            </c:numRef>
          </c:val>
          <c:smooth val="0"/>
        </c:ser>
        <c:ser>
          <c:idx val="5"/>
          <c:order val="5"/>
          <c:tx>
            <c:strRef>
              <c:f>'Rankogram Data'!$R$4</c:f>
              <c:strCache>
                <c:ptCount val="1"/>
                <c:pt idx="0">
                  <c:v>IBUPOHIGHDOSE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0.16900000000000001</c:v>
                </c:pt>
                <c:pt idx="1">
                  <c:v>5.9929999999999997E-2</c:v>
                </c:pt>
                <c:pt idx="2">
                  <c:v>3.8899999999999997E-2</c:v>
                </c:pt>
                <c:pt idx="3">
                  <c:v>3.4299999999999997E-2</c:v>
                </c:pt>
                <c:pt idx="4">
                  <c:v>3.2530000000000003E-2</c:v>
                </c:pt>
                <c:pt idx="5">
                  <c:v>4.6269999999999999E-2</c:v>
                </c:pt>
                <c:pt idx="6">
                  <c:v>5.5230000000000001E-2</c:v>
                </c:pt>
                <c:pt idx="7">
                  <c:v>8.9200000000000002E-2</c:v>
                </c:pt>
                <c:pt idx="8">
                  <c:v>0.1338</c:v>
                </c:pt>
                <c:pt idx="9">
                  <c:v>0.34079999999999999</c:v>
                </c:pt>
              </c:numCache>
            </c:numRef>
          </c:val>
          <c:smooth val="0"/>
        </c:ser>
        <c:ser>
          <c:idx val="6"/>
          <c:order val="6"/>
          <c:tx>
            <c:strRef>
              <c:f>'Rankogram Data'!$S$4</c:f>
              <c:strCache>
                <c:ptCount val="1"/>
                <c:pt idx="0">
                  <c:v>IBUIVCONT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0.3518</c:v>
                </c:pt>
                <c:pt idx="1">
                  <c:v>6.9830000000000003E-2</c:v>
                </c:pt>
                <c:pt idx="2">
                  <c:v>4.5370000000000001E-2</c:v>
                </c:pt>
                <c:pt idx="3">
                  <c:v>3.6299999999999999E-2</c:v>
                </c:pt>
                <c:pt idx="4">
                  <c:v>2.997E-2</c:v>
                </c:pt>
                <c:pt idx="5">
                  <c:v>3.3869999999999997E-2</c:v>
                </c:pt>
                <c:pt idx="6">
                  <c:v>4.9500000000000002E-2</c:v>
                </c:pt>
                <c:pt idx="7">
                  <c:v>6.5000000000000002E-2</c:v>
                </c:pt>
                <c:pt idx="8">
                  <c:v>0.1067</c:v>
                </c:pt>
                <c:pt idx="9">
                  <c:v>0.2117</c:v>
                </c:pt>
              </c:numCache>
            </c:numRef>
          </c:val>
          <c:smooth val="0"/>
        </c:ser>
        <c:ser>
          <c:idx val="7"/>
          <c:order val="7"/>
          <c:tx>
            <c:strRef>
              <c:f>'Rankogram Data'!$T$4</c:f>
              <c:strCache>
                <c:ptCount val="1"/>
                <c:pt idx="0">
                  <c:v>INDOIVCONT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3.703E-2</c:v>
                </c:pt>
                <c:pt idx="1">
                  <c:v>3.4070000000000003E-2</c:v>
                </c:pt>
                <c:pt idx="2">
                  <c:v>2.9569999999999999E-2</c:v>
                </c:pt>
                <c:pt idx="3">
                  <c:v>4.2169999999999999E-2</c:v>
                </c:pt>
                <c:pt idx="4">
                  <c:v>3.9570000000000001E-2</c:v>
                </c:pt>
                <c:pt idx="5">
                  <c:v>4.7699999999999999E-2</c:v>
                </c:pt>
                <c:pt idx="6">
                  <c:v>6.7830000000000001E-2</c:v>
                </c:pt>
                <c:pt idx="7">
                  <c:v>0.1452</c:v>
                </c:pt>
                <c:pt idx="8">
                  <c:v>0.2772</c:v>
                </c:pt>
                <c:pt idx="9">
                  <c:v>0.2797</c:v>
                </c:pt>
              </c:numCache>
            </c:numRef>
          </c:val>
          <c:smooth val="0"/>
        </c:ser>
        <c:ser>
          <c:idx val="8"/>
          <c:order val="8"/>
          <c:tx>
            <c:strRef>
              <c:f>'Rankogram Data'!$U$4</c:f>
              <c:strCache>
                <c:ptCount val="1"/>
                <c:pt idx="0">
                  <c:v>INDOTHERS</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8.2830000000000001E-2</c:v>
                </c:pt>
                <c:pt idx="1">
                  <c:v>0.1163</c:v>
                </c:pt>
                <c:pt idx="2">
                  <c:v>0.122</c:v>
                </c:pt>
                <c:pt idx="3">
                  <c:v>0.13819999999999999</c:v>
                </c:pt>
                <c:pt idx="4">
                  <c:v>0.1424</c:v>
                </c:pt>
                <c:pt idx="5">
                  <c:v>0.16</c:v>
                </c:pt>
                <c:pt idx="6">
                  <c:v>0.12540000000000001</c:v>
                </c:pt>
                <c:pt idx="7">
                  <c:v>7.9670000000000005E-2</c:v>
                </c:pt>
                <c:pt idx="8">
                  <c:v>2.7699999999999999E-2</c:v>
                </c:pt>
                <c:pt idx="9">
                  <c:v>5.5329999999999997E-3</c:v>
                </c:pt>
              </c:numCache>
            </c:numRef>
          </c:val>
          <c:smooth val="0"/>
        </c:ser>
        <c:ser>
          <c:idx val="9"/>
          <c:order val="9"/>
          <c:tx>
            <c:strRef>
              <c:f>'Rankogram Data'!$V$4</c:f>
              <c:strCache>
                <c:ptCount val="1"/>
                <c:pt idx="0">
                  <c:v>PLAC_NORX</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1E-4</c:v>
                </c:pt>
                <c:pt idx="1">
                  <c:v>6.9999999999999999E-4</c:v>
                </c:pt>
                <c:pt idx="2">
                  <c:v>2.7000000000000001E-3</c:v>
                </c:pt>
                <c:pt idx="3">
                  <c:v>1.2500000000000001E-2</c:v>
                </c:pt>
                <c:pt idx="4">
                  <c:v>3.0530000000000002E-2</c:v>
                </c:pt>
                <c:pt idx="5">
                  <c:v>9.1469999999999996E-2</c:v>
                </c:pt>
                <c:pt idx="6">
                  <c:v>0.22739999999999999</c:v>
                </c:pt>
                <c:pt idx="7">
                  <c:v>0.31119999999999998</c:v>
                </c:pt>
                <c:pt idx="8">
                  <c:v>0.25359999999999999</c:v>
                </c:pt>
                <c:pt idx="9">
                  <c:v>6.9800000000000001E-2</c:v>
                </c:pt>
              </c:numCache>
            </c:numRef>
          </c:val>
          <c:smooth val="0"/>
        </c:ser>
        <c:ser>
          <c:idx val="10"/>
          <c:order val="10"/>
          <c:tx>
            <c:strRef>
              <c:f>'Rankogram Data'!$W$4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smooth val="0"/>
        <c:axId val="632619664"/>
        <c:axId val="632620056"/>
      </c:lineChart>
      <c:catAx>
        <c:axId val="632619664"/>
        <c:scaling>
          <c:orientation val="minMax"/>
        </c:scaling>
        <c:delete val="0"/>
        <c:axPos val="b"/>
        <c:title>
          <c:tx>
            <c:rich>
              <a:bodyPr/>
              <a:lstStyle/>
              <a:p>
                <a:pPr>
                  <a:defRPr sz="1100"/>
                </a:pPr>
                <a:r>
                  <a:rPr lang="en-US" sz="1100"/>
                  <a:t>Rank</a:t>
                </a:r>
              </a:p>
            </c:rich>
          </c:tx>
          <c:layout>
            <c:manualLayout>
              <c:xMode val="edge"/>
              <c:yMode val="edge"/>
              <c:x val="0.38751809869920828"/>
              <c:y val="0.88750082016866638"/>
            </c:manualLayout>
          </c:layout>
          <c:overlay val="0"/>
        </c:title>
        <c:numFmt formatCode="General" sourceLinked="1"/>
        <c:majorTickMark val="out"/>
        <c:minorTickMark val="none"/>
        <c:tickLblPos val="nextTo"/>
        <c:txPr>
          <a:bodyPr/>
          <a:lstStyle/>
          <a:p>
            <a:pPr>
              <a:defRPr b="1"/>
            </a:pPr>
            <a:endParaRPr lang="en-US"/>
          </a:p>
        </c:txPr>
        <c:crossAx val="632620056"/>
        <c:crosses val="autoZero"/>
        <c:auto val="1"/>
        <c:lblAlgn val="ctr"/>
        <c:lblOffset val="100"/>
        <c:noMultiLvlLbl val="0"/>
      </c:catAx>
      <c:valAx>
        <c:axId val="632620056"/>
        <c:scaling>
          <c:orientation val="minMax"/>
          <c:max val="1.05"/>
          <c:min val="0"/>
        </c:scaling>
        <c:delete val="0"/>
        <c:axPos val="l"/>
        <c:majorGridlines>
          <c:spPr>
            <a:ln>
              <a:solidFill>
                <a:sysClr val="windowText" lastClr="000000"/>
              </a:solidFill>
            </a:ln>
          </c:spPr>
        </c:majorGridlines>
        <c:title>
          <c:tx>
            <c:rich>
              <a:bodyPr rot="-5400000" vert="horz"/>
              <a:lstStyle/>
              <a:p>
                <a:pPr>
                  <a:defRPr sz="1200"/>
                </a:pPr>
                <a:r>
                  <a:rPr lang="en-US" sz="1200"/>
                  <a:t>Probability of Being Ranked</a:t>
                </a:r>
              </a:p>
            </c:rich>
          </c:tx>
          <c:overlay val="0"/>
        </c:title>
        <c:numFmt formatCode="General" sourceLinked="1"/>
        <c:majorTickMark val="out"/>
        <c:minorTickMark val="none"/>
        <c:tickLblPos val="nextTo"/>
        <c:txPr>
          <a:bodyPr/>
          <a:lstStyle/>
          <a:p>
            <a:pPr>
              <a:defRPr b="1"/>
            </a:pPr>
            <a:endParaRPr lang="en-US"/>
          </a:p>
        </c:txPr>
        <c:crossAx val="632619664"/>
        <c:crosses val="autoZero"/>
        <c:crossBetween val="between"/>
        <c:majorUnit val="0.1"/>
      </c:valAx>
      <c:spPr>
        <a:solidFill>
          <a:schemeClr val="bg1"/>
        </a:solidFill>
        <a:ln>
          <a:solidFill>
            <a:sysClr val="windowText" lastClr="000000"/>
          </a:solidFill>
        </a:ln>
        <a:effectLst>
          <a:outerShdw blurRad="50800" dist="38100" dir="8100000" algn="tr" rotWithShape="0">
            <a:prstClr val="black">
              <a:alpha val="40000"/>
            </a:prstClr>
          </a:outerShdw>
        </a:effectLst>
      </c:spPr>
    </c:plotArea>
    <c:legend>
      <c:legendPos val="r"/>
      <c:layout>
        <c:manualLayout>
          <c:xMode val="edge"/>
          <c:yMode val="edge"/>
          <c:x val="0.73255896859046454"/>
          <c:y val="9.0924255815095223E-2"/>
          <c:w val="0.15631542211069771"/>
          <c:h val="0.38931996618601472"/>
        </c:manualLayout>
      </c:layout>
      <c:overlay val="0"/>
      <c:spPr>
        <a:solidFill>
          <a:schemeClr val="bg1"/>
        </a:solidFill>
        <a:ln>
          <a:solidFill>
            <a:sysClr val="windowText" lastClr="000000"/>
          </a:solidFill>
        </a:ln>
        <a:effectLst>
          <a:outerShdw blurRad="50800" dist="38100" dir="8100000" algn="tr" rotWithShape="0">
            <a:prstClr val="black">
              <a:alpha val="40000"/>
            </a:prstClr>
          </a:outerShdw>
        </a:effectLst>
      </c:spPr>
      <c:txPr>
        <a:bodyPr/>
        <a:lstStyle/>
        <a:p>
          <a:pPr>
            <a:defRPr sz="1100"/>
          </a:pPr>
          <a:endParaRPr lang="en-US"/>
        </a:p>
      </c:txPr>
    </c:legend>
    <c:plotVisOnly val="1"/>
    <c:dispBlanksAs val="gap"/>
    <c:showDLblsOverMax val="0"/>
  </c:chart>
  <c:spPr>
    <a:solidFill>
      <a:schemeClr val="accent1">
        <a:lumMod val="20000"/>
        <a:lumOff val="80000"/>
      </a:schemeClr>
    </a:solidFill>
    <a:effectLst>
      <a:outerShdw blurRad="50800" dist="38100" dir="8100000" algn="tr" rotWithShape="0">
        <a:prstClr val="black">
          <a:alpha val="40000"/>
        </a:prstClr>
      </a:outerShdw>
    </a:effectLst>
  </c:spPr>
  <c:printSettings>
    <c:headerFooter/>
    <c:pageMargins b="0.75000000000000833" l="0.70000000000000062" r="0.70000000000000062" t="0.750000000000008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32620840"/>
        <c:axId val="645963808"/>
      </c:scatterChart>
      <c:valAx>
        <c:axId val="632620840"/>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45963808"/>
        <c:crosses val="autoZero"/>
        <c:crossBetween val="midCat"/>
        <c:majorUnit val="0.5"/>
        <c:minorUnit val="0.25"/>
      </c:valAx>
      <c:valAx>
        <c:axId val="645963808"/>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32620840"/>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numCache>
            </c:numRef>
          </c:xVal>
          <c:yVal>
            <c:numRef>
              <c:f>'Inconsistency Data'!$J$6:$J$105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45964592"/>
        <c:axId val="645964984"/>
      </c:scatterChart>
      <c:valAx>
        <c:axId val="64596459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45964984"/>
        <c:crosses val="autoZero"/>
        <c:crossBetween val="midCat"/>
        <c:majorUnit val="0.5"/>
        <c:minorUnit val="0.25"/>
      </c:valAx>
      <c:valAx>
        <c:axId val="64596498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4596459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zoomScale="120" zoomScaleNormal="120" workbookViewId="0">
      <selection activeCell="K9" sqref="K9"/>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0" t="s">
        <v>118</v>
      </c>
      <c r="G9" s="231"/>
      <c r="H9" s="232"/>
    </row>
    <row r="10" spans="2:16" ht="15.75" thickBot="1" x14ac:dyDescent="0.3">
      <c r="B10" s="20"/>
      <c r="C10" s="18" t="s">
        <v>36</v>
      </c>
      <c r="D10" s="174">
        <v>10000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C4" zoomScale="80" zoomScaleNormal="80" workbookViewId="0">
      <selection activeCell="H46" sqref="H46"/>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31</v>
      </c>
      <c r="D2" s="142" t="s">
        <v>14</v>
      </c>
      <c r="G2" s="60"/>
      <c r="H2" s="60"/>
    </row>
    <row r="3" spans="3:34" ht="19.5" thickBot="1" x14ac:dyDescent="0.35">
      <c r="C3" s="143">
        <f>COUNTIF(E5:AH5,"&lt;&gt;")</f>
        <v>10</v>
      </c>
      <c r="D3" s="142" t="s">
        <v>15</v>
      </c>
      <c r="E3" s="244" t="s">
        <v>231</v>
      </c>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6"/>
    </row>
    <row r="4" spans="3:34" ht="15.75" thickBot="1" x14ac:dyDescent="0.3">
      <c r="C4" s="143">
        <f>COUNTIF(F7:F56,"&lt;&gt;")</f>
        <v>13</v>
      </c>
      <c r="D4" s="142" t="s">
        <v>114</v>
      </c>
      <c r="E4" s="242">
        <v>1</v>
      </c>
      <c r="F4" s="243"/>
      <c r="G4" s="242">
        <f>E4+1</f>
        <v>2</v>
      </c>
      <c r="H4" s="243"/>
      <c r="I4" s="242">
        <f>G4+1</f>
        <v>3</v>
      </c>
      <c r="J4" s="243"/>
      <c r="K4" s="242">
        <f>I4+1</f>
        <v>4</v>
      </c>
      <c r="L4" s="243"/>
      <c r="M4" s="242">
        <f>K4+1</f>
        <v>5</v>
      </c>
      <c r="N4" s="243"/>
      <c r="O4" s="242">
        <f>M4+1</f>
        <v>6</v>
      </c>
      <c r="P4" s="243"/>
      <c r="Q4" s="242">
        <f>O4+1</f>
        <v>7</v>
      </c>
      <c r="R4" s="243"/>
      <c r="S4" s="242">
        <f>Q4+1</f>
        <v>8</v>
      </c>
      <c r="T4" s="243"/>
      <c r="U4" s="242">
        <f>S4+1</f>
        <v>9</v>
      </c>
      <c r="V4" s="243"/>
      <c r="W4" s="242">
        <f>U4+1</f>
        <v>10</v>
      </c>
      <c r="X4" s="243"/>
      <c r="Y4" s="242">
        <f>W4+1</f>
        <v>11</v>
      </c>
      <c r="Z4" s="243"/>
      <c r="AA4" s="242">
        <f>Y4+1</f>
        <v>12</v>
      </c>
      <c r="AB4" s="243"/>
      <c r="AC4" s="242">
        <f>AA4+1</f>
        <v>13</v>
      </c>
      <c r="AD4" s="243"/>
      <c r="AE4" s="242">
        <f>AC4+1</f>
        <v>14</v>
      </c>
      <c r="AF4" s="243"/>
      <c r="AG4" s="242">
        <f>AE4+1</f>
        <v>15</v>
      </c>
      <c r="AH4" s="243"/>
    </row>
    <row r="5" spans="3:34" ht="19.5" customHeight="1" thickBot="1" x14ac:dyDescent="0.3">
      <c r="C5" s="254" t="s">
        <v>9</v>
      </c>
      <c r="D5" s="140" t="s">
        <v>241</v>
      </c>
      <c r="E5" s="252" t="s">
        <v>351</v>
      </c>
      <c r="F5" s="253"/>
      <c r="G5" s="250" t="s">
        <v>352</v>
      </c>
      <c r="H5" s="251"/>
      <c r="I5" s="250" t="s">
        <v>353</v>
      </c>
      <c r="J5" s="251"/>
      <c r="K5" s="250" t="s">
        <v>354</v>
      </c>
      <c r="L5" s="251"/>
      <c r="M5" s="250" t="s">
        <v>355</v>
      </c>
      <c r="N5" s="251"/>
      <c r="O5" s="250" t="s">
        <v>356</v>
      </c>
      <c r="P5" s="251"/>
      <c r="Q5" s="250" t="s">
        <v>357</v>
      </c>
      <c r="R5" s="251"/>
      <c r="S5" s="250" t="s">
        <v>358</v>
      </c>
      <c r="T5" s="251"/>
      <c r="U5" s="250" t="s">
        <v>359</v>
      </c>
      <c r="V5" s="251"/>
      <c r="W5" s="250" t="s">
        <v>360</v>
      </c>
      <c r="X5" s="251"/>
      <c r="Y5" s="250"/>
      <c r="Z5" s="251"/>
      <c r="AA5" s="250"/>
      <c r="AB5" s="251"/>
      <c r="AC5" s="250"/>
      <c r="AD5" s="251"/>
      <c r="AE5" s="250"/>
      <c r="AF5" s="251"/>
      <c r="AG5" s="250"/>
      <c r="AH5" s="251"/>
    </row>
    <row r="6" spans="3:34" ht="32.25" customHeight="1" thickBot="1" x14ac:dyDescent="0.3">
      <c r="C6" s="255"/>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c r="F7" s="63"/>
      <c r="G7" s="62">
        <v>8</v>
      </c>
      <c r="H7" s="63">
        <v>68</v>
      </c>
      <c r="I7" s="62"/>
      <c r="J7" s="63"/>
      <c r="K7" s="62"/>
      <c r="L7" s="63"/>
      <c r="M7" s="62"/>
      <c r="N7" s="63"/>
      <c r="O7" s="62"/>
      <c r="P7" s="63"/>
      <c r="Q7" s="62"/>
      <c r="R7" s="63"/>
      <c r="S7" s="62"/>
      <c r="T7" s="63"/>
      <c r="U7" s="62"/>
      <c r="V7" s="63"/>
      <c r="W7" s="62">
        <v>10</v>
      </c>
      <c r="X7" s="63">
        <v>68</v>
      </c>
      <c r="Y7" s="62"/>
      <c r="Z7" s="63"/>
      <c r="AA7" s="62"/>
      <c r="AB7" s="63"/>
      <c r="AC7" s="62"/>
      <c r="AD7" s="63"/>
      <c r="AE7" s="62"/>
      <c r="AF7" s="63"/>
      <c r="AG7" s="62"/>
      <c r="AH7" s="63"/>
    </row>
    <row r="8" spans="3:34" x14ac:dyDescent="0.25">
      <c r="C8" s="79">
        <v>2</v>
      </c>
      <c r="D8" s="61">
        <v>4</v>
      </c>
      <c r="E8" s="62">
        <v>8</v>
      </c>
      <c r="F8" s="63">
        <v>39</v>
      </c>
      <c r="G8" s="62"/>
      <c r="H8" s="63"/>
      <c r="I8" s="62"/>
      <c r="J8" s="63"/>
      <c r="K8" s="62">
        <v>8</v>
      </c>
      <c r="L8" s="63">
        <v>38</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7</v>
      </c>
      <c r="E9" s="62"/>
      <c r="F9" s="63"/>
      <c r="G9" s="62"/>
      <c r="H9" s="63"/>
      <c r="I9" s="62">
        <v>12</v>
      </c>
      <c r="J9" s="63">
        <v>80</v>
      </c>
      <c r="K9" s="62">
        <v>10</v>
      </c>
      <c r="L9" s="63">
        <v>80</v>
      </c>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8</v>
      </c>
      <c r="E10" s="62"/>
      <c r="F10" s="63"/>
      <c r="G10" s="62">
        <v>1</v>
      </c>
      <c r="H10" s="63">
        <v>34</v>
      </c>
      <c r="I10" s="62">
        <v>2</v>
      </c>
      <c r="J10" s="63">
        <v>36</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9</v>
      </c>
      <c r="E11" s="62"/>
      <c r="F11" s="63"/>
      <c r="G11" s="62">
        <v>1</v>
      </c>
      <c r="H11" s="63">
        <v>50</v>
      </c>
      <c r="I11" s="62">
        <v>2</v>
      </c>
      <c r="J11" s="63">
        <v>52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11</v>
      </c>
      <c r="E12" s="62"/>
      <c r="F12" s="63"/>
      <c r="G12" s="62">
        <v>8</v>
      </c>
      <c r="H12" s="63">
        <v>32</v>
      </c>
      <c r="I12" s="62">
        <v>9</v>
      </c>
      <c r="J12" s="63">
        <v>32</v>
      </c>
      <c r="K12" s="62"/>
      <c r="L12" s="63"/>
      <c r="M12" s="62"/>
      <c r="N12" s="63"/>
      <c r="O12" s="62"/>
      <c r="P12" s="63"/>
      <c r="Q12" s="62"/>
      <c r="R12" s="63"/>
      <c r="S12" s="62"/>
      <c r="T12" s="63"/>
      <c r="U12" s="62"/>
      <c r="V12" s="63"/>
      <c r="W12" s="62"/>
      <c r="X12" s="63"/>
      <c r="Y12" s="62"/>
      <c r="Z12" s="63"/>
      <c r="AA12" s="62"/>
      <c r="AB12" s="63"/>
      <c r="AC12" s="62"/>
      <c r="AD12" s="63"/>
      <c r="AE12" s="62"/>
      <c r="AF12" s="63"/>
      <c r="AG12" s="62"/>
      <c r="AH12" s="63"/>
    </row>
    <row r="13" spans="3:34" x14ac:dyDescent="0.25">
      <c r="C13" s="79">
        <v>7</v>
      </c>
      <c r="D13" s="61">
        <v>14</v>
      </c>
      <c r="E13" s="62">
        <v>0</v>
      </c>
      <c r="F13" s="63">
        <v>14</v>
      </c>
      <c r="G13" s="62"/>
      <c r="H13" s="63"/>
      <c r="I13" s="62"/>
      <c r="J13" s="63"/>
      <c r="K13" s="62"/>
      <c r="L13" s="63"/>
      <c r="M13" s="62"/>
      <c r="N13" s="63"/>
      <c r="O13" s="62"/>
      <c r="P13" s="63"/>
      <c r="Q13" s="62"/>
      <c r="R13" s="63"/>
      <c r="S13" s="62">
        <v>2</v>
      </c>
      <c r="T13" s="63">
        <v>18</v>
      </c>
      <c r="U13" s="62"/>
      <c r="V13" s="63"/>
      <c r="W13" s="62"/>
      <c r="X13" s="63"/>
      <c r="Y13" s="62"/>
      <c r="Z13" s="63"/>
      <c r="AA13" s="62"/>
      <c r="AB13" s="63"/>
      <c r="AC13" s="62"/>
      <c r="AD13" s="63"/>
      <c r="AE13" s="62"/>
      <c r="AF13" s="63"/>
      <c r="AG13" s="62"/>
      <c r="AH13" s="63"/>
    </row>
    <row r="14" spans="3:34" x14ac:dyDescent="0.25">
      <c r="C14" s="79">
        <v>8</v>
      </c>
      <c r="D14" s="61">
        <v>15</v>
      </c>
      <c r="E14" s="62">
        <v>1</v>
      </c>
      <c r="F14" s="63">
        <v>20</v>
      </c>
      <c r="G14" s="62"/>
      <c r="H14" s="63"/>
      <c r="I14" s="62"/>
      <c r="J14" s="63"/>
      <c r="K14" s="62"/>
      <c r="L14" s="63"/>
      <c r="M14" s="62"/>
      <c r="N14" s="63"/>
      <c r="O14" s="62"/>
      <c r="P14" s="63"/>
      <c r="Q14" s="62"/>
      <c r="R14" s="63"/>
      <c r="S14" s="62"/>
      <c r="T14" s="63"/>
      <c r="U14" s="62"/>
      <c r="V14" s="63"/>
      <c r="W14" s="62">
        <v>4</v>
      </c>
      <c r="X14" s="63">
        <v>19</v>
      </c>
      <c r="Y14" s="62"/>
      <c r="Z14" s="63"/>
      <c r="AA14" s="62"/>
      <c r="AB14" s="63"/>
      <c r="AC14" s="62"/>
      <c r="AD14" s="63"/>
      <c r="AE14" s="62"/>
      <c r="AF14" s="63"/>
      <c r="AG14" s="62"/>
      <c r="AH14" s="63"/>
    </row>
    <row r="15" spans="3:34" x14ac:dyDescent="0.25">
      <c r="C15" s="79">
        <v>9</v>
      </c>
      <c r="D15" s="61">
        <v>17</v>
      </c>
      <c r="E15" s="62"/>
      <c r="F15" s="63"/>
      <c r="G15" s="62">
        <v>3</v>
      </c>
      <c r="H15" s="63">
        <v>32</v>
      </c>
      <c r="I15" s="62"/>
      <c r="J15" s="63"/>
      <c r="K15" s="62"/>
      <c r="L15" s="63"/>
      <c r="M15" s="62"/>
      <c r="N15" s="63"/>
      <c r="O15" s="62"/>
      <c r="P15" s="63"/>
      <c r="Q15" s="62"/>
      <c r="R15" s="63"/>
      <c r="S15" s="62">
        <v>4</v>
      </c>
      <c r="T15" s="63">
        <v>31</v>
      </c>
      <c r="U15" s="62"/>
      <c r="V15" s="63"/>
      <c r="W15" s="62"/>
      <c r="X15" s="63"/>
      <c r="Y15" s="62"/>
      <c r="Z15" s="63"/>
      <c r="AA15" s="62"/>
      <c r="AB15" s="63"/>
      <c r="AC15" s="62"/>
      <c r="AD15" s="63"/>
      <c r="AE15" s="62"/>
      <c r="AF15" s="63"/>
      <c r="AG15" s="62"/>
      <c r="AH15" s="63"/>
    </row>
    <row r="16" spans="3:34" x14ac:dyDescent="0.25">
      <c r="C16" s="79">
        <v>10</v>
      </c>
      <c r="D16" s="61">
        <v>18</v>
      </c>
      <c r="E16" s="62"/>
      <c r="F16" s="63"/>
      <c r="G16" s="62">
        <v>5</v>
      </c>
      <c r="H16" s="63">
        <v>35</v>
      </c>
      <c r="I16" s="62"/>
      <c r="J16" s="63"/>
      <c r="K16" s="62"/>
      <c r="L16" s="63"/>
      <c r="M16" s="62">
        <v>6</v>
      </c>
      <c r="N16" s="63">
        <v>35</v>
      </c>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61">
        <v>22</v>
      </c>
      <c r="E17" s="62">
        <v>4</v>
      </c>
      <c r="F17" s="63">
        <v>44</v>
      </c>
      <c r="G17" s="62"/>
      <c r="H17" s="63"/>
      <c r="I17" s="62"/>
      <c r="J17" s="63"/>
      <c r="K17" s="62"/>
      <c r="L17" s="63"/>
      <c r="M17" s="62"/>
      <c r="N17" s="63"/>
      <c r="O17" s="62"/>
      <c r="P17" s="63"/>
      <c r="Q17" s="62"/>
      <c r="R17" s="63"/>
      <c r="S17" s="62"/>
      <c r="T17" s="63"/>
      <c r="U17" s="62"/>
      <c r="V17" s="63"/>
      <c r="W17" s="62">
        <v>5</v>
      </c>
      <c r="X17" s="63">
        <v>48</v>
      </c>
      <c r="Y17" s="62"/>
      <c r="Z17" s="63"/>
      <c r="AA17" s="62"/>
      <c r="AB17" s="63"/>
      <c r="AC17" s="62"/>
      <c r="AD17" s="63"/>
      <c r="AE17" s="62"/>
      <c r="AF17" s="63"/>
      <c r="AG17" s="62"/>
      <c r="AH17" s="63"/>
    </row>
    <row r="18" spans="3:34" x14ac:dyDescent="0.25">
      <c r="C18" s="79">
        <v>12</v>
      </c>
      <c r="D18" s="61">
        <v>25</v>
      </c>
      <c r="E18" s="62"/>
      <c r="F18" s="63"/>
      <c r="G18" s="62">
        <v>1</v>
      </c>
      <c r="H18" s="63">
        <v>56</v>
      </c>
      <c r="I18" s="62"/>
      <c r="J18" s="63"/>
      <c r="K18" s="62"/>
      <c r="L18" s="63"/>
      <c r="M18" s="62"/>
      <c r="N18" s="63"/>
      <c r="O18" s="62"/>
      <c r="P18" s="63"/>
      <c r="Q18" s="62">
        <v>1</v>
      </c>
      <c r="R18" s="63">
        <v>55</v>
      </c>
      <c r="S18" s="62"/>
      <c r="T18" s="63"/>
      <c r="U18" s="62"/>
      <c r="V18" s="63"/>
      <c r="W18" s="62"/>
      <c r="X18" s="63"/>
      <c r="Y18" s="62"/>
      <c r="Z18" s="63"/>
      <c r="AA18" s="62"/>
      <c r="AB18" s="63"/>
      <c r="AC18" s="62"/>
      <c r="AD18" s="63"/>
      <c r="AE18" s="62"/>
      <c r="AF18" s="63"/>
      <c r="AG18" s="62"/>
      <c r="AH18" s="63"/>
    </row>
    <row r="19" spans="3:34" x14ac:dyDescent="0.25">
      <c r="C19" s="79">
        <v>13</v>
      </c>
      <c r="D19" s="61">
        <v>26</v>
      </c>
      <c r="E19" s="62">
        <v>3</v>
      </c>
      <c r="F19" s="63">
        <v>69</v>
      </c>
      <c r="G19" s="62"/>
      <c r="H19" s="63"/>
      <c r="I19" s="62"/>
      <c r="J19" s="63"/>
      <c r="K19" s="62"/>
      <c r="L19" s="63"/>
      <c r="M19" s="62"/>
      <c r="N19" s="63"/>
      <c r="O19" s="62"/>
      <c r="P19" s="63"/>
      <c r="Q19" s="62"/>
      <c r="R19" s="63"/>
      <c r="S19" s="62"/>
      <c r="T19" s="63"/>
      <c r="U19" s="62">
        <v>6</v>
      </c>
      <c r="V19" s="63">
        <v>71</v>
      </c>
      <c r="W19" s="62"/>
      <c r="X19" s="63"/>
      <c r="Y19" s="62"/>
      <c r="Z19" s="63"/>
      <c r="AA19" s="62"/>
      <c r="AB19" s="63"/>
      <c r="AC19" s="62"/>
      <c r="AD19" s="63"/>
      <c r="AE19" s="62"/>
      <c r="AF19" s="63"/>
      <c r="AG19" s="62"/>
      <c r="AH19" s="63"/>
    </row>
    <row r="20" spans="3:34" x14ac:dyDescent="0.25">
      <c r="C20" s="79">
        <v>14</v>
      </c>
      <c r="D20" s="61">
        <v>29</v>
      </c>
      <c r="E20" s="62"/>
      <c r="F20" s="63"/>
      <c r="G20" s="62"/>
      <c r="H20" s="63"/>
      <c r="I20" s="62"/>
      <c r="J20" s="63"/>
      <c r="K20" s="62"/>
      <c r="L20" s="63"/>
      <c r="M20" s="62"/>
      <c r="N20" s="63"/>
      <c r="O20" s="62"/>
      <c r="P20" s="63"/>
      <c r="Q20" s="62"/>
      <c r="R20" s="63"/>
      <c r="S20" s="62"/>
      <c r="T20" s="63"/>
      <c r="U20" s="62">
        <v>3</v>
      </c>
      <c r="V20" s="63">
        <v>24</v>
      </c>
      <c r="W20" s="62">
        <v>7</v>
      </c>
      <c r="X20" s="63">
        <v>23</v>
      </c>
      <c r="Y20" s="62"/>
      <c r="Z20" s="63"/>
      <c r="AA20" s="62"/>
      <c r="AB20" s="63"/>
      <c r="AC20" s="62"/>
      <c r="AD20" s="63"/>
      <c r="AE20" s="62"/>
      <c r="AF20" s="63"/>
      <c r="AG20" s="62"/>
      <c r="AH20" s="63"/>
    </row>
    <row r="21" spans="3:34" x14ac:dyDescent="0.25">
      <c r="C21" s="79">
        <v>15</v>
      </c>
      <c r="D21" s="61">
        <v>30</v>
      </c>
      <c r="E21" s="62"/>
      <c r="F21" s="63"/>
      <c r="G21" s="62"/>
      <c r="H21" s="63"/>
      <c r="I21" s="62"/>
      <c r="J21" s="63"/>
      <c r="K21" s="62"/>
      <c r="L21" s="63"/>
      <c r="M21" s="62"/>
      <c r="N21" s="63"/>
      <c r="O21" s="62"/>
      <c r="P21" s="63"/>
      <c r="Q21" s="62"/>
      <c r="R21" s="63"/>
      <c r="S21" s="62"/>
      <c r="T21" s="63"/>
      <c r="U21" s="62">
        <v>1</v>
      </c>
      <c r="V21" s="63">
        <v>12</v>
      </c>
      <c r="W21" s="62">
        <v>3</v>
      </c>
      <c r="X21" s="63">
        <v>11</v>
      </c>
      <c r="Y21" s="62"/>
      <c r="Z21" s="63"/>
      <c r="AA21" s="62"/>
      <c r="AB21" s="63"/>
      <c r="AC21" s="62"/>
      <c r="AD21" s="63"/>
      <c r="AE21" s="62"/>
      <c r="AF21" s="63"/>
      <c r="AG21" s="62"/>
      <c r="AH21" s="63"/>
    </row>
    <row r="22" spans="3:34" x14ac:dyDescent="0.25">
      <c r="C22" s="79">
        <v>16</v>
      </c>
      <c r="D22" s="61">
        <v>32</v>
      </c>
      <c r="E22" s="62"/>
      <c r="F22" s="63"/>
      <c r="G22" s="62"/>
      <c r="H22" s="63"/>
      <c r="I22" s="62">
        <v>2</v>
      </c>
      <c r="J22" s="63">
        <v>40</v>
      </c>
      <c r="K22" s="62">
        <v>3</v>
      </c>
      <c r="L22" s="63">
        <v>40</v>
      </c>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33</v>
      </c>
      <c r="E23" s="62">
        <v>9</v>
      </c>
      <c r="F23" s="63">
        <v>35</v>
      </c>
      <c r="G23" s="62"/>
      <c r="H23" s="63"/>
      <c r="I23" s="62"/>
      <c r="J23" s="63"/>
      <c r="K23" s="62"/>
      <c r="L23" s="63"/>
      <c r="M23" s="62"/>
      <c r="N23" s="63"/>
      <c r="O23" s="62"/>
      <c r="P23" s="63"/>
      <c r="Q23" s="62"/>
      <c r="R23" s="63"/>
      <c r="S23" s="62"/>
      <c r="T23" s="63"/>
      <c r="U23" s="62"/>
      <c r="V23" s="63"/>
      <c r="W23" s="62">
        <v>10</v>
      </c>
      <c r="X23" s="63">
        <v>35</v>
      </c>
      <c r="Y23" s="62"/>
      <c r="Z23" s="63"/>
      <c r="AA23" s="62"/>
      <c r="AB23" s="63"/>
      <c r="AC23" s="62"/>
      <c r="AD23" s="63"/>
      <c r="AE23" s="62"/>
      <c r="AF23" s="63"/>
      <c r="AG23" s="62"/>
      <c r="AH23" s="63"/>
    </row>
    <row r="24" spans="3:34" x14ac:dyDescent="0.25">
      <c r="C24" s="79">
        <v>18</v>
      </c>
      <c r="D24" s="61">
        <v>35</v>
      </c>
      <c r="E24" s="62">
        <v>3</v>
      </c>
      <c r="F24" s="63">
        <v>20</v>
      </c>
      <c r="G24" s="62">
        <v>1</v>
      </c>
      <c r="H24" s="63">
        <v>20</v>
      </c>
      <c r="I24" s="62"/>
      <c r="J24" s="63"/>
      <c r="K24" s="62"/>
      <c r="L24" s="63"/>
      <c r="M24" s="62"/>
      <c r="N24" s="63"/>
      <c r="O24" s="62"/>
      <c r="P24" s="63"/>
      <c r="Q24" s="62"/>
      <c r="R24" s="63"/>
      <c r="S24" s="62"/>
      <c r="T24" s="63"/>
      <c r="U24" s="62"/>
      <c r="V24" s="63"/>
      <c r="W24" s="62"/>
      <c r="X24" s="63"/>
      <c r="Y24" s="62"/>
      <c r="Z24" s="63"/>
      <c r="AA24" s="62"/>
      <c r="AB24" s="63"/>
      <c r="AC24" s="62"/>
      <c r="AD24" s="63"/>
      <c r="AE24" s="62"/>
      <c r="AF24" s="63"/>
      <c r="AG24" s="62"/>
      <c r="AH24" s="63"/>
    </row>
    <row r="25" spans="3:34" x14ac:dyDescent="0.25">
      <c r="C25" s="79">
        <v>19</v>
      </c>
      <c r="D25" s="61">
        <v>36</v>
      </c>
      <c r="E25" s="62">
        <v>4</v>
      </c>
      <c r="F25" s="63">
        <v>64</v>
      </c>
      <c r="G25" s="62"/>
      <c r="H25" s="63"/>
      <c r="I25" s="62"/>
      <c r="J25" s="63"/>
      <c r="K25" s="62"/>
      <c r="L25" s="63"/>
      <c r="M25" s="62"/>
      <c r="N25" s="63"/>
      <c r="O25" s="62"/>
      <c r="P25" s="63"/>
      <c r="Q25" s="62"/>
      <c r="R25" s="63"/>
      <c r="S25" s="62"/>
      <c r="T25" s="63"/>
      <c r="U25" s="62">
        <v>3</v>
      </c>
      <c r="V25" s="63">
        <v>63</v>
      </c>
      <c r="W25" s="62"/>
      <c r="X25" s="63"/>
      <c r="Y25" s="62"/>
      <c r="Z25" s="63"/>
      <c r="AA25" s="62"/>
      <c r="AB25" s="63"/>
      <c r="AC25" s="62"/>
      <c r="AD25" s="63"/>
      <c r="AE25" s="62"/>
      <c r="AF25" s="63"/>
      <c r="AG25" s="62"/>
      <c r="AH25" s="63"/>
    </row>
    <row r="26" spans="3:34" x14ac:dyDescent="0.25">
      <c r="C26" s="79">
        <v>20</v>
      </c>
      <c r="D26" s="61">
        <v>41</v>
      </c>
      <c r="E26" s="62"/>
      <c r="F26" s="63"/>
      <c r="G26" s="62"/>
      <c r="H26" s="63"/>
      <c r="I26" s="62">
        <v>1</v>
      </c>
      <c r="J26" s="63">
        <v>30</v>
      </c>
      <c r="K26" s="62"/>
      <c r="L26" s="63"/>
      <c r="M26" s="62"/>
      <c r="N26" s="63"/>
      <c r="O26" s="62">
        <v>2</v>
      </c>
      <c r="P26" s="63">
        <v>30</v>
      </c>
      <c r="Q26" s="62"/>
      <c r="R26" s="63"/>
      <c r="S26" s="62"/>
      <c r="T26" s="63"/>
      <c r="U26" s="62"/>
      <c r="V26" s="63"/>
      <c r="W26" s="62"/>
      <c r="X26" s="63"/>
      <c r="Y26" s="62"/>
      <c r="Z26" s="63"/>
      <c r="AA26" s="62"/>
      <c r="AB26" s="63"/>
      <c r="AC26" s="62"/>
      <c r="AD26" s="63"/>
      <c r="AE26" s="62"/>
      <c r="AF26" s="63"/>
      <c r="AG26" s="62"/>
      <c r="AH26" s="63"/>
    </row>
    <row r="27" spans="3:34" x14ac:dyDescent="0.25">
      <c r="C27" s="79">
        <v>21</v>
      </c>
      <c r="D27" s="61">
        <v>45</v>
      </c>
      <c r="E27" s="62"/>
      <c r="F27" s="63"/>
      <c r="G27" s="62"/>
      <c r="H27" s="63"/>
      <c r="I27" s="62"/>
      <c r="J27" s="63"/>
      <c r="K27" s="62"/>
      <c r="L27" s="63"/>
      <c r="M27" s="62"/>
      <c r="N27" s="63"/>
      <c r="O27" s="62"/>
      <c r="P27" s="63"/>
      <c r="Q27" s="62"/>
      <c r="R27" s="63"/>
      <c r="S27" s="62"/>
      <c r="T27" s="63"/>
      <c r="U27" s="62">
        <v>2</v>
      </c>
      <c r="V27" s="63">
        <v>15</v>
      </c>
      <c r="W27" s="62">
        <v>2</v>
      </c>
      <c r="X27" s="63">
        <v>15</v>
      </c>
      <c r="Y27" s="62"/>
      <c r="Z27" s="63"/>
      <c r="AA27" s="62"/>
      <c r="AB27" s="63"/>
      <c r="AC27" s="62"/>
      <c r="AD27" s="63"/>
      <c r="AE27" s="62"/>
      <c r="AF27" s="63"/>
      <c r="AG27" s="62"/>
      <c r="AH27" s="63"/>
    </row>
    <row r="28" spans="3:34" x14ac:dyDescent="0.25">
      <c r="C28" s="79">
        <v>22</v>
      </c>
      <c r="D28" s="61">
        <v>46</v>
      </c>
      <c r="E28" s="62"/>
      <c r="F28" s="63"/>
      <c r="G28" s="62"/>
      <c r="H28" s="63"/>
      <c r="I28" s="62">
        <v>2</v>
      </c>
      <c r="J28" s="63">
        <v>31</v>
      </c>
      <c r="K28" s="62"/>
      <c r="L28" s="63"/>
      <c r="M28" s="62"/>
      <c r="N28" s="63"/>
      <c r="O28" s="62"/>
      <c r="P28" s="63"/>
      <c r="Q28" s="62"/>
      <c r="R28" s="63"/>
      <c r="S28" s="62"/>
      <c r="T28" s="63"/>
      <c r="U28" s="62"/>
      <c r="V28" s="63"/>
      <c r="W28" s="62">
        <v>3</v>
      </c>
      <c r="X28" s="63">
        <v>31</v>
      </c>
      <c r="Y28" s="62"/>
      <c r="Z28" s="63"/>
      <c r="AA28" s="62"/>
      <c r="AB28" s="63"/>
      <c r="AC28" s="62"/>
      <c r="AD28" s="63"/>
      <c r="AE28" s="62"/>
      <c r="AF28" s="63"/>
      <c r="AG28" s="62"/>
      <c r="AH28" s="63"/>
    </row>
    <row r="29" spans="3:34" x14ac:dyDescent="0.25">
      <c r="C29" s="79">
        <v>23</v>
      </c>
      <c r="D29" s="61">
        <v>47</v>
      </c>
      <c r="E29" s="62"/>
      <c r="F29" s="63"/>
      <c r="G29" s="62">
        <v>4</v>
      </c>
      <c r="H29" s="63">
        <v>54</v>
      </c>
      <c r="I29" s="62"/>
      <c r="J29" s="63"/>
      <c r="K29" s="62"/>
      <c r="L29" s="63"/>
      <c r="M29" s="62"/>
      <c r="N29" s="63"/>
      <c r="O29" s="62"/>
      <c r="P29" s="63"/>
      <c r="Q29" s="62"/>
      <c r="R29" s="63"/>
      <c r="S29" s="62"/>
      <c r="T29" s="63"/>
      <c r="U29" s="62"/>
      <c r="V29" s="63"/>
      <c r="W29" s="62">
        <v>6</v>
      </c>
      <c r="X29" s="63">
        <v>51</v>
      </c>
      <c r="Y29" s="62"/>
      <c r="Z29" s="63"/>
      <c r="AA29" s="62"/>
      <c r="AB29" s="63"/>
      <c r="AC29" s="62"/>
      <c r="AD29" s="63"/>
      <c r="AE29" s="62"/>
      <c r="AF29" s="63"/>
      <c r="AG29" s="62"/>
      <c r="AH29" s="63"/>
    </row>
    <row r="30" spans="3:34" x14ac:dyDescent="0.25">
      <c r="C30" s="79">
        <v>24</v>
      </c>
      <c r="D30" s="61">
        <v>49</v>
      </c>
      <c r="E30" s="62">
        <v>7</v>
      </c>
      <c r="F30" s="63">
        <v>59</v>
      </c>
      <c r="G30" s="62">
        <v>7</v>
      </c>
      <c r="H30" s="63">
        <v>60</v>
      </c>
      <c r="I30" s="62"/>
      <c r="J30" s="63"/>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v>53</v>
      </c>
      <c r="E31" s="62">
        <v>6</v>
      </c>
      <c r="F31" s="63">
        <v>74</v>
      </c>
      <c r="G31" s="62">
        <v>7</v>
      </c>
      <c r="H31" s="63">
        <v>74</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54</v>
      </c>
      <c r="E32" s="62"/>
      <c r="F32" s="63"/>
      <c r="G32" s="62"/>
      <c r="H32" s="63"/>
      <c r="I32" s="62">
        <v>1</v>
      </c>
      <c r="J32" s="63">
        <v>48</v>
      </c>
      <c r="K32" s="62"/>
      <c r="L32" s="63"/>
      <c r="M32" s="62"/>
      <c r="N32" s="63"/>
      <c r="O32" s="62"/>
      <c r="P32" s="63"/>
      <c r="Q32" s="62"/>
      <c r="R32" s="63"/>
      <c r="S32" s="62"/>
      <c r="T32" s="63"/>
      <c r="U32" s="62">
        <v>5</v>
      </c>
      <c r="V32" s="63">
        <v>35</v>
      </c>
      <c r="W32" s="62"/>
      <c r="X32" s="63"/>
      <c r="Y32" s="62"/>
      <c r="Z32" s="63"/>
      <c r="AA32" s="62"/>
      <c r="AB32" s="63"/>
      <c r="AC32" s="62"/>
      <c r="AD32" s="63"/>
      <c r="AE32" s="62"/>
      <c r="AF32" s="63"/>
      <c r="AG32" s="62"/>
      <c r="AH32" s="63"/>
    </row>
    <row r="33" spans="3:34" ht="15.75" customHeight="1" x14ac:dyDescent="0.25">
      <c r="C33" s="79">
        <v>27</v>
      </c>
      <c r="D33" s="61">
        <v>55</v>
      </c>
      <c r="E33" s="62"/>
      <c r="F33" s="63"/>
      <c r="G33" s="62"/>
      <c r="H33" s="63"/>
      <c r="I33" s="62"/>
      <c r="J33" s="63"/>
      <c r="K33" s="62"/>
      <c r="L33" s="63"/>
      <c r="M33" s="62"/>
      <c r="N33" s="63"/>
      <c r="O33" s="62"/>
      <c r="P33" s="63"/>
      <c r="Q33" s="62"/>
      <c r="R33" s="63"/>
      <c r="S33" s="62"/>
      <c r="T33" s="63"/>
      <c r="U33" s="62">
        <v>3</v>
      </c>
      <c r="V33" s="63">
        <v>22</v>
      </c>
      <c r="W33" s="62">
        <v>9</v>
      </c>
      <c r="X33" s="63">
        <v>21</v>
      </c>
      <c r="Y33" s="62"/>
      <c r="Z33" s="63"/>
      <c r="AA33" s="62"/>
      <c r="AB33" s="63"/>
      <c r="AC33" s="62"/>
      <c r="AD33" s="63"/>
      <c r="AE33" s="62"/>
      <c r="AF33" s="63"/>
      <c r="AG33" s="62"/>
      <c r="AH33" s="63"/>
    </row>
    <row r="34" spans="3:34" x14ac:dyDescent="0.25">
      <c r="C34" s="79">
        <v>28</v>
      </c>
      <c r="D34" s="61">
        <v>58</v>
      </c>
      <c r="E34" s="62">
        <v>6</v>
      </c>
      <c r="F34" s="63">
        <v>28</v>
      </c>
      <c r="G34" s="62"/>
      <c r="H34" s="63"/>
      <c r="I34" s="62"/>
      <c r="J34" s="63"/>
      <c r="K34" s="62"/>
      <c r="L34" s="63"/>
      <c r="M34" s="62"/>
      <c r="N34" s="63"/>
      <c r="O34" s="62"/>
      <c r="P34" s="63"/>
      <c r="Q34" s="62"/>
      <c r="R34" s="63"/>
      <c r="S34" s="62"/>
      <c r="T34" s="63"/>
      <c r="U34" s="62"/>
      <c r="V34" s="63"/>
      <c r="W34" s="62">
        <v>5</v>
      </c>
      <c r="X34" s="63">
        <v>27</v>
      </c>
      <c r="Y34" s="62"/>
      <c r="Z34" s="63"/>
      <c r="AA34" s="62"/>
      <c r="AB34" s="63"/>
      <c r="AC34" s="62"/>
      <c r="AD34" s="63"/>
      <c r="AE34" s="62"/>
      <c r="AF34" s="63"/>
      <c r="AG34" s="62"/>
      <c r="AH34" s="63"/>
    </row>
    <row r="35" spans="3:34" x14ac:dyDescent="0.25">
      <c r="C35" s="79">
        <v>29</v>
      </c>
      <c r="D35" s="61">
        <v>60</v>
      </c>
      <c r="E35" s="62"/>
      <c r="F35" s="63"/>
      <c r="G35" s="62"/>
      <c r="H35" s="63"/>
      <c r="I35" s="62">
        <v>2</v>
      </c>
      <c r="J35" s="63">
        <v>32</v>
      </c>
      <c r="K35" s="62"/>
      <c r="L35" s="63"/>
      <c r="M35" s="62"/>
      <c r="N35" s="63"/>
      <c r="O35" s="62"/>
      <c r="P35" s="63"/>
      <c r="Q35" s="62"/>
      <c r="R35" s="63"/>
      <c r="S35" s="62"/>
      <c r="T35" s="63"/>
      <c r="U35" s="62"/>
      <c r="V35" s="63"/>
      <c r="W35" s="62">
        <v>3</v>
      </c>
      <c r="X35" s="63">
        <v>32</v>
      </c>
      <c r="Y35" s="62"/>
      <c r="Z35" s="63"/>
      <c r="AA35" s="62"/>
      <c r="AB35" s="63"/>
      <c r="AC35" s="62"/>
      <c r="AD35" s="63"/>
      <c r="AE35" s="62"/>
      <c r="AF35" s="63"/>
      <c r="AG35" s="62"/>
      <c r="AH35" s="63"/>
    </row>
    <row r="36" spans="3:34" x14ac:dyDescent="0.25">
      <c r="C36" s="79">
        <v>30</v>
      </c>
      <c r="D36" s="61">
        <v>62</v>
      </c>
      <c r="E36" s="62">
        <v>2</v>
      </c>
      <c r="F36" s="63">
        <v>24</v>
      </c>
      <c r="G36" s="62">
        <v>2</v>
      </c>
      <c r="H36" s="63">
        <v>23</v>
      </c>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v>65</v>
      </c>
      <c r="E37" s="62">
        <v>2</v>
      </c>
      <c r="F37" s="63">
        <v>18</v>
      </c>
      <c r="G37" s="62"/>
      <c r="H37" s="63"/>
      <c r="I37" s="62">
        <v>0</v>
      </c>
      <c r="J37" s="63">
        <v>16</v>
      </c>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2393</v>
      </c>
      <c r="E57" s="247">
        <f>IF(SUM(F7:F56)=0,"",SUM(F7:F56))</f>
        <v>508</v>
      </c>
      <c r="F57" s="248"/>
      <c r="G57" s="247">
        <f>IF(SUM(H7:H56)=0,"",SUM(H7:H56))</f>
        <v>538</v>
      </c>
      <c r="H57" s="248"/>
      <c r="I57" s="247">
        <f>IF(SUM(J7:J56)=0,"",SUM(J7:J56))</f>
        <v>397</v>
      </c>
      <c r="J57" s="248"/>
      <c r="K57" s="247">
        <f>IF(SUM(L7:L56)=0,"",SUM(L7:L56))</f>
        <v>158</v>
      </c>
      <c r="L57" s="248"/>
      <c r="M57" s="247">
        <f>IF(SUM(N7:N56)=0,"",SUM(N7:N56))</f>
        <v>35</v>
      </c>
      <c r="N57" s="248"/>
      <c r="O57" s="247">
        <f>IF(SUM(P7:P56)=0,"",SUM(P7:P56))</f>
        <v>30</v>
      </c>
      <c r="P57" s="248"/>
      <c r="Q57" s="247">
        <f>IF(SUM(R7:R56)=0,"",SUM(R7:R56))</f>
        <v>55</v>
      </c>
      <c r="R57" s="248"/>
      <c r="S57" s="247">
        <f>IF(SUM(T7:T56)=0,"",SUM(T7:T56))</f>
        <v>49</v>
      </c>
      <c r="T57" s="248"/>
      <c r="U57" s="247">
        <f>IF(SUM(V7:V56)=0,"",SUM(V7:V56))</f>
        <v>242</v>
      </c>
      <c r="V57" s="248"/>
      <c r="W57" s="247">
        <f>IF(SUM(X7:X56)=0,"",SUM(X7:X56))</f>
        <v>381</v>
      </c>
      <c r="X57" s="248"/>
      <c r="Y57" s="247" t="str">
        <f>IF(SUM(Z7:Z56)=0,"",SUM(Z7:Z56))</f>
        <v/>
      </c>
      <c r="Z57" s="248"/>
      <c r="AA57" s="247" t="str">
        <f>IF(SUM(AB7:AB56)=0,"",SUM(AB7:AB56))</f>
        <v/>
      </c>
      <c r="AB57" s="248"/>
      <c r="AC57" s="247" t="str">
        <f>IF(SUM(AD7:AD56)=0,"",SUM(AD7:AD56))</f>
        <v/>
      </c>
      <c r="AD57" s="248"/>
      <c r="AE57" s="247" t="str">
        <f>IF(SUM(AF7:AF56)=0,"",SUM(AF7:AF56))</f>
        <v/>
      </c>
      <c r="AF57" s="248"/>
      <c r="AG57" s="249" t="str">
        <f>IF(SUM(AH7:AH56)=0,"",SUM(AH7:AH56))</f>
        <v/>
      </c>
      <c r="AH57" s="248"/>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8">
    <cfRule type="expression" dxfId="139" priority="174">
      <formula>$D7&lt;&gt;""</formula>
    </cfRule>
  </conditionalFormatting>
  <conditionalFormatting sqref="D9">
    <cfRule type="expression" dxfId="138" priority="173">
      <formula>$D8&lt;&gt;""</formula>
    </cfRule>
  </conditionalFormatting>
  <conditionalFormatting sqref="D10:D11 D13:D16 D38:D56">
    <cfRule type="expression" dxfId="137" priority="172">
      <formula>$D9&lt;&gt;""</formula>
    </cfRule>
  </conditionalFormatting>
  <conditionalFormatting sqref="G5:H5">
    <cfRule type="expression" dxfId="136" priority="171">
      <formula>E$5&lt;&gt;""</formula>
    </cfRule>
  </conditionalFormatting>
  <conditionalFormatting sqref="I5:AH5">
    <cfRule type="expression" dxfId="135" priority="170">
      <formula>G$5&lt;&gt;""</formula>
    </cfRule>
  </conditionalFormatting>
  <conditionalFormatting sqref="E7">
    <cfRule type="expression" dxfId="134" priority="167">
      <formula>AND($D7&lt;&gt;"",E$5&lt;&gt;"")</formula>
    </cfRule>
  </conditionalFormatting>
  <conditionalFormatting sqref="F7">
    <cfRule type="expression" dxfId="133" priority="166">
      <formula>AND($D7&lt;&gt;"",E$5&lt;&gt;"")</formula>
    </cfRule>
  </conditionalFormatting>
  <conditionalFormatting sqref="E8:E11 E38:E56 E13:E16">
    <cfRule type="expression" dxfId="132" priority="165">
      <formula>AND($D8&lt;&gt;"",E$5&lt;&gt;"")</formula>
    </cfRule>
  </conditionalFormatting>
  <conditionalFormatting sqref="F8:F11 F38:F56 F13:F16">
    <cfRule type="expression" dxfId="131" priority="164">
      <formula>AND($D8&lt;&gt;"",E$5&lt;&gt;"")</formula>
    </cfRule>
  </conditionalFormatting>
  <conditionalFormatting sqref="G7">
    <cfRule type="expression" dxfId="130" priority="163">
      <formula>AND($D7&lt;&gt;"",G$5&lt;&gt;"")</formula>
    </cfRule>
  </conditionalFormatting>
  <conditionalFormatting sqref="H7">
    <cfRule type="expression" dxfId="129" priority="162">
      <formula>AND($D7&lt;&gt;"",G$5&lt;&gt;"")</formula>
    </cfRule>
  </conditionalFormatting>
  <conditionalFormatting sqref="I7 K7 M7 O7 Q7 S7 U7 W7 Y7 AA7 AC7 AE7 AG7">
    <cfRule type="expression" dxfId="128" priority="161">
      <formula>AND($D7&lt;&gt;"",I$5&lt;&gt;"")</formula>
    </cfRule>
  </conditionalFormatting>
  <conditionalFormatting sqref="J7 L7 N7 P7 R7 T7 V7 X7 Z7 AB7 AD7 AF7 AH7">
    <cfRule type="expression" dxfId="127" priority="160">
      <formula>AND($D7&lt;&gt;"",I$5&lt;&gt;"")</formula>
    </cfRule>
  </conditionalFormatting>
  <conditionalFormatting sqref="G8:G11 G15 G38:G56">
    <cfRule type="expression" dxfId="126" priority="159">
      <formula>AND($D8&lt;&gt;"",G$5&lt;&gt;"")</formula>
    </cfRule>
  </conditionalFormatting>
  <conditionalFormatting sqref="H8:H11 H15 H38:H56">
    <cfRule type="expression" dxfId="125" priority="158">
      <formula>AND($D8&lt;&gt;"",G$5&lt;&gt;"")</formula>
    </cfRule>
  </conditionalFormatting>
  <conditionalFormatting sqref="I8:I11 O8:O11 Q8:Q11 S8:S11 U8:U11 W8:W11 Y8:Y56 AA8:AA56 AC8:AC56 AE8:AE56 AG8:AG56 K8:K11 M8:M11 I38:I56 K37:K56 M37:M56 S37:S56 Q37:Q56 O37:O56 W37:W56 U37:U56 K13:K16 W13:W16 M13:M16 U13:U16 S13:S16 Q13:Q16 O13:O16">
    <cfRule type="expression" dxfId="124" priority="157">
      <formula>AND($D8&lt;&gt;"",I$5&lt;&gt;"")</formula>
    </cfRule>
  </conditionalFormatting>
  <conditionalFormatting sqref="J8:J11 P8:P11 R8:R11 T8:T11 V8:V11 X8:X11 Z8:Z56 AB8:AB56 AD8:AD56 AF8:AF56 AH8:AH56 L8:L11 N8:N11 J38:J56 L37:L56 N37:N56 T37:T56 R37:R56 P37:P56 X37:X56 V37:V56 L13:L16 X13:X16 N13:N16 V13:V16 T13:T16 R13:R16 P13:P16">
    <cfRule type="expression" dxfId="123" priority="156">
      <formula>AND($D8&lt;&gt;"",I$5&lt;&gt;"")</formula>
    </cfRule>
  </conditionalFormatting>
  <conditionalFormatting sqref="M11 M13:M16">
    <cfRule type="expression" dxfId="122" priority="155">
      <formula>AND($D11&lt;&gt;"",M$5&lt;&gt;"")</formula>
    </cfRule>
  </conditionalFormatting>
  <conditionalFormatting sqref="N11 N13:N16">
    <cfRule type="expression" dxfId="121" priority="154">
      <formula>AND($D11&lt;&gt;"",M$5&lt;&gt;"")</formula>
    </cfRule>
  </conditionalFormatting>
  <conditionalFormatting sqref="M7">
    <cfRule type="expression" dxfId="120" priority="153">
      <formula>AND($D7&lt;&gt;"",M$5&lt;&gt;"")</formula>
    </cfRule>
  </conditionalFormatting>
  <conditionalFormatting sqref="N7">
    <cfRule type="expression" dxfId="119" priority="152">
      <formula>AND($D7&lt;&gt;"",M$5&lt;&gt;"")</formula>
    </cfRule>
  </conditionalFormatting>
  <conditionalFormatting sqref="K11">
    <cfRule type="expression" dxfId="118" priority="151">
      <formula>AND($D11&lt;&gt;"",K$5&lt;&gt;"")</formula>
    </cfRule>
  </conditionalFormatting>
  <conditionalFormatting sqref="L11">
    <cfRule type="expression" dxfId="117" priority="150">
      <formula>AND($D11&lt;&gt;"",K$5&lt;&gt;"")</formula>
    </cfRule>
  </conditionalFormatting>
  <conditionalFormatting sqref="K11">
    <cfRule type="expression" dxfId="116" priority="149">
      <formula>AND($D11&lt;&gt;"",K$5&lt;&gt;"")</formula>
    </cfRule>
  </conditionalFormatting>
  <conditionalFormatting sqref="L11">
    <cfRule type="expression" dxfId="115" priority="148">
      <formula>AND($D11&lt;&gt;"",K$5&lt;&gt;"")</formula>
    </cfRule>
  </conditionalFormatting>
  <conditionalFormatting sqref="M8">
    <cfRule type="expression" dxfId="114" priority="147">
      <formula>AND($D8&lt;&gt;"",M$5&lt;&gt;"")</formula>
    </cfRule>
  </conditionalFormatting>
  <conditionalFormatting sqref="N8">
    <cfRule type="expression" dxfId="113" priority="146">
      <formula>AND($D8&lt;&gt;"",M$5&lt;&gt;"")</formula>
    </cfRule>
  </conditionalFormatting>
  <conditionalFormatting sqref="G5:H5">
    <cfRule type="expression" dxfId="112" priority="145">
      <formula>E$5&lt;&gt;""</formula>
    </cfRule>
  </conditionalFormatting>
  <conditionalFormatting sqref="I5:R5">
    <cfRule type="expression" dxfId="111" priority="144">
      <formula>G$5&lt;&gt;""</formula>
    </cfRule>
  </conditionalFormatting>
  <conditionalFormatting sqref="G5:H5">
    <cfRule type="expression" dxfId="110" priority="143">
      <formula>E$5&lt;&gt;""</formula>
    </cfRule>
  </conditionalFormatting>
  <conditionalFormatting sqref="I5:R5">
    <cfRule type="expression" dxfId="109" priority="142">
      <formula>G$5&lt;&gt;""</formula>
    </cfRule>
  </conditionalFormatting>
  <conditionalFormatting sqref="G13">
    <cfRule type="expression" dxfId="108" priority="139">
      <formula>AND($D13&lt;&gt;"",G$5&lt;&gt;"")</formula>
    </cfRule>
  </conditionalFormatting>
  <conditionalFormatting sqref="H13">
    <cfRule type="expression" dxfId="107" priority="138">
      <formula>AND($D13&lt;&gt;"",G$5&lt;&gt;"")</formula>
    </cfRule>
  </conditionalFormatting>
  <conditionalFormatting sqref="I13">
    <cfRule type="expression" dxfId="106" priority="137">
      <formula>AND($D13&lt;&gt;"",I$5&lt;&gt;"")</formula>
    </cfRule>
  </conditionalFormatting>
  <conditionalFormatting sqref="J13">
    <cfRule type="expression" dxfId="105" priority="136">
      <formula>AND($D13&lt;&gt;"",I$5&lt;&gt;"")</formula>
    </cfRule>
  </conditionalFormatting>
  <conditionalFormatting sqref="G14">
    <cfRule type="expression" dxfId="104" priority="135">
      <formula>AND($D14&lt;&gt;"",G$5&lt;&gt;"")</formula>
    </cfRule>
  </conditionalFormatting>
  <conditionalFormatting sqref="H14">
    <cfRule type="expression" dxfId="103" priority="134">
      <formula>AND($D14&lt;&gt;"",G$5&lt;&gt;"")</formula>
    </cfRule>
  </conditionalFormatting>
  <conditionalFormatting sqref="I14">
    <cfRule type="expression" dxfId="102" priority="133">
      <formula>AND($D14&lt;&gt;"",I$5&lt;&gt;"")</formula>
    </cfRule>
  </conditionalFormatting>
  <conditionalFormatting sqref="J14">
    <cfRule type="expression" dxfId="101" priority="132">
      <formula>AND($D14&lt;&gt;"",I$5&lt;&gt;"")</formula>
    </cfRule>
  </conditionalFormatting>
  <conditionalFormatting sqref="I15">
    <cfRule type="expression" dxfId="100" priority="131">
      <formula>AND($D15&lt;&gt;"",I$5&lt;&gt;"")</formula>
    </cfRule>
  </conditionalFormatting>
  <conditionalFormatting sqref="J15">
    <cfRule type="expression" dxfId="99" priority="130">
      <formula>AND($D15&lt;&gt;"",I$5&lt;&gt;"")</formula>
    </cfRule>
  </conditionalFormatting>
  <conditionalFormatting sqref="W15">
    <cfRule type="expression" dxfId="98" priority="129">
      <formula>AND($D15&lt;&gt;"",W$5&lt;&gt;"")</formula>
    </cfRule>
  </conditionalFormatting>
  <conditionalFormatting sqref="X15">
    <cfRule type="expression" dxfId="97" priority="128">
      <formula>AND($D15&lt;&gt;"",W$5&lt;&gt;"")</formula>
    </cfRule>
  </conditionalFormatting>
  <conditionalFormatting sqref="G16">
    <cfRule type="expression" dxfId="96" priority="127">
      <formula>AND($D16&lt;&gt;"",G$5&lt;&gt;"")</formula>
    </cfRule>
  </conditionalFormatting>
  <conditionalFormatting sqref="H16">
    <cfRule type="expression" dxfId="95" priority="126">
      <formula>AND($D16&lt;&gt;"",G$5&lt;&gt;"")</formula>
    </cfRule>
  </conditionalFormatting>
  <conditionalFormatting sqref="I16">
    <cfRule type="expression" dxfId="94" priority="125">
      <formula>AND($D16&lt;&gt;"",I$5&lt;&gt;"")</formula>
    </cfRule>
  </conditionalFormatting>
  <conditionalFormatting sqref="J16">
    <cfRule type="expression" dxfId="93" priority="124">
      <formula>AND($D16&lt;&gt;"",I$5&lt;&gt;"")</formula>
    </cfRule>
  </conditionalFormatting>
  <conditionalFormatting sqref="D12">
    <cfRule type="expression" dxfId="92" priority="91">
      <formula>$D11&lt;&gt;""</formula>
    </cfRule>
  </conditionalFormatting>
  <conditionalFormatting sqref="E12">
    <cfRule type="expression" dxfId="91" priority="90">
      <formula>AND($D12&lt;&gt;"",E$5&lt;&gt;"")</formula>
    </cfRule>
  </conditionalFormatting>
  <conditionalFormatting sqref="F12">
    <cfRule type="expression" dxfId="90" priority="89">
      <formula>AND($D12&lt;&gt;"",E$5&lt;&gt;"")</formula>
    </cfRule>
  </conditionalFormatting>
  <conditionalFormatting sqref="K12 M12 W12 U12 S12 Q12 O12">
    <cfRule type="expression" dxfId="89" priority="88">
      <formula>AND($D12&lt;&gt;"",K$5&lt;&gt;"")</formula>
    </cfRule>
  </conditionalFormatting>
  <conditionalFormatting sqref="L12 N12 X12 V12 T12 R12 P12">
    <cfRule type="expression" dxfId="88" priority="87">
      <formula>AND($D12&lt;&gt;"",K$5&lt;&gt;"")</formula>
    </cfRule>
  </conditionalFormatting>
  <conditionalFormatting sqref="M12">
    <cfRule type="expression" dxfId="87" priority="86">
      <formula>AND($D12&lt;&gt;"",M$5&lt;&gt;"")</formula>
    </cfRule>
  </conditionalFormatting>
  <conditionalFormatting sqref="N12">
    <cfRule type="expression" dxfId="86" priority="85">
      <formula>AND($D12&lt;&gt;"",M$5&lt;&gt;"")</formula>
    </cfRule>
  </conditionalFormatting>
  <conditionalFormatting sqref="G12">
    <cfRule type="expression" dxfId="85" priority="84">
      <formula>AND($D12&lt;&gt;"",G$5&lt;&gt;"")</formula>
    </cfRule>
  </conditionalFormatting>
  <conditionalFormatting sqref="H12">
    <cfRule type="expression" dxfId="84" priority="83">
      <formula>AND($D12&lt;&gt;"",G$5&lt;&gt;"")</formula>
    </cfRule>
  </conditionalFormatting>
  <conditionalFormatting sqref="I12">
    <cfRule type="expression" dxfId="83" priority="82">
      <formula>AND($D12&lt;&gt;"",I$5&lt;&gt;"")</formula>
    </cfRule>
  </conditionalFormatting>
  <conditionalFormatting sqref="J12">
    <cfRule type="expression" dxfId="82" priority="81">
      <formula>AND($D12&lt;&gt;"",I$5&lt;&gt;"")</formula>
    </cfRule>
  </conditionalFormatting>
  <conditionalFormatting sqref="G13">
    <cfRule type="expression" dxfId="81" priority="80">
      <formula>AND($D13&lt;&gt;"",G$5&lt;&gt;"")</formula>
    </cfRule>
  </conditionalFormatting>
  <conditionalFormatting sqref="H13">
    <cfRule type="expression" dxfId="80" priority="79">
      <formula>AND($D13&lt;&gt;"",G$5&lt;&gt;"")</formula>
    </cfRule>
  </conditionalFormatting>
  <conditionalFormatting sqref="I13">
    <cfRule type="expression" dxfId="79" priority="78">
      <formula>AND($D13&lt;&gt;"",I$5&lt;&gt;"")</formula>
    </cfRule>
  </conditionalFormatting>
  <conditionalFormatting sqref="J13">
    <cfRule type="expression" dxfId="78" priority="77">
      <formula>AND($D13&lt;&gt;"",I$5&lt;&gt;"")</formula>
    </cfRule>
  </conditionalFormatting>
  <conditionalFormatting sqref="W13">
    <cfRule type="expression" dxfId="77" priority="76">
      <formula>AND($D13&lt;&gt;"",W$5&lt;&gt;"")</formula>
    </cfRule>
  </conditionalFormatting>
  <conditionalFormatting sqref="X13">
    <cfRule type="expression" dxfId="76" priority="75">
      <formula>AND($D13&lt;&gt;"",W$5&lt;&gt;"")</formula>
    </cfRule>
  </conditionalFormatting>
  <conditionalFormatting sqref="G14">
    <cfRule type="expression" dxfId="75" priority="74">
      <formula>AND($D14&lt;&gt;"",G$5&lt;&gt;"")</formula>
    </cfRule>
  </conditionalFormatting>
  <conditionalFormatting sqref="H14">
    <cfRule type="expression" dxfId="74" priority="73">
      <formula>AND($D14&lt;&gt;"",G$5&lt;&gt;"")</formula>
    </cfRule>
  </conditionalFormatting>
  <conditionalFormatting sqref="I14">
    <cfRule type="expression" dxfId="73" priority="72">
      <formula>AND($D14&lt;&gt;"",I$5&lt;&gt;"")</formula>
    </cfRule>
  </conditionalFormatting>
  <conditionalFormatting sqref="J14">
    <cfRule type="expression" dxfId="72" priority="71">
      <formula>AND($D14&lt;&gt;"",I$5&lt;&gt;"")</formula>
    </cfRule>
  </conditionalFormatting>
  <conditionalFormatting sqref="E15">
    <cfRule type="expression" dxfId="71" priority="70">
      <formula>AND($D15&lt;&gt;"",E$5&lt;&gt;"")</formula>
    </cfRule>
  </conditionalFormatting>
  <conditionalFormatting sqref="F15">
    <cfRule type="expression" dxfId="70" priority="69">
      <formula>AND($D15&lt;&gt;"",E$5&lt;&gt;"")</formula>
    </cfRule>
  </conditionalFormatting>
  <conditionalFormatting sqref="G15">
    <cfRule type="expression" dxfId="69" priority="68">
      <formula>AND($D15&lt;&gt;"",G$5&lt;&gt;"")</formula>
    </cfRule>
  </conditionalFormatting>
  <conditionalFormatting sqref="H15">
    <cfRule type="expression" dxfId="68" priority="67">
      <formula>AND($D15&lt;&gt;"",G$5&lt;&gt;"")</formula>
    </cfRule>
  </conditionalFormatting>
  <conditionalFormatting sqref="I15">
    <cfRule type="expression" dxfId="67" priority="66">
      <formula>AND($D15&lt;&gt;"",I$5&lt;&gt;"")</formula>
    </cfRule>
  </conditionalFormatting>
  <conditionalFormatting sqref="J15">
    <cfRule type="expression" dxfId="66" priority="65">
      <formula>AND($D15&lt;&gt;"",I$5&lt;&gt;"")</formula>
    </cfRule>
  </conditionalFormatting>
  <conditionalFormatting sqref="E16">
    <cfRule type="expression" dxfId="65" priority="64">
      <formula>AND($D16&lt;&gt;"",E$5&lt;&gt;"")</formula>
    </cfRule>
  </conditionalFormatting>
  <conditionalFormatting sqref="F16">
    <cfRule type="expression" dxfId="64" priority="63">
      <formula>AND($D16&lt;&gt;"",E$5&lt;&gt;"")</formula>
    </cfRule>
  </conditionalFormatting>
  <conditionalFormatting sqref="G16">
    <cfRule type="expression" dxfId="63" priority="62">
      <formula>AND($D16&lt;&gt;"",G$5&lt;&gt;"")</formula>
    </cfRule>
  </conditionalFormatting>
  <conditionalFormatting sqref="H16">
    <cfRule type="expression" dxfId="62" priority="61">
      <formula>AND($D16&lt;&gt;"",G$5&lt;&gt;"")</formula>
    </cfRule>
  </conditionalFormatting>
  <conditionalFormatting sqref="I16 K16 M16 S16 Q16 O16">
    <cfRule type="expression" dxfId="61" priority="60">
      <formula>AND($D16&lt;&gt;"",I$5&lt;&gt;"")</formula>
    </cfRule>
  </conditionalFormatting>
  <conditionalFormatting sqref="J16 L16 N16 T16 R16 P16">
    <cfRule type="expression" dxfId="60" priority="59">
      <formula>AND($D16&lt;&gt;"",I$5&lt;&gt;"")</formula>
    </cfRule>
  </conditionalFormatting>
  <conditionalFormatting sqref="D17">
    <cfRule type="expression" dxfId="59" priority="58">
      <formula>$D16&lt;&gt;""</formula>
    </cfRule>
  </conditionalFormatting>
  <conditionalFormatting sqref="E17">
    <cfRule type="expression" dxfId="58" priority="57">
      <formula>AND($D17&lt;&gt;"",E$5&lt;&gt;"")</formula>
    </cfRule>
  </conditionalFormatting>
  <conditionalFormatting sqref="F17">
    <cfRule type="expression" dxfId="57" priority="56">
      <formula>AND($D17&lt;&gt;"",E$5&lt;&gt;"")</formula>
    </cfRule>
  </conditionalFormatting>
  <conditionalFormatting sqref="W17 U17">
    <cfRule type="expression" dxfId="56" priority="55">
      <formula>AND($D17&lt;&gt;"",U$5&lt;&gt;"")</formula>
    </cfRule>
  </conditionalFormatting>
  <conditionalFormatting sqref="X17 V17">
    <cfRule type="expression" dxfId="55" priority="54">
      <formula>AND($D17&lt;&gt;"",U$5&lt;&gt;"")</formula>
    </cfRule>
  </conditionalFormatting>
  <conditionalFormatting sqref="G17">
    <cfRule type="expression" dxfId="54" priority="53">
      <formula>AND($D17&lt;&gt;"",G$5&lt;&gt;"")</formula>
    </cfRule>
  </conditionalFormatting>
  <conditionalFormatting sqref="H17">
    <cfRule type="expression" dxfId="53" priority="52">
      <formula>AND($D17&lt;&gt;"",G$5&lt;&gt;"")</formula>
    </cfRule>
  </conditionalFormatting>
  <conditionalFormatting sqref="I17 K17 M17 S17 Q17 O17">
    <cfRule type="expression" dxfId="52" priority="51">
      <formula>AND($D17&lt;&gt;"",I$5&lt;&gt;"")</formula>
    </cfRule>
  </conditionalFormatting>
  <conditionalFormatting sqref="J17 L17 N17 T17 R17 P17">
    <cfRule type="expression" dxfId="51" priority="50">
      <formula>AND($D17&lt;&gt;"",I$5&lt;&gt;"")</formula>
    </cfRule>
  </conditionalFormatting>
  <conditionalFormatting sqref="D18:D19">
    <cfRule type="expression" dxfId="50" priority="49">
      <formula>$D17&lt;&gt;""</formula>
    </cfRule>
  </conditionalFormatting>
  <conditionalFormatting sqref="E18:E19">
    <cfRule type="expression" dxfId="49" priority="48">
      <formula>AND($D18&lt;&gt;"",E$5&lt;&gt;"")</formula>
    </cfRule>
  </conditionalFormatting>
  <conditionalFormatting sqref="F18:F19">
    <cfRule type="expression" dxfId="48" priority="47">
      <formula>AND($D18&lt;&gt;"",E$5&lt;&gt;"")</formula>
    </cfRule>
  </conditionalFormatting>
  <conditionalFormatting sqref="G18:G19">
    <cfRule type="expression" dxfId="47" priority="46">
      <formula>AND($D18&lt;&gt;"",G$5&lt;&gt;"")</formula>
    </cfRule>
  </conditionalFormatting>
  <conditionalFormatting sqref="H18:H19">
    <cfRule type="expression" dxfId="46" priority="45">
      <formula>AND($D18&lt;&gt;"",G$5&lt;&gt;"")</formula>
    </cfRule>
  </conditionalFormatting>
  <conditionalFormatting sqref="I18:I19 K18:K19 M18:M19 S18:S19 Q18:Q19 O18:O19 W18:W19 U18:U19">
    <cfRule type="expression" dxfId="45" priority="44">
      <formula>AND($D18&lt;&gt;"",I$5&lt;&gt;"")</formula>
    </cfRule>
  </conditionalFormatting>
  <conditionalFormatting sqref="J18:J19 L18:L19 N18:N19 T18:T19 R18:R19 P18:P19 X18:X19 V18:V19">
    <cfRule type="expression" dxfId="44" priority="43">
      <formula>AND($D18&lt;&gt;"",I$5&lt;&gt;"")</formula>
    </cfRule>
  </conditionalFormatting>
  <conditionalFormatting sqref="D20:D26">
    <cfRule type="expression" dxfId="43" priority="42">
      <formula>$D19&lt;&gt;""</formula>
    </cfRule>
  </conditionalFormatting>
  <conditionalFormatting sqref="E20:E26">
    <cfRule type="expression" dxfId="42" priority="41">
      <formula>AND($D20&lt;&gt;"",E$5&lt;&gt;"")</formula>
    </cfRule>
  </conditionalFormatting>
  <conditionalFormatting sqref="F20:F26">
    <cfRule type="expression" dxfId="41" priority="40">
      <formula>AND($D20&lt;&gt;"",E$5&lt;&gt;"")</formula>
    </cfRule>
  </conditionalFormatting>
  <conditionalFormatting sqref="G20:G26">
    <cfRule type="expression" dxfId="40" priority="39">
      <formula>AND($D20&lt;&gt;"",G$5&lt;&gt;"")</formula>
    </cfRule>
  </conditionalFormatting>
  <conditionalFormatting sqref="H20:H26">
    <cfRule type="expression" dxfId="39" priority="38">
      <formula>AND($D20&lt;&gt;"",G$5&lt;&gt;"")</formula>
    </cfRule>
  </conditionalFormatting>
  <conditionalFormatting sqref="I20:I26 K20:K26 M20:M26 S20:S26 Q20:Q26 O20:O26 W20:W26 U20:U26">
    <cfRule type="expression" dxfId="38" priority="37">
      <formula>AND($D20&lt;&gt;"",I$5&lt;&gt;"")</formula>
    </cfRule>
  </conditionalFormatting>
  <conditionalFormatting sqref="J20:J26 L20:L26 N20:N26 T20:T26 R20:R26 P20:P26 X20:X26 V20:V26">
    <cfRule type="expression" dxfId="37" priority="36">
      <formula>AND($D20&lt;&gt;"",I$5&lt;&gt;"")</formula>
    </cfRule>
  </conditionalFormatting>
  <conditionalFormatting sqref="D27:D29">
    <cfRule type="expression" dxfId="36" priority="35">
      <formula>$D26&lt;&gt;""</formula>
    </cfRule>
  </conditionalFormatting>
  <conditionalFormatting sqref="E27:E29">
    <cfRule type="expression" dxfId="35" priority="34">
      <formula>AND($D27&lt;&gt;"",E$5&lt;&gt;"")</formula>
    </cfRule>
  </conditionalFormatting>
  <conditionalFormatting sqref="F27:F29">
    <cfRule type="expression" dxfId="34" priority="33">
      <formula>AND($D27&lt;&gt;"",E$5&lt;&gt;"")</formula>
    </cfRule>
  </conditionalFormatting>
  <conditionalFormatting sqref="G27:G29">
    <cfRule type="expression" dxfId="33" priority="32">
      <formula>AND($D27&lt;&gt;"",G$5&lt;&gt;"")</formula>
    </cfRule>
  </conditionalFormatting>
  <conditionalFormatting sqref="H27:H29">
    <cfRule type="expression" dxfId="32" priority="31">
      <formula>AND($D27&lt;&gt;"",G$5&lt;&gt;"")</formula>
    </cfRule>
  </conditionalFormatting>
  <conditionalFormatting sqref="I27:I29 K27:K29 M27:M29 S27:S29 Q27:Q29 O27:O29 W27:W29 U27:U29">
    <cfRule type="expression" dxfId="31" priority="30">
      <formula>AND($D27&lt;&gt;"",I$5&lt;&gt;"")</formula>
    </cfRule>
  </conditionalFormatting>
  <conditionalFormatting sqref="J27:J29 L27:L29 N27:N29 T27:T29 R27:R29 P27:P29 X27:X29 V27:V29">
    <cfRule type="expression" dxfId="30" priority="29">
      <formula>AND($D27&lt;&gt;"",I$5&lt;&gt;"")</formula>
    </cfRule>
  </conditionalFormatting>
  <conditionalFormatting sqref="D30">
    <cfRule type="expression" dxfId="29" priority="28">
      <formula>$D29&lt;&gt;""</formula>
    </cfRule>
  </conditionalFormatting>
  <conditionalFormatting sqref="E30">
    <cfRule type="expression" dxfId="28" priority="27">
      <formula>AND($D30&lt;&gt;"",E$5&lt;&gt;"")</formula>
    </cfRule>
  </conditionalFormatting>
  <conditionalFormatting sqref="F30">
    <cfRule type="expression" dxfId="27" priority="26">
      <formula>AND($D30&lt;&gt;"",E$5&lt;&gt;"")</formula>
    </cfRule>
  </conditionalFormatting>
  <conditionalFormatting sqref="G30">
    <cfRule type="expression" dxfId="26" priority="25">
      <formula>AND($D30&lt;&gt;"",G$5&lt;&gt;"")</formula>
    </cfRule>
  </conditionalFormatting>
  <conditionalFormatting sqref="H30">
    <cfRule type="expression" dxfId="25" priority="24">
      <formula>AND($D30&lt;&gt;"",G$5&lt;&gt;"")</formula>
    </cfRule>
  </conditionalFormatting>
  <conditionalFormatting sqref="I30 K30 M30 S30 Q30 O30 W30 U30">
    <cfRule type="expression" dxfId="24" priority="23">
      <formula>AND($D30&lt;&gt;"",I$5&lt;&gt;"")</formula>
    </cfRule>
  </conditionalFormatting>
  <conditionalFormatting sqref="J30 L30 N30 T30 R30 P30 X30 V30">
    <cfRule type="expression" dxfId="23" priority="22">
      <formula>AND($D30&lt;&gt;"",I$5&lt;&gt;"")</formula>
    </cfRule>
  </conditionalFormatting>
  <conditionalFormatting sqref="D31:D35">
    <cfRule type="expression" dxfId="22" priority="21">
      <formula>$D30&lt;&gt;""</formula>
    </cfRule>
  </conditionalFormatting>
  <conditionalFormatting sqref="E31:E35">
    <cfRule type="expression" dxfId="21" priority="20">
      <formula>AND($D31&lt;&gt;"",E$5&lt;&gt;"")</formula>
    </cfRule>
  </conditionalFormatting>
  <conditionalFormatting sqref="F31:F35">
    <cfRule type="expression" dxfId="20" priority="19">
      <formula>AND($D31&lt;&gt;"",E$5&lt;&gt;"")</formula>
    </cfRule>
  </conditionalFormatting>
  <conditionalFormatting sqref="G31:G35">
    <cfRule type="expression" dxfId="19" priority="18">
      <formula>AND($D31&lt;&gt;"",G$5&lt;&gt;"")</formula>
    </cfRule>
  </conditionalFormatting>
  <conditionalFormatting sqref="H31:H35">
    <cfRule type="expression" dxfId="18" priority="17">
      <formula>AND($D31&lt;&gt;"",G$5&lt;&gt;"")</formula>
    </cfRule>
  </conditionalFormatting>
  <conditionalFormatting sqref="I31:I35 K31:K35 M31:M35 S31:S35 Q31:Q35 O31:O35 W31:W35 U31:U35">
    <cfRule type="expression" dxfId="17" priority="16">
      <formula>AND($D31&lt;&gt;"",I$5&lt;&gt;"")</formula>
    </cfRule>
  </conditionalFormatting>
  <conditionalFormatting sqref="J31:J35 L31:L35 N31:N35 T31:T35 R31:R35 P31:P35 X31:X35 V31:V35">
    <cfRule type="expression" dxfId="16" priority="15">
      <formula>AND($D31&lt;&gt;"",I$5&lt;&gt;"")</formula>
    </cfRule>
  </conditionalFormatting>
  <conditionalFormatting sqref="D36">
    <cfRule type="expression" dxfId="15" priority="14">
      <formula>$D35&lt;&gt;""</formula>
    </cfRule>
  </conditionalFormatting>
  <conditionalFormatting sqref="E36">
    <cfRule type="expression" dxfId="14" priority="13">
      <formula>AND($D36&lt;&gt;"",E$5&lt;&gt;"")</formula>
    </cfRule>
  </conditionalFormatting>
  <conditionalFormatting sqref="F36">
    <cfRule type="expression" dxfId="13" priority="12">
      <formula>AND($D36&lt;&gt;"",E$5&lt;&gt;"")</formula>
    </cfRule>
  </conditionalFormatting>
  <conditionalFormatting sqref="G36">
    <cfRule type="expression" dxfId="12" priority="11">
      <formula>AND($D36&lt;&gt;"",G$5&lt;&gt;"")</formula>
    </cfRule>
  </conditionalFormatting>
  <conditionalFormatting sqref="H36">
    <cfRule type="expression" dxfId="11" priority="10">
      <formula>AND($D36&lt;&gt;"",G$5&lt;&gt;"")</formula>
    </cfRule>
  </conditionalFormatting>
  <conditionalFormatting sqref="I36 K36 M36 S36 Q36 O36 W36 U36">
    <cfRule type="expression" dxfId="10" priority="9">
      <formula>AND($D36&lt;&gt;"",I$5&lt;&gt;"")</formula>
    </cfRule>
  </conditionalFormatting>
  <conditionalFormatting sqref="J36 L36 N36 T36 R36 P36 X36 V36">
    <cfRule type="expression" dxfId="9" priority="8">
      <formula>AND($D36&lt;&gt;"",I$5&lt;&gt;"")</formula>
    </cfRule>
  </conditionalFormatting>
  <conditionalFormatting sqref="D37">
    <cfRule type="expression" dxfId="8" priority="7">
      <formula>$D36&lt;&gt;""</formula>
    </cfRule>
  </conditionalFormatting>
  <conditionalFormatting sqref="E37">
    <cfRule type="expression" dxfId="7" priority="6">
      <formula>AND($D37&lt;&gt;"",E$5&lt;&gt;"")</formula>
    </cfRule>
  </conditionalFormatting>
  <conditionalFormatting sqref="F37">
    <cfRule type="expression" dxfId="6" priority="5">
      <formula>AND($D37&lt;&gt;"",E$5&lt;&gt;"")</formula>
    </cfRule>
  </conditionalFormatting>
  <conditionalFormatting sqref="G37">
    <cfRule type="expression" dxfId="5" priority="4">
      <formula>AND($D37&lt;&gt;"",G$5&lt;&gt;"")</formula>
    </cfRule>
  </conditionalFormatting>
  <conditionalFormatting sqref="H37">
    <cfRule type="expression" dxfId="4" priority="3">
      <formula>AND($D37&lt;&gt;"",G$5&lt;&gt;"")</formula>
    </cfRule>
  </conditionalFormatting>
  <conditionalFormatting sqref="I37">
    <cfRule type="expression" dxfId="3" priority="2">
      <formula>AND($D37&lt;&gt;"",I$5&lt;&gt;"")</formula>
    </cfRule>
  </conditionalFormatting>
  <conditionalFormatting sqref="J37">
    <cfRule type="expression" dxfId="2" priority="1">
      <formula>AND($D37&lt;&gt;"",I$5&lt;&gt;"")</formula>
    </cfRule>
  </conditionalFormatting>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2,10</v>
      </c>
      <c r="F5" s="31">
        <f>IFERROR(INDEX('WINBUGS data'!$F$17:$ZZ$65,MATCH($C5,'WINBUGS data'!$F$17:$F$65,0),MATCH("t[,"&amp;F$4 &amp;"]",'WINBUGS data'!$F$16:$ZZ$16,0)),"")</f>
        <v>2</v>
      </c>
      <c r="G5" s="31">
        <f>IFERROR(INDEX('WINBUGS data'!$F$17:$ZZ$65,MATCH($C5,'WINBUGS data'!$F$17:$F$65,0),MATCH("t[,"&amp;G$4 &amp;"]",'WINBUGS data'!$F$16:$ZZ$16,0)),"")</f>
        <v>10</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3,4</v>
      </c>
      <c r="F7" s="31">
        <f>IFERROR(INDEX('WINBUGS data'!$F$17:$ZZ$65,MATCH($C7,'WINBUGS data'!$F$17:$F$65,0),MATCH("t[,"&amp;F$4 &amp;"]",'WINBUGS data'!$F$16:$ZZ$16,0)),"")</f>
        <v>3</v>
      </c>
      <c r="G7" s="31">
        <f>IFERROR(INDEX('WINBUGS data'!$F$17:$ZZ$65,MATCH($C7,'WINBUGS data'!$F$17:$F$65,0),MATCH("t[,"&amp;G$4 &amp;"]",'WINBUGS data'!$F$16:$ZZ$16,0)),"")</f>
        <v>4</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2,3</v>
      </c>
      <c r="F10" s="31">
        <f>IFERROR(INDEX('WINBUGS data'!$F$17:$ZZ$65,MATCH($C10,'WINBUGS data'!$F$17:$F$65,0),MATCH("t[,"&amp;F$4 &amp;"]",'WINBUGS data'!$F$16:$ZZ$16,0)),"")</f>
        <v>2</v>
      </c>
      <c r="G10" s="31">
        <f>IFERROR(INDEX('WINBUGS data'!$F$17:$ZZ$65,MATCH($C10,'WINBUGS data'!$F$17:$F$65,0),MATCH("t[,"&amp;G$4 &amp;"]",'WINBUGS data'!$F$16:$ZZ$16,0)),"")</f>
        <v>3</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1,8</v>
      </c>
      <c r="F11" s="31">
        <f>IFERROR(INDEX('WINBUGS data'!$F$17:$ZZ$65,MATCH($C11,'WINBUGS data'!$F$17:$F$65,0),MATCH("t[,"&amp;F$4 &amp;"]",'WINBUGS data'!$F$16:$ZZ$16,0)),"")</f>
        <v>1</v>
      </c>
      <c r="G11" s="31">
        <f>IFERROR(INDEX('WINBUGS data'!$F$17:$ZZ$65,MATCH($C11,'WINBUGS data'!$F$17:$F$65,0),MATCH("t[,"&amp;G$4 &amp;"]",'WINBUGS data'!$F$16:$ZZ$16,0)),"")</f>
        <v>8</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1,10</v>
      </c>
      <c r="F12" s="31">
        <f>IFERROR(INDEX('WINBUGS data'!$F$17:$ZZ$65,MATCH($C12,'WINBUGS data'!$F$17:$F$65,0),MATCH("t[,"&amp;F$4 &amp;"]",'WINBUGS data'!$F$16:$ZZ$16,0)),"")</f>
        <v>1</v>
      </c>
      <c r="G12" s="31">
        <f>IFERROR(INDEX('WINBUGS data'!$F$17:$ZZ$65,MATCH($C12,'WINBUGS data'!$F$17:$F$65,0),MATCH("t[,"&amp;G$4 &amp;"]",'WINBUGS data'!$F$16:$ZZ$16,0)),"")</f>
        <v>10</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2,8</v>
      </c>
      <c r="F13" s="31">
        <f>IFERROR(INDEX('WINBUGS data'!$F$17:$ZZ$65,MATCH($C13,'WINBUGS data'!$F$17:$F$65,0),MATCH("t[,"&amp;F$4 &amp;"]",'WINBUGS data'!$F$16:$ZZ$16,0)),"")</f>
        <v>2</v>
      </c>
      <c r="G13" s="31">
        <f>IFERROR(INDEX('WINBUGS data'!$F$17:$ZZ$65,MATCH($C13,'WINBUGS data'!$F$17:$F$65,0),MATCH("t[,"&amp;G$4 &amp;"]",'WINBUGS data'!$F$16:$ZZ$16,0)),"")</f>
        <v>8</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2,5</v>
      </c>
      <c r="F14" s="31">
        <f>IFERROR(INDEX('WINBUGS data'!$F$17:$ZZ$65,MATCH($C14,'WINBUGS data'!$F$17:$F$65,0),MATCH("t[,"&amp;F$4 &amp;"]",'WINBUGS data'!$F$16:$ZZ$16,0)),"")</f>
        <v>2</v>
      </c>
      <c r="G14" s="31">
        <f>IFERROR(INDEX('WINBUGS data'!$F$17:$ZZ$65,MATCH($C14,'WINBUGS data'!$F$17:$F$65,0),MATCH("t[,"&amp;G$4 &amp;"]",'WINBUGS data'!$F$16:$ZZ$16,0)),"")</f>
        <v>5</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1,10</v>
      </c>
      <c r="F15" s="31">
        <f>IFERROR(INDEX('WINBUGS data'!$F$17:$ZZ$65,MATCH($C15,'WINBUGS data'!$F$17:$F$65,0),MATCH("t[,"&amp;F$4 &amp;"]",'WINBUGS data'!$F$16:$ZZ$16,0)),"")</f>
        <v>1</v>
      </c>
      <c r="G15" s="31">
        <f>IFERROR(INDEX('WINBUGS data'!$F$17:$ZZ$65,MATCH($C15,'WINBUGS data'!$F$17:$F$65,0),MATCH("t[,"&amp;G$4 &amp;"]",'WINBUGS data'!$F$16:$ZZ$16,0)),"")</f>
        <v>10</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2,7</v>
      </c>
      <c r="F16" s="31">
        <f>IFERROR(INDEX('WINBUGS data'!$F$17:$ZZ$65,MATCH($C16,'WINBUGS data'!$F$17:$F$65,0),MATCH("t[,"&amp;F$4 &amp;"]",'WINBUGS data'!$F$16:$ZZ$16,0)),"")</f>
        <v>2</v>
      </c>
      <c r="G16" s="31">
        <f>IFERROR(INDEX('WINBUGS data'!$F$17:$ZZ$65,MATCH($C16,'WINBUGS data'!$F$17:$F$65,0),MATCH("t[,"&amp;G$4 &amp;"]",'WINBUGS data'!$F$16:$ZZ$16,0)),"")</f>
        <v>7</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1,9</v>
      </c>
      <c r="F17" s="31">
        <f>IFERROR(INDEX('WINBUGS data'!$F$17:$ZZ$65,MATCH($C17,'WINBUGS data'!$F$17:$F$65,0),MATCH("t[,"&amp;F$4 &amp;"]",'WINBUGS data'!$F$16:$ZZ$16,0)),"")</f>
        <v>1</v>
      </c>
      <c r="G17" s="31">
        <f>IFERROR(INDEX('WINBUGS data'!$F$17:$ZZ$65,MATCH($C17,'WINBUGS data'!$F$17:$F$65,0),MATCH("t[,"&amp;G$4 &amp;"]",'WINBUGS data'!$F$16:$ZZ$16,0)),"")</f>
        <v>9</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9,10</v>
      </c>
      <c r="F18" s="31">
        <f>IFERROR(INDEX('WINBUGS data'!$F$17:$ZZ$65,MATCH($C18,'WINBUGS data'!$F$17:$F$65,0),MATCH("t[,"&amp;F$4 &amp;"]",'WINBUGS data'!$F$16:$ZZ$16,0)),"")</f>
        <v>9</v>
      </c>
      <c r="G18" s="31">
        <f>IFERROR(INDEX('WINBUGS data'!$F$17:$ZZ$65,MATCH($C18,'WINBUGS data'!$F$17:$F$65,0),MATCH("t[,"&amp;G$4 &amp;"]",'WINBUGS data'!$F$16:$ZZ$16,0)),"")</f>
        <v>10</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9,10</v>
      </c>
      <c r="F19" s="31">
        <f>IFERROR(INDEX('WINBUGS data'!$F$17:$ZZ$65,MATCH($C19,'WINBUGS data'!$F$17:$F$65,0),MATCH("t[,"&amp;F$4 &amp;"]",'WINBUGS data'!$F$16:$ZZ$16,0)),"")</f>
        <v>9</v>
      </c>
      <c r="G19" s="31">
        <f>IFERROR(INDEX('WINBUGS data'!$F$17:$ZZ$65,MATCH($C19,'WINBUGS data'!$F$17:$F$65,0),MATCH("t[,"&amp;G$4 &amp;"]",'WINBUGS data'!$F$16:$ZZ$16,0)),"")</f>
        <v>10</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3,4</v>
      </c>
      <c r="F20" s="31">
        <f>IFERROR(INDEX('WINBUGS data'!$F$17:$ZZ$65,MATCH($C20,'WINBUGS data'!$F$17:$F$65,0),MATCH("t[,"&amp;F$4 &amp;"]",'WINBUGS data'!$F$16:$ZZ$16,0)),"")</f>
        <v>3</v>
      </c>
      <c r="G20" s="31">
        <f>IFERROR(INDEX('WINBUGS data'!$F$17:$ZZ$65,MATCH($C20,'WINBUGS data'!$F$17:$F$65,0),MATCH("t[,"&amp;G$4 &amp;"]",'WINBUGS data'!$F$16:$ZZ$16,0)),"")</f>
        <v>4</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1,10</v>
      </c>
      <c r="F21" s="31">
        <f>IFERROR(INDEX('WINBUGS data'!$F$17:$ZZ$65,MATCH($C21,'WINBUGS data'!$F$17:$F$65,0),MATCH("t[,"&amp;F$4 &amp;"]",'WINBUGS data'!$F$16:$ZZ$16,0)),"")</f>
        <v>1</v>
      </c>
      <c r="G21" s="31">
        <f>IFERROR(INDEX('WINBUGS data'!$F$17:$ZZ$65,MATCH($C21,'WINBUGS data'!$F$17:$F$65,0),MATCH("t[,"&amp;G$4 &amp;"]",'WINBUGS data'!$F$16:$ZZ$16,0)),"")</f>
        <v>10</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1,2</v>
      </c>
      <c r="F22" s="31">
        <f>IFERROR(INDEX('WINBUGS data'!$F$17:$ZZ$65,MATCH($C22,'WINBUGS data'!$F$17:$F$65,0),MATCH("t[,"&amp;F$4 &amp;"]",'WINBUGS data'!$F$16:$ZZ$16,0)),"")</f>
        <v>1</v>
      </c>
      <c r="G22" s="31">
        <f>IFERROR(INDEX('WINBUGS data'!$F$17:$ZZ$65,MATCH($C22,'WINBUGS data'!$F$17:$F$65,0),MATCH("t[,"&amp;G$4 &amp;"]",'WINBUGS data'!$F$16:$ZZ$16,0)),"")</f>
        <v>2</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1,9</v>
      </c>
      <c r="F23" s="31">
        <f>IFERROR(INDEX('WINBUGS data'!$F$17:$ZZ$65,MATCH($C23,'WINBUGS data'!$F$17:$F$65,0),MATCH("t[,"&amp;F$4 &amp;"]",'WINBUGS data'!$F$16:$ZZ$16,0)),"")</f>
        <v>1</v>
      </c>
      <c r="G23" s="31">
        <f>IFERROR(INDEX('WINBUGS data'!$F$17:$ZZ$65,MATCH($C23,'WINBUGS data'!$F$17:$F$65,0),MATCH("t[,"&amp;G$4 &amp;"]",'WINBUGS data'!$F$16:$ZZ$16,0)),"")</f>
        <v>9</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3,6</v>
      </c>
      <c r="F24" s="31">
        <f>IFERROR(INDEX('WINBUGS data'!$F$17:$ZZ$65,MATCH($C24,'WINBUGS data'!$F$17:$F$65,0),MATCH("t[,"&amp;F$4 &amp;"]",'WINBUGS data'!$F$16:$ZZ$16,0)),"")</f>
        <v>3</v>
      </c>
      <c r="G24" s="31">
        <f>IFERROR(INDEX('WINBUGS data'!$F$17:$ZZ$65,MATCH($C24,'WINBUGS data'!$F$17:$F$65,0),MATCH("t[,"&amp;G$4 &amp;"]",'WINBUGS data'!$F$16:$ZZ$16,0)),"")</f>
        <v>6</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9,10</v>
      </c>
      <c r="F25" s="31">
        <f>IFERROR(INDEX('WINBUGS data'!$F$17:$ZZ$65,MATCH($C25,'WINBUGS data'!$F$17:$F$65,0),MATCH("t[,"&amp;F$4 &amp;"]",'WINBUGS data'!$F$16:$ZZ$16,0)),"")</f>
        <v>9</v>
      </c>
      <c r="G25" s="31">
        <f>IFERROR(INDEX('WINBUGS data'!$F$17:$ZZ$65,MATCH($C25,'WINBUGS data'!$F$17:$F$65,0),MATCH("t[,"&amp;G$4 &amp;"]",'WINBUGS data'!$F$16:$ZZ$16,0)),"")</f>
        <v>10</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3,10</v>
      </c>
      <c r="F26" s="31">
        <f>IFERROR(INDEX('WINBUGS data'!$F$17:$ZZ$65,MATCH($C26,'WINBUGS data'!$F$17:$F$65,0),MATCH("t[,"&amp;F$4 &amp;"]",'WINBUGS data'!$F$16:$ZZ$16,0)),"")</f>
        <v>3</v>
      </c>
      <c r="G26" s="31">
        <f>IFERROR(INDEX('WINBUGS data'!$F$17:$ZZ$65,MATCH($C26,'WINBUGS data'!$F$17:$F$65,0),MATCH("t[,"&amp;G$4 &amp;"]",'WINBUGS data'!$F$16:$ZZ$16,0)),"")</f>
        <v>10</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2,10</v>
      </c>
      <c r="F27" s="31">
        <f>IFERROR(INDEX('WINBUGS data'!$F$17:$ZZ$65,MATCH($C27,'WINBUGS data'!$F$17:$F$65,0),MATCH("t[,"&amp;F$4 &amp;"]",'WINBUGS data'!$F$16:$ZZ$16,0)),"")</f>
        <v>2</v>
      </c>
      <c r="G27" s="31">
        <f>IFERROR(INDEX('WINBUGS data'!$F$17:$ZZ$65,MATCH($C27,'WINBUGS data'!$F$17:$F$65,0),MATCH("t[,"&amp;G$4 &amp;"]",'WINBUGS data'!$F$16:$ZZ$16,0)),"")</f>
        <v>10</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1,2</v>
      </c>
      <c r="F28" s="31">
        <f>IFERROR(INDEX('WINBUGS data'!$F$17:$ZZ$65,MATCH($C28,'WINBUGS data'!$F$17:$F$65,0),MATCH("t[,"&amp;F$4 &amp;"]",'WINBUGS data'!$F$16:$ZZ$16,0)),"")</f>
        <v>1</v>
      </c>
      <c r="G28" s="31">
        <f>IFERROR(INDEX('WINBUGS data'!$F$17:$ZZ$65,MATCH($C28,'WINBUGS data'!$F$17:$F$65,0),MATCH("t[,"&amp;G$4 &amp;"]",'WINBUGS data'!$F$16:$ZZ$16,0)),"")</f>
        <v>2</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3,9</v>
      </c>
      <c r="F30" s="31">
        <f>IFERROR(INDEX('WINBUGS data'!$F$17:$ZZ$65,MATCH($C30,'WINBUGS data'!$F$17:$F$65,0),MATCH("t[,"&amp;F$4 &amp;"]",'WINBUGS data'!$F$16:$ZZ$16,0)),"")</f>
        <v>3</v>
      </c>
      <c r="G30" s="31">
        <f>IFERROR(INDEX('WINBUGS data'!$F$17:$ZZ$65,MATCH($C30,'WINBUGS data'!$F$17:$F$65,0),MATCH("t[,"&amp;G$4 &amp;"]",'WINBUGS data'!$F$16:$ZZ$16,0)),"")</f>
        <v>9</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9,10</v>
      </c>
      <c r="F31" s="31">
        <f>IFERROR(INDEX('WINBUGS data'!$F$17:$ZZ$65,MATCH($C31,'WINBUGS data'!$F$17:$F$65,0),MATCH("t[,"&amp;F$4 &amp;"]",'WINBUGS data'!$F$16:$ZZ$16,0)),"")</f>
        <v>9</v>
      </c>
      <c r="G31" s="31">
        <f>IFERROR(INDEX('WINBUGS data'!$F$17:$ZZ$65,MATCH($C31,'WINBUGS data'!$F$17:$F$65,0),MATCH("t[,"&amp;G$4 &amp;"]",'WINBUGS data'!$F$16:$ZZ$16,0)),"")</f>
        <v>10</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1,10</v>
      </c>
      <c r="F32" s="31">
        <f>IFERROR(INDEX('WINBUGS data'!$F$17:$ZZ$65,MATCH($C32,'WINBUGS data'!$F$17:$F$65,0),MATCH("t[,"&amp;F$4 &amp;"]",'WINBUGS data'!$F$16:$ZZ$16,0)),"")</f>
        <v>1</v>
      </c>
      <c r="G32" s="31">
        <f>IFERROR(INDEX('WINBUGS data'!$F$17:$ZZ$65,MATCH($C32,'WINBUGS data'!$F$17:$F$65,0),MATCH("t[,"&amp;G$4 &amp;"]",'WINBUGS data'!$F$16:$ZZ$16,0)),"")</f>
        <v>10</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3,10</v>
      </c>
      <c r="F33" s="31">
        <f>IFERROR(INDEX('WINBUGS data'!$F$17:$ZZ$65,MATCH($C33,'WINBUGS data'!$F$17:$F$65,0),MATCH("t[,"&amp;F$4 &amp;"]",'WINBUGS data'!$F$16:$ZZ$16,0)),"")</f>
        <v>3</v>
      </c>
      <c r="G33" s="31">
        <f>IFERROR(INDEX('WINBUGS data'!$F$17:$ZZ$65,MATCH($C33,'WINBUGS data'!$F$17:$F$65,0),MATCH("t[,"&amp;G$4 &amp;"]",'WINBUGS data'!$F$16:$ZZ$16,0)),"")</f>
        <v>10</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NA</v>
      </c>
      <c r="O33" s="31" t="str">
        <f>IFERROR(INDEX('WINBUGS data'!$F$17:$ZZ$65,MATCH($C33,'WINBUGS data'!$F$17:$F$65,0),MATCH("t[,"&amp;O$4 &amp;"]",'WINBUGS data'!$F$16:$ZZ$16,0)),"")</f>
        <v>NA</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1,2</v>
      </c>
      <c r="F34" s="31">
        <f>IFERROR(INDEX('WINBUGS data'!$F$17:$ZZ$65,MATCH($C34,'WINBUGS data'!$F$17:$F$65,0),MATCH("t[,"&amp;F$4 &amp;"]",'WINBUGS data'!$F$16:$ZZ$16,0)),"")</f>
        <v>1</v>
      </c>
      <c r="G34" s="31">
        <f>IFERROR(INDEX('WINBUGS data'!$F$17:$ZZ$65,MATCH($C34,'WINBUGS data'!$F$17:$F$65,0),MATCH("t[,"&amp;G$4 &amp;"]",'WINBUGS data'!$F$16:$ZZ$16,0)),"")</f>
        <v>2</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NA</v>
      </c>
      <c r="O34" s="31" t="str">
        <f>IFERROR(INDEX('WINBUGS data'!$F$17:$ZZ$65,MATCH($C34,'WINBUGS data'!$F$17:$F$65,0),MATCH("t[,"&amp;O$4 &amp;"]",'WINBUGS data'!$F$16:$ZZ$16,0)),"")</f>
        <v>NA</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1,3</v>
      </c>
      <c r="F35" s="31">
        <f>IFERROR(INDEX('WINBUGS data'!$F$17:$ZZ$65,MATCH($C35,'WINBUGS data'!$F$17:$F$65,0),MATCH("t[,"&amp;F$4 &amp;"]",'WINBUGS data'!$F$16:$ZZ$16,0)),"")</f>
        <v>1</v>
      </c>
      <c r="G35" s="31">
        <f>IFERROR(INDEX('WINBUGS data'!$F$17:$ZZ$65,MATCH($C35,'WINBUGS data'!$F$17:$F$65,0),MATCH("t[,"&amp;G$4 &amp;"]",'WINBUGS data'!$F$16:$ZZ$16,0)),"")</f>
        <v>3</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NA</v>
      </c>
      <c r="O35" s="31" t="str">
        <f>IFERROR(INDEX('WINBUGS data'!$F$17:$ZZ$65,MATCH($C35,'WINBUGS data'!$F$17:$F$65,0),MATCH("t[,"&amp;O$4 &amp;"]",'WINBUGS data'!$F$16:$ZZ$16,0)),"")</f>
        <v>NA</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840</v>
      </c>
    </row>
    <row r="4" spans="2:38" x14ac:dyDescent="0.25">
      <c r="B4" s="5" t="str">
        <f>IF('DATA Input'!E5="","",'DATA Input'!E5)</f>
        <v>INDOIV</v>
      </c>
      <c r="C4" s="1">
        <f>IF(B4="","",1)</f>
        <v>1</v>
      </c>
      <c r="H4" t="s">
        <v>841</v>
      </c>
    </row>
    <row r="5" spans="2:38" x14ac:dyDescent="0.25">
      <c r="B5" s="5" t="str">
        <f>IF('DATA Input'!G5="","",'DATA Input'!G5)</f>
        <v>IBUIV</v>
      </c>
      <c r="C5" s="1">
        <f>IF(B5="","",C4+1)</f>
        <v>2</v>
      </c>
      <c r="H5" t="s">
        <v>842</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843</v>
      </c>
    </row>
    <row r="8" spans="2:38" x14ac:dyDescent="0.25">
      <c r="B8" s="5" t="str">
        <f>IF('DATA Input'!M$5="","",'DATA Input'!M$5)</f>
        <v>IBUIVHIGHDOSE</v>
      </c>
      <c r="C8" s="1">
        <f t="shared" si="0"/>
        <v>5</v>
      </c>
      <c r="H8" t="s">
        <v>844</v>
      </c>
    </row>
    <row r="9" spans="2:38" x14ac:dyDescent="0.25">
      <c r="B9" s="5" t="str">
        <f>IF('DATA Input'!O$5="","",'DATA Input'!O$5)</f>
        <v>IBUPOHIGHDOSE</v>
      </c>
      <c r="C9" s="1">
        <f t="shared" si="0"/>
        <v>6</v>
      </c>
      <c r="H9" t="s">
        <v>845</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846</v>
      </c>
    </row>
    <row r="12" spans="2:38" x14ac:dyDescent="0.25">
      <c r="B12" s="5" t="str">
        <f>IF('DATA Input'!U$5="","",'DATA Input'!U$5)</f>
        <v>INDOTHERS</v>
      </c>
      <c r="C12" s="1">
        <f t="shared" si="0"/>
        <v>9</v>
      </c>
      <c r="F12" s="172" t="s">
        <v>268</v>
      </c>
      <c r="G12" s="146"/>
      <c r="H12" s="54" t="s">
        <v>847</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848</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839</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2</v>
      </c>
      <c r="H17" s="144">
        <v>8</v>
      </c>
      <c r="I17" s="144">
        <v>68</v>
      </c>
      <c r="J17" s="144">
        <v>10</v>
      </c>
      <c r="K17" s="144">
        <v>68</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2</v>
      </c>
      <c r="AC17">
        <v>10</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4</v>
      </c>
      <c r="H18" s="19">
        <v>8</v>
      </c>
      <c r="I18" s="19">
        <v>39</v>
      </c>
      <c r="J18" s="19">
        <v>8</v>
      </c>
      <c r="K18" s="19">
        <v>38</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1</v>
      </c>
      <c r="AC18">
        <v>4</v>
      </c>
      <c r="AD18" t="s">
        <v>376</v>
      </c>
      <c r="AE18" t="s">
        <v>376</v>
      </c>
      <c r="AF18" t="s">
        <v>376</v>
      </c>
      <c r="AG18" t="s">
        <v>376</v>
      </c>
      <c r="AH18" t="s">
        <v>376</v>
      </c>
      <c r="AI18" t="s">
        <v>376</v>
      </c>
      <c r="AJ18" t="s">
        <v>376</v>
      </c>
      <c r="AK18" t="s">
        <v>376</v>
      </c>
      <c r="AL18">
        <v>2</v>
      </c>
    </row>
    <row r="19" spans="2:38" x14ac:dyDescent="0.25">
      <c r="F19" s="16">
        <v>3</v>
      </c>
      <c r="G19" s="104">
        <v>7</v>
      </c>
      <c r="H19" s="19">
        <v>12</v>
      </c>
      <c r="I19" s="19">
        <v>80</v>
      </c>
      <c r="J19" s="19">
        <v>10</v>
      </c>
      <c r="K19" s="19">
        <v>80</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3</v>
      </c>
      <c r="AC19">
        <v>4</v>
      </c>
      <c r="AD19" t="s">
        <v>376</v>
      </c>
      <c r="AE19" t="s">
        <v>376</v>
      </c>
      <c r="AF19" t="s">
        <v>376</v>
      </c>
      <c r="AG19" t="s">
        <v>376</v>
      </c>
      <c r="AH19" t="s">
        <v>376</v>
      </c>
      <c r="AI19" t="s">
        <v>376</v>
      </c>
      <c r="AJ19" t="s">
        <v>376</v>
      </c>
      <c r="AK19" t="s">
        <v>376</v>
      </c>
      <c r="AL19">
        <v>2</v>
      </c>
    </row>
    <row r="20" spans="2:38" x14ac:dyDescent="0.25">
      <c r="F20" s="16">
        <v>4</v>
      </c>
      <c r="G20" s="104">
        <v>8</v>
      </c>
      <c r="H20" s="19">
        <v>1</v>
      </c>
      <c r="I20" s="19">
        <v>34</v>
      </c>
      <c r="J20" s="19">
        <v>2</v>
      </c>
      <c r="K20" s="19">
        <v>36</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2</v>
      </c>
      <c r="AC20">
        <v>3</v>
      </c>
      <c r="AD20" t="s">
        <v>376</v>
      </c>
      <c r="AE20" t="s">
        <v>376</v>
      </c>
      <c r="AF20" t="s">
        <v>376</v>
      </c>
      <c r="AG20" t="s">
        <v>376</v>
      </c>
      <c r="AH20" t="s">
        <v>376</v>
      </c>
      <c r="AI20" t="s">
        <v>376</v>
      </c>
      <c r="AJ20" t="s">
        <v>376</v>
      </c>
      <c r="AK20" t="s">
        <v>376</v>
      </c>
      <c r="AL20">
        <v>2</v>
      </c>
    </row>
    <row r="21" spans="2:38" x14ac:dyDescent="0.25">
      <c r="F21" s="16">
        <v>5</v>
      </c>
      <c r="G21" s="104">
        <v>9</v>
      </c>
      <c r="H21" s="19">
        <v>1</v>
      </c>
      <c r="I21" s="19">
        <v>50</v>
      </c>
      <c r="J21" s="19">
        <v>2</v>
      </c>
      <c r="K21" s="19">
        <v>52</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2</v>
      </c>
      <c r="AC21">
        <v>3</v>
      </c>
      <c r="AD21" t="s">
        <v>376</v>
      </c>
      <c r="AE21" t="s">
        <v>376</v>
      </c>
      <c r="AF21" t="s">
        <v>376</v>
      </c>
      <c r="AG21" t="s">
        <v>376</v>
      </c>
      <c r="AH21" t="s">
        <v>376</v>
      </c>
      <c r="AI21" t="s">
        <v>376</v>
      </c>
      <c r="AJ21" t="s">
        <v>376</v>
      </c>
      <c r="AK21" t="s">
        <v>376</v>
      </c>
      <c r="AL21">
        <v>2</v>
      </c>
    </row>
    <row r="22" spans="2:38" x14ac:dyDescent="0.25">
      <c r="F22" s="16">
        <v>6</v>
      </c>
      <c r="G22" s="104">
        <v>11</v>
      </c>
      <c r="H22" s="19">
        <v>8</v>
      </c>
      <c r="I22" s="19">
        <v>32</v>
      </c>
      <c r="J22" s="19">
        <v>9</v>
      </c>
      <c r="K22" s="19">
        <v>32</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2</v>
      </c>
      <c r="AC22">
        <v>3</v>
      </c>
      <c r="AD22" t="s">
        <v>376</v>
      </c>
      <c r="AE22" t="s">
        <v>376</v>
      </c>
      <c r="AF22" t="s">
        <v>376</v>
      </c>
      <c r="AG22" t="s">
        <v>376</v>
      </c>
      <c r="AH22" t="s">
        <v>376</v>
      </c>
      <c r="AI22" t="s">
        <v>376</v>
      </c>
      <c r="AJ22" t="s">
        <v>376</v>
      </c>
      <c r="AK22" t="s">
        <v>376</v>
      </c>
      <c r="AL22">
        <v>2</v>
      </c>
    </row>
    <row r="23" spans="2:38" x14ac:dyDescent="0.25">
      <c r="F23" s="16">
        <v>7</v>
      </c>
      <c r="G23" s="104">
        <v>14</v>
      </c>
      <c r="H23" s="19">
        <v>0</v>
      </c>
      <c r="I23" s="19">
        <v>14</v>
      </c>
      <c r="J23" s="19">
        <v>2</v>
      </c>
      <c r="K23" s="19">
        <v>18</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1</v>
      </c>
      <c r="AC23">
        <v>8</v>
      </c>
      <c r="AD23" t="s">
        <v>376</v>
      </c>
      <c r="AE23" t="s">
        <v>376</v>
      </c>
      <c r="AF23" t="s">
        <v>376</v>
      </c>
      <c r="AG23" t="s">
        <v>376</v>
      </c>
      <c r="AH23" t="s">
        <v>376</v>
      </c>
      <c r="AI23" t="s">
        <v>376</v>
      </c>
      <c r="AJ23" t="s">
        <v>376</v>
      </c>
      <c r="AK23" t="s">
        <v>376</v>
      </c>
      <c r="AL23">
        <v>2</v>
      </c>
    </row>
    <row r="24" spans="2:38" x14ac:dyDescent="0.25">
      <c r="F24" s="16">
        <v>8</v>
      </c>
      <c r="G24" s="104">
        <v>15</v>
      </c>
      <c r="H24" s="19">
        <v>1</v>
      </c>
      <c r="I24" s="19">
        <v>20</v>
      </c>
      <c r="J24" s="19">
        <v>4</v>
      </c>
      <c r="K24" s="19">
        <v>19</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1</v>
      </c>
      <c r="AC24">
        <v>10</v>
      </c>
      <c r="AD24" t="s">
        <v>376</v>
      </c>
      <c r="AE24" t="s">
        <v>376</v>
      </c>
      <c r="AF24" t="s">
        <v>376</v>
      </c>
      <c r="AG24" t="s">
        <v>376</v>
      </c>
      <c r="AH24" t="s">
        <v>376</v>
      </c>
      <c r="AI24" t="s">
        <v>376</v>
      </c>
      <c r="AJ24" t="s">
        <v>376</v>
      </c>
      <c r="AK24" t="s">
        <v>376</v>
      </c>
      <c r="AL24">
        <v>2</v>
      </c>
    </row>
    <row r="25" spans="2:38" x14ac:dyDescent="0.25">
      <c r="F25" s="16">
        <v>9</v>
      </c>
      <c r="G25" s="104">
        <v>17</v>
      </c>
      <c r="H25" s="19">
        <v>3</v>
      </c>
      <c r="I25" s="19">
        <v>32</v>
      </c>
      <c r="J25" s="19">
        <v>4</v>
      </c>
      <c r="K25" s="19">
        <v>31</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2</v>
      </c>
      <c r="AC25">
        <v>8</v>
      </c>
      <c r="AD25" t="s">
        <v>376</v>
      </c>
      <c r="AE25" t="s">
        <v>376</v>
      </c>
      <c r="AF25" t="s">
        <v>376</v>
      </c>
      <c r="AG25" t="s">
        <v>376</v>
      </c>
      <c r="AH25" t="s">
        <v>376</v>
      </c>
      <c r="AI25" t="s">
        <v>376</v>
      </c>
      <c r="AJ25" t="s">
        <v>376</v>
      </c>
      <c r="AK25" t="s">
        <v>376</v>
      </c>
      <c r="AL25">
        <v>2</v>
      </c>
    </row>
    <row r="26" spans="2:38" x14ac:dyDescent="0.25">
      <c r="F26" s="16">
        <v>10</v>
      </c>
      <c r="G26" s="104">
        <v>18</v>
      </c>
      <c r="H26" s="19">
        <v>5</v>
      </c>
      <c r="I26" s="19">
        <v>35</v>
      </c>
      <c r="J26" s="19">
        <v>6</v>
      </c>
      <c r="K26" s="19">
        <v>35</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2</v>
      </c>
      <c r="AC26">
        <v>5</v>
      </c>
      <c r="AD26" t="s">
        <v>376</v>
      </c>
      <c r="AE26" t="s">
        <v>376</v>
      </c>
      <c r="AF26" t="s">
        <v>376</v>
      </c>
      <c r="AG26" t="s">
        <v>376</v>
      </c>
      <c r="AH26" t="s">
        <v>376</v>
      </c>
      <c r="AI26" t="s">
        <v>376</v>
      </c>
      <c r="AJ26" t="s">
        <v>376</v>
      </c>
      <c r="AK26" t="s">
        <v>376</v>
      </c>
      <c r="AL26">
        <v>2</v>
      </c>
    </row>
    <row r="27" spans="2:38" x14ac:dyDescent="0.25">
      <c r="F27" s="16">
        <v>11</v>
      </c>
      <c r="G27" s="104">
        <v>22</v>
      </c>
      <c r="H27" s="19">
        <v>4</v>
      </c>
      <c r="I27" s="16">
        <v>44</v>
      </c>
      <c r="J27" s="16">
        <v>5</v>
      </c>
      <c r="K27" s="16">
        <v>48</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1</v>
      </c>
      <c r="AC27">
        <v>10</v>
      </c>
      <c r="AD27" t="s">
        <v>376</v>
      </c>
      <c r="AE27" t="s">
        <v>376</v>
      </c>
      <c r="AF27" t="s">
        <v>376</v>
      </c>
      <c r="AG27" t="s">
        <v>376</v>
      </c>
      <c r="AH27" t="s">
        <v>376</v>
      </c>
      <c r="AI27" t="s">
        <v>376</v>
      </c>
      <c r="AJ27" t="s">
        <v>376</v>
      </c>
      <c r="AK27" t="s">
        <v>376</v>
      </c>
      <c r="AL27">
        <v>2</v>
      </c>
    </row>
    <row r="28" spans="2:38" x14ac:dyDescent="0.25">
      <c r="F28" s="16">
        <v>12</v>
      </c>
      <c r="G28" s="104">
        <v>25</v>
      </c>
      <c r="H28" s="16">
        <v>1</v>
      </c>
      <c r="I28" s="16">
        <v>56</v>
      </c>
      <c r="J28" s="16">
        <v>1</v>
      </c>
      <c r="K28" s="16">
        <v>55</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2</v>
      </c>
      <c r="AC28">
        <v>7</v>
      </c>
      <c r="AD28" t="s">
        <v>376</v>
      </c>
      <c r="AE28" t="s">
        <v>376</v>
      </c>
      <c r="AF28" t="s">
        <v>376</v>
      </c>
      <c r="AG28" t="s">
        <v>376</v>
      </c>
      <c r="AH28" t="s">
        <v>376</v>
      </c>
      <c r="AI28" t="s">
        <v>376</v>
      </c>
      <c r="AJ28" t="s">
        <v>376</v>
      </c>
      <c r="AK28" t="s">
        <v>376</v>
      </c>
      <c r="AL28">
        <v>2</v>
      </c>
    </row>
    <row r="29" spans="2:38" x14ac:dyDescent="0.25">
      <c r="F29" s="16">
        <v>13</v>
      </c>
      <c r="G29" s="104">
        <v>26</v>
      </c>
      <c r="H29" s="16">
        <v>3</v>
      </c>
      <c r="I29" s="16">
        <v>69</v>
      </c>
      <c r="J29" s="16">
        <v>6</v>
      </c>
      <c r="K29" s="16">
        <v>71</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1</v>
      </c>
      <c r="AC29">
        <v>9</v>
      </c>
      <c r="AD29" t="s">
        <v>376</v>
      </c>
      <c r="AE29" t="s">
        <v>376</v>
      </c>
      <c r="AF29" t="s">
        <v>376</v>
      </c>
      <c r="AG29" t="s">
        <v>376</v>
      </c>
      <c r="AH29" t="s">
        <v>376</v>
      </c>
      <c r="AI29" t="s">
        <v>376</v>
      </c>
      <c r="AJ29" t="s">
        <v>376</v>
      </c>
      <c r="AK29" t="s">
        <v>376</v>
      </c>
      <c r="AL29">
        <v>2</v>
      </c>
    </row>
    <row r="30" spans="2:38" x14ac:dyDescent="0.25">
      <c r="F30" s="16">
        <v>14</v>
      </c>
      <c r="G30" s="104">
        <v>29</v>
      </c>
      <c r="H30" s="16">
        <v>3</v>
      </c>
      <c r="I30" s="16">
        <v>24</v>
      </c>
      <c r="J30" s="16">
        <v>7</v>
      </c>
      <c r="K30" s="16">
        <v>23</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9</v>
      </c>
      <c r="AC30">
        <v>10</v>
      </c>
      <c r="AD30" t="s">
        <v>376</v>
      </c>
      <c r="AE30" t="s">
        <v>376</v>
      </c>
      <c r="AF30" t="s">
        <v>376</v>
      </c>
      <c r="AG30" t="s">
        <v>376</v>
      </c>
      <c r="AH30" t="s">
        <v>376</v>
      </c>
      <c r="AI30" t="s">
        <v>376</v>
      </c>
      <c r="AJ30" t="s">
        <v>376</v>
      </c>
      <c r="AK30" t="s">
        <v>376</v>
      </c>
      <c r="AL30">
        <v>2</v>
      </c>
    </row>
    <row r="31" spans="2:38" x14ac:dyDescent="0.25">
      <c r="F31" s="16">
        <v>15</v>
      </c>
      <c r="G31" s="104">
        <v>30</v>
      </c>
      <c r="H31" s="16">
        <v>1</v>
      </c>
      <c r="I31" s="16">
        <v>12</v>
      </c>
      <c r="J31" s="16">
        <v>3</v>
      </c>
      <c r="K31" s="16">
        <v>11</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9</v>
      </c>
      <c r="AC31">
        <v>10</v>
      </c>
      <c r="AD31" t="s">
        <v>376</v>
      </c>
      <c r="AE31" t="s">
        <v>376</v>
      </c>
      <c r="AF31" t="s">
        <v>376</v>
      </c>
      <c r="AG31" t="s">
        <v>376</v>
      </c>
      <c r="AH31" t="s">
        <v>376</v>
      </c>
      <c r="AI31" t="s">
        <v>376</v>
      </c>
      <c r="AJ31" t="s">
        <v>376</v>
      </c>
      <c r="AK31" t="s">
        <v>376</v>
      </c>
      <c r="AL31">
        <v>2</v>
      </c>
    </row>
    <row r="32" spans="2:38" x14ac:dyDescent="0.25">
      <c r="F32" s="16">
        <v>16</v>
      </c>
      <c r="G32" s="104">
        <v>32</v>
      </c>
      <c r="H32" s="16">
        <v>2</v>
      </c>
      <c r="I32" s="16">
        <v>40</v>
      </c>
      <c r="J32" s="16">
        <v>3</v>
      </c>
      <c r="K32" s="16">
        <v>40</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3</v>
      </c>
      <c r="AC32">
        <v>4</v>
      </c>
      <c r="AD32" t="s">
        <v>376</v>
      </c>
      <c r="AE32" t="s">
        <v>376</v>
      </c>
      <c r="AF32" t="s">
        <v>376</v>
      </c>
      <c r="AG32" t="s">
        <v>376</v>
      </c>
      <c r="AH32" t="s">
        <v>376</v>
      </c>
      <c r="AI32" t="s">
        <v>376</v>
      </c>
      <c r="AJ32" t="s">
        <v>376</v>
      </c>
      <c r="AK32" t="s">
        <v>376</v>
      </c>
      <c r="AL32">
        <v>2</v>
      </c>
    </row>
    <row r="33" spans="6:38" x14ac:dyDescent="0.25">
      <c r="F33" s="16">
        <v>17</v>
      </c>
      <c r="G33" s="104">
        <v>33</v>
      </c>
      <c r="H33" s="16">
        <v>9</v>
      </c>
      <c r="I33" s="16">
        <v>35</v>
      </c>
      <c r="J33" s="16">
        <v>10</v>
      </c>
      <c r="K33" s="16">
        <v>35</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1</v>
      </c>
      <c r="AC33">
        <v>10</v>
      </c>
      <c r="AD33" t="s">
        <v>376</v>
      </c>
      <c r="AE33" t="s">
        <v>376</v>
      </c>
      <c r="AF33" t="s">
        <v>376</v>
      </c>
      <c r="AG33" t="s">
        <v>376</v>
      </c>
      <c r="AH33" t="s">
        <v>376</v>
      </c>
      <c r="AI33" t="s">
        <v>376</v>
      </c>
      <c r="AJ33" t="s">
        <v>376</v>
      </c>
      <c r="AK33" t="s">
        <v>376</v>
      </c>
      <c r="AL33">
        <v>2</v>
      </c>
    </row>
    <row r="34" spans="6:38" x14ac:dyDescent="0.25">
      <c r="F34" s="16">
        <v>18</v>
      </c>
      <c r="G34" s="104">
        <v>35</v>
      </c>
      <c r="H34" s="16">
        <v>3</v>
      </c>
      <c r="I34" s="16">
        <v>20</v>
      </c>
      <c r="J34" s="16">
        <v>1</v>
      </c>
      <c r="K34" s="16">
        <v>20</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1</v>
      </c>
      <c r="AC34">
        <v>2</v>
      </c>
      <c r="AD34" t="s">
        <v>376</v>
      </c>
      <c r="AE34" t="s">
        <v>376</v>
      </c>
      <c r="AF34" t="s">
        <v>376</v>
      </c>
      <c r="AG34" t="s">
        <v>376</v>
      </c>
      <c r="AH34" t="s">
        <v>376</v>
      </c>
      <c r="AI34" t="s">
        <v>376</v>
      </c>
      <c r="AJ34" t="s">
        <v>376</v>
      </c>
      <c r="AK34" t="s">
        <v>376</v>
      </c>
      <c r="AL34">
        <v>2</v>
      </c>
    </row>
    <row r="35" spans="6:38" x14ac:dyDescent="0.25">
      <c r="F35" s="16">
        <v>19</v>
      </c>
      <c r="G35" s="104">
        <v>36</v>
      </c>
      <c r="H35" s="16">
        <v>4</v>
      </c>
      <c r="I35" s="16">
        <v>64</v>
      </c>
      <c r="J35" s="16">
        <v>3</v>
      </c>
      <c r="K35" s="16">
        <v>63</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1</v>
      </c>
      <c r="AC35">
        <v>9</v>
      </c>
      <c r="AD35" t="s">
        <v>376</v>
      </c>
      <c r="AE35" t="s">
        <v>376</v>
      </c>
      <c r="AF35" t="s">
        <v>376</v>
      </c>
      <c r="AG35" t="s">
        <v>376</v>
      </c>
      <c r="AH35" t="s">
        <v>376</v>
      </c>
      <c r="AI35" t="s">
        <v>376</v>
      </c>
      <c r="AJ35" t="s">
        <v>376</v>
      </c>
      <c r="AK35" t="s">
        <v>376</v>
      </c>
      <c r="AL35">
        <v>2</v>
      </c>
    </row>
    <row r="36" spans="6:38" x14ac:dyDescent="0.25">
      <c r="F36" s="16">
        <v>20</v>
      </c>
      <c r="G36" s="104">
        <v>41</v>
      </c>
      <c r="H36" s="16">
        <v>1</v>
      </c>
      <c r="I36" s="16">
        <v>30</v>
      </c>
      <c r="J36" s="16">
        <v>2</v>
      </c>
      <c r="K36" s="16">
        <v>30</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3</v>
      </c>
      <c r="AC36">
        <v>6</v>
      </c>
      <c r="AD36" t="s">
        <v>376</v>
      </c>
      <c r="AE36" t="s">
        <v>376</v>
      </c>
      <c r="AF36" t="s">
        <v>376</v>
      </c>
      <c r="AG36" t="s">
        <v>376</v>
      </c>
      <c r="AH36" t="s">
        <v>376</v>
      </c>
      <c r="AI36" t="s">
        <v>376</v>
      </c>
      <c r="AJ36" t="s">
        <v>376</v>
      </c>
      <c r="AK36" t="s">
        <v>376</v>
      </c>
      <c r="AL36">
        <v>2</v>
      </c>
    </row>
    <row r="37" spans="6:38" x14ac:dyDescent="0.25">
      <c r="F37" s="16">
        <v>21</v>
      </c>
      <c r="G37" s="104">
        <v>45</v>
      </c>
      <c r="H37" s="16">
        <v>2</v>
      </c>
      <c r="I37" s="16">
        <v>15</v>
      </c>
      <c r="J37" s="16">
        <v>2</v>
      </c>
      <c r="K37" s="16">
        <v>15</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9</v>
      </c>
      <c r="AC37">
        <v>10</v>
      </c>
      <c r="AD37" t="s">
        <v>376</v>
      </c>
      <c r="AE37" t="s">
        <v>376</v>
      </c>
      <c r="AF37" t="s">
        <v>376</v>
      </c>
      <c r="AG37" t="s">
        <v>376</v>
      </c>
      <c r="AH37" t="s">
        <v>376</v>
      </c>
      <c r="AI37" t="s">
        <v>376</v>
      </c>
      <c r="AJ37" t="s">
        <v>376</v>
      </c>
      <c r="AK37" t="s">
        <v>376</v>
      </c>
      <c r="AL37">
        <v>2</v>
      </c>
    </row>
    <row r="38" spans="6:38" x14ac:dyDescent="0.25">
      <c r="F38" s="16">
        <v>22</v>
      </c>
      <c r="G38" s="104">
        <v>46</v>
      </c>
      <c r="H38" s="16">
        <v>2</v>
      </c>
      <c r="I38" s="16">
        <v>31</v>
      </c>
      <c r="J38" s="16">
        <v>3</v>
      </c>
      <c r="K38" s="16">
        <v>31</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3</v>
      </c>
      <c r="AC38">
        <v>10</v>
      </c>
      <c r="AD38" t="s">
        <v>376</v>
      </c>
      <c r="AE38" t="s">
        <v>376</v>
      </c>
      <c r="AF38" t="s">
        <v>376</v>
      </c>
      <c r="AG38" t="s">
        <v>376</v>
      </c>
      <c r="AH38" t="s">
        <v>376</v>
      </c>
      <c r="AI38" t="s">
        <v>376</v>
      </c>
      <c r="AJ38" t="s">
        <v>376</v>
      </c>
      <c r="AK38" t="s">
        <v>376</v>
      </c>
      <c r="AL38">
        <v>2</v>
      </c>
    </row>
    <row r="39" spans="6:38" x14ac:dyDescent="0.25">
      <c r="F39" s="16">
        <v>23</v>
      </c>
      <c r="G39" s="104">
        <v>47</v>
      </c>
      <c r="H39" s="16">
        <v>4</v>
      </c>
      <c r="I39" s="16">
        <v>54</v>
      </c>
      <c r="J39" s="16">
        <v>6</v>
      </c>
      <c r="K39" s="16">
        <v>51</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2</v>
      </c>
      <c r="AC39">
        <v>10</v>
      </c>
      <c r="AD39" t="s">
        <v>376</v>
      </c>
      <c r="AE39" t="s">
        <v>376</v>
      </c>
      <c r="AF39" t="s">
        <v>376</v>
      </c>
      <c r="AG39" t="s">
        <v>376</v>
      </c>
      <c r="AH39" t="s">
        <v>376</v>
      </c>
      <c r="AI39" t="s">
        <v>376</v>
      </c>
      <c r="AJ39" t="s">
        <v>376</v>
      </c>
      <c r="AK39" t="s">
        <v>376</v>
      </c>
      <c r="AL39">
        <v>2</v>
      </c>
    </row>
    <row r="40" spans="6:38" x14ac:dyDescent="0.25">
      <c r="F40" s="16">
        <v>24</v>
      </c>
      <c r="G40" s="104">
        <v>49</v>
      </c>
      <c r="H40" s="16">
        <v>7</v>
      </c>
      <c r="I40" s="16">
        <v>59</v>
      </c>
      <c r="J40" s="16">
        <v>7</v>
      </c>
      <c r="K40" s="16">
        <v>60</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1</v>
      </c>
      <c r="AC40">
        <v>2</v>
      </c>
      <c r="AD40" t="s">
        <v>376</v>
      </c>
      <c r="AE40" t="s">
        <v>376</v>
      </c>
      <c r="AF40" t="s">
        <v>376</v>
      </c>
      <c r="AG40" t="s">
        <v>376</v>
      </c>
      <c r="AH40" t="s">
        <v>376</v>
      </c>
      <c r="AI40" t="s">
        <v>376</v>
      </c>
      <c r="AJ40" t="s">
        <v>376</v>
      </c>
      <c r="AK40" t="s">
        <v>376</v>
      </c>
      <c r="AL40">
        <v>2</v>
      </c>
    </row>
    <row r="41" spans="6:38" x14ac:dyDescent="0.25">
      <c r="F41" s="16">
        <v>25</v>
      </c>
      <c r="G41" s="104">
        <v>53</v>
      </c>
      <c r="H41" s="16">
        <v>6</v>
      </c>
      <c r="I41" s="16">
        <v>74</v>
      </c>
      <c r="J41" s="16">
        <v>7</v>
      </c>
      <c r="K41" s="16">
        <v>74</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1</v>
      </c>
      <c r="AC41">
        <v>2</v>
      </c>
      <c r="AD41" t="s">
        <v>376</v>
      </c>
      <c r="AE41" t="s">
        <v>376</v>
      </c>
      <c r="AF41" t="s">
        <v>376</v>
      </c>
      <c r="AG41" t="s">
        <v>376</v>
      </c>
      <c r="AH41" t="s">
        <v>376</v>
      </c>
      <c r="AI41" t="s">
        <v>376</v>
      </c>
      <c r="AJ41" t="s">
        <v>376</v>
      </c>
      <c r="AK41" t="s">
        <v>376</v>
      </c>
      <c r="AL41">
        <v>2</v>
      </c>
    </row>
    <row r="42" spans="6:38" x14ac:dyDescent="0.25">
      <c r="F42" s="16">
        <v>26</v>
      </c>
      <c r="G42" s="104">
        <v>54</v>
      </c>
      <c r="H42" s="16">
        <v>1</v>
      </c>
      <c r="I42" s="16">
        <v>48</v>
      </c>
      <c r="J42" s="16">
        <v>5</v>
      </c>
      <c r="K42" s="16">
        <v>35</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3</v>
      </c>
      <c r="AC42">
        <v>9</v>
      </c>
      <c r="AD42" t="s">
        <v>376</v>
      </c>
      <c r="AE42" t="s">
        <v>376</v>
      </c>
      <c r="AF42" t="s">
        <v>376</v>
      </c>
      <c r="AG42" t="s">
        <v>376</v>
      </c>
      <c r="AH42" t="s">
        <v>376</v>
      </c>
      <c r="AI42" t="s">
        <v>376</v>
      </c>
      <c r="AJ42" t="s">
        <v>376</v>
      </c>
      <c r="AK42" t="s">
        <v>376</v>
      </c>
      <c r="AL42">
        <v>2</v>
      </c>
    </row>
    <row r="43" spans="6:38" x14ac:dyDescent="0.25">
      <c r="F43" s="16">
        <v>27</v>
      </c>
      <c r="G43" s="104">
        <v>55</v>
      </c>
      <c r="H43" s="16">
        <v>3</v>
      </c>
      <c r="I43" s="16">
        <v>22</v>
      </c>
      <c r="J43" s="16">
        <v>9</v>
      </c>
      <c r="K43" s="16">
        <v>21</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9</v>
      </c>
      <c r="AC43">
        <v>10</v>
      </c>
      <c r="AD43" t="s">
        <v>376</v>
      </c>
      <c r="AE43" t="s">
        <v>376</v>
      </c>
      <c r="AF43" t="s">
        <v>376</v>
      </c>
      <c r="AG43" t="s">
        <v>376</v>
      </c>
      <c r="AH43" t="s">
        <v>376</v>
      </c>
      <c r="AI43" t="s">
        <v>376</v>
      </c>
      <c r="AJ43" t="s">
        <v>376</v>
      </c>
      <c r="AK43" t="s">
        <v>376</v>
      </c>
      <c r="AL43">
        <v>2</v>
      </c>
    </row>
    <row r="44" spans="6:38" x14ac:dyDescent="0.25">
      <c r="F44" s="16">
        <v>28</v>
      </c>
      <c r="G44" s="104">
        <v>58</v>
      </c>
      <c r="H44" s="16">
        <v>6</v>
      </c>
      <c r="I44" s="16">
        <v>28</v>
      </c>
      <c r="J44" s="16">
        <v>5</v>
      </c>
      <c r="K44" s="16">
        <v>27</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1</v>
      </c>
      <c r="AC44">
        <v>10</v>
      </c>
      <c r="AD44" t="s">
        <v>376</v>
      </c>
      <c r="AE44" t="s">
        <v>376</v>
      </c>
      <c r="AF44" t="s">
        <v>376</v>
      </c>
      <c r="AG44" t="s">
        <v>376</v>
      </c>
      <c r="AH44" t="s">
        <v>376</v>
      </c>
      <c r="AI44" t="s">
        <v>376</v>
      </c>
      <c r="AJ44" t="s">
        <v>376</v>
      </c>
      <c r="AK44" t="s">
        <v>376</v>
      </c>
      <c r="AL44">
        <v>2</v>
      </c>
    </row>
    <row r="45" spans="6:38" x14ac:dyDescent="0.25">
      <c r="F45" s="16">
        <v>29</v>
      </c>
      <c r="G45" s="104">
        <v>60</v>
      </c>
      <c r="H45" s="16">
        <v>2</v>
      </c>
      <c r="I45" s="16">
        <v>32</v>
      </c>
      <c r="J45" s="16">
        <v>3</v>
      </c>
      <c r="K45" s="16">
        <v>32</v>
      </c>
      <c r="L45" s="16" t="s">
        <v>376</v>
      </c>
      <c r="M45" s="16">
        <v>1</v>
      </c>
      <c r="N45" s="16" t="s">
        <v>376</v>
      </c>
      <c r="O45" s="16">
        <v>1</v>
      </c>
      <c r="P45" s="16" t="s">
        <v>376</v>
      </c>
      <c r="Q45" s="16">
        <v>1</v>
      </c>
      <c r="R45" s="16" t="s">
        <v>376</v>
      </c>
      <c r="S45" s="16">
        <v>1</v>
      </c>
      <c r="T45" s="16" t="s">
        <v>376</v>
      </c>
      <c r="U45" s="16">
        <v>1</v>
      </c>
      <c r="V45" s="16" t="s">
        <v>376</v>
      </c>
      <c r="W45" s="16">
        <v>1</v>
      </c>
      <c r="X45" t="s">
        <v>376</v>
      </c>
      <c r="Y45">
        <v>1</v>
      </c>
      <c r="Z45" t="s">
        <v>376</v>
      </c>
      <c r="AA45">
        <v>1</v>
      </c>
      <c r="AB45">
        <v>3</v>
      </c>
      <c r="AC45">
        <v>10</v>
      </c>
      <c r="AD45" t="s">
        <v>376</v>
      </c>
      <c r="AE45" t="s">
        <v>376</v>
      </c>
      <c r="AF45" t="s">
        <v>376</v>
      </c>
      <c r="AG45" t="s">
        <v>376</v>
      </c>
      <c r="AH45" t="s">
        <v>376</v>
      </c>
      <c r="AI45" t="s">
        <v>376</v>
      </c>
      <c r="AJ45" t="s">
        <v>376</v>
      </c>
      <c r="AK45" t="s">
        <v>376</v>
      </c>
      <c r="AL45">
        <v>2</v>
      </c>
    </row>
    <row r="46" spans="6:38" x14ac:dyDescent="0.25">
      <c r="F46" s="16">
        <v>30</v>
      </c>
      <c r="G46" s="104">
        <v>62</v>
      </c>
      <c r="H46">
        <v>2</v>
      </c>
      <c r="I46">
        <v>24</v>
      </c>
      <c r="J46">
        <v>2</v>
      </c>
      <c r="K46">
        <v>23</v>
      </c>
      <c r="L46" t="s">
        <v>376</v>
      </c>
      <c r="M46">
        <v>1</v>
      </c>
      <c r="N46" t="s">
        <v>376</v>
      </c>
      <c r="O46">
        <v>1</v>
      </c>
      <c r="P46" t="s">
        <v>376</v>
      </c>
      <c r="Q46">
        <v>1</v>
      </c>
      <c r="R46" t="s">
        <v>376</v>
      </c>
      <c r="S46">
        <v>1</v>
      </c>
      <c r="T46" t="s">
        <v>376</v>
      </c>
      <c r="U46">
        <v>1</v>
      </c>
      <c r="V46" t="s">
        <v>376</v>
      </c>
      <c r="W46">
        <v>1</v>
      </c>
      <c r="X46" t="s">
        <v>376</v>
      </c>
      <c r="Y46">
        <v>1</v>
      </c>
      <c r="Z46" t="s">
        <v>376</v>
      </c>
      <c r="AA46">
        <v>1</v>
      </c>
      <c r="AB46">
        <v>1</v>
      </c>
      <c r="AC46">
        <v>2</v>
      </c>
      <c r="AD46" t="s">
        <v>376</v>
      </c>
      <c r="AE46" t="s">
        <v>376</v>
      </c>
      <c r="AF46" t="s">
        <v>376</v>
      </c>
      <c r="AG46" t="s">
        <v>376</v>
      </c>
      <c r="AH46" t="s">
        <v>376</v>
      </c>
      <c r="AI46" t="s">
        <v>376</v>
      </c>
      <c r="AJ46" t="s">
        <v>376</v>
      </c>
      <c r="AK46" t="s">
        <v>376</v>
      </c>
      <c r="AL46">
        <v>2</v>
      </c>
    </row>
    <row r="47" spans="6:38" x14ac:dyDescent="0.25">
      <c r="F47" s="16">
        <v>31</v>
      </c>
      <c r="G47" s="104">
        <v>65</v>
      </c>
      <c r="H47">
        <v>2</v>
      </c>
      <c r="I47">
        <v>18</v>
      </c>
      <c r="J47">
        <v>0</v>
      </c>
      <c r="K47">
        <v>16</v>
      </c>
      <c r="L47" t="s">
        <v>376</v>
      </c>
      <c r="M47">
        <v>1</v>
      </c>
      <c r="N47" t="s">
        <v>376</v>
      </c>
      <c r="O47">
        <v>1</v>
      </c>
      <c r="P47" t="s">
        <v>376</v>
      </c>
      <c r="Q47">
        <v>1</v>
      </c>
      <c r="R47" t="s">
        <v>376</v>
      </c>
      <c r="S47">
        <v>1</v>
      </c>
      <c r="T47" t="s">
        <v>376</v>
      </c>
      <c r="U47">
        <v>1</v>
      </c>
      <c r="V47" t="s">
        <v>376</v>
      </c>
      <c r="W47">
        <v>1</v>
      </c>
      <c r="X47" t="s">
        <v>376</v>
      </c>
      <c r="Y47">
        <v>1</v>
      </c>
      <c r="Z47" t="s">
        <v>376</v>
      </c>
      <c r="AA47">
        <v>1</v>
      </c>
      <c r="AB47">
        <v>1</v>
      </c>
      <c r="AC47">
        <v>3</v>
      </c>
      <c r="AD47" t="s">
        <v>376</v>
      </c>
      <c r="AE47" t="s">
        <v>376</v>
      </c>
      <c r="AF47" t="s">
        <v>376</v>
      </c>
      <c r="AG47" t="s">
        <v>376</v>
      </c>
      <c r="AH47" t="s">
        <v>376</v>
      </c>
      <c r="AI47" t="s">
        <v>376</v>
      </c>
      <c r="AJ47" t="s">
        <v>376</v>
      </c>
      <c r="AK47" t="s">
        <v>376</v>
      </c>
      <c r="AL47">
        <v>2</v>
      </c>
    </row>
    <row r="48" spans="6:38" x14ac:dyDescent="0.25">
      <c r="F48" s="16"/>
      <c r="G48" s="104"/>
      <c r="H48" t="s">
        <v>377</v>
      </c>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772</v>
      </c>
    </row>
    <row r="4" spans="2:26" x14ac:dyDescent="0.25">
      <c r="B4" s="5" t="str">
        <f>IF('DATA Input'!E5="","",'DATA Input'!E5)</f>
        <v>INDOIV</v>
      </c>
      <c r="C4" s="1">
        <f>IF(B4="","",1)</f>
        <v>1</v>
      </c>
      <c r="H4" t="s">
        <v>773</v>
      </c>
    </row>
    <row r="5" spans="2:26" x14ac:dyDescent="0.25">
      <c r="B5" s="5" t="str">
        <f>IF('DATA Input'!G5="","",'DATA Input'!G5)</f>
        <v>IBUIV</v>
      </c>
      <c r="C5" s="1">
        <f>IF(B5="","",C4+1)</f>
        <v>2</v>
      </c>
      <c r="H5" t="s">
        <v>774</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769</v>
      </c>
    </row>
    <row r="8" spans="2:26" x14ac:dyDescent="0.25">
      <c r="B8" s="5" t="str">
        <f>IF('DATA Input'!M$5="","",'DATA Input'!M$5)</f>
        <v>IBUIVHIGHDOSE</v>
      </c>
      <c r="C8" s="1">
        <f t="shared" si="0"/>
        <v>5</v>
      </c>
      <c r="H8" t="s">
        <v>770</v>
      </c>
    </row>
    <row r="9" spans="2:26" x14ac:dyDescent="0.25">
      <c r="B9" s="5" t="str">
        <f>IF('DATA Input'!O$5="","",'DATA Input'!O$5)</f>
        <v>IBUPOHIGHDOSE</v>
      </c>
      <c r="C9" s="1">
        <f t="shared" si="0"/>
        <v>6</v>
      </c>
      <c r="H9" t="s">
        <v>771</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383</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31</v>
      </c>
    </row>
    <row r="9" spans="4:5" x14ac:dyDescent="0.25">
      <c r="D9" s="179" t="s">
        <v>288</v>
      </c>
      <c r="E9" s="182">
        <f>max_total</f>
        <v>2393</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262</v>
      </c>
    </row>
    <row r="11" spans="4:5" x14ac:dyDescent="0.25">
      <c r="D11" s="179" t="s">
        <v>290</v>
      </c>
      <c r="E11" s="181">
        <f>COMBIN(E7,2)</f>
        <v>45</v>
      </c>
    </row>
    <row r="12" spans="4:5" x14ac:dyDescent="0.25">
      <c r="D12" s="179" t="s">
        <v>291</v>
      </c>
      <c r="E12" s="181">
        <f>Unique_connections(list)</f>
        <v>16</v>
      </c>
    </row>
    <row r="13" spans="4:5" x14ac:dyDescent="0.25">
      <c r="D13" s="179" t="s">
        <v>292</v>
      </c>
      <c r="E13" s="181">
        <f ca="1">COUNTIF(OFFSET('WINBUGS data'!G17:G66,0,MATCH("na[]",'WINBUGS data'!H16:BE16,0)),"2")</f>
        <v>31</v>
      </c>
    </row>
    <row r="14" spans="4:5" x14ac:dyDescent="0.25">
      <c r="D14" s="179" t="s">
        <v>293</v>
      </c>
      <c r="E14" s="181">
        <f ca="1">COUNTIF(OFFSET('WINBUGS data'!G17:G66,0,MATCH("na[]",'WINBUGS data'!H16:BE16,0)),"&gt;2")</f>
        <v>0</v>
      </c>
    </row>
    <row r="15" spans="4:5" x14ac:dyDescent="0.25">
      <c r="D15" s="179" t="s">
        <v>296</v>
      </c>
      <c r="E15" s="181">
        <f>No_zero('DATA Input'!E7:AH56)</f>
        <v>29</v>
      </c>
    </row>
    <row r="16" spans="4:5" x14ac:dyDescent="0.25">
      <c r="D16" s="179" t="s">
        <v>294</v>
      </c>
      <c r="E16" s="181">
        <f>num_studies-E15</f>
        <v>2</v>
      </c>
    </row>
    <row r="17" spans="4:11" ht="15.75" thickBot="1" x14ac:dyDescent="0.3">
      <c r="D17" s="180" t="s">
        <v>295</v>
      </c>
      <c r="E17" s="183">
        <f>All_zero('DATA Input'!E7:AH56)</f>
        <v>0</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13</v>
      </c>
      <c r="F24" s="209">
        <f>SUM('DATA Input'!$E$7:$E$56)</f>
        <v>55</v>
      </c>
      <c r="G24" s="209">
        <f>SUM('DATA Input'!$F$7:$F$56)</f>
        <v>508</v>
      </c>
      <c r="H24" s="210">
        <f>F24/G24</f>
        <v>0.10826771653543307</v>
      </c>
      <c r="I24" s="210">
        <f>MinRate(1,'DATA Input'!$E$7:$AH$56)</f>
        <v>4.3478261679410934E-2</v>
      </c>
      <c r="J24" s="211">
        <f>MaxRate(1,'DATA Input'!$E$7:$AH$56)</f>
        <v>0.25714287161827087</v>
      </c>
    </row>
    <row r="25" spans="4:11" x14ac:dyDescent="0.25">
      <c r="D25" s="179" t="str">
        <f>IF('DATA Input'!$G$5="","",'DATA Input'!$G$5)</f>
        <v>IBUIV</v>
      </c>
      <c r="E25" s="185">
        <f>COUNTIF('DATA Input'!$H$7:$H$56,"&lt;&gt;")</f>
        <v>12</v>
      </c>
      <c r="F25" s="184">
        <f>SUM('DATA Input'!$G$7:$G$56)</f>
        <v>48</v>
      </c>
      <c r="G25" s="185">
        <f>SUM('DATA Input'!$H$7:$H$56)</f>
        <v>538</v>
      </c>
      <c r="H25" s="188">
        <f t="shared" ref="H25:H38" si="0">F25/G25</f>
        <v>8.9219330855018583E-2</v>
      </c>
      <c r="I25" s="188">
        <f>MinRate(2,'DATA Input'!$E$7:$AH$56)</f>
        <v>1.785714365541935E-2</v>
      </c>
      <c r="J25" s="190">
        <f>MaxRate(2,'DATA Input'!$E$7:$AH$56)</f>
        <v>0.25</v>
      </c>
    </row>
    <row r="26" spans="4:11" x14ac:dyDescent="0.25">
      <c r="D26" s="179" t="str">
        <f>IF('DATA Input'!$I$5="","",'DATA Input'!$I$5)</f>
        <v>IBUPO</v>
      </c>
      <c r="E26" s="185">
        <f>COUNTIF('DATA Input'!$J$7:$J$56,"&lt;&gt;")</f>
        <v>10</v>
      </c>
      <c r="F26" s="184">
        <f>SUM('DATA Input'!$I$7:$I$56)</f>
        <v>33</v>
      </c>
      <c r="G26" s="185">
        <f>SUM('DATA Input'!$J$7:$J$56)</f>
        <v>397</v>
      </c>
      <c r="H26" s="188">
        <f t="shared" si="0"/>
        <v>8.3123425692695208E-2</v>
      </c>
      <c r="I26" s="188">
        <f>MinRate(3,'DATA Input'!$E$7:$AH$56)</f>
        <v>2.083333395421505E-2</v>
      </c>
      <c r="J26" s="190">
        <f>MaxRate(3,'DATA Input'!$E$7:$AH$56)</f>
        <v>0.28125</v>
      </c>
    </row>
    <row r="27" spans="4:11" x14ac:dyDescent="0.25">
      <c r="D27" s="179" t="str">
        <f>IF('DATA Input'!$K$5="","",'DATA Input'!$K$5)</f>
        <v>PARAPO</v>
      </c>
      <c r="E27" s="184">
        <f>COUNTIF('DATA Input'!$L$7:$L$56,"&lt;&gt;")</f>
        <v>3</v>
      </c>
      <c r="F27" s="184">
        <f>SUM('DATA Input'!$K$7:$K$56)</f>
        <v>21</v>
      </c>
      <c r="G27" s="184">
        <f>SUM('DATA Input'!$L$7:$L$56)</f>
        <v>158</v>
      </c>
      <c r="H27" s="188">
        <f t="shared" si="0"/>
        <v>0.13291139240506328</v>
      </c>
      <c r="I27" s="188">
        <f>MinRate(4,'DATA Input'!$E$7:$AH$56)</f>
        <v>7.5000002980232239E-2</v>
      </c>
      <c r="J27" s="190">
        <f>MaxRate(4,'DATA Input'!$E$7:$AH$56)</f>
        <v>0.21052631735801697</v>
      </c>
    </row>
    <row r="28" spans="4:11" x14ac:dyDescent="0.25">
      <c r="D28" s="179" t="str">
        <f>IF('DATA Input'!$M$5="","",'DATA Input'!$M$5)</f>
        <v>IBUIVHIGHDOSE</v>
      </c>
      <c r="E28" s="184">
        <f>COUNTIF('DATA Input'!$N$7:$N$56,"&lt;&gt;")</f>
        <v>1</v>
      </c>
      <c r="F28" s="184">
        <f>SUM('DATA Input'!$M$7:$M$56)</f>
        <v>6</v>
      </c>
      <c r="G28" s="184">
        <f>SUM('DATA Input'!$N$7:$N$56)</f>
        <v>35</v>
      </c>
      <c r="H28" s="188">
        <f t="shared" si="0"/>
        <v>0.17142857142857143</v>
      </c>
      <c r="I28" s="188">
        <f>MinRate(5,'DATA Input'!$E$7:$AH$56)</f>
        <v>0.17142857611179352</v>
      </c>
      <c r="J28" s="190">
        <f>MaxRate(5,'DATA Input'!$E$7:$AH$56)</f>
        <v>0.17142857611179352</v>
      </c>
    </row>
    <row r="29" spans="4:11" x14ac:dyDescent="0.25">
      <c r="D29" s="179" t="str">
        <f>IF('DATA Input'!$O$5="","",'DATA Input'!$O$5)</f>
        <v>IBUPOHIGHDOSE</v>
      </c>
      <c r="E29" s="184">
        <f>COUNTIF('DATA Input'!$P$7:$P$56,"&lt;&gt;")</f>
        <v>1</v>
      </c>
      <c r="F29" s="184">
        <f>SUM('DATA Input'!$O$7:$O$56)</f>
        <v>2</v>
      </c>
      <c r="G29" s="184">
        <f>SUM('DATA Input'!$P$7:$P$56)</f>
        <v>30</v>
      </c>
      <c r="H29" s="188">
        <f t="shared" si="0"/>
        <v>6.6666666666666666E-2</v>
      </c>
      <c r="I29" s="188">
        <f>MinRate(6,'DATA Input'!$E$7:$AH$56)</f>
        <v>6.6666670143604279E-2</v>
      </c>
      <c r="J29" s="190">
        <f>MaxRate(6,'DATA Input'!$E$7:$AH$56)</f>
        <v>6.6666670143604279E-2</v>
      </c>
    </row>
    <row r="30" spans="4:11" x14ac:dyDescent="0.25">
      <c r="D30" s="179" t="str">
        <f>IF('DATA Input'!$Q$5="","",'DATA Input'!$Q$5)</f>
        <v>IBUIVCONT</v>
      </c>
      <c r="E30" s="184">
        <f>COUNTIF('DATA Input'!$R$7:$R$56,"&lt;&gt;")</f>
        <v>1</v>
      </c>
      <c r="F30" s="184">
        <f>SUM('DATA Input'!$Q$7:$Q$56)</f>
        <v>1</v>
      </c>
      <c r="G30" s="184">
        <f>SUM('DATA Input'!$R$7:$R$56)</f>
        <v>55</v>
      </c>
      <c r="H30" s="188">
        <f t="shared" si="0"/>
        <v>1.8181818181818181E-2</v>
      </c>
      <c r="I30" s="188">
        <f>MinRate(7,'DATA Input'!$E$7:$AH$56)</f>
        <v>1.8181817606091499E-2</v>
      </c>
      <c r="J30" s="190">
        <f>MaxRate(7,'DATA Input'!$E$7:$AH$56)</f>
        <v>1.8181817606091499E-2</v>
      </c>
    </row>
    <row r="31" spans="4:11" x14ac:dyDescent="0.25">
      <c r="D31" s="179" t="str">
        <f>IF('DATA Input'!$S$5="","",'DATA Input'!$S$5)</f>
        <v>INDOIVCONT</v>
      </c>
      <c r="E31" s="184">
        <f>COUNTIF('DATA Input'!$T$7:$T$56,"&lt;&gt;")</f>
        <v>2</v>
      </c>
      <c r="F31" s="184">
        <f>SUM('DATA Input'!$S$7:$S$56)</f>
        <v>6</v>
      </c>
      <c r="G31" s="184">
        <f>SUM('DATA Input'!$T$7:$T$56)</f>
        <v>49</v>
      </c>
      <c r="H31" s="188">
        <f t="shared" si="0"/>
        <v>0.12244897959183673</v>
      </c>
      <c r="I31" s="188">
        <f>MinRate(8,'DATA Input'!$E$7:$AH$56)</f>
        <v>0.1111111119389534</v>
      </c>
      <c r="J31" s="190">
        <f>MaxRate(8,'DATA Input'!$E$7:$AH$56)</f>
        <v>0.12903225421905518</v>
      </c>
    </row>
    <row r="32" spans="4:11" x14ac:dyDescent="0.25">
      <c r="D32" s="179" t="str">
        <f>IF('DATA Input'!$U$5="","",'DATA Input'!$U$5)</f>
        <v>INDOTHERS</v>
      </c>
      <c r="E32" s="184">
        <f>COUNTIF('DATA Input'!$V$7:$V$56,"&lt;&gt;")</f>
        <v>7</v>
      </c>
      <c r="F32" s="184">
        <f>SUM('DATA Input'!$U$7:$U$56)</f>
        <v>23</v>
      </c>
      <c r="G32" s="184">
        <f>SUM('DATA Input'!$V$7:$V$56)</f>
        <v>242</v>
      </c>
      <c r="H32" s="188">
        <f t="shared" si="0"/>
        <v>9.5041322314049589E-2</v>
      </c>
      <c r="I32" s="188">
        <f>MinRate(9,'DATA Input'!$E$7:$AH$56)</f>
        <v>4.76190485060215E-2</v>
      </c>
      <c r="J32" s="190">
        <f>MaxRate(9,'DATA Input'!$E$7:$AH$56)</f>
        <v>0.1428571492433548</v>
      </c>
    </row>
    <row r="33" spans="4:10" ht="15.75" thickBot="1" x14ac:dyDescent="0.3">
      <c r="D33" s="179" t="str">
        <f>IF('DATA Input'!$W$5="","",'DATA Input'!$W$5)</f>
        <v>PLAC_NORX</v>
      </c>
      <c r="E33" s="184">
        <f>COUNTIF('DATA Input'!$X$7:$X$56,"&lt;&gt;")</f>
        <v>12</v>
      </c>
      <c r="F33" s="184">
        <f>SUM('DATA Input'!$W$7:$W$56)</f>
        <v>67</v>
      </c>
      <c r="G33" s="184">
        <f>SUM('DATA Input'!$X$7:$X$56)</f>
        <v>381</v>
      </c>
      <c r="H33" s="188">
        <f t="shared" si="0"/>
        <v>0.17585301837270342</v>
      </c>
      <c r="I33" s="188">
        <f>MinRate(10,'DATA Input'!$E$7:$AH$56)</f>
        <v>9.375E-2</v>
      </c>
      <c r="J33" s="190">
        <f>MaxRate(10,'DATA Input'!$E$7:$AH$56)</f>
        <v>0.4285714328289032</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379</v>
      </c>
      <c r="E43" s="195">
        <v>2</v>
      </c>
      <c r="F43" s="196">
        <v>241</v>
      </c>
      <c r="G43" s="197">
        <v>28</v>
      </c>
    </row>
    <row r="44" spans="4:10" x14ac:dyDescent="0.25">
      <c r="D44" s="179" t="s">
        <v>381</v>
      </c>
      <c r="E44" s="184">
        <v>1</v>
      </c>
      <c r="F44" s="185">
        <v>77</v>
      </c>
      <c r="G44" s="182">
        <v>16</v>
      </c>
    </row>
    <row r="45" spans="4:10" x14ac:dyDescent="0.25">
      <c r="D45" s="179" t="s">
        <v>384</v>
      </c>
      <c r="E45" s="184">
        <v>2</v>
      </c>
      <c r="F45" s="185">
        <v>240</v>
      </c>
      <c r="G45" s="182">
        <v>27</v>
      </c>
    </row>
    <row r="46" spans="4:10" x14ac:dyDescent="0.25">
      <c r="D46" s="179" t="s">
        <v>385</v>
      </c>
      <c r="E46" s="184">
        <v>3</v>
      </c>
      <c r="F46" s="185">
        <v>236</v>
      </c>
      <c r="G46" s="182">
        <v>23</v>
      </c>
    </row>
    <row r="47" spans="4:10" x14ac:dyDescent="0.25">
      <c r="D47" s="179" t="s">
        <v>386</v>
      </c>
      <c r="E47" s="184">
        <v>1</v>
      </c>
      <c r="F47" s="185">
        <v>32</v>
      </c>
      <c r="G47" s="182">
        <v>2</v>
      </c>
    </row>
    <row r="48" spans="4:10" x14ac:dyDescent="0.25">
      <c r="D48" s="179" t="s">
        <v>387</v>
      </c>
      <c r="E48" s="184">
        <v>4</v>
      </c>
      <c r="F48" s="185">
        <v>256</v>
      </c>
      <c r="G48" s="182">
        <v>44</v>
      </c>
    </row>
    <row r="49" spans="4:7" x14ac:dyDescent="0.25">
      <c r="D49" s="179" t="s">
        <v>388</v>
      </c>
      <c r="E49" s="184">
        <v>1</v>
      </c>
      <c r="F49" s="185">
        <v>63</v>
      </c>
      <c r="G49" s="182">
        <v>7</v>
      </c>
    </row>
    <row r="50" spans="4:7" x14ac:dyDescent="0.25">
      <c r="D50" s="178" t="s">
        <v>389</v>
      </c>
      <c r="E50" s="184">
        <v>1</v>
      </c>
      <c r="F50" s="185">
        <v>70</v>
      </c>
      <c r="G50" s="182">
        <v>11</v>
      </c>
    </row>
    <row r="51" spans="4:7" x14ac:dyDescent="0.25">
      <c r="D51" s="217" t="s">
        <v>392</v>
      </c>
      <c r="E51" s="198">
        <v>1</v>
      </c>
      <c r="F51" s="200">
        <v>111</v>
      </c>
      <c r="G51" s="201">
        <v>2</v>
      </c>
    </row>
    <row r="52" spans="4:7" x14ac:dyDescent="0.25">
      <c r="D52" s="217" t="s">
        <v>380</v>
      </c>
      <c r="E52" s="198">
        <v>2</v>
      </c>
      <c r="F52" s="200">
        <v>267</v>
      </c>
      <c r="G52" s="201">
        <v>16</v>
      </c>
    </row>
    <row r="53" spans="4:7" x14ac:dyDescent="0.25">
      <c r="D53" s="217" t="s">
        <v>394</v>
      </c>
      <c r="E53" s="198">
        <v>4</v>
      </c>
      <c r="F53" s="200">
        <v>143</v>
      </c>
      <c r="G53" s="201">
        <v>30</v>
      </c>
    </row>
    <row r="54" spans="4:7" x14ac:dyDescent="0.25">
      <c r="D54" s="217" t="s">
        <v>391</v>
      </c>
      <c r="E54" s="198">
        <v>4</v>
      </c>
      <c r="F54" s="200">
        <v>354</v>
      </c>
      <c r="G54" s="201">
        <v>35</v>
      </c>
    </row>
    <row r="55" spans="4:7" x14ac:dyDescent="0.25">
      <c r="D55" s="217" t="s">
        <v>393</v>
      </c>
      <c r="E55" s="198">
        <v>1</v>
      </c>
      <c r="F55" s="200">
        <v>60</v>
      </c>
      <c r="G55" s="201">
        <v>3</v>
      </c>
    </row>
    <row r="56" spans="4:7" x14ac:dyDescent="0.25">
      <c r="D56" s="217" t="s">
        <v>382</v>
      </c>
      <c r="E56" s="198">
        <v>2</v>
      </c>
      <c r="F56" s="200">
        <v>126</v>
      </c>
      <c r="G56" s="201">
        <v>10</v>
      </c>
    </row>
    <row r="57" spans="4:7" x14ac:dyDescent="0.25">
      <c r="D57" s="217" t="s">
        <v>390</v>
      </c>
      <c r="E57" s="198">
        <v>1</v>
      </c>
      <c r="F57" s="200">
        <v>83</v>
      </c>
      <c r="G57" s="201">
        <v>6</v>
      </c>
    </row>
    <row r="58" spans="4:7" ht="15.75" thickBot="1" x14ac:dyDescent="0.3">
      <c r="D58" s="217" t="s">
        <v>378</v>
      </c>
      <c r="E58" s="198">
        <v>1</v>
      </c>
      <c r="F58" s="200">
        <v>34</v>
      </c>
      <c r="G58" s="201">
        <v>2</v>
      </c>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30" zoomScaleNormal="3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4" t="s">
        <v>13</v>
      </c>
      <c r="C23" s="246"/>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226</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workbookViewId="0">
      <selection activeCell="F5" sqref="F5:O14"/>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353</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794</v>
      </c>
      <c r="G6" s="223" t="s">
        <v>354</v>
      </c>
      <c r="H6" s="70"/>
      <c r="I6" s="70"/>
      <c r="J6" s="70"/>
      <c r="K6" s="70"/>
      <c r="L6" s="70"/>
      <c r="M6" s="70"/>
      <c r="N6" s="70"/>
      <c r="O6" s="70"/>
      <c r="P6" s="70"/>
      <c r="Q6" s="70"/>
      <c r="R6" s="70"/>
      <c r="S6" s="70"/>
      <c r="Y6" t="s">
        <v>793</v>
      </c>
    </row>
    <row r="7" spans="2:26" ht="39.950000000000003" customHeight="1" thickBot="1" x14ac:dyDescent="0.3">
      <c r="E7" s="69"/>
      <c r="F7" s="225" t="s">
        <v>795</v>
      </c>
      <c r="G7" s="224" t="s">
        <v>803</v>
      </c>
      <c r="H7" s="223" t="s">
        <v>352</v>
      </c>
      <c r="I7" s="70"/>
      <c r="J7" s="70"/>
      <c r="K7" s="70"/>
      <c r="L7" s="70"/>
      <c r="M7" s="70"/>
      <c r="N7" s="70"/>
      <c r="O7" s="70"/>
      <c r="P7" s="70"/>
      <c r="Q7" s="70"/>
      <c r="R7" s="70"/>
      <c r="S7" s="70"/>
    </row>
    <row r="8" spans="2:26" ht="39.950000000000003" customHeight="1" thickBot="1" x14ac:dyDescent="0.3">
      <c r="E8" s="69"/>
      <c r="F8" s="225" t="s">
        <v>796</v>
      </c>
      <c r="G8" s="221" t="s">
        <v>804</v>
      </c>
      <c r="H8" s="224" t="s">
        <v>811</v>
      </c>
      <c r="I8" s="223" t="s">
        <v>351</v>
      </c>
      <c r="J8" s="70"/>
      <c r="K8" s="70"/>
      <c r="L8" s="70"/>
      <c r="M8" s="70"/>
      <c r="N8" s="70"/>
      <c r="O8" s="70"/>
      <c r="P8" s="70"/>
      <c r="Q8" s="70"/>
      <c r="R8" s="70"/>
      <c r="S8" s="70"/>
    </row>
    <row r="9" spans="2:26" ht="39.950000000000003" customHeight="1" thickBot="1" x14ac:dyDescent="0.3">
      <c r="E9" s="69"/>
      <c r="F9" s="225" t="s">
        <v>797</v>
      </c>
      <c r="G9" s="221" t="s">
        <v>805</v>
      </c>
      <c r="H9" s="221" t="s">
        <v>812</v>
      </c>
      <c r="I9" s="224" t="s">
        <v>818</v>
      </c>
      <c r="J9" s="223" t="s">
        <v>357</v>
      </c>
      <c r="K9" s="70"/>
      <c r="L9" s="70"/>
      <c r="M9" s="70"/>
      <c r="N9" s="70"/>
      <c r="O9" s="70"/>
      <c r="P9" s="70"/>
      <c r="Q9" s="70"/>
      <c r="R9" s="70"/>
      <c r="S9" s="70"/>
    </row>
    <row r="10" spans="2:26" ht="39.950000000000003" customHeight="1" thickBot="1" x14ac:dyDescent="0.3">
      <c r="E10" s="69"/>
      <c r="F10" s="225" t="s">
        <v>798</v>
      </c>
      <c r="G10" s="221" t="s">
        <v>806</v>
      </c>
      <c r="H10" s="221" t="s">
        <v>813</v>
      </c>
      <c r="I10" s="221" t="s">
        <v>819</v>
      </c>
      <c r="J10" s="224" t="s">
        <v>824</v>
      </c>
      <c r="K10" s="223" t="s">
        <v>355</v>
      </c>
      <c r="L10" s="70"/>
      <c r="M10" s="70"/>
      <c r="N10" s="70"/>
      <c r="O10" s="70"/>
      <c r="P10" s="70"/>
      <c r="Q10" s="70"/>
      <c r="R10" s="70"/>
      <c r="S10" s="70"/>
    </row>
    <row r="11" spans="2:26" ht="39.950000000000003" customHeight="1" thickBot="1" x14ac:dyDescent="0.3">
      <c r="E11" s="69"/>
      <c r="F11" s="225" t="s">
        <v>799</v>
      </c>
      <c r="G11" s="221" t="s">
        <v>807</v>
      </c>
      <c r="H11" s="221" t="s">
        <v>814</v>
      </c>
      <c r="I11" s="221" t="s">
        <v>820</v>
      </c>
      <c r="J11" s="221" t="s">
        <v>825</v>
      </c>
      <c r="K11" s="224" t="s">
        <v>829</v>
      </c>
      <c r="L11" s="223" t="s">
        <v>359</v>
      </c>
      <c r="M11" s="70"/>
      <c r="N11" s="70"/>
      <c r="O11" s="70"/>
      <c r="P11" s="70"/>
      <c r="Q11" s="70"/>
      <c r="R11" s="70"/>
      <c r="S11" s="70"/>
    </row>
    <row r="12" spans="2:26" ht="39.950000000000003" customHeight="1" thickBot="1" x14ac:dyDescent="0.3">
      <c r="E12" s="69"/>
      <c r="F12" s="225" t="s">
        <v>800</v>
      </c>
      <c r="G12" s="221" t="s">
        <v>808</v>
      </c>
      <c r="H12" s="221" t="s">
        <v>815</v>
      </c>
      <c r="I12" s="221" t="s">
        <v>821</v>
      </c>
      <c r="J12" s="221" t="s">
        <v>826</v>
      </c>
      <c r="K12" s="221" t="s">
        <v>830</v>
      </c>
      <c r="L12" s="224" t="s">
        <v>833</v>
      </c>
      <c r="M12" s="223" t="s">
        <v>356</v>
      </c>
      <c r="N12" s="70"/>
      <c r="O12" s="70"/>
      <c r="P12" s="70"/>
      <c r="Q12" s="70"/>
      <c r="R12" s="70"/>
      <c r="S12" s="70"/>
    </row>
    <row r="13" spans="2:26" ht="39.950000000000003" customHeight="1" thickBot="1" x14ac:dyDescent="0.3">
      <c r="E13" s="69"/>
      <c r="F13" s="225" t="s">
        <v>801</v>
      </c>
      <c r="G13" s="221" t="s">
        <v>809</v>
      </c>
      <c r="H13" s="221" t="s">
        <v>816</v>
      </c>
      <c r="I13" s="221" t="s">
        <v>822</v>
      </c>
      <c r="J13" s="221" t="s">
        <v>827</v>
      </c>
      <c r="K13" s="221" t="s">
        <v>831</v>
      </c>
      <c r="L13" s="221" t="s">
        <v>834</v>
      </c>
      <c r="M13" s="224" t="s">
        <v>836</v>
      </c>
      <c r="N13" s="223" t="s">
        <v>358</v>
      </c>
      <c r="O13" s="70"/>
      <c r="P13" s="70"/>
      <c r="Q13" s="70"/>
      <c r="R13" s="70"/>
      <c r="S13" s="70"/>
    </row>
    <row r="14" spans="2:26" ht="39.950000000000003" customHeight="1" thickBot="1" x14ac:dyDescent="0.3">
      <c r="E14" s="69"/>
      <c r="F14" s="226" t="s">
        <v>802</v>
      </c>
      <c r="G14" s="222" t="s">
        <v>810</v>
      </c>
      <c r="H14" s="222" t="s">
        <v>817</v>
      </c>
      <c r="I14" s="222" t="s">
        <v>823</v>
      </c>
      <c r="J14" s="222" t="s">
        <v>828</v>
      </c>
      <c r="K14" s="222" t="s">
        <v>832</v>
      </c>
      <c r="L14" s="222" t="s">
        <v>835</v>
      </c>
      <c r="M14" s="222" t="s">
        <v>837</v>
      </c>
      <c r="N14" s="228" t="s">
        <v>838</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topLeftCell="A10" workbookViewId="0">
      <selection activeCell="C33" sqref="C33"/>
    </sheetView>
  </sheetViews>
  <sheetFormatPr defaultRowHeight="15" x14ac:dyDescent="0.25"/>
  <cols>
    <col min="2" max="2" width="11.85546875" customWidth="1"/>
    <col min="3" max="3" width="33" customWidth="1"/>
    <col min="13" max="27" width="9.140625" customWidth="1"/>
  </cols>
  <sheetData>
    <row r="2" spans="2:30" hidden="1" x14ac:dyDescent="0.25">
      <c r="B2" t="s">
        <v>851</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353</v>
      </c>
      <c r="D15" s="107">
        <v>0.71250000000000002</v>
      </c>
    </row>
    <row r="16" spans="2:30" x14ac:dyDescent="0.25">
      <c r="C16" s="108" t="s">
        <v>354</v>
      </c>
      <c r="D16" s="109">
        <v>0.66690000000000005</v>
      </c>
    </row>
    <row r="17" spans="2:5" x14ac:dyDescent="0.25">
      <c r="C17" s="108" t="s">
        <v>352</v>
      </c>
      <c r="D17" s="109">
        <v>0.6159</v>
      </c>
    </row>
    <row r="18" spans="2:5" x14ac:dyDescent="0.25">
      <c r="C18" s="108" t="s">
        <v>359</v>
      </c>
      <c r="D18" s="109">
        <v>0.58599999999999997</v>
      </c>
    </row>
    <row r="19" spans="2:5" x14ac:dyDescent="0.25">
      <c r="C19" s="108" t="s">
        <v>357</v>
      </c>
      <c r="D19" s="109">
        <v>0.54790000000000005</v>
      </c>
    </row>
    <row r="20" spans="2:5" x14ac:dyDescent="0.25">
      <c r="C20" s="108" t="s">
        <v>351</v>
      </c>
      <c r="D20" s="109">
        <v>0.54559999999999997</v>
      </c>
    </row>
    <row r="21" spans="2:5" x14ac:dyDescent="0.25">
      <c r="C21" s="108" t="s">
        <v>355</v>
      </c>
      <c r="D21" s="109">
        <v>0.46879999999999999</v>
      </c>
    </row>
    <row r="22" spans="2:5" x14ac:dyDescent="0.25">
      <c r="C22" s="108" t="s">
        <v>356</v>
      </c>
      <c r="D22" s="109">
        <v>0.36720000000000003</v>
      </c>
    </row>
    <row r="23" spans="2:5" x14ac:dyDescent="0.25">
      <c r="C23" s="108" t="s">
        <v>358</v>
      </c>
      <c r="D23" s="109">
        <v>0.24729999999999999</v>
      </c>
    </row>
    <row r="24" spans="2:5" x14ac:dyDescent="0.25">
      <c r="C24" s="108" t="s">
        <v>360</v>
      </c>
      <c r="D24" s="109">
        <v>0.2419</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c r="J6" s="31"/>
      <c r="K6" s="31"/>
      <c r="L6" s="31"/>
      <c r="M6" s="1" t="str">
        <f>IF(I6="","",L6-J6)</f>
        <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c r="J7" s="31"/>
      <c r="K7" s="31"/>
      <c r="L7" s="31"/>
      <c r="M7" s="1" t="str">
        <f t="shared" ref="M7:M70" si="5">IF(I7="","",L7-J7)</f>
        <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c r="J8" s="31"/>
      <c r="K8" s="31"/>
      <c r="L8" s="31"/>
      <c r="M8" s="1" t="str">
        <f t="shared" si="5"/>
        <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c r="J9" s="31"/>
      <c r="K9" s="31"/>
      <c r="L9" s="31"/>
      <c r="M9" s="1" t="str">
        <f t="shared" si="5"/>
        <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c r="J10" s="31"/>
      <c r="K10" s="31"/>
      <c r="L10" s="31"/>
      <c r="M10" s="1" t="str">
        <f t="shared" si="5"/>
        <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c r="J11" s="31"/>
      <c r="K11" s="31"/>
      <c r="L11" s="31"/>
      <c r="M11" s="1" t="str">
        <f t="shared" si="5"/>
        <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c r="J12" s="31"/>
      <c r="K12" s="31"/>
      <c r="L12" s="31"/>
      <c r="M12" s="1" t="str">
        <f t="shared" si="5"/>
        <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c r="J13" s="31"/>
      <c r="K13" s="31"/>
      <c r="L13" s="31"/>
      <c r="M13" s="1" t="str">
        <f t="shared" si="5"/>
        <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c r="J14" s="31"/>
      <c r="K14" s="31"/>
      <c r="L14" s="31"/>
      <c r="M14" s="1" t="str">
        <f t="shared" si="5"/>
        <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c r="J15" s="31"/>
      <c r="K15" s="31"/>
      <c r="L15" s="31"/>
      <c r="M15" s="1" t="str">
        <f t="shared" si="5"/>
        <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c r="J16" s="31"/>
      <c r="K16" s="31"/>
      <c r="L16" s="31"/>
      <c r="M16" s="1" t="str">
        <f t="shared" si="5"/>
        <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c r="J17" s="31"/>
      <c r="K17" s="31"/>
      <c r="L17" s="31"/>
      <c r="M17" s="1" t="str">
        <f t="shared" si="5"/>
        <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c r="J18" s="31"/>
      <c r="K18" s="31"/>
      <c r="L18" s="31"/>
      <c r="M18" s="1" t="str">
        <f t="shared" si="5"/>
        <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c r="J19" s="31"/>
      <c r="K19" s="31"/>
      <c r="L19" s="31"/>
      <c r="M19" s="1" t="str">
        <f t="shared" si="5"/>
        <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c r="J20" s="31"/>
      <c r="K20" s="31"/>
      <c r="L20" s="31"/>
      <c r="M20" s="1" t="str">
        <f t="shared" si="5"/>
        <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c r="J21" s="31"/>
      <c r="K21" s="31"/>
      <c r="L21" s="31"/>
      <c r="M21" s="1" t="str">
        <f t="shared" si="5"/>
        <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c r="J22" s="31"/>
      <c r="K22" s="31"/>
      <c r="L22" s="31"/>
      <c r="M22" s="1" t="str">
        <f t="shared" si="5"/>
        <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c r="J23" s="31"/>
      <c r="K23" s="31"/>
      <c r="L23" s="31"/>
      <c r="M23" s="1" t="str">
        <f t="shared" si="5"/>
        <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c r="J24" s="31"/>
      <c r="K24" s="31"/>
      <c r="L24" s="31"/>
      <c r="M24" s="1" t="str">
        <f t="shared" si="5"/>
        <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c r="J25" s="31"/>
      <c r="K25" s="31"/>
      <c r="L25" s="31"/>
      <c r="M25" s="1" t="str">
        <f t="shared" si="5"/>
        <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c r="J26" s="39"/>
      <c r="K26" s="39"/>
      <c r="L26" s="39"/>
      <c r="M26" s="52" t="str">
        <f t="shared" si="5"/>
        <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c r="J27" s="39"/>
      <c r="K27" s="39"/>
      <c r="L27" s="39"/>
      <c r="M27" s="52" t="str">
        <f t="shared" si="5"/>
        <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c r="J28" s="39"/>
      <c r="K28" s="39"/>
      <c r="L28" s="39"/>
      <c r="M28" s="52" t="str">
        <f t="shared" si="5"/>
        <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c r="J29" s="39"/>
      <c r="K29" s="39"/>
      <c r="L29" s="39"/>
      <c r="M29" s="52" t="str">
        <f t="shared" si="5"/>
        <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c r="J30" s="39"/>
      <c r="K30" s="39"/>
      <c r="L30" s="39"/>
      <c r="M30" s="52" t="str">
        <f t="shared" si="5"/>
        <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c r="J31" s="39"/>
      <c r="K31" s="39"/>
      <c r="L31" s="39"/>
      <c r="M31" s="52" t="str">
        <f t="shared" si="5"/>
        <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c r="J32" s="39"/>
      <c r="K32" s="39"/>
      <c r="L32" s="39"/>
      <c r="M32" s="52" t="str">
        <f t="shared" si="5"/>
        <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c r="J33" s="39"/>
      <c r="K33" s="39"/>
      <c r="L33" s="39"/>
      <c r="M33" s="52" t="str">
        <f t="shared" si="5"/>
        <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c r="J34" s="39"/>
      <c r="K34" s="39"/>
      <c r="L34" s="39"/>
      <c r="M34" s="52" t="str">
        <f t="shared" si="5"/>
        <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c r="J35" s="39"/>
      <c r="K35" s="39"/>
      <c r="L35" s="39"/>
      <c r="M35" s="52" t="str">
        <f t="shared" si="5"/>
        <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c r="J36" s="39"/>
      <c r="K36" s="39"/>
      <c r="L36" s="39"/>
      <c r="M36" s="52" t="str">
        <f t="shared" si="5"/>
        <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c r="J37" s="39"/>
      <c r="K37" s="39"/>
      <c r="L37" s="39"/>
      <c r="M37" s="52" t="str">
        <f t="shared" si="5"/>
        <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c r="J38" s="39"/>
      <c r="K38" s="39"/>
      <c r="L38" s="39"/>
      <c r="M38" s="52" t="str">
        <f t="shared" si="5"/>
        <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c r="J39" s="39"/>
      <c r="K39" s="39"/>
      <c r="L39" s="39"/>
      <c r="M39" s="52" t="str">
        <f t="shared" si="5"/>
        <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c r="J40" s="39"/>
      <c r="K40" s="39"/>
      <c r="L40" s="39"/>
      <c r="M40" s="52" t="str">
        <f t="shared" si="5"/>
        <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c r="J41" s="39"/>
      <c r="K41" s="39"/>
      <c r="L41" s="39"/>
      <c r="M41" s="52" t="str">
        <f t="shared" si="5"/>
        <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c r="J42" s="39"/>
      <c r="K42" s="39"/>
      <c r="L42" s="39"/>
      <c r="M42" s="52" t="str">
        <f t="shared" si="5"/>
        <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c r="J43" s="39"/>
      <c r="K43" s="39"/>
      <c r="L43" s="39"/>
      <c r="M43" s="52" t="str">
        <f t="shared" si="5"/>
        <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c r="J44" s="39"/>
      <c r="K44" s="39"/>
      <c r="L44" s="39"/>
      <c r="M44" s="52" t="str">
        <f t="shared" si="5"/>
        <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c r="J45" s="39"/>
      <c r="K45" s="39"/>
      <c r="L45" s="39"/>
      <c r="M45" s="52" t="str">
        <f t="shared" si="5"/>
        <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c r="J46" s="39"/>
      <c r="K46" s="39"/>
      <c r="L46" s="39"/>
      <c r="M46" s="52" t="str">
        <f t="shared" si="5"/>
        <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c r="J47" s="39"/>
      <c r="K47" s="39"/>
      <c r="L47" s="39"/>
      <c r="M47" s="52" t="str">
        <f t="shared" si="5"/>
        <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c r="J48" s="39"/>
      <c r="K48" s="39"/>
      <c r="L48" s="39"/>
      <c r="M48" s="52" t="str">
        <f t="shared" si="5"/>
        <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c r="J49" s="39"/>
      <c r="K49" s="39"/>
      <c r="L49" s="39"/>
      <c r="M49" s="52" t="str">
        <f t="shared" si="5"/>
        <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c r="J50" s="39"/>
      <c r="K50" s="39"/>
      <c r="L50" s="39"/>
      <c r="M50" s="52" t="str">
        <f t="shared" si="5"/>
        <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c r="J51" s="39"/>
      <c r="K51" s="39"/>
      <c r="L51" s="39"/>
      <c r="M51" s="52" t="str">
        <f t="shared" si="5"/>
        <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c r="J52" s="39"/>
      <c r="K52" s="39"/>
      <c r="L52" s="39"/>
      <c r="M52" s="52" t="str">
        <f t="shared" si="5"/>
        <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c r="J53" s="39"/>
      <c r="K53" s="39"/>
      <c r="L53" s="39"/>
      <c r="M53" s="52" t="str">
        <f t="shared" si="5"/>
        <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c r="J54" s="39"/>
      <c r="K54" s="39"/>
      <c r="L54" s="39"/>
      <c r="M54" s="52" t="str">
        <f t="shared" si="5"/>
        <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c r="J55" s="39"/>
      <c r="K55" s="39"/>
      <c r="L55" s="39"/>
      <c r="M55" s="52" t="str">
        <f t="shared" si="5"/>
        <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0.91349999999999998</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0.78390000000000004</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0.82</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1.1910000000000001</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1.845</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0.91569999999999996</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2.242</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0.94110000000000005</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1.6140000000000001</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0.85040000000000004</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0.8972</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1.302</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1.9570000000000001</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1.0049999999999999</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2.4020000000000001</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1.0289999999999999</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1.734</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1.04</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1.5089999999999999</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2.3719999999999999</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1.1579999999999999</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2.7549999999999999</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1.2110000000000001</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2.02</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1.44</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2.2160000000000002</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1.1439999999999999</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2.5950000000000002</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1.1719999999999999</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1.9690000000000001</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1.609</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0.80379999999999996</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1.7549999999999999</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0.80689999999999995</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1.3640000000000001</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0.40400000000000003</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1.2629999999999999</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0.49480000000000002</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0.87919999999999998</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2.1589999999999998</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1.0209999999999999</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1.8009999999999999</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0.4294</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0.72760000000000002</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1.6990000000000001</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19"/>
  <sheetViews>
    <sheetView showGridLines="0" topLeftCell="A68" workbookViewId="0">
      <selection activeCell="Q75" sqref="Q75"/>
    </sheetView>
  </sheetViews>
  <sheetFormatPr defaultRowHeight="15" x14ac:dyDescent="0.25"/>
  <sheetData>
    <row r="1" spans="1:1" hidden="1" x14ac:dyDescent="0.25">
      <c r="A1" t="s">
        <v>395</v>
      </c>
    </row>
    <row r="2" spans="1:1" hidden="1" x14ac:dyDescent="0.25">
      <c r="A2" t="s">
        <v>775</v>
      </c>
    </row>
    <row r="3" spans="1:1" hidden="1" x14ac:dyDescent="0.25">
      <c r="A3" t="s">
        <v>397</v>
      </c>
    </row>
    <row r="4" spans="1:1" hidden="1" x14ac:dyDescent="0.25">
      <c r="A4" t="s">
        <v>398</v>
      </c>
    </row>
    <row r="5" spans="1:1" hidden="1" x14ac:dyDescent="0.25">
      <c r="A5" t="s">
        <v>399</v>
      </c>
    </row>
    <row r="6" spans="1:1" hidden="1" x14ac:dyDescent="0.25">
      <c r="A6" t="s">
        <v>400</v>
      </c>
    </row>
    <row r="7" spans="1:1" hidden="1" x14ac:dyDescent="0.25">
      <c r="A7" t="s">
        <v>399</v>
      </c>
    </row>
    <row r="8" spans="1:1" hidden="1" x14ac:dyDescent="0.25">
      <c r="A8" t="s">
        <v>21</v>
      </c>
    </row>
    <row r="9" spans="1:1" hidden="1" x14ac:dyDescent="0.25">
      <c r="A9" t="s">
        <v>401</v>
      </c>
    </row>
    <row r="10" spans="1:1" hidden="1" x14ac:dyDescent="0.25">
      <c r="A10" t="s">
        <v>776</v>
      </c>
    </row>
    <row r="11" spans="1:1" hidden="1" x14ac:dyDescent="0.25">
      <c r="A11" t="s">
        <v>764</v>
      </c>
    </row>
    <row r="12" spans="1:1" hidden="1" x14ac:dyDescent="0.25">
      <c r="A12" t="s">
        <v>777</v>
      </c>
    </row>
    <row r="13" spans="1:1" hidden="1" x14ac:dyDescent="0.25">
      <c r="A13" t="s">
        <v>764</v>
      </c>
    </row>
    <row r="14" spans="1:1" hidden="1" x14ac:dyDescent="0.25">
      <c r="A14" t="s">
        <v>778</v>
      </c>
    </row>
    <row r="15" spans="1:1" hidden="1" x14ac:dyDescent="0.25">
      <c r="A15" t="s">
        <v>764</v>
      </c>
    </row>
    <row r="16" spans="1:1" hidden="1" x14ac:dyDescent="0.25">
      <c r="A16" t="s">
        <v>23</v>
      </c>
    </row>
    <row r="17" spans="1:1" hidden="1" x14ac:dyDescent="0.25">
      <c r="A17" t="s">
        <v>767</v>
      </c>
    </row>
    <row r="18" spans="1:1" hidden="1" x14ac:dyDescent="0.25">
      <c r="A18" t="s">
        <v>779</v>
      </c>
    </row>
    <row r="19" spans="1:1" hidden="1" x14ac:dyDescent="0.25">
      <c r="A19" t="s">
        <v>402</v>
      </c>
    </row>
    <row r="20" spans="1:1" hidden="1" x14ac:dyDescent="0.25">
      <c r="A20" t="s">
        <v>403</v>
      </c>
    </row>
    <row r="21" spans="1:1" hidden="1" x14ac:dyDescent="0.25">
      <c r="A21" t="s">
        <v>404</v>
      </c>
    </row>
    <row r="22" spans="1:1" hidden="1" x14ac:dyDescent="0.25">
      <c r="A22" t="s">
        <v>405</v>
      </c>
    </row>
    <row r="23" spans="1:1" hidden="1" x14ac:dyDescent="0.25">
      <c r="A23" t="s">
        <v>406</v>
      </c>
    </row>
    <row r="24" spans="1:1" hidden="1" x14ac:dyDescent="0.25">
      <c r="A24" t="s">
        <v>407</v>
      </c>
    </row>
    <row r="25" spans="1:1" hidden="1" x14ac:dyDescent="0.25">
      <c r="A25" t="s">
        <v>408</v>
      </c>
    </row>
    <row r="26" spans="1:1" hidden="1" x14ac:dyDescent="0.25">
      <c r="A26" t="s">
        <v>197</v>
      </c>
    </row>
    <row r="27" spans="1:1" hidden="1" x14ac:dyDescent="0.25">
      <c r="A27" t="s">
        <v>199</v>
      </c>
    </row>
    <row r="28" spans="1:1" hidden="1" x14ac:dyDescent="0.25">
      <c r="A28" t="s">
        <v>261</v>
      </c>
    </row>
    <row r="29" spans="1:1" hidden="1" x14ac:dyDescent="0.25">
      <c r="A29" t="s">
        <v>779</v>
      </c>
    </row>
    <row r="30" spans="1:1" hidden="1" x14ac:dyDescent="0.25">
      <c r="A30" t="s">
        <v>396</v>
      </c>
    </row>
    <row r="32" spans="1:1" x14ac:dyDescent="0.25">
      <c r="A32" t="s">
        <v>409</v>
      </c>
    </row>
    <row r="33" spans="2:10" x14ac:dyDescent="0.25">
      <c r="B33" t="s">
        <v>410</v>
      </c>
      <c r="C33" t="s">
        <v>411</v>
      </c>
      <c r="D33" t="s">
        <v>412</v>
      </c>
      <c r="E33" t="s">
        <v>413</v>
      </c>
      <c r="F33" s="12">
        <v>2.5000000000000001E-2</v>
      </c>
      <c r="G33" t="s">
        <v>414</v>
      </c>
      <c r="H33" s="12">
        <v>0.97499999999999998</v>
      </c>
      <c r="I33" t="s">
        <v>415</v>
      </c>
      <c r="J33" t="s">
        <v>416</v>
      </c>
    </row>
    <row r="34" spans="2:10" x14ac:dyDescent="0.25">
      <c r="B34" t="s">
        <v>417</v>
      </c>
      <c r="C34">
        <v>0.96120000000000005</v>
      </c>
      <c r="D34">
        <v>0.309</v>
      </c>
      <c r="E34">
        <v>1.089E-2</v>
      </c>
      <c r="F34">
        <v>0.49659999999999999</v>
      </c>
      <c r="G34">
        <v>0.91349999999999998</v>
      </c>
      <c r="H34">
        <v>1.704</v>
      </c>
      <c r="I34">
        <v>10001</v>
      </c>
      <c r="J34">
        <v>30000</v>
      </c>
    </row>
    <row r="35" spans="2:10" x14ac:dyDescent="0.25">
      <c r="B35" t="s">
        <v>418</v>
      </c>
      <c r="C35">
        <v>0.85</v>
      </c>
      <c r="D35">
        <v>0.35210000000000002</v>
      </c>
      <c r="E35">
        <v>1.261E-2</v>
      </c>
      <c r="F35">
        <v>0.35930000000000001</v>
      </c>
      <c r="G35">
        <v>0.78390000000000004</v>
      </c>
      <c r="H35">
        <v>1.7589999999999999</v>
      </c>
      <c r="I35">
        <v>10001</v>
      </c>
      <c r="J35">
        <v>30000</v>
      </c>
    </row>
    <row r="36" spans="2:10" x14ac:dyDescent="0.25">
      <c r="B36" t="s">
        <v>419</v>
      </c>
      <c r="C36">
        <v>0.91959999999999997</v>
      </c>
      <c r="D36">
        <v>0.46129999999999999</v>
      </c>
      <c r="E36">
        <v>1.2930000000000001E-2</v>
      </c>
      <c r="F36">
        <v>0.33429999999999999</v>
      </c>
      <c r="G36">
        <v>0.82</v>
      </c>
      <c r="H36">
        <v>2.0419999999999998</v>
      </c>
      <c r="I36">
        <v>10001</v>
      </c>
      <c r="J36">
        <v>30000</v>
      </c>
    </row>
    <row r="37" spans="2:10" x14ac:dyDescent="0.25">
      <c r="B37" t="s">
        <v>420</v>
      </c>
      <c r="C37">
        <v>1.657</v>
      </c>
      <c r="D37">
        <v>1.71</v>
      </c>
      <c r="E37">
        <v>4.5530000000000001E-2</v>
      </c>
      <c r="F37">
        <v>0.2465</v>
      </c>
      <c r="G37">
        <v>1.1910000000000001</v>
      </c>
      <c r="H37">
        <v>5.766</v>
      </c>
      <c r="I37">
        <v>10001</v>
      </c>
      <c r="J37">
        <v>30000</v>
      </c>
    </row>
    <row r="38" spans="2:10" x14ac:dyDescent="0.25">
      <c r="B38" t="s">
        <v>421</v>
      </c>
      <c r="C38">
        <v>9.1479999999999997</v>
      </c>
      <c r="D38">
        <v>44.06</v>
      </c>
      <c r="E38">
        <v>1.2729999999999999</v>
      </c>
      <c r="F38">
        <v>0.12770000000000001</v>
      </c>
      <c r="G38">
        <v>1.845</v>
      </c>
      <c r="H38">
        <v>56.99</v>
      </c>
      <c r="I38">
        <v>10001</v>
      </c>
      <c r="J38">
        <v>30000</v>
      </c>
    </row>
    <row r="39" spans="2:10" x14ac:dyDescent="0.25">
      <c r="B39" t="s">
        <v>422</v>
      </c>
      <c r="C39">
        <v>6.8620000000000001</v>
      </c>
      <c r="D39">
        <v>29.69</v>
      </c>
      <c r="E39">
        <v>1.103</v>
      </c>
      <c r="F39">
        <v>2.8719999999999999E-2</v>
      </c>
      <c r="G39">
        <v>0.91569999999999996</v>
      </c>
      <c r="H39">
        <v>64.11</v>
      </c>
      <c r="I39">
        <v>10001</v>
      </c>
      <c r="J39">
        <v>30000</v>
      </c>
    </row>
    <row r="40" spans="2:10" x14ac:dyDescent="0.25">
      <c r="B40" t="s">
        <v>423</v>
      </c>
      <c r="C40">
        <v>3.4569999999999999</v>
      </c>
      <c r="D40">
        <v>4.7</v>
      </c>
      <c r="E40">
        <v>0.17169999999999999</v>
      </c>
      <c r="F40">
        <v>0.44440000000000002</v>
      </c>
      <c r="G40">
        <v>2.242</v>
      </c>
      <c r="H40">
        <v>13.88</v>
      </c>
      <c r="I40">
        <v>10001</v>
      </c>
      <c r="J40">
        <v>30000</v>
      </c>
    </row>
    <row r="41" spans="2:10" x14ac:dyDescent="0.25">
      <c r="B41" t="s">
        <v>424</v>
      </c>
      <c r="C41">
        <v>1.02</v>
      </c>
      <c r="D41">
        <v>0.4123</v>
      </c>
      <c r="E41">
        <v>1.3100000000000001E-2</v>
      </c>
      <c r="F41">
        <v>0.46089999999999998</v>
      </c>
      <c r="G41">
        <v>0.94110000000000005</v>
      </c>
      <c r="H41">
        <v>2.0249999999999999</v>
      </c>
      <c r="I41">
        <v>10001</v>
      </c>
      <c r="J41">
        <v>30000</v>
      </c>
    </row>
    <row r="42" spans="2:10" x14ac:dyDescent="0.25">
      <c r="B42" t="s">
        <v>425</v>
      </c>
      <c r="C42">
        <v>1.677</v>
      </c>
      <c r="D42">
        <v>0.48409999999999997</v>
      </c>
      <c r="E42">
        <v>1.401E-2</v>
      </c>
      <c r="F42">
        <v>0.93179999999999996</v>
      </c>
      <c r="G42">
        <v>1.6140000000000001</v>
      </c>
      <c r="H42">
        <v>2.7570000000000001</v>
      </c>
      <c r="I42">
        <v>10001</v>
      </c>
      <c r="J42">
        <v>30000</v>
      </c>
    </row>
    <row r="43" spans="2:10" x14ac:dyDescent="0.25">
      <c r="B43" t="s">
        <v>426</v>
      </c>
      <c r="C43">
        <v>0.92</v>
      </c>
      <c r="D43">
        <v>0.36940000000000001</v>
      </c>
      <c r="E43">
        <v>1.2070000000000001E-2</v>
      </c>
      <c r="F43">
        <v>0.40529999999999999</v>
      </c>
      <c r="G43">
        <v>0.85040000000000004</v>
      </c>
      <c r="H43">
        <v>1.8140000000000001</v>
      </c>
      <c r="I43">
        <v>10001</v>
      </c>
      <c r="J43">
        <v>30000</v>
      </c>
    </row>
    <row r="44" spans="2:10" x14ac:dyDescent="0.25">
      <c r="B44" t="s">
        <v>427</v>
      </c>
      <c r="C44">
        <v>1.0149999999999999</v>
      </c>
      <c r="D44">
        <v>0.59060000000000001</v>
      </c>
      <c r="E44">
        <v>1.504E-2</v>
      </c>
      <c r="F44">
        <v>0.35310000000000002</v>
      </c>
      <c r="G44">
        <v>0.8972</v>
      </c>
      <c r="H44">
        <v>2.319</v>
      </c>
      <c r="I44">
        <v>10001</v>
      </c>
      <c r="J44">
        <v>30000</v>
      </c>
    </row>
    <row r="45" spans="2:10" x14ac:dyDescent="0.25">
      <c r="B45" t="s">
        <v>428</v>
      </c>
      <c r="C45">
        <v>1.7310000000000001</v>
      </c>
      <c r="D45">
        <v>1.653</v>
      </c>
      <c r="E45">
        <v>4.3049999999999998E-2</v>
      </c>
      <c r="F45">
        <v>0.30549999999999999</v>
      </c>
      <c r="G45">
        <v>1.302</v>
      </c>
      <c r="H45">
        <v>5.6390000000000002</v>
      </c>
      <c r="I45">
        <v>10001</v>
      </c>
      <c r="J45">
        <v>30000</v>
      </c>
    </row>
    <row r="46" spans="2:10" x14ac:dyDescent="0.25">
      <c r="B46" t="s">
        <v>429</v>
      </c>
      <c r="C46">
        <v>10.23</v>
      </c>
      <c r="D46">
        <v>49.07</v>
      </c>
      <c r="E46">
        <v>1.46</v>
      </c>
      <c r="F46">
        <v>0.13639999999999999</v>
      </c>
      <c r="G46">
        <v>1.9570000000000001</v>
      </c>
      <c r="H46">
        <v>59.93</v>
      </c>
      <c r="I46">
        <v>10001</v>
      </c>
      <c r="J46">
        <v>30000</v>
      </c>
    </row>
    <row r="47" spans="2:10" x14ac:dyDescent="0.25">
      <c r="B47" t="s">
        <v>430</v>
      </c>
      <c r="C47">
        <v>7.07</v>
      </c>
      <c r="D47">
        <v>33.700000000000003</v>
      </c>
      <c r="E47">
        <v>1.194</v>
      </c>
      <c r="F47">
        <v>3.2870000000000003E-2</v>
      </c>
      <c r="G47">
        <v>1.0049999999999999</v>
      </c>
      <c r="H47">
        <v>59.39</v>
      </c>
      <c r="I47">
        <v>10001</v>
      </c>
      <c r="J47">
        <v>30000</v>
      </c>
    </row>
    <row r="48" spans="2:10" x14ac:dyDescent="0.25">
      <c r="B48" t="s">
        <v>431</v>
      </c>
      <c r="C48">
        <v>3.7410000000000001</v>
      </c>
      <c r="D48">
        <v>5.3079999999999998</v>
      </c>
      <c r="E48">
        <v>0.19120000000000001</v>
      </c>
      <c r="F48">
        <v>0.49709999999999999</v>
      </c>
      <c r="G48">
        <v>2.4020000000000001</v>
      </c>
      <c r="H48">
        <v>15.79</v>
      </c>
      <c r="I48">
        <v>10001</v>
      </c>
      <c r="J48">
        <v>30000</v>
      </c>
    </row>
    <row r="49" spans="2:10" x14ac:dyDescent="0.25">
      <c r="B49" t="s">
        <v>432</v>
      </c>
      <c r="C49">
        <v>1.135</v>
      </c>
      <c r="D49">
        <v>0.53010000000000002</v>
      </c>
      <c r="E49">
        <v>1.583E-2</v>
      </c>
      <c r="F49">
        <v>0.45729999999999998</v>
      </c>
      <c r="G49">
        <v>1.0289999999999999</v>
      </c>
      <c r="H49">
        <v>2.39</v>
      </c>
      <c r="I49">
        <v>10001</v>
      </c>
      <c r="J49">
        <v>30000</v>
      </c>
    </row>
    <row r="50" spans="2:10" x14ac:dyDescent="0.25">
      <c r="B50" t="s">
        <v>433</v>
      </c>
      <c r="C50">
        <v>1.8520000000000001</v>
      </c>
      <c r="D50">
        <v>0.63260000000000005</v>
      </c>
      <c r="E50">
        <v>1.8669999999999999E-2</v>
      </c>
      <c r="F50">
        <v>0.92159999999999997</v>
      </c>
      <c r="G50">
        <v>1.734</v>
      </c>
      <c r="H50">
        <v>3.3460000000000001</v>
      </c>
      <c r="I50">
        <v>10001</v>
      </c>
      <c r="J50">
        <v>30000</v>
      </c>
    </row>
    <row r="51" spans="2:10" x14ac:dyDescent="0.25">
      <c r="B51" t="s">
        <v>434</v>
      </c>
      <c r="C51">
        <v>1.1459999999999999</v>
      </c>
      <c r="D51">
        <v>0.52110000000000001</v>
      </c>
      <c r="E51">
        <v>1.3769999999999999E-2</v>
      </c>
      <c r="F51">
        <v>0.4824</v>
      </c>
      <c r="G51">
        <v>1.04</v>
      </c>
      <c r="H51">
        <v>2.42</v>
      </c>
      <c r="I51">
        <v>10001</v>
      </c>
      <c r="J51">
        <v>30000</v>
      </c>
    </row>
    <row r="52" spans="2:10" x14ac:dyDescent="0.25">
      <c r="B52" t="s">
        <v>435</v>
      </c>
      <c r="C52">
        <v>2.1619999999999999</v>
      </c>
      <c r="D52">
        <v>2.3199999999999998</v>
      </c>
      <c r="E52">
        <v>6.1969999999999997E-2</v>
      </c>
      <c r="F52">
        <v>0.30099999999999999</v>
      </c>
      <c r="G52">
        <v>1.5089999999999999</v>
      </c>
      <c r="H52">
        <v>8.0399999999999991</v>
      </c>
      <c r="I52">
        <v>10001</v>
      </c>
      <c r="J52">
        <v>30000</v>
      </c>
    </row>
    <row r="53" spans="2:10" x14ac:dyDescent="0.25">
      <c r="B53" t="s">
        <v>436</v>
      </c>
      <c r="C53">
        <v>11.09</v>
      </c>
      <c r="D53">
        <v>52.75</v>
      </c>
      <c r="E53">
        <v>1.649</v>
      </c>
      <c r="F53">
        <v>0.19070000000000001</v>
      </c>
      <c r="G53">
        <v>2.3719999999999999</v>
      </c>
      <c r="H53">
        <v>71.03</v>
      </c>
      <c r="I53">
        <v>10001</v>
      </c>
      <c r="J53">
        <v>30000</v>
      </c>
    </row>
    <row r="54" spans="2:10" x14ac:dyDescent="0.25">
      <c r="B54" t="s">
        <v>437</v>
      </c>
      <c r="C54">
        <v>8.7829999999999995</v>
      </c>
      <c r="D54">
        <v>43.27</v>
      </c>
      <c r="E54">
        <v>1.4670000000000001</v>
      </c>
      <c r="F54">
        <v>3.662E-2</v>
      </c>
      <c r="G54">
        <v>1.1579999999999999</v>
      </c>
      <c r="H54">
        <v>79.040000000000006</v>
      </c>
      <c r="I54">
        <v>10001</v>
      </c>
      <c r="J54">
        <v>30000</v>
      </c>
    </row>
    <row r="55" spans="2:10" x14ac:dyDescent="0.25">
      <c r="B55" t="s">
        <v>438</v>
      </c>
      <c r="C55">
        <v>4.7990000000000004</v>
      </c>
      <c r="D55">
        <v>8.24</v>
      </c>
      <c r="E55">
        <v>0.30790000000000001</v>
      </c>
      <c r="F55">
        <v>0.51149999999999995</v>
      </c>
      <c r="G55">
        <v>2.7549999999999999</v>
      </c>
      <c r="H55">
        <v>21.93</v>
      </c>
      <c r="I55">
        <v>10001</v>
      </c>
      <c r="J55">
        <v>30000</v>
      </c>
    </row>
    <row r="56" spans="2:10" x14ac:dyDescent="0.25">
      <c r="B56" t="s">
        <v>439</v>
      </c>
      <c r="C56">
        <v>1.3580000000000001</v>
      </c>
      <c r="D56">
        <v>0.72919999999999996</v>
      </c>
      <c r="E56">
        <v>2.2169999999999999E-2</v>
      </c>
      <c r="F56">
        <v>0.44369999999999998</v>
      </c>
      <c r="G56">
        <v>1.2110000000000001</v>
      </c>
      <c r="H56">
        <v>2.988</v>
      </c>
      <c r="I56">
        <v>10001</v>
      </c>
      <c r="J56">
        <v>30000</v>
      </c>
    </row>
    <row r="57" spans="2:10" x14ac:dyDescent="0.25">
      <c r="B57" t="s">
        <v>440</v>
      </c>
      <c r="C57">
        <v>2.23</v>
      </c>
      <c r="D57">
        <v>0.97829999999999995</v>
      </c>
      <c r="E57">
        <v>3.2579999999999998E-2</v>
      </c>
      <c r="F57">
        <v>0.93889999999999996</v>
      </c>
      <c r="G57">
        <v>2.02</v>
      </c>
      <c r="H57">
        <v>4.5960000000000001</v>
      </c>
      <c r="I57">
        <v>10001</v>
      </c>
      <c r="J57">
        <v>30000</v>
      </c>
    </row>
    <row r="58" spans="2:10" x14ac:dyDescent="0.25">
      <c r="B58" t="s">
        <v>441</v>
      </c>
      <c r="C58">
        <v>2.157</v>
      </c>
      <c r="D58">
        <v>2.5920000000000001</v>
      </c>
      <c r="E58">
        <v>6.6110000000000002E-2</v>
      </c>
      <c r="F58">
        <v>0.25369999999999998</v>
      </c>
      <c r="G58">
        <v>1.44</v>
      </c>
      <c r="H58">
        <v>8.3680000000000003</v>
      </c>
      <c r="I58">
        <v>10001</v>
      </c>
      <c r="J58">
        <v>30000</v>
      </c>
    </row>
    <row r="59" spans="2:10" x14ac:dyDescent="0.25">
      <c r="B59" t="s">
        <v>442</v>
      </c>
      <c r="C59">
        <v>10.94</v>
      </c>
      <c r="D59">
        <v>51</v>
      </c>
      <c r="E59">
        <v>1.5149999999999999</v>
      </c>
      <c r="F59">
        <v>0.1641</v>
      </c>
      <c r="G59">
        <v>2.2160000000000002</v>
      </c>
      <c r="H59">
        <v>66.16</v>
      </c>
      <c r="I59">
        <v>10001</v>
      </c>
      <c r="J59">
        <v>30000</v>
      </c>
    </row>
    <row r="60" spans="2:10" x14ac:dyDescent="0.25">
      <c r="B60" t="s">
        <v>443</v>
      </c>
      <c r="C60">
        <v>8.0359999999999996</v>
      </c>
      <c r="D60">
        <v>37.369999999999997</v>
      </c>
      <c r="E60">
        <v>1.2410000000000001</v>
      </c>
      <c r="F60">
        <v>3.3619999999999997E-2</v>
      </c>
      <c r="G60">
        <v>1.1439999999999999</v>
      </c>
      <c r="H60">
        <v>61.51</v>
      </c>
      <c r="I60">
        <v>10001</v>
      </c>
      <c r="J60">
        <v>30000</v>
      </c>
    </row>
    <row r="61" spans="2:10" x14ac:dyDescent="0.25">
      <c r="B61" t="s">
        <v>444</v>
      </c>
      <c r="C61">
        <v>4.766</v>
      </c>
      <c r="D61">
        <v>8.7140000000000004</v>
      </c>
      <c r="E61">
        <v>0.33019999999999999</v>
      </c>
      <c r="F61">
        <v>0.4299</v>
      </c>
      <c r="G61">
        <v>2.5950000000000002</v>
      </c>
      <c r="H61">
        <v>22.35</v>
      </c>
      <c r="I61">
        <v>10001</v>
      </c>
      <c r="J61">
        <v>30000</v>
      </c>
    </row>
    <row r="62" spans="2:10" x14ac:dyDescent="0.25">
      <c r="B62" t="s">
        <v>445</v>
      </c>
      <c r="C62">
        <v>1.3420000000000001</v>
      </c>
      <c r="D62">
        <v>0.82010000000000005</v>
      </c>
      <c r="E62">
        <v>2.2880000000000001E-2</v>
      </c>
      <c r="F62">
        <v>0.37309999999999999</v>
      </c>
      <c r="G62">
        <v>1.1719999999999999</v>
      </c>
      <c r="H62">
        <v>3.3260000000000001</v>
      </c>
      <c r="I62">
        <v>10001</v>
      </c>
      <c r="J62">
        <v>30000</v>
      </c>
    </row>
    <row r="63" spans="2:10" x14ac:dyDescent="0.25">
      <c r="B63" t="s">
        <v>446</v>
      </c>
      <c r="C63">
        <v>2.198</v>
      </c>
      <c r="D63">
        <v>1.167</v>
      </c>
      <c r="E63">
        <v>3.1759999999999997E-2</v>
      </c>
      <c r="F63">
        <v>0.75800000000000001</v>
      </c>
      <c r="G63">
        <v>1.9690000000000001</v>
      </c>
      <c r="H63">
        <v>4.9690000000000003</v>
      </c>
      <c r="I63">
        <v>10001</v>
      </c>
      <c r="J63">
        <v>30000</v>
      </c>
    </row>
    <row r="64" spans="2:10" x14ac:dyDescent="0.25">
      <c r="B64" t="s">
        <v>447</v>
      </c>
      <c r="C64">
        <v>9.92</v>
      </c>
      <c r="D64">
        <v>60.12</v>
      </c>
      <c r="E64">
        <v>1.4350000000000001</v>
      </c>
      <c r="F64">
        <v>7.3190000000000005E-2</v>
      </c>
      <c r="G64">
        <v>1.609</v>
      </c>
      <c r="H64">
        <v>65.05</v>
      </c>
      <c r="I64">
        <v>10001</v>
      </c>
      <c r="J64">
        <v>30000</v>
      </c>
    </row>
    <row r="65" spans="2:10" x14ac:dyDescent="0.25">
      <c r="B65" t="s">
        <v>448</v>
      </c>
      <c r="C65">
        <v>6.6609999999999996</v>
      </c>
      <c r="D65">
        <v>43.83</v>
      </c>
      <c r="E65">
        <v>1.284</v>
      </c>
      <c r="F65">
        <v>2.044E-2</v>
      </c>
      <c r="G65">
        <v>0.80379999999999996</v>
      </c>
      <c r="H65">
        <v>41.76</v>
      </c>
      <c r="I65">
        <v>10001</v>
      </c>
      <c r="J65">
        <v>30000</v>
      </c>
    </row>
    <row r="66" spans="2:10" x14ac:dyDescent="0.25">
      <c r="B66" t="s">
        <v>449</v>
      </c>
      <c r="C66">
        <v>3.6739999999999999</v>
      </c>
      <c r="D66">
        <v>7.8029999999999999</v>
      </c>
      <c r="E66">
        <v>0.185</v>
      </c>
      <c r="F66">
        <v>0.23569999999999999</v>
      </c>
      <c r="G66">
        <v>1.7549999999999999</v>
      </c>
      <c r="H66">
        <v>18.399999999999999</v>
      </c>
      <c r="I66">
        <v>10001</v>
      </c>
      <c r="J66">
        <v>30000</v>
      </c>
    </row>
    <row r="67" spans="2:10" x14ac:dyDescent="0.25">
      <c r="B67" t="s">
        <v>450</v>
      </c>
      <c r="C67">
        <v>1.1619999999999999</v>
      </c>
      <c r="D67">
        <v>1.3620000000000001</v>
      </c>
      <c r="E67">
        <v>3.2480000000000002E-2</v>
      </c>
      <c r="F67">
        <v>0.14180000000000001</v>
      </c>
      <c r="G67">
        <v>0.80689999999999995</v>
      </c>
      <c r="H67">
        <v>4.4749999999999996</v>
      </c>
      <c r="I67">
        <v>10001</v>
      </c>
      <c r="J67">
        <v>30000</v>
      </c>
    </row>
    <row r="68" spans="2:10" x14ac:dyDescent="0.25">
      <c r="B68" t="s">
        <v>451</v>
      </c>
      <c r="C68">
        <v>1.903</v>
      </c>
      <c r="D68">
        <v>2.1560000000000001</v>
      </c>
      <c r="E68">
        <v>4.8829999999999998E-2</v>
      </c>
      <c r="F68">
        <v>0.26240000000000002</v>
      </c>
      <c r="G68">
        <v>1.3640000000000001</v>
      </c>
      <c r="H68">
        <v>6.6980000000000004</v>
      </c>
      <c r="I68">
        <v>10001</v>
      </c>
      <c r="J68">
        <v>30000</v>
      </c>
    </row>
    <row r="69" spans="2:10" x14ac:dyDescent="0.25">
      <c r="B69" t="s">
        <v>452</v>
      </c>
      <c r="C69">
        <v>11.74</v>
      </c>
      <c r="D69">
        <v>87.72</v>
      </c>
      <c r="E69">
        <v>2.6139999999999999</v>
      </c>
      <c r="F69">
        <v>4.1619999999999999E-3</v>
      </c>
      <c r="G69">
        <v>0.40400000000000003</v>
      </c>
      <c r="H69">
        <v>85.48</v>
      </c>
      <c r="I69">
        <v>10001</v>
      </c>
      <c r="J69">
        <v>30000</v>
      </c>
    </row>
    <row r="70" spans="2:10" x14ac:dyDescent="0.25">
      <c r="B70" t="s">
        <v>453</v>
      </c>
      <c r="C70">
        <v>5.0949999999999998</v>
      </c>
      <c r="D70">
        <v>32.58</v>
      </c>
      <c r="E70">
        <v>0.54869999999999997</v>
      </c>
      <c r="F70">
        <v>2.971E-2</v>
      </c>
      <c r="G70">
        <v>1.2629999999999999</v>
      </c>
      <c r="H70">
        <v>30.19</v>
      </c>
      <c r="I70">
        <v>10001</v>
      </c>
      <c r="J70">
        <v>30000</v>
      </c>
    </row>
    <row r="71" spans="2:10" x14ac:dyDescent="0.25">
      <c r="B71" t="s">
        <v>454</v>
      </c>
      <c r="C71">
        <v>1.389</v>
      </c>
      <c r="D71">
        <v>4.2030000000000003</v>
      </c>
      <c r="E71">
        <v>0.1128</v>
      </c>
      <c r="F71">
        <v>1.5180000000000001E-2</v>
      </c>
      <c r="G71">
        <v>0.49480000000000002</v>
      </c>
      <c r="H71">
        <v>7.6980000000000004</v>
      </c>
      <c r="I71">
        <v>10001</v>
      </c>
      <c r="J71">
        <v>30000</v>
      </c>
    </row>
    <row r="72" spans="2:10" x14ac:dyDescent="0.25">
      <c r="B72" t="s">
        <v>455</v>
      </c>
      <c r="C72">
        <v>2.2370000000000001</v>
      </c>
      <c r="D72">
        <v>5.5149999999999997</v>
      </c>
      <c r="E72">
        <v>0.17519999999999999</v>
      </c>
      <c r="F72">
        <v>2.9069999999999999E-2</v>
      </c>
      <c r="G72">
        <v>0.87919999999999998</v>
      </c>
      <c r="H72">
        <v>12.39</v>
      </c>
      <c r="I72">
        <v>10001</v>
      </c>
      <c r="J72">
        <v>30000</v>
      </c>
    </row>
    <row r="73" spans="2:10" x14ac:dyDescent="0.25">
      <c r="B73" t="s">
        <v>456</v>
      </c>
      <c r="C73">
        <v>130.4</v>
      </c>
      <c r="D73">
        <v>4935</v>
      </c>
      <c r="E73">
        <v>109.8</v>
      </c>
      <c r="F73">
        <v>3.1859999999999999E-2</v>
      </c>
      <c r="G73">
        <v>2.1589999999999998</v>
      </c>
      <c r="H73">
        <v>137.30000000000001</v>
      </c>
      <c r="I73">
        <v>10001</v>
      </c>
      <c r="J73">
        <v>30000</v>
      </c>
    </row>
    <row r="74" spans="2:10" x14ac:dyDescent="0.25">
      <c r="B74" t="s">
        <v>457</v>
      </c>
      <c r="C74">
        <v>106.6</v>
      </c>
      <c r="D74">
        <v>4125</v>
      </c>
      <c r="E74">
        <v>100.6</v>
      </c>
      <c r="F74">
        <v>1.6490000000000001E-2</v>
      </c>
      <c r="G74">
        <v>1.0209999999999999</v>
      </c>
      <c r="H74">
        <v>33.020000000000003</v>
      </c>
      <c r="I74">
        <v>10001</v>
      </c>
      <c r="J74">
        <v>30000</v>
      </c>
    </row>
    <row r="75" spans="2:10" x14ac:dyDescent="0.25">
      <c r="B75" t="s">
        <v>458</v>
      </c>
      <c r="C75">
        <v>167.8</v>
      </c>
      <c r="D75">
        <v>6413</v>
      </c>
      <c r="E75">
        <v>156.4</v>
      </c>
      <c r="F75">
        <v>2.6419999999999999E-2</v>
      </c>
      <c r="G75">
        <v>1.8009999999999999</v>
      </c>
      <c r="H75">
        <v>56.28</v>
      </c>
      <c r="I75">
        <v>10001</v>
      </c>
      <c r="J75">
        <v>30000</v>
      </c>
    </row>
    <row r="76" spans="2:10" x14ac:dyDescent="0.25">
      <c r="B76" t="s">
        <v>459</v>
      </c>
      <c r="C76">
        <v>0.63700000000000001</v>
      </c>
      <c r="D76">
        <v>0.74890000000000001</v>
      </c>
      <c r="E76">
        <v>2.1839999999999998E-2</v>
      </c>
      <c r="F76">
        <v>6.0440000000000001E-2</v>
      </c>
      <c r="G76">
        <v>0.4294</v>
      </c>
      <c r="H76">
        <v>2.3420000000000001</v>
      </c>
      <c r="I76">
        <v>10001</v>
      </c>
      <c r="J76">
        <v>30000</v>
      </c>
    </row>
    <row r="77" spans="2:10" x14ac:dyDescent="0.25">
      <c r="B77" t="s">
        <v>460</v>
      </c>
      <c r="C77">
        <v>1.0589999999999999</v>
      </c>
      <c r="D77">
        <v>1.1240000000000001</v>
      </c>
      <c r="E77">
        <v>3.5880000000000002E-2</v>
      </c>
      <c r="F77">
        <v>0.1004</v>
      </c>
      <c r="G77">
        <v>0.72760000000000002</v>
      </c>
      <c r="H77">
        <v>3.89</v>
      </c>
      <c r="I77">
        <v>10001</v>
      </c>
      <c r="J77">
        <v>30000</v>
      </c>
    </row>
    <row r="78" spans="2:10" x14ac:dyDescent="0.25">
      <c r="B78" t="s">
        <v>461</v>
      </c>
      <c r="C78">
        <v>1.8129999999999999</v>
      </c>
      <c r="D78">
        <v>0.67689999999999995</v>
      </c>
      <c r="E78">
        <v>2.196E-2</v>
      </c>
      <c r="F78">
        <v>0.84950000000000003</v>
      </c>
      <c r="G78">
        <v>1.6990000000000001</v>
      </c>
      <c r="H78">
        <v>3.4849999999999999</v>
      </c>
      <c r="I78">
        <v>10001</v>
      </c>
      <c r="J78">
        <v>30000</v>
      </c>
    </row>
    <row r="79" spans="2:10" x14ac:dyDescent="0.25">
      <c r="B79" t="s">
        <v>462</v>
      </c>
      <c r="C79">
        <v>0.54559999999999997</v>
      </c>
      <c r="D79">
        <v>0.19400000000000001</v>
      </c>
      <c r="E79">
        <v>6.9080000000000001E-3</v>
      </c>
      <c r="F79">
        <v>0.22220000000000001</v>
      </c>
      <c r="G79">
        <v>0.55559999999999998</v>
      </c>
      <c r="H79">
        <v>0.88890000000000002</v>
      </c>
      <c r="I79">
        <v>10001</v>
      </c>
      <c r="J79">
        <v>30000</v>
      </c>
    </row>
    <row r="80" spans="2:10" x14ac:dyDescent="0.25">
      <c r="B80" t="s">
        <v>463</v>
      </c>
      <c r="C80">
        <v>0.6159</v>
      </c>
      <c r="D80">
        <v>0.18429999999999999</v>
      </c>
      <c r="E80">
        <v>5.8630000000000002E-3</v>
      </c>
      <c r="F80">
        <v>0.22220000000000001</v>
      </c>
      <c r="G80">
        <v>0.66669999999999996</v>
      </c>
      <c r="H80">
        <v>0.88890000000000002</v>
      </c>
      <c r="I80">
        <v>10001</v>
      </c>
      <c r="J80">
        <v>30000</v>
      </c>
    </row>
    <row r="81" spans="2:10" x14ac:dyDescent="0.25">
      <c r="B81" t="s">
        <v>464</v>
      </c>
      <c r="C81">
        <v>0.71250000000000002</v>
      </c>
      <c r="D81">
        <v>0.1973</v>
      </c>
      <c r="E81">
        <v>6.4429999999999999E-3</v>
      </c>
      <c r="F81">
        <v>0.33329999999999999</v>
      </c>
      <c r="G81">
        <v>0.77780000000000005</v>
      </c>
      <c r="H81">
        <v>1</v>
      </c>
      <c r="I81">
        <v>10001</v>
      </c>
      <c r="J81">
        <v>30000</v>
      </c>
    </row>
    <row r="82" spans="2:10" x14ac:dyDescent="0.25">
      <c r="B82" t="s">
        <v>465</v>
      </c>
      <c r="C82">
        <v>0.66690000000000005</v>
      </c>
      <c r="D82">
        <v>0.2492</v>
      </c>
      <c r="E82">
        <v>7.5810000000000001E-3</v>
      </c>
      <c r="F82">
        <v>0.1111</v>
      </c>
      <c r="G82">
        <v>0.66669999999999996</v>
      </c>
      <c r="H82">
        <v>1</v>
      </c>
      <c r="I82">
        <v>10001</v>
      </c>
      <c r="J82">
        <v>30000</v>
      </c>
    </row>
    <row r="83" spans="2:10" x14ac:dyDescent="0.25">
      <c r="B83" t="s">
        <v>466</v>
      </c>
      <c r="C83">
        <v>0.46879999999999999</v>
      </c>
      <c r="D83">
        <v>0.33229999999999998</v>
      </c>
      <c r="E83">
        <v>1.0580000000000001E-2</v>
      </c>
      <c r="F83">
        <v>0</v>
      </c>
      <c r="G83">
        <v>0.44440000000000002</v>
      </c>
      <c r="H83">
        <v>1</v>
      </c>
      <c r="I83">
        <v>10001</v>
      </c>
      <c r="J83">
        <v>30000</v>
      </c>
    </row>
    <row r="84" spans="2:10" x14ac:dyDescent="0.25">
      <c r="B84" t="s">
        <v>467</v>
      </c>
      <c r="C84">
        <v>0.36720000000000003</v>
      </c>
      <c r="D84">
        <v>0.38950000000000001</v>
      </c>
      <c r="E84">
        <v>1.5779999999999999E-2</v>
      </c>
      <c r="F84">
        <v>0</v>
      </c>
      <c r="G84">
        <v>0.22220000000000001</v>
      </c>
      <c r="H84">
        <v>1</v>
      </c>
      <c r="I84">
        <v>10001</v>
      </c>
      <c r="J84">
        <v>30000</v>
      </c>
    </row>
    <row r="85" spans="2:10" x14ac:dyDescent="0.25">
      <c r="B85" t="s">
        <v>468</v>
      </c>
      <c r="C85">
        <v>0.54790000000000005</v>
      </c>
      <c r="D85">
        <v>0.42</v>
      </c>
      <c r="E85">
        <v>1.7919999999999998E-2</v>
      </c>
      <c r="F85">
        <v>0</v>
      </c>
      <c r="G85">
        <v>0.66669999999999996</v>
      </c>
      <c r="H85">
        <v>1</v>
      </c>
      <c r="I85">
        <v>10001</v>
      </c>
      <c r="J85">
        <v>30000</v>
      </c>
    </row>
    <row r="86" spans="2:10" x14ac:dyDescent="0.25">
      <c r="B86" t="s">
        <v>469</v>
      </c>
      <c r="C86">
        <v>0.24729999999999999</v>
      </c>
      <c r="D86">
        <v>0.28139999999999998</v>
      </c>
      <c r="E86">
        <v>1.0580000000000001E-2</v>
      </c>
      <c r="F86">
        <v>0</v>
      </c>
      <c r="G86">
        <v>0.1111</v>
      </c>
      <c r="H86">
        <v>1</v>
      </c>
      <c r="I86">
        <v>10001</v>
      </c>
      <c r="J86">
        <v>30000</v>
      </c>
    </row>
    <row r="87" spans="2:10" x14ac:dyDescent="0.25">
      <c r="B87" t="s">
        <v>470</v>
      </c>
      <c r="C87">
        <v>0.58599999999999997</v>
      </c>
      <c r="D87">
        <v>0.2455</v>
      </c>
      <c r="E87">
        <v>8.3239999999999998E-3</v>
      </c>
      <c r="F87">
        <v>0.1111</v>
      </c>
      <c r="G87">
        <v>0.55559999999999998</v>
      </c>
      <c r="H87">
        <v>1</v>
      </c>
      <c r="I87">
        <v>10001</v>
      </c>
      <c r="J87">
        <v>30000</v>
      </c>
    </row>
    <row r="88" spans="2:10" x14ac:dyDescent="0.25">
      <c r="B88" t="s">
        <v>471</v>
      </c>
      <c r="C88">
        <v>0.2419</v>
      </c>
      <c r="D88">
        <v>0.14349999999999999</v>
      </c>
      <c r="E88">
        <v>4.8190000000000004E-3</v>
      </c>
      <c r="F88">
        <v>0</v>
      </c>
      <c r="G88">
        <v>0.22220000000000001</v>
      </c>
      <c r="H88">
        <v>0.55559999999999998</v>
      </c>
      <c r="I88">
        <v>10001</v>
      </c>
      <c r="J88">
        <v>30000</v>
      </c>
    </row>
    <row r="89" spans="2:10" x14ac:dyDescent="0.25">
      <c r="B89" t="s">
        <v>472</v>
      </c>
      <c r="C89">
        <v>1.46E-2</v>
      </c>
      <c r="D89">
        <v>0.11990000000000001</v>
      </c>
      <c r="E89">
        <v>3.2950000000000002E-3</v>
      </c>
      <c r="F89">
        <v>0</v>
      </c>
      <c r="G89">
        <v>0</v>
      </c>
      <c r="H89">
        <v>0</v>
      </c>
      <c r="I89">
        <v>10001</v>
      </c>
      <c r="J89">
        <v>30000</v>
      </c>
    </row>
    <row r="90" spans="2:10" x14ac:dyDescent="0.25">
      <c r="B90" t="s">
        <v>473</v>
      </c>
      <c r="C90">
        <v>2.427E-2</v>
      </c>
      <c r="D90">
        <v>0.15390000000000001</v>
      </c>
      <c r="E90">
        <v>2.3410000000000002E-3</v>
      </c>
      <c r="F90">
        <v>0</v>
      </c>
      <c r="G90">
        <v>0</v>
      </c>
      <c r="H90">
        <v>0</v>
      </c>
      <c r="I90">
        <v>10001</v>
      </c>
      <c r="J90">
        <v>30000</v>
      </c>
    </row>
    <row r="91" spans="2:10" x14ac:dyDescent="0.25">
      <c r="B91" t="s">
        <v>474</v>
      </c>
      <c r="C91">
        <v>9.0029999999999999E-2</v>
      </c>
      <c r="D91">
        <v>0.28620000000000001</v>
      </c>
      <c r="E91">
        <v>7.0920000000000002E-3</v>
      </c>
      <c r="F91">
        <v>0</v>
      </c>
      <c r="G91">
        <v>0</v>
      </c>
      <c r="H91">
        <v>1</v>
      </c>
      <c r="I91">
        <v>10001</v>
      </c>
      <c r="J91">
        <v>30000</v>
      </c>
    </row>
    <row r="92" spans="2:10" x14ac:dyDescent="0.25">
      <c r="B92" t="s">
        <v>475</v>
      </c>
      <c r="C92">
        <v>0.1216</v>
      </c>
      <c r="D92">
        <v>0.32679999999999998</v>
      </c>
      <c r="E92">
        <v>9.0299999999999998E-3</v>
      </c>
      <c r="F92">
        <v>0</v>
      </c>
      <c r="G92">
        <v>0</v>
      </c>
      <c r="H92">
        <v>1</v>
      </c>
      <c r="I92">
        <v>10001</v>
      </c>
      <c r="J92">
        <v>30000</v>
      </c>
    </row>
    <row r="93" spans="2:10" x14ac:dyDescent="0.25">
      <c r="B93" t="s">
        <v>476</v>
      </c>
      <c r="C93">
        <v>0.1087</v>
      </c>
      <c r="D93">
        <v>0.31119999999999998</v>
      </c>
      <c r="E93">
        <v>7.7299999999999999E-3</v>
      </c>
      <c r="F93">
        <v>0</v>
      </c>
      <c r="G93">
        <v>0</v>
      </c>
      <c r="H93">
        <v>1</v>
      </c>
      <c r="I93">
        <v>10001</v>
      </c>
      <c r="J93">
        <v>30000</v>
      </c>
    </row>
    <row r="94" spans="2:10" x14ac:dyDescent="0.25">
      <c r="B94" t="s">
        <v>477</v>
      </c>
      <c r="C94">
        <v>0.16900000000000001</v>
      </c>
      <c r="D94">
        <v>0.37480000000000002</v>
      </c>
      <c r="E94">
        <v>1.4370000000000001E-2</v>
      </c>
      <c r="F94">
        <v>0</v>
      </c>
      <c r="G94">
        <v>0</v>
      </c>
      <c r="H94">
        <v>1</v>
      </c>
      <c r="I94">
        <v>10001</v>
      </c>
      <c r="J94">
        <v>30000</v>
      </c>
    </row>
    <row r="95" spans="2:10" x14ac:dyDescent="0.25">
      <c r="B95" t="s">
        <v>478</v>
      </c>
      <c r="C95">
        <v>0.3518</v>
      </c>
      <c r="D95">
        <v>0.47749999999999998</v>
      </c>
      <c r="E95">
        <v>1.8870000000000001E-2</v>
      </c>
      <c r="F95">
        <v>0</v>
      </c>
      <c r="G95">
        <v>0</v>
      </c>
      <c r="H95">
        <v>1</v>
      </c>
      <c r="I95">
        <v>10001</v>
      </c>
      <c r="J95">
        <v>30000</v>
      </c>
    </row>
    <row r="96" spans="2:10" x14ac:dyDescent="0.25">
      <c r="B96" t="s">
        <v>479</v>
      </c>
      <c r="C96">
        <v>3.703E-2</v>
      </c>
      <c r="D96">
        <v>0.1888</v>
      </c>
      <c r="E96">
        <v>5.8710000000000004E-3</v>
      </c>
      <c r="F96">
        <v>0</v>
      </c>
      <c r="G96">
        <v>0</v>
      </c>
      <c r="H96">
        <v>1</v>
      </c>
      <c r="I96">
        <v>10001</v>
      </c>
      <c r="J96">
        <v>30000</v>
      </c>
    </row>
    <row r="97" spans="2:10" x14ac:dyDescent="0.25">
      <c r="B97" t="s">
        <v>480</v>
      </c>
      <c r="C97">
        <v>8.2830000000000001E-2</v>
      </c>
      <c r="D97">
        <v>0.27560000000000001</v>
      </c>
      <c r="E97">
        <v>9.7439999999999992E-3</v>
      </c>
      <c r="F97">
        <v>0</v>
      </c>
      <c r="G97">
        <v>0</v>
      </c>
      <c r="H97">
        <v>1</v>
      </c>
      <c r="I97">
        <v>10001</v>
      </c>
      <c r="J97">
        <v>30000</v>
      </c>
    </row>
    <row r="98" spans="2:10" x14ac:dyDescent="0.25">
      <c r="B98" t="s">
        <v>481</v>
      </c>
      <c r="C98" s="13">
        <v>1E-4</v>
      </c>
      <c r="D98">
        <v>9.9989999999999992E-3</v>
      </c>
      <c r="E98" s="13">
        <v>5.7739999999999999E-5</v>
      </c>
      <c r="F98">
        <v>0</v>
      </c>
      <c r="G98">
        <v>0</v>
      </c>
      <c r="H98">
        <v>0</v>
      </c>
      <c r="I98">
        <v>10001</v>
      </c>
      <c r="J98">
        <v>30000</v>
      </c>
    </row>
    <row r="99" spans="2:10" x14ac:dyDescent="0.25">
      <c r="B99" t="s">
        <v>482</v>
      </c>
      <c r="C99">
        <v>0.85199999999999998</v>
      </c>
      <c r="D99">
        <v>1.17</v>
      </c>
      <c r="E99">
        <v>1.5599999999999999E-2</v>
      </c>
      <c r="F99" s="13">
        <v>8.3830000000000005E-4</v>
      </c>
      <c r="G99">
        <v>0.4012</v>
      </c>
      <c r="H99">
        <v>4.1840000000000002</v>
      </c>
      <c r="I99">
        <v>10001</v>
      </c>
      <c r="J99">
        <v>30000</v>
      </c>
    </row>
    <row r="100" spans="2:10" x14ac:dyDescent="0.25">
      <c r="B100" t="s">
        <v>483</v>
      </c>
      <c r="C100">
        <v>0.81269999999999998</v>
      </c>
      <c r="D100">
        <v>1.161</v>
      </c>
      <c r="E100">
        <v>9.9229999999999995E-3</v>
      </c>
      <c r="F100" s="13">
        <v>7.9469999999999996E-4</v>
      </c>
      <c r="G100">
        <v>0.35749999999999998</v>
      </c>
      <c r="H100">
        <v>4.1369999999999996</v>
      </c>
      <c r="I100">
        <v>10001</v>
      </c>
      <c r="J100">
        <v>30000</v>
      </c>
    </row>
    <row r="101" spans="2:10" x14ac:dyDescent="0.25">
      <c r="B101" t="s">
        <v>484</v>
      </c>
      <c r="C101">
        <v>0.83330000000000004</v>
      </c>
      <c r="D101">
        <v>1.171</v>
      </c>
      <c r="E101">
        <v>1.2710000000000001E-2</v>
      </c>
      <c r="F101" s="13">
        <v>9.4169999999999996E-4</v>
      </c>
      <c r="G101">
        <v>0.37659999999999999</v>
      </c>
      <c r="H101">
        <v>4.17</v>
      </c>
      <c r="I101">
        <v>10001</v>
      </c>
      <c r="J101">
        <v>30000</v>
      </c>
    </row>
    <row r="102" spans="2:10" x14ac:dyDescent="0.25">
      <c r="B102" t="s">
        <v>485</v>
      </c>
      <c r="C102">
        <v>0.89629999999999999</v>
      </c>
      <c r="D102">
        <v>1.2310000000000001</v>
      </c>
      <c r="E102">
        <v>1.737E-2</v>
      </c>
      <c r="F102" s="13">
        <v>8.7239999999999996E-4</v>
      </c>
      <c r="G102">
        <v>0.41299999999999998</v>
      </c>
      <c r="H102">
        <v>4.4870000000000001</v>
      </c>
      <c r="I102">
        <v>10001</v>
      </c>
      <c r="J102">
        <v>30000</v>
      </c>
    </row>
    <row r="103" spans="2:10" x14ac:dyDescent="0.25">
      <c r="B103" t="s">
        <v>486</v>
      </c>
      <c r="C103">
        <v>0.97030000000000005</v>
      </c>
      <c r="D103">
        <v>1.3360000000000001</v>
      </c>
      <c r="E103">
        <v>1.6889999999999999E-2</v>
      </c>
      <c r="F103" s="13">
        <v>8.4179999999999997E-4</v>
      </c>
      <c r="G103">
        <v>0.44719999999999999</v>
      </c>
      <c r="H103">
        <v>4.71</v>
      </c>
      <c r="I103">
        <v>10001</v>
      </c>
      <c r="J103">
        <v>30000</v>
      </c>
    </row>
    <row r="104" spans="2:10" x14ac:dyDescent="0.25">
      <c r="B104" t="s">
        <v>487</v>
      </c>
      <c r="C104">
        <v>0.873</v>
      </c>
      <c r="D104">
        <v>1.246</v>
      </c>
      <c r="E104">
        <v>1.3270000000000001E-2</v>
      </c>
      <c r="F104" s="13">
        <v>8.7040000000000001E-4</v>
      </c>
      <c r="G104">
        <v>0.3931</v>
      </c>
      <c r="H104">
        <v>4.4669999999999996</v>
      </c>
      <c r="I104">
        <v>10001</v>
      </c>
      <c r="J104">
        <v>30000</v>
      </c>
    </row>
    <row r="105" spans="2:10" x14ac:dyDescent="0.25">
      <c r="B105" t="s">
        <v>488</v>
      </c>
      <c r="C105">
        <v>0.63029999999999997</v>
      </c>
      <c r="D105">
        <v>0.92220000000000002</v>
      </c>
      <c r="E105">
        <v>8.6090000000000003E-3</v>
      </c>
      <c r="F105" s="13">
        <v>5.8129999999999998E-4</v>
      </c>
      <c r="G105">
        <v>0.28060000000000002</v>
      </c>
      <c r="H105">
        <v>3.274</v>
      </c>
      <c r="I105">
        <v>10001</v>
      </c>
      <c r="J105">
        <v>30000</v>
      </c>
    </row>
    <row r="106" spans="2:10" x14ac:dyDescent="0.25">
      <c r="B106" t="s">
        <v>489</v>
      </c>
      <c r="C106">
        <v>0.97399999999999998</v>
      </c>
      <c r="D106">
        <v>1.2569999999999999</v>
      </c>
      <c r="E106">
        <v>1.047E-2</v>
      </c>
      <c r="F106">
        <v>1.147E-3</v>
      </c>
      <c r="G106">
        <v>0.49380000000000002</v>
      </c>
      <c r="H106">
        <v>4.5060000000000002</v>
      </c>
      <c r="I106">
        <v>10001</v>
      </c>
      <c r="J106">
        <v>30000</v>
      </c>
    </row>
    <row r="107" spans="2:10" x14ac:dyDescent="0.25">
      <c r="B107" t="s">
        <v>490</v>
      </c>
      <c r="C107">
        <v>0.63439999999999996</v>
      </c>
      <c r="D107">
        <v>0.91810000000000003</v>
      </c>
      <c r="E107">
        <v>8.1949999999999992E-3</v>
      </c>
      <c r="F107" s="13">
        <v>5.1029999999999999E-4</v>
      </c>
      <c r="G107">
        <v>0.28060000000000002</v>
      </c>
      <c r="H107">
        <v>3.2610000000000001</v>
      </c>
      <c r="I107">
        <v>10001</v>
      </c>
      <c r="J107">
        <v>30000</v>
      </c>
    </row>
    <row r="108" spans="2:10" x14ac:dyDescent="0.25">
      <c r="B108" t="s">
        <v>491</v>
      </c>
      <c r="C108">
        <v>0.98950000000000005</v>
      </c>
      <c r="D108">
        <v>1.28</v>
      </c>
      <c r="E108">
        <v>1.0630000000000001E-2</v>
      </c>
      <c r="F108">
        <v>1.1919999999999999E-3</v>
      </c>
      <c r="G108">
        <v>0.49959999999999999</v>
      </c>
      <c r="H108">
        <v>4.5579999999999998</v>
      </c>
      <c r="I108">
        <v>10001</v>
      </c>
      <c r="J108">
        <v>30000</v>
      </c>
    </row>
    <row r="109" spans="2:10" x14ac:dyDescent="0.25">
      <c r="B109" t="s">
        <v>492</v>
      </c>
      <c r="C109">
        <v>0.80189999999999995</v>
      </c>
      <c r="D109">
        <v>1.131</v>
      </c>
      <c r="E109">
        <v>1.2500000000000001E-2</v>
      </c>
      <c r="F109" s="13">
        <v>7.8839999999999997E-4</v>
      </c>
      <c r="G109">
        <v>0.37190000000000001</v>
      </c>
      <c r="H109">
        <v>4.05</v>
      </c>
      <c r="I109">
        <v>10001</v>
      </c>
      <c r="J109">
        <v>30000</v>
      </c>
    </row>
    <row r="110" spans="2:10" x14ac:dyDescent="0.25">
      <c r="B110" t="s">
        <v>493</v>
      </c>
      <c r="C110">
        <v>0.87990000000000002</v>
      </c>
      <c r="D110">
        <v>1.2170000000000001</v>
      </c>
      <c r="E110">
        <v>1.3979999999999999E-2</v>
      </c>
      <c r="F110" s="13">
        <v>9.0320000000000005E-4</v>
      </c>
      <c r="G110">
        <v>0.41060000000000002</v>
      </c>
      <c r="H110">
        <v>4.2789999999999999</v>
      </c>
      <c r="I110">
        <v>10001</v>
      </c>
      <c r="J110">
        <v>30000</v>
      </c>
    </row>
    <row r="111" spans="2:10" x14ac:dyDescent="0.25">
      <c r="B111" t="s">
        <v>494</v>
      </c>
      <c r="C111">
        <v>1.1850000000000001</v>
      </c>
      <c r="D111">
        <v>1.159</v>
      </c>
      <c r="E111">
        <v>2.6620000000000001E-2</v>
      </c>
      <c r="F111">
        <v>6.9180000000000005E-2</v>
      </c>
      <c r="G111">
        <v>0.82869999999999999</v>
      </c>
      <c r="H111">
        <v>4.3380000000000001</v>
      </c>
      <c r="I111">
        <v>10001</v>
      </c>
      <c r="J111">
        <v>30000</v>
      </c>
    </row>
    <row r="112" spans="2:10" x14ac:dyDescent="0.25">
      <c r="B112" t="s">
        <v>495</v>
      </c>
      <c r="C112">
        <v>1.407</v>
      </c>
      <c r="D112">
        <v>1.849</v>
      </c>
      <c r="E112">
        <v>1.7569999999999999E-2</v>
      </c>
      <c r="F112">
        <v>1.56E-3</v>
      </c>
      <c r="G112">
        <v>0.69630000000000003</v>
      </c>
      <c r="H112">
        <v>6.5350000000000001</v>
      </c>
      <c r="I112">
        <v>10001</v>
      </c>
      <c r="J112">
        <v>30000</v>
      </c>
    </row>
    <row r="113" spans="2:10" x14ac:dyDescent="0.25">
      <c r="B113" t="s">
        <v>496</v>
      </c>
      <c r="C113">
        <v>0.94589999999999996</v>
      </c>
      <c r="D113">
        <v>1.171</v>
      </c>
      <c r="E113">
        <v>1.243E-2</v>
      </c>
      <c r="F113">
        <v>1.3060000000000001E-3</v>
      </c>
      <c r="G113">
        <v>0.52590000000000003</v>
      </c>
      <c r="H113">
        <v>4.181</v>
      </c>
      <c r="I113">
        <v>10001</v>
      </c>
      <c r="J113">
        <v>30000</v>
      </c>
    </row>
    <row r="114" spans="2:10" x14ac:dyDescent="0.25">
      <c r="B114" t="s">
        <v>497</v>
      </c>
      <c r="C114">
        <v>1.2230000000000001</v>
      </c>
      <c r="D114">
        <v>1.581</v>
      </c>
      <c r="E114">
        <v>1.226E-2</v>
      </c>
      <c r="F114">
        <v>1.359E-3</v>
      </c>
      <c r="G114">
        <v>0.63109999999999999</v>
      </c>
      <c r="H114">
        <v>5.6609999999999996</v>
      </c>
      <c r="I114">
        <v>10001</v>
      </c>
      <c r="J114">
        <v>30000</v>
      </c>
    </row>
    <row r="115" spans="2:10" x14ac:dyDescent="0.25">
      <c r="B115" t="s">
        <v>498</v>
      </c>
      <c r="C115">
        <v>1.306</v>
      </c>
      <c r="D115">
        <v>1.7909999999999999</v>
      </c>
      <c r="E115">
        <v>5.5739999999999998E-2</v>
      </c>
      <c r="F115">
        <v>1.3910000000000001E-3</v>
      </c>
      <c r="G115">
        <v>0.62980000000000003</v>
      </c>
      <c r="H115">
        <v>6.6059999999999999</v>
      </c>
      <c r="I115">
        <v>10001</v>
      </c>
      <c r="J115">
        <v>30000</v>
      </c>
    </row>
    <row r="116" spans="2:10" x14ac:dyDescent="0.25">
      <c r="B116" t="s">
        <v>499</v>
      </c>
      <c r="C116">
        <v>0.96350000000000002</v>
      </c>
      <c r="D116">
        <v>1.367</v>
      </c>
      <c r="E116">
        <v>1.5980000000000001E-2</v>
      </c>
      <c r="F116">
        <v>1.01E-3</v>
      </c>
      <c r="G116">
        <v>0.44579999999999997</v>
      </c>
      <c r="H116">
        <v>4.8890000000000002</v>
      </c>
      <c r="I116">
        <v>10001</v>
      </c>
      <c r="J116">
        <v>30000</v>
      </c>
    </row>
    <row r="117" spans="2:10" x14ac:dyDescent="0.25">
      <c r="B117" t="s">
        <v>500</v>
      </c>
      <c r="C117">
        <v>1.0189999999999999</v>
      </c>
      <c r="D117">
        <v>1.4319999999999999</v>
      </c>
      <c r="E117">
        <v>2.4629999999999999E-2</v>
      </c>
      <c r="F117">
        <v>1.0349999999999999E-3</v>
      </c>
      <c r="G117">
        <v>0.47310000000000002</v>
      </c>
      <c r="H117">
        <v>5.0750000000000002</v>
      </c>
      <c r="I117">
        <v>10001</v>
      </c>
      <c r="J117">
        <v>30000</v>
      </c>
    </row>
    <row r="118" spans="2:10" x14ac:dyDescent="0.25">
      <c r="B118" t="s">
        <v>501</v>
      </c>
      <c r="C118">
        <v>1.008</v>
      </c>
      <c r="D118">
        <v>1.44</v>
      </c>
      <c r="E118">
        <v>1.7840000000000002E-2</v>
      </c>
      <c r="F118" s="13">
        <v>9.969E-4</v>
      </c>
      <c r="G118">
        <v>0.46060000000000001</v>
      </c>
      <c r="H118">
        <v>5.0739999999999998</v>
      </c>
      <c r="I118">
        <v>10001</v>
      </c>
      <c r="J118">
        <v>30000</v>
      </c>
    </row>
    <row r="119" spans="2:10" x14ac:dyDescent="0.25">
      <c r="B119" t="s">
        <v>502</v>
      </c>
      <c r="C119">
        <v>0.70250000000000001</v>
      </c>
      <c r="D119">
        <v>0.94550000000000001</v>
      </c>
      <c r="E119">
        <v>9.698E-3</v>
      </c>
      <c r="F119" s="13">
        <v>8.0849999999999997E-4</v>
      </c>
      <c r="G119">
        <v>0.34089999999999998</v>
      </c>
      <c r="H119">
        <v>3.3660000000000001</v>
      </c>
      <c r="I119">
        <v>10001</v>
      </c>
      <c r="J119">
        <v>30000</v>
      </c>
    </row>
    <row r="120" spans="2:10" x14ac:dyDescent="0.25">
      <c r="B120" t="s">
        <v>503</v>
      </c>
      <c r="C120">
        <v>0.71209999999999996</v>
      </c>
      <c r="D120">
        <v>1.018</v>
      </c>
      <c r="E120">
        <v>7.0879999999999997E-3</v>
      </c>
      <c r="F120" s="13">
        <v>6.692E-4</v>
      </c>
      <c r="G120">
        <v>0.31819999999999998</v>
      </c>
      <c r="H120">
        <v>3.6120000000000001</v>
      </c>
      <c r="I120">
        <v>10001</v>
      </c>
      <c r="J120">
        <v>30000</v>
      </c>
    </row>
    <row r="121" spans="2:10" x14ac:dyDescent="0.25">
      <c r="B121" t="s">
        <v>504</v>
      </c>
      <c r="C121">
        <v>1.2250000000000001</v>
      </c>
      <c r="D121">
        <v>1.65</v>
      </c>
      <c r="E121">
        <v>5.6959999999999997E-2</v>
      </c>
      <c r="F121">
        <v>1.1490000000000001E-3</v>
      </c>
      <c r="G121">
        <v>0.55869999999999997</v>
      </c>
      <c r="H121">
        <v>5.9950000000000001</v>
      </c>
      <c r="I121">
        <v>10001</v>
      </c>
      <c r="J121">
        <v>30000</v>
      </c>
    </row>
    <row r="122" spans="2:10" x14ac:dyDescent="0.25">
      <c r="B122" t="s">
        <v>505</v>
      </c>
      <c r="C122">
        <v>1.1180000000000001</v>
      </c>
      <c r="D122">
        <v>1.5840000000000001</v>
      </c>
      <c r="E122">
        <v>4.471E-2</v>
      </c>
      <c r="F122">
        <v>1.2279999999999999E-3</v>
      </c>
      <c r="G122">
        <v>0.52810000000000001</v>
      </c>
      <c r="H122">
        <v>5.3360000000000003</v>
      </c>
      <c r="I122">
        <v>10001</v>
      </c>
      <c r="J122">
        <v>30000</v>
      </c>
    </row>
    <row r="123" spans="2:10" x14ac:dyDescent="0.25">
      <c r="B123" t="s">
        <v>506</v>
      </c>
      <c r="C123">
        <v>0.98750000000000004</v>
      </c>
      <c r="D123">
        <v>1.3140000000000001</v>
      </c>
      <c r="E123">
        <v>1.8200000000000001E-2</v>
      </c>
      <c r="F123">
        <v>1.1969999999999999E-3</v>
      </c>
      <c r="G123">
        <v>0.48049999999999998</v>
      </c>
      <c r="H123">
        <v>4.673</v>
      </c>
      <c r="I123">
        <v>10001</v>
      </c>
      <c r="J123">
        <v>30000</v>
      </c>
    </row>
    <row r="124" spans="2:10" x14ac:dyDescent="0.25">
      <c r="B124" t="s">
        <v>507</v>
      </c>
      <c r="C124">
        <v>1.292</v>
      </c>
      <c r="D124">
        <v>1.615</v>
      </c>
      <c r="E124">
        <v>2.0729999999999998E-2</v>
      </c>
      <c r="F124">
        <v>1.6789999999999999E-3</v>
      </c>
      <c r="G124">
        <v>0.69020000000000004</v>
      </c>
      <c r="H124">
        <v>5.78</v>
      </c>
      <c r="I124">
        <v>10001</v>
      </c>
      <c r="J124">
        <v>30000</v>
      </c>
    </row>
    <row r="125" spans="2:10" x14ac:dyDescent="0.25">
      <c r="B125" t="s">
        <v>508</v>
      </c>
      <c r="C125">
        <v>0.80549999999999999</v>
      </c>
      <c r="D125">
        <v>1.1220000000000001</v>
      </c>
      <c r="E125">
        <v>1.4789999999999999E-2</v>
      </c>
      <c r="F125" s="13">
        <v>7.2939999999999995E-4</v>
      </c>
      <c r="G125">
        <v>0.37480000000000002</v>
      </c>
      <c r="H125">
        <v>4.0209999999999999</v>
      </c>
      <c r="I125">
        <v>10001</v>
      </c>
      <c r="J125">
        <v>30000</v>
      </c>
    </row>
    <row r="126" spans="2:10" x14ac:dyDescent="0.25">
      <c r="B126" t="s">
        <v>509</v>
      </c>
      <c r="C126">
        <v>1.016</v>
      </c>
      <c r="D126">
        <v>1.3680000000000001</v>
      </c>
      <c r="E126">
        <v>1.4840000000000001E-2</v>
      </c>
      <c r="F126">
        <v>1.0640000000000001E-3</v>
      </c>
      <c r="G126">
        <v>0.48870000000000002</v>
      </c>
      <c r="H126">
        <v>4.9059999999999997</v>
      </c>
      <c r="I126">
        <v>10001</v>
      </c>
      <c r="J126">
        <v>30000</v>
      </c>
    </row>
    <row r="127" spans="2:10" x14ac:dyDescent="0.25">
      <c r="B127" t="s">
        <v>510</v>
      </c>
      <c r="C127">
        <v>0.69489999999999996</v>
      </c>
      <c r="D127">
        <v>0.97</v>
      </c>
      <c r="E127">
        <v>1.0149999999999999E-2</v>
      </c>
      <c r="F127" s="13">
        <v>6.7610000000000001E-4</v>
      </c>
      <c r="G127">
        <v>0.31979999999999997</v>
      </c>
      <c r="H127">
        <v>3.4239999999999999</v>
      </c>
      <c r="I127">
        <v>10001</v>
      </c>
      <c r="J127">
        <v>30000</v>
      </c>
    </row>
    <row r="128" spans="2:10" x14ac:dyDescent="0.25">
      <c r="B128" t="s">
        <v>511</v>
      </c>
      <c r="C128">
        <v>1.006</v>
      </c>
      <c r="D128">
        <v>1.3540000000000001</v>
      </c>
      <c r="E128">
        <v>1.039E-2</v>
      </c>
      <c r="F128">
        <v>1.0920000000000001E-3</v>
      </c>
      <c r="G128">
        <v>0.47110000000000002</v>
      </c>
      <c r="H128">
        <v>4.8289999999999997</v>
      </c>
      <c r="I128">
        <v>10001</v>
      </c>
      <c r="J128">
        <v>30000</v>
      </c>
    </row>
    <row r="129" spans="2:10" x14ac:dyDescent="0.25">
      <c r="B129" t="s">
        <v>512</v>
      </c>
      <c r="C129">
        <v>0.6139</v>
      </c>
      <c r="D129">
        <v>0.88339999999999996</v>
      </c>
      <c r="E129">
        <v>7.7520000000000002E-3</v>
      </c>
      <c r="F129" s="13">
        <v>6.2169999999999999E-4</v>
      </c>
      <c r="G129">
        <v>0.27210000000000001</v>
      </c>
      <c r="H129">
        <v>3.1469999999999998</v>
      </c>
      <c r="I129">
        <v>10001</v>
      </c>
      <c r="J129">
        <v>30000</v>
      </c>
    </row>
    <row r="130" spans="2:10" x14ac:dyDescent="0.25">
      <c r="B130" t="s">
        <v>513</v>
      </c>
      <c r="C130">
        <v>0.81710000000000005</v>
      </c>
      <c r="D130">
        <v>1.111</v>
      </c>
      <c r="E130">
        <v>9.6699999999999998E-3</v>
      </c>
      <c r="F130" s="13">
        <v>7.8260000000000005E-4</v>
      </c>
      <c r="G130">
        <v>0.38969999999999999</v>
      </c>
      <c r="H130">
        <v>4.0069999999999997</v>
      </c>
      <c r="I130">
        <v>10001</v>
      </c>
      <c r="J130">
        <v>30000</v>
      </c>
    </row>
    <row r="131" spans="2:10" x14ac:dyDescent="0.25">
      <c r="B131" t="s">
        <v>514</v>
      </c>
      <c r="C131">
        <v>0.83289999999999997</v>
      </c>
      <c r="D131">
        <v>1.1299999999999999</v>
      </c>
      <c r="E131">
        <v>1.204E-2</v>
      </c>
      <c r="F131" s="13">
        <v>9.7839999999999993E-4</v>
      </c>
      <c r="G131">
        <v>0.4002</v>
      </c>
      <c r="H131">
        <v>3.988</v>
      </c>
      <c r="I131">
        <v>10001</v>
      </c>
      <c r="J131">
        <v>30000</v>
      </c>
    </row>
    <row r="132" spans="2:10" x14ac:dyDescent="0.25">
      <c r="B132" t="s">
        <v>515</v>
      </c>
      <c r="C132">
        <v>0.79479999999999995</v>
      </c>
      <c r="D132">
        <v>1.117</v>
      </c>
      <c r="E132">
        <v>9.5440000000000004E-3</v>
      </c>
      <c r="F132" s="13">
        <v>7.5219999999999996E-4</v>
      </c>
      <c r="G132">
        <v>0.36309999999999998</v>
      </c>
      <c r="H132">
        <v>3.98</v>
      </c>
      <c r="I132">
        <v>10001</v>
      </c>
      <c r="J132">
        <v>30000</v>
      </c>
    </row>
    <row r="133" spans="2:10" x14ac:dyDescent="0.25">
      <c r="B133" t="s">
        <v>516</v>
      </c>
      <c r="C133">
        <v>1.202</v>
      </c>
      <c r="D133">
        <v>1.5089999999999999</v>
      </c>
      <c r="E133">
        <v>1.3639999999999999E-2</v>
      </c>
      <c r="F133">
        <v>1.413E-3</v>
      </c>
      <c r="G133">
        <v>0.63690000000000002</v>
      </c>
      <c r="H133">
        <v>5.3840000000000003</v>
      </c>
      <c r="I133">
        <v>10001</v>
      </c>
      <c r="J133">
        <v>30000</v>
      </c>
    </row>
    <row r="134" spans="2:10" x14ac:dyDescent="0.25">
      <c r="B134" t="s">
        <v>517</v>
      </c>
      <c r="C134">
        <v>0.8528</v>
      </c>
      <c r="D134">
        <v>1.115</v>
      </c>
      <c r="E134">
        <v>1.093E-2</v>
      </c>
      <c r="F134">
        <v>1.0839999999999999E-3</v>
      </c>
      <c r="G134">
        <v>0.43049999999999999</v>
      </c>
      <c r="H134">
        <v>3.98</v>
      </c>
      <c r="I134">
        <v>10001</v>
      </c>
      <c r="J134">
        <v>30000</v>
      </c>
    </row>
    <row r="135" spans="2:10" x14ac:dyDescent="0.25">
      <c r="B135" t="s">
        <v>518</v>
      </c>
      <c r="C135">
        <v>0.76919999999999999</v>
      </c>
      <c r="D135">
        <v>1.054</v>
      </c>
      <c r="E135">
        <v>1.047E-2</v>
      </c>
      <c r="F135" s="13">
        <v>7.5440000000000001E-4</v>
      </c>
      <c r="G135">
        <v>0.36480000000000001</v>
      </c>
      <c r="H135">
        <v>3.8109999999999999</v>
      </c>
      <c r="I135">
        <v>10001</v>
      </c>
      <c r="J135">
        <v>30000</v>
      </c>
    </row>
    <row r="136" spans="2:10" x14ac:dyDescent="0.25">
      <c r="B136" t="s">
        <v>519</v>
      </c>
      <c r="C136">
        <v>0.6169</v>
      </c>
      <c r="D136">
        <v>0.88419999999999999</v>
      </c>
      <c r="E136">
        <v>6.8739999999999999E-3</v>
      </c>
      <c r="F136" s="13">
        <v>6.3949999999999999E-4</v>
      </c>
      <c r="G136">
        <v>0.2792</v>
      </c>
      <c r="H136">
        <v>3.0960000000000001</v>
      </c>
      <c r="I136">
        <v>10001</v>
      </c>
      <c r="J136">
        <v>30000</v>
      </c>
    </row>
    <row r="137" spans="2:10" x14ac:dyDescent="0.25">
      <c r="B137" t="s">
        <v>520</v>
      </c>
      <c r="C137">
        <v>1.119</v>
      </c>
      <c r="D137">
        <v>1.48</v>
      </c>
      <c r="E137">
        <v>4.3909999999999998E-2</v>
      </c>
      <c r="F137">
        <v>1.1039999999999999E-3</v>
      </c>
      <c r="G137">
        <v>0.54400000000000004</v>
      </c>
      <c r="H137">
        <v>5.2880000000000003</v>
      </c>
      <c r="I137">
        <v>10001</v>
      </c>
      <c r="J137">
        <v>30000</v>
      </c>
    </row>
    <row r="138" spans="2:10" x14ac:dyDescent="0.25">
      <c r="B138" t="s">
        <v>521</v>
      </c>
      <c r="C138">
        <v>1.06</v>
      </c>
      <c r="D138">
        <v>1.474</v>
      </c>
      <c r="E138">
        <v>2.5170000000000001E-2</v>
      </c>
      <c r="F138">
        <v>1.0529999999999999E-3</v>
      </c>
      <c r="G138">
        <v>0.49109999999999998</v>
      </c>
      <c r="H138">
        <v>5.28</v>
      </c>
      <c r="I138">
        <v>10001</v>
      </c>
      <c r="J138">
        <v>30000</v>
      </c>
    </row>
    <row r="139" spans="2:10" x14ac:dyDescent="0.25">
      <c r="B139" t="s">
        <v>522</v>
      </c>
      <c r="C139">
        <v>0.73660000000000003</v>
      </c>
      <c r="D139">
        <v>0.96379999999999999</v>
      </c>
      <c r="E139">
        <v>9.8930000000000008E-3</v>
      </c>
      <c r="F139" s="13">
        <v>7.5529999999999998E-4</v>
      </c>
      <c r="G139">
        <v>0.36670000000000003</v>
      </c>
      <c r="H139">
        <v>3.4689999999999999</v>
      </c>
      <c r="I139">
        <v>10001</v>
      </c>
      <c r="J139">
        <v>30000</v>
      </c>
    </row>
    <row r="140" spans="2:10" x14ac:dyDescent="0.25">
      <c r="B140" t="s">
        <v>523</v>
      </c>
      <c r="C140">
        <v>0.65900000000000003</v>
      </c>
      <c r="D140">
        <v>0.94279999999999997</v>
      </c>
      <c r="E140">
        <v>6.496E-3</v>
      </c>
      <c r="F140" s="13">
        <v>6.5280000000000004E-4</v>
      </c>
      <c r="G140">
        <v>0.29959999999999998</v>
      </c>
      <c r="H140">
        <v>3.2959999999999998</v>
      </c>
      <c r="I140">
        <v>10001</v>
      </c>
      <c r="J140">
        <v>30000</v>
      </c>
    </row>
    <row r="141" spans="2:10" x14ac:dyDescent="0.25">
      <c r="B141" t="s">
        <v>524</v>
      </c>
      <c r="C141">
        <v>0.61980000000000002</v>
      </c>
      <c r="D141">
        <v>0.84399999999999997</v>
      </c>
      <c r="E141">
        <v>8.8819999999999993E-3</v>
      </c>
      <c r="F141" s="13">
        <v>7.0419999999999999E-4</v>
      </c>
      <c r="G141">
        <v>0.29360000000000003</v>
      </c>
      <c r="H141">
        <v>3.012</v>
      </c>
      <c r="I141">
        <v>10001</v>
      </c>
      <c r="J141">
        <v>30000</v>
      </c>
    </row>
    <row r="142" spans="2:10" x14ac:dyDescent="0.25">
      <c r="B142" t="s">
        <v>525</v>
      </c>
      <c r="C142">
        <v>0.72729999999999995</v>
      </c>
      <c r="D142">
        <v>1.02</v>
      </c>
      <c r="E142">
        <v>6.9550000000000002E-3</v>
      </c>
      <c r="F142" s="13">
        <v>7.5210000000000001E-4</v>
      </c>
      <c r="G142">
        <v>0.33689999999999998</v>
      </c>
      <c r="H142">
        <v>3.6579999999999999</v>
      </c>
      <c r="I142">
        <v>10001</v>
      </c>
      <c r="J142">
        <v>30000</v>
      </c>
    </row>
    <row r="143" spans="2:10" x14ac:dyDescent="0.25">
      <c r="B143" t="s">
        <v>526</v>
      </c>
      <c r="C143">
        <v>0.60670000000000002</v>
      </c>
      <c r="D143">
        <v>0.87160000000000004</v>
      </c>
      <c r="E143">
        <v>8.0549999999999997E-3</v>
      </c>
      <c r="F143" s="13">
        <v>5.9199999999999997E-4</v>
      </c>
      <c r="G143">
        <v>0.2777</v>
      </c>
      <c r="H143">
        <v>3.0750000000000002</v>
      </c>
      <c r="I143">
        <v>10001</v>
      </c>
      <c r="J143">
        <v>30000</v>
      </c>
    </row>
    <row r="144" spans="2:10" x14ac:dyDescent="0.25">
      <c r="B144" t="s">
        <v>527</v>
      </c>
      <c r="C144">
        <v>0.72419999999999995</v>
      </c>
      <c r="D144">
        <v>1.036</v>
      </c>
      <c r="E144">
        <v>6.8919999999999997E-3</v>
      </c>
      <c r="F144" s="13">
        <v>7.2760000000000001E-4</v>
      </c>
      <c r="G144">
        <v>0.32929999999999998</v>
      </c>
      <c r="H144">
        <v>3.633</v>
      </c>
      <c r="I144">
        <v>10001</v>
      </c>
      <c r="J144">
        <v>30000</v>
      </c>
    </row>
    <row r="145" spans="2:10" x14ac:dyDescent="0.25">
      <c r="B145" t="s">
        <v>528</v>
      </c>
      <c r="C145">
        <v>0.67349999999999999</v>
      </c>
      <c r="D145">
        <v>0.95960000000000001</v>
      </c>
      <c r="E145">
        <v>9.4470000000000005E-3</v>
      </c>
      <c r="F145" s="13">
        <v>7.0569999999999997E-4</v>
      </c>
      <c r="G145">
        <v>0.30609999999999998</v>
      </c>
      <c r="H145">
        <v>3.375</v>
      </c>
      <c r="I145">
        <v>10001</v>
      </c>
      <c r="J145">
        <v>30000</v>
      </c>
    </row>
    <row r="146" spans="2:10" x14ac:dyDescent="0.25">
      <c r="B146" t="s">
        <v>529</v>
      </c>
      <c r="C146">
        <v>0.69969999999999999</v>
      </c>
      <c r="D146">
        <v>0.98709999999999998</v>
      </c>
      <c r="E146">
        <v>8.371E-3</v>
      </c>
      <c r="F146" s="13">
        <v>6.3869999999999997E-4</v>
      </c>
      <c r="G146">
        <v>0.31940000000000002</v>
      </c>
      <c r="H146">
        <v>3.4820000000000002</v>
      </c>
      <c r="I146">
        <v>10001</v>
      </c>
      <c r="J146">
        <v>30000</v>
      </c>
    </row>
    <row r="147" spans="2:10" x14ac:dyDescent="0.25">
      <c r="B147" t="s">
        <v>530</v>
      </c>
      <c r="C147">
        <v>0.70440000000000003</v>
      </c>
      <c r="D147">
        <v>1.01</v>
      </c>
      <c r="E147">
        <v>9.7120000000000001E-3</v>
      </c>
      <c r="F147" s="13">
        <v>6.0959999999999996E-4</v>
      </c>
      <c r="G147">
        <v>0.31430000000000002</v>
      </c>
      <c r="H147">
        <v>3.573</v>
      </c>
      <c r="I147">
        <v>10001</v>
      </c>
      <c r="J147">
        <v>30000</v>
      </c>
    </row>
    <row r="148" spans="2:10" x14ac:dyDescent="0.25">
      <c r="B148" t="s">
        <v>531</v>
      </c>
      <c r="C148">
        <v>0.78690000000000004</v>
      </c>
      <c r="D148">
        <v>1.0780000000000001</v>
      </c>
      <c r="E148">
        <v>1.132E-2</v>
      </c>
      <c r="F148" s="13">
        <v>7.5560000000000004E-4</v>
      </c>
      <c r="G148">
        <v>0.36570000000000003</v>
      </c>
      <c r="H148">
        <v>3.8769999999999998</v>
      </c>
      <c r="I148">
        <v>10001</v>
      </c>
      <c r="J148">
        <v>30000</v>
      </c>
    </row>
    <row r="149" spans="2:10" x14ac:dyDescent="0.25">
      <c r="B149" t="s">
        <v>532</v>
      </c>
      <c r="C149">
        <v>2.1850000000000001</v>
      </c>
      <c r="D149">
        <v>2.0979999999999999</v>
      </c>
      <c r="E149">
        <v>3.918E-2</v>
      </c>
      <c r="F149">
        <v>1.2279999999999999E-2</v>
      </c>
      <c r="G149">
        <v>1.613</v>
      </c>
      <c r="H149">
        <v>7.6459999999999999</v>
      </c>
      <c r="I149">
        <v>10001</v>
      </c>
      <c r="J149">
        <v>30000</v>
      </c>
    </row>
    <row r="150" spans="2:10" x14ac:dyDescent="0.25">
      <c r="B150" t="s">
        <v>533</v>
      </c>
      <c r="C150">
        <v>2.379</v>
      </c>
      <c r="D150">
        <v>2.508</v>
      </c>
      <c r="E150">
        <v>4.8550000000000003E-2</v>
      </c>
      <c r="F150">
        <v>5.7759999999999999E-3</v>
      </c>
      <c r="G150">
        <v>1.601</v>
      </c>
      <c r="H150">
        <v>9.0060000000000002</v>
      </c>
      <c r="I150">
        <v>10001</v>
      </c>
      <c r="J150">
        <v>30000</v>
      </c>
    </row>
    <row r="151" spans="2:10" x14ac:dyDescent="0.25">
      <c r="B151" t="s">
        <v>534</v>
      </c>
      <c r="C151">
        <v>1.4359999999999999</v>
      </c>
      <c r="D151">
        <v>1.669</v>
      </c>
      <c r="E151">
        <v>2.828E-2</v>
      </c>
      <c r="F151">
        <v>2.4350000000000001E-3</v>
      </c>
      <c r="G151">
        <v>0.86639999999999995</v>
      </c>
      <c r="H151">
        <v>6.0149999999999997</v>
      </c>
      <c r="I151">
        <v>10001</v>
      </c>
      <c r="J151">
        <v>30000</v>
      </c>
    </row>
    <row r="152" spans="2:10" x14ac:dyDescent="0.25">
      <c r="B152" t="s">
        <v>535</v>
      </c>
      <c r="C152">
        <v>1.448</v>
      </c>
      <c r="D152">
        <v>1.7729999999999999</v>
      </c>
      <c r="E152">
        <v>2.3900000000000001E-2</v>
      </c>
      <c r="F152">
        <v>1.92E-3</v>
      </c>
      <c r="G152">
        <v>0.80149999999999999</v>
      </c>
      <c r="H152">
        <v>6.3929999999999998</v>
      </c>
      <c r="I152">
        <v>10001</v>
      </c>
      <c r="J152">
        <v>30000</v>
      </c>
    </row>
    <row r="153" spans="2:10" x14ac:dyDescent="0.25">
      <c r="B153" t="s">
        <v>536</v>
      </c>
      <c r="C153">
        <v>1.08</v>
      </c>
      <c r="D153">
        <v>1.351</v>
      </c>
      <c r="E153">
        <v>1.485E-2</v>
      </c>
      <c r="F153">
        <v>1.5889999999999999E-3</v>
      </c>
      <c r="G153">
        <v>0.57430000000000003</v>
      </c>
      <c r="H153">
        <v>4.8220000000000001</v>
      </c>
      <c r="I153">
        <v>10001</v>
      </c>
      <c r="J153">
        <v>30000</v>
      </c>
    </row>
    <row r="154" spans="2:10" x14ac:dyDescent="0.25">
      <c r="B154" t="s">
        <v>537</v>
      </c>
      <c r="C154">
        <v>0.92069999999999996</v>
      </c>
      <c r="D154">
        <v>1.252</v>
      </c>
      <c r="E154">
        <v>1.1140000000000001E-2</v>
      </c>
      <c r="F154" s="13">
        <v>9.5060000000000001E-4</v>
      </c>
      <c r="G154">
        <v>0.43719999999999998</v>
      </c>
      <c r="H154">
        <v>4.4649999999999999</v>
      </c>
      <c r="I154">
        <v>10001</v>
      </c>
      <c r="J154">
        <v>30000</v>
      </c>
    </row>
    <row r="155" spans="2:10" x14ac:dyDescent="0.25">
      <c r="B155" t="s">
        <v>538</v>
      </c>
      <c r="C155">
        <v>0.60299999999999998</v>
      </c>
      <c r="D155">
        <v>0.82</v>
      </c>
      <c r="E155">
        <v>9.4149999999999998E-3</v>
      </c>
      <c r="F155" s="13">
        <v>5.6030000000000001E-4</v>
      </c>
      <c r="G155">
        <v>0.29060000000000002</v>
      </c>
      <c r="H155">
        <v>2.9540000000000002</v>
      </c>
      <c r="I155">
        <v>10001</v>
      </c>
      <c r="J155">
        <v>30000</v>
      </c>
    </row>
    <row r="156" spans="2:10" x14ac:dyDescent="0.25">
      <c r="B156" t="s">
        <v>539</v>
      </c>
      <c r="C156">
        <v>0.71450000000000002</v>
      </c>
      <c r="D156">
        <v>1.0149999999999999</v>
      </c>
      <c r="E156">
        <v>7.0780000000000001E-3</v>
      </c>
      <c r="F156" s="13">
        <v>6.8760000000000002E-4</v>
      </c>
      <c r="G156">
        <v>0.32550000000000001</v>
      </c>
      <c r="H156">
        <v>3.5880000000000001</v>
      </c>
      <c r="I156">
        <v>10001</v>
      </c>
      <c r="J156">
        <v>30000</v>
      </c>
    </row>
    <row r="157" spans="2:10" x14ac:dyDescent="0.25">
      <c r="B157" t="s">
        <v>540</v>
      </c>
      <c r="C157">
        <v>0.59399999999999997</v>
      </c>
      <c r="D157">
        <v>0.83689999999999998</v>
      </c>
      <c r="E157">
        <v>5.3499999999999997E-3</v>
      </c>
      <c r="F157" s="13">
        <v>6.313E-4</v>
      </c>
      <c r="G157">
        <v>0.26900000000000002</v>
      </c>
      <c r="H157">
        <v>2.992</v>
      </c>
      <c r="I157">
        <v>10001</v>
      </c>
      <c r="J157">
        <v>30000</v>
      </c>
    </row>
    <row r="158" spans="2:10" x14ac:dyDescent="0.25">
      <c r="B158" t="s">
        <v>541</v>
      </c>
      <c r="C158">
        <v>0.60399999999999998</v>
      </c>
      <c r="D158">
        <v>0.84019999999999995</v>
      </c>
      <c r="E158">
        <v>5.7260000000000002E-3</v>
      </c>
      <c r="F158" s="13">
        <v>6.1109999999999995E-4</v>
      </c>
      <c r="G158">
        <v>0.28339999999999999</v>
      </c>
      <c r="H158">
        <v>3.0030000000000001</v>
      </c>
      <c r="I158">
        <v>10001</v>
      </c>
      <c r="J158">
        <v>30000</v>
      </c>
    </row>
    <row r="159" spans="2:10" x14ac:dyDescent="0.25">
      <c r="B159" t="s">
        <v>542</v>
      </c>
      <c r="C159">
        <v>1.6120000000000001</v>
      </c>
      <c r="D159">
        <v>1.9830000000000001</v>
      </c>
      <c r="E159">
        <v>1.6049999999999998E-2</v>
      </c>
      <c r="F159">
        <v>2.1129999999999999E-3</v>
      </c>
      <c r="G159">
        <v>0.90049999999999997</v>
      </c>
      <c r="H159">
        <v>7.0990000000000002</v>
      </c>
      <c r="I159">
        <v>10001</v>
      </c>
      <c r="J159">
        <v>30000</v>
      </c>
    </row>
    <row r="160" spans="2:10" x14ac:dyDescent="0.25">
      <c r="B160" t="s">
        <v>543</v>
      </c>
      <c r="C160">
        <v>1.6870000000000001</v>
      </c>
      <c r="D160">
        <v>1.3140000000000001</v>
      </c>
      <c r="E160">
        <v>1.5699999999999999E-2</v>
      </c>
      <c r="F160">
        <v>0.1739</v>
      </c>
      <c r="G160">
        <v>1.353</v>
      </c>
      <c r="H160">
        <v>5.0839999999999996</v>
      </c>
      <c r="I160">
        <v>10001</v>
      </c>
      <c r="J160">
        <v>30000</v>
      </c>
    </row>
    <row r="161" spans="2:10" x14ac:dyDescent="0.25">
      <c r="B161" t="s">
        <v>544</v>
      </c>
      <c r="C161">
        <v>1.46E-2</v>
      </c>
      <c r="D161">
        <v>0.11990000000000001</v>
      </c>
      <c r="E161">
        <v>3.2950000000000002E-3</v>
      </c>
      <c r="F161">
        <v>0</v>
      </c>
      <c r="G161">
        <v>0</v>
      </c>
      <c r="H161">
        <v>0</v>
      </c>
      <c r="I161">
        <v>10001</v>
      </c>
      <c r="J161">
        <v>30000</v>
      </c>
    </row>
    <row r="162" spans="2:10" x14ac:dyDescent="0.25">
      <c r="B162" t="s">
        <v>545</v>
      </c>
      <c r="C162">
        <v>6.9500000000000006E-2</v>
      </c>
      <c r="D162">
        <v>0.25430000000000003</v>
      </c>
      <c r="E162">
        <v>6.9930000000000001E-3</v>
      </c>
      <c r="F162">
        <v>0</v>
      </c>
      <c r="G162">
        <v>0</v>
      </c>
      <c r="H162">
        <v>1</v>
      </c>
      <c r="I162">
        <v>10001</v>
      </c>
      <c r="J162">
        <v>30000</v>
      </c>
    </row>
    <row r="163" spans="2:10" x14ac:dyDescent="0.25">
      <c r="B163" t="s">
        <v>546</v>
      </c>
      <c r="C163">
        <v>0.1076</v>
      </c>
      <c r="D163">
        <v>0.30980000000000002</v>
      </c>
      <c r="E163">
        <v>5.9449999999999998E-3</v>
      </c>
      <c r="F163">
        <v>0</v>
      </c>
      <c r="G163">
        <v>0</v>
      </c>
      <c r="H163">
        <v>1</v>
      </c>
      <c r="I163">
        <v>10001</v>
      </c>
      <c r="J163">
        <v>30000</v>
      </c>
    </row>
    <row r="164" spans="2:10" x14ac:dyDescent="0.25">
      <c r="B164" t="s">
        <v>547</v>
      </c>
      <c r="C164">
        <v>0.16980000000000001</v>
      </c>
      <c r="D164">
        <v>0.3755</v>
      </c>
      <c r="E164">
        <v>8.2520000000000007E-3</v>
      </c>
      <c r="F164">
        <v>0</v>
      </c>
      <c r="G164">
        <v>0</v>
      </c>
      <c r="H164">
        <v>1</v>
      </c>
      <c r="I164">
        <v>10001</v>
      </c>
      <c r="J164">
        <v>30000</v>
      </c>
    </row>
    <row r="165" spans="2:10" x14ac:dyDescent="0.25">
      <c r="B165" t="s">
        <v>548</v>
      </c>
      <c r="C165">
        <v>0.2155</v>
      </c>
      <c r="D165">
        <v>0.41120000000000001</v>
      </c>
      <c r="E165">
        <v>8.1930000000000006E-3</v>
      </c>
      <c r="F165">
        <v>0</v>
      </c>
      <c r="G165">
        <v>0</v>
      </c>
      <c r="H165">
        <v>1</v>
      </c>
      <c r="I165">
        <v>10001</v>
      </c>
      <c r="J165">
        <v>30000</v>
      </c>
    </row>
    <row r="166" spans="2:10" x14ac:dyDescent="0.25">
      <c r="B166" t="s">
        <v>549</v>
      </c>
      <c r="C166">
        <v>0.19980000000000001</v>
      </c>
      <c r="D166">
        <v>0.39979999999999999</v>
      </c>
      <c r="E166">
        <v>7.901E-3</v>
      </c>
      <c r="F166">
        <v>0</v>
      </c>
      <c r="G166">
        <v>0</v>
      </c>
      <c r="H166">
        <v>1</v>
      </c>
      <c r="I166">
        <v>10001</v>
      </c>
      <c r="J166">
        <v>30000</v>
      </c>
    </row>
    <row r="167" spans="2:10" x14ac:dyDescent="0.25">
      <c r="B167" t="s">
        <v>550</v>
      </c>
      <c r="C167">
        <v>0.14069999999999999</v>
      </c>
      <c r="D167">
        <v>0.34770000000000001</v>
      </c>
      <c r="E167">
        <v>8.1460000000000005E-3</v>
      </c>
      <c r="F167">
        <v>0</v>
      </c>
      <c r="G167">
        <v>0</v>
      </c>
      <c r="H167">
        <v>1</v>
      </c>
      <c r="I167">
        <v>10001</v>
      </c>
      <c r="J167">
        <v>30000</v>
      </c>
    </row>
    <row r="168" spans="2:10" x14ac:dyDescent="0.25">
      <c r="B168" t="s">
        <v>551</v>
      </c>
      <c r="C168">
        <v>7.0830000000000004E-2</v>
      </c>
      <c r="D168">
        <v>0.25650000000000001</v>
      </c>
      <c r="E168">
        <v>8.2900000000000005E-3</v>
      </c>
      <c r="F168">
        <v>0</v>
      </c>
      <c r="G168">
        <v>0</v>
      </c>
      <c r="H168">
        <v>1</v>
      </c>
      <c r="I168">
        <v>10001</v>
      </c>
      <c r="J168">
        <v>30000</v>
      </c>
    </row>
    <row r="169" spans="2:10" x14ac:dyDescent="0.25">
      <c r="B169" t="s">
        <v>552</v>
      </c>
      <c r="C169">
        <v>1.0699999999999999E-2</v>
      </c>
      <c r="D169">
        <v>0.10290000000000001</v>
      </c>
      <c r="E169">
        <v>1.735E-3</v>
      </c>
      <c r="F169">
        <v>0</v>
      </c>
      <c r="G169">
        <v>0</v>
      </c>
      <c r="H169">
        <v>0</v>
      </c>
      <c r="I169">
        <v>10001</v>
      </c>
      <c r="J169">
        <v>30000</v>
      </c>
    </row>
    <row r="170" spans="2:10" x14ac:dyDescent="0.25">
      <c r="B170" t="s">
        <v>553</v>
      </c>
      <c r="C170">
        <v>1E-3</v>
      </c>
      <c r="D170">
        <v>3.1609999999999999E-2</v>
      </c>
      <c r="E170" s="13">
        <v>3.3330000000000002E-4</v>
      </c>
      <c r="F170">
        <v>0</v>
      </c>
      <c r="G170">
        <v>0</v>
      </c>
      <c r="H170">
        <v>0</v>
      </c>
      <c r="I170">
        <v>10001</v>
      </c>
      <c r="J170">
        <v>30000</v>
      </c>
    </row>
    <row r="171" spans="2:10" x14ac:dyDescent="0.25">
      <c r="B171" t="s">
        <v>554</v>
      </c>
      <c r="C171">
        <v>2.427E-2</v>
      </c>
      <c r="D171">
        <v>0.15390000000000001</v>
      </c>
      <c r="E171">
        <v>2.3410000000000002E-3</v>
      </c>
      <c r="F171">
        <v>0</v>
      </c>
      <c r="G171">
        <v>0</v>
      </c>
      <c r="H171">
        <v>0</v>
      </c>
      <c r="I171">
        <v>10001</v>
      </c>
      <c r="J171">
        <v>30000</v>
      </c>
    </row>
    <row r="172" spans="2:10" x14ac:dyDescent="0.25">
      <c r="B172" t="s">
        <v>555</v>
      </c>
      <c r="C172">
        <v>9.8030000000000006E-2</v>
      </c>
      <c r="D172">
        <v>0.2974</v>
      </c>
      <c r="E172">
        <v>5.8089999999999999E-3</v>
      </c>
      <c r="F172">
        <v>0</v>
      </c>
      <c r="G172">
        <v>0</v>
      </c>
      <c r="H172">
        <v>1</v>
      </c>
      <c r="I172">
        <v>10001</v>
      </c>
      <c r="J172">
        <v>30000</v>
      </c>
    </row>
    <row r="173" spans="2:10" x14ac:dyDescent="0.25">
      <c r="B173" t="s">
        <v>556</v>
      </c>
      <c r="C173">
        <v>0.18310000000000001</v>
      </c>
      <c r="D173">
        <v>0.38669999999999999</v>
      </c>
      <c r="E173">
        <v>9.3779999999999992E-3</v>
      </c>
      <c r="F173">
        <v>0</v>
      </c>
      <c r="G173">
        <v>0</v>
      </c>
      <c r="H173">
        <v>1</v>
      </c>
      <c r="I173">
        <v>10001</v>
      </c>
      <c r="J173">
        <v>30000</v>
      </c>
    </row>
    <row r="174" spans="2:10" x14ac:dyDescent="0.25">
      <c r="B174" t="s">
        <v>557</v>
      </c>
      <c r="C174">
        <v>0.21340000000000001</v>
      </c>
      <c r="D174">
        <v>0.40970000000000001</v>
      </c>
      <c r="E174">
        <v>7.8560000000000001E-3</v>
      </c>
      <c r="F174">
        <v>0</v>
      </c>
      <c r="G174">
        <v>0</v>
      </c>
      <c r="H174">
        <v>1</v>
      </c>
      <c r="I174">
        <v>10001</v>
      </c>
      <c r="J174">
        <v>30000</v>
      </c>
    </row>
    <row r="175" spans="2:10" x14ac:dyDescent="0.25">
      <c r="B175" t="s">
        <v>558</v>
      </c>
      <c r="C175">
        <v>0.21360000000000001</v>
      </c>
      <c r="D175">
        <v>0.4098</v>
      </c>
      <c r="E175">
        <v>8.6110000000000006E-3</v>
      </c>
      <c r="F175">
        <v>0</v>
      </c>
      <c r="G175">
        <v>0</v>
      </c>
      <c r="H175">
        <v>1</v>
      </c>
      <c r="I175">
        <v>10001</v>
      </c>
      <c r="J175">
        <v>30000</v>
      </c>
    </row>
    <row r="176" spans="2:10" x14ac:dyDescent="0.25">
      <c r="B176" t="s">
        <v>559</v>
      </c>
      <c r="C176">
        <v>0.14399999999999999</v>
      </c>
      <c r="D176">
        <v>0.35110000000000002</v>
      </c>
      <c r="E176">
        <v>6.842E-3</v>
      </c>
      <c r="F176">
        <v>0</v>
      </c>
      <c r="G176">
        <v>0</v>
      </c>
      <c r="H176">
        <v>1</v>
      </c>
      <c r="I176">
        <v>10001</v>
      </c>
      <c r="J176">
        <v>30000</v>
      </c>
    </row>
    <row r="177" spans="2:10" x14ac:dyDescent="0.25">
      <c r="B177" t="s">
        <v>560</v>
      </c>
      <c r="C177">
        <v>9.2899999999999996E-2</v>
      </c>
      <c r="D177">
        <v>0.2903</v>
      </c>
      <c r="E177">
        <v>8.0809999999999996E-3</v>
      </c>
      <c r="F177">
        <v>0</v>
      </c>
      <c r="G177">
        <v>0</v>
      </c>
      <c r="H177">
        <v>1</v>
      </c>
      <c r="I177">
        <v>10001</v>
      </c>
      <c r="J177">
        <v>30000</v>
      </c>
    </row>
    <row r="178" spans="2:10" x14ac:dyDescent="0.25">
      <c r="B178" t="s">
        <v>561</v>
      </c>
      <c r="C178">
        <v>2.6169999999999999E-2</v>
      </c>
      <c r="D178">
        <v>0.15959999999999999</v>
      </c>
      <c r="E178">
        <v>3.107E-3</v>
      </c>
      <c r="F178">
        <v>0</v>
      </c>
      <c r="G178">
        <v>0</v>
      </c>
      <c r="H178">
        <v>1</v>
      </c>
      <c r="I178">
        <v>10001</v>
      </c>
      <c r="J178">
        <v>30000</v>
      </c>
    </row>
    <row r="179" spans="2:10" x14ac:dyDescent="0.25">
      <c r="B179" t="s">
        <v>562</v>
      </c>
      <c r="C179">
        <v>3.7330000000000002E-3</v>
      </c>
      <c r="D179">
        <v>6.0990000000000003E-2</v>
      </c>
      <c r="E179" s="13">
        <v>8.5419999999999995E-4</v>
      </c>
      <c r="F179">
        <v>0</v>
      </c>
      <c r="G179">
        <v>0</v>
      </c>
      <c r="H179">
        <v>0</v>
      </c>
      <c r="I179">
        <v>10001</v>
      </c>
      <c r="J179">
        <v>30000</v>
      </c>
    </row>
    <row r="180" spans="2:10" x14ac:dyDescent="0.25">
      <c r="B180" t="s">
        <v>563</v>
      </c>
      <c r="C180" s="13">
        <v>8.0000000000000004E-4</v>
      </c>
      <c r="D180">
        <v>2.827E-2</v>
      </c>
      <c r="E180" s="13">
        <v>4.1310000000000001E-4</v>
      </c>
      <c r="F180">
        <v>0</v>
      </c>
      <c r="G180">
        <v>0</v>
      </c>
      <c r="H180">
        <v>0</v>
      </c>
      <c r="I180">
        <v>10001</v>
      </c>
      <c r="J180">
        <v>30000</v>
      </c>
    </row>
    <row r="181" spans="2:10" x14ac:dyDescent="0.25">
      <c r="B181" t="s">
        <v>564</v>
      </c>
      <c r="C181">
        <v>9.0029999999999999E-2</v>
      </c>
      <c r="D181">
        <v>0.28620000000000001</v>
      </c>
      <c r="E181">
        <v>7.0920000000000002E-3</v>
      </c>
      <c r="F181">
        <v>0</v>
      </c>
      <c r="G181">
        <v>0</v>
      </c>
      <c r="H181">
        <v>1</v>
      </c>
      <c r="I181">
        <v>10001</v>
      </c>
      <c r="J181">
        <v>30000</v>
      </c>
    </row>
    <row r="182" spans="2:10" x14ac:dyDescent="0.25">
      <c r="B182" t="s">
        <v>565</v>
      </c>
      <c r="C182">
        <v>0.22689999999999999</v>
      </c>
      <c r="D182">
        <v>0.41880000000000001</v>
      </c>
      <c r="E182">
        <v>1.059E-2</v>
      </c>
      <c r="F182">
        <v>0</v>
      </c>
      <c r="G182">
        <v>0</v>
      </c>
      <c r="H182">
        <v>1</v>
      </c>
      <c r="I182">
        <v>10001</v>
      </c>
      <c r="J182">
        <v>30000</v>
      </c>
    </row>
    <row r="183" spans="2:10" x14ac:dyDescent="0.25">
      <c r="B183" t="s">
        <v>566</v>
      </c>
      <c r="C183">
        <v>0.2402</v>
      </c>
      <c r="D183">
        <v>0.42720000000000002</v>
      </c>
      <c r="E183">
        <v>9.6679999999999995E-3</v>
      </c>
      <c r="F183">
        <v>0</v>
      </c>
      <c r="G183">
        <v>0</v>
      </c>
      <c r="H183">
        <v>1</v>
      </c>
      <c r="I183">
        <v>10001</v>
      </c>
      <c r="J183">
        <v>30000</v>
      </c>
    </row>
    <row r="184" spans="2:10" x14ac:dyDescent="0.25">
      <c r="B184" t="s">
        <v>567</v>
      </c>
      <c r="C184">
        <v>0.15690000000000001</v>
      </c>
      <c r="D184">
        <v>0.36370000000000002</v>
      </c>
      <c r="E184">
        <v>6.2189999999999997E-3</v>
      </c>
      <c r="F184">
        <v>0</v>
      </c>
      <c r="G184">
        <v>0</v>
      </c>
      <c r="H184">
        <v>1</v>
      </c>
      <c r="I184">
        <v>10001</v>
      </c>
      <c r="J184">
        <v>30000</v>
      </c>
    </row>
    <row r="185" spans="2:10" x14ac:dyDescent="0.25">
      <c r="B185" t="s">
        <v>568</v>
      </c>
      <c r="C185">
        <v>0.12230000000000001</v>
      </c>
      <c r="D185">
        <v>0.3276</v>
      </c>
      <c r="E185">
        <v>6.8580000000000004E-3</v>
      </c>
      <c r="F185">
        <v>0</v>
      </c>
      <c r="G185">
        <v>0</v>
      </c>
      <c r="H185">
        <v>1</v>
      </c>
      <c r="I185">
        <v>10001</v>
      </c>
      <c r="J185">
        <v>30000</v>
      </c>
    </row>
    <row r="186" spans="2:10" x14ac:dyDescent="0.25">
      <c r="B186" t="s">
        <v>569</v>
      </c>
      <c r="C186">
        <v>9.1700000000000004E-2</v>
      </c>
      <c r="D186">
        <v>0.28860000000000002</v>
      </c>
      <c r="E186">
        <v>6.0939999999999996E-3</v>
      </c>
      <c r="F186">
        <v>0</v>
      </c>
      <c r="G186">
        <v>0</v>
      </c>
      <c r="H186">
        <v>1</v>
      </c>
      <c r="I186">
        <v>10001</v>
      </c>
      <c r="J186">
        <v>30000</v>
      </c>
    </row>
    <row r="187" spans="2:10" x14ac:dyDescent="0.25">
      <c r="B187" t="s">
        <v>570</v>
      </c>
      <c r="C187">
        <v>4.9169999999999998E-2</v>
      </c>
      <c r="D187">
        <v>0.2162</v>
      </c>
      <c r="E187">
        <v>4.3800000000000002E-3</v>
      </c>
      <c r="F187">
        <v>0</v>
      </c>
      <c r="G187">
        <v>0</v>
      </c>
      <c r="H187">
        <v>1</v>
      </c>
      <c r="I187">
        <v>10001</v>
      </c>
      <c r="J187">
        <v>30000</v>
      </c>
    </row>
    <row r="188" spans="2:10" x14ac:dyDescent="0.25">
      <c r="B188" t="s">
        <v>571</v>
      </c>
      <c r="C188">
        <v>1.627E-2</v>
      </c>
      <c r="D188">
        <v>0.1265</v>
      </c>
      <c r="E188">
        <v>1.8289999999999999E-3</v>
      </c>
      <c r="F188">
        <v>0</v>
      </c>
      <c r="G188">
        <v>0</v>
      </c>
      <c r="H188">
        <v>0</v>
      </c>
      <c r="I188">
        <v>10001</v>
      </c>
      <c r="J188">
        <v>30000</v>
      </c>
    </row>
    <row r="189" spans="2:10" x14ac:dyDescent="0.25">
      <c r="B189" t="s">
        <v>572</v>
      </c>
      <c r="C189">
        <v>6.0330000000000002E-3</v>
      </c>
      <c r="D189">
        <v>7.7439999999999995E-2</v>
      </c>
      <c r="E189">
        <v>1.206E-3</v>
      </c>
      <c r="F189">
        <v>0</v>
      </c>
      <c r="G189">
        <v>0</v>
      </c>
      <c r="H189">
        <v>0</v>
      </c>
      <c r="I189">
        <v>10001</v>
      </c>
      <c r="J189">
        <v>30000</v>
      </c>
    </row>
    <row r="190" spans="2:10" x14ac:dyDescent="0.25">
      <c r="B190" t="s">
        <v>573</v>
      </c>
      <c r="C190" s="13">
        <v>5.9999999999999995E-4</v>
      </c>
      <c r="D190">
        <v>2.4490000000000001E-2</v>
      </c>
      <c r="E190" s="13">
        <v>2.0900000000000001E-4</v>
      </c>
      <c r="F190">
        <v>0</v>
      </c>
      <c r="G190">
        <v>0</v>
      </c>
      <c r="H190">
        <v>0</v>
      </c>
      <c r="I190">
        <v>10001</v>
      </c>
      <c r="J190">
        <v>30000</v>
      </c>
    </row>
    <row r="191" spans="2:10" x14ac:dyDescent="0.25">
      <c r="B191" t="s">
        <v>574</v>
      </c>
      <c r="C191">
        <v>0.1216</v>
      </c>
      <c r="D191">
        <v>0.32679999999999998</v>
      </c>
      <c r="E191">
        <v>9.0299999999999998E-3</v>
      </c>
      <c r="F191">
        <v>0</v>
      </c>
      <c r="G191">
        <v>0</v>
      </c>
      <c r="H191">
        <v>1</v>
      </c>
      <c r="I191">
        <v>10001</v>
      </c>
      <c r="J191">
        <v>30000</v>
      </c>
    </row>
    <row r="192" spans="2:10" x14ac:dyDescent="0.25">
      <c r="B192" t="s">
        <v>575</v>
      </c>
      <c r="C192">
        <v>0.2051</v>
      </c>
      <c r="D192">
        <v>0.40379999999999999</v>
      </c>
      <c r="E192">
        <v>9.6270000000000001E-3</v>
      </c>
      <c r="F192">
        <v>0</v>
      </c>
      <c r="G192">
        <v>0</v>
      </c>
      <c r="H192">
        <v>1</v>
      </c>
      <c r="I192">
        <v>10001</v>
      </c>
      <c r="J192">
        <v>30000</v>
      </c>
    </row>
    <row r="193" spans="2:10" x14ac:dyDescent="0.25">
      <c r="B193" t="s">
        <v>576</v>
      </c>
      <c r="C193">
        <v>0.16159999999999999</v>
      </c>
      <c r="D193">
        <v>0.36809999999999998</v>
      </c>
      <c r="E193">
        <v>7.8440000000000003E-3</v>
      </c>
      <c r="F193">
        <v>0</v>
      </c>
      <c r="G193">
        <v>0</v>
      </c>
      <c r="H193">
        <v>1</v>
      </c>
      <c r="I193">
        <v>10001</v>
      </c>
      <c r="J193">
        <v>30000</v>
      </c>
    </row>
    <row r="194" spans="2:10" x14ac:dyDescent="0.25">
      <c r="B194" t="s">
        <v>577</v>
      </c>
      <c r="C194">
        <v>0.1328</v>
      </c>
      <c r="D194">
        <v>0.33939999999999998</v>
      </c>
      <c r="E194">
        <v>6.6100000000000004E-3</v>
      </c>
      <c r="F194">
        <v>0</v>
      </c>
      <c r="G194">
        <v>0</v>
      </c>
      <c r="H194">
        <v>1</v>
      </c>
      <c r="I194">
        <v>10001</v>
      </c>
      <c r="J194">
        <v>30000</v>
      </c>
    </row>
    <row r="195" spans="2:10" x14ac:dyDescent="0.25">
      <c r="B195" t="s">
        <v>578</v>
      </c>
      <c r="C195">
        <v>0.1099</v>
      </c>
      <c r="D195">
        <v>0.31269999999999998</v>
      </c>
      <c r="E195">
        <v>5.875E-3</v>
      </c>
      <c r="F195">
        <v>0</v>
      </c>
      <c r="G195">
        <v>0</v>
      </c>
      <c r="H195">
        <v>1</v>
      </c>
      <c r="I195">
        <v>10001</v>
      </c>
      <c r="J195">
        <v>30000</v>
      </c>
    </row>
    <row r="196" spans="2:10" x14ac:dyDescent="0.25">
      <c r="B196" t="s">
        <v>579</v>
      </c>
      <c r="C196">
        <v>0.1041</v>
      </c>
      <c r="D196">
        <v>0.3054</v>
      </c>
      <c r="E196">
        <v>6.1640000000000002E-3</v>
      </c>
      <c r="F196">
        <v>0</v>
      </c>
      <c r="G196">
        <v>0</v>
      </c>
      <c r="H196">
        <v>1</v>
      </c>
      <c r="I196">
        <v>10001</v>
      </c>
      <c r="J196">
        <v>30000</v>
      </c>
    </row>
    <row r="197" spans="2:10" x14ac:dyDescent="0.25">
      <c r="B197" t="s">
        <v>580</v>
      </c>
      <c r="C197">
        <v>8.2100000000000006E-2</v>
      </c>
      <c r="D197">
        <v>0.27450000000000002</v>
      </c>
      <c r="E197">
        <v>4.947E-3</v>
      </c>
      <c r="F197">
        <v>0</v>
      </c>
      <c r="G197">
        <v>0</v>
      </c>
      <c r="H197">
        <v>1</v>
      </c>
      <c r="I197">
        <v>10001</v>
      </c>
      <c r="J197">
        <v>30000</v>
      </c>
    </row>
    <row r="198" spans="2:10" x14ac:dyDescent="0.25">
      <c r="B198" t="s">
        <v>581</v>
      </c>
      <c r="C198">
        <v>4.9500000000000002E-2</v>
      </c>
      <c r="D198">
        <v>0.21690000000000001</v>
      </c>
      <c r="E198">
        <v>4.0010000000000002E-3</v>
      </c>
      <c r="F198">
        <v>0</v>
      </c>
      <c r="G198">
        <v>0</v>
      </c>
      <c r="H198">
        <v>1</v>
      </c>
      <c r="I198">
        <v>10001</v>
      </c>
      <c r="J198">
        <v>30000</v>
      </c>
    </row>
    <row r="199" spans="2:10" x14ac:dyDescent="0.25">
      <c r="B199" t="s">
        <v>582</v>
      </c>
      <c r="C199">
        <v>2.7300000000000001E-2</v>
      </c>
      <c r="D199">
        <v>0.16300000000000001</v>
      </c>
      <c r="E199">
        <v>3.1250000000000002E-3</v>
      </c>
      <c r="F199">
        <v>0</v>
      </c>
      <c r="G199">
        <v>0</v>
      </c>
      <c r="H199">
        <v>1</v>
      </c>
      <c r="I199">
        <v>10001</v>
      </c>
      <c r="J199">
        <v>30000</v>
      </c>
    </row>
    <row r="200" spans="2:10" x14ac:dyDescent="0.25">
      <c r="B200" t="s">
        <v>583</v>
      </c>
      <c r="C200">
        <v>5.8999999999999999E-3</v>
      </c>
      <c r="D200">
        <v>7.6579999999999995E-2</v>
      </c>
      <c r="E200" s="13">
        <v>8.9930000000000001E-4</v>
      </c>
      <c r="F200">
        <v>0</v>
      </c>
      <c r="G200">
        <v>0</v>
      </c>
      <c r="H200">
        <v>0</v>
      </c>
      <c r="I200">
        <v>10001</v>
      </c>
      <c r="J200">
        <v>30000</v>
      </c>
    </row>
    <row r="201" spans="2:10" x14ac:dyDescent="0.25">
      <c r="B201" t="s">
        <v>584</v>
      </c>
      <c r="C201">
        <v>0.1087</v>
      </c>
      <c r="D201">
        <v>0.31119999999999998</v>
      </c>
      <c r="E201">
        <v>7.7299999999999999E-3</v>
      </c>
      <c r="F201">
        <v>0</v>
      </c>
      <c r="G201">
        <v>0</v>
      </c>
      <c r="H201">
        <v>1</v>
      </c>
      <c r="I201">
        <v>10001</v>
      </c>
      <c r="J201">
        <v>30000</v>
      </c>
    </row>
    <row r="202" spans="2:10" x14ac:dyDescent="0.25">
      <c r="B202" t="s">
        <v>585</v>
      </c>
      <c r="C202">
        <v>0.1196</v>
      </c>
      <c r="D202">
        <v>0.32450000000000001</v>
      </c>
      <c r="E202">
        <v>7.8960000000000002E-3</v>
      </c>
      <c r="F202">
        <v>0</v>
      </c>
      <c r="G202">
        <v>0</v>
      </c>
      <c r="H202">
        <v>1</v>
      </c>
      <c r="I202">
        <v>10001</v>
      </c>
      <c r="J202">
        <v>30000</v>
      </c>
    </row>
    <row r="203" spans="2:10" x14ac:dyDescent="0.25">
      <c r="B203" t="s">
        <v>586</v>
      </c>
      <c r="C203">
        <v>6.9070000000000006E-2</v>
      </c>
      <c r="D203">
        <v>0.25359999999999999</v>
      </c>
      <c r="E203">
        <v>4.235E-3</v>
      </c>
      <c r="F203">
        <v>0</v>
      </c>
      <c r="G203">
        <v>0</v>
      </c>
      <c r="H203">
        <v>1</v>
      </c>
      <c r="I203">
        <v>10001</v>
      </c>
      <c r="J203">
        <v>30000</v>
      </c>
    </row>
    <row r="204" spans="2:10" x14ac:dyDescent="0.25">
      <c r="B204" t="s">
        <v>587</v>
      </c>
      <c r="C204">
        <v>6.3630000000000006E-2</v>
      </c>
      <c r="D204">
        <v>0.24410000000000001</v>
      </c>
      <c r="E204">
        <v>3.555E-3</v>
      </c>
      <c r="F204">
        <v>0</v>
      </c>
      <c r="G204">
        <v>0</v>
      </c>
      <c r="H204">
        <v>1</v>
      </c>
      <c r="I204">
        <v>10001</v>
      </c>
      <c r="J204">
        <v>30000</v>
      </c>
    </row>
    <row r="205" spans="2:10" x14ac:dyDescent="0.25">
      <c r="B205" t="s">
        <v>588</v>
      </c>
      <c r="C205">
        <v>6.3729999999999995E-2</v>
      </c>
      <c r="D205">
        <v>0.24429999999999999</v>
      </c>
      <c r="E205">
        <v>3.2569999999999999E-3</v>
      </c>
      <c r="F205">
        <v>0</v>
      </c>
      <c r="G205">
        <v>0</v>
      </c>
      <c r="H205">
        <v>1</v>
      </c>
      <c r="I205">
        <v>10001</v>
      </c>
      <c r="J205">
        <v>30000</v>
      </c>
    </row>
    <row r="206" spans="2:10" x14ac:dyDescent="0.25">
      <c r="B206" t="s">
        <v>589</v>
      </c>
      <c r="C206">
        <v>8.1030000000000005E-2</v>
      </c>
      <c r="D206">
        <v>0.27289999999999998</v>
      </c>
      <c r="E206">
        <v>4.3249999999999999E-3</v>
      </c>
      <c r="F206">
        <v>0</v>
      </c>
      <c r="G206">
        <v>0</v>
      </c>
      <c r="H206">
        <v>1</v>
      </c>
      <c r="I206">
        <v>10001</v>
      </c>
      <c r="J206">
        <v>30000</v>
      </c>
    </row>
    <row r="207" spans="2:10" x14ac:dyDescent="0.25">
      <c r="B207" t="s">
        <v>590</v>
      </c>
      <c r="C207">
        <v>0.10979999999999999</v>
      </c>
      <c r="D207">
        <v>0.31259999999999999</v>
      </c>
      <c r="E207">
        <v>5.9500000000000004E-3</v>
      </c>
      <c r="F207">
        <v>0</v>
      </c>
      <c r="G207">
        <v>0</v>
      </c>
      <c r="H207">
        <v>1</v>
      </c>
      <c r="I207">
        <v>10001</v>
      </c>
      <c r="J207">
        <v>30000</v>
      </c>
    </row>
    <row r="208" spans="2:10" x14ac:dyDescent="0.25">
      <c r="B208" t="s">
        <v>591</v>
      </c>
      <c r="C208">
        <v>0.14699999999999999</v>
      </c>
      <c r="D208">
        <v>0.35410000000000003</v>
      </c>
      <c r="E208">
        <v>8.0029999999999997E-3</v>
      </c>
      <c r="F208">
        <v>0</v>
      </c>
      <c r="G208">
        <v>0</v>
      </c>
      <c r="H208">
        <v>1</v>
      </c>
      <c r="I208">
        <v>10001</v>
      </c>
      <c r="J208">
        <v>30000</v>
      </c>
    </row>
    <row r="209" spans="2:10" x14ac:dyDescent="0.25">
      <c r="B209" t="s">
        <v>592</v>
      </c>
      <c r="C209">
        <v>0.15329999999999999</v>
      </c>
      <c r="D209">
        <v>0.36030000000000001</v>
      </c>
      <c r="E209">
        <v>8.6879999999999995E-3</v>
      </c>
      <c r="F209">
        <v>0</v>
      </c>
      <c r="G209">
        <v>0</v>
      </c>
      <c r="H209">
        <v>1</v>
      </c>
      <c r="I209">
        <v>10001</v>
      </c>
      <c r="J209">
        <v>30000</v>
      </c>
    </row>
    <row r="210" spans="2:10" x14ac:dyDescent="0.25">
      <c r="B210" t="s">
        <v>593</v>
      </c>
      <c r="C210">
        <v>8.4169999999999995E-2</v>
      </c>
      <c r="D210">
        <v>0.27760000000000001</v>
      </c>
      <c r="E210">
        <v>7.6490000000000004E-3</v>
      </c>
      <c r="F210">
        <v>0</v>
      </c>
      <c r="G210">
        <v>0</v>
      </c>
      <c r="H210">
        <v>1</v>
      </c>
      <c r="I210">
        <v>10001</v>
      </c>
      <c r="J210">
        <v>30000</v>
      </c>
    </row>
    <row r="211" spans="2:10" x14ac:dyDescent="0.25">
      <c r="B211" t="s">
        <v>594</v>
      </c>
      <c r="C211">
        <v>0.16900000000000001</v>
      </c>
      <c r="D211">
        <v>0.37480000000000002</v>
      </c>
      <c r="E211">
        <v>1.4370000000000001E-2</v>
      </c>
      <c r="F211">
        <v>0</v>
      </c>
      <c r="G211">
        <v>0</v>
      </c>
      <c r="H211">
        <v>1</v>
      </c>
      <c r="I211">
        <v>10001</v>
      </c>
      <c r="J211">
        <v>30000</v>
      </c>
    </row>
    <row r="212" spans="2:10" x14ac:dyDescent="0.25">
      <c r="B212" t="s">
        <v>595</v>
      </c>
      <c r="C212">
        <v>5.9929999999999997E-2</v>
      </c>
      <c r="D212">
        <v>0.2374</v>
      </c>
      <c r="E212">
        <v>4.2820000000000002E-3</v>
      </c>
      <c r="F212">
        <v>0</v>
      </c>
      <c r="G212">
        <v>0</v>
      </c>
      <c r="H212">
        <v>1</v>
      </c>
      <c r="I212">
        <v>10001</v>
      </c>
      <c r="J212">
        <v>30000</v>
      </c>
    </row>
    <row r="213" spans="2:10" x14ac:dyDescent="0.25">
      <c r="B213" t="s">
        <v>596</v>
      </c>
      <c r="C213">
        <v>3.8899999999999997E-2</v>
      </c>
      <c r="D213">
        <v>0.19339999999999999</v>
      </c>
      <c r="E213">
        <v>2.9169999999999999E-3</v>
      </c>
      <c r="F213">
        <v>0</v>
      </c>
      <c r="G213">
        <v>0</v>
      </c>
      <c r="H213">
        <v>1</v>
      </c>
      <c r="I213">
        <v>10001</v>
      </c>
      <c r="J213">
        <v>30000</v>
      </c>
    </row>
    <row r="214" spans="2:10" x14ac:dyDescent="0.25">
      <c r="B214" t="s">
        <v>597</v>
      </c>
      <c r="C214">
        <v>3.4299999999999997E-2</v>
      </c>
      <c r="D214">
        <v>0.182</v>
      </c>
      <c r="E214">
        <v>3.3570000000000002E-3</v>
      </c>
      <c r="F214">
        <v>0</v>
      </c>
      <c r="G214">
        <v>0</v>
      </c>
      <c r="H214">
        <v>1</v>
      </c>
      <c r="I214">
        <v>10001</v>
      </c>
      <c r="J214">
        <v>30000</v>
      </c>
    </row>
    <row r="215" spans="2:10" x14ac:dyDescent="0.25">
      <c r="B215" t="s">
        <v>598</v>
      </c>
      <c r="C215">
        <v>3.2530000000000003E-2</v>
      </c>
      <c r="D215">
        <v>0.1774</v>
      </c>
      <c r="E215">
        <v>2.2880000000000001E-3</v>
      </c>
      <c r="F215">
        <v>0</v>
      </c>
      <c r="G215">
        <v>0</v>
      </c>
      <c r="H215">
        <v>1</v>
      </c>
      <c r="I215">
        <v>10001</v>
      </c>
      <c r="J215">
        <v>30000</v>
      </c>
    </row>
    <row r="216" spans="2:10" x14ac:dyDescent="0.25">
      <c r="B216" t="s">
        <v>599</v>
      </c>
      <c r="C216">
        <v>4.6269999999999999E-2</v>
      </c>
      <c r="D216">
        <v>0.21010000000000001</v>
      </c>
      <c r="E216">
        <v>5.372E-3</v>
      </c>
      <c r="F216">
        <v>0</v>
      </c>
      <c r="G216">
        <v>0</v>
      </c>
      <c r="H216">
        <v>1</v>
      </c>
      <c r="I216">
        <v>10001</v>
      </c>
      <c r="J216">
        <v>30000</v>
      </c>
    </row>
    <row r="217" spans="2:10" x14ac:dyDescent="0.25">
      <c r="B217" t="s">
        <v>600</v>
      </c>
      <c r="C217">
        <v>5.5230000000000001E-2</v>
      </c>
      <c r="D217">
        <v>0.22839999999999999</v>
      </c>
      <c r="E217">
        <v>4.463E-3</v>
      </c>
      <c r="F217">
        <v>0</v>
      </c>
      <c r="G217">
        <v>0</v>
      </c>
      <c r="H217">
        <v>1</v>
      </c>
      <c r="I217">
        <v>10001</v>
      </c>
      <c r="J217">
        <v>30000</v>
      </c>
    </row>
    <row r="218" spans="2:10" x14ac:dyDescent="0.25">
      <c r="B218" t="s">
        <v>601</v>
      </c>
      <c r="C218">
        <v>8.9200000000000002E-2</v>
      </c>
      <c r="D218">
        <v>0.28499999999999998</v>
      </c>
      <c r="E218">
        <v>6.8890000000000002E-3</v>
      </c>
      <c r="F218">
        <v>0</v>
      </c>
      <c r="G218">
        <v>0</v>
      </c>
      <c r="H218">
        <v>1</v>
      </c>
      <c r="I218">
        <v>10001</v>
      </c>
      <c r="J218">
        <v>30000</v>
      </c>
    </row>
    <row r="219" spans="2:10" x14ac:dyDescent="0.25">
      <c r="B219" t="s">
        <v>602</v>
      </c>
      <c r="C219">
        <v>0.1338</v>
      </c>
      <c r="D219">
        <v>0.34039999999999998</v>
      </c>
      <c r="E219">
        <v>8.9569999999999997E-3</v>
      </c>
      <c r="F219">
        <v>0</v>
      </c>
      <c r="G219">
        <v>0</v>
      </c>
      <c r="H219">
        <v>1</v>
      </c>
      <c r="I219">
        <v>10001</v>
      </c>
      <c r="J219">
        <v>30000</v>
      </c>
    </row>
    <row r="220" spans="2:10" x14ac:dyDescent="0.25">
      <c r="B220" t="s">
        <v>603</v>
      </c>
      <c r="C220">
        <v>0.34079999999999999</v>
      </c>
      <c r="D220">
        <v>0.47399999999999998</v>
      </c>
      <c r="E220">
        <v>1.8550000000000001E-2</v>
      </c>
      <c r="F220">
        <v>0</v>
      </c>
      <c r="G220">
        <v>0</v>
      </c>
      <c r="H220">
        <v>1</v>
      </c>
      <c r="I220">
        <v>10001</v>
      </c>
      <c r="J220">
        <v>30000</v>
      </c>
    </row>
    <row r="221" spans="2:10" x14ac:dyDescent="0.25">
      <c r="B221" t="s">
        <v>604</v>
      </c>
      <c r="C221">
        <v>0.3518</v>
      </c>
      <c r="D221">
        <v>0.47749999999999998</v>
      </c>
      <c r="E221">
        <v>1.8870000000000001E-2</v>
      </c>
      <c r="F221">
        <v>0</v>
      </c>
      <c r="G221">
        <v>0</v>
      </c>
      <c r="H221">
        <v>1</v>
      </c>
      <c r="I221">
        <v>10001</v>
      </c>
      <c r="J221">
        <v>30000</v>
      </c>
    </row>
    <row r="222" spans="2:10" x14ac:dyDescent="0.25">
      <c r="B222" t="s">
        <v>605</v>
      </c>
      <c r="C222">
        <v>6.9830000000000003E-2</v>
      </c>
      <c r="D222">
        <v>0.25490000000000002</v>
      </c>
      <c r="E222">
        <v>4.8710000000000003E-3</v>
      </c>
      <c r="F222">
        <v>0</v>
      </c>
      <c r="G222">
        <v>0</v>
      </c>
      <c r="H222">
        <v>1</v>
      </c>
      <c r="I222">
        <v>10001</v>
      </c>
      <c r="J222">
        <v>30000</v>
      </c>
    </row>
    <row r="223" spans="2:10" x14ac:dyDescent="0.25">
      <c r="B223" t="s">
        <v>606</v>
      </c>
      <c r="C223">
        <v>4.5370000000000001E-2</v>
      </c>
      <c r="D223">
        <v>0.20810000000000001</v>
      </c>
      <c r="E223">
        <v>3.6319999999999998E-3</v>
      </c>
      <c r="F223">
        <v>0</v>
      </c>
      <c r="G223">
        <v>0</v>
      </c>
      <c r="H223">
        <v>1</v>
      </c>
      <c r="I223">
        <v>10001</v>
      </c>
      <c r="J223">
        <v>30000</v>
      </c>
    </row>
    <row r="224" spans="2:10" x14ac:dyDescent="0.25">
      <c r="B224" t="s">
        <v>607</v>
      </c>
      <c r="C224">
        <v>3.6299999999999999E-2</v>
      </c>
      <c r="D224">
        <v>0.187</v>
      </c>
      <c r="E224">
        <v>3.1700000000000001E-3</v>
      </c>
      <c r="F224">
        <v>0</v>
      </c>
      <c r="G224">
        <v>0</v>
      </c>
      <c r="H224">
        <v>1</v>
      </c>
      <c r="I224">
        <v>10001</v>
      </c>
      <c r="J224">
        <v>30000</v>
      </c>
    </row>
    <row r="225" spans="2:10" x14ac:dyDescent="0.25">
      <c r="B225" t="s">
        <v>608</v>
      </c>
      <c r="C225">
        <v>2.997E-2</v>
      </c>
      <c r="D225">
        <v>0.17050000000000001</v>
      </c>
      <c r="E225">
        <v>2.1879999999999998E-3</v>
      </c>
      <c r="F225">
        <v>0</v>
      </c>
      <c r="G225">
        <v>0</v>
      </c>
      <c r="H225">
        <v>1</v>
      </c>
      <c r="I225">
        <v>10001</v>
      </c>
      <c r="J225">
        <v>30000</v>
      </c>
    </row>
    <row r="226" spans="2:10" x14ac:dyDescent="0.25">
      <c r="B226" t="s">
        <v>609</v>
      </c>
      <c r="C226">
        <v>3.3869999999999997E-2</v>
      </c>
      <c r="D226">
        <v>0.18090000000000001</v>
      </c>
      <c r="E226">
        <v>2.392E-3</v>
      </c>
      <c r="F226">
        <v>0</v>
      </c>
      <c r="G226">
        <v>0</v>
      </c>
      <c r="H226">
        <v>1</v>
      </c>
      <c r="I226">
        <v>10001</v>
      </c>
      <c r="J226">
        <v>30000</v>
      </c>
    </row>
    <row r="227" spans="2:10" x14ac:dyDescent="0.25">
      <c r="B227" t="s">
        <v>610</v>
      </c>
      <c r="C227">
        <v>4.9500000000000002E-2</v>
      </c>
      <c r="D227">
        <v>0.21690000000000001</v>
      </c>
      <c r="E227">
        <v>4.9090000000000002E-3</v>
      </c>
      <c r="F227">
        <v>0</v>
      </c>
      <c r="G227">
        <v>0</v>
      </c>
      <c r="H227">
        <v>1</v>
      </c>
      <c r="I227">
        <v>10001</v>
      </c>
      <c r="J227">
        <v>30000</v>
      </c>
    </row>
    <row r="228" spans="2:10" x14ac:dyDescent="0.25">
      <c r="B228" t="s">
        <v>611</v>
      </c>
      <c r="C228">
        <v>6.5000000000000002E-2</v>
      </c>
      <c r="D228">
        <v>0.2465</v>
      </c>
      <c r="E228">
        <v>4.7340000000000004E-3</v>
      </c>
      <c r="F228">
        <v>0</v>
      </c>
      <c r="G228">
        <v>0</v>
      </c>
      <c r="H228">
        <v>1</v>
      </c>
      <c r="I228">
        <v>10001</v>
      </c>
      <c r="J228">
        <v>30000</v>
      </c>
    </row>
    <row r="229" spans="2:10" x14ac:dyDescent="0.25">
      <c r="B229" t="s">
        <v>612</v>
      </c>
      <c r="C229">
        <v>0.1067</v>
      </c>
      <c r="D229">
        <v>0.30869999999999997</v>
      </c>
      <c r="E229">
        <v>8.3890000000000006E-3</v>
      </c>
      <c r="F229">
        <v>0</v>
      </c>
      <c r="G229">
        <v>0</v>
      </c>
      <c r="H229">
        <v>1</v>
      </c>
      <c r="I229">
        <v>10001</v>
      </c>
      <c r="J229">
        <v>30000</v>
      </c>
    </row>
    <row r="230" spans="2:10" x14ac:dyDescent="0.25">
      <c r="B230" t="s">
        <v>613</v>
      </c>
      <c r="C230">
        <v>0.2117</v>
      </c>
      <c r="D230">
        <v>0.40849999999999997</v>
      </c>
      <c r="E230">
        <v>1.6879999999999999E-2</v>
      </c>
      <c r="F230">
        <v>0</v>
      </c>
      <c r="G230">
        <v>0</v>
      </c>
      <c r="H230">
        <v>1</v>
      </c>
      <c r="I230">
        <v>10001</v>
      </c>
      <c r="J230">
        <v>30000</v>
      </c>
    </row>
    <row r="231" spans="2:10" x14ac:dyDescent="0.25">
      <c r="B231" t="s">
        <v>614</v>
      </c>
      <c r="C231">
        <v>3.703E-2</v>
      </c>
      <c r="D231">
        <v>0.1888</v>
      </c>
      <c r="E231">
        <v>5.8710000000000004E-3</v>
      </c>
      <c r="F231">
        <v>0</v>
      </c>
      <c r="G231">
        <v>0</v>
      </c>
      <c r="H231">
        <v>1</v>
      </c>
      <c r="I231">
        <v>10001</v>
      </c>
      <c r="J231">
        <v>30000</v>
      </c>
    </row>
    <row r="232" spans="2:10" x14ac:dyDescent="0.25">
      <c r="B232" t="s">
        <v>615</v>
      </c>
      <c r="C232">
        <v>3.4070000000000003E-2</v>
      </c>
      <c r="D232">
        <v>0.18140000000000001</v>
      </c>
      <c r="E232">
        <v>3.4220000000000001E-3</v>
      </c>
      <c r="F232">
        <v>0</v>
      </c>
      <c r="G232">
        <v>0</v>
      </c>
      <c r="H232">
        <v>1</v>
      </c>
      <c r="I232">
        <v>10001</v>
      </c>
      <c r="J232">
        <v>30000</v>
      </c>
    </row>
    <row r="233" spans="2:10" x14ac:dyDescent="0.25">
      <c r="B233" t="s">
        <v>616</v>
      </c>
      <c r="C233">
        <v>2.9569999999999999E-2</v>
      </c>
      <c r="D233">
        <v>0.1694</v>
      </c>
      <c r="E233">
        <v>2.369E-3</v>
      </c>
      <c r="F233">
        <v>0</v>
      </c>
      <c r="G233">
        <v>0</v>
      </c>
      <c r="H233">
        <v>1</v>
      </c>
      <c r="I233">
        <v>10001</v>
      </c>
      <c r="J233">
        <v>30000</v>
      </c>
    </row>
    <row r="234" spans="2:10" x14ac:dyDescent="0.25">
      <c r="B234" t="s">
        <v>617</v>
      </c>
      <c r="C234">
        <v>4.2169999999999999E-2</v>
      </c>
      <c r="D234">
        <v>0.20100000000000001</v>
      </c>
      <c r="E234">
        <v>5.5659999999999998E-3</v>
      </c>
      <c r="F234">
        <v>0</v>
      </c>
      <c r="G234">
        <v>0</v>
      </c>
      <c r="H234">
        <v>1</v>
      </c>
      <c r="I234">
        <v>10001</v>
      </c>
      <c r="J234">
        <v>30000</v>
      </c>
    </row>
    <row r="235" spans="2:10" x14ac:dyDescent="0.25">
      <c r="B235" t="s">
        <v>618</v>
      </c>
      <c r="C235">
        <v>3.9570000000000001E-2</v>
      </c>
      <c r="D235">
        <v>0.19489999999999999</v>
      </c>
      <c r="E235">
        <v>3.4069999999999999E-3</v>
      </c>
      <c r="F235">
        <v>0</v>
      </c>
      <c r="G235">
        <v>0</v>
      </c>
      <c r="H235">
        <v>1</v>
      </c>
      <c r="I235">
        <v>10001</v>
      </c>
      <c r="J235">
        <v>30000</v>
      </c>
    </row>
    <row r="236" spans="2:10" x14ac:dyDescent="0.25">
      <c r="B236" t="s">
        <v>619</v>
      </c>
      <c r="C236">
        <v>4.7699999999999999E-2</v>
      </c>
      <c r="D236">
        <v>0.21310000000000001</v>
      </c>
      <c r="E236">
        <v>3.424E-3</v>
      </c>
      <c r="F236">
        <v>0</v>
      </c>
      <c r="G236">
        <v>0</v>
      </c>
      <c r="H236">
        <v>1</v>
      </c>
      <c r="I236">
        <v>10001</v>
      </c>
      <c r="J236">
        <v>30000</v>
      </c>
    </row>
    <row r="237" spans="2:10" x14ac:dyDescent="0.25">
      <c r="B237" t="s">
        <v>620</v>
      </c>
      <c r="C237">
        <v>6.7830000000000001E-2</v>
      </c>
      <c r="D237">
        <v>0.2515</v>
      </c>
      <c r="E237">
        <v>4.2649999999999997E-3</v>
      </c>
      <c r="F237">
        <v>0</v>
      </c>
      <c r="G237">
        <v>0</v>
      </c>
      <c r="H237">
        <v>1</v>
      </c>
      <c r="I237">
        <v>10001</v>
      </c>
      <c r="J237">
        <v>30000</v>
      </c>
    </row>
    <row r="238" spans="2:10" x14ac:dyDescent="0.25">
      <c r="B238" t="s">
        <v>621</v>
      </c>
      <c r="C238">
        <v>0.1452</v>
      </c>
      <c r="D238">
        <v>0.3523</v>
      </c>
      <c r="E238">
        <v>8.2609999999999992E-3</v>
      </c>
      <c r="F238">
        <v>0</v>
      </c>
      <c r="G238">
        <v>0</v>
      </c>
      <c r="H238">
        <v>1</v>
      </c>
      <c r="I238">
        <v>10001</v>
      </c>
      <c r="J238">
        <v>30000</v>
      </c>
    </row>
    <row r="239" spans="2:10" x14ac:dyDescent="0.25">
      <c r="B239" t="s">
        <v>622</v>
      </c>
      <c r="C239">
        <v>0.2772</v>
      </c>
      <c r="D239">
        <v>0.4476</v>
      </c>
      <c r="E239">
        <v>1.3350000000000001E-2</v>
      </c>
      <c r="F239">
        <v>0</v>
      </c>
      <c r="G239">
        <v>0</v>
      </c>
      <c r="H239">
        <v>1</v>
      </c>
      <c r="I239">
        <v>10001</v>
      </c>
      <c r="J239">
        <v>30000</v>
      </c>
    </row>
    <row r="240" spans="2:10" x14ac:dyDescent="0.25">
      <c r="B240" t="s">
        <v>623</v>
      </c>
      <c r="C240">
        <v>0.2797</v>
      </c>
      <c r="D240">
        <v>0.44890000000000002</v>
      </c>
      <c r="E240">
        <v>1.55E-2</v>
      </c>
      <c r="F240">
        <v>0</v>
      </c>
      <c r="G240">
        <v>0</v>
      </c>
      <c r="H240">
        <v>1</v>
      </c>
      <c r="I240">
        <v>10001</v>
      </c>
      <c r="J240">
        <v>30000</v>
      </c>
    </row>
    <row r="241" spans="2:10" x14ac:dyDescent="0.25">
      <c r="B241" t="s">
        <v>624</v>
      </c>
      <c r="C241">
        <v>8.2830000000000001E-2</v>
      </c>
      <c r="D241">
        <v>0.27560000000000001</v>
      </c>
      <c r="E241">
        <v>9.7439999999999992E-3</v>
      </c>
      <c r="F241">
        <v>0</v>
      </c>
      <c r="G241">
        <v>0</v>
      </c>
      <c r="H241">
        <v>1</v>
      </c>
      <c r="I241">
        <v>10001</v>
      </c>
      <c r="J241">
        <v>30000</v>
      </c>
    </row>
    <row r="242" spans="2:10" x14ac:dyDescent="0.25">
      <c r="B242" t="s">
        <v>625</v>
      </c>
      <c r="C242">
        <v>0.1163</v>
      </c>
      <c r="D242">
        <v>0.3206</v>
      </c>
      <c r="E242">
        <v>7.0749999999999997E-3</v>
      </c>
      <c r="F242">
        <v>0</v>
      </c>
      <c r="G242">
        <v>0</v>
      </c>
      <c r="H242">
        <v>1</v>
      </c>
      <c r="I242">
        <v>10001</v>
      </c>
      <c r="J242">
        <v>30000</v>
      </c>
    </row>
    <row r="243" spans="2:10" x14ac:dyDescent="0.25">
      <c r="B243" t="s">
        <v>626</v>
      </c>
      <c r="C243">
        <v>0.122</v>
      </c>
      <c r="D243">
        <v>0.32719999999999999</v>
      </c>
      <c r="E243">
        <v>5.4099999999999999E-3</v>
      </c>
      <c r="F243">
        <v>0</v>
      </c>
      <c r="G243">
        <v>0</v>
      </c>
      <c r="H243">
        <v>1</v>
      </c>
      <c r="I243">
        <v>10001</v>
      </c>
      <c r="J243">
        <v>30000</v>
      </c>
    </row>
    <row r="244" spans="2:10" x14ac:dyDescent="0.25">
      <c r="B244" t="s">
        <v>627</v>
      </c>
      <c r="C244">
        <v>0.13819999999999999</v>
      </c>
      <c r="D244">
        <v>0.34510000000000002</v>
      </c>
      <c r="E244">
        <v>5.9839999999999997E-3</v>
      </c>
      <c r="F244">
        <v>0</v>
      </c>
      <c r="G244">
        <v>0</v>
      </c>
      <c r="H244">
        <v>1</v>
      </c>
      <c r="I244">
        <v>10001</v>
      </c>
      <c r="J244">
        <v>30000</v>
      </c>
    </row>
    <row r="245" spans="2:10" x14ac:dyDescent="0.25">
      <c r="B245" t="s">
        <v>628</v>
      </c>
      <c r="C245">
        <v>0.1424</v>
      </c>
      <c r="D245">
        <v>0.34949999999999998</v>
      </c>
      <c r="E245">
        <v>6.4669999999999997E-3</v>
      </c>
      <c r="F245">
        <v>0</v>
      </c>
      <c r="G245">
        <v>0</v>
      </c>
      <c r="H245">
        <v>1</v>
      </c>
      <c r="I245">
        <v>10001</v>
      </c>
      <c r="J245">
        <v>30000</v>
      </c>
    </row>
    <row r="246" spans="2:10" x14ac:dyDescent="0.25">
      <c r="B246" t="s">
        <v>629</v>
      </c>
      <c r="C246">
        <v>0.16</v>
      </c>
      <c r="D246">
        <v>0.36659999999999998</v>
      </c>
      <c r="E246">
        <v>8.2450000000000006E-3</v>
      </c>
      <c r="F246">
        <v>0</v>
      </c>
      <c r="G246">
        <v>0</v>
      </c>
      <c r="H246">
        <v>1</v>
      </c>
      <c r="I246">
        <v>10001</v>
      </c>
      <c r="J246">
        <v>30000</v>
      </c>
    </row>
    <row r="247" spans="2:10" x14ac:dyDescent="0.25">
      <c r="B247" t="s">
        <v>630</v>
      </c>
      <c r="C247">
        <v>0.12540000000000001</v>
      </c>
      <c r="D247">
        <v>0.33110000000000001</v>
      </c>
      <c r="E247">
        <v>7.1500000000000001E-3</v>
      </c>
      <c r="F247">
        <v>0</v>
      </c>
      <c r="G247">
        <v>0</v>
      </c>
      <c r="H247">
        <v>1</v>
      </c>
      <c r="I247">
        <v>10001</v>
      </c>
      <c r="J247">
        <v>30000</v>
      </c>
    </row>
    <row r="248" spans="2:10" x14ac:dyDescent="0.25">
      <c r="B248" t="s">
        <v>631</v>
      </c>
      <c r="C248">
        <v>7.9670000000000005E-2</v>
      </c>
      <c r="D248">
        <v>0.27079999999999999</v>
      </c>
      <c r="E248">
        <v>6.6870000000000002E-3</v>
      </c>
      <c r="F248">
        <v>0</v>
      </c>
      <c r="G248">
        <v>0</v>
      </c>
      <c r="H248">
        <v>1</v>
      </c>
      <c r="I248">
        <v>10001</v>
      </c>
      <c r="J248">
        <v>30000</v>
      </c>
    </row>
    <row r="249" spans="2:10" x14ac:dyDescent="0.25">
      <c r="B249" t="s">
        <v>632</v>
      </c>
      <c r="C249">
        <v>2.7699999999999999E-2</v>
      </c>
      <c r="D249">
        <v>0.1641</v>
      </c>
      <c r="E249">
        <v>3.388E-3</v>
      </c>
      <c r="F249">
        <v>0</v>
      </c>
      <c r="G249">
        <v>0</v>
      </c>
      <c r="H249">
        <v>1</v>
      </c>
      <c r="I249">
        <v>10001</v>
      </c>
      <c r="J249">
        <v>30000</v>
      </c>
    </row>
    <row r="250" spans="2:10" x14ac:dyDescent="0.25">
      <c r="B250" t="s">
        <v>633</v>
      </c>
      <c r="C250">
        <v>5.5329999999999997E-3</v>
      </c>
      <c r="D250">
        <v>7.4179999999999996E-2</v>
      </c>
      <c r="E250">
        <v>1.1820000000000001E-3</v>
      </c>
      <c r="F250">
        <v>0</v>
      </c>
      <c r="G250">
        <v>0</v>
      </c>
      <c r="H250">
        <v>0</v>
      </c>
      <c r="I250">
        <v>10001</v>
      </c>
      <c r="J250">
        <v>30000</v>
      </c>
    </row>
    <row r="251" spans="2:10" x14ac:dyDescent="0.25">
      <c r="B251" t="s">
        <v>634</v>
      </c>
      <c r="C251" s="13">
        <v>1E-4</v>
      </c>
      <c r="D251">
        <v>9.9989999999999992E-3</v>
      </c>
      <c r="E251" s="13">
        <v>5.7739999999999999E-5</v>
      </c>
      <c r="F251">
        <v>0</v>
      </c>
      <c r="G251">
        <v>0</v>
      </c>
      <c r="H251">
        <v>0</v>
      </c>
      <c r="I251">
        <v>10001</v>
      </c>
      <c r="J251">
        <v>30000</v>
      </c>
    </row>
    <row r="252" spans="2:10" x14ac:dyDescent="0.25">
      <c r="B252" t="s">
        <v>635</v>
      </c>
      <c r="C252" s="13">
        <v>6.9999999999999999E-4</v>
      </c>
      <c r="D252">
        <v>2.6450000000000001E-2</v>
      </c>
      <c r="E252" s="13">
        <v>1.997E-4</v>
      </c>
      <c r="F252">
        <v>0</v>
      </c>
      <c r="G252">
        <v>0</v>
      </c>
      <c r="H252">
        <v>0</v>
      </c>
      <c r="I252">
        <v>10001</v>
      </c>
      <c r="J252">
        <v>30000</v>
      </c>
    </row>
    <row r="253" spans="2:10" x14ac:dyDescent="0.25">
      <c r="B253" t="s">
        <v>636</v>
      </c>
      <c r="C253">
        <v>2.7000000000000001E-3</v>
      </c>
      <c r="D253">
        <v>5.1889999999999999E-2</v>
      </c>
      <c r="E253" s="13">
        <v>5.7939999999999999E-4</v>
      </c>
      <c r="F253">
        <v>0</v>
      </c>
      <c r="G253">
        <v>0</v>
      </c>
      <c r="H253">
        <v>0</v>
      </c>
      <c r="I253">
        <v>10001</v>
      </c>
      <c r="J253">
        <v>30000</v>
      </c>
    </row>
    <row r="254" spans="2:10" x14ac:dyDescent="0.25">
      <c r="B254" t="s">
        <v>637</v>
      </c>
      <c r="C254">
        <v>1.2500000000000001E-2</v>
      </c>
      <c r="D254">
        <v>0.1111</v>
      </c>
      <c r="E254">
        <v>2.3140000000000001E-3</v>
      </c>
      <c r="F254">
        <v>0</v>
      </c>
      <c r="G254">
        <v>0</v>
      </c>
      <c r="H254">
        <v>0</v>
      </c>
      <c r="I254">
        <v>10001</v>
      </c>
      <c r="J254">
        <v>30000</v>
      </c>
    </row>
    <row r="255" spans="2:10" x14ac:dyDescent="0.25">
      <c r="B255" t="s">
        <v>638</v>
      </c>
      <c r="C255">
        <v>3.0530000000000002E-2</v>
      </c>
      <c r="D255">
        <v>0.17199999999999999</v>
      </c>
      <c r="E255">
        <v>2.9740000000000001E-3</v>
      </c>
      <c r="F255">
        <v>0</v>
      </c>
      <c r="G255">
        <v>0</v>
      </c>
      <c r="H255">
        <v>1</v>
      </c>
      <c r="I255">
        <v>10001</v>
      </c>
      <c r="J255">
        <v>30000</v>
      </c>
    </row>
    <row r="256" spans="2:10" x14ac:dyDescent="0.25">
      <c r="B256" t="s">
        <v>639</v>
      </c>
      <c r="C256">
        <v>9.1469999999999996E-2</v>
      </c>
      <c r="D256">
        <v>0.2883</v>
      </c>
      <c r="E256">
        <v>6.6689999999999996E-3</v>
      </c>
      <c r="F256">
        <v>0</v>
      </c>
      <c r="G256">
        <v>0</v>
      </c>
      <c r="H256">
        <v>1</v>
      </c>
      <c r="I256">
        <v>10001</v>
      </c>
      <c r="J256">
        <v>30000</v>
      </c>
    </row>
    <row r="257" spans="2:10" x14ac:dyDescent="0.25">
      <c r="B257" t="s">
        <v>640</v>
      </c>
      <c r="C257">
        <v>0.22739999999999999</v>
      </c>
      <c r="D257">
        <v>0.41920000000000002</v>
      </c>
      <c r="E257">
        <v>1.056E-2</v>
      </c>
      <c r="F257">
        <v>0</v>
      </c>
      <c r="G257">
        <v>0</v>
      </c>
      <c r="H257">
        <v>1</v>
      </c>
      <c r="I257">
        <v>10001</v>
      </c>
      <c r="J257">
        <v>30000</v>
      </c>
    </row>
    <row r="258" spans="2:10" x14ac:dyDescent="0.25">
      <c r="B258" t="s">
        <v>641</v>
      </c>
      <c r="C258">
        <v>0.31119999999999998</v>
      </c>
      <c r="D258">
        <v>0.46300000000000002</v>
      </c>
      <c r="E258">
        <v>1.1440000000000001E-2</v>
      </c>
      <c r="F258">
        <v>0</v>
      </c>
      <c r="G258">
        <v>0</v>
      </c>
      <c r="H258">
        <v>1</v>
      </c>
      <c r="I258">
        <v>10001</v>
      </c>
      <c r="J258">
        <v>30000</v>
      </c>
    </row>
    <row r="259" spans="2:10" x14ac:dyDescent="0.25">
      <c r="B259" t="s">
        <v>642</v>
      </c>
      <c r="C259">
        <v>0.25359999999999999</v>
      </c>
      <c r="D259">
        <v>0.43509999999999999</v>
      </c>
      <c r="E259">
        <v>1.321E-2</v>
      </c>
      <c r="F259">
        <v>0</v>
      </c>
      <c r="G259">
        <v>0</v>
      </c>
      <c r="H259">
        <v>1</v>
      </c>
      <c r="I259">
        <v>10001</v>
      </c>
      <c r="J259">
        <v>30000</v>
      </c>
    </row>
    <row r="260" spans="2:10" x14ac:dyDescent="0.25">
      <c r="B260" t="s">
        <v>643</v>
      </c>
      <c r="C260">
        <v>6.9800000000000001E-2</v>
      </c>
      <c r="D260">
        <v>0.25480000000000003</v>
      </c>
      <c r="E260">
        <v>6.4390000000000003E-3</v>
      </c>
      <c r="F260">
        <v>0</v>
      </c>
      <c r="G260">
        <v>0</v>
      </c>
      <c r="H260">
        <v>1</v>
      </c>
      <c r="I260">
        <v>10001</v>
      </c>
      <c r="J260">
        <v>30000</v>
      </c>
    </row>
    <row r="261" spans="2:10" x14ac:dyDescent="0.25">
      <c r="B261" t="s">
        <v>644</v>
      </c>
      <c r="C261">
        <v>1.665</v>
      </c>
      <c r="D261">
        <v>1.6850000000000001</v>
      </c>
      <c r="E261">
        <v>2.3449999999999999E-2</v>
      </c>
      <c r="F261">
        <v>4.7649999999999998E-2</v>
      </c>
      <c r="G261">
        <v>1.1459999999999999</v>
      </c>
      <c r="H261">
        <v>6.242</v>
      </c>
      <c r="I261">
        <v>10001</v>
      </c>
      <c r="J261">
        <v>30000</v>
      </c>
    </row>
    <row r="262" spans="2:10" x14ac:dyDescent="0.25">
      <c r="B262" t="s">
        <v>645</v>
      </c>
      <c r="C262">
        <v>1.73</v>
      </c>
      <c r="D262">
        <v>1.708</v>
      </c>
      <c r="E262">
        <v>2.794E-2</v>
      </c>
      <c r="F262">
        <v>4.786E-2</v>
      </c>
      <c r="G262">
        <v>1.214</v>
      </c>
      <c r="H262">
        <v>6.2910000000000004</v>
      </c>
      <c r="I262">
        <v>10001</v>
      </c>
      <c r="J262">
        <v>30000</v>
      </c>
    </row>
    <row r="263" spans="2:10" x14ac:dyDescent="0.25">
      <c r="B263" t="s">
        <v>646</v>
      </c>
      <c r="C263">
        <v>1.843</v>
      </c>
      <c r="D263">
        <v>1.8240000000000001</v>
      </c>
      <c r="E263">
        <v>2.7720000000000002E-2</v>
      </c>
      <c r="F263">
        <v>4.3270000000000003E-2</v>
      </c>
      <c r="G263">
        <v>1.302</v>
      </c>
      <c r="H263">
        <v>6.73</v>
      </c>
      <c r="I263">
        <v>10001</v>
      </c>
      <c r="J263">
        <v>30000</v>
      </c>
    </row>
    <row r="264" spans="2:10" x14ac:dyDescent="0.25">
      <c r="B264" t="s">
        <v>647</v>
      </c>
      <c r="C264">
        <v>1.6040000000000001</v>
      </c>
      <c r="D264">
        <v>1.5669999999999999</v>
      </c>
      <c r="E264">
        <v>1.7129999999999999E-2</v>
      </c>
      <c r="F264">
        <v>7.6100000000000001E-2</v>
      </c>
      <c r="G264">
        <v>1.1279999999999999</v>
      </c>
      <c r="H264">
        <v>5.9029999999999996</v>
      </c>
      <c r="I264">
        <v>10001</v>
      </c>
      <c r="J264">
        <v>30000</v>
      </c>
    </row>
    <row r="265" spans="2:10" x14ac:dyDescent="0.25">
      <c r="B265" t="s">
        <v>648</v>
      </c>
      <c r="C265">
        <v>1.6240000000000001</v>
      </c>
      <c r="D265">
        <v>1.5840000000000001</v>
      </c>
      <c r="E265">
        <v>1.6799999999999999E-2</v>
      </c>
      <c r="F265">
        <v>8.5779999999999995E-2</v>
      </c>
      <c r="G265">
        <v>1.1459999999999999</v>
      </c>
      <c r="H265">
        <v>5.8940000000000001</v>
      </c>
      <c r="I265">
        <v>10001</v>
      </c>
      <c r="J265">
        <v>30000</v>
      </c>
    </row>
    <row r="266" spans="2:10" x14ac:dyDescent="0.25">
      <c r="B266" t="s">
        <v>649</v>
      </c>
      <c r="C266">
        <v>1.6819999999999999</v>
      </c>
      <c r="D266">
        <v>1.68</v>
      </c>
      <c r="E266">
        <v>2.4469999999999999E-2</v>
      </c>
      <c r="F266">
        <v>4.7989999999999998E-2</v>
      </c>
      <c r="G266">
        <v>1.175</v>
      </c>
      <c r="H266">
        <v>6.234</v>
      </c>
      <c r="I266">
        <v>10001</v>
      </c>
      <c r="J266">
        <v>30000</v>
      </c>
    </row>
    <row r="267" spans="2:10" x14ac:dyDescent="0.25">
      <c r="B267" t="s">
        <v>650</v>
      </c>
      <c r="C267">
        <v>2.5910000000000002</v>
      </c>
      <c r="D267">
        <v>1.8620000000000001</v>
      </c>
      <c r="E267">
        <v>4.1059999999999999E-2</v>
      </c>
      <c r="F267">
        <v>0.40400000000000003</v>
      </c>
      <c r="G267">
        <v>2.141</v>
      </c>
      <c r="H267">
        <v>7.4379999999999997</v>
      </c>
      <c r="I267">
        <v>10001</v>
      </c>
      <c r="J267">
        <v>30000</v>
      </c>
    </row>
    <row r="268" spans="2:10" x14ac:dyDescent="0.25">
      <c r="B268" t="s">
        <v>651</v>
      </c>
      <c r="C268">
        <v>2.169</v>
      </c>
      <c r="D268">
        <v>1.669</v>
      </c>
      <c r="E268">
        <v>2.0879999999999999E-2</v>
      </c>
      <c r="F268">
        <v>0.26979999999999998</v>
      </c>
      <c r="G268">
        <v>1.7490000000000001</v>
      </c>
      <c r="H268">
        <v>6.5880000000000001</v>
      </c>
      <c r="I268">
        <v>10001</v>
      </c>
      <c r="J268">
        <v>30000</v>
      </c>
    </row>
    <row r="269" spans="2:10" x14ac:dyDescent="0.25">
      <c r="B269" t="s">
        <v>652</v>
      </c>
      <c r="C269">
        <v>2.2690000000000001</v>
      </c>
      <c r="D269">
        <v>2.2639999999999998</v>
      </c>
      <c r="E269">
        <v>6.9070000000000006E-2</v>
      </c>
      <c r="F269">
        <v>6.3009999999999997E-2</v>
      </c>
      <c r="G269">
        <v>1.597</v>
      </c>
      <c r="H269">
        <v>8.4979999999999993</v>
      </c>
      <c r="I269">
        <v>10001</v>
      </c>
      <c r="J269">
        <v>30000</v>
      </c>
    </row>
    <row r="270" spans="2:10" x14ac:dyDescent="0.25">
      <c r="B270" t="s">
        <v>653</v>
      </c>
      <c r="C270">
        <v>2.0270000000000001</v>
      </c>
      <c r="D270">
        <v>2.0379999999999998</v>
      </c>
      <c r="E270">
        <v>3.7530000000000001E-2</v>
      </c>
      <c r="F270">
        <v>5.2159999999999998E-2</v>
      </c>
      <c r="G270">
        <v>1.4279999999999999</v>
      </c>
      <c r="H270">
        <v>7.6159999999999997</v>
      </c>
      <c r="I270">
        <v>10001</v>
      </c>
      <c r="J270">
        <v>30000</v>
      </c>
    </row>
    <row r="271" spans="2:10" x14ac:dyDescent="0.25">
      <c r="B271" t="s">
        <v>654</v>
      </c>
      <c r="C271">
        <v>1.415</v>
      </c>
      <c r="D271">
        <v>1.538</v>
      </c>
      <c r="E271">
        <v>1.4279999999999999E-2</v>
      </c>
      <c r="F271">
        <v>4.036E-2</v>
      </c>
      <c r="G271">
        <v>0.92390000000000005</v>
      </c>
      <c r="H271">
        <v>5.6680000000000001</v>
      </c>
      <c r="I271">
        <v>10001</v>
      </c>
      <c r="J271">
        <v>30000</v>
      </c>
    </row>
    <row r="272" spans="2:10" x14ac:dyDescent="0.25">
      <c r="B272" t="s">
        <v>655</v>
      </c>
      <c r="C272">
        <v>2.343</v>
      </c>
      <c r="D272">
        <v>2.2690000000000001</v>
      </c>
      <c r="E272">
        <v>7.1489999999999998E-2</v>
      </c>
      <c r="F272">
        <v>5.5780000000000003E-2</v>
      </c>
      <c r="G272">
        <v>1.6759999999999999</v>
      </c>
      <c r="H272">
        <v>8.1370000000000005</v>
      </c>
      <c r="I272">
        <v>10001</v>
      </c>
      <c r="J272">
        <v>30000</v>
      </c>
    </row>
    <row r="273" spans="2:10" x14ac:dyDescent="0.25">
      <c r="B273" t="s">
        <v>656</v>
      </c>
      <c r="C273">
        <v>2.2789999999999999</v>
      </c>
      <c r="D273">
        <v>1.87</v>
      </c>
      <c r="E273">
        <v>3.6540000000000003E-2</v>
      </c>
      <c r="F273">
        <v>0.1033</v>
      </c>
      <c r="G273">
        <v>1.8340000000000001</v>
      </c>
      <c r="H273">
        <v>7.008</v>
      </c>
      <c r="I273">
        <v>10001</v>
      </c>
      <c r="J273">
        <v>30000</v>
      </c>
    </row>
    <row r="274" spans="2:10" x14ac:dyDescent="0.25">
      <c r="B274" t="s">
        <v>657</v>
      </c>
      <c r="C274">
        <v>1.821</v>
      </c>
      <c r="D274">
        <v>1.6919999999999999</v>
      </c>
      <c r="E274">
        <v>2.7230000000000001E-2</v>
      </c>
      <c r="F274">
        <v>6.4810000000000006E-2</v>
      </c>
      <c r="G274">
        <v>1.3420000000000001</v>
      </c>
      <c r="H274">
        <v>6.2960000000000003</v>
      </c>
      <c r="I274">
        <v>10001</v>
      </c>
      <c r="J274">
        <v>30000</v>
      </c>
    </row>
    <row r="275" spans="2:10" x14ac:dyDescent="0.25">
      <c r="B275" t="s">
        <v>658</v>
      </c>
      <c r="C275">
        <v>1.7</v>
      </c>
      <c r="D275">
        <v>1.6</v>
      </c>
      <c r="E275">
        <v>1.796E-2</v>
      </c>
      <c r="F275">
        <v>0.10349999999999999</v>
      </c>
      <c r="G275">
        <v>1.2290000000000001</v>
      </c>
      <c r="H275">
        <v>6.024</v>
      </c>
      <c r="I275">
        <v>10001</v>
      </c>
      <c r="J275">
        <v>30000</v>
      </c>
    </row>
    <row r="276" spans="2:10" x14ac:dyDescent="0.25">
      <c r="B276" t="s">
        <v>659</v>
      </c>
      <c r="C276">
        <v>1.431</v>
      </c>
      <c r="D276">
        <v>1.5569999999999999</v>
      </c>
      <c r="E276">
        <v>1.5980000000000001E-2</v>
      </c>
      <c r="F276">
        <v>3.2030000000000003E-2</v>
      </c>
      <c r="G276">
        <v>0.93610000000000004</v>
      </c>
      <c r="H276">
        <v>5.7149999999999999</v>
      </c>
      <c r="I276">
        <v>10001</v>
      </c>
      <c r="J276">
        <v>30000</v>
      </c>
    </row>
    <row r="277" spans="2:10" x14ac:dyDescent="0.25">
      <c r="B277" t="s">
        <v>660</v>
      </c>
      <c r="C277">
        <v>1.6279999999999999</v>
      </c>
      <c r="D277">
        <v>1.62</v>
      </c>
      <c r="E277">
        <v>1.9699999999999999E-2</v>
      </c>
      <c r="F277">
        <v>4.9090000000000002E-2</v>
      </c>
      <c r="G277">
        <v>1.145</v>
      </c>
      <c r="H277">
        <v>6.0250000000000004</v>
      </c>
      <c r="I277">
        <v>10001</v>
      </c>
      <c r="J277">
        <v>30000</v>
      </c>
    </row>
    <row r="278" spans="2:10" x14ac:dyDescent="0.25">
      <c r="B278" t="s">
        <v>661</v>
      </c>
      <c r="C278">
        <v>2.0550000000000002</v>
      </c>
      <c r="D278">
        <v>1.6259999999999999</v>
      </c>
      <c r="E278">
        <v>2.1829999999999999E-2</v>
      </c>
      <c r="F278">
        <v>0.22289999999999999</v>
      </c>
      <c r="G278">
        <v>1.6339999999999999</v>
      </c>
      <c r="H278">
        <v>6.4359999999999999</v>
      </c>
      <c r="I278">
        <v>10001</v>
      </c>
      <c r="J278">
        <v>30000</v>
      </c>
    </row>
    <row r="279" spans="2:10" x14ac:dyDescent="0.25">
      <c r="B279" t="s">
        <v>662</v>
      </c>
      <c r="C279">
        <v>1.3859999999999999</v>
      </c>
      <c r="D279">
        <v>1.5389999999999999</v>
      </c>
      <c r="E279">
        <v>1.5869999999999999E-2</v>
      </c>
      <c r="F279">
        <v>0.03</v>
      </c>
      <c r="G279">
        <v>0.88570000000000004</v>
      </c>
      <c r="H279">
        <v>5.6189999999999998</v>
      </c>
      <c r="I279">
        <v>10001</v>
      </c>
      <c r="J279">
        <v>30000</v>
      </c>
    </row>
    <row r="280" spans="2:10" x14ac:dyDescent="0.25">
      <c r="B280" t="s">
        <v>663</v>
      </c>
      <c r="C280">
        <v>2.1800000000000002</v>
      </c>
      <c r="D280">
        <v>2.0790000000000002</v>
      </c>
      <c r="E280">
        <v>5.3249999999999999E-2</v>
      </c>
      <c r="F280">
        <v>5.6099999999999997E-2</v>
      </c>
      <c r="G280">
        <v>1.5840000000000001</v>
      </c>
      <c r="H280">
        <v>7.71</v>
      </c>
      <c r="I280">
        <v>10001</v>
      </c>
      <c r="J280">
        <v>30000</v>
      </c>
    </row>
    <row r="281" spans="2:10" x14ac:dyDescent="0.25">
      <c r="B281" t="s">
        <v>664</v>
      </c>
      <c r="C281">
        <v>1.3959999999999999</v>
      </c>
      <c r="D281">
        <v>1.5089999999999999</v>
      </c>
      <c r="E281">
        <v>1.46E-2</v>
      </c>
      <c r="F281">
        <v>4.3060000000000001E-2</v>
      </c>
      <c r="G281">
        <v>0.90900000000000003</v>
      </c>
      <c r="H281">
        <v>5.6150000000000002</v>
      </c>
      <c r="I281">
        <v>10001</v>
      </c>
      <c r="J281">
        <v>30000</v>
      </c>
    </row>
    <row r="282" spans="2:10" x14ac:dyDescent="0.25">
      <c r="B282" t="s">
        <v>665</v>
      </c>
      <c r="C282">
        <v>1.347</v>
      </c>
      <c r="D282">
        <v>1.5469999999999999</v>
      </c>
      <c r="E282">
        <v>1.3990000000000001E-2</v>
      </c>
      <c r="F282">
        <v>2.8330000000000001E-2</v>
      </c>
      <c r="G282">
        <v>0.82720000000000005</v>
      </c>
      <c r="H282">
        <v>5.7380000000000004</v>
      </c>
      <c r="I282">
        <v>10001</v>
      </c>
      <c r="J282">
        <v>30000</v>
      </c>
    </row>
    <row r="283" spans="2:10" x14ac:dyDescent="0.25">
      <c r="B283" t="s">
        <v>666</v>
      </c>
      <c r="C283">
        <v>1.331</v>
      </c>
      <c r="D283">
        <v>1.5569999999999999</v>
      </c>
      <c r="E283">
        <v>1.321E-2</v>
      </c>
      <c r="F283">
        <v>2.2970000000000001E-2</v>
      </c>
      <c r="G283">
        <v>0.81310000000000004</v>
      </c>
      <c r="H283">
        <v>5.59</v>
      </c>
      <c r="I283">
        <v>10001</v>
      </c>
      <c r="J283">
        <v>30000</v>
      </c>
    </row>
    <row r="284" spans="2:10" x14ac:dyDescent="0.25">
      <c r="B284" t="s">
        <v>667</v>
      </c>
      <c r="C284">
        <v>1.373</v>
      </c>
      <c r="D284">
        <v>1.538</v>
      </c>
      <c r="E284">
        <v>1.5869999999999999E-2</v>
      </c>
      <c r="F284">
        <v>3.073E-2</v>
      </c>
      <c r="G284">
        <v>0.86860000000000004</v>
      </c>
      <c r="H284">
        <v>5.5419999999999998</v>
      </c>
      <c r="I284">
        <v>10001</v>
      </c>
      <c r="J284">
        <v>30000</v>
      </c>
    </row>
    <row r="285" spans="2:10" x14ac:dyDescent="0.25">
      <c r="B285" t="s">
        <v>668</v>
      </c>
      <c r="C285">
        <v>1.4910000000000001</v>
      </c>
      <c r="D285">
        <v>1.57</v>
      </c>
      <c r="E285">
        <v>1.8960000000000001E-2</v>
      </c>
      <c r="F285">
        <v>3.4049999999999997E-2</v>
      </c>
      <c r="G285">
        <v>1.004</v>
      </c>
      <c r="H285">
        <v>5.766</v>
      </c>
      <c r="I285">
        <v>10001</v>
      </c>
      <c r="J285">
        <v>30000</v>
      </c>
    </row>
    <row r="286" spans="2:10" x14ac:dyDescent="0.25">
      <c r="B286" t="s">
        <v>669</v>
      </c>
      <c r="C286">
        <v>4.5640000000000001</v>
      </c>
      <c r="D286">
        <v>2.6659999999999999</v>
      </c>
      <c r="E286">
        <v>8.4169999999999995E-2</v>
      </c>
      <c r="F286">
        <v>0.7036</v>
      </c>
      <c r="G286">
        <v>4.1550000000000002</v>
      </c>
      <c r="H286">
        <v>11.09</v>
      </c>
      <c r="I286">
        <v>10001</v>
      </c>
      <c r="J286">
        <v>30000</v>
      </c>
    </row>
    <row r="287" spans="2:10" x14ac:dyDescent="0.25">
      <c r="B287" t="s">
        <v>670</v>
      </c>
      <c r="C287">
        <v>2.883</v>
      </c>
      <c r="D287">
        <v>2.0489999999999999</v>
      </c>
      <c r="E287">
        <v>4.9439999999999998E-2</v>
      </c>
      <c r="F287">
        <v>0.21879999999999999</v>
      </c>
      <c r="G287">
        <v>2.4740000000000002</v>
      </c>
      <c r="H287">
        <v>7.9249999999999998</v>
      </c>
      <c r="I287">
        <v>10001</v>
      </c>
      <c r="J287">
        <v>30000</v>
      </c>
    </row>
    <row r="288" spans="2:10" x14ac:dyDescent="0.25">
      <c r="B288" t="s">
        <v>671</v>
      </c>
      <c r="C288">
        <v>2.0009999999999999</v>
      </c>
      <c r="D288">
        <v>1.6930000000000001</v>
      </c>
      <c r="E288">
        <v>2.3480000000000001E-2</v>
      </c>
      <c r="F288">
        <v>0.1032</v>
      </c>
      <c r="G288">
        <v>1.581</v>
      </c>
      <c r="H288">
        <v>6.4960000000000004</v>
      </c>
      <c r="I288">
        <v>10001</v>
      </c>
      <c r="J288">
        <v>30000</v>
      </c>
    </row>
    <row r="289" spans="1:10" x14ac:dyDescent="0.25">
      <c r="B289" t="s">
        <v>672</v>
      </c>
      <c r="C289">
        <v>1.3180000000000001</v>
      </c>
      <c r="D289">
        <v>1.52</v>
      </c>
      <c r="E289">
        <v>1.468E-2</v>
      </c>
      <c r="F289">
        <v>2.802E-2</v>
      </c>
      <c r="G289">
        <v>0.81159999999999999</v>
      </c>
      <c r="H289">
        <v>5.4820000000000002</v>
      </c>
      <c r="I289">
        <v>10001</v>
      </c>
      <c r="J289">
        <v>30000</v>
      </c>
    </row>
    <row r="290" spans="1:10" x14ac:dyDescent="0.25">
      <c r="B290" t="s">
        <v>673</v>
      </c>
      <c r="C290">
        <v>1.198</v>
      </c>
      <c r="D290">
        <v>1.4950000000000001</v>
      </c>
      <c r="E290">
        <v>1.022E-2</v>
      </c>
      <c r="F290">
        <v>1.9310000000000001E-2</v>
      </c>
      <c r="G290">
        <v>0.66239999999999999</v>
      </c>
      <c r="H290">
        <v>5.4530000000000003</v>
      </c>
      <c r="I290">
        <v>10001</v>
      </c>
      <c r="J290">
        <v>30000</v>
      </c>
    </row>
    <row r="291" spans="1:10" x14ac:dyDescent="0.25">
      <c r="B291" t="s">
        <v>674</v>
      </c>
      <c r="C291">
        <v>3.3</v>
      </c>
      <c r="D291">
        <v>1.728</v>
      </c>
      <c r="E291">
        <v>2.6790000000000001E-2</v>
      </c>
      <c r="F291">
        <v>1.19</v>
      </c>
      <c r="G291">
        <v>2.8879999999999999</v>
      </c>
      <c r="H291">
        <v>7.8630000000000004</v>
      </c>
      <c r="I291">
        <v>10001</v>
      </c>
      <c r="J291">
        <v>30000</v>
      </c>
    </row>
    <row r="292" spans="1:10" x14ac:dyDescent="0.25">
      <c r="B292" t="s">
        <v>675</v>
      </c>
      <c r="C292">
        <v>5.09</v>
      </c>
      <c r="D292">
        <v>1.746</v>
      </c>
      <c r="E292">
        <v>6.2170000000000003E-2</v>
      </c>
      <c r="F292">
        <v>2</v>
      </c>
      <c r="G292">
        <v>5</v>
      </c>
      <c r="H292">
        <v>8</v>
      </c>
      <c r="I292">
        <v>10001</v>
      </c>
      <c r="J292">
        <v>30000</v>
      </c>
    </row>
    <row r="293" spans="1:10" x14ac:dyDescent="0.25">
      <c r="B293" t="s">
        <v>676</v>
      </c>
      <c r="C293">
        <v>4.4569999999999999</v>
      </c>
      <c r="D293">
        <v>1.659</v>
      </c>
      <c r="E293">
        <v>5.2769999999999997E-2</v>
      </c>
      <c r="F293">
        <v>2</v>
      </c>
      <c r="G293">
        <v>4</v>
      </c>
      <c r="H293">
        <v>8</v>
      </c>
      <c r="I293">
        <v>10001</v>
      </c>
      <c r="J293">
        <v>30000</v>
      </c>
    </row>
    <row r="294" spans="1:10" x14ac:dyDescent="0.25">
      <c r="B294" t="s">
        <v>677</v>
      </c>
      <c r="C294">
        <v>3.5880000000000001</v>
      </c>
      <c r="D294">
        <v>1.776</v>
      </c>
      <c r="E294">
        <v>5.799E-2</v>
      </c>
      <c r="F294">
        <v>1</v>
      </c>
      <c r="G294">
        <v>3</v>
      </c>
      <c r="H294">
        <v>7</v>
      </c>
      <c r="I294">
        <v>10001</v>
      </c>
      <c r="J294">
        <v>30000</v>
      </c>
    </row>
    <row r="295" spans="1:10" x14ac:dyDescent="0.25">
      <c r="B295" t="s">
        <v>678</v>
      </c>
      <c r="C295">
        <v>3.9980000000000002</v>
      </c>
      <c r="D295">
        <v>2.242</v>
      </c>
      <c r="E295">
        <v>6.8229999999999999E-2</v>
      </c>
      <c r="F295">
        <v>1</v>
      </c>
      <c r="G295">
        <v>4</v>
      </c>
      <c r="H295">
        <v>9</v>
      </c>
      <c r="I295">
        <v>10001</v>
      </c>
      <c r="J295">
        <v>30000</v>
      </c>
    </row>
    <row r="296" spans="1:10" x14ac:dyDescent="0.25">
      <c r="B296" t="s">
        <v>679</v>
      </c>
      <c r="C296">
        <v>5.78</v>
      </c>
      <c r="D296">
        <v>2.9910000000000001</v>
      </c>
      <c r="E296">
        <v>9.5240000000000005E-2</v>
      </c>
      <c r="F296">
        <v>1</v>
      </c>
      <c r="G296">
        <v>6</v>
      </c>
      <c r="H296">
        <v>10</v>
      </c>
      <c r="I296">
        <v>10001</v>
      </c>
      <c r="J296">
        <v>30000</v>
      </c>
    </row>
    <row r="297" spans="1:10" x14ac:dyDescent="0.25">
      <c r="B297" t="s">
        <v>680</v>
      </c>
      <c r="C297">
        <v>6.6959999999999997</v>
      </c>
      <c r="D297">
        <v>3.5059999999999998</v>
      </c>
      <c r="E297">
        <v>0.1421</v>
      </c>
      <c r="F297">
        <v>1</v>
      </c>
      <c r="G297">
        <v>8</v>
      </c>
      <c r="H297">
        <v>10</v>
      </c>
      <c r="I297">
        <v>10001</v>
      </c>
      <c r="J297">
        <v>30000</v>
      </c>
    </row>
    <row r="298" spans="1:10" x14ac:dyDescent="0.25">
      <c r="B298" t="s">
        <v>681</v>
      </c>
      <c r="C298">
        <v>5.069</v>
      </c>
      <c r="D298">
        <v>3.78</v>
      </c>
      <c r="E298">
        <v>0.1613</v>
      </c>
      <c r="F298">
        <v>1</v>
      </c>
      <c r="G298">
        <v>4</v>
      </c>
      <c r="H298">
        <v>10</v>
      </c>
      <c r="I298">
        <v>10001</v>
      </c>
      <c r="J298">
        <v>30000</v>
      </c>
    </row>
    <row r="299" spans="1:10" x14ac:dyDescent="0.25">
      <c r="B299" t="s">
        <v>682</v>
      </c>
      <c r="C299">
        <v>7.7750000000000004</v>
      </c>
      <c r="D299">
        <v>2.5329999999999999</v>
      </c>
      <c r="E299">
        <v>9.5180000000000001E-2</v>
      </c>
      <c r="F299">
        <v>1</v>
      </c>
      <c r="G299">
        <v>9</v>
      </c>
      <c r="H299">
        <v>10</v>
      </c>
      <c r="I299">
        <v>10001</v>
      </c>
      <c r="J299">
        <v>30000</v>
      </c>
    </row>
    <row r="300" spans="1:10" x14ac:dyDescent="0.25">
      <c r="B300" t="s">
        <v>683</v>
      </c>
      <c r="C300">
        <v>4.726</v>
      </c>
      <c r="D300">
        <v>2.21</v>
      </c>
      <c r="E300">
        <v>7.492E-2</v>
      </c>
      <c r="F300">
        <v>1</v>
      </c>
      <c r="G300">
        <v>5</v>
      </c>
      <c r="H300">
        <v>9</v>
      </c>
      <c r="I300">
        <v>10001</v>
      </c>
      <c r="J300">
        <v>30000</v>
      </c>
    </row>
    <row r="301" spans="1:10" x14ac:dyDescent="0.25">
      <c r="B301" t="s">
        <v>684</v>
      </c>
      <c r="C301">
        <v>7.8230000000000004</v>
      </c>
      <c r="D301">
        <v>1.2909999999999999</v>
      </c>
      <c r="E301">
        <v>4.3369999999999999E-2</v>
      </c>
      <c r="F301">
        <v>5</v>
      </c>
      <c r="G301">
        <v>8</v>
      </c>
      <c r="H301">
        <v>10</v>
      </c>
      <c r="I301">
        <v>10001</v>
      </c>
      <c r="J301">
        <v>30000</v>
      </c>
    </row>
    <row r="302" spans="1:10" x14ac:dyDescent="0.25">
      <c r="B302" t="s">
        <v>768</v>
      </c>
      <c r="C302">
        <v>0.24379999999999999</v>
      </c>
      <c r="D302">
        <v>0.19420000000000001</v>
      </c>
      <c r="E302">
        <v>7.8600000000000007E-3</v>
      </c>
      <c r="F302">
        <v>9.9410000000000002E-3</v>
      </c>
      <c r="G302">
        <v>0.2006</v>
      </c>
      <c r="H302">
        <v>0.71499999999999997</v>
      </c>
      <c r="I302">
        <v>10001</v>
      </c>
      <c r="J302">
        <v>30000</v>
      </c>
    </row>
    <row r="303" spans="1:10" x14ac:dyDescent="0.25">
      <c r="B303" t="s">
        <v>685</v>
      </c>
      <c r="C303">
        <v>59.64</v>
      </c>
      <c r="D303">
        <v>9.5850000000000009</v>
      </c>
      <c r="E303">
        <v>0.1555</v>
      </c>
      <c r="F303">
        <v>42.82</v>
      </c>
      <c r="G303">
        <v>59.02</v>
      </c>
      <c r="H303">
        <v>80.180000000000007</v>
      </c>
      <c r="I303">
        <v>10001</v>
      </c>
      <c r="J303">
        <v>30000</v>
      </c>
    </row>
    <row r="304" spans="1:10" x14ac:dyDescent="0.25">
      <c r="A304" t="s">
        <v>686</v>
      </c>
    </row>
    <row r="306" spans="1:5" x14ac:dyDescent="0.25">
      <c r="A306" t="s">
        <v>687</v>
      </c>
    </row>
    <row r="307" spans="1:5" x14ac:dyDescent="0.25">
      <c r="A307" t="s">
        <v>688</v>
      </c>
    </row>
    <row r="308" spans="1:5" x14ac:dyDescent="0.25">
      <c r="B308" t="s">
        <v>689</v>
      </c>
      <c r="C308" t="s">
        <v>690</v>
      </c>
      <c r="D308" t="s">
        <v>691</v>
      </c>
      <c r="E308" t="s">
        <v>687</v>
      </c>
    </row>
    <row r="309" spans="1:5" x14ac:dyDescent="0.25">
      <c r="A309" t="s">
        <v>692</v>
      </c>
      <c r="B309">
        <v>239.32900000000001</v>
      </c>
      <c r="C309">
        <v>197.41399999999999</v>
      </c>
      <c r="D309">
        <v>41.914999999999999</v>
      </c>
      <c r="E309">
        <v>281.24400000000003</v>
      </c>
    </row>
    <row r="310" spans="1:5" x14ac:dyDescent="0.25">
      <c r="A310" t="s">
        <v>693</v>
      </c>
      <c r="B310">
        <v>239.32900000000001</v>
      </c>
      <c r="C310">
        <v>197.41399999999999</v>
      </c>
      <c r="D310">
        <v>41.914999999999999</v>
      </c>
      <c r="E310">
        <v>281.24400000000003</v>
      </c>
    </row>
    <row r="311" spans="1:5" x14ac:dyDescent="0.25">
      <c r="A311" t="s">
        <v>694</v>
      </c>
    </row>
    <row r="313" spans="1:5" x14ac:dyDescent="0.25">
      <c r="A313" t="s">
        <v>695</v>
      </c>
    </row>
    <row r="315" spans="1:5" x14ac:dyDescent="0.25">
      <c r="A315" t="s">
        <v>696</v>
      </c>
    </row>
    <row r="317" spans="1:5" x14ac:dyDescent="0.25">
      <c r="A317" t="s">
        <v>697</v>
      </c>
    </row>
    <row r="319" spans="1:5" x14ac:dyDescent="0.25">
      <c r="A319" t="s">
        <v>849</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19"/>
  <sheetViews>
    <sheetView showGridLines="0" topLeftCell="A31" workbookViewId="0">
      <selection activeCell="L16" sqref="L16"/>
    </sheetView>
  </sheetViews>
  <sheetFormatPr defaultRowHeight="15" x14ac:dyDescent="0.25"/>
  <sheetData>
    <row r="1" spans="1:1" hidden="1" x14ac:dyDescent="0.25">
      <c r="A1" t="s">
        <v>395</v>
      </c>
    </row>
    <row r="2" spans="1:1" hidden="1" x14ac:dyDescent="0.25">
      <c r="A2" t="s">
        <v>762</v>
      </c>
    </row>
    <row r="3" spans="1:1" hidden="1" x14ac:dyDescent="0.25">
      <c r="A3" t="s">
        <v>397</v>
      </c>
    </row>
    <row r="4" spans="1:1" hidden="1" x14ac:dyDescent="0.25">
      <c r="A4" t="s">
        <v>398</v>
      </c>
    </row>
    <row r="5" spans="1:1" hidden="1" x14ac:dyDescent="0.25">
      <c r="A5" t="s">
        <v>399</v>
      </c>
    </row>
    <row r="6" spans="1:1" hidden="1" x14ac:dyDescent="0.25">
      <c r="A6" t="s">
        <v>400</v>
      </c>
    </row>
    <row r="7" spans="1:1" hidden="1" x14ac:dyDescent="0.25">
      <c r="A7" t="s">
        <v>399</v>
      </c>
    </row>
    <row r="8" spans="1:1" hidden="1" x14ac:dyDescent="0.25">
      <c r="A8" t="s">
        <v>21</v>
      </c>
    </row>
    <row r="9" spans="1:1" hidden="1" x14ac:dyDescent="0.25">
      <c r="A9" t="s">
        <v>401</v>
      </c>
    </row>
    <row r="10" spans="1:1" hidden="1" x14ac:dyDescent="0.25">
      <c r="A10" t="s">
        <v>763</v>
      </c>
    </row>
    <row r="11" spans="1:1" hidden="1" x14ac:dyDescent="0.25">
      <c r="A11" t="s">
        <v>764</v>
      </c>
    </row>
    <row r="12" spans="1:1" hidden="1" x14ac:dyDescent="0.25">
      <c r="A12" t="s">
        <v>765</v>
      </c>
    </row>
    <row r="13" spans="1:1" hidden="1" x14ac:dyDescent="0.25">
      <c r="A13" t="s">
        <v>764</v>
      </c>
    </row>
    <row r="14" spans="1:1" hidden="1" x14ac:dyDescent="0.25">
      <c r="A14" t="s">
        <v>766</v>
      </c>
    </row>
    <row r="15" spans="1:1" hidden="1" x14ac:dyDescent="0.25">
      <c r="A15" t="s">
        <v>764</v>
      </c>
    </row>
    <row r="16" spans="1:1" hidden="1" x14ac:dyDescent="0.25">
      <c r="A16" t="s">
        <v>23</v>
      </c>
    </row>
    <row r="17" spans="1:1" hidden="1" x14ac:dyDescent="0.25">
      <c r="A17" t="s">
        <v>767</v>
      </c>
    </row>
    <row r="18" spans="1:1" hidden="1" x14ac:dyDescent="0.25">
      <c r="A18" t="s">
        <v>779</v>
      </c>
    </row>
    <row r="19" spans="1:1" hidden="1" x14ac:dyDescent="0.25">
      <c r="A19" t="s">
        <v>402</v>
      </c>
    </row>
    <row r="20" spans="1:1" hidden="1" x14ac:dyDescent="0.25">
      <c r="A20" t="s">
        <v>403</v>
      </c>
    </row>
    <row r="21" spans="1:1" hidden="1" x14ac:dyDescent="0.25">
      <c r="A21" t="s">
        <v>404</v>
      </c>
    </row>
    <row r="22" spans="1:1" hidden="1" x14ac:dyDescent="0.25">
      <c r="A22" t="s">
        <v>405</v>
      </c>
    </row>
    <row r="23" spans="1:1" hidden="1" x14ac:dyDescent="0.25">
      <c r="A23" t="s">
        <v>406</v>
      </c>
    </row>
    <row r="24" spans="1:1" hidden="1" x14ac:dyDescent="0.25">
      <c r="A24" t="s">
        <v>407</v>
      </c>
    </row>
    <row r="25" spans="1:1" hidden="1" x14ac:dyDescent="0.25">
      <c r="A25" t="s">
        <v>408</v>
      </c>
    </row>
    <row r="26" spans="1:1" hidden="1" x14ac:dyDescent="0.25">
      <c r="A26" t="s">
        <v>197</v>
      </c>
    </row>
    <row r="27" spans="1:1" hidden="1" x14ac:dyDescent="0.25">
      <c r="A27" t="s">
        <v>199</v>
      </c>
    </row>
    <row r="28" spans="1:1" hidden="1" x14ac:dyDescent="0.25">
      <c r="A28" t="s">
        <v>261</v>
      </c>
    </row>
    <row r="29" spans="1:1" hidden="1" x14ac:dyDescent="0.25">
      <c r="A29" t="s">
        <v>779</v>
      </c>
    </row>
    <row r="30" spans="1:1" hidden="1" x14ac:dyDescent="0.25">
      <c r="A30" t="s">
        <v>396</v>
      </c>
    </row>
    <row r="32" spans="1:1" x14ac:dyDescent="0.25">
      <c r="A32" t="s">
        <v>409</v>
      </c>
    </row>
    <row r="33" spans="2:10" x14ac:dyDescent="0.25">
      <c r="B33" t="s">
        <v>410</v>
      </c>
      <c r="C33" t="s">
        <v>411</v>
      </c>
      <c r="D33" t="s">
        <v>412</v>
      </c>
      <c r="E33" t="s">
        <v>413</v>
      </c>
      <c r="F33" s="12">
        <v>2.5000000000000001E-2</v>
      </c>
      <c r="G33" t="s">
        <v>414</v>
      </c>
      <c r="H33" s="12">
        <v>0.97499999999999998</v>
      </c>
      <c r="I33" t="s">
        <v>415</v>
      </c>
      <c r="J33" t="s">
        <v>416</v>
      </c>
    </row>
    <row r="34" spans="2:10" x14ac:dyDescent="0.25">
      <c r="B34" t="s">
        <v>417</v>
      </c>
      <c r="C34">
        <v>0.93220000000000003</v>
      </c>
      <c r="D34">
        <v>0.26250000000000001</v>
      </c>
      <c r="E34">
        <v>1.116E-2</v>
      </c>
      <c r="F34">
        <v>0.505</v>
      </c>
      <c r="G34">
        <v>0.90380000000000005</v>
      </c>
      <c r="H34">
        <v>1.536</v>
      </c>
      <c r="I34">
        <v>10001</v>
      </c>
      <c r="J34">
        <v>30000</v>
      </c>
    </row>
    <row r="35" spans="2:10" x14ac:dyDescent="0.25">
      <c r="B35" t="s">
        <v>418</v>
      </c>
      <c r="C35">
        <v>0.85099999999999998</v>
      </c>
      <c r="D35">
        <v>0.30980000000000002</v>
      </c>
      <c r="E35">
        <v>1.3089999999999999E-2</v>
      </c>
      <c r="F35">
        <v>0.38169999999999998</v>
      </c>
      <c r="G35">
        <v>0.80740000000000001</v>
      </c>
      <c r="H35">
        <v>1.6140000000000001</v>
      </c>
      <c r="I35">
        <v>10001</v>
      </c>
      <c r="J35">
        <v>30000</v>
      </c>
    </row>
    <row r="36" spans="2:10" x14ac:dyDescent="0.25">
      <c r="B36" t="s">
        <v>419</v>
      </c>
      <c r="C36">
        <v>0.89370000000000005</v>
      </c>
      <c r="D36">
        <v>0.39</v>
      </c>
      <c r="E36">
        <v>1.4189999999999999E-2</v>
      </c>
      <c r="F36">
        <v>0.35780000000000001</v>
      </c>
      <c r="G36">
        <v>0.81699999999999995</v>
      </c>
      <c r="H36">
        <v>1.867</v>
      </c>
      <c r="I36">
        <v>10001</v>
      </c>
      <c r="J36">
        <v>30000</v>
      </c>
    </row>
    <row r="37" spans="2:10" x14ac:dyDescent="0.25">
      <c r="B37" t="s">
        <v>420</v>
      </c>
      <c r="C37">
        <v>1.528</v>
      </c>
      <c r="D37">
        <v>1.3879999999999999</v>
      </c>
      <c r="E37">
        <v>5.314E-2</v>
      </c>
      <c r="F37">
        <v>0.24590000000000001</v>
      </c>
      <c r="G37">
        <v>1.155</v>
      </c>
      <c r="H37">
        <v>5.1340000000000003</v>
      </c>
      <c r="I37">
        <v>10001</v>
      </c>
      <c r="J37">
        <v>30000</v>
      </c>
    </row>
    <row r="38" spans="2:10" x14ac:dyDescent="0.25">
      <c r="B38" t="s">
        <v>421</v>
      </c>
      <c r="C38">
        <v>21.55</v>
      </c>
      <c r="D38">
        <v>129.30000000000001</v>
      </c>
      <c r="E38">
        <v>6.5469999999999997</v>
      </c>
      <c r="F38">
        <v>0.1103</v>
      </c>
      <c r="G38">
        <v>1.8660000000000001</v>
      </c>
      <c r="H38">
        <v>116.1</v>
      </c>
      <c r="I38">
        <v>10001</v>
      </c>
      <c r="J38">
        <v>30000</v>
      </c>
    </row>
    <row r="39" spans="2:10" x14ac:dyDescent="0.25">
      <c r="B39" t="s">
        <v>422</v>
      </c>
      <c r="C39">
        <v>3.3210000000000002</v>
      </c>
      <c r="D39">
        <v>11.69</v>
      </c>
      <c r="E39">
        <v>0.46239999999999998</v>
      </c>
      <c r="F39">
        <v>2.657E-2</v>
      </c>
      <c r="G39">
        <v>0.75380000000000003</v>
      </c>
      <c r="H39">
        <v>25.57</v>
      </c>
      <c r="I39">
        <v>10001</v>
      </c>
      <c r="J39">
        <v>30000</v>
      </c>
    </row>
    <row r="40" spans="2:10" x14ac:dyDescent="0.25">
      <c r="B40" t="s">
        <v>423</v>
      </c>
      <c r="C40">
        <v>3.1120000000000001</v>
      </c>
      <c r="D40">
        <v>4.5110000000000001</v>
      </c>
      <c r="E40">
        <v>0.19450000000000001</v>
      </c>
      <c r="F40">
        <v>0.45100000000000001</v>
      </c>
      <c r="G40">
        <v>2.024</v>
      </c>
      <c r="H40">
        <v>11.83</v>
      </c>
      <c r="I40">
        <v>10001</v>
      </c>
      <c r="J40">
        <v>30000</v>
      </c>
    </row>
    <row r="41" spans="2:10" x14ac:dyDescent="0.25">
      <c r="B41" t="s">
        <v>424</v>
      </c>
      <c r="C41">
        <v>0.99629999999999996</v>
      </c>
      <c r="D41">
        <v>0.35899999999999999</v>
      </c>
      <c r="E41">
        <v>1.4590000000000001E-2</v>
      </c>
      <c r="F41">
        <v>0.45810000000000001</v>
      </c>
      <c r="G41">
        <v>0.94240000000000002</v>
      </c>
      <c r="H41">
        <v>1.804</v>
      </c>
      <c r="I41">
        <v>10001</v>
      </c>
      <c r="J41">
        <v>30000</v>
      </c>
    </row>
    <row r="42" spans="2:10" x14ac:dyDescent="0.25">
      <c r="B42" t="s">
        <v>425</v>
      </c>
      <c r="C42">
        <v>1.64</v>
      </c>
      <c r="D42">
        <v>0.4622</v>
      </c>
      <c r="E42">
        <v>1.822E-2</v>
      </c>
      <c r="F42">
        <v>0.91749999999999998</v>
      </c>
      <c r="G42">
        <v>1.5780000000000001</v>
      </c>
      <c r="H42">
        <v>2.7120000000000002</v>
      </c>
      <c r="I42">
        <v>10001</v>
      </c>
      <c r="J42">
        <v>30000</v>
      </c>
    </row>
    <row r="43" spans="2:10" x14ac:dyDescent="0.25">
      <c r="B43" t="s">
        <v>426</v>
      </c>
      <c r="C43">
        <v>0.94320000000000004</v>
      </c>
      <c r="D43">
        <v>0.33029999999999998</v>
      </c>
      <c r="E43">
        <v>1.371E-2</v>
      </c>
      <c r="F43">
        <v>0.45019999999999999</v>
      </c>
      <c r="G43">
        <v>0.89419999999999999</v>
      </c>
      <c r="H43">
        <v>1.732</v>
      </c>
      <c r="I43">
        <v>10001</v>
      </c>
      <c r="J43">
        <v>30000</v>
      </c>
    </row>
    <row r="44" spans="2:10" x14ac:dyDescent="0.25">
      <c r="B44" t="s">
        <v>427</v>
      </c>
      <c r="C44">
        <v>1.0029999999999999</v>
      </c>
      <c r="D44">
        <v>0.45390000000000003</v>
      </c>
      <c r="E44">
        <v>1.687E-2</v>
      </c>
      <c r="F44">
        <v>0.38129999999999997</v>
      </c>
      <c r="G44">
        <v>0.91839999999999999</v>
      </c>
      <c r="H44">
        <v>2.1389999999999998</v>
      </c>
      <c r="I44">
        <v>10001</v>
      </c>
      <c r="J44">
        <v>30000</v>
      </c>
    </row>
    <row r="45" spans="2:10" x14ac:dyDescent="0.25">
      <c r="B45" t="s">
        <v>428</v>
      </c>
      <c r="C45">
        <v>1.649</v>
      </c>
      <c r="D45">
        <v>1.4019999999999999</v>
      </c>
      <c r="E45">
        <v>5.1650000000000001E-2</v>
      </c>
      <c r="F45">
        <v>0.31490000000000001</v>
      </c>
      <c r="G45">
        <v>1.306</v>
      </c>
      <c r="H45">
        <v>5.1609999999999996</v>
      </c>
      <c r="I45">
        <v>10001</v>
      </c>
      <c r="J45">
        <v>30000</v>
      </c>
    </row>
    <row r="46" spans="2:10" x14ac:dyDescent="0.25">
      <c r="B46" t="s">
        <v>429</v>
      </c>
      <c r="C46">
        <v>21.18</v>
      </c>
      <c r="D46">
        <v>117.3</v>
      </c>
      <c r="E46">
        <v>5.883</v>
      </c>
      <c r="F46">
        <v>0.1176</v>
      </c>
      <c r="G46">
        <v>2.089</v>
      </c>
      <c r="H46">
        <v>139.5</v>
      </c>
      <c r="I46">
        <v>10001</v>
      </c>
      <c r="J46">
        <v>30000</v>
      </c>
    </row>
    <row r="47" spans="2:10" x14ac:dyDescent="0.25">
      <c r="B47" t="s">
        <v>430</v>
      </c>
      <c r="C47">
        <v>3.6970000000000001</v>
      </c>
      <c r="D47">
        <v>14.62</v>
      </c>
      <c r="E47">
        <v>0.55549999999999999</v>
      </c>
      <c r="F47">
        <v>3.0679999999999999E-2</v>
      </c>
      <c r="G47">
        <v>0.85470000000000002</v>
      </c>
      <c r="H47">
        <v>27.76</v>
      </c>
      <c r="I47">
        <v>10001</v>
      </c>
      <c r="J47">
        <v>30000</v>
      </c>
    </row>
    <row r="48" spans="2:10" x14ac:dyDescent="0.25">
      <c r="B48" t="s">
        <v>431</v>
      </c>
      <c r="C48">
        <v>3.3879999999999999</v>
      </c>
      <c r="D48">
        <v>5.2519999999999998</v>
      </c>
      <c r="E48">
        <v>0.21240000000000001</v>
      </c>
      <c r="F48">
        <v>0.55100000000000005</v>
      </c>
      <c r="G48">
        <v>2.2549999999999999</v>
      </c>
      <c r="H48">
        <v>12.85</v>
      </c>
      <c r="I48">
        <v>10001</v>
      </c>
      <c r="J48">
        <v>30000</v>
      </c>
    </row>
    <row r="49" spans="2:10" x14ac:dyDescent="0.25">
      <c r="B49" t="s">
        <v>432</v>
      </c>
      <c r="C49">
        <v>1.1279999999999999</v>
      </c>
      <c r="D49">
        <v>0.46210000000000001</v>
      </c>
      <c r="E49">
        <v>1.8180000000000002E-2</v>
      </c>
      <c r="F49">
        <v>0.4728</v>
      </c>
      <c r="G49">
        <v>1.0429999999999999</v>
      </c>
      <c r="H49">
        <v>2.2269999999999999</v>
      </c>
      <c r="I49">
        <v>10001</v>
      </c>
      <c r="J49">
        <v>30000</v>
      </c>
    </row>
    <row r="50" spans="2:10" x14ac:dyDescent="0.25">
      <c r="B50" t="s">
        <v>433</v>
      </c>
      <c r="C50">
        <v>1.8360000000000001</v>
      </c>
      <c r="D50">
        <v>0.54010000000000002</v>
      </c>
      <c r="E50">
        <v>2.1170000000000001E-2</v>
      </c>
      <c r="F50">
        <v>0.99819999999999998</v>
      </c>
      <c r="G50">
        <v>1.7609999999999999</v>
      </c>
      <c r="H50">
        <v>3.0579999999999998</v>
      </c>
      <c r="I50">
        <v>10001</v>
      </c>
      <c r="J50">
        <v>30000</v>
      </c>
    </row>
    <row r="51" spans="2:10" x14ac:dyDescent="0.25">
      <c r="B51" t="s">
        <v>434</v>
      </c>
      <c r="C51">
        <v>1.099</v>
      </c>
      <c r="D51">
        <v>0.42080000000000001</v>
      </c>
      <c r="E51">
        <v>1.4930000000000001E-2</v>
      </c>
      <c r="F51">
        <v>0.49330000000000002</v>
      </c>
      <c r="G51">
        <v>1.03</v>
      </c>
      <c r="H51">
        <v>2.1110000000000002</v>
      </c>
      <c r="I51">
        <v>10001</v>
      </c>
      <c r="J51">
        <v>30000</v>
      </c>
    </row>
    <row r="52" spans="2:10" x14ac:dyDescent="0.25">
      <c r="B52" t="s">
        <v>435</v>
      </c>
      <c r="C52">
        <v>1.9530000000000001</v>
      </c>
      <c r="D52">
        <v>1.8129999999999999</v>
      </c>
      <c r="E52">
        <v>6.6780000000000006E-2</v>
      </c>
      <c r="F52">
        <v>0.31209999999999999</v>
      </c>
      <c r="G52">
        <v>1.4379999999999999</v>
      </c>
      <c r="H52">
        <v>6.9809999999999999</v>
      </c>
      <c r="I52">
        <v>10001</v>
      </c>
      <c r="J52">
        <v>30000</v>
      </c>
    </row>
    <row r="53" spans="2:10" x14ac:dyDescent="0.25">
      <c r="B53" t="s">
        <v>436</v>
      </c>
      <c r="C53">
        <v>26.16</v>
      </c>
      <c r="D53">
        <v>164.7</v>
      </c>
      <c r="E53">
        <v>8.3040000000000003</v>
      </c>
      <c r="F53">
        <v>0.15540000000000001</v>
      </c>
      <c r="G53">
        <v>2.2999999999999998</v>
      </c>
      <c r="H53">
        <v>136.19999999999999</v>
      </c>
      <c r="I53">
        <v>10001</v>
      </c>
      <c r="J53">
        <v>30000</v>
      </c>
    </row>
    <row r="54" spans="2:10" x14ac:dyDescent="0.25">
      <c r="B54" t="s">
        <v>437</v>
      </c>
      <c r="C54">
        <v>4.3600000000000003</v>
      </c>
      <c r="D54">
        <v>17.54</v>
      </c>
      <c r="E54">
        <v>0.64570000000000005</v>
      </c>
      <c r="F54">
        <v>3.175E-2</v>
      </c>
      <c r="G54">
        <v>0.97919999999999996</v>
      </c>
      <c r="H54">
        <v>31.88</v>
      </c>
      <c r="I54">
        <v>10001</v>
      </c>
      <c r="J54">
        <v>30000</v>
      </c>
    </row>
    <row r="55" spans="2:10" x14ac:dyDescent="0.25">
      <c r="B55" t="s">
        <v>438</v>
      </c>
      <c r="C55">
        <v>3.964</v>
      </c>
      <c r="D55">
        <v>5.9790000000000001</v>
      </c>
      <c r="E55">
        <v>0.245</v>
      </c>
      <c r="F55">
        <v>0.56089999999999995</v>
      </c>
      <c r="G55">
        <v>2.5590000000000002</v>
      </c>
      <c r="H55">
        <v>15.7</v>
      </c>
      <c r="I55">
        <v>10001</v>
      </c>
      <c r="J55">
        <v>30000</v>
      </c>
    </row>
    <row r="56" spans="2:10" x14ac:dyDescent="0.25">
      <c r="B56" t="s">
        <v>439</v>
      </c>
      <c r="C56">
        <v>1.2789999999999999</v>
      </c>
      <c r="D56">
        <v>0.56179999999999997</v>
      </c>
      <c r="E56">
        <v>2.3109999999999999E-2</v>
      </c>
      <c r="F56">
        <v>0.53290000000000004</v>
      </c>
      <c r="G56">
        <v>1.1539999999999999</v>
      </c>
      <c r="H56">
        <v>2.68</v>
      </c>
      <c r="I56">
        <v>10001</v>
      </c>
      <c r="J56">
        <v>30000</v>
      </c>
    </row>
    <row r="57" spans="2:10" x14ac:dyDescent="0.25">
      <c r="B57" t="s">
        <v>440</v>
      </c>
      <c r="C57">
        <v>2.1059999999999999</v>
      </c>
      <c r="D57">
        <v>0.76749999999999996</v>
      </c>
      <c r="E57">
        <v>3.1300000000000001E-2</v>
      </c>
      <c r="F57">
        <v>1.002</v>
      </c>
      <c r="G57">
        <v>1.972</v>
      </c>
      <c r="H57">
        <v>3.93</v>
      </c>
      <c r="I57">
        <v>10001</v>
      </c>
      <c r="J57">
        <v>30000</v>
      </c>
    </row>
    <row r="58" spans="2:10" x14ac:dyDescent="0.25">
      <c r="B58" t="s">
        <v>441</v>
      </c>
      <c r="C58">
        <v>1.968</v>
      </c>
      <c r="D58">
        <v>1.9670000000000001</v>
      </c>
      <c r="E58">
        <v>7.1459999999999996E-2</v>
      </c>
      <c r="F58">
        <v>0.26769999999999999</v>
      </c>
      <c r="G58">
        <v>1.413</v>
      </c>
      <c r="H58">
        <v>7.133</v>
      </c>
      <c r="I58">
        <v>10001</v>
      </c>
      <c r="J58">
        <v>30000</v>
      </c>
    </row>
    <row r="59" spans="2:10" x14ac:dyDescent="0.25">
      <c r="B59" t="s">
        <v>442</v>
      </c>
      <c r="C59">
        <v>25.12</v>
      </c>
      <c r="D59">
        <v>146</v>
      </c>
      <c r="E59">
        <v>7.1429999999999998</v>
      </c>
      <c r="F59">
        <v>0.15079999999999999</v>
      </c>
      <c r="G59">
        <v>2.2450000000000001</v>
      </c>
      <c r="H59">
        <v>152.1</v>
      </c>
      <c r="I59">
        <v>10001</v>
      </c>
      <c r="J59">
        <v>30000</v>
      </c>
    </row>
    <row r="60" spans="2:10" x14ac:dyDescent="0.25">
      <c r="B60" t="s">
        <v>443</v>
      </c>
      <c r="C60">
        <v>4.25</v>
      </c>
      <c r="D60">
        <v>16.579999999999998</v>
      </c>
      <c r="E60">
        <v>0.62529999999999997</v>
      </c>
      <c r="F60">
        <v>2.8930000000000001E-2</v>
      </c>
      <c r="G60">
        <v>0.93920000000000003</v>
      </c>
      <c r="H60">
        <v>30.23</v>
      </c>
      <c r="I60">
        <v>10001</v>
      </c>
      <c r="J60">
        <v>30000</v>
      </c>
    </row>
    <row r="61" spans="2:10" x14ac:dyDescent="0.25">
      <c r="B61" t="s">
        <v>444</v>
      </c>
      <c r="C61">
        <v>3.9860000000000002</v>
      </c>
      <c r="D61">
        <v>5.9089999999999998</v>
      </c>
      <c r="E61">
        <v>0.23580000000000001</v>
      </c>
      <c r="F61">
        <v>0.51370000000000005</v>
      </c>
      <c r="G61">
        <v>2.4500000000000002</v>
      </c>
      <c r="H61">
        <v>16.809999999999999</v>
      </c>
      <c r="I61">
        <v>10001</v>
      </c>
      <c r="J61">
        <v>30000</v>
      </c>
    </row>
    <row r="62" spans="2:10" x14ac:dyDescent="0.25">
      <c r="B62" t="s">
        <v>445</v>
      </c>
      <c r="C62">
        <v>1.3</v>
      </c>
      <c r="D62">
        <v>0.7117</v>
      </c>
      <c r="E62">
        <v>2.708E-2</v>
      </c>
      <c r="F62">
        <v>0.43099999999999999</v>
      </c>
      <c r="G62">
        <v>1.141</v>
      </c>
      <c r="H62">
        <v>3.1070000000000002</v>
      </c>
      <c r="I62">
        <v>10001</v>
      </c>
      <c r="J62">
        <v>30000</v>
      </c>
    </row>
    <row r="63" spans="2:10" x14ac:dyDescent="0.25">
      <c r="B63" t="s">
        <v>446</v>
      </c>
      <c r="C63">
        <v>2.1280000000000001</v>
      </c>
      <c r="D63">
        <v>0.98309999999999997</v>
      </c>
      <c r="E63">
        <v>3.5229999999999997E-2</v>
      </c>
      <c r="F63">
        <v>0.81720000000000004</v>
      </c>
      <c r="G63">
        <v>1.9330000000000001</v>
      </c>
      <c r="H63">
        <v>4.5990000000000002</v>
      </c>
      <c r="I63">
        <v>10001</v>
      </c>
      <c r="J63">
        <v>30000</v>
      </c>
    </row>
    <row r="64" spans="2:10" x14ac:dyDescent="0.25">
      <c r="B64" t="s">
        <v>447</v>
      </c>
      <c r="C64">
        <v>16.38</v>
      </c>
      <c r="D64">
        <v>75.8</v>
      </c>
      <c r="E64">
        <v>3.6560000000000001</v>
      </c>
      <c r="F64">
        <v>6.6089999999999996E-2</v>
      </c>
      <c r="G64">
        <v>1.7430000000000001</v>
      </c>
      <c r="H64">
        <v>160.1</v>
      </c>
      <c r="I64">
        <v>10001</v>
      </c>
      <c r="J64">
        <v>30000</v>
      </c>
    </row>
    <row r="65" spans="2:10" x14ac:dyDescent="0.25">
      <c r="B65" t="s">
        <v>448</v>
      </c>
      <c r="C65">
        <v>3.5649999999999999</v>
      </c>
      <c r="D65">
        <v>16.63</v>
      </c>
      <c r="E65">
        <v>0.56830000000000003</v>
      </c>
      <c r="F65">
        <v>1.898E-2</v>
      </c>
      <c r="G65">
        <v>0.66510000000000002</v>
      </c>
      <c r="H65">
        <v>25.82</v>
      </c>
      <c r="I65">
        <v>10001</v>
      </c>
      <c r="J65">
        <v>30000</v>
      </c>
    </row>
    <row r="66" spans="2:10" x14ac:dyDescent="0.25">
      <c r="B66" t="s">
        <v>449</v>
      </c>
      <c r="C66">
        <v>3.2669999999999999</v>
      </c>
      <c r="D66">
        <v>4.9909999999999997</v>
      </c>
      <c r="E66">
        <v>0.1832</v>
      </c>
      <c r="F66">
        <v>0.22070000000000001</v>
      </c>
      <c r="G66">
        <v>1.8089999999999999</v>
      </c>
      <c r="H66">
        <v>15.09</v>
      </c>
      <c r="I66">
        <v>10001</v>
      </c>
      <c r="J66">
        <v>30000</v>
      </c>
    </row>
    <row r="67" spans="2:10" x14ac:dyDescent="0.25">
      <c r="B67" t="s">
        <v>450</v>
      </c>
      <c r="C67">
        <v>1.119</v>
      </c>
      <c r="D67">
        <v>1.012</v>
      </c>
      <c r="E67">
        <v>3.5139999999999998E-2</v>
      </c>
      <c r="F67">
        <v>0.16450000000000001</v>
      </c>
      <c r="G67">
        <v>0.80689999999999995</v>
      </c>
      <c r="H67">
        <v>3.831</v>
      </c>
      <c r="I67">
        <v>10001</v>
      </c>
      <c r="J67">
        <v>30000</v>
      </c>
    </row>
    <row r="68" spans="2:10" x14ac:dyDescent="0.25">
      <c r="B68" t="s">
        <v>451</v>
      </c>
      <c r="C68">
        <v>1.8280000000000001</v>
      </c>
      <c r="D68">
        <v>1.6080000000000001</v>
      </c>
      <c r="E68">
        <v>5.6730000000000003E-2</v>
      </c>
      <c r="F68">
        <v>0.31719999999999998</v>
      </c>
      <c r="G68">
        <v>1.347</v>
      </c>
      <c r="H68">
        <v>6.2880000000000003</v>
      </c>
      <c r="I68">
        <v>10001</v>
      </c>
      <c r="J68">
        <v>30000</v>
      </c>
    </row>
    <row r="69" spans="2:10" x14ac:dyDescent="0.25">
      <c r="B69" t="s">
        <v>452</v>
      </c>
      <c r="C69">
        <v>6.0250000000000004</v>
      </c>
      <c r="D69">
        <v>46.42</v>
      </c>
      <c r="E69">
        <v>1.4379999999999999</v>
      </c>
      <c r="F69">
        <v>1.557E-3</v>
      </c>
      <c r="G69">
        <v>0.36009999999999998</v>
      </c>
      <c r="H69">
        <v>37.51</v>
      </c>
      <c r="I69">
        <v>10001</v>
      </c>
      <c r="J69">
        <v>30000</v>
      </c>
    </row>
    <row r="70" spans="2:10" x14ac:dyDescent="0.25">
      <c r="B70" t="s">
        <v>453</v>
      </c>
      <c r="C70">
        <v>3.9889999999999999</v>
      </c>
      <c r="D70">
        <v>11.56</v>
      </c>
      <c r="E70">
        <v>0.40920000000000001</v>
      </c>
      <c r="F70">
        <v>1.15E-2</v>
      </c>
      <c r="G70">
        <v>1.1120000000000001</v>
      </c>
      <c r="H70">
        <v>26.82</v>
      </c>
      <c r="I70">
        <v>10001</v>
      </c>
      <c r="J70">
        <v>30000</v>
      </c>
    </row>
    <row r="71" spans="2:10" x14ac:dyDescent="0.25">
      <c r="B71" t="s">
        <v>454</v>
      </c>
      <c r="C71">
        <v>1.4019999999999999</v>
      </c>
      <c r="D71">
        <v>3.0710000000000002</v>
      </c>
      <c r="E71">
        <v>0.13930000000000001</v>
      </c>
      <c r="F71">
        <v>7.7390000000000002E-3</v>
      </c>
      <c r="G71">
        <v>0.49519999999999997</v>
      </c>
      <c r="H71">
        <v>9.2119999999999997</v>
      </c>
      <c r="I71">
        <v>10001</v>
      </c>
      <c r="J71">
        <v>30000</v>
      </c>
    </row>
    <row r="72" spans="2:10" x14ac:dyDescent="0.25">
      <c r="B72" t="s">
        <v>455</v>
      </c>
      <c r="C72">
        <v>2.2799999999999998</v>
      </c>
      <c r="D72">
        <v>4.8390000000000004</v>
      </c>
      <c r="E72">
        <v>0.21540000000000001</v>
      </c>
      <c r="F72">
        <v>1.277E-2</v>
      </c>
      <c r="G72">
        <v>0.83989999999999998</v>
      </c>
      <c r="H72">
        <v>15.87</v>
      </c>
      <c r="I72">
        <v>10001</v>
      </c>
      <c r="J72">
        <v>30000</v>
      </c>
    </row>
    <row r="73" spans="2:10" x14ac:dyDescent="0.25">
      <c r="B73" t="s">
        <v>456</v>
      </c>
      <c r="C73">
        <v>23.52</v>
      </c>
      <c r="D73">
        <v>144.30000000000001</v>
      </c>
      <c r="E73">
        <v>6.5919999999999996</v>
      </c>
      <c r="F73">
        <v>7.6069999999999999E-2</v>
      </c>
      <c r="G73">
        <v>2.7130000000000001</v>
      </c>
      <c r="H73">
        <v>144.6</v>
      </c>
      <c r="I73">
        <v>10001</v>
      </c>
      <c r="J73">
        <v>30000</v>
      </c>
    </row>
    <row r="74" spans="2:10" x14ac:dyDescent="0.25">
      <c r="B74" t="s">
        <v>457</v>
      </c>
      <c r="C74">
        <v>5.923</v>
      </c>
      <c r="D74">
        <v>21.92</v>
      </c>
      <c r="E74">
        <v>1.03</v>
      </c>
      <c r="F74">
        <v>3.6110000000000003E-2</v>
      </c>
      <c r="G74">
        <v>1.194</v>
      </c>
      <c r="H74">
        <v>39.86</v>
      </c>
      <c r="I74">
        <v>10001</v>
      </c>
      <c r="J74">
        <v>30000</v>
      </c>
    </row>
    <row r="75" spans="2:10" x14ac:dyDescent="0.25">
      <c r="B75" t="s">
        <v>458</v>
      </c>
      <c r="C75">
        <v>9.9250000000000007</v>
      </c>
      <c r="D75">
        <v>37.78</v>
      </c>
      <c r="E75">
        <v>1.738</v>
      </c>
      <c r="F75">
        <v>6.3079999999999997E-2</v>
      </c>
      <c r="G75">
        <v>2.0409999999999999</v>
      </c>
      <c r="H75">
        <v>65.27</v>
      </c>
      <c r="I75">
        <v>10001</v>
      </c>
      <c r="J75">
        <v>30000</v>
      </c>
    </row>
    <row r="76" spans="2:10" x14ac:dyDescent="0.25">
      <c r="B76" t="s">
        <v>459</v>
      </c>
      <c r="C76">
        <v>0.62490000000000001</v>
      </c>
      <c r="D76">
        <v>0.59279999999999999</v>
      </c>
      <c r="E76">
        <v>2.375E-2</v>
      </c>
      <c r="F76">
        <v>7.1249999999999994E-2</v>
      </c>
      <c r="G76">
        <v>0.46389999999999998</v>
      </c>
      <c r="H76">
        <v>2.113</v>
      </c>
      <c r="I76">
        <v>10001</v>
      </c>
      <c r="J76">
        <v>30000</v>
      </c>
    </row>
    <row r="77" spans="2:10" x14ac:dyDescent="0.25">
      <c r="B77" t="s">
        <v>460</v>
      </c>
      <c r="C77">
        <v>1.0149999999999999</v>
      </c>
      <c r="D77">
        <v>0.88480000000000003</v>
      </c>
      <c r="E77">
        <v>3.6360000000000003E-2</v>
      </c>
      <c r="F77">
        <v>0.12759999999999999</v>
      </c>
      <c r="G77">
        <v>0.7863</v>
      </c>
      <c r="H77">
        <v>3.2639999999999998</v>
      </c>
      <c r="I77">
        <v>10001</v>
      </c>
      <c r="J77">
        <v>30000</v>
      </c>
    </row>
    <row r="78" spans="2:10" x14ac:dyDescent="0.25">
      <c r="B78" t="s">
        <v>461</v>
      </c>
      <c r="C78">
        <v>1.778</v>
      </c>
      <c r="D78">
        <v>0.59060000000000001</v>
      </c>
      <c r="E78">
        <v>2.383E-2</v>
      </c>
      <c r="F78">
        <v>0.88619999999999999</v>
      </c>
      <c r="G78">
        <v>1.68</v>
      </c>
      <c r="H78">
        <v>3.1680000000000001</v>
      </c>
      <c r="I78">
        <v>10001</v>
      </c>
      <c r="J78">
        <v>30000</v>
      </c>
    </row>
    <row r="79" spans="2:10" x14ac:dyDescent="0.25">
      <c r="B79" t="s">
        <v>462</v>
      </c>
      <c r="C79">
        <v>0.5373</v>
      </c>
      <c r="D79">
        <v>0.19450000000000001</v>
      </c>
      <c r="E79">
        <v>8.0529999999999994E-3</v>
      </c>
      <c r="F79">
        <v>0.22220000000000001</v>
      </c>
      <c r="G79">
        <v>0.55559999999999998</v>
      </c>
      <c r="H79">
        <v>0.88890000000000002</v>
      </c>
      <c r="I79">
        <v>10001</v>
      </c>
      <c r="J79">
        <v>30000</v>
      </c>
    </row>
    <row r="80" spans="2:10" x14ac:dyDescent="0.25">
      <c r="B80" t="s">
        <v>463</v>
      </c>
      <c r="C80">
        <v>0.62719999999999998</v>
      </c>
      <c r="D80">
        <v>0.1852</v>
      </c>
      <c r="E80">
        <v>6.9059999999999998E-3</v>
      </c>
      <c r="F80">
        <v>0.22220000000000001</v>
      </c>
      <c r="G80">
        <v>0.66669999999999996</v>
      </c>
      <c r="H80">
        <v>1</v>
      </c>
      <c r="I80">
        <v>10001</v>
      </c>
      <c r="J80">
        <v>30000</v>
      </c>
    </row>
    <row r="81" spans="2:10" x14ac:dyDescent="0.25">
      <c r="B81" t="s">
        <v>464</v>
      </c>
      <c r="C81">
        <v>0.70099999999999996</v>
      </c>
      <c r="D81">
        <v>0.20050000000000001</v>
      </c>
      <c r="E81">
        <v>7.927E-3</v>
      </c>
      <c r="F81">
        <v>0.22220000000000001</v>
      </c>
      <c r="G81">
        <v>0.77780000000000005</v>
      </c>
      <c r="H81">
        <v>1</v>
      </c>
      <c r="I81">
        <v>10001</v>
      </c>
      <c r="J81">
        <v>30000</v>
      </c>
    </row>
    <row r="82" spans="2:10" x14ac:dyDescent="0.25">
      <c r="B82" t="s">
        <v>465</v>
      </c>
      <c r="C82">
        <v>0.6673</v>
      </c>
      <c r="D82">
        <v>0.2394</v>
      </c>
      <c r="E82">
        <v>8.2170000000000003E-3</v>
      </c>
      <c r="F82">
        <v>0.22220000000000001</v>
      </c>
      <c r="G82">
        <v>0.66669999999999996</v>
      </c>
      <c r="H82">
        <v>1</v>
      </c>
      <c r="I82">
        <v>10001</v>
      </c>
      <c r="J82">
        <v>30000</v>
      </c>
    </row>
    <row r="83" spans="2:10" x14ac:dyDescent="0.25">
      <c r="B83" t="s">
        <v>466</v>
      </c>
      <c r="C83">
        <v>0.47270000000000001</v>
      </c>
      <c r="D83">
        <v>0.32819999999999999</v>
      </c>
      <c r="E83">
        <v>1.1780000000000001E-2</v>
      </c>
      <c r="F83">
        <v>0</v>
      </c>
      <c r="G83">
        <v>0.44440000000000002</v>
      </c>
      <c r="H83">
        <v>1</v>
      </c>
      <c r="I83">
        <v>10001</v>
      </c>
      <c r="J83">
        <v>30000</v>
      </c>
    </row>
    <row r="84" spans="2:10" x14ac:dyDescent="0.25">
      <c r="B84" t="s">
        <v>467</v>
      </c>
      <c r="C84">
        <v>0.35360000000000003</v>
      </c>
      <c r="D84">
        <v>0.39019999999999999</v>
      </c>
      <c r="E84">
        <v>1.804E-2</v>
      </c>
      <c r="F84">
        <v>0</v>
      </c>
      <c r="G84">
        <v>0.22220000000000001</v>
      </c>
      <c r="H84">
        <v>1</v>
      </c>
      <c r="I84">
        <v>10001</v>
      </c>
      <c r="J84">
        <v>30000</v>
      </c>
    </row>
    <row r="85" spans="2:10" x14ac:dyDescent="0.25">
      <c r="B85" t="s">
        <v>468</v>
      </c>
      <c r="C85">
        <v>0.58940000000000003</v>
      </c>
      <c r="D85">
        <v>0.41420000000000001</v>
      </c>
      <c r="E85">
        <v>0.02</v>
      </c>
      <c r="F85">
        <v>0</v>
      </c>
      <c r="G85">
        <v>0.77780000000000005</v>
      </c>
      <c r="H85">
        <v>1</v>
      </c>
      <c r="I85">
        <v>10001</v>
      </c>
      <c r="J85">
        <v>30000</v>
      </c>
    </row>
    <row r="86" spans="2:10" x14ac:dyDescent="0.25">
      <c r="B86" t="s">
        <v>469</v>
      </c>
      <c r="C86">
        <v>0.23449999999999999</v>
      </c>
      <c r="D86">
        <v>0.27050000000000002</v>
      </c>
      <c r="E86">
        <v>1.146E-2</v>
      </c>
      <c r="F86">
        <v>0</v>
      </c>
      <c r="G86">
        <v>0.1111</v>
      </c>
      <c r="H86">
        <v>1</v>
      </c>
      <c r="I86">
        <v>10001</v>
      </c>
      <c r="J86">
        <v>30000</v>
      </c>
    </row>
    <row r="87" spans="2:10" x14ac:dyDescent="0.25">
      <c r="B87" t="s">
        <v>470</v>
      </c>
      <c r="C87">
        <v>0.59019999999999995</v>
      </c>
      <c r="D87">
        <v>0.23830000000000001</v>
      </c>
      <c r="E87">
        <v>9.3410000000000003E-3</v>
      </c>
      <c r="F87">
        <v>0.1111</v>
      </c>
      <c r="G87">
        <v>0.55559999999999998</v>
      </c>
      <c r="H87">
        <v>1</v>
      </c>
      <c r="I87">
        <v>10001</v>
      </c>
      <c r="J87">
        <v>30000</v>
      </c>
    </row>
    <row r="88" spans="2:10" x14ac:dyDescent="0.25">
      <c r="B88" t="s">
        <v>471</v>
      </c>
      <c r="C88">
        <v>0.22689999999999999</v>
      </c>
      <c r="D88">
        <v>0.13439999999999999</v>
      </c>
      <c r="E88">
        <v>5.1339999999999997E-3</v>
      </c>
      <c r="F88">
        <v>0</v>
      </c>
      <c r="G88">
        <v>0.22220000000000001</v>
      </c>
      <c r="H88">
        <v>0.55559999999999998</v>
      </c>
      <c r="I88">
        <v>10001</v>
      </c>
      <c r="J88">
        <v>30000</v>
      </c>
    </row>
    <row r="89" spans="2:10" x14ac:dyDescent="0.25">
      <c r="B89" t="s">
        <v>472</v>
      </c>
      <c r="C89">
        <v>1.6129999999999999E-2</v>
      </c>
      <c r="D89">
        <v>0.126</v>
      </c>
      <c r="E89">
        <v>3.7000000000000002E-3</v>
      </c>
      <c r="F89">
        <v>0</v>
      </c>
      <c r="G89">
        <v>0</v>
      </c>
      <c r="H89">
        <v>0</v>
      </c>
      <c r="I89">
        <v>10001</v>
      </c>
      <c r="J89">
        <v>30000</v>
      </c>
    </row>
    <row r="90" spans="2:10" x14ac:dyDescent="0.25">
      <c r="B90" t="s">
        <v>473</v>
      </c>
      <c r="C90">
        <v>2.7300000000000001E-2</v>
      </c>
      <c r="D90">
        <v>0.16300000000000001</v>
      </c>
      <c r="E90">
        <v>3.9170000000000003E-3</v>
      </c>
      <c r="F90">
        <v>0</v>
      </c>
      <c r="G90">
        <v>0</v>
      </c>
      <c r="H90">
        <v>1</v>
      </c>
      <c r="I90">
        <v>10001</v>
      </c>
      <c r="J90">
        <v>30000</v>
      </c>
    </row>
    <row r="91" spans="2:10" x14ac:dyDescent="0.25">
      <c r="B91" t="s">
        <v>474</v>
      </c>
      <c r="C91">
        <v>8.8700000000000001E-2</v>
      </c>
      <c r="D91">
        <v>0.2843</v>
      </c>
      <c r="E91">
        <v>8.829E-3</v>
      </c>
      <c r="F91">
        <v>0</v>
      </c>
      <c r="G91">
        <v>0</v>
      </c>
      <c r="H91">
        <v>1</v>
      </c>
      <c r="I91">
        <v>10001</v>
      </c>
      <c r="J91">
        <v>30000</v>
      </c>
    </row>
    <row r="92" spans="2:10" x14ac:dyDescent="0.25">
      <c r="B92" t="s">
        <v>475</v>
      </c>
      <c r="C92">
        <v>0.1114</v>
      </c>
      <c r="D92">
        <v>0.31459999999999999</v>
      </c>
      <c r="E92">
        <v>9.4020000000000006E-3</v>
      </c>
      <c r="F92">
        <v>0</v>
      </c>
      <c r="G92">
        <v>0</v>
      </c>
      <c r="H92">
        <v>1</v>
      </c>
      <c r="I92">
        <v>10001</v>
      </c>
      <c r="J92">
        <v>30000</v>
      </c>
    </row>
    <row r="93" spans="2:10" x14ac:dyDescent="0.25">
      <c r="B93" t="s">
        <v>476</v>
      </c>
      <c r="C93">
        <v>0.10489999999999999</v>
      </c>
      <c r="D93">
        <v>0.30649999999999999</v>
      </c>
      <c r="E93">
        <v>9.8320000000000005E-3</v>
      </c>
      <c r="F93">
        <v>0</v>
      </c>
      <c r="G93">
        <v>0</v>
      </c>
      <c r="H93">
        <v>1</v>
      </c>
      <c r="I93">
        <v>10001</v>
      </c>
      <c r="J93">
        <v>30000</v>
      </c>
    </row>
    <row r="94" spans="2:10" x14ac:dyDescent="0.25">
      <c r="B94" t="s">
        <v>477</v>
      </c>
      <c r="C94">
        <v>0.15609999999999999</v>
      </c>
      <c r="D94">
        <v>0.36299999999999999</v>
      </c>
      <c r="E94">
        <v>1.468E-2</v>
      </c>
      <c r="F94">
        <v>0</v>
      </c>
      <c r="G94">
        <v>0</v>
      </c>
      <c r="H94">
        <v>1</v>
      </c>
      <c r="I94">
        <v>10001</v>
      </c>
      <c r="J94">
        <v>30000</v>
      </c>
    </row>
    <row r="95" spans="2:10" x14ac:dyDescent="0.25">
      <c r="B95" t="s">
        <v>478</v>
      </c>
      <c r="C95">
        <v>0.39629999999999999</v>
      </c>
      <c r="D95">
        <v>0.48909999999999998</v>
      </c>
      <c r="E95">
        <v>2.239E-2</v>
      </c>
      <c r="F95">
        <v>0</v>
      </c>
      <c r="G95">
        <v>0</v>
      </c>
      <c r="H95">
        <v>1</v>
      </c>
      <c r="I95">
        <v>10001</v>
      </c>
      <c r="J95">
        <v>30000</v>
      </c>
    </row>
    <row r="96" spans="2:10" x14ac:dyDescent="0.25">
      <c r="B96" t="s">
        <v>479</v>
      </c>
      <c r="C96">
        <v>3.1699999999999999E-2</v>
      </c>
      <c r="D96">
        <v>0.17519999999999999</v>
      </c>
      <c r="E96">
        <v>6.4180000000000001E-3</v>
      </c>
      <c r="F96">
        <v>0</v>
      </c>
      <c r="G96">
        <v>0</v>
      </c>
      <c r="H96">
        <v>1</v>
      </c>
      <c r="I96">
        <v>10001</v>
      </c>
      <c r="J96">
        <v>30000</v>
      </c>
    </row>
    <row r="97" spans="2:10" x14ac:dyDescent="0.25">
      <c r="B97" t="s">
        <v>480</v>
      </c>
      <c r="C97">
        <v>6.7470000000000002E-2</v>
      </c>
      <c r="D97">
        <v>0.25080000000000002</v>
      </c>
      <c r="E97">
        <v>7.8359999999999992E-3</v>
      </c>
      <c r="F97">
        <v>0</v>
      </c>
      <c r="G97">
        <v>0</v>
      </c>
      <c r="H97">
        <v>1</v>
      </c>
      <c r="I97">
        <v>10001</v>
      </c>
      <c r="J97">
        <v>30000</v>
      </c>
    </row>
    <row r="98" spans="2:10" x14ac:dyDescent="0.25">
      <c r="B98" t="s">
        <v>481</v>
      </c>
      <c r="C98">
        <v>0</v>
      </c>
      <c r="D98">
        <v>0</v>
      </c>
      <c r="E98" s="13">
        <v>3.333E-13</v>
      </c>
      <c r="F98">
        <v>0</v>
      </c>
      <c r="G98">
        <v>0</v>
      </c>
      <c r="H98">
        <v>0</v>
      </c>
      <c r="I98">
        <v>10001</v>
      </c>
      <c r="J98">
        <v>30000</v>
      </c>
    </row>
    <row r="99" spans="2:10" x14ac:dyDescent="0.25">
      <c r="B99" t="s">
        <v>482</v>
      </c>
      <c r="C99">
        <v>0.85799999999999998</v>
      </c>
      <c r="D99">
        <v>1.1319999999999999</v>
      </c>
      <c r="E99">
        <v>1.7590000000000001E-2</v>
      </c>
      <c r="F99" s="13">
        <v>9.6900000000000003E-4</v>
      </c>
      <c r="G99">
        <v>0.42170000000000002</v>
      </c>
      <c r="H99">
        <v>4.0030000000000001</v>
      </c>
      <c r="I99">
        <v>10001</v>
      </c>
      <c r="J99">
        <v>30000</v>
      </c>
    </row>
    <row r="100" spans="2:10" x14ac:dyDescent="0.25">
      <c r="B100" t="s">
        <v>483</v>
      </c>
      <c r="C100">
        <v>0.81569999999999998</v>
      </c>
      <c r="D100">
        <v>1.157</v>
      </c>
      <c r="E100">
        <v>1.1339999999999999E-2</v>
      </c>
      <c r="F100" s="13">
        <v>8.6640000000000003E-4</v>
      </c>
      <c r="G100">
        <v>0.37319999999999998</v>
      </c>
      <c r="H100">
        <v>4.0860000000000003</v>
      </c>
      <c r="I100">
        <v>10001</v>
      </c>
      <c r="J100">
        <v>30000</v>
      </c>
    </row>
    <row r="101" spans="2:10" x14ac:dyDescent="0.25">
      <c r="B101" t="s">
        <v>484</v>
      </c>
      <c r="C101">
        <v>0.80449999999999999</v>
      </c>
      <c r="D101">
        <v>1.137</v>
      </c>
      <c r="E101">
        <v>1.397E-2</v>
      </c>
      <c r="F101" s="13">
        <v>7.1389999999999995E-4</v>
      </c>
      <c r="G101">
        <v>0.36549999999999999</v>
      </c>
      <c r="H101">
        <v>4.0229999999999997</v>
      </c>
      <c r="I101">
        <v>10001</v>
      </c>
      <c r="J101">
        <v>30000</v>
      </c>
    </row>
    <row r="102" spans="2:10" x14ac:dyDescent="0.25">
      <c r="B102" t="s">
        <v>485</v>
      </c>
      <c r="C102">
        <v>0.89700000000000002</v>
      </c>
      <c r="D102">
        <v>1.23</v>
      </c>
      <c r="E102">
        <v>1.933E-2</v>
      </c>
      <c r="F102" s="13">
        <v>9.5790000000000003E-4</v>
      </c>
      <c r="G102">
        <v>0.42299999999999999</v>
      </c>
      <c r="H102">
        <v>4.3849999999999998</v>
      </c>
      <c r="I102">
        <v>10001</v>
      </c>
      <c r="J102">
        <v>30000</v>
      </c>
    </row>
    <row r="103" spans="2:10" x14ac:dyDescent="0.25">
      <c r="B103" t="s">
        <v>486</v>
      </c>
      <c r="C103">
        <v>0.98370000000000002</v>
      </c>
      <c r="D103">
        <v>1.345</v>
      </c>
      <c r="E103">
        <v>2.2009999999999998E-2</v>
      </c>
      <c r="F103" s="13">
        <v>9.4339999999999995E-4</v>
      </c>
      <c r="G103">
        <v>0.46079999999999999</v>
      </c>
      <c r="H103">
        <v>4.7510000000000003</v>
      </c>
      <c r="I103">
        <v>10001</v>
      </c>
      <c r="J103">
        <v>30000</v>
      </c>
    </row>
    <row r="104" spans="2:10" x14ac:dyDescent="0.25">
      <c r="B104" t="s">
        <v>487</v>
      </c>
      <c r="C104">
        <v>0.87619999999999998</v>
      </c>
      <c r="D104">
        <v>1.24</v>
      </c>
      <c r="E104">
        <v>1.576E-2</v>
      </c>
      <c r="F104" s="13">
        <v>9.4780000000000005E-4</v>
      </c>
      <c r="G104">
        <v>0.40079999999999999</v>
      </c>
      <c r="H104">
        <v>4.4119999999999999</v>
      </c>
      <c r="I104">
        <v>10001</v>
      </c>
      <c r="J104">
        <v>30000</v>
      </c>
    </row>
    <row r="105" spans="2:10" x14ac:dyDescent="0.25">
      <c r="B105" t="s">
        <v>488</v>
      </c>
      <c r="C105">
        <v>0.5927</v>
      </c>
      <c r="D105">
        <v>0.85329999999999995</v>
      </c>
      <c r="E105">
        <v>8.4930000000000005E-3</v>
      </c>
      <c r="F105" s="13">
        <v>5.9349999999999995E-4</v>
      </c>
      <c r="G105">
        <v>0.26429999999999998</v>
      </c>
      <c r="H105">
        <v>3.0649999999999999</v>
      </c>
      <c r="I105">
        <v>10001</v>
      </c>
      <c r="J105">
        <v>30000</v>
      </c>
    </row>
    <row r="106" spans="2:10" x14ac:dyDescent="0.25">
      <c r="B106" t="s">
        <v>489</v>
      </c>
      <c r="C106">
        <v>0.93400000000000005</v>
      </c>
      <c r="D106">
        <v>1.224</v>
      </c>
      <c r="E106">
        <v>1.0670000000000001E-2</v>
      </c>
      <c r="F106">
        <v>1.083E-3</v>
      </c>
      <c r="G106">
        <v>0.46929999999999999</v>
      </c>
      <c r="H106">
        <v>4.3179999999999996</v>
      </c>
      <c r="I106">
        <v>10001</v>
      </c>
      <c r="J106">
        <v>30000</v>
      </c>
    </row>
    <row r="107" spans="2:10" x14ac:dyDescent="0.25">
      <c r="B107" t="s">
        <v>490</v>
      </c>
      <c r="C107">
        <v>0.61660000000000004</v>
      </c>
      <c r="D107">
        <v>0.9032</v>
      </c>
      <c r="E107">
        <v>8.9960000000000005E-3</v>
      </c>
      <c r="F107" s="13">
        <v>5.6249999999999996E-4</v>
      </c>
      <c r="G107">
        <v>0.27110000000000001</v>
      </c>
      <c r="H107">
        <v>3.1880000000000002</v>
      </c>
      <c r="I107">
        <v>10001</v>
      </c>
      <c r="J107">
        <v>30000</v>
      </c>
    </row>
    <row r="108" spans="2:10" x14ac:dyDescent="0.25">
      <c r="B108" t="s">
        <v>491</v>
      </c>
      <c r="C108">
        <v>0.94359999999999999</v>
      </c>
      <c r="D108">
        <v>1.2170000000000001</v>
      </c>
      <c r="E108">
        <v>1.14E-2</v>
      </c>
      <c r="F108">
        <v>1.1050000000000001E-3</v>
      </c>
      <c r="G108">
        <v>0.4849</v>
      </c>
      <c r="H108">
        <v>4.3310000000000004</v>
      </c>
      <c r="I108">
        <v>10001</v>
      </c>
      <c r="J108">
        <v>30000</v>
      </c>
    </row>
    <row r="109" spans="2:10" x14ac:dyDescent="0.25">
      <c r="B109" t="s">
        <v>492</v>
      </c>
      <c r="C109">
        <v>0.76229999999999998</v>
      </c>
      <c r="D109">
        <v>1.08</v>
      </c>
      <c r="E109">
        <v>1.268E-2</v>
      </c>
      <c r="F109" s="13">
        <v>7.5279999999999998E-4</v>
      </c>
      <c r="G109">
        <v>0.34100000000000003</v>
      </c>
      <c r="H109">
        <v>3.8759999999999999</v>
      </c>
      <c r="I109">
        <v>10001</v>
      </c>
      <c r="J109">
        <v>30000</v>
      </c>
    </row>
    <row r="110" spans="2:10" x14ac:dyDescent="0.25">
      <c r="B110" t="s">
        <v>493</v>
      </c>
      <c r="C110">
        <v>0.84319999999999995</v>
      </c>
      <c r="D110">
        <v>1.165</v>
      </c>
      <c r="E110">
        <v>1.755E-2</v>
      </c>
      <c r="F110" s="13">
        <v>7.0339999999999997E-4</v>
      </c>
      <c r="G110">
        <v>0.38640000000000002</v>
      </c>
      <c r="H110">
        <v>4.1239999999999997</v>
      </c>
      <c r="I110">
        <v>10001</v>
      </c>
      <c r="J110">
        <v>30000</v>
      </c>
    </row>
    <row r="111" spans="2:10" x14ac:dyDescent="0.25">
      <c r="B111" t="s">
        <v>494</v>
      </c>
      <c r="C111">
        <v>1.2470000000000001</v>
      </c>
      <c r="D111">
        <v>1.1659999999999999</v>
      </c>
      <c r="E111">
        <v>2.853E-2</v>
      </c>
      <c r="F111">
        <v>8.634E-2</v>
      </c>
      <c r="G111">
        <v>0.90100000000000002</v>
      </c>
      <c r="H111">
        <v>4.3550000000000004</v>
      </c>
      <c r="I111">
        <v>10001</v>
      </c>
      <c r="J111">
        <v>30000</v>
      </c>
    </row>
    <row r="112" spans="2:10" x14ac:dyDescent="0.25">
      <c r="B112" t="s">
        <v>495</v>
      </c>
      <c r="C112">
        <v>1.409</v>
      </c>
      <c r="D112">
        <v>1.8280000000000001</v>
      </c>
      <c r="E112">
        <v>1.9199999999999998E-2</v>
      </c>
      <c r="F112">
        <v>1.513E-3</v>
      </c>
      <c r="G112">
        <v>0.71350000000000002</v>
      </c>
      <c r="H112">
        <v>6.5220000000000002</v>
      </c>
      <c r="I112">
        <v>10001</v>
      </c>
      <c r="J112">
        <v>30000</v>
      </c>
    </row>
    <row r="113" spans="2:10" x14ac:dyDescent="0.25">
      <c r="B113" t="s">
        <v>496</v>
      </c>
      <c r="C113">
        <v>1.006</v>
      </c>
      <c r="D113">
        <v>1.1879999999999999</v>
      </c>
      <c r="E113">
        <v>1.478E-2</v>
      </c>
      <c r="F113">
        <v>1.624E-3</v>
      </c>
      <c r="G113">
        <v>0.5897</v>
      </c>
      <c r="H113">
        <v>4.2380000000000004</v>
      </c>
      <c r="I113">
        <v>10001</v>
      </c>
      <c r="J113">
        <v>30000</v>
      </c>
    </row>
    <row r="114" spans="2:10" x14ac:dyDescent="0.25">
      <c r="B114" t="s">
        <v>497</v>
      </c>
      <c r="C114">
        <v>1.2330000000000001</v>
      </c>
      <c r="D114">
        <v>1.5620000000000001</v>
      </c>
      <c r="E114">
        <v>1.397E-2</v>
      </c>
      <c r="F114">
        <v>1.6149999999999999E-3</v>
      </c>
      <c r="G114">
        <v>0.64580000000000004</v>
      </c>
      <c r="H114">
        <v>5.6280000000000001</v>
      </c>
      <c r="I114">
        <v>10001</v>
      </c>
      <c r="J114">
        <v>30000</v>
      </c>
    </row>
    <row r="115" spans="2:10" x14ac:dyDescent="0.25">
      <c r="B115" t="s">
        <v>498</v>
      </c>
      <c r="C115">
        <v>1.2270000000000001</v>
      </c>
      <c r="D115">
        <v>1.744</v>
      </c>
      <c r="E115">
        <v>6.0220000000000003E-2</v>
      </c>
      <c r="F115">
        <v>1.325E-3</v>
      </c>
      <c r="G115">
        <v>0.57450000000000001</v>
      </c>
      <c r="H115">
        <v>6.0540000000000003</v>
      </c>
      <c r="I115">
        <v>10001</v>
      </c>
      <c r="J115">
        <v>30000</v>
      </c>
    </row>
    <row r="116" spans="2:10" x14ac:dyDescent="0.25">
      <c r="B116" t="s">
        <v>499</v>
      </c>
      <c r="C116">
        <v>0.91559999999999997</v>
      </c>
      <c r="D116">
        <v>1.2949999999999999</v>
      </c>
      <c r="E116">
        <v>1.6729999999999998E-2</v>
      </c>
      <c r="F116" s="13">
        <v>9.6449999999999997E-4</v>
      </c>
      <c r="G116">
        <v>0.42199999999999999</v>
      </c>
      <c r="H116">
        <v>4.6059999999999999</v>
      </c>
      <c r="I116">
        <v>10001</v>
      </c>
      <c r="J116">
        <v>30000</v>
      </c>
    </row>
    <row r="117" spans="2:10" x14ac:dyDescent="0.25">
      <c r="B117" t="s">
        <v>500</v>
      </c>
      <c r="C117">
        <v>1.048</v>
      </c>
      <c r="D117">
        <v>1.5</v>
      </c>
      <c r="E117">
        <v>3.1579999999999997E-2</v>
      </c>
      <c r="F117">
        <v>1.0970000000000001E-3</v>
      </c>
      <c r="G117">
        <v>0.46829999999999999</v>
      </c>
      <c r="H117">
        <v>5.383</v>
      </c>
      <c r="I117">
        <v>10001</v>
      </c>
      <c r="J117">
        <v>30000</v>
      </c>
    </row>
    <row r="118" spans="2:10" x14ac:dyDescent="0.25">
      <c r="B118" t="s">
        <v>501</v>
      </c>
      <c r="C118">
        <v>1.038</v>
      </c>
      <c r="D118">
        <v>1.456</v>
      </c>
      <c r="E118">
        <v>2.2890000000000001E-2</v>
      </c>
      <c r="F118" s="13">
        <v>9.5600000000000004E-4</v>
      </c>
      <c r="G118">
        <v>0.47099999999999997</v>
      </c>
      <c r="H118">
        <v>5.2359999999999998</v>
      </c>
      <c r="I118">
        <v>10001</v>
      </c>
      <c r="J118">
        <v>30000</v>
      </c>
    </row>
    <row r="119" spans="2:10" x14ac:dyDescent="0.25">
      <c r="B119" t="s">
        <v>502</v>
      </c>
      <c r="C119">
        <v>0.67230000000000001</v>
      </c>
      <c r="D119">
        <v>0.89490000000000003</v>
      </c>
      <c r="E119">
        <v>1.042E-2</v>
      </c>
      <c r="F119" s="13">
        <v>7.3839999999999995E-4</v>
      </c>
      <c r="G119">
        <v>0.33300000000000002</v>
      </c>
      <c r="H119">
        <v>3.2210000000000001</v>
      </c>
      <c r="I119">
        <v>10001</v>
      </c>
      <c r="J119">
        <v>30000</v>
      </c>
    </row>
    <row r="120" spans="2:10" x14ac:dyDescent="0.25">
      <c r="B120" t="s">
        <v>503</v>
      </c>
      <c r="C120">
        <v>0.69399999999999995</v>
      </c>
      <c r="D120">
        <v>0.98309999999999997</v>
      </c>
      <c r="E120">
        <v>7.4009999999999996E-3</v>
      </c>
      <c r="F120" s="13">
        <v>6.6989999999999997E-4</v>
      </c>
      <c r="G120">
        <v>0.31559999999999999</v>
      </c>
      <c r="H120">
        <v>3.4980000000000002</v>
      </c>
      <c r="I120">
        <v>10001</v>
      </c>
      <c r="J120">
        <v>30000</v>
      </c>
    </row>
    <row r="121" spans="2:10" x14ac:dyDescent="0.25">
      <c r="B121" t="s">
        <v>504</v>
      </c>
      <c r="C121">
        <v>1.0249999999999999</v>
      </c>
      <c r="D121">
        <v>1.405</v>
      </c>
      <c r="E121">
        <v>4.1250000000000002E-2</v>
      </c>
      <c r="F121">
        <v>1.026E-3</v>
      </c>
      <c r="G121">
        <v>0.47449999999999998</v>
      </c>
      <c r="H121">
        <v>5.0860000000000003</v>
      </c>
      <c r="I121">
        <v>10001</v>
      </c>
      <c r="J121">
        <v>30000</v>
      </c>
    </row>
    <row r="122" spans="2:10" x14ac:dyDescent="0.25">
      <c r="B122" t="s">
        <v>505</v>
      </c>
      <c r="C122">
        <v>1.1519999999999999</v>
      </c>
      <c r="D122">
        <v>1.5289999999999999</v>
      </c>
      <c r="E122">
        <v>5.219E-2</v>
      </c>
      <c r="F122">
        <v>1.158E-3</v>
      </c>
      <c r="G122">
        <v>0.55410000000000004</v>
      </c>
      <c r="H122">
        <v>5.5149999999999997</v>
      </c>
      <c r="I122">
        <v>10001</v>
      </c>
      <c r="J122">
        <v>30000</v>
      </c>
    </row>
    <row r="123" spans="2:10" x14ac:dyDescent="0.25">
      <c r="B123" t="s">
        <v>506</v>
      </c>
      <c r="C123">
        <v>1.0409999999999999</v>
      </c>
      <c r="D123">
        <v>1.36</v>
      </c>
      <c r="E123">
        <v>2.1839999999999998E-2</v>
      </c>
      <c r="F123">
        <v>1.2130000000000001E-3</v>
      </c>
      <c r="G123">
        <v>0.52990000000000004</v>
      </c>
      <c r="H123">
        <v>4.9359999999999999</v>
      </c>
      <c r="I123">
        <v>10001</v>
      </c>
      <c r="J123">
        <v>30000</v>
      </c>
    </row>
    <row r="124" spans="2:10" x14ac:dyDescent="0.25">
      <c r="B124" t="s">
        <v>507</v>
      </c>
      <c r="C124">
        <v>1.341</v>
      </c>
      <c r="D124">
        <v>1.635</v>
      </c>
      <c r="E124">
        <v>2.6970000000000001E-2</v>
      </c>
      <c r="F124">
        <v>1.7290000000000001E-3</v>
      </c>
      <c r="G124">
        <v>0.73980000000000001</v>
      </c>
      <c r="H124">
        <v>5.89</v>
      </c>
      <c r="I124">
        <v>10001</v>
      </c>
      <c r="J124">
        <v>30000</v>
      </c>
    </row>
    <row r="125" spans="2:10" x14ac:dyDescent="0.25">
      <c r="B125" t="s">
        <v>508</v>
      </c>
      <c r="C125">
        <v>0.81710000000000005</v>
      </c>
      <c r="D125">
        <v>1.109</v>
      </c>
      <c r="E125">
        <v>1.6910000000000001E-2</v>
      </c>
      <c r="F125" s="13">
        <v>7.8439999999999998E-4</v>
      </c>
      <c r="G125">
        <v>0.39360000000000001</v>
      </c>
      <c r="H125">
        <v>3.9119999999999999</v>
      </c>
      <c r="I125">
        <v>10001</v>
      </c>
      <c r="J125">
        <v>30000</v>
      </c>
    </row>
    <row r="126" spans="2:10" x14ac:dyDescent="0.25">
      <c r="B126" t="s">
        <v>509</v>
      </c>
      <c r="C126">
        <v>1.006</v>
      </c>
      <c r="D126">
        <v>1.3480000000000001</v>
      </c>
      <c r="E126">
        <v>1.559E-2</v>
      </c>
      <c r="F126">
        <v>1.0499999999999999E-3</v>
      </c>
      <c r="G126">
        <v>0.4899</v>
      </c>
      <c r="H126">
        <v>4.8179999999999996</v>
      </c>
      <c r="I126">
        <v>10001</v>
      </c>
      <c r="J126">
        <v>30000</v>
      </c>
    </row>
    <row r="127" spans="2:10" x14ac:dyDescent="0.25">
      <c r="B127" t="s">
        <v>510</v>
      </c>
      <c r="C127">
        <v>0.70069999999999999</v>
      </c>
      <c r="D127">
        <v>0.96689999999999998</v>
      </c>
      <c r="E127">
        <v>1.0970000000000001E-2</v>
      </c>
      <c r="F127" s="13">
        <v>7.5469999999999997E-4</v>
      </c>
      <c r="G127">
        <v>0.32750000000000001</v>
      </c>
      <c r="H127">
        <v>3.4470000000000001</v>
      </c>
      <c r="I127">
        <v>10001</v>
      </c>
      <c r="J127">
        <v>30000</v>
      </c>
    </row>
    <row r="128" spans="2:10" x14ac:dyDescent="0.25">
      <c r="B128" t="s">
        <v>511</v>
      </c>
      <c r="C128">
        <v>0.99339999999999995</v>
      </c>
      <c r="D128">
        <v>1.32</v>
      </c>
      <c r="E128">
        <v>1.076E-2</v>
      </c>
      <c r="F128">
        <v>1.1180000000000001E-3</v>
      </c>
      <c r="G128">
        <v>0.48880000000000001</v>
      </c>
      <c r="H128">
        <v>4.7009999999999996</v>
      </c>
      <c r="I128">
        <v>10001</v>
      </c>
      <c r="J128">
        <v>30000</v>
      </c>
    </row>
    <row r="129" spans="2:10" x14ac:dyDescent="0.25">
      <c r="B129" t="s">
        <v>512</v>
      </c>
      <c r="C129">
        <v>0.59289999999999998</v>
      </c>
      <c r="D129">
        <v>0.85419999999999996</v>
      </c>
      <c r="E129">
        <v>7.7580000000000001E-3</v>
      </c>
      <c r="F129" s="13">
        <v>5.2669999999999995E-4</v>
      </c>
      <c r="G129">
        <v>0.26390000000000002</v>
      </c>
      <c r="H129">
        <v>3.0070000000000001</v>
      </c>
      <c r="I129">
        <v>10001</v>
      </c>
      <c r="J129">
        <v>30000</v>
      </c>
    </row>
    <row r="130" spans="2:10" x14ac:dyDescent="0.25">
      <c r="B130" t="s">
        <v>513</v>
      </c>
      <c r="C130">
        <v>0.80179999999999996</v>
      </c>
      <c r="D130">
        <v>1.0760000000000001</v>
      </c>
      <c r="E130">
        <v>1.0240000000000001E-2</v>
      </c>
      <c r="F130" s="13">
        <v>8.9420000000000005E-4</v>
      </c>
      <c r="G130">
        <v>0.38679999999999998</v>
      </c>
      <c r="H130">
        <v>3.863</v>
      </c>
      <c r="I130">
        <v>10001</v>
      </c>
      <c r="J130">
        <v>30000</v>
      </c>
    </row>
    <row r="131" spans="2:10" x14ac:dyDescent="0.25">
      <c r="B131" t="s">
        <v>514</v>
      </c>
      <c r="C131">
        <v>0.81759999999999999</v>
      </c>
      <c r="D131">
        <v>1.113</v>
      </c>
      <c r="E131">
        <v>1.5480000000000001E-2</v>
      </c>
      <c r="F131" s="13">
        <v>8.6390000000000002E-4</v>
      </c>
      <c r="G131">
        <v>0.3901</v>
      </c>
      <c r="H131">
        <v>3.964</v>
      </c>
      <c r="I131">
        <v>10001</v>
      </c>
      <c r="J131">
        <v>30000</v>
      </c>
    </row>
    <row r="132" spans="2:10" x14ac:dyDescent="0.25">
      <c r="B132" t="s">
        <v>515</v>
      </c>
      <c r="C132">
        <v>0.77129999999999999</v>
      </c>
      <c r="D132">
        <v>1.079</v>
      </c>
      <c r="E132">
        <v>1.094E-2</v>
      </c>
      <c r="F132" s="13">
        <v>7.2920000000000005E-4</v>
      </c>
      <c r="G132">
        <v>0.35260000000000002</v>
      </c>
      <c r="H132">
        <v>3.8290000000000002</v>
      </c>
      <c r="I132">
        <v>10001</v>
      </c>
      <c r="J132">
        <v>30000</v>
      </c>
    </row>
    <row r="133" spans="2:10" x14ac:dyDescent="0.25">
      <c r="B133" t="s">
        <v>516</v>
      </c>
      <c r="C133">
        <v>1.19</v>
      </c>
      <c r="D133">
        <v>1.484</v>
      </c>
      <c r="E133">
        <v>1.3050000000000001E-2</v>
      </c>
      <c r="F133">
        <v>1.578E-3</v>
      </c>
      <c r="G133">
        <v>0.63390000000000002</v>
      </c>
      <c r="H133">
        <v>5.34</v>
      </c>
      <c r="I133">
        <v>10001</v>
      </c>
      <c r="J133">
        <v>30000</v>
      </c>
    </row>
    <row r="134" spans="2:10" x14ac:dyDescent="0.25">
      <c r="B134" t="s">
        <v>517</v>
      </c>
      <c r="C134">
        <v>0.86450000000000005</v>
      </c>
      <c r="D134">
        <v>1.1220000000000001</v>
      </c>
      <c r="E134">
        <v>1.26E-2</v>
      </c>
      <c r="F134">
        <v>1.0020000000000001E-3</v>
      </c>
      <c r="G134">
        <v>0.44259999999999999</v>
      </c>
      <c r="H134">
        <v>3.9590000000000001</v>
      </c>
      <c r="I134">
        <v>10001</v>
      </c>
      <c r="J134">
        <v>30000</v>
      </c>
    </row>
    <row r="135" spans="2:10" x14ac:dyDescent="0.25">
      <c r="B135" t="s">
        <v>518</v>
      </c>
      <c r="C135">
        <v>0.73429999999999995</v>
      </c>
      <c r="D135">
        <v>1.0029999999999999</v>
      </c>
      <c r="E135">
        <v>9.4260000000000004E-3</v>
      </c>
      <c r="F135" s="13">
        <v>7.9849999999999995E-4</v>
      </c>
      <c r="G135">
        <v>0.3488</v>
      </c>
      <c r="H135">
        <v>3.5779999999999998</v>
      </c>
      <c r="I135">
        <v>10001</v>
      </c>
      <c r="J135">
        <v>30000</v>
      </c>
    </row>
    <row r="136" spans="2:10" x14ac:dyDescent="0.25">
      <c r="B136" t="s">
        <v>519</v>
      </c>
      <c r="C136">
        <v>0.58840000000000003</v>
      </c>
      <c r="D136">
        <v>0.84350000000000003</v>
      </c>
      <c r="E136">
        <v>7.5859999999999999E-3</v>
      </c>
      <c r="F136" s="13">
        <v>5.4569999999999998E-4</v>
      </c>
      <c r="G136">
        <v>0.26790000000000003</v>
      </c>
      <c r="H136">
        <v>3.0009999999999999</v>
      </c>
      <c r="I136">
        <v>10001</v>
      </c>
      <c r="J136">
        <v>30000</v>
      </c>
    </row>
    <row r="137" spans="2:10" x14ac:dyDescent="0.25">
      <c r="B137" t="s">
        <v>520</v>
      </c>
      <c r="C137">
        <v>1.2949999999999999</v>
      </c>
      <c r="D137">
        <v>1.847</v>
      </c>
      <c r="E137">
        <v>8.2409999999999997E-2</v>
      </c>
      <c r="F137">
        <v>1.0970000000000001E-3</v>
      </c>
      <c r="G137">
        <v>0.56020000000000003</v>
      </c>
      <c r="H137">
        <v>6.7409999999999997</v>
      </c>
      <c r="I137">
        <v>10001</v>
      </c>
      <c r="J137">
        <v>30000</v>
      </c>
    </row>
    <row r="138" spans="2:10" x14ac:dyDescent="0.25">
      <c r="B138" t="s">
        <v>521</v>
      </c>
      <c r="C138">
        <v>1.129</v>
      </c>
      <c r="D138">
        <v>1.554</v>
      </c>
      <c r="E138">
        <v>3.5680000000000003E-2</v>
      </c>
      <c r="F138">
        <v>1.0319999999999999E-3</v>
      </c>
      <c r="G138">
        <v>0.52959999999999996</v>
      </c>
      <c r="H138">
        <v>5.57</v>
      </c>
      <c r="I138">
        <v>10001</v>
      </c>
      <c r="J138">
        <v>30000</v>
      </c>
    </row>
    <row r="139" spans="2:10" x14ac:dyDescent="0.25">
      <c r="B139" t="s">
        <v>522</v>
      </c>
      <c r="C139">
        <v>0.7228</v>
      </c>
      <c r="D139">
        <v>0.94920000000000004</v>
      </c>
      <c r="E139">
        <v>9.0299999999999998E-3</v>
      </c>
      <c r="F139" s="13">
        <v>7.5810000000000005E-4</v>
      </c>
      <c r="G139">
        <v>0.36220000000000002</v>
      </c>
      <c r="H139">
        <v>3.4020000000000001</v>
      </c>
      <c r="I139">
        <v>10001</v>
      </c>
      <c r="J139">
        <v>30000</v>
      </c>
    </row>
    <row r="140" spans="2:10" x14ac:dyDescent="0.25">
      <c r="B140" t="s">
        <v>523</v>
      </c>
      <c r="C140">
        <v>0.66039999999999999</v>
      </c>
      <c r="D140">
        <v>0.94810000000000005</v>
      </c>
      <c r="E140">
        <v>6.5760000000000002E-3</v>
      </c>
      <c r="F140" s="13">
        <v>5.978E-4</v>
      </c>
      <c r="G140">
        <v>0.29549999999999998</v>
      </c>
      <c r="H140">
        <v>3.3679999999999999</v>
      </c>
      <c r="I140">
        <v>10001</v>
      </c>
      <c r="J140">
        <v>30000</v>
      </c>
    </row>
    <row r="141" spans="2:10" x14ac:dyDescent="0.25">
      <c r="B141" t="s">
        <v>524</v>
      </c>
      <c r="C141">
        <v>0.55920000000000003</v>
      </c>
      <c r="D141">
        <v>0.75190000000000001</v>
      </c>
      <c r="E141">
        <v>7.7790000000000003E-3</v>
      </c>
      <c r="F141" s="13">
        <v>6.7829999999999995E-4</v>
      </c>
      <c r="G141">
        <v>0.27079999999999999</v>
      </c>
      <c r="H141">
        <v>2.7029999999999998</v>
      </c>
      <c r="I141">
        <v>10001</v>
      </c>
      <c r="J141">
        <v>30000</v>
      </c>
    </row>
    <row r="142" spans="2:10" x14ac:dyDescent="0.25">
      <c r="B142" t="s">
        <v>525</v>
      </c>
      <c r="C142">
        <v>0.68100000000000005</v>
      </c>
      <c r="D142">
        <v>0.95069999999999999</v>
      </c>
      <c r="E142">
        <v>6.0219999999999996E-3</v>
      </c>
      <c r="F142" s="13">
        <v>6.9669999999999997E-4</v>
      </c>
      <c r="G142">
        <v>0.31309999999999999</v>
      </c>
      <c r="H142">
        <v>3.431</v>
      </c>
      <c r="I142">
        <v>10001</v>
      </c>
      <c r="J142">
        <v>30000</v>
      </c>
    </row>
    <row r="143" spans="2:10" x14ac:dyDescent="0.25">
      <c r="B143" t="s">
        <v>526</v>
      </c>
      <c r="C143">
        <v>0.54700000000000004</v>
      </c>
      <c r="D143">
        <v>0.76039999999999996</v>
      </c>
      <c r="E143">
        <v>6.4850000000000003E-3</v>
      </c>
      <c r="F143" s="13">
        <v>5.7760000000000005E-4</v>
      </c>
      <c r="G143">
        <v>0.25159999999999999</v>
      </c>
      <c r="H143">
        <v>2.6949999999999998</v>
      </c>
      <c r="I143">
        <v>10001</v>
      </c>
      <c r="J143">
        <v>30000</v>
      </c>
    </row>
    <row r="144" spans="2:10" x14ac:dyDescent="0.25">
      <c r="B144" t="s">
        <v>527</v>
      </c>
      <c r="C144">
        <v>0.68799999999999994</v>
      </c>
      <c r="D144">
        <v>0.96140000000000003</v>
      </c>
      <c r="E144">
        <v>6.1380000000000002E-3</v>
      </c>
      <c r="F144" s="13">
        <v>7.1230000000000002E-4</v>
      </c>
      <c r="G144">
        <v>0.31890000000000002</v>
      </c>
      <c r="H144">
        <v>3.415</v>
      </c>
      <c r="I144">
        <v>10001</v>
      </c>
      <c r="J144">
        <v>30000</v>
      </c>
    </row>
    <row r="145" spans="2:10" x14ac:dyDescent="0.25">
      <c r="B145" t="s">
        <v>528</v>
      </c>
      <c r="C145">
        <v>0.65869999999999995</v>
      </c>
      <c r="D145">
        <v>0.93210000000000004</v>
      </c>
      <c r="E145">
        <v>8.1679999999999999E-3</v>
      </c>
      <c r="F145" s="13">
        <v>5.5780000000000001E-4</v>
      </c>
      <c r="G145">
        <v>0.2949</v>
      </c>
      <c r="H145">
        <v>3.278</v>
      </c>
      <c r="I145">
        <v>10001</v>
      </c>
      <c r="J145">
        <v>30000</v>
      </c>
    </row>
    <row r="146" spans="2:10" x14ac:dyDescent="0.25">
      <c r="B146" t="s">
        <v>529</v>
      </c>
      <c r="C146">
        <v>0.66279999999999994</v>
      </c>
      <c r="D146">
        <v>0.93059999999999998</v>
      </c>
      <c r="E146">
        <v>9.1129999999999996E-3</v>
      </c>
      <c r="F146" s="13">
        <v>6.5749999999999999E-4</v>
      </c>
      <c r="G146">
        <v>0.30620000000000003</v>
      </c>
      <c r="H146">
        <v>3.2589999999999999</v>
      </c>
      <c r="I146">
        <v>10001</v>
      </c>
      <c r="J146">
        <v>30000</v>
      </c>
    </row>
    <row r="147" spans="2:10" x14ac:dyDescent="0.25">
      <c r="B147" t="s">
        <v>530</v>
      </c>
      <c r="C147">
        <v>0.68010000000000004</v>
      </c>
      <c r="D147">
        <v>0.9768</v>
      </c>
      <c r="E147">
        <v>1.1520000000000001E-2</v>
      </c>
      <c r="F147" s="13">
        <v>6.5430000000000002E-4</v>
      </c>
      <c r="G147">
        <v>0.30880000000000002</v>
      </c>
      <c r="H147">
        <v>3.4420000000000002</v>
      </c>
      <c r="I147">
        <v>10001</v>
      </c>
      <c r="J147">
        <v>30000</v>
      </c>
    </row>
    <row r="148" spans="2:10" x14ac:dyDescent="0.25">
      <c r="B148" t="s">
        <v>531</v>
      </c>
      <c r="C148">
        <v>0.79200000000000004</v>
      </c>
      <c r="D148">
        <v>1.07</v>
      </c>
      <c r="E148">
        <v>1.4120000000000001E-2</v>
      </c>
      <c r="F148" s="13">
        <v>8.3569999999999998E-4</v>
      </c>
      <c r="G148">
        <v>0.38279999999999997</v>
      </c>
      <c r="H148">
        <v>3.8</v>
      </c>
      <c r="I148">
        <v>10001</v>
      </c>
      <c r="J148">
        <v>30000</v>
      </c>
    </row>
    <row r="149" spans="2:10" x14ac:dyDescent="0.25">
      <c r="B149" t="s">
        <v>532</v>
      </c>
      <c r="C149">
        <v>2.3940000000000001</v>
      </c>
      <c r="D149">
        <v>2.1120000000000001</v>
      </c>
      <c r="E149">
        <v>3.4759999999999999E-2</v>
      </c>
      <c r="F149">
        <v>2.1839999999999998E-2</v>
      </c>
      <c r="G149">
        <v>1.865</v>
      </c>
      <c r="H149">
        <v>7.7460000000000004</v>
      </c>
      <c r="I149">
        <v>10001</v>
      </c>
      <c r="J149">
        <v>30000</v>
      </c>
    </row>
    <row r="150" spans="2:10" x14ac:dyDescent="0.25">
      <c r="B150" t="s">
        <v>533</v>
      </c>
      <c r="C150">
        <v>2.57</v>
      </c>
      <c r="D150">
        <v>2.4980000000000002</v>
      </c>
      <c r="E150">
        <v>4.3580000000000001E-2</v>
      </c>
      <c r="F150">
        <v>8.6540000000000002E-3</v>
      </c>
      <c r="G150">
        <v>1.865</v>
      </c>
      <c r="H150">
        <v>9.0129999999999999</v>
      </c>
      <c r="I150">
        <v>10001</v>
      </c>
      <c r="J150">
        <v>30000</v>
      </c>
    </row>
    <row r="151" spans="2:10" x14ac:dyDescent="0.25">
      <c r="B151" t="s">
        <v>534</v>
      </c>
      <c r="C151">
        <v>1.55</v>
      </c>
      <c r="D151">
        <v>1.7030000000000001</v>
      </c>
      <c r="E151">
        <v>2.9780000000000001E-2</v>
      </c>
      <c r="F151">
        <v>3.1640000000000001E-3</v>
      </c>
      <c r="G151">
        <v>0.99299999999999999</v>
      </c>
      <c r="H151">
        <v>6.1379999999999999</v>
      </c>
      <c r="I151">
        <v>10001</v>
      </c>
      <c r="J151">
        <v>30000</v>
      </c>
    </row>
    <row r="152" spans="2:10" x14ac:dyDescent="0.25">
      <c r="B152" t="s">
        <v>535</v>
      </c>
      <c r="C152">
        <v>1.5449999999999999</v>
      </c>
      <c r="D152">
        <v>1.806</v>
      </c>
      <c r="E152">
        <v>2.5749999999999999E-2</v>
      </c>
      <c r="F152">
        <v>2.2899999999999999E-3</v>
      </c>
      <c r="G152">
        <v>0.89449999999999996</v>
      </c>
      <c r="H152">
        <v>6.4660000000000002</v>
      </c>
      <c r="I152">
        <v>10001</v>
      </c>
      <c r="J152">
        <v>30000</v>
      </c>
    </row>
    <row r="153" spans="2:10" x14ac:dyDescent="0.25">
      <c r="B153" t="s">
        <v>536</v>
      </c>
      <c r="C153">
        <v>1.097</v>
      </c>
      <c r="D153">
        <v>1.3560000000000001</v>
      </c>
      <c r="E153">
        <v>1.9259999999999999E-2</v>
      </c>
      <c r="F153">
        <v>1.1839999999999999E-3</v>
      </c>
      <c r="G153">
        <v>0.60029999999999994</v>
      </c>
      <c r="H153">
        <v>4.8860000000000001</v>
      </c>
      <c r="I153">
        <v>10001</v>
      </c>
      <c r="J153">
        <v>30000</v>
      </c>
    </row>
    <row r="154" spans="2:10" x14ac:dyDescent="0.25">
      <c r="B154" t="s">
        <v>537</v>
      </c>
      <c r="C154">
        <v>0.92249999999999999</v>
      </c>
      <c r="D154">
        <v>1.2549999999999999</v>
      </c>
      <c r="E154">
        <v>1.4319999999999999E-2</v>
      </c>
      <c r="F154" s="13">
        <v>9.3380000000000004E-4</v>
      </c>
      <c r="G154">
        <v>0.43940000000000001</v>
      </c>
      <c r="H154">
        <v>4.468</v>
      </c>
      <c r="I154">
        <v>10001</v>
      </c>
      <c r="J154">
        <v>30000</v>
      </c>
    </row>
    <row r="155" spans="2:10" x14ac:dyDescent="0.25">
      <c r="B155" t="s">
        <v>538</v>
      </c>
      <c r="C155">
        <v>0.56220000000000003</v>
      </c>
      <c r="D155">
        <v>0.75119999999999998</v>
      </c>
      <c r="E155">
        <v>7.6350000000000003E-3</v>
      </c>
      <c r="F155" s="13">
        <v>5.9789999999999995E-4</v>
      </c>
      <c r="G155">
        <v>0.27510000000000001</v>
      </c>
      <c r="H155">
        <v>2.6749999999999998</v>
      </c>
      <c r="I155">
        <v>10001</v>
      </c>
      <c r="J155">
        <v>30000</v>
      </c>
    </row>
    <row r="156" spans="2:10" x14ac:dyDescent="0.25">
      <c r="B156" t="s">
        <v>539</v>
      </c>
      <c r="C156">
        <v>0.70009999999999994</v>
      </c>
      <c r="D156">
        <v>0.98419999999999996</v>
      </c>
      <c r="E156">
        <v>6.2690000000000003E-3</v>
      </c>
      <c r="F156" s="13">
        <v>6.6089999999999996E-4</v>
      </c>
      <c r="G156">
        <v>0.3206</v>
      </c>
      <c r="H156">
        <v>3.5219999999999998</v>
      </c>
      <c r="I156">
        <v>10001</v>
      </c>
      <c r="J156">
        <v>30000</v>
      </c>
    </row>
    <row r="157" spans="2:10" x14ac:dyDescent="0.25">
      <c r="B157" t="s">
        <v>540</v>
      </c>
      <c r="C157">
        <v>0.56950000000000001</v>
      </c>
      <c r="D157">
        <v>0.80620000000000003</v>
      </c>
      <c r="E157">
        <v>4.908E-3</v>
      </c>
      <c r="F157" s="13">
        <v>4.685E-4</v>
      </c>
      <c r="G157">
        <v>0.25819999999999999</v>
      </c>
      <c r="H157">
        <v>2.8769999999999998</v>
      </c>
      <c r="I157">
        <v>10001</v>
      </c>
      <c r="J157">
        <v>30000</v>
      </c>
    </row>
    <row r="158" spans="2:10" x14ac:dyDescent="0.25">
      <c r="B158" t="s">
        <v>541</v>
      </c>
      <c r="C158">
        <v>0.57769999999999999</v>
      </c>
      <c r="D158">
        <v>0.79630000000000001</v>
      </c>
      <c r="E158">
        <v>5.313E-3</v>
      </c>
      <c r="F158" s="13">
        <v>6.0499999999999996E-4</v>
      </c>
      <c r="G158">
        <v>0.26779999999999998</v>
      </c>
      <c r="H158">
        <v>2.8719999999999999</v>
      </c>
      <c r="I158">
        <v>10001</v>
      </c>
      <c r="J158">
        <v>30000</v>
      </c>
    </row>
    <row r="159" spans="2:10" x14ac:dyDescent="0.25">
      <c r="B159" t="s">
        <v>542</v>
      </c>
      <c r="C159">
        <v>1.611</v>
      </c>
      <c r="D159">
        <v>1.956</v>
      </c>
      <c r="E159">
        <v>1.695E-2</v>
      </c>
      <c r="F159">
        <v>2.4399999999999999E-3</v>
      </c>
      <c r="G159">
        <v>0.89129999999999998</v>
      </c>
      <c r="H159">
        <v>6.976</v>
      </c>
      <c r="I159">
        <v>10001</v>
      </c>
      <c r="J159">
        <v>30000</v>
      </c>
    </row>
    <row r="160" spans="2:10" x14ac:dyDescent="0.25">
      <c r="B160" t="s">
        <v>543</v>
      </c>
      <c r="C160">
        <v>1.7490000000000001</v>
      </c>
      <c r="D160">
        <v>1.3049999999999999</v>
      </c>
      <c r="E160">
        <v>1.5299999999999999E-2</v>
      </c>
      <c r="F160">
        <v>0.20100000000000001</v>
      </c>
      <c r="G160">
        <v>1.4390000000000001</v>
      </c>
      <c r="H160">
        <v>5.07</v>
      </c>
      <c r="I160">
        <v>10001</v>
      </c>
      <c r="J160">
        <v>30000</v>
      </c>
    </row>
    <row r="161" spans="2:10" x14ac:dyDescent="0.25">
      <c r="B161" t="s">
        <v>544</v>
      </c>
      <c r="C161">
        <v>1.6129999999999999E-2</v>
      </c>
      <c r="D161">
        <v>0.126</v>
      </c>
      <c r="E161">
        <v>3.7000000000000002E-3</v>
      </c>
      <c r="F161">
        <v>0</v>
      </c>
      <c r="G161">
        <v>0</v>
      </c>
      <c r="H161">
        <v>0</v>
      </c>
      <c r="I161">
        <v>10001</v>
      </c>
      <c r="J161">
        <v>30000</v>
      </c>
    </row>
    <row r="162" spans="2:10" x14ac:dyDescent="0.25">
      <c r="B162" t="s">
        <v>545</v>
      </c>
      <c r="C162">
        <v>5.2330000000000002E-2</v>
      </c>
      <c r="D162">
        <v>0.22270000000000001</v>
      </c>
      <c r="E162">
        <v>5.5120000000000004E-3</v>
      </c>
      <c r="F162">
        <v>0</v>
      </c>
      <c r="G162">
        <v>0</v>
      </c>
      <c r="H162">
        <v>1</v>
      </c>
      <c r="I162">
        <v>10001</v>
      </c>
      <c r="J162">
        <v>30000</v>
      </c>
    </row>
    <row r="163" spans="2:10" x14ac:dyDescent="0.25">
      <c r="B163" t="s">
        <v>546</v>
      </c>
      <c r="C163">
        <v>0.1166</v>
      </c>
      <c r="D163">
        <v>0.32090000000000002</v>
      </c>
      <c r="E163">
        <v>8.5220000000000001E-3</v>
      </c>
      <c r="F163">
        <v>0</v>
      </c>
      <c r="G163">
        <v>0</v>
      </c>
      <c r="H163">
        <v>1</v>
      </c>
      <c r="I163">
        <v>10001</v>
      </c>
      <c r="J163">
        <v>30000</v>
      </c>
    </row>
    <row r="164" spans="2:10" x14ac:dyDescent="0.25">
      <c r="B164" t="s">
        <v>547</v>
      </c>
      <c r="C164">
        <v>0.16439999999999999</v>
      </c>
      <c r="D164">
        <v>0.37059999999999998</v>
      </c>
      <c r="E164">
        <v>7.8960000000000002E-3</v>
      </c>
      <c r="F164">
        <v>0</v>
      </c>
      <c r="G164">
        <v>0</v>
      </c>
      <c r="H164">
        <v>1</v>
      </c>
      <c r="I164">
        <v>10001</v>
      </c>
      <c r="J164">
        <v>30000</v>
      </c>
    </row>
    <row r="165" spans="2:10" x14ac:dyDescent="0.25">
      <c r="B165" t="s">
        <v>548</v>
      </c>
      <c r="C165">
        <v>0.2077</v>
      </c>
      <c r="D165">
        <v>0.40570000000000001</v>
      </c>
      <c r="E165">
        <v>7.9310000000000005E-3</v>
      </c>
      <c r="F165">
        <v>0</v>
      </c>
      <c r="G165">
        <v>0</v>
      </c>
      <c r="H165">
        <v>1</v>
      </c>
      <c r="I165">
        <v>10001</v>
      </c>
      <c r="J165">
        <v>30000</v>
      </c>
    </row>
    <row r="166" spans="2:10" x14ac:dyDescent="0.25">
      <c r="B166" t="s">
        <v>549</v>
      </c>
      <c r="C166">
        <v>0.2097</v>
      </c>
      <c r="D166">
        <v>0.40710000000000002</v>
      </c>
      <c r="E166">
        <v>8.9599999999999992E-3</v>
      </c>
      <c r="F166">
        <v>0</v>
      </c>
      <c r="G166">
        <v>0</v>
      </c>
      <c r="H166">
        <v>1</v>
      </c>
      <c r="I166">
        <v>10001</v>
      </c>
      <c r="J166">
        <v>30000</v>
      </c>
    </row>
    <row r="167" spans="2:10" x14ac:dyDescent="0.25">
      <c r="B167" t="s">
        <v>550</v>
      </c>
      <c r="C167">
        <v>0.14799999999999999</v>
      </c>
      <c r="D167">
        <v>0.35510000000000003</v>
      </c>
      <c r="E167">
        <v>8.5710000000000005E-3</v>
      </c>
      <c r="F167">
        <v>0</v>
      </c>
      <c r="G167">
        <v>0</v>
      </c>
      <c r="H167">
        <v>1</v>
      </c>
      <c r="I167">
        <v>10001</v>
      </c>
      <c r="J167">
        <v>30000</v>
      </c>
    </row>
    <row r="168" spans="2:10" x14ac:dyDescent="0.25">
      <c r="B168" t="s">
        <v>551</v>
      </c>
      <c r="C168">
        <v>6.5199999999999994E-2</v>
      </c>
      <c r="D168">
        <v>0.24690000000000001</v>
      </c>
      <c r="E168">
        <v>6.3499999999999997E-3</v>
      </c>
      <c r="F168">
        <v>0</v>
      </c>
      <c r="G168">
        <v>0</v>
      </c>
      <c r="H168">
        <v>1</v>
      </c>
      <c r="I168">
        <v>10001</v>
      </c>
      <c r="J168">
        <v>30000</v>
      </c>
    </row>
    <row r="169" spans="2:10" x14ac:dyDescent="0.25">
      <c r="B169" t="s">
        <v>552</v>
      </c>
      <c r="C169">
        <v>1.7469999999999999E-2</v>
      </c>
      <c r="D169">
        <v>0.13100000000000001</v>
      </c>
      <c r="E169">
        <v>3.836E-3</v>
      </c>
      <c r="F169">
        <v>0</v>
      </c>
      <c r="G169">
        <v>0</v>
      </c>
      <c r="H169">
        <v>0</v>
      </c>
      <c r="I169">
        <v>10001</v>
      </c>
      <c r="J169">
        <v>30000</v>
      </c>
    </row>
    <row r="170" spans="2:10" x14ac:dyDescent="0.25">
      <c r="B170" t="s">
        <v>553</v>
      </c>
      <c r="C170">
        <v>2.5330000000000001E-3</v>
      </c>
      <c r="D170">
        <v>5.0270000000000002E-2</v>
      </c>
      <c r="E170">
        <v>1.1640000000000001E-3</v>
      </c>
      <c r="F170">
        <v>0</v>
      </c>
      <c r="G170">
        <v>0</v>
      </c>
      <c r="H170">
        <v>0</v>
      </c>
      <c r="I170">
        <v>10001</v>
      </c>
      <c r="J170">
        <v>30000</v>
      </c>
    </row>
    <row r="171" spans="2:10" x14ac:dyDescent="0.25">
      <c r="B171" t="s">
        <v>554</v>
      </c>
      <c r="C171">
        <v>2.7300000000000001E-2</v>
      </c>
      <c r="D171">
        <v>0.16300000000000001</v>
      </c>
      <c r="E171">
        <v>3.9170000000000003E-3</v>
      </c>
      <c r="F171">
        <v>0</v>
      </c>
      <c r="G171">
        <v>0</v>
      </c>
      <c r="H171">
        <v>1</v>
      </c>
      <c r="I171">
        <v>10001</v>
      </c>
      <c r="J171">
        <v>30000</v>
      </c>
    </row>
    <row r="172" spans="2:10" x14ac:dyDescent="0.25">
      <c r="B172" t="s">
        <v>555</v>
      </c>
      <c r="C172">
        <v>0.11459999999999999</v>
      </c>
      <c r="D172">
        <v>0.31850000000000001</v>
      </c>
      <c r="E172">
        <v>8.7259999999999994E-3</v>
      </c>
      <c r="F172">
        <v>0</v>
      </c>
      <c r="G172">
        <v>0</v>
      </c>
      <c r="H172">
        <v>1</v>
      </c>
      <c r="I172">
        <v>10001</v>
      </c>
      <c r="J172">
        <v>30000</v>
      </c>
    </row>
    <row r="173" spans="2:10" x14ac:dyDescent="0.25">
      <c r="B173" t="s">
        <v>556</v>
      </c>
      <c r="C173">
        <v>0.182</v>
      </c>
      <c r="D173">
        <v>0.38579999999999998</v>
      </c>
      <c r="E173">
        <v>8.6379999999999998E-3</v>
      </c>
      <c r="F173">
        <v>0</v>
      </c>
      <c r="G173">
        <v>0</v>
      </c>
      <c r="H173">
        <v>1</v>
      </c>
      <c r="I173">
        <v>10001</v>
      </c>
      <c r="J173">
        <v>30000</v>
      </c>
    </row>
    <row r="174" spans="2:10" x14ac:dyDescent="0.25">
      <c r="B174" t="s">
        <v>557</v>
      </c>
      <c r="C174">
        <v>0.22309999999999999</v>
      </c>
      <c r="D174">
        <v>0.4163</v>
      </c>
      <c r="E174">
        <v>8.6040000000000005E-3</v>
      </c>
      <c r="F174">
        <v>0</v>
      </c>
      <c r="G174">
        <v>0</v>
      </c>
      <c r="H174">
        <v>1</v>
      </c>
      <c r="I174">
        <v>10001</v>
      </c>
      <c r="J174">
        <v>30000</v>
      </c>
    </row>
    <row r="175" spans="2:10" x14ac:dyDescent="0.25">
      <c r="B175" t="s">
        <v>558</v>
      </c>
      <c r="C175">
        <v>0.20030000000000001</v>
      </c>
      <c r="D175">
        <v>0.4002</v>
      </c>
      <c r="E175">
        <v>7.7029999999999998E-3</v>
      </c>
      <c r="F175">
        <v>0</v>
      </c>
      <c r="G175">
        <v>0</v>
      </c>
      <c r="H175">
        <v>1</v>
      </c>
      <c r="I175">
        <v>10001</v>
      </c>
      <c r="J175">
        <v>30000</v>
      </c>
    </row>
    <row r="176" spans="2:10" x14ac:dyDescent="0.25">
      <c r="B176" t="s">
        <v>559</v>
      </c>
      <c r="C176">
        <v>0.15060000000000001</v>
      </c>
      <c r="D176">
        <v>0.35770000000000002</v>
      </c>
      <c r="E176">
        <v>8.0839999999999992E-3</v>
      </c>
      <c r="F176">
        <v>0</v>
      </c>
      <c r="G176">
        <v>0</v>
      </c>
      <c r="H176">
        <v>1</v>
      </c>
      <c r="I176">
        <v>10001</v>
      </c>
      <c r="J176">
        <v>30000</v>
      </c>
    </row>
    <row r="177" spans="2:10" x14ac:dyDescent="0.25">
      <c r="B177" t="s">
        <v>560</v>
      </c>
      <c r="C177">
        <v>6.9129999999999997E-2</v>
      </c>
      <c r="D177">
        <v>0.25369999999999998</v>
      </c>
      <c r="E177">
        <v>5.5370000000000003E-3</v>
      </c>
      <c r="F177">
        <v>0</v>
      </c>
      <c r="G177">
        <v>0</v>
      </c>
      <c r="H177">
        <v>1</v>
      </c>
      <c r="I177">
        <v>10001</v>
      </c>
      <c r="J177">
        <v>30000</v>
      </c>
    </row>
    <row r="178" spans="2:10" x14ac:dyDescent="0.25">
      <c r="B178" t="s">
        <v>561</v>
      </c>
      <c r="C178">
        <v>2.63E-2</v>
      </c>
      <c r="D178">
        <v>0.16</v>
      </c>
      <c r="E178">
        <v>3.803E-3</v>
      </c>
      <c r="F178">
        <v>0</v>
      </c>
      <c r="G178">
        <v>0</v>
      </c>
      <c r="H178">
        <v>1</v>
      </c>
      <c r="I178">
        <v>10001</v>
      </c>
      <c r="J178">
        <v>30000</v>
      </c>
    </row>
    <row r="179" spans="2:10" x14ac:dyDescent="0.25">
      <c r="B179" t="s">
        <v>562</v>
      </c>
      <c r="C179">
        <v>6.267E-3</v>
      </c>
      <c r="D179">
        <v>7.8909999999999994E-2</v>
      </c>
      <c r="E179">
        <v>2.519E-3</v>
      </c>
      <c r="F179">
        <v>0</v>
      </c>
      <c r="G179">
        <v>0</v>
      </c>
      <c r="H179">
        <v>0</v>
      </c>
      <c r="I179">
        <v>10001</v>
      </c>
      <c r="J179">
        <v>30000</v>
      </c>
    </row>
    <row r="180" spans="2:10" x14ac:dyDescent="0.25">
      <c r="B180" t="s">
        <v>563</v>
      </c>
      <c r="C180" s="13">
        <v>4.0000000000000002E-4</v>
      </c>
      <c r="D180">
        <v>0.02</v>
      </c>
      <c r="E180" s="13">
        <v>3.098E-4</v>
      </c>
      <c r="F180">
        <v>0</v>
      </c>
      <c r="G180">
        <v>0</v>
      </c>
      <c r="H180">
        <v>0</v>
      </c>
      <c r="I180">
        <v>10001</v>
      </c>
      <c r="J180">
        <v>30000</v>
      </c>
    </row>
    <row r="181" spans="2:10" x14ac:dyDescent="0.25">
      <c r="B181" t="s">
        <v>564</v>
      </c>
      <c r="C181">
        <v>8.8700000000000001E-2</v>
      </c>
      <c r="D181">
        <v>0.2843</v>
      </c>
      <c r="E181">
        <v>8.829E-3</v>
      </c>
      <c r="F181">
        <v>0</v>
      </c>
      <c r="G181">
        <v>0</v>
      </c>
      <c r="H181">
        <v>1</v>
      </c>
      <c r="I181">
        <v>10001</v>
      </c>
      <c r="J181">
        <v>30000</v>
      </c>
    </row>
    <row r="182" spans="2:10" x14ac:dyDescent="0.25">
      <c r="B182" t="s">
        <v>565</v>
      </c>
      <c r="C182">
        <v>0.21079999999999999</v>
      </c>
      <c r="D182">
        <v>0.40789999999999998</v>
      </c>
      <c r="E182">
        <v>1.089E-2</v>
      </c>
      <c r="F182">
        <v>0</v>
      </c>
      <c r="G182">
        <v>0</v>
      </c>
      <c r="H182">
        <v>1</v>
      </c>
      <c r="I182">
        <v>10001</v>
      </c>
      <c r="J182">
        <v>30000</v>
      </c>
    </row>
    <row r="183" spans="2:10" x14ac:dyDescent="0.25">
      <c r="B183" t="s">
        <v>566</v>
      </c>
      <c r="C183">
        <v>0.21990000000000001</v>
      </c>
      <c r="D183">
        <v>0.41420000000000001</v>
      </c>
      <c r="E183">
        <v>9.0659999999999994E-3</v>
      </c>
      <c r="F183">
        <v>0</v>
      </c>
      <c r="G183">
        <v>0</v>
      </c>
      <c r="H183">
        <v>1</v>
      </c>
      <c r="I183">
        <v>10001</v>
      </c>
      <c r="J183">
        <v>30000</v>
      </c>
    </row>
    <row r="184" spans="2:10" x14ac:dyDescent="0.25">
      <c r="B184" t="s">
        <v>567</v>
      </c>
      <c r="C184">
        <v>0.17219999999999999</v>
      </c>
      <c r="D184">
        <v>0.3775</v>
      </c>
      <c r="E184">
        <v>7.0270000000000003E-3</v>
      </c>
      <c r="F184">
        <v>0</v>
      </c>
      <c r="G184">
        <v>0</v>
      </c>
      <c r="H184">
        <v>1</v>
      </c>
      <c r="I184">
        <v>10001</v>
      </c>
      <c r="J184">
        <v>30000</v>
      </c>
    </row>
    <row r="185" spans="2:10" x14ac:dyDescent="0.25">
      <c r="B185" t="s">
        <v>568</v>
      </c>
      <c r="C185">
        <v>0.13500000000000001</v>
      </c>
      <c r="D185">
        <v>0.3417</v>
      </c>
      <c r="E185">
        <v>7.2519999999999998E-3</v>
      </c>
      <c r="F185">
        <v>0</v>
      </c>
      <c r="G185">
        <v>0</v>
      </c>
      <c r="H185">
        <v>1</v>
      </c>
      <c r="I185">
        <v>10001</v>
      </c>
      <c r="J185">
        <v>30000</v>
      </c>
    </row>
    <row r="186" spans="2:10" x14ac:dyDescent="0.25">
      <c r="B186" t="s">
        <v>569</v>
      </c>
      <c r="C186">
        <v>8.9029999999999998E-2</v>
      </c>
      <c r="D186">
        <v>0.2848</v>
      </c>
      <c r="E186">
        <v>6.058E-3</v>
      </c>
      <c r="F186">
        <v>0</v>
      </c>
      <c r="G186">
        <v>0</v>
      </c>
      <c r="H186">
        <v>1</v>
      </c>
      <c r="I186">
        <v>10001</v>
      </c>
      <c r="J186">
        <v>30000</v>
      </c>
    </row>
    <row r="187" spans="2:10" x14ac:dyDescent="0.25">
      <c r="B187" t="s">
        <v>570</v>
      </c>
      <c r="C187">
        <v>5.7799999999999997E-2</v>
      </c>
      <c r="D187">
        <v>0.2334</v>
      </c>
      <c r="E187">
        <v>5.6340000000000001E-3</v>
      </c>
      <c r="F187">
        <v>0</v>
      </c>
      <c r="G187">
        <v>0</v>
      </c>
      <c r="H187">
        <v>1</v>
      </c>
      <c r="I187">
        <v>10001</v>
      </c>
      <c r="J187">
        <v>30000</v>
      </c>
    </row>
    <row r="188" spans="2:10" x14ac:dyDescent="0.25">
      <c r="B188" t="s">
        <v>571</v>
      </c>
      <c r="C188">
        <v>2.103E-2</v>
      </c>
      <c r="D188">
        <v>0.14349999999999999</v>
      </c>
      <c r="E188">
        <v>2.934E-3</v>
      </c>
      <c r="F188">
        <v>0</v>
      </c>
      <c r="G188">
        <v>0</v>
      </c>
      <c r="H188">
        <v>0</v>
      </c>
      <c r="I188">
        <v>10001</v>
      </c>
      <c r="J188">
        <v>30000</v>
      </c>
    </row>
    <row r="189" spans="2:10" x14ac:dyDescent="0.25">
      <c r="B189" t="s">
        <v>572</v>
      </c>
      <c r="C189">
        <v>5.1669999999999997E-3</v>
      </c>
      <c r="D189">
        <v>7.1690000000000004E-2</v>
      </c>
      <c r="E189">
        <v>1.454E-3</v>
      </c>
      <c r="F189">
        <v>0</v>
      </c>
      <c r="G189">
        <v>0</v>
      </c>
      <c r="H189">
        <v>0</v>
      </c>
      <c r="I189">
        <v>10001</v>
      </c>
      <c r="J189">
        <v>30000</v>
      </c>
    </row>
    <row r="190" spans="2:10" x14ac:dyDescent="0.25">
      <c r="B190" t="s">
        <v>573</v>
      </c>
      <c r="C190" s="13">
        <v>3.6670000000000002E-4</v>
      </c>
      <c r="D190">
        <v>1.915E-2</v>
      </c>
      <c r="E190" s="13">
        <v>2.7339999999999998E-4</v>
      </c>
      <c r="F190">
        <v>0</v>
      </c>
      <c r="G190">
        <v>0</v>
      </c>
      <c r="H190">
        <v>0</v>
      </c>
      <c r="I190">
        <v>10001</v>
      </c>
      <c r="J190">
        <v>30000</v>
      </c>
    </row>
    <row r="191" spans="2:10" x14ac:dyDescent="0.25">
      <c r="B191" t="s">
        <v>574</v>
      </c>
      <c r="C191">
        <v>0.1114</v>
      </c>
      <c r="D191">
        <v>0.31459999999999999</v>
      </c>
      <c r="E191">
        <v>9.4020000000000006E-3</v>
      </c>
      <c r="F191">
        <v>0</v>
      </c>
      <c r="G191">
        <v>0</v>
      </c>
      <c r="H191">
        <v>1</v>
      </c>
      <c r="I191">
        <v>10001</v>
      </c>
      <c r="J191">
        <v>30000</v>
      </c>
    </row>
    <row r="192" spans="2:10" x14ac:dyDescent="0.25">
      <c r="B192" t="s">
        <v>575</v>
      </c>
      <c r="C192">
        <v>0.1981</v>
      </c>
      <c r="D192">
        <v>0.39860000000000001</v>
      </c>
      <c r="E192">
        <v>9.7450000000000002E-3</v>
      </c>
      <c r="F192">
        <v>0</v>
      </c>
      <c r="G192">
        <v>0</v>
      </c>
      <c r="H192">
        <v>1</v>
      </c>
      <c r="I192">
        <v>10001</v>
      </c>
      <c r="J192">
        <v>30000</v>
      </c>
    </row>
    <row r="193" spans="2:10" x14ac:dyDescent="0.25">
      <c r="B193" t="s">
        <v>576</v>
      </c>
      <c r="C193">
        <v>0.16850000000000001</v>
      </c>
      <c r="D193">
        <v>0.37430000000000002</v>
      </c>
      <c r="E193">
        <v>6.5839999999999996E-3</v>
      </c>
      <c r="F193">
        <v>0</v>
      </c>
      <c r="G193">
        <v>0</v>
      </c>
      <c r="H193">
        <v>1</v>
      </c>
      <c r="I193">
        <v>10001</v>
      </c>
      <c r="J193">
        <v>30000</v>
      </c>
    </row>
    <row r="194" spans="2:10" x14ac:dyDescent="0.25">
      <c r="B194" t="s">
        <v>577</v>
      </c>
      <c r="C194">
        <v>0.14050000000000001</v>
      </c>
      <c r="D194">
        <v>0.34749999999999998</v>
      </c>
      <c r="E194">
        <v>5.7869999999999996E-3</v>
      </c>
      <c r="F194">
        <v>0</v>
      </c>
      <c r="G194">
        <v>0</v>
      </c>
      <c r="H194">
        <v>1</v>
      </c>
      <c r="I194">
        <v>10001</v>
      </c>
      <c r="J194">
        <v>30000</v>
      </c>
    </row>
    <row r="195" spans="2:10" x14ac:dyDescent="0.25">
      <c r="B195" t="s">
        <v>578</v>
      </c>
      <c r="C195">
        <v>0.1234</v>
      </c>
      <c r="D195">
        <v>0.32890000000000003</v>
      </c>
      <c r="E195">
        <v>5.5469999999999998E-3</v>
      </c>
      <c r="F195">
        <v>0</v>
      </c>
      <c r="G195">
        <v>0</v>
      </c>
      <c r="H195">
        <v>1</v>
      </c>
      <c r="I195">
        <v>10001</v>
      </c>
      <c r="J195">
        <v>30000</v>
      </c>
    </row>
    <row r="196" spans="2:10" x14ac:dyDescent="0.25">
      <c r="B196" t="s">
        <v>579</v>
      </c>
      <c r="C196">
        <v>0.10340000000000001</v>
      </c>
      <c r="D196">
        <v>0.30449999999999999</v>
      </c>
      <c r="E196">
        <v>5.4469999999999996E-3</v>
      </c>
      <c r="F196">
        <v>0</v>
      </c>
      <c r="G196">
        <v>0</v>
      </c>
      <c r="H196">
        <v>1</v>
      </c>
      <c r="I196">
        <v>10001</v>
      </c>
      <c r="J196">
        <v>30000</v>
      </c>
    </row>
    <row r="197" spans="2:10" x14ac:dyDescent="0.25">
      <c r="B197" t="s">
        <v>580</v>
      </c>
      <c r="C197">
        <v>8.1500000000000003E-2</v>
      </c>
      <c r="D197">
        <v>0.27360000000000001</v>
      </c>
      <c r="E197">
        <v>5.5560000000000002E-3</v>
      </c>
      <c r="F197">
        <v>0</v>
      </c>
      <c r="G197">
        <v>0</v>
      </c>
      <c r="H197">
        <v>1</v>
      </c>
      <c r="I197">
        <v>10001</v>
      </c>
      <c r="J197">
        <v>30000</v>
      </c>
    </row>
    <row r="198" spans="2:10" x14ac:dyDescent="0.25">
      <c r="B198" t="s">
        <v>581</v>
      </c>
      <c r="C198">
        <v>5.0569999999999997E-2</v>
      </c>
      <c r="D198">
        <v>0.21909999999999999</v>
      </c>
      <c r="E198">
        <v>4.7210000000000004E-3</v>
      </c>
      <c r="F198">
        <v>0</v>
      </c>
      <c r="G198">
        <v>0</v>
      </c>
      <c r="H198">
        <v>1</v>
      </c>
      <c r="I198">
        <v>10001</v>
      </c>
      <c r="J198">
        <v>30000</v>
      </c>
    </row>
    <row r="199" spans="2:10" x14ac:dyDescent="0.25">
      <c r="B199" t="s">
        <v>582</v>
      </c>
      <c r="C199">
        <v>1.9570000000000001E-2</v>
      </c>
      <c r="D199">
        <v>0.13850000000000001</v>
      </c>
      <c r="E199">
        <v>2.689E-3</v>
      </c>
      <c r="F199">
        <v>0</v>
      </c>
      <c r="G199">
        <v>0</v>
      </c>
      <c r="H199">
        <v>0</v>
      </c>
      <c r="I199">
        <v>10001</v>
      </c>
      <c r="J199">
        <v>30000</v>
      </c>
    </row>
    <row r="200" spans="2:10" x14ac:dyDescent="0.25">
      <c r="B200" t="s">
        <v>583</v>
      </c>
      <c r="C200">
        <v>3.0669999999999998E-3</v>
      </c>
      <c r="D200">
        <v>5.5289999999999999E-2</v>
      </c>
      <c r="E200" s="13">
        <v>8.2459999999999999E-4</v>
      </c>
      <c r="F200">
        <v>0</v>
      </c>
      <c r="G200">
        <v>0</v>
      </c>
      <c r="H200">
        <v>0</v>
      </c>
      <c r="I200">
        <v>10001</v>
      </c>
      <c r="J200">
        <v>30000</v>
      </c>
    </row>
    <row r="201" spans="2:10" x14ac:dyDescent="0.25">
      <c r="B201" t="s">
        <v>584</v>
      </c>
      <c r="C201">
        <v>0.10489999999999999</v>
      </c>
      <c r="D201">
        <v>0.30649999999999999</v>
      </c>
      <c r="E201">
        <v>9.8320000000000005E-3</v>
      </c>
      <c r="F201">
        <v>0</v>
      </c>
      <c r="G201">
        <v>0</v>
      </c>
      <c r="H201">
        <v>1</v>
      </c>
      <c r="I201">
        <v>10001</v>
      </c>
      <c r="J201">
        <v>30000</v>
      </c>
    </row>
    <row r="202" spans="2:10" x14ac:dyDescent="0.25">
      <c r="B202" t="s">
        <v>585</v>
      </c>
      <c r="C202">
        <v>0.125</v>
      </c>
      <c r="D202">
        <v>0.33069999999999999</v>
      </c>
      <c r="E202">
        <v>9.1190000000000004E-3</v>
      </c>
      <c r="F202">
        <v>0</v>
      </c>
      <c r="G202">
        <v>0</v>
      </c>
      <c r="H202">
        <v>1</v>
      </c>
      <c r="I202">
        <v>10001</v>
      </c>
      <c r="J202">
        <v>30000</v>
      </c>
    </row>
    <row r="203" spans="2:10" x14ac:dyDescent="0.25">
      <c r="B203" t="s">
        <v>586</v>
      </c>
      <c r="C203">
        <v>7.0330000000000004E-2</v>
      </c>
      <c r="D203">
        <v>0.25569999999999998</v>
      </c>
      <c r="E203">
        <v>3.9810000000000002E-3</v>
      </c>
      <c r="F203">
        <v>0</v>
      </c>
      <c r="G203">
        <v>0</v>
      </c>
      <c r="H203">
        <v>1</v>
      </c>
      <c r="I203">
        <v>10001</v>
      </c>
      <c r="J203">
        <v>30000</v>
      </c>
    </row>
    <row r="204" spans="2:10" x14ac:dyDescent="0.25">
      <c r="B204" t="s">
        <v>587</v>
      </c>
      <c r="C204">
        <v>5.7770000000000002E-2</v>
      </c>
      <c r="D204">
        <v>0.23330000000000001</v>
      </c>
      <c r="E204">
        <v>3.2169999999999998E-3</v>
      </c>
      <c r="F204">
        <v>0</v>
      </c>
      <c r="G204">
        <v>0</v>
      </c>
      <c r="H204">
        <v>1</v>
      </c>
      <c r="I204">
        <v>10001</v>
      </c>
      <c r="J204">
        <v>30000</v>
      </c>
    </row>
    <row r="205" spans="2:10" x14ac:dyDescent="0.25">
      <c r="B205" t="s">
        <v>588</v>
      </c>
      <c r="C205">
        <v>6.6100000000000006E-2</v>
      </c>
      <c r="D205">
        <v>0.2485</v>
      </c>
      <c r="E205">
        <v>3.2659999999999998E-3</v>
      </c>
      <c r="F205">
        <v>0</v>
      </c>
      <c r="G205">
        <v>0</v>
      </c>
      <c r="H205">
        <v>1</v>
      </c>
      <c r="I205">
        <v>10001</v>
      </c>
      <c r="J205">
        <v>30000</v>
      </c>
    </row>
    <row r="206" spans="2:10" x14ac:dyDescent="0.25">
      <c r="B206" t="s">
        <v>589</v>
      </c>
      <c r="C206">
        <v>8.0869999999999997E-2</v>
      </c>
      <c r="D206">
        <v>0.27260000000000001</v>
      </c>
      <c r="E206">
        <v>3.826E-3</v>
      </c>
      <c r="F206">
        <v>0</v>
      </c>
      <c r="G206">
        <v>0</v>
      </c>
      <c r="H206">
        <v>1</v>
      </c>
      <c r="I206">
        <v>10001</v>
      </c>
      <c r="J206">
        <v>30000</v>
      </c>
    </row>
    <row r="207" spans="2:10" x14ac:dyDescent="0.25">
      <c r="B207" t="s">
        <v>590</v>
      </c>
      <c r="C207">
        <v>0.1212</v>
      </c>
      <c r="D207">
        <v>0.32629999999999998</v>
      </c>
      <c r="E207">
        <v>5.9870000000000001E-3</v>
      </c>
      <c r="F207">
        <v>0</v>
      </c>
      <c r="G207">
        <v>0</v>
      </c>
      <c r="H207">
        <v>1</v>
      </c>
      <c r="I207">
        <v>10001</v>
      </c>
      <c r="J207">
        <v>30000</v>
      </c>
    </row>
    <row r="208" spans="2:10" x14ac:dyDescent="0.25">
      <c r="B208" t="s">
        <v>591</v>
      </c>
      <c r="C208">
        <v>0.15379999999999999</v>
      </c>
      <c r="D208">
        <v>0.36070000000000002</v>
      </c>
      <c r="E208">
        <v>7.6810000000000003E-3</v>
      </c>
      <c r="F208">
        <v>0</v>
      </c>
      <c r="G208">
        <v>0</v>
      </c>
      <c r="H208">
        <v>1</v>
      </c>
      <c r="I208">
        <v>10001</v>
      </c>
      <c r="J208">
        <v>30000</v>
      </c>
    </row>
    <row r="209" spans="2:10" x14ac:dyDescent="0.25">
      <c r="B209" t="s">
        <v>592</v>
      </c>
      <c r="C209">
        <v>0.14610000000000001</v>
      </c>
      <c r="D209">
        <v>0.35320000000000001</v>
      </c>
      <c r="E209">
        <v>9.2069999999999999E-3</v>
      </c>
      <c r="F209">
        <v>0</v>
      </c>
      <c r="G209">
        <v>0</v>
      </c>
      <c r="H209">
        <v>1</v>
      </c>
      <c r="I209">
        <v>10001</v>
      </c>
      <c r="J209">
        <v>30000</v>
      </c>
    </row>
    <row r="210" spans="2:10" x14ac:dyDescent="0.25">
      <c r="B210" t="s">
        <v>593</v>
      </c>
      <c r="C210">
        <v>7.3969999999999994E-2</v>
      </c>
      <c r="D210">
        <v>0.26169999999999999</v>
      </c>
      <c r="E210">
        <v>8.2740000000000001E-3</v>
      </c>
      <c r="F210">
        <v>0</v>
      </c>
      <c r="G210">
        <v>0</v>
      </c>
      <c r="H210">
        <v>1</v>
      </c>
      <c r="I210">
        <v>10001</v>
      </c>
      <c r="J210">
        <v>30000</v>
      </c>
    </row>
    <row r="211" spans="2:10" x14ac:dyDescent="0.25">
      <c r="B211" t="s">
        <v>594</v>
      </c>
      <c r="C211">
        <v>0.15609999999999999</v>
      </c>
      <c r="D211">
        <v>0.36299999999999999</v>
      </c>
      <c r="E211">
        <v>1.468E-2</v>
      </c>
      <c r="F211">
        <v>0</v>
      </c>
      <c r="G211">
        <v>0</v>
      </c>
      <c r="H211">
        <v>1</v>
      </c>
      <c r="I211">
        <v>10001</v>
      </c>
      <c r="J211">
        <v>30000</v>
      </c>
    </row>
    <row r="212" spans="2:10" x14ac:dyDescent="0.25">
      <c r="B212" t="s">
        <v>595</v>
      </c>
      <c r="C212">
        <v>6.8029999999999993E-2</v>
      </c>
      <c r="D212">
        <v>0.25180000000000002</v>
      </c>
      <c r="E212">
        <v>6.1370000000000001E-3</v>
      </c>
      <c r="F212">
        <v>0</v>
      </c>
      <c r="G212">
        <v>0</v>
      </c>
      <c r="H212">
        <v>1</v>
      </c>
      <c r="I212">
        <v>10001</v>
      </c>
      <c r="J212">
        <v>30000</v>
      </c>
    </row>
    <row r="213" spans="2:10" x14ac:dyDescent="0.25">
      <c r="B213" t="s">
        <v>596</v>
      </c>
      <c r="C213">
        <v>3.9129999999999998E-2</v>
      </c>
      <c r="D213">
        <v>0.19389999999999999</v>
      </c>
      <c r="E213">
        <v>3.6150000000000002E-3</v>
      </c>
      <c r="F213">
        <v>0</v>
      </c>
      <c r="G213">
        <v>0</v>
      </c>
      <c r="H213">
        <v>1</v>
      </c>
      <c r="I213">
        <v>10001</v>
      </c>
      <c r="J213">
        <v>30000</v>
      </c>
    </row>
    <row r="214" spans="2:10" x14ac:dyDescent="0.25">
      <c r="B214" t="s">
        <v>597</v>
      </c>
      <c r="C214">
        <v>3.2629999999999999E-2</v>
      </c>
      <c r="D214">
        <v>0.1777</v>
      </c>
      <c r="E214">
        <v>3.202E-3</v>
      </c>
      <c r="F214">
        <v>0</v>
      </c>
      <c r="G214">
        <v>0</v>
      </c>
      <c r="H214">
        <v>1</v>
      </c>
      <c r="I214">
        <v>10001</v>
      </c>
      <c r="J214">
        <v>30000</v>
      </c>
    </row>
    <row r="215" spans="2:10" x14ac:dyDescent="0.25">
      <c r="B215" t="s">
        <v>598</v>
      </c>
      <c r="C215">
        <v>3.3399999999999999E-2</v>
      </c>
      <c r="D215">
        <v>0.1797</v>
      </c>
      <c r="E215">
        <v>2.7000000000000001E-3</v>
      </c>
      <c r="F215">
        <v>0</v>
      </c>
      <c r="G215">
        <v>0</v>
      </c>
      <c r="H215">
        <v>1</v>
      </c>
      <c r="I215">
        <v>10001</v>
      </c>
      <c r="J215">
        <v>30000</v>
      </c>
    </row>
    <row r="216" spans="2:10" x14ac:dyDescent="0.25">
      <c r="B216" t="s">
        <v>599</v>
      </c>
      <c r="C216">
        <v>3.807E-2</v>
      </c>
      <c r="D216">
        <v>0.19139999999999999</v>
      </c>
      <c r="E216">
        <v>3.0230000000000001E-3</v>
      </c>
      <c r="F216">
        <v>0</v>
      </c>
      <c r="G216">
        <v>0</v>
      </c>
      <c r="H216">
        <v>1</v>
      </c>
      <c r="I216">
        <v>10001</v>
      </c>
      <c r="J216">
        <v>30000</v>
      </c>
    </row>
    <row r="217" spans="2:10" x14ac:dyDescent="0.25">
      <c r="B217" t="s">
        <v>600</v>
      </c>
      <c r="C217">
        <v>5.3830000000000003E-2</v>
      </c>
      <c r="D217">
        <v>0.22570000000000001</v>
      </c>
      <c r="E217">
        <v>4.2779999999999997E-3</v>
      </c>
      <c r="F217">
        <v>0</v>
      </c>
      <c r="G217">
        <v>0</v>
      </c>
      <c r="H217">
        <v>1</v>
      </c>
      <c r="I217">
        <v>10001</v>
      </c>
      <c r="J217">
        <v>30000</v>
      </c>
    </row>
    <row r="218" spans="2:10" x14ac:dyDescent="0.25">
      <c r="B218" t="s">
        <v>601</v>
      </c>
      <c r="C218">
        <v>7.8969999999999999E-2</v>
      </c>
      <c r="D218">
        <v>0.2697</v>
      </c>
      <c r="E218">
        <v>6.0060000000000001E-3</v>
      </c>
      <c r="F218">
        <v>0</v>
      </c>
      <c r="G218">
        <v>0</v>
      </c>
      <c r="H218">
        <v>1</v>
      </c>
      <c r="I218">
        <v>10001</v>
      </c>
      <c r="J218">
        <v>30000</v>
      </c>
    </row>
    <row r="219" spans="2:10" x14ac:dyDescent="0.25">
      <c r="B219" t="s">
        <v>602</v>
      </c>
      <c r="C219">
        <v>0.1246</v>
      </c>
      <c r="D219">
        <v>0.33029999999999998</v>
      </c>
      <c r="E219">
        <v>9.1090000000000008E-3</v>
      </c>
      <c r="F219">
        <v>0</v>
      </c>
      <c r="G219">
        <v>0</v>
      </c>
      <c r="H219">
        <v>1</v>
      </c>
      <c r="I219">
        <v>10001</v>
      </c>
      <c r="J219">
        <v>30000</v>
      </c>
    </row>
    <row r="220" spans="2:10" x14ac:dyDescent="0.25">
      <c r="B220" t="s">
        <v>603</v>
      </c>
      <c r="C220">
        <v>0.37519999999999998</v>
      </c>
      <c r="D220">
        <v>0.48420000000000002</v>
      </c>
      <c r="E220">
        <v>2.1770000000000001E-2</v>
      </c>
      <c r="F220">
        <v>0</v>
      </c>
      <c r="G220">
        <v>0</v>
      </c>
      <c r="H220">
        <v>1</v>
      </c>
      <c r="I220">
        <v>10001</v>
      </c>
      <c r="J220">
        <v>30000</v>
      </c>
    </row>
    <row r="221" spans="2:10" x14ac:dyDescent="0.25">
      <c r="B221" t="s">
        <v>604</v>
      </c>
      <c r="C221">
        <v>0.39629999999999999</v>
      </c>
      <c r="D221">
        <v>0.48909999999999998</v>
      </c>
      <c r="E221">
        <v>2.239E-2</v>
      </c>
      <c r="F221">
        <v>0</v>
      </c>
      <c r="G221">
        <v>0</v>
      </c>
      <c r="H221">
        <v>1</v>
      </c>
      <c r="I221">
        <v>10001</v>
      </c>
      <c r="J221">
        <v>30000</v>
      </c>
    </row>
    <row r="222" spans="2:10" x14ac:dyDescent="0.25">
      <c r="B222" t="s">
        <v>605</v>
      </c>
      <c r="C222">
        <v>7.7530000000000002E-2</v>
      </c>
      <c r="D222">
        <v>0.26740000000000003</v>
      </c>
      <c r="E222">
        <v>7.2319999999999997E-3</v>
      </c>
      <c r="F222">
        <v>0</v>
      </c>
      <c r="G222">
        <v>0</v>
      </c>
      <c r="H222">
        <v>1</v>
      </c>
      <c r="I222">
        <v>10001</v>
      </c>
      <c r="J222">
        <v>30000</v>
      </c>
    </row>
    <row r="223" spans="2:10" x14ac:dyDescent="0.25">
      <c r="B223" t="s">
        <v>606</v>
      </c>
      <c r="C223">
        <v>3.2969999999999999E-2</v>
      </c>
      <c r="D223">
        <v>0.17849999999999999</v>
      </c>
      <c r="E223">
        <v>2.8679999999999999E-3</v>
      </c>
      <c r="F223">
        <v>0</v>
      </c>
      <c r="G223">
        <v>0</v>
      </c>
      <c r="H223">
        <v>1</v>
      </c>
      <c r="I223">
        <v>10001</v>
      </c>
      <c r="J223">
        <v>30000</v>
      </c>
    </row>
    <row r="224" spans="2:10" x14ac:dyDescent="0.25">
      <c r="B224" t="s">
        <v>607</v>
      </c>
      <c r="C224">
        <v>3.2099999999999997E-2</v>
      </c>
      <c r="D224">
        <v>0.17630000000000001</v>
      </c>
      <c r="E224">
        <v>2.5920000000000001E-3</v>
      </c>
      <c r="F224">
        <v>0</v>
      </c>
      <c r="G224">
        <v>0</v>
      </c>
      <c r="H224">
        <v>1</v>
      </c>
      <c r="I224">
        <v>10001</v>
      </c>
      <c r="J224">
        <v>30000</v>
      </c>
    </row>
    <row r="225" spans="2:10" x14ac:dyDescent="0.25">
      <c r="B225" t="s">
        <v>608</v>
      </c>
      <c r="C225">
        <v>3.0329999999999999E-2</v>
      </c>
      <c r="D225">
        <v>0.17150000000000001</v>
      </c>
      <c r="E225">
        <v>2.3930000000000002E-3</v>
      </c>
      <c r="F225">
        <v>0</v>
      </c>
      <c r="G225">
        <v>0</v>
      </c>
      <c r="H225">
        <v>1</v>
      </c>
      <c r="I225">
        <v>10001</v>
      </c>
      <c r="J225">
        <v>30000</v>
      </c>
    </row>
    <row r="226" spans="2:10" x14ac:dyDescent="0.25">
      <c r="B226" t="s">
        <v>609</v>
      </c>
      <c r="C226">
        <v>3.8330000000000003E-2</v>
      </c>
      <c r="D226">
        <v>0.192</v>
      </c>
      <c r="E226">
        <v>3.65E-3</v>
      </c>
      <c r="F226">
        <v>0</v>
      </c>
      <c r="G226">
        <v>0</v>
      </c>
      <c r="H226">
        <v>1</v>
      </c>
      <c r="I226">
        <v>10001</v>
      </c>
      <c r="J226">
        <v>30000</v>
      </c>
    </row>
    <row r="227" spans="2:10" x14ac:dyDescent="0.25">
      <c r="B227" t="s">
        <v>610</v>
      </c>
      <c r="C227">
        <v>5.1470000000000002E-2</v>
      </c>
      <c r="D227">
        <v>0.22090000000000001</v>
      </c>
      <c r="E227">
        <v>4.5279999999999999E-3</v>
      </c>
      <c r="F227">
        <v>0</v>
      </c>
      <c r="G227">
        <v>0</v>
      </c>
      <c r="H227">
        <v>1</v>
      </c>
      <c r="I227">
        <v>10001</v>
      </c>
      <c r="J227">
        <v>30000</v>
      </c>
    </row>
    <row r="228" spans="2:10" x14ac:dyDescent="0.25">
      <c r="B228" t="s">
        <v>611</v>
      </c>
      <c r="C228">
        <v>6.5629999999999994E-2</v>
      </c>
      <c r="D228">
        <v>0.24759999999999999</v>
      </c>
      <c r="E228">
        <v>5.6979999999999999E-3</v>
      </c>
      <c r="F228">
        <v>0</v>
      </c>
      <c r="G228">
        <v>0</v>
      </c>
      <c r="H228">
        <v>1</v>
      </c>
      <c r="I228">
        <v>10001</v>
      </c>
      <c r="J228">
        <v>30000</v>
      </c>
    </row>
    <row r="229" spans="2:10" x14ac:dyDescent="0.25">
      <c r="B229" t="s">
        <v>612</v>
      </c>
      <c r="C229">
        <v>0.1036</v>
      </c>
      <c r="D229">
        <v>0.30470000000000003</v>
      </c>
      <c r="E229">
        <v>9.0200000000000002E-3</v>
      </c>
      <c r="F229">
        <v>0</v>
      </c>
      <c r="G229">
        <v>0</v>
      </c>
      <c r="H229">
        <v>1</v>
      </c>
      <c r="I229">
        <v>10001</v>
      </c>
      <c r="J229">
        <v>30000</v>
      </c>
    </row>
    <row r="230" spans="2:10" x14ac:dyDescent="0.25">
      <c r="B230" t="s">
        <v>613</v>
      </c>
      <c r="C230">
        <v>0.17180000000000001</v>
      </c>
      <c r="D230">
        <v>0.37719999999999998</v>
      </c>
      <c r="E230">
        <v>1.6049999999999998E-2</v>
      </c>
      <c r="F230">
        <v>0</v>
      </c>
      <c r="G230">
        <v>0</v>
      </c>
      <c r="H230">
        <v>1</v>
      </c>
      <c r="I230">
        <v>10001</v>
      </c>
      <c r="J230">
        <v>30000</v>
      </c>
    </row>
    <row r="231" spans="2:10" x14ac:dyDescent="0.25">
      <c r="B231" t="s">
        <v>614</v>
      </c>
      <c r="C231">
        <v>3.1699999999999999E-2</v>
      </c>
      <c r="D231">
        <v>0.17519999999999999</v>
      </c>
      <c r="E231">
        <v>6.4180000000000001E-3</v>
      </c>
      <c r="F231">
        <v>0</v>
      </c>
      <c r="G231">
        <v>0</v>
      </c>
      <c r="H231">
        <v>1</v>
      </c>
      <c r="I231">
        <v>10001</v>
      </c>
      <c r="J231">
        <v>30000</v>
      </c>
    </row>
    <row r="232" spans="2:10" x14ac:dyDescent="0.25">
      <c r="B232" t="s">
        <v>615</v>
      </c>
      <c r="C232">
        <v>3.0329999999999999E-2</v>
      </c>
      <c r="D232">
        <v>0.17150000000000001</v>
      </c>
      <c r="E232">
        <v>4.2900000000000004E-3</v>
      </c>
      <c r="F232">
        <v>0</v>
      </c>
      <c r="G232">
        <v>0</v>
      </c>
      <c r="H232">
        <v>1</v>
      </c>
      <c r="I232">
        <v>10001</v>
      </c>
      <c r="J232">
        <v>30000</v>
      </c>
    </row>
    <row r="233" spans="2:10" x14ac:dyDescent="0.25">
      <c r="B233" t="s">
        <v>616</v>
      </c>
      <c r="C233">
        <v>2.9770000000000001E-2</v>
      </c>
      <c r="D233">
        <v>0.1699</v>
      </c>
      <c r="E233">
        <v>3.5010000000000002E-3</v>
      </c>
      <c r="F233">
        <v>0</v>
      </c>
      <c r="G233">
        <v>0</v>
      </c>
      <c r="H233">
        <v>1</v>
      </c>
      <c r="I233">
        <v>10001</v>
      </c>
      <c r="J233">
        <v>30000</v>
      </c>
    </row>
    <row r="234" spans="2:10" x14ac:dyDescent="0.25">
      <c r="B234" t="s">
        <v>617</v>
      </c>
      <c r="C234">
        <v>3.2370000000000003E-2</v>
      </c>
      <c r="D234">
        <v>0.17699999999999999</v>
      </c>
      <c r="E234">
        <v>3.607E-3</v>
      </c>
      <c r="F234">
        <v>0</v>
      </c>
      <c r="G234">
        <v>0</v>
      </c>
      <c r="H234">
        <v>1</v>
      </c>
      <c r="I234">
        <v>10001</v>
      </c>
      <c r="J234">
        <v>30000</v>
      </c>
    </row>
    <row r="235" spans="2:10" x14ac:dyDescent="0.25">
      <c r="B235" t="s">
        <v>618</v>
      </c>
      <c r="C235">
        <v>3.78E-2</v>
      </c>
      <c r="D235">
        <v>0.19070000000000001</v>
      </c>
      <c r="E235">
        <v>3.4770000000000001E-3</v>
      </c>
      <c r="F235">
        <v>0</v>
      </c>
      <c r="G235">
        <v>0</v>
      </c>
      <c r="H235">
        <v>1</v>
      </c>
      <c r="I235">
        <v>10001</v>
      </c>
      <c r="J235">
        <v>30000</v>
      </c>
    </row>
    <row r="236" spans="2:10" x14ac:dyDescent="0.25">
      <c r="B236" t="s">
        <v>619</v>
      </c>
      <c r="C236">
        <v>4.5199999999999997E-2</v>
      </c>
      <c r="D236">
        <v>0.2077</v>
      </c>
      <c r="E236">
        <v>3.307E-3</v>
      </c>
      <c r="F236">
        <v>0</v>
      </c>
      <c r="G236">
        <v>0</v>
      </c>
      <c r="H236">
        <v>1</v>
      </c>
      <c r="I236">
        <v>10001</v>
      </c>
      <c r="J236">
        <v>30000</v>
      </c>
    </row>
    <row r="237" spans="2:10" x14ac:dyDescent="0.25">
      <c r="B237" t="s">
        <v>620</v>
      </c>
      <c r="C237">
        <v>8.3269999999999997E-2</v>
      </c>
      <c r="D237">
        <v>0.27629999999999999</v>
      </c>
      <c r="E237">
        <v>5.489E-3</v>
      </c>
      <c r="F237">
        <v>0</v>
      </c>
      <c r="G237">
        <v>0</v>
      </c>
      <c r="H237">
        <v>1</v>
      </c>
      <c r="I237">
        <v>10001</v>
      </c>
      <c r="J237">
        <v>30000</v>
      </c>
    </row>
    <row r="238" spans="2:10" x14ac:dyDescent="0.25">
      <c r="B238" t="s">
        <v>621</v>
      </c>
      <c r="C238">
        <v>0.13500000000000001</v>
      </c>
      <c r="D238">
        <v>0.3417</v>
      </c>
      <c r="E238">
        <v>7.4780000000000003E-3</v>
      </c>
      <c r="F238">
        <v>0</v>
      </c>
      <c r="G238">
        <v>0</v>
      </c>
      <c r="H238">
        <v>1</v>
      </c>
      <c r="I238">
        <v>10001</v>
      </c>
      <c r="J238">
        <v>30000</v>
      </c>
    </row>
    <row r="239" spans="2:10" x14ac:dyDescent="0.25">
      <c r="B239" t="s">
        <v>622</v>
      </c>
      <c r="C239">
        <v>0.2903</v>
      </c>
      <c r="D239">
        <v>0.45390000000000003</v>
      </c>
      <c r="E239">
        <v>1.4030000000000001E-2</v>
      </c>
      <c r="F239">
        <v>0</v>
      </c>
      <c r="G239">
        <v>0</v>
      </c>
      <c r="H239">
        <v>1</v>
      </c>
      <c r="I239">
        <v>10001</v>
      </c>
      <c r="J239">
        <v>30000</v>
      </c>
    </row>
    <row r="240" spans="2:10" x14ac:dyDescent="0.25">
      <c r="B240" t="s">
        <v>623</v>
      </c>
      <c r="C240">
        <v>0.2843</v>
      </c>
      <c r="D240">
        <v>0.4511</v>
      </c>
      <c r="E240">
        <v>1.7430000000000001E-2</v>
      </c>
      <c r="F240">
        <v>0</v>
      </c>
      <c r="G240">
        <v>0</v>
      </c>
      <c r="H240">
        <v>1</v>
      </c>
      <c r="I240">
        <v>10001</v>
      </c>
      <c r="J240">
        <v>30000</v>
      </c>
    </row>
    <row r="241" spans="2:10" x14ac:dyDescent="0.25">
      <c r="B241" t="s">
        <v>624</v>
      </c>
      <c r="C241">
        <v>6.7470000000000002E-2</v>
      </c>
      <c r="D241">
        <v>0.25080000000000002</v>
      </c>
      <c r="E241">
        <v>7.8359999999999992E-3</v>
      </c>
      <c r="F241">
        <v>0</v>
      </c>
      <c r="G241">
        <v>0</v>
      </c>
      <c r="H241">
        <v>1</v>
      </c>
      <c r="I241">
        <v>10001</v>
      </c>
      <c r="J241">
        <v>30000</v>
      </c>
    </row>
    <row r="242" spans="2:10" x14ac:dyDescent="0.25">
      <c r="B242" t="s">
        <v>625</v>
      </c>
      <c r="C242">
        <v>0.1231</v>
      </c>
      <c r="D242">
        <v>0.3286</v>
      </c>
      <c r="E242">
        <v>8.482E-3</v>
      </c>
      <c r="F242">
        <v>0</v>
      </c>
      <c r="G242">
        <v>0</v>
      </c>
      <c r="H242">
        <v>1</v>
      </c>
      <c r="I242">
        <v>10001</v>
      </c>
      <c r="J242">
        <v>30000</v>
      </c>
    </row>
    <row r="243" spans="2:10" x14ac:dyDescent="0.25">
      <c r="B243" t="s">
        <v>626</v>
      </c>
      <c r="C243">
        <v>0.14000000000000001</v>
      </c>
      <c r="D243">
        <v>0.34699999999999998</v>
      </c>
      <c r="E243">
        <v>7.1370000000000001E-3</v>
      </c>
      <c r="F243">
        <v>0</v>
      </c>
      <c r="G243">
        <v>0</v>
      </c>
      <c r="H243">
        <v>1</v>
      </c>
      <c r="I243">
        <v>10001</v>
      </c>
      <c r="J243">
        <v>30000</v>
      </c>
    </row>
    <row r="244" spans="2:10" x14ac:dyDescent="0.25">
      <c r="B244" t="s">
        <v>627</v>
      </c>
      <c r="C244">
        <v>0.1384</v>
      </c>
      <c r="D244">
        <v>0.3453</v>
      </c>
      <c r="E244">
        <v>6.1619999999999999E-3</v>
      </c>
      <c r="F244">
        <v>0</v>
      </c>
      <c r="G244">
        <v>0</v>
      </c>
      <c r="H244">
        <v>1</v>
      </c>
      <c r="I244">
        <v>10001</v>
      </c>
      <c r="J244">
        <v>30000</v>
      </c>
    </row>
    <row r="245" spans="2:10" x14ac:dyDescent="0.25">
      <c r="B245" t="s">
        <v>628</v>
      </c>
      <c r="C245">
        <v>0.1434</v>
      </c>
      <c r="D245">
        <v>0.35039999999999999</v>
      </c>
      <c r="E245">
        <v>6.0899999999999999E-3</v>
      </c>
      <c r="F245">
        <v>0</v>
      </c>
      <c r="G245">
        <v>0</v>
      </c>
      <c r="H245">
        <v>1</v>
      </c>
      <c r="I245">
        <v>10001</v>
      </c>
      <c r="J245">
        <v>30000</v>
      </c>
    </row>
    <row r="246" spans="2:10" x14ac:dyDescent="0.25">
      <c r="B246" t="s">
        <v>629</v>
      </c>
      <c r="C246">
        <v>0.1648</v>
      </c>
      <c r="D246">
        <v>0.371</v>
      </c>
      <c r="E246">
        <v>8.0129999999999993E-3</v>
      </c>
      <c r="F246">
        <v>0</v>
      </c>
      <c r="G246">
        <v>0</v>
      </c>
      <c r="H246">
        <v>1</v>
      </c>
      <c r="I246">
        <v>10001</v>
      </c>
      <c r="J246">
        <v>30000</v>
      </c>
    </row>
    <row r="247" spans="2:10" x14ac:dyDescent="0.25">
      <c r="B247" t="s">
        <v>630</v>
      </c>
      <c r="C247">
        <v>0.12180000000000001</v>
      </c>
      <c r="D247">
        <v>0.32700000000000001</v>
      </c>
      <c r="E247">
        <v>6.9319999999999998E-3</v>
      </c>
      <c r="F247">
        <v>0</v>
      </c>
      <c r="G247">
        <v>0</v>
      </c>
      <c r="H247">
        <v>1</v>
      </c>
      <c r="I247">
        <v>10001</v>
      </c>
      <c r="J247">
        <v>30000</v>
      </c>
    </row>
    <row r="248" spans="2:10" x14ac:dyDescent="0.25">
      <c r="B248" t="s">
        <v>631</v>
      </c>
      <c r="C248">
        <v>7.1300000000000002E-2</v>
      </c>
      <c r="D248">
        <v>0.25729999999999997</v>
      </c>
      <c r="E248">
        <v>5.9420000000000002E-3</v>
      </c>
      <c r="F248">
        <v>0</v>
      </c>
      <c r="G248">
        <v>0</v>
      </c>
      <c r="H248">
        <v>1</v>
      </c>
      <c r="I248">
        <v>10001</v>
      </c>
      <c r="J248">
        <v>30000</v>
      </c>
    </row>
    <row r="249" spans="2:10" x14ac:dyDescent="0.25">
      <c r="B249" t="s">
        <v>632</v>
      </c>
      <c r="C249">
        <v>2.513E-2</v>
      </c>
      <c r="D249">
        <v>0.1565</v>
      </c>
      <c r="E249">
        <v>3.6470000000000001E-3</v>
      </c>
      <c r="F249">
        <v>0</v>
      </c>
      <c r="G249">
        <v>0</v>
      </c>
      <c r="H249">
        <v>1</v>
      </c>
      <c r="I249">
        <v>10001</v>
      </c>
      <c r="J249">
        <v>30000</v>
      </c>
    </row>
    <row r="250" spans="2:10" x14ac:dyDescent="0.25">
      <c r="B250" t="s">
        <v>633</v>
      </c>
      <c r="C250">
        <v>4.633E-3</v>
      </c>
      <c r="D250">
        <v>6.7909999999999998E-2</v>
      </c>
      <c r="E250">
        <v>2.1949999999999999E-3</v>
      </c>
      <c r="F250">
        <v>0</v>
      </c>
      <c r="G250">
        <v>0</v>
      </c>
      <c r="H250">
        <v>0</v>
      </c>
      <c r="I250">
        <v>10001</v>
      </c>
      <c r="J250">
        <v>30000</v>
      </c>
    </row>
    <row r="251" spans="2:10" x14ac:dyDescent="0.25">
      <c r="B251" t="s">
        <v>634</v>
      </c>
      <c r="C251">
        <v>0</v>
      </c>
      <c r="D251">
        <v>0</v>
      </c>
      <c r="E251" s="13">
        <v>3.333E-13</v>
      </c>
      <c r="F251">
        <v>0</v>
      </c>
      <c r="G251">
        <v>0</v>
      </c>
      <c r="H251">
        <v>0</v>
      </c>
      <c r="I251">
        <v>10001</v>
      </c>
      <c r="J251">
        <v>30000</v>
      </c>
    </row>
    <row r="252" spans="2:10" x14ac:dyDescent="0.25">
      <c r="B252" t="s">
        <v>635</v>
      </c>
      <c r="C252" s="13">
        <v>1.6670000000000001E-4</v>
      </c>
      <c r="D252">
        <v>1.291E-2</v>
      </c>
      <c r="E252" s="13">
        <v>1.1069999999999999E-4</v>
      </c>
      <c r="F252">
        <v>0</v>
      </c>
      <c r="G252">
        <v>0</v>
      </c>
      <c r="H252">
        <v>0</v>
      </c>
      <c r="I252">
        <v>10001</v>
      </c>
      <c r="J252">
        <v>30000</v>
      </c>
    </row>
    <row r="253" spans="2:10" x14ac:dyDescent="0.25">
      <c r="B253" t="s">
        <v>636</v>
      </c>
      <c r="C253" s="13">
        <v>8.3330000000000003E-4</v>
      </c>
      <c r="D253">
        <v>2.886E-2</v>
      </c>
      <c r="E253" s="13">
        <v>2.4369999999999999E-4</v>
      </c>
      <c r="F253">
        <v>0</v>
      </c>
      <c r="G253">
        <v>0</v>
      </c>
      <c r="H253">
        <v>0</v>
      </c>
      <c r="I253">
        <v>10001</v>
      </c>
      <c r="J253">
        <v>30000</v>
      </c>
    </row>
    <row r="254" spans="2:10" x14ac:dyDescent="0.25">
      <c r="B254" t="s">
        <v>637</v>
      </c>
      <c r="C254">
        <v>6.6E-3</v>
      </c>
      <c r="D254">
        <v>8.097E-2</v>
      </c>
      <c r="E254">
        <v>1.3699999999999999E-3</v>
      </c>
      <c r="F254">
        <v>0</v>
      </c>
      <c r="G254">
        <v>0</v>
      </c>
      <c r="H254">
        <v>0</v>
      </c>
      <c r="I254">
        <v>10001</v>
      </c>
      <c r="J254">
        <v>30000</v>
      </c>
    </row>
    <row r="255" spans="2:10" x14ac:dyDescent="0.25">
      <c r="B255" t="s">
        <v>638</v>
      </c>
      <c r="C255">
        <v>2.2530000000000001E-2</v>
      </c>
      <c r="D255">
        <v>0.1484</v>
      </c>
      <c r="E255">
        <v>2.9870000000000001E-3</v>
      </c>
      <c r="F255">
        <v>0</v>
      </c>
      <c r="G255">
        <v>0</v>
      </c>
      <c r="H255">
        <v>0</v>
      </c>
      <c r="I255">
        <v>10001</v>
      </c>
      <c r="J255">
        <v>30000</v>
      </c>
    </row>
    <row r="256" spans="2:10" x14ac:dyDescent="0.25">
      <c r="B256" t="s">
        <v>639</v>
      </c>
      <c r="C256">
        <v>0.08</v>
      </c>
      <c r="D256">
        <v>0.27129999999999999</v>
      </c>
      <c r="E256">
        <v>7.0169999999999998E-3</v>
      </c>
      <c r="F256">
        <v>0</v>
      </c>
      <c r="G256">
        <v>0</v>
      </c>
      <c r="H256">
        <v>1</v>
      </c>
      <c r="I256">
        <v>10001</v>
      </c>
      <c r="J256">
        <v>30000</v>
      </c>
    </row>
    <row r="257" spans="2:10" x14ac:dyDescent="0.25">
      <c r="B257" t="s">
        <v>640</v>
      </c>
      <c r="C257">
        <v>0.21210000000000001</v>
      </c>
      <c r="D257">
        <v>0.4088</v>
      </c>
      <c r="E257">
        <v>1.051E-2</v>
      </c>
      <c r="F257">
        <v>0</v>
      </c>
      <c r="G257">
        <v>0</v>
      </c>
      <c r="H257">
        <v>1</v>
      </c>
      <c r="I257">
        <v>10001</v>
      </c>
      <c r="J257">
        <v>30000</v>
      </c>
    </row>
    <row r="258" spans="2:10" x14ac:dyDescent="0.25">
      <c r="B258" t="s">
        <v>641</v>
      </c>
      <c r="C258">
        <v>0.33229999999999998</v>
      </c>
      <c r="D258">
        <v>0.47099999999999997</v>
      </c>
      <c r="E258">
        <v>1.09E-2</v>
      </c>
      <c r="F258">
        <v>0</v>
      </c>
      <c r="G258">
        <v>0</v>
      </c>
      <c r="H258">
        <v>1</v>
      </c>
      <c r="I258">
        <v>10001</v>
      </c>
      <c r="J258">
        <v>30000</v>
      </c>
    </row>
    <row r="259" spans="2:10" x14ac:dyDescent="0.25">
      <c r="B259" t="s">
        <v>642</v>
      </c>
      <c r="C259">
        <v>0.26179999999999998</v>
      </c>
      <c r="D259">
        <v>0.43959999999999999</v>
      </c>
      <c r="E259">
        <v>1.2109999999999999E-2</v>
      </c>
      <c r="F259">
        <v>0</v>
      </c>
      <c r="G259">
        <v>0</v>
      </c>
      <c r="H259">
        <v>1</v>
      </c>
      <c r="I259">
        <v>10001</v>
      </c>
      <c r="J259">
        <v>30000</v>
      </c>
    </row>
    <row r="260" spans="2:10" x14ac:dyDescent="0.25">
      <c r="B260" t="s">
        <v>643</v>
      </c>
      <c r="C260">
        <v>8.3699999999999997E-2</v>
      </c>
      <c r="D260">
        <v>0.27689999999999998</v>
      </c>
      <c r="E260">
        <v>9.2650000000000007E-3</v>
      </c>
      <c r="F260">
        <v>0</v>
      </c>
      <c r="G260">
        <v>0</v>
      </c>
      <c r="H260">
        <v>1</v>
      </c>
      <c r="I260">
        <v>10001</v>
      </c>
      <c r="J260">
        <v>30000</v>
      </c>
    </row>
    <row r="261" spans="2:10" x14ac:dyDescent="0.25">
      <c r="B261" t="s">
        <v>644</v>
      </c>
      <c r="C261">
        <v>1.6739999999999999</v>
      </c>
      <c r="D261">
        <v>1.639</v>
      </c>
      <c r="E261">
        <v>2.726E-2</v>
      </c>
      <c r="F261">
        <v>4.7E-2</v>
      </c>
      <c r="G261">
        <v>1.2010000000000001</v>
      </c>
      <c r="H261">
        <v>5.968</v>
      </c>
      <c r="I261">
        <v>10001</v>
      </c>
      <c r="J261">
        <v>30000</v>
      </c>
    </row>
    <row r="262" spans="2:10" x14ac:dyDescent="0.25">
      <c r="B262" t="s">
        <v>645</v>
      </c>
      <c r="C262">
        <v>1.7010000000000001</v>
      </c>
      <c r="D262">
        <v>1.706</v>
      </c>
      <c r="E262">
        <v>3.1890000000000002E-2</v>
      </c>
      <c r="F262">
        <v>4.4110000000000003E-2</v>
      </c>
      <c r="G262">
        <v>1.1779999999999999</v>
      </c>
      <c r="H262">
        <v>6.274</v>
      </c>
      <c r="I262">
        <v>10001</v>
      </c>
      <c r="J262">
        <v>30000</v>
      </c>
    </row>
    <row r="263" spans="2:10" x14ac:dyDescent="0.25">
      <c r="B263" t="s">
        <v>646</v>
      </c>
      <c r="C263">
        <v>1.86</v>
      </c>
      <c r="D263">
        <v>1.8129999999999999</v>
      </c>
      <c r="E263">
        <v>3.5979999999999998E-2</v>
      </c>
      <c r="F263">
        <v>5.0709999999999998E-2</v>
      </c>
      <c r="G263">
        <v>1.3160000000000001</v>
      </c>
      <c r="H263">
        <v>6.6319999999999997</v>
      </c>
      <c r="I263">
        <v>10001</v>
      </c>
      <c r="J263">
        <v>30000</v>
      </c>
    </row>
    <row r="264" spans="2:10" x14ac:dyDescent="0.25">
      <c r="B264" t="s">
        <v>647</v>
      </c>
      <c r="C264">
        <v>1.5269999999999999</v>
      </c>
      <c r="D264">
        <v>1.528</v>
      </c>
      <c r="E264">
        <v>1.7299999999999999E-2</v>
      </c>
      <c r="F264">
        <v>9.1859999999999997E-2</v>
      </c>
      <c r="G264">
        <v>1.0640000000000001</v>
      </c>
      <c r="H264">
        <v>5.7460000000000004</v>
      </c>
      <c r="I264">
        <v>10001</v>
      </c>
      <c r="J264">
        <v>30000</v>
      </c>
    </row>
    <row r="265" spans="2:10" x14ac:dyDescent="0.25">
      <c r="B265" t="s">
        <v>648</v>
      </c>
      <c r="C265">
        <v>1.56</v>
      </c>
      <c r="D265">
        <v>1.534</v>
      </c>
      <c r="E265">
        <v>1.856E-2</v>
      </c>
      <c r="F265">
        <v>9.9379999999999996E-2</v>
      </c>
      <c r="G265">
        <v>1.0920000000000001</v>
      </c>
      <c r="H265">
        <v>5.8140000000000001</v>
      </c>
      <c r="I265">
        <v>10001</v>
      </c>
      <c r="J265">
        <v>30000</v>
      </c>
    </row>
    <row r="266" spans="2:10" x14ac:dyDescent="0.25">
      <c r="B266" t="s">
        <v>649</v>
      </c>
      <c r="C266">
        <v>1.6060000000000001</v>
      </c>
      <c r="D266">
        <v>1.639</v>
      </c>
      <c r="E266">
        <v>2.8819999999999998E-2</v>
      </c>
      <c r="F266">
        <v>4.1910000000000003E-2</v>
      </c>
      <c r="G266">
        <v>1.1080000000000001</v>
      </c>
      <c r="H266">
        <v>6.0419999999999998</v>
      </c>
      <c r="I266">
        <v>10001</v>
      </c>
      <c r="J266">
        <v>30000</v>
      </c>
    </row>
    <row r="267" spans="2:10" x14ac:dyDescent="0.25">
      <c r="B267" t="s">
        <v>650</v>
      </c>
      <c r="C267">
        <v>2.6560000000000001</v>
      </c>
      <c r="D267">
        <v>1.8180000000000001</v>
      </c>
      <c r="E267">
        <v>4.4639999999999999E-2</v>
      </c>
      <c r="F267">
        <v>0.49630000000000002</v>
      </c>
      <c r="G267">
        <v>2.222</v>
      </c>
      <c r="H267">
        <v>7.4379999999999997</v>
      </c>
      <c r="I267">
        <v>10001</v>
      </c>
      <c r="J267">
        <v>30000</v>
      </c>
    </row>
    <row r="268" spans="2:10" x14ac:dyDescent="0.25">
      <c r="B268" t="s">
        <v>651</v>
      </c>
      <c r="C268">
        <v>2.2389999999999999</v>
      </c>
      <c r="D268">
        <v>1.591</v>
      </c>
      <c r="E268">
        <v>2.5510000000000001E-2</v>
      </c>
      <c r="F268">
        <v>0.43130000000000002</v>
      </c>
      <c r="G268">
        <v>1.835</v>
      </c>
      <c r="H268">
        <v>6.585</v>
      </c>
      <c r="I268">
        <v>10001</v>
      </c>
      <c r="J268">
        <v>30000</v>
      </c>
    </row>
    <row r="269" spans="2:10" x14ac:dyDescent="0.25">
      <c r="B269" t="s">
        <v>652</v>
      </c>
      <c r="C269">
        <v>2.1429999999999998</v>
      </c>
      <c r="D269">
        <v>2.202</v>
      </c>
      <c r="E269">
        <v>7.331E-2</v>
      </c>
      <c r="F269">
        <v>5.57E-2</v>
      </c>
      <c r="G269">
        <v>1.468</v>
      </c>
      <c r="H269">
        <v>7.9939999999999998</v>
      </c>
      <c r="I269">
        <v>10001</v>
      </c>
      <c r="J269">
        <v>30000</v>
      </c>
    </row>
    <row r="270" spans="2:10" x14ac:dyDescent="0.25">
      <c r="B270" t="s">
        <v>653</v>
      </c>
      <c r="C270">
        <v>2.0859999999999999</v>
      </c>
      <c r="D270">
        <v>2.09</v>
      </c>
      <c r="E270">
        <v>4.8439999999999997E-2</v>
      </c>
      <c r="F270">
        <v>5.4039999999999998E-2</v>
      </c>
      <c r="G270">
        <v>1.4330000000000001</v>
      </c>
      <c r="H270">
        <v>7.85</v>
      </c>
      <c r="I270">
        <v>10001</v>
      </c>
      <c r="J270">
        <v>30000</v>
      </c>
    </row>
    <row r="271" spans="2:10" x14ac:dyDescent="0.25">
      <c r="B271" t="s">
        <v>654</v>
      </c>
      <c r="C271">
        <v>1.3660000000000001</v>
      </c>
      <c r="D271">
        <v>1.494</v>
      </c>
      <c r="E271">
        <v>1.6389999999999998E-2</v>
      </c>
      <c r="F271">
        <v>3.7539999999999997E-2</v>
      </c>
      <c r="G271">
        <v>0.87990000000000002</v>
      </c>
      <c r="H271">
        <v>5.5069999999999997</v>
      </c>
      <c r="I271">
        <v>10001</v>
      </c>
      <c r="J271">
        <v>30000</v>
      </c>
    </row>
    <row r="272" spans="2:10" x14ac:dyDescent="0.25">
      <c r="B272" t="s">
        <v>655</v>
      </c>
      <c r="C272">
        <v>2.1779999999999999</v>
      </c>
      <c r="D272">
        <v>2.093</v>
      </c>
      <c r="E272">
        <v>6.8459999999999993E-2</v>
      </c>
      <c r="F272">
        <v>5.5640000000000002E-2</v>
      </c>
      <c r="G272">
        <v>1.5289999999999999</v>
      </c>
      <c r="H272">
        <v>7.7409999999999997</v>
      </c>
      <c r="I272">
        <v>10001</v>
      </c>
      <c r="J272">
        <v>30000</v>
      </c>
    </row>
    <row r="273" spans="2:10" x14ac:dyDescent="0.25">
      <c r="B273" t="s">
        <v>656</v>
      </c>
      <c r="C273">
        <v>2.3820000000000001</v>
      </c>
      <c r="D273">
        <v>1.8560000000000001</v>
      </c>
      <c r="E273">
        <v>4.6879999999999998E-2</v>
      </c>
      <c r="F273">
        <v>0.1731</v>
      </c>
      <c r="G273">
        <v>1.9430000000000001</v>
      </c>
      <c r="H273">
        <v>7.1529999999999996</v>
      </c>
      <c r="I273">
        <v>10001</v>
      </c>
      <c r="J273">
        <v>30000</v>
      </c>
    </row>
    <row r="274" spans="2:10" x14ac:dyDescent="0.25">
      <c r="B274" t="s">
        <v>657</v>
      </c>
      <c r="C274">
        <v>1.823</v>
      </c>
      <c r="D274">
        <v>1.64</v>
      </c>
      <c r="E274">
        <v>3.007E-2</v>
      </c>
      <c r="F274">
        <v>8.0649999999999999E-2</v>
      </c>
      <c r="G274">
        <v>1.39</v>
      </c>
      <c r="H274">
        <v>6.069</v>
      </c>
      <c r="I274">
        <v>10001</v>
      </c>
      <c r="J274">
        <v>30000</v>
      </c>
    </row>
    <row r="275" spans="2:10" x14ac:dyDescent="0.25">
      <c r="B275" t="s">
        <v>658</v>
      </c>
      <c r="C275">
        <v>1.694</v>
      </c>
      <c r="D275">
        <v>1.546</v>
      </c>
      <c r="E275">
        <v>1.9179999999999999E-2</v>
      </c>
      <c r="F275">
        <v>0.1484</v>
      </c>
      <c r="G275">
        <v>1.234</v>
      </c>
      <c r="H275">
        <v>5.9240000000000004</v>
      </c>
      <c r="I275">
        <v>10001</v>
      </c>
      <c r="J275">
        <v>30000</v>
      </c>
    </row>
    <row r="276" spans="2:10" x14ac:dyDescent="0.25">
      <c r="B276" t="s">
        <v>659</v>
      </c>
      <c r="C276">
        <v>1.395</v>
      </c>
      <c r="D276">
        <v>1.5109999999999999</v>
      </c>
      <c r="E276">
        <v>1.6619999999999999E-2</v>
      </c>
      <c r="F276">
        <v>3.4130000000000001E-2</v>
      </c>
      <c r="G276">
        <v>0.91859999999999997</v>
      </c>
      <c r="H276">
        <v>5.5720000000000001</v>
      </c>
      <c r="I276">
        <v>10001</v>
      </c>
      <c r="J276">
        <v>30000</v>
      </c>
    </row>
    <row r="277" spans="2:10" x14ac:dyDescent="0.25">
      <c r="B277" t="s">
        <v>660</v>
      </c>
      <c r="C277">
        <v>1.589</v>
      </c>
      <c r="D277">
        <v>1.597</v>
      </c>
      <c r="E277">
        <v>2.4819999999999998E-2</v>
      </c>
      <c r="F277">
        <v>4.6330000000000003E-2</v>
      </c>
      <c r="G277">
        <v>1.1200000000000001</v>
      </c>
      <c r="H277">
        <v>5.9429999999999996</v>
      </c>
      <c r="I277">
        <v>10001</v>
      </c>
      <c r="J277">
        <v>30000</v>
      </c>
    </row>
    <row r="278" spans="2:10" x14ac:dyDescent="0.25">
      <c r="B278" t="s">
        <v>661</v>
      </c>
      <c r="C278">
        <v>2.0539999999999998</v>
      </c>
      <c r="D278">
        <v>1.591</v>
      </c>
      <c r="E278">
        <v>2.2540000000000001E-2</v>
      </c>
      <c r="F278">
        <v>0.33810000000000001</v>
      </c>
      <c r="G278">
        <v>1.621</v>
      </c>
      <c r="H278">
        <v>6.359</v>
      </c>
      <c r="I278">
        <v>10001</v>
      </c>
      <c r="J278">
        <v>30000</v>
      </c>
    </row>
    <row r="279" spans="2:10" x14ac:dyDescent="0.25">
      <c r="B279" t="s">
        <v>662</v>
      </c>
      <c r="C279">
        <v>1.323</v>
      </c>
      <c r="D279">
        <v>1.492</v>
      </c>
      <c r="E279">
        <v>1.5740000000000001E-2</v>
      </c>
      <c r="F279">
        <v>2.9069999999999999E-2</v>
      </c>
      <c r="G279">
        <v>0.83099999999999996</v>
      </c>
      <c r="H279">
        <v>5.3789999999999996</v>
      </c>
      <c r="I279">
        <v>10001</v>
      </c>
      <c r="J279">
        <v>30000</v>
      </c>
    </row>
    <row r="280" spans="2:10" x14ac:dyDescent="0.25">
      <c r="B280" t="s">
        <v>663</v>
      </c>
      <c r="C280">
        <v>2.423</v>
      </c>
      <c r="D280">
        <v>2.3719999999999999</v>
      </c>
      <c r="E280">
        <v>9.2130000000000004E-2</v>
      </c>
      <c r="F280">
        <v>5.9200000000000003E-2</v>
      </c>
      <c r="G280">
        <v>1.6930000000000001</v>
      </c>
      <c r="H280">
        <v>9.0389999999999997</v>
      </c>
      <c r="I280">
        <v>10001</v>
      </c>
      <c r="J280">
        <v>30000</v>
      </c>
    </row>
    <row r="281" spans="2:10" x14ac:dyDescent="0.25">
      <c r="B281" t="s">
        <v>664</v>
      </c>
      <c r="C281">
        <v>1.383</v>
      </c>
      <c r="D281">
        <v>1.5289999999999999</v>
      </c>
      <c r="E281">
        <v>1.4200000000000001E-2</v>
      </c>
      <c r="F281">
        <v>5.1220000000000002E-2</v>
      </c>
      <c r="G281">
        <v>0.87829999999999997</v>
      </c>
      <c r="H281">
        <v>5.71</v>
      </c>
      <c r="I281">
        <v>10001</v>
      </c>
      <c r="J281">
        <v>30000</v>
      </c>
    </row>
    <row r="282" spans="2:10" x14ac:dyDescent="0.25">
      <c r="B282" t="s">
        <v>665</v>
      </c>
      <c r="C282">
        <v>1.24</v>
      </c>
      <c r="D282">
        <v>1.464</v>
      </c>
      <c r="E282">
        <v>1.243E-2</v>
      </c>
      <c r="F282">
        <v>2.393E-2</v>
      </c>
      <c r="G282">
        <v>0.73450000000000004</v>
      </c>
      <c r="H282">
        <v>5.3890000000000002</v>
      </c>
      <c r="I282">
        <v>10001</v>
      </c>
      <c r="J282">
        <v>30000</v>
      </c>
    </row>
    <row r="283" spans="2:10" x14ac:dyDescent="0.25">
      <c r="B283" t="s">
        <v>666</v>
      </c>
      <c r="C283">
        <v>1.2350000000000001</v>
      </c>
      <c r="D283">
        <v>1.4570000000000001</v>
      </c>
      <c r="E283">
        <v>1.1089999999999999E-2</v>
      </c>
      <c r="F283">
        <v>2.598E-2</v>
      </c>
      <c r="G283">
        <v>0.7339</v>
      </c>
      <c r="H283">
        <v>5.2889999999999997</v>
      </c>
      <c r="I283">
        <v>10001</v>
      </c>
      <c r="J283">
        <v>30000</v>
      </c>
    </row>
    <row r="284" spans="2:10" x14ac:dyDescent="0.25">
      <c r="B284" t="s">
        <v>667</v>
      </c>
      <c r="C284">
        <v>1.321</v>
      </c>
      <c r="D284">
        <v>1.5149999999999999</v>
      </c>
      <c r="E284">
        <v>1.585E-2</v>
      </c>
      <c r="F284">
        <v>2.3740000000000001E-2</v>
      </c>
      <c r="G284">
        <v>0.8175</v>
      </c>
      <c r="H284">
        <v>5.43</v>
      </c>
      <c r="I284">
        <v>10001</v>
      </c>
      <c r="J284">
        <v>30000</v>
      </c>
    </row>
    <row r="285" spans="2:10" x14ac:dyDescent="0.25">
      <c r="B285" t="s">
        <v>668</v>
      </c>
      <c r="C285">
        <v>1.472</v>
      </c>
      <c r="D285">
        <v>1.5369999999999999</v>
      </c>
      <c r="E285">
        <v>2.4379999999999999E-2</v>
      </c>
      <c r="F285">
        <v>4.1279999999999997E-2</v>
      </c>
      <c r="G285">
        <v>0.99609999999999999</v>
      </c>
      <c r="H285">
        <v>5.5890000000000004</v>
      </c>
      <c r="I285">
        <v>10001</v>
      </c>
      <c r="J285">
        <v>30000</v>
      </c>
    </row>
    <row r="286" spans="2:10" x14ac:dyDescent="0.25">
      <c r="B286" t="s">
        <v>669</v>
      </c>
      <c r="C286">
        <v>4.9640000000000004</v>
      </c>
      <c r="D286">
        <v>2.37</v>
      </c>
      <c r="E286">
        <v>7.3950000000000002E-2</v>
      </c>
      <c r="F286">
        <v>1.2849999999999999</v>
      </c>
      <c r="G286">
        <v>4.67</v>
      </c>
      <c r="H286">
        <v>10.49</v>
      </c>
      <c r="I286">
        <v>10001</v>
      </c>
      <c r="J286">
        <v>30000</v>
      </c>
    </row>
    <row r="287" spans="2:10" x14ac:dyDescent="0.25">
      <c r="B287" t="s">
        <v>670</v>
      </c>
      <c r="C287">
        <v>3.0950000000000002</v>
      </c>
      <c r="D287">
        <v>1.984</v>
      </c>
      <c r="E287">
        <v>5.2630000000000003E-2</v>
      </c>
      <c r="F287">
        <v>0.43109999999999998</v>
      </c>
      <c r="G287">
        <v>2.722</v>
      </c>
      <c r="H287">
        <v>8.1059999999999999</v>
      </c>
      <c r="I287">
        <v>10001</v>
      </c>
      <c r="J287">
        <v>30000</v>
      </c>
    </row>
    <row r="288" spans="2:10" x14ac:dyDescent="0.25">
      <c r="B288" t="s">
        <v>671</v>
      </c>
      <c r="C288">
        <v>2.02</v>
      </c>
      <c r="D288">
        <v>1.68</v>
      </c>
      <c r="E288">
        <v>3.1600000000000003E-2</v>
      </c>
      <c r="F288">
        <v>0.1396</v>
      </c>
      <c r="G288">
        <v>1.599</v>
      </c>
      <c r="H288">
        <v>6.4779999999999998</v>
      </c>
      <c r="I288">
        <v>10001</v>
      </c>
      <c r="J288">
        <v>30000</v>
      </c>
    </row>
    <row r="289" spans="1:10" x14ac:dyDescent="0.25">
      <c r="B289" t="s">
        <v>672</v>
      </c>
      <c r="C289">
        <v>1.262</v>
      </c>
      <c r="D289">
        <v>1.492</v>
      </c>
      <c r="E289">
        <v>1.238E-2</v>
      </c>
      <c r="F289">
        <v>2.5239999999999999E-2</v>
      </c>
      <c r="G289">
        <v>0.74690000000000001</v>
      </c>
      <c r="H289">
        <v>5.4569999999999999</v>
      </c>
      <c r="I289">
        <v>10001</v>
      </c>
      <c r="J289">
        <v>30000</v>
      </c>
    </row>
    <row r="290" spans="1:10" x14ac:dyDescent="0.25">
      <c r="B290" t="s">
        <v>673</v>
      </c>
      <c r="C290">
        <v>1.147</v>
      </c>
      <c r="D290">
        <v>1.4650000000000001</v>
      </c>
      <c r="E290">
        <v>9.4830000000000001E-3</v>
      </c>
      <c r="F290">
        <v>1.7129999999999999E-2</v>
      </c>
      <c r="G290">
        <v>0.60399999999999998</v>
      </c>
      <c r="H290">
        <v>5.31</v>
      </c>
      <c r="I290">
        <v>10001</v>
      </c>
      <c r="J290">
        <v>30000</v>
      </c>
    </row>
    <row r="291" spans="1:10" x14ac:dyDescent="0.25">
      <c r="B291" t="s">
        <v>674</v>
      </c>
      <c r="C291">
        <v>3.36</v>
      </c>
      <c r="D291">
        <v>1.6379999999999999</v>
      </c>
      <c r="E291">
        <v>2.76E-2</v>
      </c>
      <c r="F291">
        <v>1.4379999999999999</v>
      </c>
      <c r="G291">
        <v>2.9620000000000002</v>
      </c>
      <c r="H291">
        <v>7.77</v>
      </c>
      <c r="I291">
        <v>10001</v>
      </c>
      <c r="J291">
        <v>30000</v>
      </c>
    </row>
    <row r="292" spans="1:10" x14ac:dyDescent="0.25">
      <c r="B292" t="s">
        <v>675</v>
      </c>
      <c r="C292">
        <v>5.165</v>
      </c>
      <c r="D292">
        <v>1.75</v>
      </c>
      <c r="E292">
        <v>7.2480000000000003E-2</v>
      </c>
      <c r="F292">
        <v>2</v>
      </c>
      <c r="G292">
        <v>5</v>
      </c>
      <c r="H292">
        <v>8</v>
      </c>
      <c r="I292">
        <v>10001</v>
      </c>
      <c r="J292">
        <v>30000</v>
      </c>
    </row>
    <row r="293" spans="1:10" x14ac:dyDescent="0.25">
      <c r="B293" t="s">
        <v>676</v>
      </c>
      <c r="C293">
        <v>4.3550000000000004</v>
      </c>
      <c r="D293">
        <v>1.6659999999999999</v>
      </c>
      <c r="E293">
        <v>6.2149999999999997E-2</v>
      </c>
      <c r="F293">
        <v>1</v>
      </c>
      <c r="G293">
        <v>4</v>
      </c>
      <c r="H293">
        <v>8</v>
      </c>
      <c r="I293">
        <v>10001</v>
      </c>
      <c r="J293">
        <v>30000</v>
      </c>
    </row>
    <row r="294" spans="1:10" x14ac:dyDescent="0.25">
      <c r="B294" t="s">
        <v>677</v>
      </c>
      <c r="C294">
        <v>3.6909999999999998</v>
      </c>
      <c r="D294">
        <v>1.8049999999999999</v>
      </c>
      <c r="E294">
        <v>7.1340000000000001E-2</v>
      </c>
      <c r="F294">
        <v>1</v>
      </c>
      <c r="G294">
        <v>3</v>
      </c>
      <c r="H294">
        <v>8</v>
      </c>
      <c r="I294">
        <v>10001</v>
      </c>
      <c r="J294">
        <v>30000</v>
      </c>
    </row>
    <row r="295" spans="1:10" x14ac:dyDescent="0.25">
      <c r="B295" t="s">
        <v>678</v>
      </c>
      <c r="C295">
        <v>3.9940000000000002</v>
      </c>
      <c r="D295">
        <v>2.1549999999999998</v>
      </c>
      <c r="E295">
        <v>7.3950000000000002E-2</v>
      </c>
      <c r="F295">
        <v>1</v>
      </c>
      <c r="G295">
        <v>4</v>
      </c>
      <c r="H295">
        <v>8</v>
      </c>
      <c r="I295">
        <v>10001</v>
      </c>
      <c r="J295">
        <v>30000</v>
      </c>
    </row>
    <row r="296" spans="1:10" x14ac:dyDescent="0.25">
      <c r="B296" t="s">
        <v>679</v>
      </c>
      <c r="C296">
        <v>5.7460000000000004</v>
      </c>
      <c r="D296">
        <v>2.9540000000000002</v>
      </c>
      <c r="E296">
        <v>0.106</v>
      </c>
      <c r="F296">
        <v>1</v>
      </c>
      <c r="G296">
        <v>6</v>
      </c>
      <c r="H296">
        <v>10</v>
      </c>
      <c r="I296">
        <v>10001</v>
      </c>
      <c r="J296">
        <v>30000</v>
      </c>
    </row>
    <row r="297" spans="1:10" x14ac:dyDescent="0.25">
      <c r="B297" t="s">
        <v>680</v>
      </c>
      <c r="C297">
        <v>6.8179999999999996</v>
      </c>
      <c r="D297">
        <v>3.512</v>
      </c>
      <c r="E297">
        <v>0.16239999999999999</v>
      </c>
      <c r="F297">
        <v>1</v>
      </c>
      <c r="G297">
        <v>8</v>
      </c>
      <c r="H297">
        <v>10</v>
      </c>
      <c r="I297">
        <v>10001</v>
      </c>
      <c r="J297">
        <v>30000</v>
      </c>
    </row>
    <row r="298" spans="1:10" x14ac:dyDescent="0.25">
      <c r="B298" t="s">
        <v>681</v>
      </c>
      <c r="C298">
        <v>4.6959999999999997</v>
      </c>
      <c r="D298">
        <v>3.7280000000000002</v>
      </c>
      <c r="E298">
        <v>0.18</v>
      </c>
      <c r="F298">
        <v>1</v>
      </c>
      <c r="G298">
        <v>3</v>
      </c>
      <c r="H298">
        <v>10</v>
      </c>
      <c r="I298">
        <v>10001</v>
      </c>
      <c r="J298">
        <v>30000</v>
      </c>
    </row>
    <row r="299" spans="1:10" x14ac:dyDescent="0.25">
      <c r="B299" t="s">
        <v>682</v>
      </c>
      <c r="C299">
        <v>7.89</v>
      </c>
      <c r="D299">
        <v>2.4350000000000001</v>
      </c>
      <c r="E299">
        <v>0.1031</v>
      </c>
      <c r="F299">
        <v>1</v>
      </c>
      <c r="G299">
        <v>9</v>
      </c>
      <c r="H299">
        <v>10</v>
      </c>
      <c r="I299">
        <v>10001</v>
      </c>
      <c r="J299">
        <v>30000</v>
      </c>
    </row>
    <row r="300" spans="1:10" x14ac:dyDescent="0.25">
      <c r="B300" t="s">
        <v>683</v>
      </c>
      <c r="C300">
        <v>4.6879999999999997</v>
      </c>
      <c r="D300">
        <v>2.145</v>
      </c>
      <c r="E300">
        <v>8.4070000000000006E-2</v>
      </c>
      <c r="F300">
        <v>1</v>
      </c>
      <c r="G300">
        <v>5</v>
      </c>
      <c r="H300">
        <v>9</v>
      </c>
      <c r="I300">
        <v>10001</v>
      </c>
      <c r="J300">
        <v>30000</v>
      </c>
    </row>
    <row r="301" spans="1:10" x14ac:dyDescent="0.25">
      <c r="B301" t="s">
        <v>684</v>
      </c>
      <c r="C301">
        <v>7.9580000000000002</v>
      </c>
      <c r="D301">
        <v>1.2090000000000001</v>
      </c>
      <c r="E301">
        <v>4.6199999999999998E-2</v>
      </c>
      <c r="F301">
        <v>5</v>
      </c>
      <c r="G301">
        <v>8</v>
      </c>
      <c r="H301">
        <v>10</v>
      </c>
      <c r="I301">
        <v>10001</v>
      </c>
      <c r="J301">
        <v>30000</v>
      </c>
    </row>
    <row r="302" spans="1:10" x14ac:dyDescent="0.25">
      <c r="B302" t="s">
        <v>768</v>
      </c>
      <c r="C302">
        <v>0.13789999999999999</v>
      </c>
      <c r="D302">
        <v>8.0949999999999994E-2</v>
      </c>
      <c r="E302">
        <v>2.5669999999999998E-3</v>
      </c>
      <c r="F302">
        <v>3.6450000000000003E-2</v>
      </c>
      <c r="G302">
        <v>0.11899999999999999</v>
      </c>
      <c r="H302">
        <v>0.34810000000000002</v>
      </c>
      <c r="I302">
        <v>10001</v>
      </c>
      <c r="J302">
        <v>30000</v>
      </c>
    </row>
    <row r="303" spans="1:10" x14ac:dyDescent="0.25">
      <c r="B303" t="s">
        <v>685</v>
      </c>
      <c r="C303">
        <v>59.78</v>
      </c>
      <c r="D303">
        <v>9.2360000000000007</v>
      </c>
      <c r="E303">
        <v>0.1673</v>
      </c>
      <c r="F303">
        <v>43.5</v>
      </c>
      <c r="G303">
        <v>59.1</v>
      </c>
      <c r="H303">
        <v>79.349999999999994</v>
      </c>
      <c r="I303">
        <v>10001</v>
      </c>
      <c r="J303">
        <v>30000</v>
      </c>
    </row>
    <row r="304" spans="1:10" x14ac:dyDescent="0.25">
      <c r="A304" t="s">
        <v>686</v>
      </c>
    </row>
    <row r="306" spans="1:5" x14ac:dyDescent="0.25">
      <c r="A306" t="s">
        <v>687</v>
      </c>
    </row>
    <row r="307" spans="1:5" x14ac:dyDescent="0.25">
      <c r="A307" t="s">
        <v>688</v>
      </c>
    </row>
    <row r="308" spans="1:5" x14ac:dyDescent="0.25">
      <c r="B308" t="s">
        <v>689</v>
      </c>
      <c r="C308" t="s">
        <v>690</v>
      </c>
      <c r="D308" t="s">
        <v>691</v>
      </c>
      <c r="E308" t="s">
        <v>687</v>
      </c>
    </row>
    <row r="309" spans="1:5" x14ac:dyDescent="0.25">
      <c r="A309" t="s">
        <v>692</v>
      </c>
      <c r="B309">
        <v>239.46700000000001</v>
      </c>
      <c r="C309">
        <v>199.40899999999999</v>
      </c>
      <c r="D309">
        <v>40.057000000000002</v>
      </c>
      <c r="E309">
        <v>279.524</v>
      </c>
    </row>
    <row r="310" spans="1:5" x14ac:dyDescent="0.25">
      <c r="A310" t="s">
        <v>693</v>
      </c>
      <c r="B310">
        <v>239.46700000000001</v>
      </c>
      <c r="C310">
        <v>199.40899999999999</v>
      </c>
      <c r="D310">
        <v>40.057000000000002</v>
      </c>
      <c r="E310">
        <v>279.524</v>
      </c>
    </row>
    <row r="311" spans="1:5" x14ac:dyDescent="0.25">
      <c r="A311" t="s">
        <v>694</v>
      </c>
    </row>
    <row r="313" spans="1:5" x14ac:dyDescent="0.25">
      <c r="A313" t="s">
        <v>695</v>
      </c>
    </row>
    <row r="315" spans="1:5" x14ac:dyDescent="0.25">
      <c r="A315" t="s">
        <v>696</v>
      </c>
    </row>
    <row r="317" spans="1:5" x14ac:dyDescent="0.25">
      <c r="A317" t="s">
        <v>697</v>
      </c>
    </row>
    <row r="319" spans="1:5" x14ac:dyDescent="0.25">
      <c r="A319" t="s">
        <v>850</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F1:H161"/>
  <sheetViews>
    <sheetView showGridLines="0" topLeftCell="A24" workbookViewId="0">
      <selection activeCell="A24" sqref="A24"/>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6" spans="6:8" x14ac:dyDescent="0.25">
      <c r="F26" s="12"/>
      <c r="H26" s="12"/>
    </row>
    <row r="73" spans="6:6" x14ac:dyDescent="0.25">
      <c r="F73" s="13"/>
    </row>
    <row r="76" spans="6:6" x14ac:dyDescent="0.25">
      <c r="F76" s="13"/>
    </row>
    <row r="77" spans="6:6" x14ac:dyDescent="0.25">
      <c r="F77" s="13"/>
    </row>
    <row r="80" spans="6:6" x14ac:dyDescent="0.25">
      <c r="F80" s="13"/>
    </row>
    <row r="81" spans="6:6" x14ac:dyDescent="0.25">
      <c r="F81" s="13"/>
    </row>
    <row r="82" spans="6:6" x14ac:dyDescent="0.25">
      <c r="F82" s="13"/>
    </row>
    <row r="83" spans="6:6" x14ac:dyDescent="0.25">
      <c r="F83" s="13"/>
    </row>
    <row r="84" spans="6:6" x14ac:dyDescent="0.25">
      <c r="F84" s="13"/>
    </row>
    <row r="85" spans="6:6" x14ac:dyDescent="0.25">
      <c r="F85" s="13"/>
    </row>
    <row r="87" spans="6:6" x14ac:dyDescent="0.25">
      <c r="F87" s="13"/>
    </row>
    <row r="90" spans="6:6" x14ac:dyDescent="0.25">
      <c r="F90" s="13"/>
    </row>
    <row r="91" spans="6:6" x14ac:dyDescent="0.25">
      <c r="F91" s="13"/>
    </row>
    <row r="92" spans="6:6" x14ac:dyDescent="0.25">
      <c r="F92" s="13"/>
    </row>
    <row r="93" spans="6:6" x14ac:dyDescent="0.25">
      <c r="F93" s="13"/>
    </row>
    <row r="94" spans="6:6" x14ac:dyDescent="0.25">
      <c r="F94" s="13"/>
    </row>
    <row r="95" spans="6:6" x14ac:dyDescent="0.25">
      <c r="F95" s="13"/>
    </row>
    <row r="97" spans="6:6" x14ac:dyDescent="0.25">
      <c r="F97" s="13"/>
    </row>
    <row r="99" spans="6:6" x14ac:dyDescent="0.25">
      <c r="F99" s="13"/>
    </row>
    <row r="101" spans="6:6" x14ac:dyDescent="0.25">
      <c r="F101" s="13"/>
    </row>
    <row r="102" spans="6:6" x14ac:dyDescent="0.25">
      <c r="F102" s="13"/>
    </row>
    <row r="103" spans="6:6" x14ac:dyDescent="0.25">
      <c r="F103" s="13"/>
    </row>
    <row r="106" spans="6:6" x14ac:dyDescent="0.25">
      <c r="F106" s="13"/>
    </row>
    <row r="107" spans="6:6" x14ac:dyDescent="0.25">
      <c r="F107" s="13"/>
    </row>
    <row r="108" spans="6:6" x14ac:dyDescent="0.25">
      <c r="F108" s="13"/>
    </row>
    <row r="109" spans="6:6" x14ac:dyDescent="0.25">
      <c r="F109" s="13"/>
    </row>
    <row r="113" spans="6:6" x14ac:dyDescent="0.25">
      <c r="F113" s="13"/>
    </row>
    <row r="114" spans="6:6" x14ac:dyDescent="0.25">
      <c r="F114" s="13"/>
    </row>
    <row r="115" spans="6:6" x14ac:dyDescent="0.25">
      <c r="F115" s="13"/>
    </row>
    <row r="116" spans="6:6" x14ac:dyDescent="0.25">
      <c r="F116" s="13"/>
    </row>
    <row r="118" spans="6:6" x14ac:dyDescent="0.25">
      <c r="F118" s="13"/>
    </row>
    <row r="119" spans="6:6" x14ac:dyDescent="0.25">
      <c r="F119" s="13"/>
    </row>
    <row r="122" spans="6:6" x14ac:dyDescent="0.25">
      <c r="F122" s="13"/>
    </row>
    <row r="123" spans="6:6" x14ac:dyDescent="0.25">
      <c r="F123" s="13"/>
    </row>
    <row r="124" spans="6:6" x14ac:dyDescent="0.25">
      <c r="F124" s="13"/>
    </row>
    <row r="126" spans="6:6" x14ac:dyDescent="0.25">
      <c r="F126" s="13"/>
    </row>
    <row r="127" spans="6:6" x14ac:dyDescent="0.25">
      <c r="F127" s="13"/>
    </row>
    <row r="128" spans="6:6" x14ac:dyDescent="0.25">
      <c r="F128" s="13"/>
    </row>
    <row r="129" spans="6:6" x14ac:dyDescent="0.25">
      <c r="F129" s="13"/>
    </row>
    <row r="132" spans="6:6" x14ac:dyDescent="0.25">
      <c r="F132" s="13"/>
    </row>
    <row r="133" spans="6:6" x14ac:dyDescent="0.25">
      <c r="F133" s="13"/>
    </row>
    <row r="134" spans="6:6" x14ac:dyDescent="0.25">
      <c r="F134" s="13"/>
    </row>
    <row r="135" spans="6:6" x14ac:dyDescent="0.25">
      <c r="F135" s="13"/>
    </row>
    <row r="136" spans="6:6" x14ac:dyDescent="0.25">
      <c r="F136" s="13"/>
    </row>
    <row r="137" spans="6:6" x14ac:dyDescent="0.25">
      <c r="F137" s="13"/>
    </row>
    <row r="142" spans="6:6" x14ac:dyDescent="0.25">
      <c r="F142" s="13"/>
    </row>
    <row r="146" spans="6:6" x14ac:dyDescent="0.25">
      <c r="F146" s="13"/>
    </row>
    <row r="147" spans="6:6" x14ac:dyDescent="0.25">
      <c r="F147" s="13"/>
    </row>
    <row r="148" spans="6:6" x14ac:dyDescent="0.25">
      <c r="F148"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61" spans="6:6" x14ac:dyDescent="0.25">
      <c r="F161" s="1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8</v>
      </c>
      <c r="B2" s="19">
        <v>68</v>
      </c>
      <c r="C2" s="19">
        <v>10</v>
      </c>
      <c r="D2" s="19">
        <v>68</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2</v>
      </c>
      <c r="V2" s="16">
        <v>10</v>
      </c>
      <c r="W2" s="16" t="s">
        <v>376</v>
      </c>
      <c r="X2" s="16" t="s">
        <v>376</v>
      </c>
      <c r="Y2" t="s">
        <v>376</v>
      </c>
      <c r="Z2" t="s">
        <v>376</v>
      </c>
      <c r="AA2" t="s">
        <v>376</v>
      </c>
      <c r="AB2" t="s">
        <v>376</v>
      </c>
      <c r="AC2" t="s">
        <v>376</v>
      </c>
      <c r="AD2" t="s">
        <v>376</v>
      </c>
      <c r="AE2">
        <v>2</v>
      </c>
    </row>
    <row r="3" spans="1:31" x14ac:dyDescent="0.25">
      <c r="A3" s="19">
        <v>8</v>
      </c>
      <c r="B3" s="19">
        <v>39</v>
      </c>
      <c r="C3" s="19">
        <v>8</v>
      </c>
      <c r="D3" s="19">
        <v>38</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1</v>
      </c>
      <c r="V3" s="16">
        <v>4</v>
      </c>
      <c r="W3" s="16" t="s">
        <v>376</v>
      </c>
      <c r="X3" s="16" t="s">
        <v>376</v>
      </c>
      <c r="Y3" t="s">
        <v>376</v>
      </c>
      <c r="Z3" t="s">
        <v>376</v>
      </c>
      <c r="AA3" t="s">
        <v>376</v>
      </c>
      <c r="AB3" t="s">
        <v>376</v>
      </c>
      <c r="AC3" t="s">
        <v>376</v>
      </c>
      <c r="AD3" t="s">
        <v>376</v>
      </c>
      <c r="AE3">
        <v>2</v>
      </c>
    </row>
    <row r="4" spans="1:31" x14ac:dyDescent="0.25">
      <c r="A4" s="19">
        <v>12</v>
      </c>
      <c r="B4" s="19">
        <v>80</v>
      </c>
      <c r="C4" s="19">
        <v>10</v>
      </c>
      <c r="D4" s="19">
        <v>80</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3</v>
      </c>
      <c r="V4" s="16">
        <v>4</v>
      </c>
      <c r="W4" s="16" t="s">
        <v>376</v>
      </c>
      <c r="X4" s="16" t="s">
        <v>376</v>
      </c>
      <c r="Y4" t="s">
        <v>376</v>
      </c>
      <c r="Z4" t="s">
        <v>376</v>
      </c>
      <c r="AA4" t="s">
        <v>376</v>
      </c>
      <c r="AB4" t="s">
        <v>376</v>
      </c>
      <c r="AC4" t="s">
        <v>376</v>
      </c>
      <c r="AD4" t="s">
        <v>376</v>
      </c>
      <c r="AE4">
        <v>2</v>
      </c>
    </row>
    <row r="5" spans="1:31" x14ac:dyDescent="0.25">
      <c r="A5" s="19">
        <v>1</v>
      </c>
      <c r="B5" s="19">
        <v>34</v>
      </c>
      <c r="C5" s="19">
        <v>2</v>
      </c>
      <c r="D5" s="19">
        <v>36</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2</v>
      </c>
      <c r="V5" s="16">
        <v>3</v>
      </c>
      <c r="W5" s="16" t="s">
        <v>376</v>
      </c>
      <c r="X5" s="16" t="s">
        <v>376</v>
      </c>
      <c r="Y5" t="s">
        <v>376</v>
      </c>
      <c r="Z5" t="s">
        <v>376</v>
      </c>
      <c r="AA5" t="s">
        <v>376</v>
      </c>
      <c r="AB5" t="s">
        <v>376</v>
      </c>
      <c r="AC5" t="s">
        <v>376</v>
      </c>
      <c r="AD5" t="s">
        <v>376</v>
      </c>
      <c r="AE5">
        <v>2</v>
      </c>
    </row>
    <row r="6" spans="1:31" x14ac:dyDescent="0.25">
      <c r="A6" s="19">
        <v>1</v>
      </c>
      <c r="B6" s="19">
        <v>50</v>
      </c>
      <c r="C6" s="19">
        <v>2</v>
      </c>
      <c r="D6" s="19">
        <v>52</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2</v>
      </c>
      <c r="V6" s="16">
        <v>3</v>
      </c>
      <c r="W6" s="16" t="s">
        <v>376</v>
      </c>
      <c r="X6" s="16" t="s">
        <v>376</v>
      </c>
      <c r="Y6" t="s">
        <v>376</v>
      </c>
      <c r="Z6" t="s">
        <v>376</v>
      </c>
      <c r="AA6" t="s">
        <v>376</v>
      </c>
      <c r="AB6" t="s">
        <v>376</v>
      </c>
      <c r="AC6" t="s">
        <v>376</v>
      </c>
      <c r="AD6" t="s">
        <v>376</v>
      </c>
      <c r="AE6">
        <v>2</v>
      </c>
    </row>
    <row r="7" spans="1:31" x14ac:dyDescent="0.25">
      <c r="A7" s="19">
        <v>8</v>
      </c>
      <c r="B7" s="19">
        <v>32</v>
      </c>
      <c r="C7" s="19">
        <v>9</v>
      </c>
      <c r="D7" s="19">
        <v>32</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2</v>
      </c>
      <c r="V7" s="16">
        <v>3</v>
      </c>
      <c r="W7" s="16" t="s">
        <v>376</v>
      </c>
      <c r="X7" s="16" t="s">
        <v>376</v>
      </c>
      <c r="Y7" t="s">
        <v>376</v>
      </c>
      <c r="Z7" t="s">
        <v>376</v>
      </c>
      <c r="AA7" t="s">
        <v>376</v>
      </c>
      <c r="AB7" t="s">
        <v>376</v>
      </c>
      <c r="AC7" t="s">
        <v>376</v>
      </c>
      <c r="AD7" t="s">
        <v>376</v>
      </c>
      <c r="AE7">
        <v>2</v>
      </c>
    </row>
    <row r="8" spans="1:31" x14ac:dyDescent="0.25">
      <c r="A8" s="19">
        <v>0</v>
      </c>
      <c r="B8" s="19">
        <v>14</v>
      </c>
      <c r="C8" s="19">
        <v>2</v>
      </c>
      <c r="D8" s="19">
        <v>18</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1</v>
      </c>
      <c r="V8" s="16">
        <v>8</v>
      </c>
      <c r="W8" s="16" t="s">
        <v>376</v>
      </c>
      <c r="X8" s="16" t="s">
        <v>376</v>
      </c>
      <c r="Y8" t="s">
        <v>376</v>
      </c>
      <c r="Z8" t="s">
        <v>376</v>
      </c>
      <c r="AA8" t="s">
        <v>376</v>
      </c>
      <c r="AB8" t="s">
        <v>376</v>
      </c>
      <c r="AC8" t="s">
        <v>376</v>
      </c>
      <c r="AD8" t="s">
        <v>376</v>
      </c>
      <c r="AE8">
        <v>2</v>
      </c>
    </row>
    <row r="9" spans="1:31" x14ac:dyDescent="0.25">
      <c r="A9" s="19">
        <v>1</v>
      </c>
      <c r="B9" s="19">
        <v>20</v>
      </c>
      <c r="C9" s="19">
        <v>4</v>
      </c>
      <c r="D9" s="19">
        <v>19</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1</v>
      </c>
      <c r="V9" s="16">
        <v>10</v>
      </c>
      <c r="W9" s="16" t="s">
        <v>376</v>
      </c>
      <c r="X9" s="16" t="s">
        <v>376</v>
      </c>
      <c r="Y9" t="s">
        <v>376</v>
      </c>
      <c r="Z9" t="s">
        <v>376</v>
      </c>
      <c r="AA9" t="s">
        <v>376</v>
      </c>
      <c r="AB9" t="s">
        <v>376</v>
      </c>
      <c r="AC9" t="s">
        <v>376</v>
      </c>
      <c r="AD9" t="s">
        <v>376</v>
      </c>
      <c r="AE9">
        <v>2</v>
      </c>
    </row>
    <row r="10" spans="1:31" x14ac:dyDescent="0.25">
      <c r="A10" s="19">
        <v>3</v>
      </c>
      <c r="B10" s="19">
        <v>32</v>
      </c>
      <c r="C10" s="19">
        <v>4</v>
      </c>
      <c r="D10" s="19">
        <v>31</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2</v>
      </c>
      <c r="V10" s="16">
        <v>8</v>
      </c>
      <c r="W10" s="16" t="s">
        <v>376</v>
      </c>
      <c r="X10" s="16" t="s">
        <v>376</v>
      </c>
      <c r="Y10" t="s">
        <v>376</v>
      </c>
      <c r="Z10" t="s">
        <v>376</v>
      </c>
      <c r="AA10" t="s">
        <v>376</v>
      </c>
      <c r="AB10" t="s">
        <v>376</v>
      </c>
      <c r="AC10" t="s">
        <v>376</v>
      </c>
      <c r="AD10" t="s">
        <v>376</v>
      </c>
      <c r="AE10">
        <v>2</v>
      </c>
    </row>
    <row r="11" spans="1:31" x14ac:dyDescent="0.25">
      <c r="A11" s="19">
        <v>5</v>
      </c>
      <c r="B11" s="19">
        <v>35</v>
      </c>
      <c r="C11" s="19">
        <v>6</v>
      </c>
      <c r="D11" s="19">
        <v>35</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2</v>
      </c>
      <c r="V11" s="16">
        <v>5</v>
      </c>
      <c r="W11" s="16" t="s">
        <v>376</v>
      </c>
      <c r="X11" s="16" t="s">
        <v>376</v>
      </c>
      <c r="Y11" t="s">
        <v>376</v>
      </c>
      <c r="Z11" t="s">
        <v>376</v>
      </c>
      <c r="AA11" t="s">
        <v>376</v>
      </c>
      <c r="AB11" t="s">
        <v>376</v>
      </c>
      <c r="AC11" t="s">
        <v>376</v>
      </c>
      <c r="AD11" t="s">
        <v>376</v>
      </c>
      <c r="AE11">
        <v>2</v>
      </c>
    </row>
    <row r="12" spans="1:31" x14ac:dyDescent="0.25">
      <c r="A12" s="19">
        <v>4</v>
      </c>
      <c r="B12" s="19">
        <v>44</v>
      </c>
      <c r="C12" s="19">
        <v>5</v>
      </c>
      <c r="D12" s="19">
        <v>48</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1</v>
      </c>
      <c r="V12" s="16">
        <v>10</v>
      </c>
      <c r="W12" s="16" t="s">
        <v>376</v>
      </c>
      <c r="X12" s="16" t="s">
        <v>376</v>
      </c>
      <c r="Y12" t="s">
        <v>376</v>
      </c>
      <c r="Z12" t="s">
        <v>376</v>
      </c>
      <c r="AA12" t="s">
        <v>376</v>
      </c>
      <c r="AB12" t="s">
        <v>376</v>
      </c>
      <c r="AC12" t="s">
        <v>376</v>
      </c>
      <c r="AD12" t="s">
        <v>376</v>
      </c>
      <c r="AE12">
        <v>2</v>
      </c>
    </row>
    <row r="13" spans="1:31" x14ac:dyDescent="0.25">
      <c r="A13" s="19">
        <v>1</v>
      </c>
      <c r="B13" s="19">
        <v>56</v>
      </c>
      <c r="C13" s="19">
        <v>1</v>
      </c>
      <c r="D13" s="19">
        <v>55</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2</v>
      </c>
      <c r="V13" s="16">
        <v>7</v>
      </c>
      <c r="W13" s="16" t="s">
        <v>376</v>
      </c>
      <c r="X13" s="16" t="s">
        <v>376</v>
      </c>
      <c r="Y13" t="s">
        <v>376</v>
      </c>
      <c r="Z13" t="s">
        <v>376</v>
      </c>
      <c r="AA13" t="s">
        <v>376</v>
      </c>
      <c r="AB13" t="s">
        <v>376</v>
      </c>
      <c r="AC13" t="s">
        <v>376</v>
      </c>
      <c r="AD13" t="s">
        <v>376</v>
      </c>
      <c r="AE13">
        <v>2</v>
      </c>
    </row>
    <row r="14" spans="1:31" x14ac:dyDescent="0.25">
      <c r="A14" s="19">
        <v>3</v>
      </c>
      <c r="B14" s="19">
        <v>69</v>
      </c>
      <c r="C14" s="19">
        <v>6</v>
      </c>
      <c r="D14" s="19">
        <v>71</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1</v>
      </c>
      <c r="V14" s="16">
        <v>9</v>
      </c>
      <c r="W14" s="16" t="s">
        <v>376</v>
      </c>
      <c r="X14" s="16" t="s">
        <v>376</v>
      </c>
      <c r="Y14" t="s">
        <v>376</v>
      </c>
      <c r="Z14" t="s">
        <v>376</v>
      </c>
      <c r="AA14" t="s">
        <v>376</v>
      </c>
      <c r="AB14" t="s">
        <v>376</v>
      </c>
      <c r="AC14" t="s">
        <v>376</v>
      </c>
      <c r="AD14" t="s">
        <v>376</v>
      </c>
      <c r="AE14">
        <v>2</v>
      </c>
    </row>
    <row r="15" spans="1:31" x14ac:dyDescent="0.25">
      <c r="A15" s="19">
        <v>3</v>
      </c>
      <c r="B15" s="19">
        <v>24</v>
      </c>
      <c r="C15" s="19">
        <v>7</v>
      </c>
      <c r="D15" s="19">
        <v>23</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9</v>
      </c>
      <c r="V15" s="16">
        <v>10</v>
      </c>
      <c r="W15" s="16" t="s">
        <v>376</v>
      </c>
      <c r="X15" s="16" t="s">
        <v>376</v>
      </c>
      <c r="Y15" t="s">
        <v>376</v>
      </c>
      <c r="Z15" t="s">
        <v>376</v>
      </c>
      <c r="AA15" t="s">
        <v>376</v>
      </c>
      <c r="AB15" t="s">
        <v>376</v>
      </c>
      <c r="AC15" t="s">
        <v>376</v>
      </c>
      <c r="AD15" t="s">
        <v>376</v>
      </c>
      <c r="AE15">
        <v>2</v>
      </c>
    </row>
    <row r="16" spans="1:31" x14ac:dyDescent="0.25">
      <c r="A16" s="19">
        <v>1</v>
      </c>
      <c r="B16" s="19">
        <v>12</v>
      </c>
      <c r="C16" s="19">
        <v>3</v>
      </c>
      <c r="D16" s="19">
        <v>11</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9</v>
      </c>
      <c r="V16" s="16">
        <v>10</v>
      </c>
      <c r="W16" s="16" t="s">
        <v>376</v>
      </c>
      <c r="X16" s="16" t="s">
        <v>376</v>
      </c>
      <c r="Y16" t="s">
        <v>376</v>
      </c>
      <c r="Z16" t="s">
        <v>376</v>
      </c>
      <c r="AA16" t="s">
        <v>376</v>
      </c>
      <c r="AB16" t="s">
        <v>376</v>
      </c>
      <c r="AC16" t="s">
        <v>376</v>
      </c>
      <c r="AD16" t="s">
        <v>376</v>
      </c>
      <c r="AE16">
        <v>2</v>
      </c>
    </row>
    <row r="17" spans="1:31" x14ac:dyDescent="0.25">
      <c r="A17" s="19">
        <v>2</v>
      </c>
      <c r="B17" s="19">
        <v>40</v>
      </c>
      <c r="C17" s="19">
        <v>3</v>
      </c>
      <c r="D17" s="19">
        <v>40</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3</v>
      </c>
      <c r="V17" s="16">
        <v>4</v>
      </c>
      <c r="W17" s="16" t="s">
        <v>376</v>
      </c>
      <c r="X17" s="16" t="s">
        <v>376</v>
      </c>
      <c r="Y17" t="s">
        <v>376</v>
      </c>
      <c r="Z17" t="s">
        <v>376</v>
      </c>
      <c r="AA17" t="s">
        <v>376</v>
      </c>
      <c r="AB17" t="s">
        <v>376</v>
      </c>
      <c r="AC17" t="s">
        <v>376</v>
      </c>
      <c r="AD17" t="s">
        <v>376</v>
      </c>
      <c r="AE17">
        <v>2</v>
      </c>
    </row>
    <row r="18" spans="1:31" x14ac:dyDescent="0.25">
      <c r="A18" s="19">
        <v>9</v>
      </c>
      <c r="B18" s="19">
        <v>35</v>
      </c>
      <c r="C18" s="19">
        <v>10</v>
      </c>
      <c r="D18" s="19">
        <v>35</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1</v>
      </c>
      <c r="V18" s="16">
        <v>10</v>
      </c>
      <c r="W18" s="16" t="s">
        <v>376</v>
      </c>
      <c r="X18" s="16" t="s">
        <v>376</v>
      </c>
      <c r="Y18" t="s">
        <v>376</v>
      </c>
      <c r="Z18" t="s">
        <v>376</v>
      </c>
      <c r="AA18" t="s">
        <v>376</v>
      </c>
      <c r="AB18" t="s">
        <v>376</v>
      </c>
      <c r="AC18" t="s">
        <v>376</v>
      </c>
      <c r="AD18" t="s">
        <v>376</v>
      </c>
      <c r="AE18">
        <v>2</v>
      </c>
    </row>
    <row r="19" spans="1:31" x14ac:dyDescent="0.25">
      <c r="A19" s="19">
        <v>3</v>
      </c>
      <c r="B19" s="19">
        <v>20</v>
      </c>
      <c r="C19" s="19">
        <v>1</v>
      </c>
      <c r="D19" s="19">
        <v>20</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1</v>
      </c>
      <c r="V19" s="16">
        <v>2</v>
      </c>
      <c r="W19" s="16" t="s">
        <v>376</v>
      </c>
      <c r="X19" s="16" t="s">
        <v>376</v>
      </c>
      <c r="Y19" t="s">
        <v>376</v>
      </c>
      <c r="Z19" t="s">
        <v>376</v>
      </c>
      <c r="AA19" t="s">
        <v>376</v>
      </c>
      <c r="AB19" t="s">
        <v>376</v>
      </c>
      <c r="AC19" t="s">
        <v>376</v>
      </c>
      <c r="AD19" t="s">
        <v>376</v>
      </c>
      <c r="AE19">
        <v>2</v>
      </c>
    </row>
    <row r="20" spans="1:31" x14ac:dyDescent="0.25">
      <c r="A20" s="19">
        <v>4</v>
      </c>
      <c r="B20" s="19">
        <v>64</v>
      </c>
      <c r="C20" s="19">
        <v>3</v>
      </c>
      <c r="D20" s="19">
        <v>63</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1</v>
      </c>
      <c r="V20" s="16">
        <v>9</v>
      </c>
      <c r="W20" s="16" t="s">
        <v>376</v>
      </c>
      <c r="X20" s="16" t="s">
        <v>376</v>
      </c>
      <c r="Y20" t="s">
        <v>376</v>
      </c>
      <c r="Z20" t="s">
        <v>376</v>
      </c>
      <c r="AA20" t="s">
        <v>376</v>
      </c>
      <c r="AB20" t="s">
        <v>376</v>
      </c>
      <c r="AC20" t="s">
        <v>376</v>
      </c>
      <c r="AD20" t="s">
        <v>376</v>
      </c>
      <c r="AE20">
        <v>2</v>
      </c>
    </row>
    <row r="21" spans="1:31" x14ac:dyDescent="0.25">
      <c r="A21" s="19">
        <v>1</v>
      </c>
      <c r="B21" s="19">
        <v>30</v>
      </c>
      <c r="C21" s="19">
        <v>2</v>
      </c>
      <c r="D21" s="19">
        <v>30</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3</v>
      </c>
      <c r="V21" s="16">
        <v>6</v>
      </c>
      <c r="W21" s="16" t="s">
        <v>376</v>
      </c>
      <c r="X21" s="16" t="s">
        <v>376</v>
      </c>
      <c r="Y21" t="s">
        <v>376</v>
      </c>
      <c r="Z21" t="s">
        <v>376</v>
      </c>
      <c r="AA21" t="s">
        <v>376</v>
      </c>
      <c r="AB21" t="s">
        <v>376</v>
      </c>
      <c r="AC21" t="s">
        <v>376</v>
      </c>
      <c r="AD21" t="s">
        <v>376</v>
      </c>
      <c r="AE21">
        <v>2</v>
      </c>
    </row>
    <row r="22" spans="1:31" x14ac:dyDescent="0.25">
      <c r="A22" s="19">
        <v>2</v>
      </c>
      <c r="B22" s="19">
        <v>15</v>
      </c>
      <c r="C22" s="19">
        <v>2</v>
      </c>
      <c r="D22" s="19">
        <v>15</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9</v>
      </c>
      <c r="V22" s="16">
        <v>10</v>
      </c>
      <c r="W22" s="16" t="s">
        <v>376</v>
      </c>
      <c r="X22" s="16" t="s">
        <v>376</v>
      </c>
      <c r="Y22" t="s">
        <v>376</v>
      </c>
      <c r="Z22" t="s">
        <v>376</v>
      </c>
      <c r="AA22" t="s">
        <v>376</v>
      </c>
      <c r="AB22" t="s">
        <v>376</v>
      </c>
      <c r="AC22" t="s">
        <v>376</v>
      </c>
      <c r="AD22" t="s">
        <v>376</v>
      </c>
      <c r="AE22">
        <v>2</v>
      </c>
    </row>
    <row r="23" spans="1:31" x14ac:dyDescent="0.25">
      <c r="A23" s="19">
        <v>2</v>
      </c>
      <c r="B23" s="19">
        <v>31</v>
      </c>
      <c r="C23" s="19">
        <v>3</v>
      </c>
      <c r="D23" s="19">
        <v>31</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3</v>
      </c>
      <c r="V23" s="16">
        <v>10</v>
      </c>
      <c r="W23" s="16" t="s">
        <v>376</v>
      </c>
      <c r="X23" s="16" t="s">
        <v>376</v>
      </c>
      <c r="Y23" t="s">
        <v>376</v>
      </c>
      <c r="Z23" t="s">
        <v>376</v>
      </c>
      <c r="AA23" t="s">
        <v>376</v>
      </c>
      <c r="AB23" t="s">
        <v>376</v>
      </c>
      <c r="AC23" t="s">
        <v>376</v>
      </c>
      <c r="AD23" t="s">
        <v>376</v>
      </c>
      <c r="AE23">
        <v>2</v>
      </c>
    </row>
    <row r="24" spans="1:31" x14ac:dyDescent="0.25">
      <c r="A24" s="19">
        <v>4</v>
      </c>
      <c r="B24" s="19">
        <v>54</v>
      </c>
      <c r="C24" s="19">
        <v>6</v>
      </c>
      <c r="D24" s="19">
        <v>51</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2</v>
      </c>
      <c r="V24" s="16">
        <v>10</v>
      </c>
      <c r="W24" s="16" t="s">
        <v>376</v>
      </c>
      <c r="X24" s="16" t="s">
        <v>376</v>
      </c>
      <c r="Y24" t="s">
        <v>376</v>
      </c>
      <c r="Z24" t="s">
        <v>376</v>
      </c>
      <c r="AA24" t="s">
        <v>376</v>
      </c>
      <c r="AB24" t="s">
        <v>376</v>
      </c>
      <c r="AC24" t="s">
        <v>376</v>
      </c>
      <c r="AD24" t="s">
        <v>376</v>
      </c>
      <c r="AE24">
        <v>2</v>
      </c>
    </row>
    <row r="25" spans="1:31" x14ac:dyDescent="0.25">
      <c r="A25" s="19">
        <v>7</v>
      </c>
      <c r="B25" s="19">
        <v>59</v>
      </c>
      <c r="C25" s="19">
        <v>7</v>
      </c>
      <c r="D25" s="19">
        <v>60</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1</v>
      </c>
      <c r="V25" s="16">
        <v>2</v>
      </c>
      <c r="W25" s="16" t="s">
        <v>376</v>
      </c>
      <c r="X25" s="16" t="s">
        <v>376</v>
      </c>
      <c r="Y25" t="s">
        <v>376</v>
      </c>
      <c r="Z25" t="s">
        <v>376</v>
      </c>
      <c r="AA25" t="s">
        <v>376</v>
      </c>
      <c r="AB25" t="s">
        <v>376</v>
      </c>
      <c r="AC25" t="s">
        <v>376</v>
      </c>
      <c r="AD25" t="s">
        <v>376</v>
      </c>
      <c r="AE25">
        <v>2</v>
      </c>
    </row>
    <row r="26" spans="1:31" x14ac:dyDescent="0.25">
      <c r="A26" s="19">
        <v>6</v>
      </c>
      <c r="B26" s="19">
        <v>74</v>
      </c>
      <c r="C26" s="19">
        <v>7</v>
      </c>
      <c r="D26" s="19">
        <v>74</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1</v>
      </c>
      <c r="V26" s="16">
        <v>2</v>
      </c>
      <c r="W26" s="16" t="s">
        <v>376</v>
      </c>
      <c r="X26" s="16" t="s">
        <v>376</v>
      </c>
      <c r="Y26" t="s">
        <v>376</v>
      </c>
      <c r="Z26" t="s">
        <v>376</v>
      </c>
      <c r="AA26" t="s">
        <v>376</v>
      </c>
      <c r="AB26" t="s">
        <v>376</v>
      </c>
      <c r="AC26" t="s">
        <v>376</v>
      </c>
      <c r="AD26" t="s">
        <v>376</v>
      </c>
      <c r="AE26">
        <v>2</v>
      </c>
    </row>
    <row r="27" spans="1:31" x14ac:dyDescent="0.25">
      <c r="A27" s="19">
        <v>1</v>
      </c>
      <c r="B27" s="19">
        <v>48</v>
      </c>
      <c r="C27" s="19">
        <v>5</v>
      </c>
      <c r="D27" s="19">
        <v>35</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3</v>
      </c>
      <c r="V27" s="16">
        <v>9</v>
      </c>
      <c r="W27" s="16" t="s">
        <v>376</v>
      </c>
      <c r="X27" s="16" t="s">
        <v>376</v>
      </c>
      <c r="Y27" t="s">
        <v>376</v>
      </c>
      <c r="Z27" t="s">
        <v>376</v>
      </c>
      <c r="AA27" t="s">
        <v>376</v>
      </c>
      <c r="AB27" t="s">
        <v>376</v>
      </c>
      <c r="AC27" t="s">
        <v>376</v>
      </c>
      <c r="AD27" t="s">
        <v>376</v>
      </c>
      <c r="AE27">
        <v>2</v>
      </c>
    </row>
    <row r="28" spans="1:31" x14ac:dyDescent="0.25">
      <c r="A28" s="19">
        <v>3</v>
      </c>
      <c r="B28" s="19">
        <v>22</v>
      </c>
      <c r="C28" s="19">
        <v>9</v>
      </c>
      <c r="D28" s="19">
        <v>21</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9</v>
      </c>
      <c r="V28" s="16">
        <v>10</v>
      </c>
      <c r="W28" s="16" t="s">
        <v>376</v>
      </c>
      <c r="X28" s="16" t="s">
        <v>376</v>
      </c>
      <c r="Y28" t="s">
        <v>376</v>
      </c>
      <c r="Z28" t="s">
        <v>376</v>
      </c>
      <c r="AA28" t="s">
        <v>376</v>
      </c>
      <c r="AB28" t="s">
        <v>376</v>
      </c>
      <c r="AC28" t="s">
        <v>376</v>
      </c>
      <c r="AD28" t="s">
        <v>376</v>
      </c>
      <c r="AE28">
        <v>2</v>
      </c>
    </row>
    <row r="29" spans="1:31" x14ac:dyDescent="0.25">
      <c r="A29" s="19">
        <v>6</v>
      </c>
      <c r="B29" s="19">
        <v>28</v>
      </c>
      <c r="C29" s="19">
        <v>5</v>
      </c>
      <c r="D29" s="19">
        <v>27</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1</v>
      </c>
      <c r="V29" s="16">
        <v>10</v>
      </c>
      <c r="W29" s="16" t="s">
        <v>376</v>
      </c>
      <c r="X29" s="16" t="s">
        <v>376</v>
      </c>
      <c r="Y29" t="s">
        <v>376</v>
      </c>
      <c r="Z29" t="s">
        <v>376</v>
      </c>
      <c r="AA29" t="s">
        <v>376</v>
      </c>
      <c r="AB29" t="s">
        <v>376</v>
      </c>
      <c r="AC29" t="s">
        <v>376</v>
      </c>
      <c r="AD29" t="s">
        <v>376</v>
      </c>
      <c r="AE29">
        <v>2</v>
      </c>
    </row>
    <row r="30" spans="1:31" x14ac:dyDescent="0.25">
      <c r="A30" s="19">
        <v>2</v>
      </c>
      <c r="B30" s="19">
        <v>32</v>
      </c>
      <c r="C30" s="19">
        <v>3</v>
      </c>
      <c r="D30" s="19">
        <v>32</v>
      </c>
      <c r="E30" s="19" t="s">
        <v>376</v>
      </c>
      <c r="F30" s="19">
        <v>1</v>
      </c>
      <c r="G30" s="19" t="s">
        <v>376</v>
      </c>
      <c r="H30" s="19">
        <v>1</v>
      </c>
      <c r="I30" s="19" t="s">
        <v>376</v>
      </c>
      <c r="J30" s="19">
        <v>1</v>
      </c>
      <c r="K30" s="19" t="s">
        <v>376</v>
      </c>
      <c r="L30" s="19">
        <v>1</v>
      </c>
      <c r="M30" s="19" t="s">
        <v>376</v>
      </c>
      <c r="N30" s="19">
        <v>1</v>
      </c>
      <c r="O30" s="19" t="s">
        <v>376</v>
      </c>
      <c r="P30" s="19">
        <v>1</v>
      </c>
      <c r="Q30" s="19" t="s">
        <v>376</v>
      </c>
      <c r="R30" s="19">
        <v>1</v>
      </c>
      <c r="S30" s="19" t="s">
        <v>376</v>
      </c>
      <c r="T30" s="16">
        <v>1</v>
      </c>
      <c r="U30" s="16">
        <v>3</v>
      </c>
      <c r="V30" s="16">
        <v>10</v>
      </c>
      <c r="W30" s="16" t="s">
        <v>376</v>
      </c>
      <c r="X30" s="16" t="s">
        <v>376</v>
      </c>
      <c r="Y30" t="s">
        <v>376</v>
      </c>
      <c r="Z30" t="s">
        <v>376</v>
      </c>
      <c r="AA30" t="s">
        <v>376</v>
      </c>
      <c r="AB30" t="s">
        <v>376</v>
      </c>
      <c r="AC30" t="s">
        <v>376</v>
      </c>
      <c r="AD30" t="s">
        <v>376</v>
      </c>
      <c r="AE30">
        <v>2</v>
      </c>
    </row>
    <row r="31" spans="1:31" x14ac:dyDescent="0.25">
      <c r="A31" s="19">
        <v>2</v>
      </c>
      <c r="B31" s="19">
        <v>24</v>
      </c>
      <c r="C31" s="19">
        <v>2</v>
      </c>
      <c r="D31" s="19">
        <v>23</v>
      </c>
      <c r="E31" s="19" t="s">
        <v>376</v>
      </c>
      <c r="F31" s="19">
        <v>1</v>
      </c>
      <c r="G31" s="19" t="s">
        <v>376</v>
      </c>
      <c r="H31" s="19">
        <v>1</v>
      </c>
      <c r="I31" s="19" t="s">
        <v>376</v>
      </c>
      <c r="J31" s="19">
        <v>1</v>
      </c>
      <c r="K31" s="19" t="s">
        <v>376</v>
      </c>
      <c r="L31" s="19">
        <v>1</v>
      </c>
      <c r="M31" s="19" t="s">
        <v>376</v>
      </c>
      <c r="N31" s="19">
        <v>1</v>
      </c>
      <c r="O31" s="19" t="s">
        <v>376</v>
      </c>
      <c r="P31" s="19">
        <v>1</v>
      </c>
      <c r="Q31" s="19" t="s">
        <v>376</v>
      </c>
      <c r="R31" s="19">
        <v>1</v>
      </c>
      <c r="S31" s="19" t="s">
        <v>376</v>
      </c>
      <c r="T31" s="16">
        <v>1</v>
      </c>
      <c r="U31" s="16">
        <v>1</v>
      </c>
      <c r="V31" s="16">
        <v>2</v>
      </c>
      <c r="W31" s="16" t="s">
        <v>376</v>
      </c>
      <c r="X31" s="16" t="s">
        <v>376</v>
      </c>
      <c r="Y31" t="s">
        <v>376</v>
      </c>
      <c r="Z31" t="s">
        <v>376</v>
      </c>
      <c r="AA31" t="s">
        <v>376</v>
      </c>
      <c r="AB31" t="s">
        <v>376</v>
      </c>
      <c r="AC31" t="s">
        <v>376</v>
      </c>
      <c r="AD31" t="s">
        <v>376</v>
      </c>
      <c r="AE31">
        <v>2</v>
      </c>
    </row>
    <row r="32" spans="1:31" x14ac:dyDescent="0.25">
      <c r="A32" s="19">
        <v>2</v>
      </c>
      <c r="B32" s="19">
        <v>18</v>
      </c>
      <c r="C32" s="19">
        <v>0</v>
      </c>
      <c r="D32" s="19">
        <v>16</v>
      </c>
      <c r="E32" s="19" t="s">
        <v>376</v>
      </c>
      <c r="F32" s="19">
        <v>1</v>
      </c>
      <c r="G32" s="19" t="s">
        <v>376</v>
      </c>
      <c r="H32" s="19">
        <v>1</v>
      </c>
      <c r="I32" s="19" t="s">
        <v>376</v>
      </c>
      <c r="J32" s="19">
        <v>1</v>
      </c>
      <c r="K32" s="19" t="s">
        <v>376</v>
      </c>
      <c r="L32" s="19">
        <v>1</v>
      </c>
      <c r="M32" s="19" t="s">
        <v>376</v>
      </c>
      <c r="N32" s="19">
        <v>1</v>
      </c>
      <c r="O32" s="19" t="s">
        <v>376</v>
      </c>
      <c r="P32" s="19">
        <v>1</v>
      </c>
      <c r="Q32" s="19" t="s">
        <v>376</v>
      </c>
      <c r="R32" s="19">
        <v>1</v>
      </c>
      <c r="S32" s="19" t="s">
        <v>376</v>
      </c>
      <c r="T32" s="16">
        <v>1</v>
      </c>
      <c r="U32" s="16">
        <v>1</v>
      </c>
      <c r="V32" s="16">
        <v>3</v>
      </c>
      <c r="W32" s="16" t="s">
        <v>376</v>
      </c>
      <c r="X32" s="16" t="s">
        <v>376</v>
      </c>
      <c r="Y32" t="s">
        <v>376</v>
      </c>
      <c r="Z32" t="s">
        <v>376</v>
      </c>
      <c r="AA32" t="s">
        <v>376</v>
      </c>
      <c r="AB32" t="s">
        <v>376</v>
      </c>
      <c r="AC32" t="s">
        <v>376</v>
      </c>
      <c r="AD32" t="s">
        <v>376</v>
      </c>
      <c r="AE32">
        <v>2</v>
      </c>
    </row>
    <row r="33" spans="1:24" x14ac:dyDescent="0.25">
      <c r="A33" s="19" t="s">
        <v>377</v>
      </c>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8 2018 10 10 45 AM.txt')</v>
      </c>
    </row>
    <row r="46" spans="1:1" x14ac:dyDescent="0.25">
      <c r="A46" t="str">
        <f ca="1">IF(auto_run,CONCATENATE("save('",SUBSTITUTE(results_directory,"\","/"),FEresults_name,TEXT(date_time," m d yyyy h mm ss AM/PM"),".odc')"),"")</f>
        <v>save('C:/WinBUGS Results/Fixed Effect Results 2 8 2018 10 10 45 AM.odc')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8 2018 10 10 45 AM.txt')</v>
      </c>
    </row>
    <row r="46" spans="1:1" x14ac:dyDescent="0.25">
      <c r="A46" t="str">
        <f ca="1">IF(auto_run,CONCATENATE("save('",SUBSTITUTE(results_directory,"\","/"),REresults_name,TEXT(date_time," m d yyyy h mm ss AM/PM"),".odc')"),"")</f>
        <v>save('C:/WinBUGS Results/Random Effect Results (Vague ) 2 8 2018 10 10 45 AM.odc')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8 2018 10 10 45 AM.txt')</v>
      </c>
    </row>
    <row r="32" spans="1:1" x14ac:dyDescent="0.25">
      <c r="A32" t="str">
        <f ca="1">IF(auto_run,CONCATENATE("save('",SUBSTITUTE(results_directory,"\","/"),"Inconsistency ",FEresults_name,TEXT(date_time," m d yyyy h mm ss AM/PM"),".odc')"),"")</f>
        <v>save('C:/WinBUGS Results/Inconsistency Fixed Effect Results 2 8 2018 10 10 45 AM.odc')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8 2018 10 10 45 AM.txt')</v>
      </c>
    </row>
    <row r="31" spans="1:1" x14ac:dyDescent="0.25">
      <c r="A31" t="str">
        <f ca="1">IF(auto_run,CONCATENATE("save('",SUBSTITUTE(results_directory,"\","/"),"Inconsistency ",REresults_name,TEXT(date_time," m d yyyy h mm ss AM/PM"),".odc')"),"")</f>
        <v>save('C:/WinBUGS Results/Inconsistency Random Effect Results (Vague ) 2 8 2018 10 10 45 AM.odc')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F5" s="59"/>
      <c r="G5" s="54"/>
      <c r="H5" s="16"/>
      <c r="I5" s="16"/>
      <c r="J5" s="16"/>
      <c r="K5" s="59" t="str">
        <f>CONCATENATE(TEXT(I5,"0.00")," (",TEXT(H5,"0.00")," – ",TEXT(J5,"0.00"),")")</f>
        <v>0.00 (0.00 – 0.00)</v>
      </c>
      <c r="L5" s="16" t="str">
        <f>CONCATENATE(TEXT(I5,"0.00"),"
(",TEXT(H5,"0.00")," – ",TEXT(J5,"0.00"),")")</f>
        <v>0.00
(0.00 – 0.00)</v>
      </c>
      <c r="N5" s="59"/>
      <c r="O5" s="104"/>
    </row>
    <row r="6" spans="1:20" x14ac:dyDescent="0.25">
      <c r="F6" s="59"/>
      <c r="G6" s="54"/>
      <c r="H6" s="16"/>
      <c r="I6" s="16"/>
      <c r="J6" s="16"/>
      <c r="K6" s="59" t="str">
        <f t="shared" ref="K6:K69" si="0">CONCATENATE(TEXT(I6,"0.00")," (",TEXT(H6,"0.00")," – ",TEXT(J6,"0.00"),")")</f>
        <v>0.00 (0.00 – 0.00)</v>
      </c>
      <c r="L6" s="16" t="str">
        <f t="shared" ref="L6:L69" si="1">CONCATENATE(TEXT(I6,"0.00"),"
(",TEXT(H6,"0.00")," – ",TEXT(J6,"0.00"),")")</f>
        <v>0.00
(0.00 – 0.00)</v>
      </c>
      <c r="N6" s="59"/>
      <c r="O6" s="104"/>
    </row>
    <row r="7" spans="1:20" x14ac:dyDescent="0.25">
      <c r="B7" s="19"/>
      <c r="C7" s="19"/>
      <c r="F7" s="59"/>
      <c r="G7" s="54"/>
      <c r="H7" s="16"/>
      <c r="I7" s="16"/>
      <c r="J7" s="16"/>
      <c r="K7" s="59" t="str">
        <f t="shared" si="0"/>
        <v>0.00 (0.00 – 0.00)</v>
      </c>
      <c r="L7" s="16" t="str">
        <f t="shared" si="1"/>
        <v>0.00
(0.00 – 0.00)</v>
      </c>
      <c r="N7" s="59"/>
      <c r="O7" s="104"/>
    </row>
    <row r="8" spans="1:20" x14ac:dyDescent="0.25">
      <c r="B8" s="19"/>
      <c r="C8" s="19"/>
      <c r="F8" s="59"/>
      <c r="G8" s="54"/>
      <c r="H8" s="16"/>
      <c r="I8" s="16"/>
      <c r="J8" s="16"/>
      <c r="K8" s="59" t="str">
        <f t="shared" si="0"/>
        <v>0.00 (0.00 – 0.00)</v>
      </c>
      <c r="L8" s="16" t="str">
        <f t="shared" si="1"/>
        <v>0.00
(0.00 – 0.00)</v>
      </c>
      <c r="N8" s="59"/>
      <c r="O8" s="104"/>
    </row>
    <row r="9" spans="1:20" x14ac:dyDescent="0.25">
      <c r="B9" s="19"/>
      <c r="C9" s="19"/>
      <c r="F9" s="59"/>
      <c r="G9" s="54"/>
      <c r="H9" s="16"/>
      <c r="I9" s="16"/>
      <c r="J9" s="16"/>
      <c r="K9" s="59" t="str">
        <f t="shared" si="0"/>
        <v>0.00 (0.00 – 0.00)</v>
      </c>
      <c r="L9" s="16" t="str">
        <f t="shared" si="1"/>
        <v>0.00
(0.00 – 0.00)</v>
      </c>
      <c r="N9" s="59"/>
      <c r="O9" s="104"/>
    </row>
    <row r="10" spans="1:20" x14ac:dyDescent="0.25">
      <c r="F10" s="59"/>
      <c r="G10" s="54"/>
      <c r="H10" s="16"/>
      <c r="I10" s="16"/>
      <c r="J10" s="16"/>
      <c r="K10" s="59" t="str">
        <f t="shared" si="0"/>
        <v>0.00 (0.00 – 0.00)</v>
      </c>
      <c r="L10" s="16" t="str">
        <f t="shared" si="1"/>
        <v>0.00
(0.00 – 0.00)</v>
      </c>
      <c r="N10" s="59"/>
      <c r="O10" s="104"/>
    </row>
    <row r="11" spans="1:20" x14ac:dyDescent="0.25">
      <c r="B11" s="19"/>
      <c r="C11" s="19"/>
      <c r="F11" s="59"/>
      <c r="G11" s="54"/>
      <c r="H11" s="16"/>
      <c r="I11" s="16"/>
      <c r="J11" s="16"/>
      <c r="K11" s="59" t="str">
        <f t="shared" si="0"/>
        <v>0.00 (0.00 – 0.00)</v>
      </c>
      <c r="L11" s="16" t="str">
        <f t="shared" si="1"/>
        <v>0.00
(0.00 – 0.00)</v>
      </c>
      <c r="N11" s="59"/>
      <c r="O11" s="104"/>
    </row>
    <row r="12" spans="1:20" x14ac:dyDescent="0.25">
      <c r="F12" s="59"/>
      <c r="G12" s="54"/>
      <c r="H12" s="16"/>
      <c r="I12" s="16"/>
      <c r="J12" s="16"/>
      <c r="K12" s="59" t="str">
        <f t="shared" si="0"/>
        <v>0.00 (0.00 – 0.00)</v>
      </c>
      <c r="L12" s="16" t="str">
        <f t="shared" si="1"/>
        <v>0.00
(0.00 – 0.00)</v>
      </c>
      <c r="N12" s="59"/>
      <c r="O12" s="104"/>
    </row>
    <row r="13" spans="1:20" x14ac:dyDescent="0.25">
      <c r="B13" s="19"/>
      <c r="C13" s="19"/>
      <c r="F13" s="59"/>
      <c r="G13" s="54"/>
      <c r="H13" s="16"/>
      <c r="I13" s="16"/>
      <c r="J13" s="16"/>
      <c r="K13" s="59" t="str">
        <f t="shared" si="0"/>
        <v>0.00 (0.00 – 0.00)</v>
      </c>
      <c r="L13" s="16" t="str">
        <f t="shared" si="1"/>
        <v>0.00
(0.00 – 0.00)</v>
      </c>
      <c r="N13" s="59"/>
      <c r="O13" s="104"/>
    </row>
    <row r="14" spans="1:20" x14ac:dyDescent="0.25">
      <c r="F14" s="59"/>
      <c r="G14" s="54"/>
      <c r="H14" s="16"/>
      <c r="I14" s="16"/>
      <c r="J14" s="16"/>
      <c r="K14" s="59" t="str">
        <f t="shared" si="0"/>
        <v>0.00 (0.00 – 0.00)</v>
      </c>
      <c r="L14" s="16" t="str">
        <f t="shared" si="1"/>
        <v>0.00
(0.00 – 0.00)</v>
      </c>
      <c r="N14" s="59"/>
      <c r="O14" s="104"/>
    </row>
    <row r="15" spans="1:20" ht="15" customHeight="1" x14ac:dyDescent="0.25">
      <c r="K15" s="59" t="str">
        <f t="shared" si="0"/>
        <v>0.00 (0.00 – 0.00)</v>
      </c>
      <c r="L15" s="16" t="str">
        <f t="shared" si="1"/>
        <v>0.00
(0.00 – 0.00)</v>
      </c>
      <c r="N15" s="59"/>
      <c r="O15" s="16"/>
    </row>
    <row r="16" spans="1:20" ht="15" customHeight="1" x14ac:dyDescent="0.25">
      <c r="K16" s="59" t="str">
        <f t="shared" si="0"/>
        <v>0.00 (0.00 – 0.00)</v>
      </c>
      <c r="L16" s="16" t="str">
        <f t="shared" si="1"/>
        <v>0.00
(0.00 – 0.00)</v>
      </c>
      <c r="N16" s="59"/>
      <c r="O16" s="16"/>
    </row>
    <row r="17" spans="11:15" ht="15" customHeight="1" x14ac:dyDescent="0.25">
      <c r="K17" s="59" t="str">
        <f t="shared" si="0"/>
        <v>0.00 (0.00 – 0.00)</v>
      </c>
      <c r="L17" s="16" t="str">
        <f t="shared" si="1"/>
        <v>0.00
(0.00 – 0.00)</v>
      </c>
      <c r="N17" s="59"/>
      <c r="O17" s="16"/>
    </row>
    <row r="18" spans="11:15" ht="15" customHeight="1" x14ac:dyDescent="0.25">
      <c r="K18" s="59" t="str">
        <f t="shared" si="0"/>
        <v>0.00 (0.00 – 0.00)</v>
      </c>
      <c r="L18" s="16" t="str">
        <f t="shared" si="1"/>
        <v>0.00
(0.00 – 0.00)</v>
      </c>
      <c r="N18" s="59"/>
      <c r="O18" s="16"/>
    </row>
    <row r="19" spans="11:15" ht="15" customHeight="1" x14ac:dyDescent="0.25">
      <c r="K19" s="59" t="str">
        <f t="shared" si="0"/>
        <v>0.00 (0.00 – 0.00)</v>
      </c>
      <c r="L19" s="16" t="str">
        <f t="shared" si="1"/>
        <v>0.00
(0.00 – 0.00)</v>
      </c>
      <c r="N19" s="59"/>
      <c r="O19" s="16"/>
    </row>
    <row r="20" spans="11:15" ht="15" customHeight="1" x14ac:dyDescent="0.25">
      <c r="K20" s="59" t="str">
        <f t="shared" si="0"/>
        <v>0.00 (0.00 – 0.00)</v>
      </c>
      <c r="L20" s="16" t="str">
        <f t="shared" si="1"/>
        <v>0.00
(0.00 – 0.00)</v>
      </c>
      <c r="N20" s="59"/>
      <c r="O20" s="16"/>
    </row>
    <row r="21" spans="11:15" ht="15" customHeight="1" x14ac:dyDescent="0.25">
      <c r="K21" s="59" t="str">
        <f t="shared" si="0"/>
        <v>0.00 (0.00 – 0.00)</v>
      </c>
      <c r="L21" s="16" t="str">
        <f t="shared" si="1"/>
        <v>0.00
(0.00 – 0.00)</v>
      </c>
      <c r="N21" s="59"/>
      <c r="O21" s="16"/>
    </row>
    <row r="22" spans="11:15" ht="15" customHeight="1" x14ac:dyDescent="0.25">
      <c r="K22" s="59" t="str">
        <f t="shared" si="0"/>
        <v>0.00 (0.00 – 0.00)</v>
      </c>
      <c r="L22" s="16" t="str">
        <f t="shared" si="1"/>
        <v>0.00
(0.00 – 0.00)</v>
      </c>
      <c r="N22" s="59"/>
      <c r="O22" s="16"/>
    </row>
    <row r="23" spans="11:15" ht="15" customHeight="1" x14ac:dyDescent="0.25">
      <c r="K23" s="59" t="str">
        <f t="shared" si="0"/>
        <v>0.00 (0.00 – 0.00)</v>
      </c>
      <c r="L23" s="16" t="str">
        <f t="shared" si="1"/>
        <v>0.00
(0.00 – 0.00)</v>
      </c>
      <c r="N23" s="59"/>
      <c r="O23" s="16"/>
    </row>
    <row r="24" spans="11:15" ht="15" customHeight="1" x14ac:dyDescent="0.25">
      <c r="K24" s="59" t="str">
        <f t="shared" si="0"/>
        <v>0.00 (0.00 – 0.00)</v>
      </c>
      <c r="L24" s="16" t="str">
        <f t="shared" si="1"/>
        <v>0.00
(0.00 – 0.00)</v>
      </c>
      <c r="N24" s="59"/>
      <c r="O24" s="16"/>
    </row>
    <row r="25" spans="11:15" ht="15" customHeight="1" x14ac:dyDescent="0.25">
      <c r="K25" s="59" t="str">
        <f t="shared" si="0"/>
        <v>0.00 (0.00 – 0.00)</v>
      </c>
      <c r="L25" s="16" t="str">
        <f t="shared" si="1"/>
        <v>0.00
(0.00 – 0.00)</v>
      </c>
      <c r="N25" s="59"/>
      <c r="O25" s="16"/>
    </row>
    <row r="26" spans="11:15" ht="15" customHeight="1" x14ac:dyDescent="0.25">
      <c r="K26" s="59" t="str">
        <f t="shared" si="0"/>
        <v>0.00 (0.00 – 0.00)</v>
      </c>
      <c r="L26" s="16" t="str">
        <f t="shared" si="1"/>
        <v>0.00
(0.00 – 0.00)</v>
      </c>
      <c r="N26" s="59"/>
      <c r="O26" s="16"/>
    </row>
    <row r="27" spans="11:15" ht="15" customHeight="1" x14ac:dyDescent="0.25">
      <c r="K27" s="59" t="str">
        <f t="shared" si="0"/>
        <v>0.00 (0.00 – 0.00)</v>
      </c>
      <c r="L27" s="16" t="str">
        <f t="shared" si="1"/>
        <v>0.00
(0.00 – 0.00)</v>
      </c>
      <c r="N27" s="59"/>
      <c r="O27" s="16"/>
    </row>
    <row r="28" spans="11:15" ht="15" customHeight="1" x14ac:dyDescent="0.25">
      <c r="K28" s="59" t="str">
        <f t="shared" si="0"/>
        <v>0.00 (0.00 – 0.00)</v>
      </c>
      <c r="L28" s="16" t="str">
        <f t="shared" si="1"/>
        <v>0.00
(0.00 – 0.00)</v>
      </c>
      <c r="N28" s="59"/>
      <c r="O28" s="16"/>
    </row>
    <row r="29" spans="11:15" ht="15" customHeight="1" x14ac:dyDescent="0.25">
      <c r="K29" s="59" t="str">
        <f t="shared" si="0"/>
        <v>0.00 (0.00 – 0.00)</v>
      </c>
      <c r="L29" s="16" t="str">
        <f t="shared" si="1"/>
        <v>0.00
(0.00 – 0.00)</v>
      </c>
      <c r="N29" s="59"/>
      <c r="O29" s="16"/>
    </row>
    <row r="30" spans="11:15" ht="15" customHeight="1" x14ac:dyDescent="0.25">
      <c r="K30" s="59" t="str">
        <f t="shared" si="0"/>
        <v>0.00 (0.00 – 0.00)</v>
      </c>
      <c r="L30" s="16" t="str">
        <f t="shared" si="1"/>
        <v>0.00
(0.00 – 0.00)</v>
      </c>
      <c r="N30" s="59"/>
      <c r="O30" s="16"/>
    </row>
    <row r="31" spans="11:15" ht="15" customHeight="1" x14ac:dyDescent="0.25">
      <c r="K31" s="59" t="str">
        <f t="shared" si="0"/>
        <v>0.00 (0.00 – 0.00)</v>
      </c>
      <c r="L31" s="16" t="str">
        <f t="shared" si="1"/>
        <v>0.00
(0.00 – 0.00)</v>
      </c>
      <c r="N31" s="59"/>
      <c r="O31" s="16"/>
    </row>
    <row r="32" spans="11: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K34" s="59" t="str">
        <f t="shared" si="0"/>
        <v>0.00 (0.00 – 0.00)</v>
      </c>
      <c r="L34" s="16" t="str">
        <f t="shared" si="1"/>
        <v>0.00
(0.00 – 0.00)</v>
      </c>
      <c r="N34" s="59"/>
      <c r="O34" s="16"/>
    </row>
    <row r="35" spans="3:15" ht="15" customHeight="1" x14ac:dyDescent="0.25">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E37" s="57"/>
      <c r="F37" s="57"/>
      <c r="G37" s="57"/>
      <c r="H37" s="57"/>
      <c r="I37" s="57"/>
      <c r="J37" s="57"/>
      <c r="K37" s="59" t="str">
        <f t="shared" si="0"/>
        <v>0.00 (0.00 – 0.00)</v>
      </c>
      <c r="L37" s="16" t="str">
        <f t="shared" si="1"/>
        <v>0.00
(0.00 – 0.00)</v>
      </c>
      <c r="M37" s="57"/>
      <c r="N37" s="59"/>
      <c r="O37" s="16"/>
    </row>
    <row r="38" spans="3:15" ht="15" customHeight="1" x14ac:dyDescent="0.25">
      <c r="C38" s="56"/>
      <c r="D38" s="57"/>
      <c r="E38" s="57"/>
      <c r="F38" s="57"/>
      <c r="G38" s="57"/>
      <c r="H38" s="57"/>
      <c r="I38" s="57"/>
      <c r="J38" s="57"/>
      <c r="K38" s="59" t="str">
        <f t="shared" si="0"/>
        <v>0.00 (0.00 – 0.00)</v>
      </c>
      <c r="L38" s="16" t="str">
        <f t="shared" si="1"/>
        <v>0.00
(0.00 – 0.00)</v>
      </c>
      <c r="M38" s="57"/>
      <c r="N38" s="59"/>
      <c r="O38" s="16"/>
    </row>
    <row r="39" spans="3:15" ht="15" customHeight="1" x14ac:dyDescent="0.25">
      <c r="C39" s="56"/>
      <c r="D39" s="57"/>
      <c r="E39" s="57"/>
      <c r="F39" s="57"/>
      <c r="G39" s="57"/>
      <c r="H39" s="57"/>
      <c r="I39" s="57"/>
      <c r="J39" s="57"/>
      <c r="K39" s="59" t="str">
        <f t="shared" si="0"/>
        <v>0.00 (0.00 – 0.00)</v>
      </c>
      <c r="L39" s="16" t="str">
        <f t="shared" si="1"/>
        <v>0.00
(0.00 – 0.00)</v>
      </c>
      <c r="M39" s="57"/>
      <c r="N39" s="59"/>
      <c r="O39" s="16"/>
    </row>
    <row r="40" spans="3:15" ht="15" customHeight="1" x14ac:dyDescent="0.25">
      <c r="C40" s="56"/>
      <c r="D40" s="57"/>
      <c r="E40" s="57"/>
      <c r="F40" s="57"/>
      <c r="G40" s="57"/>
      <c r="H40" s="57"/>
      <c r="I40" s="57"/>
      <c r="J40" s="57"/>
      <c r="K40" s="59" t="str">
        <f t="shared" si="0"/>
        <v>0.00 (0.00 – 0.00)</v>
      </c>
      <c r="L40" s="16" t="str">
        <f t="shared" si="1"/>
        <v>0.00
(0.00 – 0.00)</v>
      </c>
      <c r="M40" s="57"/>
      <c r="N40" s="59"/>
      <c r="O40" s="16"/>
    </row>
    <row r="41" spans="3:15" ht="15" customHeight="1" x14ac:dyDescent="0.25">
      <c r="C41" s="56"/>
      <c r="D41" s="57"/>
      <c r="E41" s="57"/>
      <c r="F41" s="57"/>
      <c r="G41" s="57"/>
      <c r="H41" s="57"/>
      <c r="I41" s="57"/>
      <c r="J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E43" s="57"/>
      <c r="F43" s="57"/>
      <c r="G43" s="57"/>
      <c r="H43" s="57"/>
      <c r="I43" s="57"/>
      <c r="J43" s="57"/>
      <c r="K43" s="59" t="str">
        <f t="shared" si="0"/>
        <v>0.00 (0.00 – 0.00)</v>
      </c>
      <c r="L43" s="16" t="str">
        <f t="shared" si="1"/>
        <v>0.00
(0.00 – 0.00)</v>
      </c>
      <c r="M43" s="57"/>
      <c r="N43" s="59"/>
      <c r="O43" s="16"/>
    </row>
    <row r="44" spans="3:15" ht="15" customHeight="1" x14ac:dyDescent="0.25">
      <c r="C44" s="56"/>
      <c r="D44" s="57"/>
      <c r="E44" s="57"/>
      <c r="F44" s="57"/>
      <c r="G44" s="57"/>
      <c r="H44" s="57"/>
      <c r="I44" s="57"/>
      <c r="J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E46" s="57"/>
      <c r="F46" s="57"/>
      <c r="G46" s="57"/>
      <c r="H46" s="57"/>
      <c r="I46" s="57"/>
      <c r="J46" s="57"/>
      <c r="K46" s="59" t="str">
        <f t="shared" si="0"/>
        <v>0.00 (0.00 – 0.00)</v>
      </c>
      <c r="L46" s="16" t="str">
        <f t="shared" si="1"/>
        <v>0.00
(0.00 – 0.00)</v>
      </c>
      <c r="M46" s="57"/>
      <c r="N46" s="59"/>
      <c r="O46" s="16"/>
    </row>
    <row r="47" spans="3:15" ht="15" customHeight="1" x14ac:dyDescent="0.25">
      <c r="C47" s="56"/>
      <c r="D47" s="57"/>
      <c r="E47" s="57"/>
      <c r="F47" s="57"/>
      <c r="G47" s="57"/>
      <c r="H47" s="57"/>
      <c r="I47" s="57"/>
      <c r="J47" s="57"/>
      <c r="K47" s="59" t="str">
        <f t="shared" si="0"/>
        <v>0.00 (0.00 – 0.00)</v>
      </c>
      <c r="L47" s="16" t="str">
        <f t="shared" si="1"/>
        <v>0.00
(0.00 – 0.00)</v>
      </c>
      <c r="M47" s="57"/>
      <c r="N47" s="59"/>
      <c r="O47" s="16"/>
    </row>
    <row r="48" spans="3:15" ht="15" customHeight="1" x14ac:dyDescent="0.25">
      <c r="C48" s="56"/>
      <c r="D48" s="57"/>
      <c r="E48" s="57"/>
      <c r="F48" s="57"/>
      <c r="G48" s="57"/>
      <c r="H48" s="57"/>
      <c r="I48" s="57"/>
      <c r="J48" s="57"/>
      <c r="K48" s="59" t="str">
        <f t="shared" si="0"/>
        <v>0.00 (0.00 – 0.00)</v>
      </c>
      <c r="L48" s="16" t="str">
        <f t="shared" si="1"/>
        <v>0.00
(0.00 – 0.00)</v>
      </c>
      <c r="M48" s="57"/>
      <c r="N48" s="59"/>
      <c r="O48" s="16"/>
    </row>
    <row r="49" spans="3:15" ht="15"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0.119 
95% CrI (0.03645 – 0.3481)</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54">
        <v>3</v>
      </c>
      <c r="C5" s="54">
        <v>3.6909999999999998</v>
      </c>
      <c r="E5" s="57">
        <v>8</v>
      </c>
      <c r="F5" s="57">
        <v>10</v>
      </c>
      <c r="G5" s="57" t="s">
        <v>758</v>
      </c>
      <c r="H5" s="57">
        <v>0.30637254901960786</v>
      </c>
      <c r="I5" s="57">
        <v>1.2717792191275594</v>
      </c>
      <c r="J5" s="57">
        <v>7.8369905956112857</v>
      </c>
      <c r="K5" s="59" t="str">
        <f t="shared" ref="K5:K49" si="0">CONCATENATE(TEXT(I5,"0.00")," (",TEXT(H5,"0.00")," – ",TEXT(J5,"0.00"),")")</f>
        <v>1.27 (0.31 – 7.84)</v>
      </c>
      <c r="L5" s="16" t="str">
        <f t="shared" ref="L5:L49" si="1">CONCATENATE(TEXT(I5,"0.00"),"
(",TEXT(H5,"0.00")," – ",TEXT(J5,"0.00"),")")</f>
        <v>1.27
(0.31 – 7.84)</v>
      </c>
      <c r="N5" s="59" t="s">
        <v>417</v>
      </c>
      <c r="O5" s="16" t="s">
        <v>698</v>
      </c>
      <c r="P5">
        <v>0.505</v>
      </c>
      <c r="Q5">
        <v>0.90380000000000005</v>
      </c>
      <c r="R5">
        <v>1.536</v>
      </c>
      <c r="S5">
        <v>2</v>
      </c>
      <c r="T5">
        <v>1</v>
      </c>
    </row>
    <row r="6" spans="1:20" x14ac:dyDescent="0.25">
      <c r="A6" t="s">
        <v>354</v>
      </c>
      <c r="B6" s="19">
        <v>4</v>
      </c>
      <c r="C6" s="19">
        <v>3.9940000000000002</v>
      </c>
      <c r="E6" s="57">
        <v>9</v>
      </c>
      <c r="F6" s="57">
        <v>7</v>
      </c>
      <c r="G6" s="57" t="s">
        <v>738</v>
      </c>
      <c r="H6" s="57">
        <v>3.6110000000000003E-2</v>
      </c>
      <c r="I6" s="57">
        <v>1.194</v>
      </c>
      <c r="J6" s="57">
        <v>39.86</v>
      </c>
      <c r="K6" s="59" t="str">
        <f t="shared" si="0"/>
        <v>1.19 (0.04 – 39.86)</v>
      </c>
      <c r="L6" s="16" t="str">
        <f t="shared" si="1"/>
        <v>1.19
(0.04 – 39.86)</v>
      </c>
      <c r="N6" s="59" t="s">
        <v>418</v>
      </c>
      <c r="O6" s="16" t="s">
        <v>699</v>
      </c>
      <c r="P6">
        <v>0.38169999999999998</v>
      </c>
      <c r="Q6">
        <v>0.80740000000000001</v>
      </c>
      <c r="R6">
        <v>1.6140000000000001</v>
      </c>
      <c r="S6">
        <v>3</v>
      </c>
      <c r="T6">
        <v>1</v>
      </c>
    </row>
    <row r="7" spans="1:20" x14ac:dyDescent="0.25">
      <c r="A7" t="s">
        <v>352</v>
      </c>
      <c r="B7" s="54">
        <v>2</v>
      </c>
      <c r="C7" s="54">
        <v>4.3550000000000004</v>
      </c>
      <c r="E7" s="19">
        <v>6</v>
      </c>
      <c r="F7" s="19">
        <v>10</v>
      </c>
      <c r="G7" s="19" t="s">
        <v>744</v>
      </c>
      <c r="H7" s="19">
        <v>6.3011972274732209E-2</v>
      </c>
      <c r="I7" s="19">
        <v>1.1906179307060365</v>
      </c>
      <c r="J7" s="19">
        <v>78.308535630383716</v>
      </c>
      <c r="K7" s="59" t="str">
        <f t="shared" si="0"/>
        <v>1.19 (0.06 – 78.31)</v>
      </c>
      <c r="L7" s="16" t="str">
        <f t="shared" si="1"/>
        <v>1.19
(0.06 – 78.31)</v>
      </c>
      <c r="N7" s="59" t="s">
        <v>419</v>
      </c>
      <c r="O7" s="16" t="s">
        <v>700</v>
      </c>
      <c r="P7">
        <v>0.35780000000000001</v>
      </c>
      <c r="Q7">
        <v>0.81699999999999995</v>
      </c>
      <c r="R7">
        <v>1.867</v>
      </c>
      <c r="S7">
        <v>4</v>
      </c>
      <c r="T7">
        <v>1</v>
      </c>
    </row>
    <row r="8" spans="1:20" x14ac:dyDescent="0.25">
      <c r="A8" t="s">
        <v>359</v>
      </c>
      <c r="B8" s="19">
        <v>9</v>
      </c>
      <c r="C8" s="19">
        <v>4.6879999999999997</v>
      </c>
      <c r="E8" s="19">
        <v>2</v>
      </c>
      <c r="F8" s="19">
        <v>7</v>
      </c>
      <c r="G8" s="19" t="s">
        <v>759</v>
      </c>
      <c r="H8" s="19">
        <v>3.6023054755043228E-2</v>
      </c>
      <c r="I8" s="19">
        <v>1.1700011700011699</v>
      </c>
      <c r="J8" s="19">
        <v>32.594524119947849</v>
      </c>
      <c r="K8" s="59" t="str">
        <f t="shared" si="0"/>
        <v>1.17 (0.04 – 32.59)</v>
      </c>
      <c r="L8" s="16" t="str">
        <f t="shared" si="1"/>
        <v>1.17
(0.04 – 32.59)</v>
      </c>
      <c r="N8" s="59" t="s">
        <v>420</v>
      </c>
      <c r="O8" s="16" t="s">
        <v>701</v>
      </c>
      <c r="P8">
        <v>0.24590000000000001</v>
      </c>
      <c r="Q8">
        <v>1.155</v>
      </c>
      <c r="R8">
        <v>5.1340000000000003</v>
      </c>
      <c r="S8">
        <v>5</v>
      </c>
      <c r="T8">
        <v>1</v>
      </c>
    </row>
    <row r="9" spans="1:20" x14ac:dyDescent="0.25">
      <c r="A9" t="s">
        <v>357</v>
      </c>
      <c r="B9" s="54">
        <v>7</v>
      </c>
      <c r="C9" s="54">
        <v>4.6959999999999997</v>
      </c>
      <c r="E9" s="57">
        <v>4</v>
      </c>
      <c r="F9" s="57">
        <v>7</v>
      </c>
      <c r="G9" s="57" t="s">
        <v>749</v>
      </c>
      <c r="H9" s="57">
        <v>3.3079722130334104E-2</v>
      </c>
      <c r="I9" s="57">
        <v>1.0647359454855196</v>
      </c>
      <c r="J9" s="57">
        <v>34.566194262011749</v>
      </c>
      <c r="K9" s="59" t="str">
        <f t="shared" si="0"/>
        <v>1.06 (0.03 – 34.57)</v>
      </c>
      <c r="L9" s="16" t="str">
        <f t="shared" si="1"/>
        <v>1.06
(0.03 – 34.57)</v>
      </c>
      <c r="N9" s="59" t="s">
        <v>421</v>
      </c>
      <c r="O9" s="16" t="s">
        <v>702</v>
      </c>
      <c r="P9">
        <v>0.1103</v>
      </c>
      <c r="Q9">
        <v>1.8660000000000001</v>
      </c>
      <c r="R9">
        <v>116.1</v>
      </c>
      <c r="S9">
        <v>6</v>
      </c>
      <c r="T9">
        <v>1</v>
      </c>
    </row>
    <row r="10" spans="1:20" x14ac:dyDescent="0.25">
      <c r="A10" t="s">
        <v>351</v>
      </c>
      <c r="B10" s="19">
        <v>1</v>
      </c>
      <c r="C10" s="19">
        <v>5.165</v>
      </c>
      <c r="E10" s="57">
        <v>3</v>
      </c>
      <c r="F10" s="57">
        <v>7</v>
      </c>
      <c r="G10" s="57" t="s">
        <v>753</v>
      </c>
      <c r="H10" s="57">
        <v>3.1367628607277293E-2</v>
      </c>
      <c r="I10" s="57">
        <v>1.0212418300653596</v>
      </c>
      <c r="J10" s="57">
        <v>31.496062992125985</v>
      </c>
      <c r="K10" s="59" t="str">
        <f t="shared" si="0"/>
        <v>1.02 (0.03 – 31.50)</v>
      </c>
      <c r="L10" s="16" t="str">
        <f t="shared" si="1"/>
        <v>1.02
(0.03 – 31.50)</v>
      </c>
      <c r="N10" s="59" t="s">
        <v>422</v>
      </c>
      <c r="O10" s="16" t="s">
        <v>703</v>
      </c>
      <c r="P10">
        <v>2.657E-2</v>
      </c>
      <c r="Q10">
        <v>0.75380000000000003</v>
      </c>
      <c r="R10">
        <v>25.57</v>
      </c>
      <c r="S10">
        <v>7</v>
      </c>
      <c r="T10">
        <v>1</v>
      </c>
    </row>
    <row r="11" spans="1:20" x14ac:dyDescent="0.25">
      <c r="A11" t="s">
        <v>355</v>
      </c>
      <c r="B11" s="54">
        <v>5</v>
      </c>
      <c r="C11" s="54">
        <v>5.7460000000000004</v>
      </c>
      <c r="E11" s="19">
        <v>3</v>
      </c>
      <c r="F11" s="19">
        <v>4</v>
      </c>
      <c r="G11" s="19" t="s">
        <v>780</v>
      </c>
      <c r="H11" s="19">
        <v>0.47370914258645186</v>
      </c>
      <c r="I11" s="19">
        <v>0.970873786407767</v>
      </c>
      <c r="J11" s="19">
        <v>2.0271639975674032</v>
      </c>
      <c r="K11" s="59" t="str">
        <f t="shared" si="0"/>
        <v>0.97 (0.47 – 2.03)</v>
      </c>
      <c r="L11" s="16" t="str">
        <f t="shared" si="1"/>
        <v>0.97
(0.47 – 2.03)</v>
      </c>
      <c r="N11" s="59" t="s">
        <v>423</v>
      </c>
      <c r="O11" s="16" t="s">
        <v>704</v>
      </c>
      <c r="P11">
        <v>0.45100000000000001</v>
      </c>
      <c r="Q11">
        <v>2.024</v>
      </c>
      <c r="R11">
        <v>11.83</v>
      </c>
      <c r="S11">
        <v>8</v>
      </c>
      <c r="T11">
        <v>1</v>
      </c>
    </row>
    <row r="12" spans="1:20" x14ac:dyDescent="0.25">
      <c r="A12" t="s">
        <v>356</v>
      </c>
      <c r="B12" s="19">
        <v>6</v>
      </c>
      <c r="C12" s="19">
        <v>6.8179999999999996</v>
      </c>
      <c r="E12" s="19">
        <v>2</v>
      </c>
      <c r="F12" s="19">
        <v>9</v>
      </c>
      <c r="G12" s="19" t="s">
        <v>786</v>
      </c>
      <c r="H12" s="19">
        <v>0.44903457566232602</v>
      </c>
      <c r="I12" s="19">
        <v>0.95877277085330781</v>
      </c>
      <c r="J12" s="19">
        <v>2.1150592216582065</v>
      </c>
      <c r="K12" s="59" t="str">
        <f t="shared" si="0"/>
        <v>0.96 (0.45 – 2.12)</v>
      </c>
      <c r="L12" s="16" t="str">
        <f t="shared" si="1"/>
        <v>0.96
(0.45 – 2.12)</v>
      </c>
      <c r="N12" s="59" t="s">
        <v>424</v>
      </c>
      <c r="O12" s="16" t="s">
        <v>705</v>
      </c>
      <c r="P12">
        <v>0.45810000000000001</v>
      </c>
      <c r="Q12">
        <v>0.94240000000000002</v>
      </c>
      <c r="R12">
        <v>1.804</v>
      </c>
      <c r="S12">
        <v>9</v>
      </c>
      <c r="T12">
        <v>1</v>
      </c>
    </row>
    <row r="13" spans="1:20" x14ac:dyDescent="0.25">
      <c r="A13" t="s">
        <v>358</v>
      </c>
      <c r="B13" s="19">
        <v>8</v>
      </c>
      <c r="C13" s="19">
        <v>7.89</v>
      </c>
      <c r="E13" s="19">
        <v>9</v>
      </c>
      <c r="F13" s="19">
        <v>1</v>
      </c>
      <c r="G13" s="19" t="s">
        <v>705</v>
      </c>
      <c r="H13" s="19">
        <v>0.45810000000000001</v>
      </c>
      <c r="I13" s="19">
        <v>0.94240000000000002</v>
      </c>
      <c r="J13" s="19">
        <v>1.804</v>
      </c>
      <c r="K13" s="59" t="str">
        <f t="shared" si="0"/>
        <v>0.94 (0.46 – 1.80)</v>
      </c>
      <c r="L13" s="16" t="str">
        <f t="shared" si="1"/>
        <v>0.94
(0.46 – 1.80)</v>
      </c>
      <c r="N13" s="59" t="s">
        <v>425</v>
      </c>
      <c r="O13" s="16" t="s">
        <v>706</v>
      </c>
      <c r="P13">
        <v>0.91749999999999998</v>
      </c>
      <c r="Q13">
        <v>1.5780000000000001</v>
      </c>
      <c r="R13">
        <v>2.7120000000000002</v>
      </c>
      <c r="S13">
        <v>10</v>
      </c>
      <c r="T13">
        <v>1</v>
      </c>
    </row>
    <row r="14" spans="1:20" x14ac:dyDescent="0.25">
      <c r="A14" t="s">
        <v>360</v>
      </c>
      <c r="B14" s="54">
        <v>10</v>
      </c>
      <c r="C14" s="54">
        <v>7.9580000000000002</v>
      </c>
      <c r="E14" s="19">
        <v>4</v>
      </c>
      <c r="F14" s="59">
        <v>2</v>
      </c>
      <c r="G14" s="54" t="s">
        <v>708</v>
      </c>
      <c r="H14" s="16">
        <v>0.38129999999999997</v>
      </c>
      <c r="I14" s="16">
        <v>0.91839999999999999</v>
      </c>
      <c r="J14" s="16">
        <v>2.1389999999999998</v>
      </c>
      <c r="K14" s="59" t="str">
        <f t="shared" si="0"/>
        <v>0.92 (0.38 – 2.14)</v>
      </c>
      <c r="L14" s="16" t="str">
        <f t="shared" si="1"/>
        <v>0.92
(0.38 – 2.14)</v>
      </c>
      <c r="N14" s="59" t="s">
        <v>426</v>
      </c>
      <c r="O14" s="16" t="s">
        <v>707</v>
      </c>
      <c r="P14">
        <v>0.45019999999999999</v>
      </c>
      <c r="Q14">
        <v>0.89419999999999999</v>
      </c>
      <c r="R14">
        <v>1.732</v>
      </c>
      <c r="S14">
        <v>3</v>
      </c>
      <c r="T14">
        <v>2</v>
      </c>
    </row>
    <row r="15" spans="1:20" ht="15" customHeight="1" x14ac:dyDescent="0.25">
      <c r="E15" s="19">
        <v>2</v>
      </c>
      <c r="F15" s="19">
        <v>1</v>
      </c>
      <c r="G15" s="19" t="s">
        <v>698</v>
      </c>
      <c r="H15" s="19">
        <v>0.505</v>
      </c>
      <c r="I15" s="19">
        <v>0.90380000000000005</v>
      </c>
      <c r="J15" s="19">
        <v>1.536</v>
      </c>
      <c r="K15" s="59" t="str">
        <f t="shared" si="0"/>
        <v>0.90 (0.51 – 1.54)</v>
      </c>
      <c r="L15" s="16" t="str">
        <f t="shared" si="1"/>
        <v>0.90
(0.51 – 1.54)</v>
      </c>
      <c r="N15" s="59" t="s">
        <v>427</v>
      </c>
      <c r="O15" s="16" t="s">
        <v>708</v>
      </c>
      <c r="P15">
        <v>0.38129999999999997</v>
      </c>
      <c r="Q15">
        <v>0.91839999999999999</v>
      </c>
      <c r="R15">
        <v>2.1389999999999998</v>
      </c>
      <c r="S15">
        <v>4</v>
      </c>
      <c r="T15">
        <v>2</v>
      </c>
    </row>
    <row r="16" spans="1:20" ht="15" customHeight="1" x14ac:dyDescent="0.25">
      <c r="E16" s="19">
        <v>6</v>
      </c>
      <c r="F16" s="19">
        <v>8</v>
      </c>
      <c r="G16" s="19" t="s">
        <v>743</v>
      </c>
      <c r="H16" s="19">
        <v>3.7285607755406409E-2</v>
      </c>
      <c r="I16" s="19">
        <v>0.89928057553956831</v>
      </c>
      <c r="J16" s="19">
        <v>86.956521739130437</v>
      </c>
      <c r="K16" s="59" t="str">
        <f t="shared" si="0"/>
        <v>0.90 (0.04 – 86.96)</v>
      </c>
      <c r="L16" s="16" t="str">
        <f t="shared" si="1"/>
        <v>0.90
(0.04 – 86.96)</v>
      </c>
      <c r="N16" s="59" t="s">
        <v>428</v>
      </c>
      <c r="O16" s="16" t="s">
        <v>709</v>
      </c>
      <c r="P16">
        <v>0.31490000000000001</v>
      </c>
      <c r="Q16">
        <v>1.306</v>
      </c>
      <c r="R16">
        <v>5.1609999999999996</v>
      </c>
      <c r="S16">
        <v>5</v>
      </c>
      <c r="T16">
        <v>2</v>
      </c>
    </row>
    <row r="17" spans="5:20" ht="15" customHeight="1" x14ac:dyDescent="0.25">
      <c r="E17" s="57">
        <v>3</v>
      </c>
      <c r="F17" s="57">
        <v>2</v>
      </c>
      <c r="G17" s="57" t="s">
        <v>707</v>
      </c>
      <c r="H17" s="57">
        <v>0.45019999999999999</v>
      </c>
      <c r="I17" s="57">
        <v>0.89419999999999999</v>
      </c>
      <c r="J17" s="57">
        <v>1.732</v>
      </c>
      <c r="K17" s="59" t="str">
        <f t="shared" si="0"/>
        <v>0.89 (0.45 – 1.73)</v>
      </c>
      <c r="L17" s="16" t="str">
        <f t="shared" si="1"/>
        <v>0.89
(0.45 – 1.73)</v>
      </c>
      <c r="N17" s="59" t="s">
        <v>429</v>
      </c>
      <c r="O17" s="16" t="s">
        <v>710</v>
      </c>
      <c r="P17">
        <v>0.1176</v>
      </c>
      <c r="Q17">
        <v>2.089</v>
      </c>
      <c r="R17">
        <v>139.5</v>
      </c>
      <c r="S17">
        <v>6</v>
      </c>
      <c r="T17">
        <v>2</v>
      </c>
    </row>
    <row r="18" spans="5:20" ht="15" customHeight="1" x14ac:dyDescent="0.25">
      <c r="E18" s="19">
        <v>4</v>
      </c>
      <c r="F18" s="19">
        <v>9</v>
      </c>
      <c r="G18" s="19" t="s">
        <v>747</v>
      </c>
      <c r="H18" s="19">
        <v>0.32185387833923396</v>
      </c>
      <c r="I18" s="19">
        <v>0.87642418930762489</v>
      </c>
      <c r="J18" s="19">
        <v>2.3201856148491879</v>
      </c>
      <c r="K18" s="59" t="str">
        <f t="shared" si="0"/>
        <v>0.88 (0.32 – 2.32)</v>
      </c>
      <c r="L18" s="16" t="str">
        <f t="shared" si="1"/>
        <v>0.88
(0.32 – 2.32)</v>
      </c>
      <c r="N18" s="59" t="s">
        <v>430</v>
      </c>
      <c r="O18" s="16" t="s">
        <v>711</v>
      </c>
      <c r="P18">
        <v>3.0679999999999999E-2</v>
      </c>
      <c r="Q18">
        <v>0.85470000000000002</v>
      </c>
      <c r="R18">
        <v>27.76</v>
      </c>
      <c r="S18">
        <v>7</v>
      </c>
      <c r="T18">
        <v>2</v>
      </c>
    </row>
    <row r="19" spans="5:20" ht="15" customHeight="1" x14ac:dyDescent="0.25">
      <c r="E19" s="19">
        <v>3</v>
      </c>
      <c r="F19" s="59">
        <v>9</v>
      </c>
      <c r="G19" s="54" t="s">
        <v>751</v>
      </c>
      <c r="H19" s="16">
        <v>0.37313432835820892</v>
      </c>
      <c r="I19" s="16">
        <v>0.86655112651646449</v>
      </c>
      <c r="J19" s="16">
        <v>1.8765246762994932</v>
      </c>
      <c r="K19" s="59" t="str">
        <f t="shared" si="0"/>
        <v>0.87 (0.37 – 1.88)</v>
      </c>
      <c r="L19" s="16" t="str">
        <f t="shared" si="1"/>
        <v>0.87
(0.37 – 1.88)</v>
      </c>
      <c r="N19" s="59" t="s">
        <v>431</v>
      </c>
      <c r="O19" s="16" t="s">
        <v>712</v>
      </c>
      <c r="P19">
        <v>0.55100000000000005</v>
      </c>
      <c r="Q19">
        <v>2.2549999999999999</v>
      </c>
      <c r="R19">
        <v>12.85</v>
      </c>
      <c r="S19">
        <v>8</v>
      </c>
      <c r="T19">
        <v>2</v>
      </c>
    </row>
    <row r="20" spans="5:20" ht="15" customHeight="1" x14ac:dyDescent="0.25">
      <c r="E20" s="57">
        <v>1</v>
      </c>
      <c r="F20" s="57">
        <v>5</v>
      </c>
      <c r="G20" s="57" t="s">
        <v>789</v>
      </c>
      <c r="H20" s="57">
        <v>0.19477989871445264</v>
      </c>
      <c r="I20" s="57">
        <v>0.86580086580086579</v>
      </c>
      <c r="J20" s="57">
        <v>4.0666937779585197</v>
      </c>
      <c r="K20" s="59" t="str">
        <f t="shared" si="0"/>
        <v>0.87 (0.19 – 4.07)</v>
      </c>
      <c r="L20" s="16" t="str">
        <f t="shared" si="1"/>
        <v>0.87
(0.19 – 4.07)</v>
      </c>
      <c r="N20" s="59" t="s">
        <v>432</v>
      </c>
      <c r="O20" s="16" t="s">
        <v>713</v>
      </c>
      <c r="P20">
        <v>0.4728</v>
      </c>
      <c r="Q20">
        <v>1.0429999999999999</v>
      </c>
      <c r="R20">
        <v>2.2269999999999999</v>
      </c>
      <c r="S20">
        <v>9</v>
      </c>
      <c r="T20">
        <v>2</v>
      </c>
    </row>
    <row r="21" spans="5:20" ht="15" customHeight="1" x14ac:dyDescent="0.25">
      <c r="E21" s="19">
        <v>4</v>
      </c>
      <c r="F21" s="19">
        <v>1</v>
      </c>
      <c r="G21" s="19" t="s">
        <v>700</v>
      </c>
      <c r="H21" s="19">
        <v>0.35780000000000001</v>
      </c>
      <c r="I21" s="19">
        <v>0.81699999999999995</v>
      </c>
      <c r="J21" s="19">
        <v>1.867</v>
      </c>
      <c r="K21" s="59" t="str">
        <f t="shared" si="0"/>
        <v>0.82 (0.36 – 1.87)</v>
      </c>
      <c r="L21" s="16" t="str">
        <f t="shared" si="1"/>
        <v>0.82
(0.36 – 1.87)</v>
      </c>
      <c r="N21" s="59" t="s">
        <v>433</v>
      </c>
      <c r="O21" s="16" t="s">
        <v>714</v>
      </c>
      <c r="P21">
        <v>0.99819999999999998</v>
      </c>
      <c r="Q21">
        <v>1.7609999999999999</v>
      </c>
      <c r="R21">
        <v>3.0579999999999998</v>
      </c>
      <c r="S21">
        <v>10</v>
      </c>
      <c r="T21">
        <v>2</v>
      </c>
    </row>
    <row r="22" spans="5:20" ht="15" customHeight="1" x14ac:dyDescent="0.25">
      <c r="E22" s="57">
        <v>3</v>
      </c>
      <c r="F22" s="57">
        <v>1</v>
      </c>
      <c r="G22" s="57" t="s">
        <v>699</v>
      </c>
      <c r="H22" s="57">
        <v>0.38169999999999998</v>
      </c>
      <c r="I22" s="57">
        <v>0.80740000000000001</v>
      </c>
      <c r="J22" s="57">
        <v>1.6140000000000001</v>
      </c>
      <c r="K22" s="59" t="str">
        <f t="shared" si="0"/>
        <v>0.81 (0.38 – 1.61)</v>
      </c>
      <c r="L22" s="16" t="str">
        <f t="shared" si="1"/>
        <v>0.81
(0.38 – 1.61)</v>
      </c>
      <c r="N22" s="59" t="s">
        <v>434</v>
      </c>
      <c r="O22" s="16" t="s">
        <v>715</v>
      </c>
      <c r="P22">
        <v>0.49330000000000002</v>
      </c>
      <c r="Q22">
        <v>1.03</v>
      </c>
      <c r="R22">
        <v>2.1110000000000002</v>
      </c>
      <c r="S22">
        <v>4</v>
      </c>
      <c r="T22">
        <v>3</v>
      </c>
    </row>
    <row r="23" spans="5:20" ht="15" customHeight="1" x14ac:dyDescent="0.25">
      <c r="E23" s="57">
        <v>9</v>
      </c>
      <c r="F23" s="57">
        <v>5</v>
      </c>
      <c r="G23" s="57" t="s">
        <v>731</v>
      </c>
      <c r="H23" s="57">
        <v>0.16450000000000001</v>
      </c>
      <c r="I23" s="57">
        <v>0.80689999999999995</v>
      </c>
      <c r="J23" s="57">
        <v>3.831</v>
      </c>
      <c r="K23" s="59" t="str">
        <f t="shared" si="0"/>
        <v>0.81 (0.16 – 3.83)</v>
      </c>
      <c r="L23" s="16" t="str">
        <f t="shared" si="1"/>
        <v>0.81
(0.16 – 3.83)</v>
      </c>
      <c r="N23" s="59" t="s">
        <v>435</v>
      </c>
      <c r="O23" s="16" t="s">
        <v>716</v>
      </c>
      <c r="P23">
        <v>0.31209999999999999</v>
      </c>
      <c r="Q23">
        <v>1.4379999999999999</v>
      </c>
      <c r="R23">
        <v>6.9809999999999999</v>
      </c>
      <c r="S23">
        <v>5</v>
      </c>
      <c r="T23">
        <v>3</v>
      </c>
    </row>
    <row r="24" spans="5:20" ht="15" customHeight="1" x14ac:dyDescent="0.25">
      <c r="E24" s="19">
        <v>2</v>
      </c>
      <c r="F24" s="19">
        <v>5</v>
      </c>
      <c r="G24" s="19" t="s">
        <v>785</v>
      </c>
      <c r="H24" s="19">
        <v>0.19376089905057162</v>
      </c>
      <c r="I24" s="19">
        <v>0.76569678407350683</v>
      </c>
      <c r="J24" s="19">
        <v>3.1756113051762465</v>
      </c>
      <c r="K24" s="59" t="str">
        <f t="shared" si="0"/>
        <v>0.77 (0.19 – 3.18)</v>
      </c>
      <c r="L24" s="16" t="str">
        <f t="shared" si="1"/>
        <v>0.77
(0.19 – 3.18)</v>
      </c>
      <c r="N24" s="59" t="s">
        <v>436</v>
      </c>
      <c r="O24" s="16" t="s">
        <v>717</v>
      </c>
      <c r="P24">
        <v>0.15540000000000001</v>
      </c>
      <c r="Q24">
        <v>2.2999999999999998</v>
      </c>
      <c r="R24">
        <v>136.19999999999999</v>
      </c>
      <c r="S24">
        <v>6</v>
      </c>
      <c r="T24">
        <v>3</v>
      </c>
    </row>
    <row r="25" spans="5:20" ht="15" customHeight="1" x14ac:dyDescent="0.25">
      <c r="E25" s="19">
        <v>7</v>
      </c>
      <c r="F25" s="19">
        <v>1</v>
      </c>
      <c r="G25" s="19" t="s">
        <v>703</v>
      </c>
      <c r="H25" s="19">
        <v>2.657E-2</v>
      </c>
      <c r="I25" s="19">
        <v>0.75380000000000003</v>
      </c>
      <c r="J25" s="19">
        <v>25.57</v>
      </c>
      <c r="K25" s="59" t="str">
        <f t="shared" si="0"/>
        <v>0.75 (0.03 – 25.57)</v>
      </c>
      <c r="L25" s="16" t="str">
        <f t="shared" si="1"/>
        <v>0.75
(0.03 – 25.57)</v>
      </c>
      <c r="N25" s="59" t="s">
        <v>437</v>
      </c>
      <c r="O25" s="16" t="s">
        <v>718</v>
      </c>
      <c r="P25">
        <v>3.175E-2</v>
      </c>
      <c r="Q25">
        <v>0.97919999999999996</v>
      </c>
      <c r="R25">
        <v>31.88</v>
      </c>
      <c r="S25">
        <v>7</v>
      </c>
      <c r="T25">
        <v>3</v>
      </c>
    </row>
    <row r="26" spans="5:20" ht="15" customHeight="1" x14ac:dyDescent="0.25">
      <c r="E26" s="19">
        <v>5</v>
      </c>
      <c r="F26" s="19">
        <v>10</v>
      </c>
      <c r="G26" s="19" t="s">
        <v>746</v>
      </c>
      <c r="H26" s="19">
        <v>0.15903307888040713</v>
      </c>
      <c r="I26" s="19">
        <v>0.74239049740163332</v>
      </c>
      <c r="J26" s="19">
        <v>3.1525851197982346</v>
      </c>
      <c r="K26" s="59" t="str">
        <f t="shared" si="0"/>
        <v>0.74 (0.16 – 3.15)</v>
      </c>
      <c r="L26" s="16" t="str">
        <f t="shared" si="1"/>
        <v>0.74
(0.16 – 3.15)</v>
      </c>
      <c r="N26" s="59" t="s">
        <v>438</v>
      </c>
      <c r="O26" s="16" t="s">
        <v>719</v>
      </c>
      <c r="P26">
        <v>0.56089999999999995</v>
      </c>
      <c r="Q26">
        <v>2.5590000000000002</v>
      </c>
      <c r="R26">
        <v>15.7</v>
      </c>
      <c r="S26">
        <v>8</v>
      </c>
      <c r="T26">
        <v>3</v>
      </c>
    </row>
    <row r="27" spans="5:20" ht="15" customHeight="1" x14ac:dyDescent="0.25">
      <c r="E27" s="19">
        <v>4</v>
      </c>
      <c r="F27" s="19">
        <v>5</v>
      </c>
      <c r="G27" s="19" t="s">
        <v>783</v>
      </c>
      <c r="H27" s="19">
        <v>0.14019346698443852</v>
      </c>
      <c r="I27" s="19">
        <v>0.70771408351026188</v>
      </c>
      <c r="J27" s="19">
        <v>3.7355248412401942</v>
      </c>
      <c r="K27" s="59" t="str">
        <f t="shared" si="0"/>
        <v>0.71 (0.14 – 3.74)</v>
      </c>
      <c r="L27" s="16" t="str">
        <f t="shared" si="1"/>
        <v>0.71
(0.14 – 3.74)</v>
      </c>
      <c r="N27" s="59" t="s">
        <v>439</v>
      </c>
      <c r="O27" s="16" t="s">
        <v>720</v>
      </c>
      <c r="P27">
        <v>0.53290000000000004</v>
      </c>
      <c r="Q27">
        <v>1.1539999999999999</v>
      </c>
      <c r="R27">
        <v>2.68</v>
      </c>
      <c r="S27">
        <v>9</v>
      </c>
      <c r="T27">
        <v>3</v>
      </c>
    </row>
    <row r="28" spans="5:20" ht="15" customHeight="1" x14ac:dyDescent="0.25">
      <c r="E28" s="19">
        <v>3</v>
      </c>
      <c r="F28" s="59">
        <v>5</v>
      </c>
      <c r="G28" s="54" t="s">
        <v>781</v>
      </c>
      <c r="H28" s="16">
        <v>0.14324595330181922</v>
      </c>
      <c r="I28" s="16">
        <v>0.69541029207232274</v>
      </c>
      <c r="J28" s="16">
        <v>3.2041012495994874</v>
      </c>
      <c r="K28" s="59" t="str">
        <f t="shared" si="0"/>
        <v>0.70 (0.14 – 3.20)</v>
      </c>
      <c r="L28" s="16" t="str">
        <f t="shared" si="1"/>
        <v>0.70
(0.14 – 3.20)</v>
      </c>
      <c r="N28" s="59" t="s">
        <v>440</v>
      </c>
      <c r="O28" s="16" t="s">
        <v>721</v>
      </c>
      <c r="P28">
        <v>1.002</v>
      </c>
      <c r="Q28">
        <v>1.972</v>
      </c>
      <c r="R28">
        <v>3.93</v>
      </c>
      <c r="S28">
        <v>10</v>
      </c>
      <c r="T28">
        <v>3</v>
      </c>
    </row>
    <row r="29" spans="5:20" ht="15" customHeight="1" x14ac:dyDescent="0.25">
      <c r="E29" s="57">
        <v>7</v>
      </c>
      <c r="F29" s="57">
        <v>5</v>
      </c>
      <c r="G29" s="57" t="s">
        <v>729</v>
      </c>
      <c r="H29" s="57">
        <v>1.898E-2</v>
      </c>
      <c r="I29" s="57">
        <v>0.66510000000000002</v>
      </c>
      <c r="J29" s="57">
        <v>25.82</v>
      </c>
      <c r="K29" s="59" t="str">
        <f t="shared" si="0"/>
        <v>0.67 (0.02 – 25.82)</v>
      </c>
      <c r="L29" s="16" t="str">
        <f t="shared" si="1"/>
        <v>0.67
(0.02 – 25.82)</v>
      </c>
      <c r="N29" s="59" t="s">
        <v>441</v>
      </c>
      <c r="O29" s="16" t="s">
        <v>722</v>
      </c>
      <c r="P29">
        <v>0.26769999999999999</v>
      </c>
      <c r="Q29">
        <v>1.413</v>
      </c>
      <c r="R29">
        <v>7.133</v>
      </c>
      <c r="S29">
        <v>5</v>
      </c>
      <c r="T29">
        <v>4</v>
      </c>
    </row>
    <row r="30" spans="5:20" ht="15" customHeight="1" x14ac:dyDescent="0.25">
      <c r="E30" s="57">
        <v>1</v>
      </c>
      <c r="F30" s="57">
        <v>10</v>
      </c>
      <c r="G30" s="57" t="s">
        <v>756</v>
      </c>
      <c r="H30" s="57">
        <v>0.36873156342182889</v>
      </c>
      <c r="I30" s="57">
        <v>0.6337135614702154</v>
      </c>
      <c r="J30" s="57">
        <v>1.0899182561307903</v>
      </c>
      <c r="K30" s="59" t="str">
        <f t="shared" si="0"/>
        <v>0.63 (0.37 – 1.09)</v>
      </c>
      <c r="L30" s="16" t="str">
        <f t="shared" si="1"/>
        <v>0.63
(0.37 – 1.09)</v>
      </c>
      <c r="N30" s="59" t="s">
        <v>442</v>
      </c>
      <c r="O30" s="16" t="s">
        <v>723</v>
      </c>
      <c r="P30">
        <v>0.15079999999999999</v>
      </c>
      <c r="Q30">
        <v>2.2450000000000001</v>
      </c>
      <c r="R30">
        <v>152.1</v>
      </c>
      <c r="S30">
        <v>6</v>
      </c>
      <c r="T30">
        <v>4</v>
      </c>
    </row>
    <row r="31" spans="5:20" ht="15" customHeight="1" x14ac:dyDescent="0.25">
      <c r="E31" s="19">
        <v>9</v>
      </c>
      <c r="F31" s="19">
        <v>10</v>
      </c>
      <c r="G31" s="19" t="s">
        <v>757</v>
      </c>
      <c r="H31" s="19">
        <v>0.31565656565656564</v>
      </c>
      <c r="I31" s="19">
        <v>0.59523809523809523</v>
      </c>
      <c r="J31" s="19">
        <v>1.1284134506883323</v>
      </c>
      <c r="K31" s="59" t="str">
        <f t="shared" si="0"/>
        <v>0.60 (0.32 – 1.13)</v>
      </c>
      <c r="L31" s="16" t="str">
        <f t="shared" si="1"/>
        <v>0.60
(0.32 – 1.13)</v>
      </c>
      <c r="N31" s="59" t="s">
        <v>443</v>
      </c>
      <c r="O31" s="16" t="s">
        <v>724</v>
      </c>
      <c r="P31">
        <v>2.8930000000000001E-2</v>
      </c>
      <c r="Q31">
        <v>0.93920000000000003</v>
      </c>
      <c r="R31">
        <v>30.23</v>
      </c>
      <c r="S31">
        <v>7</v>
      </c>
      <c r="T31">
        <v>4</v>
      </c>
    </row>
    <row r="32" spans="5:20" ht="15" customHeight="1" x14ac:dyDescent="0.25">
      <c r="E32" s="19">
        <v>5</v>
      </c>
      <c r="F32" s="19">
        <v>6</v>
      </c>
      <c r="G32" s="19" t="s">
        <v>792</v>
      </c>
      <c r="H32" s="19">
        <v>6.2460961898813247E-3</v>
      </c>
      <c r="I32" s="19">
        <v>0.57372346528973028</v>
      </c>
      <c r="J32" s="19">
        <v>15.130882130428205</v>
      </c>
      <c r="K32" s="59" t="str">
        <f t="shared" si="0"/>
        <v>0.57 (0.01 – 15.13)</v>
      </c>
      <c r="L32" s="16" t="str">
        <f t="shared" si="1"/>
        <v>0.57
(0.01 – 15.13)</v>
      </c>
      <c r="N32" s="59" t="s">
        <v>444</v>
      </c>
      <c r="O32" s="16" t="s">
        <v>725</v>
      </c>
      <c r="P32">
        <v>0.51370000000000005</v>
      </c>
      <c r="Q32">
        <v>2.4500000000000002</v>
      </c>
      <c r="R32">
        <v>16.809999999999999</v>
      </c>
      <c r="S32">
        <v>8</v>
      </c>
      <c r="T32">
        <v>4</v>
      </c>
    </row>
    <row r="33" spans="3:20" ht="15" customHeight="1" x14ac:dyDescent="0.25">
      <c r="E33" s="19">
        <v>2</v>
      </c>
      <c r="F33" s="59">
        <v>10</v>
      </c>
      <c r="G33" s="54" t="s">
        <v>760</v>
      </c>
      <c r="H33" s="16">
        <v>0.32701111837802488</v>
      </c>
      <c r="I33" s="16">
        <v>0.56785917092561045</v>
      </c>
      <c r="J33" s="16">
        <v>1.0018032458425166</v>
      </c>
      <c r="K33" s="59" t="str">
        <f t="shared" si="0"/>
        <v>0.57 (0.33 – 1.00)</v>
      </c>
      <c r="L33" s="16" t="str">
        <f t="shared" si="1"/>
        <v>0.57
(0.33 – 1.00)</v>
      </c>
      <c r="N33" s="59" t="s">
        <v>445</v>
      </c>
      <c r="O33" s="16" t="s">
        <v>726</v>
      </c>
      <c r="P33">
        <v>0.43099999999999999</v>
      </c>
      <c r="Q33">
        <v>1.141</v>
      </c>
      <c r="R33">
        <v>3.1070000000000002</v>
      </c>
      <c r="S33">
        <v>9</v>
      </c>
      <c r="T33">
        <v>4</v>
      </c>
    </row>
    <row r="34" spans="3:20" ht="15" customHeight="1" x14ac:dyDescent="0.25">
      <c r="E34" s="19">
        <v>5</v>
      </c>
      <c r="F34" s="59">
        <v>8</v>
      </c>
      <c r="G34" s="54" t="s">
        <v>745</v>
      </c>
      <c r="H34" s="16">
        <v>6.6269052352551358E-2</v>
      </c>
      <c r="I34" s="16">
        <v>0.55279159756771701</v>
      </c>
      <c r="J34" s="16">
        <v>4.5310376076121432</v>
      </c>
      <c r="K34" s="59" t="str">
        <f t="shared" si="0"/>
        <v>0.55 (0.07 – 4.53)</v>
      </c>
      <c r="L34" s="16" t="str">
        <f t="shared" si="1"/>
        <v>0.55
(0.07 – 4.53)</v>
      </c>
      <c r="N34" s="59" t="s">
        <v>446</v>
      </c>
      <c r="O34" s="16" t="s">
        <v>727</v>
      </c>
      <c r="P34">
        <v>0.81720000000000004</v>
      </c>
      <c r="Q34">
        <v>1.9330000000000001</v>
      </c>
      <c r="R34">
        <v>4.5990000000000002</v>
      </c>
      <c r="S34">
        <v>10</v>
      </c>
      <c r="T34">
        <v>4</v>
      </c>
    </row>
    <row r="35" spans="3:20" ht="15" customHeight="1" x14ac:dyDescent="0.25">
      <c r="E35" s="19">
        <v>1</v>
      </c>
      <c r="F35" s="19">
        <v>6</v>
      </c>
      <c r="G35" s="19" t="s">
        <v>790</v>
      </c>
      <c r="H35" s="19">
        <v>8.6132644272179162E-3</v>
      </c>
      <c r="I35" s="19">
        <v>0.53590568060021437</v>
      </c>
      <c r="J35" s="19">
        <v>9.0661831368993653</v>
      </c>
      <c r="K35" s="59" t="str">
        <f t="shared" si="0"/>
        <v>0.54 (0.01 – 9.07)</v>
      </c>
      <c r="L35" s="16" t="str">
        <f t="shared" si="1"/>
        <v>0.54
(0.01 – 9.07)</v>
      </c>
      <c r="N35" s="59" t="s">
        <v>447</v>
      </c>
      <c r="O35" s="16" t="s">
        <v>728</v>
      </c>
      <c r="P35">
        <v>6.6089999999999996E-2</v>
      </c>
      <c r="Q35">
        <v>1.7430000000000001</v>
      </c>
      <c r="R35">
        <v>160.1</v>
      </c>
      <c r="S35">
        <v>6</v>
      </c>
      <c r="T35">
        <v>5</v>
      </c>
    </row>
    <row r="36" spans="3:20" ht="15" customHeight="1" x14ac:dyDescent="0.25">
      <c r="C36" s="56"/>
      <c r="D36" s="57"/>
      <c r="E36" s="19">
        <v>4</v>
      </c>
      <c r="F36" s="19">
        <v>10</v>
      </c>
      <c r="G36" s="19" t="s">
        <v>750</v>
      </c>
      <c r="H36" s="19">
        <v>0.21743857360295715</v>
      </c>
      <c r="I36" s="19">
        <v>0.5173305742369374</v>
      </c>
      <c r="J36" s="19">
        <v>1.2236906510034262</v>
      </c>
      <c r="K36" s="59" t="str">
        <f t="shared" si="0"/>
        <v>0.52 (0.22 – 1.22)</v>
      </c>
      <c r="L36" s="16" t="str">
        <f t="shared" si="1"/>
        <v>0.52
(0.22 – 1.22)</v>
      </c>
      <c r="M36" s="57"/>
      <c r="N36" s="59" t="s">
        <v>448</v>
      </c>
      <c r="O36" s="16" t="s">
        <v>729</v>
      </c>
      <c r="P36">
        <v>1.898E-2</v>
      </c>
      <c r="Q36">
        <v>0.66510000000000002</v>
      </c>
      <c r="R36">
        <v>25.82</v>
      </c>
      <c r="S36">
        <v>7</v>
      </c>
      <c r="T36">
        <v>5</v>
      </c>
    </row>
    <row r="37" spans="3:20" ht="15" customHeight="1" x14ac:dyDescent="0.25">
      <c r="C37" s="56"/>
      <c r="D37" s="57"/>
      <c r="E37" s="57">
        <v>3</v>
      </c>
      <c r="F37" s="57">
        <v>10</v>
      </c>
      <c r="G37" s="57" t="s">
        <v>754</v>
      </c>
      <c r="H37" s="57">
        <v>0.2544529262086514</v>
      </c>
      <c r="I37" s="57">
        <v>0.50709939148073024</v>
      </c>
      <c r="J37" s="57">
        <v>0.99800399201596801</v>
      </c>
      <c r="K37" s="59" t="str">
        <f t="shared" si="0"/>
        <v>0.51 (0.25 – 1.00)</v>
      </c>
      <c r="L37" s="16" t="str">
        <f t="shared" si="1"/>
        <v>0.51
(0.25 – 1.00)</v>
      </c>
      <c r="M37" s="57"/>
      <c r="N37" s="59" t="s">
        <v>449</v>
      </c>
      <c r="O37" s="16" t="s">
        <v>730</v>
      </c>
      <c r="P37">
        <v>0.22070000000000001</v>
      </c>
      <c r="Q37">
        <v>1.8089999999999999</v>
      </c>
      <c r="R37">
        <v>15.09</v>
      </c>
      <c r="S37">
        <v>8</v>
      </c>
      <c r="T37">
        <v>5</v>
      </c>
    </row>
    <row r="38" spans="3:20" ht="15" customHeight="1" x14ac:dyDescent="0.25">
      <c r="C38" s="56"/>
      <c r="D38" s="57"/>
      <c r="E38" s="57">
        <v>9</v>
      </c>
      <c r="F38" s="57">
        <v>6</v>
      </c>
      <c r="G38" s="57" t="s">
        <v>735</v>
      </c>
      <c r="H38" s="57">
        <v>7.7390000000000002E-3</v>
      </c>
      <c r="I38" s="57">
        <v>0.49519999999999997</v>
      </c>
      <c r="J38" s="57">
        <v>9.2119999999999997</v>
      </c>
      <c r="K38" s="59" t="str">
        <f t="shared" si="0"/>
        <v>0.50 (0.01 – 9.21)</v>
      </c>
      <c r="L38" s="16" t="str">
        <f t="shared" si="1"/>
        <v>0.50
(0.01 – 9.21)</v>
      </c>
      <c r="M38" s="57"/>
      <c r="N38" s="59" t="s">
        <v>450</v>
      </c>
      <c r="O38" s="16" t="s">
        <v>731</v>
      </c>
      <c r="P38">
        <v>0.16450000000000001</v>
      </c>
      <c r="Q38">
        <v>0.80689999999999995</v>
      </c>
      <c r="R38">
        <v>3.831</v>
      </c>
      <c r="S38">
        <v>9</v>
      </c>
      <c r="T38">
        <v>5</v>
      </c>
    </row>
    <row r="39" spans="3:20" ht="15" customHeight="1" x14ac:dyDescent="0.25">
      <c r="C39" s="56"/>
      <c r="D39" s="57"/>
      <c r="E39" s="19">
        <v>1</v>
      </c>
      <c r="F39" s="19">
        <v>8</v>
      </c>
      <c r="G39" s="19" t="s">
        <v>755</v>
      </c>
      <c r="H39" s="19">
        <v>8.453085376162299E-2</v>
      </c>
      <c r="I39" s="19">
        <v>0.49407114624505927</v>
      </c>
      <c r="J39" s="19">
        <v>2.2172949002217295</v>
      </c>
      <c r="K39" s="59" t="str">
        <f t="shared" si="0"/>
        <v>0.49 (0.08 – 2.22)</v>
      </c>
      <c r="L39" s="16" t="str">
        <f t="shared" si="1"/>
        <v>0.49
(0.08 – 2.22)</v>
      </c>
      <c r="M39" s="57"/>
      <c r="N39" s="59" t="s">
        <v>451</v>
      </c>
      <c r="O39" s="16" t="s">
        <v>732</v>
      </c>
      <c r="P39">
        <v>0.31719999999999998</v>
      </c>
      <c r="Q39">
        <v>1.347</v>
      </c>
      <c r="R39">
        <v>6.2880000000000003</v>
      </c>
      <c r="S39">
        <v>10</v>
      </c>
      <c r="T39">
        <v>5</v>
      </c>
    </row>
    <row r="40" spans="3:20" ht="15" customHeight="1" x14ac:dyDescent="0.25">
      <c r="C40" s="56"/>
      <c r="D40" s="57"/>
      <c r="E40" s="19">
        <v>7</v>
      </c>
      <c r="F40" s="59">
        <v>10</v>
      </c>
      <c r="G40" s="54" t="s">
        <v>761</v>
      </c>
      <c r="H40" s="16">
        <v>1.532097441397273E-2</v>
      </c>
      <c r="I40" s="16">
        <v>0.48995590396864286</v>
      </c>
      <c r="J40" s="16">
        <v>15.85288522511097</v>
      </c>
      <c r="K40" s="59" t="str">
        <f t="shared" si="0"/>
        <v>0.49 (0.02 – 15.85)</v>
      </c>
      <c r="L40" s="16" t="str">
        <f t="shared" si="1"/>
        <v>0.49
(0.02 – 15.85)</v>
      </c>
      <c r="M40" s="57"/>
      <c r="N40" s="59" t="s">
        <v>452</v>
      </c>
      <c r="O40" s="16" t="s">
        <v>733</v>
      </c>
      <c r="P40">
        <v>1.557E-3</v>
      </c>
      <c r="Q40">
        <v>0.36009999999999998</v>
      </c>
      <c r="R40">
        <v>37.51</v>
      </c>
      <c r="S40">
        <v>7</v>
      </c>
      <c r="T40">
        <v>6</v>
      </c>
    </row>
    <row r="41" spans="3:20" ht="15" customHeight="1" x14ac:dyDescent="0.25">
      <c r="C41" s="56"/>
      <c r="D41" s="57"/>
      <c r="E41" s="19">
        <v>2</v>
      </c>
      <c r="F41" s="19">
        <v>6</v>
      </c>
      <c r="G41" s="19" t="s">
        <v>787</v>
      </c>
      <c r="H41" s="19">
        <v>7.1684587813620072E-3</v>
      </c>
      <c r="I41" s="19">
        <v>0.47869794159885115</v>
      </c>
      <c r="J41" s="19">
        <v>8.5034013605442187</v>
      </c>
      <c r="K41" s="59" t="str">
        <f t="shared" si="0"/>
        <v>0.48 (0.01 – 8.50)</v>
      </c>
      <c r="L41" s="16" t="str">
        <f t="shared" si="1"/>
        <v>0.48
(0.01 – 8.50)</v>
      </c>
      <c r="M41" s="57"/>
      <c r="N41" s="59" t="s">
        <v>453</v>
      </c>
      <c r="O41" s="16" t="s">
        <v>734</v>
      </c>
      <c r="P41">
        <v>1.15E-2</v>
      </c>
      <c r="Q41">
        <v>1.1120000000000001</v>
      </c>
      <c r="R41">
        <v>26.82</v>
      </c>
      <c r="S41">
        <v>8</v>
      </c>
      <c r="T41">
        <v>6</v>
      </c>
    </row>
    <row r="42" spans="3:20" ht="15" customHeight="1" x14ac:dyDescent="0.25">
      <c r="C42" s="56"/>
      <c r="D42" s="57"/>
      <c r="E42" s="19">
        <v>9</v>
      </c>
      <c r="F42" s="59">
        <v>8</v>
      </c>
      <c r="G42" s="54" t="s">
        <v>740</v>
      </c>
      <c r="H42" s="16">
        <v>7.1249999999999994E-2</v>
      </c>
      <c r="I42" s="16">
        <v>0.46389999999999998</v>
      </c>
      <c r="J42" s="16">
        <v>2.113</v>
      </c>
      <c r="K42" s="59" t="str">
        <f t="shared" si="0"/>
        <v>0.46 (0.07 – 2.11)</v>
      </c>
      <c r="L42" s="16" t="str">
        <f t="shared" si="1"/>
        <v>0.46
(0.07 – 2.11)</v>
      </c>
      <c r="M42" s="57"/>
      <c r="N42" s="59" t="s">
        <v>454</v>
      </c>
      <c r="O42" s="16" t="s">
        <v>735</v>
      </c>
      <c r="P42">
        <v>7.7390000000000002E-3</v>
      </c>
      <c r="Q42">
        <v>0.49519999999999997</v>
      </c>
      <c r="R42">
        <v>9.2119999999999997</v>
      </c>
      <c r="S42">
        <v>9</v>
      </c>
      <c r="T42">
        <v>6</v>
      </c>
    </row>
    <row r="43" spans="3:20" ht="15" customHeight="1" x14ac:dyDescent="0.25">
      <c r="C43" s="56"/>
      <c r="D43" s="57"/>
      <c r="E43" s="19">
        <v>4</v>
      </c>
      <c r="F43" s="19">
        <v>6</v>
      </c>
      <c r="G43" s="19" t="s">
        <v>784</v>
      </c>
      <c r="H43" s="19">
        <v>6.5746219592373442E-3</v>
      </c>
      <c r="I43" s="19">
        <v>0.44543429844097993</v>
      </c>
      <c r="J43" s="19">
        <v>6.6312997347480112</v>
      </c>
      <c r="K43" s="59" t="str">
        <f t="shared" si="0"/>
        <v>0.45 (0.01 – 6.63)</v>
      </c>
      <c r="L43" s="16" t="str">
        <f t="shared" si="1"/>
        <v>0.45
(0.01 – 6.63)</v>
      </c>
      <c r="M43" s="57"/>
      <c r="N43" s="59" t="s">
        <v>455</v>
      </c>
      <c r="O43" s="16" t="s">
        <v>736</v>
      </c>
      <c r="P43">
        <v>1.277E-2</v>
      </c>
      <c r="Q43">
        <v>0.83989999999999998</v>
      </c>
      <c r="R43">
        <v>15.87</v>
      </c>
      <c r="S43">
        <v>10</v>
      </c>
      <c r="T43">
        <v>6</v>
      </c>
    </row>
    <row r="44" spans="3:20" ht="15" customHeight="1" x14ac:dyDescent="0.25">
      <c r="C44" s="56"/>
      <c r="D44" s="57"/>
      <c r="E44" s="19">
        <v>2</v>
      </c>
      <c r="F44" s="19">
        <v>8</v>
      </c>
      <c r="G44" s="19" t="s">
        <v>788</v>
      </c>
      <c r="H44" s="19">
        <v>7.7821011673151752E-2</v>
      </c>
      <c r="I44" s="19">
        <v>0.44345898004434592</v>
      </c>
      <c r="J44" s="19">
        <v>1.8148820326678765</v>
      </c>
      <c r="K44" s="59" t="str">
        <f t="shared" si="0"/>
        <v>0.44 (0.08 – 1.81)</v>
      </c>
      <c r="L44" s="16" t="str">
        <f t="shared" si="1"/>
        <v>0.44
(0.08 – 1.81)</v>
      </c>
      <c r="M44" s="57"/>
      <c r="N44" s="59" t="s">
        <v>456</v>
      </c>
      <c r="O44" s="16" t="s">
        <v>737</v>
      </c>
      <c r="P44">
        <v>7.6069999999999999E-2</v>
      </c>
      <c r="Q44">
        <v>2.7130000000000001</v>
      </c>
      <c r="R44">
        <v>144.6</v>
      </c>
      <c r="S44">
        <v>8</v>
      </c>
      <c r="T44">
        <v>7</v>
      </c>
    </row>
    <row r="45" spans="3:20" ht="15" customHeight="1" x14ac:dyDescent="0.25">
      <c r="C45" s="56"/>
      <c r="D45" s="57"/>
      <c r="E45" s="19">
        <v>3</v>
      </c>
      <c r="F45" s="59">
        <v>6</v>
      </c>
      <c r="G45" s="54" t="s">
        <v>782</v>
      </c>
      <c r="H45" s="16">
        <v>7.3421439060205587E-3</v>
      </c>
      <c r="I45" s="16">
        <v>0.43478260869565222</v>
      </c>
      <c r="J45" s="16">
        <v>6.4350064350064349</v>
      </c>
      <c r="K45" s="59" t="str">
        <f t="shared" si="0"/>
        <v>0.43 (0.01 – 6.44)</v>
      </c>
      <c r="L45" s="16" t="str">
        <f t="shared" si="1"/>
        <v>0.43
(0.01 – 6.44)</v>
      </c>
      <c r="M45" s="57"/>
      <c r="N45" s="59" t="s">
        <v>457</v>
      </c>
      <c r="O45" s="16" t="s">
        <v>738</v>
      </c>
      <c r="P45">
        <v>3.6110000000000003E-2</v>
      </c>
      <c r="Q45">
        <v>1.194</v>
      </c>
      <c r="R45">
        <v>39.86</v>
      </c>
      <c r="S45">
        <v>9</v>
      </c>
      <c r="T45">
        <v>7</v>
      </c>
    </row>
    <row r="46" spans="3:20" ht="15" customHeight="1" x14ac:dyDescent="0.25">
      <c r="C46" s="56"/>
      <c r="D46" s="57"/>
      <c r="E46" s="57">
        <v>4</v>
      </c>
      <c r="F46" s="57">
        <v>8</v>
      </c>
      <c r="G46" s="57" t="s">
        <v>748</v>
      </c>
      <c r="H46" s="57">
        <v>5.9488399762046403E-2</v>
      </c>
      <c r="I46" s="57">
        <v>0.4081632653061224</v>
      </c>
      <c r="J46" s="57">
        <v>1.9466614755693983</v>
      </c>
      <c r="K46" s="59" t="str">
        <f t="shared" si="0"/>
        <v>0.41 (0.06 – 1.95)</v>
      </c>
      <c r="L46" s="16" t="str">
        <f t="shared" si="1"/>
        <v>0.41
(0.06 – 1.95)</v>
      </c>
      <c r="M46" s="57"/>
      <c r="N46" s="59" t="s">
        <v>458</v>
      </c>
      <c r="O46" s="16" t="s">
        <v>739</v>
      </c>
      <c r="P46">
        <v>6.3079999999999997E-2</v>
      </c>
      <c r="Q46">
        <v>2.0409999999999999</v>
      </c>
      <c r="R46">
        <v>65.27</v>
      </c>
      <c r="S46">
        <v>10</v>
      </c>
      <c r="T46">
        <v>7</v>
      </c>
    </row>
    <row r="47" spans="3:20" ht="15" customHeight="1" x14ac:dyDescent="0.25">
      <c r="C47" s="56"/>
      <c r="D47" s="57"/>
      <c r="E47" s="57">
        <v>3</v>
      </c>
      <c r="F47" s="57">
        <v>8</v>
      </c>
      <c r="G47" s="57" t="s">
        <v>752</v>
      </c>
      <c r="H47" s="57">
        <v>6.3694267515923567E-2</v>
      </c>
      <c r="I47" s="57">
        <v>0.39077764751856192</v>
      </c>
      <c r="J47" s="57">
        <v>1.7828489926903193</v>
      </c>
      <c r="K47" s="59" t="str">
        <f t="shared" si="0"/>
        <v>0.39 (0.06 – 1.78)</v>
      </c>
      <c r="L47" s="16" t="str">
        <f t="shared" si="1"/>
        <v>0.39
(0.06 – 1.78)</v>
      </c>
      <c r="M47" s="57"/>
      <c r="N47" s="59" t="s">
        <v>459</v>
      </c>
      <c r="O47" s="16" t="s">
        <v>740</v>
      </c>
      <c r="P47">
        <v>7.1249999999999994E-2</v>
      </c>
      <c r="Q47">
        <v>0.46389999999999998</v>
      </c>
      <c r="R47">
        <v>2.113</v>
      </c>
      <c r="S47">
        <v>9</v>
      </c>
      <c r="T47">
        <v>8</v>
      </c>
    </row>
    <row r="48" spans="3:20" ht="15" customHeight="1" x14ac:dyDescent="0.25">
      <c r="C48" s="56"/>
      <c r="D48" s="57"/>
      <c r="E48" s="19">
        <v>7</v>
      </c>
      <c r="F48" s="59">
        <v>8</v>
      </c>
      <c r="G48" s="54" t="s">
        <v>791</v>
      </c>
      <c r="H48" s="16">
        <v>6.915629322268327E-3</v>
      </c>
      <c r="I48" s="16">
        <v>0.36859565057132326</v>
      </c>
      <c r="J48" s="16">
        <v>13.145786775338504</v>
      </c>
      <c r="K48" s="59" t="str">
        <f t="shared" si="0"/>
        <v>0.37 (0.01 – 13.15)</v>
      </c>
      <c r="L48" s="16" t="str">
        <f t="shared" si="1"/>
        <v>0.37
(0.01 – 13.15)</v>
      </c>
      <c r="M48" s="57"/>
      <c r="N48" s="59" t="s">
        <v>460</v>
      </c>
      <c r="O48" s="16" t="s">
        <v>741</v>
      </c>
      <c r="P48">
        <v>0.12759999999999999</v>
      </c>
      <c r="Q48">
        <v>0.7863</v>
      </c>
      <c r="R48">
        <v>3.2639999999999998</v>
      </c>
      <c r="S48">
        <v>10</v>
      </c>
      <c r="T48">
        <v>8</v>
      </c>
    </row>
    <row r="49" spans="3:20" ht="15" customHeight="1" x14ac:dyDescent="0.25">
      <c r="C49" s="56"/>
      <c r="D49" s="57"/>
      <c r="E49" s="19">
        <v>7</v>
      </c>
      <c r="F49" s="59">
        <v>6</v>
      </c>
      <c r="G49" s="54" t="s">
        <v>733</v>
      </c>
      <c r="H49" s="16">
        <v>1.557E-3</v>
      </c>
      <c r="I49" s="16">
        <v>0.36009999999999998</v>
      </c>
      <c r="J49" s="16">
        <v>37.51</v>
      </c>
      <c r="K49" s="59" t="str">
        <f t="shared" si="0"/>
        <v>0.36 (0.00 – 37.51)</v>
      </c>
      <c r="L49" s="16" t="str">
        <f t="shared" si="1"/>
        <v>0.36
(0.00 – 37.51)</v>
      </c>
      <c r="M49" s="57"/>
      <c r="N49" s="59" t="s">
        <v>461</v>
      </c>
      <c r="O49" s="16" t="s">
        <v>742</v>
      </c>
      <c r="P49">
        <v>0.88619999999999999</v>
      </c>
      <c r="Q49">
        <v>1.68</v>
      </c>
      <c r="R49">
        <v>3.1680000000000001</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0.2006 
95% CrI (0.009941 – 0.715)</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19">
        <v>3</v>
      </c>
      <c r="C5" s="19">
        <v>3.5880000000000001</v>
      </c>
      <c r="E5" s="19">
        <v>8</v>
      </c>
      <c r="F5" s="59">
        <v>10</v>
      </c>
      <c r="G5" s="54" t="s">
        <v>758</v>
      </c>
      <c r="H5" s="16">
        <v>0.25706940874035988</v>
      </c>
      <c r="I5" s="16">
        <v>1.3743815283122593</v>
      </c>
      <c r="J5" s="16">
        <v>9.9601593625498008</v>
      </c>
      <c r="K5" s="59" t="str">
        <f t="shared" ref="K5:K49" si="0">CONCATENATE(TEXT(I5,"0.00")," (",TEXT(H5,"0.00")," – ",TEXT(J5,"0.00"),")")</f>
        <v>1.37 (0.26 – 9.96)</v>
      </c>
      <c r="L5" s="16" t="str">
        <f t="shared" ref="L5:L49" si="1">CONCATENATE(TEXT(I5,"0.00"),"
(",TEXT(H5,"0.00")," – ",TEXT(J5,"0.00"),")")</f>
        <v>1.37
(0.26 – 9.96)</v>
      </c>
      <c r="N5" s="59" t="s">
        <v>417</v>
      </c>
      <c r="O5" s="16" t="s">
        <v>698</v>
      </c>
      <c r="P5">
        <v>0.49659999999999999</v>
      </c>
      <c r="Q5">
        <v>0.91349999999999998</v>
      </c>
      <c r="R5">
        <v>1.704</v>
      </c>
      <c r="S5">
        <v>2</v>
      </c>
      <c r="T5">
        <v>1</v>
      </c>
    </row>
    <row r="6" spans="1:20" x14ac:dyDescent="0.25">
      <c r="A6" t="s">
        <v>354</v>
      </c>
      <c r="B6" s="19">
        <v>4</v>
      </c>
      <c r="C6" s="19">
        <v>3.9980000000000002</v>
      </c>
      <c r="E6" s="19">
        <v>6</v>
      </c>
      <c r="F6" s="19">
        <v>10</v>
      </c>
      <c r="G6" s="19" t="s">
        <v>744</v>
      </c>
      <c r="H6" s="19">
        <v>8.0710250201775621E-2</v>
      </c>
      <c r="I6" s="19">
        <v>1.1373976342129208</v>
      </c>
      <c r="J6" s="19">
        <v>34.399724802201582</v>
      </c>
      <c r="K6" s="59" t="str">
        <f t="shared" si="0"/>
        <v>1.14 (0.08 – 34.40)</v>
      </c>
      <c r="L6" s="16" t="str">
        <f t="shared" si="1"/>
        <v>1.14
(0.08 – 34.40)</v>
      </c>
      <c r="N6" s="59" t="s">
        <v>418</v>
      </c>
      <c r="O6" s="16" t="s">
        <v>699</v>
      </c>
      <c r="P6">
        <v>0.35930000000000001</v>
      </c>
      <c r="Q6">
        <v>0.78390000000000004</v>
      </c>
      <c r="R6">
        <v>1.7589999999999999</v>
      </c>
      <c r="S6">
        <v>3</v>
      </c>
      <c r="T6">
        <v>1</v>
      </c>
    </row>
    <row r="7" spans="1:20" x14ac:dyDescent="0.25">
      <c r="A7" t="s">
        <v>352</v>
      </c>
      <c r="B7" s="54">
        <v>2</v>
      </c>
      <c r="C7" s="54">
        <v>4.4569999999999999</v>
      </c>
      <c r="E7" s="19">
        <v>9</v>
      </c>
      <c r="F7" s="19">
        <v>7</v>
      </c>
      <c r="G7" s="19" t="s">
        <v>738</v>
      </c>
      <c r="H7" s="19">
        <v>1.6490000000000001E-2</v>
      </c>
      <c r="I7" s="19">
        <v>1.0209999999999999</v>
      </c>
      <c r="J7" s="19">
        <v>33.020000000000003</v>
      </c>
      <c r="K7" s="59" t="str">
        <f t="shared" si="0"/>
        <v>1.02 (0.02 – 33.02)</v>
      </c>
      <c r="L7" s="16" t="str">
        <f t="shared" si="1"/>
        <v>1.02
(0.02 – 33.02)</v>
      </c>
      <c r="N7" s="59" t="s">
        <v>419</v>
      </c>
      <c r="O7" s="16" t="s">
        <v>700</v>
      </c>
      <c r="P7">
        <v>0.33429999999999999</v>
      </c>
      <c r="Q7">
        <v>0.82</v>
      </c>
      <c r="R7">
        <v>2.0419999999999998</v>
      </c>
      <c r="S7">
        <v>4</v>
      </c>
      <c r="T7">
        <v>1</v>
      </c>
    </row>
    <row r="8" spans="1:20" x14ac:dyDescent="0.25">
      <c r="A8" t="s">
        <v>359</v>
      </c>
      <c r="B8" s="54">
        <v>9</v>
      </c>
      <c r="C8" s="54">
        <v>4.726</v>
      </c>
      <c r="E8" s="19">
        <v>2</v>
      </c>
      <c r="F8" s="59">
        <v>7</v>
      </c>
      <c r="G8" s="54" t="s">
        <v>759</v>
      </c>
      <c r="H8" s="16">
        <v>1.6837851490149856E-2</v>
      </c>
      <c r="I8" s="16">
        <v>0.99502487562189068</v>
      </c>
      <c r="J8" s="16">
        <v>30.4228780042592</v>
      </c>
      <c r="K8" s="59" t="str">
        <f t="shared" si="0"/>
        <v>1.00 (0.02 – 30.42)</v>
      </c>
      <c r="L8" s="16" t="str">
        <f t="shared" si="1"/>
        <v>1.00
(0.02 – 30.42)</v>
      </c>
      <c r="N8" s="59" t="s">
        <v>420</v>
      </c>
      <c r="O8" s="16" t="s">
        <v>701</v>
      </c>
      <c r="P8">
        <v>0.2465</v>
      </c>
      <c r="Q8">
        <v>1.1910000000000001</v>
      </c>
      <c r="R8">
        <v>5.766</v>
      </c>
      <c r="S8">
        <v>5</v>
      </c>
      <c r="T8">
        <v>1</v>
      </c>
    </row>
    <row r="9" spans="1:20" x14ac:dyDescent="0.25">
      <c r="A9" t="s">
        <v>357</v>
      </c>
      <c r="B9" s="54">
        <v>7</v>
      </c>
      <c r="C9" s="54">
        <v>5.069</v>
      </c>
      <c r="E9" s="19">
        <v>2</v>
      </c>
      <c r="F9" s="19">
        <v>9</v>
      </c>
      <c r="G9" s="19" t="s">
        <v>786</v>
      </c>
      <c r="H9" s="19">
        <v>0.41841004184100417</v>
      </c>
      <c r="I9" s="19">
        <v>0.97181729834791064</v>
      </c>
      <c r="J9" s="19">
        <v>2.1867483052700636</v>
      </c>
      <c r="K9" s="59" t="str">
        <f t="shared" si="0"/>
        <v>0.97 (0.42 – 2.19)</v>
      </c>
      <c r="L9" s="16" t="str">
        <f t="shared" si="1"/>
        <v>0.97
(0.42 – 2.19)</v>
      </c>
      <c r="N9" s="59" t="s">
        <v>421</v>
      </c>
      <c r="O9" s="16" t="s">
        <v>702</v>
      </c>
      <c r="P9">
        <v>0.12770000000000001</v>
      </c>
      <c r="Q9">
        <v>1.845</v>
      </c>
      <c r="R9">
        <v>56.99</v>
      </c>
      <c r="S9">
        <v>6</v>
      </c>
      <c r="T9">
        <v>1</v>
      </c>
    </row>
    <row r="10" spans="1:20" x14ac:dyDescent="0.25">
      <c r="A10" t="s">
        <v>351</v>
      </c>
      <c r="B10" s="19">
        <v>1</v>
      </c>
      <c r="C10" s="19">
        <v>5.09</v>
      </c>
      <c r="E10" s="57">
        <v>3</v>
      </c>
      <c r="F10" s="57">
        <v>4</v>
      </c>
      <c r="G10" s="57" t="s">
        <v>780</v>
      </c>
      <c r="H10" s="57">
        <v>0.41322314049586778</v>
      </c>
      <c r="I10" s="57">
        <v>0.96153846153846145</v>
      </c>
      <c r="J10" s="57">
        <v>2.0729684908789388</v>
      </c>
      <c r="K10" s="59" t="str">
        <f t="shared" si="0"/>
        <v>0.96 (0.41 – 2.07)</v>
      </c>
      <c r="L10" s="16" t="str">
        <f t="shared" si="1"/>
        <v>0.96
(0.41 – 2.07)</v>
      </c>
      <c r="N10" s="59" t="s">
        <v>422</v>
      </c>
      <c r="O10" s="16" t="s">
        <v>703</v>
      </c>
      <c r="P10">
        <v>2.8719999999999999E-2</v>
      </c>
      <c r="Q10">
        <v>0.91569999999999996</v>
      </c>
      <c r="R10">
        <v>64.11</v>
      </c>
      <c r="S10">
        <v>7</v>
      </c>
      <c r="T10">
        <v>1</v>
      </c>
    </row>
    <row r="11" spans="1:20" x14ac:dyDescent="0.25">
      <c r="A11" t="s">
        <v>355</v>
      </c>
      <c r="B11" s="54">
        <v>5</v>
      </c>
      <c r="C11" s="54">
        <v>5.78</v>
      </c>
      <c r="E11" s="19">
        <v>9</v>
      </c>
      <c r="F11" s="19">
        <v>1</v>
      </c>
      <c r="G11" s="19" t="s">
        <v>705</v>
      </c>
      <c r="H11" s="19">
        <v>0.46089999999999998</v>
      </c>
      <c r="I11" s="19">
        <v>0.94110000000000005</v>
      </c>
      <c r="J11" s="19">
        <v>2.0249999999999999</v>
      </c>
      <c r="K11" s="59" t="str">
        <f t="shared" si="0"/>
        <v>0.94 (0.46 – 2.03)</v>
      </c>
      <c r="L11" s="16" t="str">
        <f t="shared" si="1"/>
        <v>0.94
(0.46 – 2.03)</v>
      </c>
      <c r="N11" s="59" t="s">
        <v>423</v>
      </c>
      <c r="O11" s="16" t="s">
        <v>704</v>
      </c>
      <c r="P11">
        <v>0.44440000000000002</v>
      </c>
      <c r="Q11">
        <v>2.242</v>
      </c>
      <c r="R11">
        <v>13.88</v>
      </c>
      <c r="S11">
        <v>8</v>
      </c>
      <c r="T11">
        <v>1</v>
      </c>
    </row>
    <row r="12" spans="1:20" x14ac:dyDescent="0.25">
      <c r="A12" t="s">
        <v>356</v>
      </c>
      <c r="B12" s="19">
        <v>6</v>
      </c>
      <c r="C12" s="19">
        <v>6.6959999999999997</v>
      </c>
      <c r="E12" s="57">
        <v>7</v>
      </c>
      <c r="F12" s="57">
        <v>1</v>
      </c>
      <c r="G12" s="57" t="s">
        <v>703</v>
      </c>
      <c r="H12" s="57">
        <v>2.8719999999999999E-2</v>
      </c>
      <c r="I12" s="57">
        <v>0.91569999999999996</v>
      </c>
      <c r="J12" s="57">
        <v>64.11</v>
      </c>
      <c r="K12" s="59" t="str">
        <f t="shared" si="0"/>
        <v>0.92 (0.03 – 64.11)</v>
      </c>
      <c r="L12" s="16" t="str">
        <f t="shared" si="1"/>
        <v>0.92
(0.03 – 64.11)</v>
      </c>
      <c r="N12" s="59" t="s">
        <v>424</v>
      </c>
      <c r="O12" s="16" t="s">
        <v>705</v>
      </c>
      <c r="P12">
        <v>0.46089999999999998</v>
      </c>
      <c r="Q12">
        <v>0.94110000000000005</v>
      </c>
      <c r="R12">
        <v>2.0249999999999999</v>
      </c>
      <c r="S12">
        <v>9</v>
      </c>
      <c r="T12">
        <v>1</v>
      </c>
    </row>
    <row r="13" spans="1:20" x14ac:dyDescent="0.25">
      <c r="A13" t="s">
        <v>358</v>
      </c>
      <c r="B13" s="19">
        <v>8</v>
      </c>
      <c r="C13" s="19">
        <v>7.7750000000000004</v>
      </c>
      <c r="E13" s="19">
        <v>2</v>
      </c>
      <c r="F13" s="59">
        <v>1</v>
      </c>
      <c r="G13" s="54" t="s">
        <v>698</v>
      </c>
      <c r="H13" s="16">
        <v>0.49659999999999999</v>
      </c>
      <c r="I13" s="16">
        <v>0.91349999999999998</v>
      </c>
      <c r="J13" s="16">
        <v>1.704</v>
      </c>
      <c r="K13" s="59" t="str">
        <f t="shared" si="0"/>
        <v>0.91 (0.50 – 1.70)</v>
      </c>
      <c r="L13" s="16" t="str">
        <f t="shared" si="1"/>
        <v>0.91
(0.50 – 1.70)</v>
      </c>
      <c r="N13" s="59" t="s">
        <v>425</v>
      </c>
      <c r="O13" s="16" t="s">
        <v>706</v>
      </c>
      <c r="P13">
        <v>0.93179999999999996</v>
      </c>
      <c r="Q13">
        <v>1.6140000000000001</v>
      </c>
      <c r="R13">
        <v>2.7570000000000001</v>
      </c>
      <c r="S13">
        <v>10</v>
      </c>
      <c r="T13">
        <v>1</v>
      </c>
    </row>
    <row r="14" spans="1:20" x14ac:dyDescent="0.25">
      <c r="A14" t="s">
        <v>360</v>
      </c>
      <c r="B14" s="54">
        <v>10</v>
      </c>
      <c r="C14" s="54">
        <v>7.8230000000000004</v>
      </c>
      <c r="E14" s="57">
        <v>4</v>
      </c>
      <c r="F14" s="57">
        <v>2</v>
      </c>
      <c r="G14" s="57" t="s">
        <v>708</v>
      </c>
      <c r="H14" s="57">
        <v>0.35310000000000002</v>
      </c>
      <c r="I14" s="57">
        <v>0.8972</v>
      </c>
      <c r="J14" s="57">
        <v>2.319</v>
      </c>
      <c r="K14" s="59" t="str">
        <f t="shared" si="0"/>
        <v>0.90 (0.35 – 2.32)</v>
      </c>
      <c r="L14" s="16" t="str">
        <f t="shared" si="1"/>
        <v>0.90
(0.35 – 2.32)</v>
      </c>
      <c r="N14" s="59" t="s">
        <v>426</v>
      </c>
      <c r="O14" s="16" t="s">
        <v>707</v>
      </c>
      <c r="P14">
        <v>0.40529999999999999</v>
      </c>
      <c r="Q14">
        <v>0.85040000000000004</v>
      </c>
      <c r="R14">
        <v>1.8140000000000001</v>
      </c>
      <c r="S14">
        <v>3</v>
      </c>
      <c r="T14">
        <v>2</v>
      </c>
    </row>
    <row r="15" spans="1:20" ht="15" customHeight="1" x14ac:dyDescent="0.25">
      <c r="E15" s="57">
        <v>4</v>
      </c>
      <c r="F15" s="57">
        <v>7</v>
      </c>
      <c r="G15" s="57" t="s">
        <v>749</v>
      </c>
      <c r="H15" s="57">
        <v>1.6257519102584946E-2</v>
      </c>
      <c r="I15" s="57">
        <v>0.87412587412587417</v>
      </c>
      <c r="J15" s="57">
        <v>29.744199881023203</v>
      </c>
      <c r="K15" s="59" t="str">
        <f t="shared" si="0"/>
        <v>0.87 (0.02 – 29.74)</v>
      </c>
      <c r="L15" s="16" t="str">
        <f t="shared" si="1"/>
        <v>0.87
(0.02 – 29.74)</v>
      </c>
      <c r="N15" s="59" t="s">
        <v>427</v>
      </c>
      <c r="O15" s="16" t="s">
        <v>708</v>
      </c>
      <c r="P15">
        <v>0.35310000000000002</v>
      </c>
      <c r="Q15">
        <v>0.8972</v>
      </c>
      <c r="R15">
        <v>2.319</v>
      </c>
      <c r="S15">
        <v>4</v>
      </c>
      <c r="T15">
        <v>2</v>
      </c>
    </row>
    <row r="16" spans="1:20" ht="15" customHeight="1" x14ac:dyDescent="0.25">
      <c r="E16" s="19">
        <v>3</v>
      </c>
      <c r="F16" s="19">
        <v>7</v>
      </c>
      <c r="G16" s="19" t="s">
        <v>753</v>
      </c>
      <c r="H16" s="19">
        <v>1.2651821862348178E-2</v>
      </c>
      <c r="I16" s="19">
        <v>0.86355785837651133</v>
      </c>
      <c r="J16" s="19">
        <v>27.307482250136538</v>
      </c>
      <c r="K16" s="59" t="str">
        <f t="shared" si="0"/>
        <v>0.86 (0.01 – 27.31)</v>
      </c>
      <c r="L16" s="16" t="str">
        <f t="shared" si="1"/>
        <v>0.86
(0.01 – 27.31)</v>
      </c>
      <c r="N16" s="59" t="s">
        <v>428</v>
      </c>
      <c r="O16" s="16" t="s">
        <v>709</v>
      </c>
      <c r="P16">
        <v>0.30549999999999999</v>
      </c>
      <c r="Q16">
        <v>1.302</v>
      </c>
      <c r="R16">
        <v>5.6390000000000002</v>
      </c>
      <c r="S16">
        <v>5</v>
      </c>
      <c r="T16">
        <v>2</v>
      </c>
    </row>
    <row r="17" spans="5:20" ht="15" customHeight="1" x14ac:dyDescent="0.25">
      <c r="E17" s="19">
        <v>4</v>
      </c>
      <c r="F17" s="59">
        <v>9</v>
      </c>
      <c r="G17" s="54" t="s">
        <v>747</v>
      </c>
      <c r="H17" s="16">
        <v>0.30066145520144316</v>
      </c>
      <c r="I17" s="16">
        <v>0.85324232081911267</v>
      </c>
      <c r="J17" s="16">
        <v>2.6802465826856072</v>
      </c>
      <c r="K17" s="59" t="str">
        <f t="shared" si="0"/>
        <v>0.85 (0.30 – 2.68)</v>
      </c>
      <c r="L17" s="16" t="str">
        <f t="shared" si="1"/>
        <v>0.85
(0.30 – 2.68)</v>
      </c>
      <c r="N17" s="59" t="s">
        <v>429</v>
      </c>
      <c r="O17" s="16" t="s">
        <v>710</v>
      </c>
      <c r="P17">
        <v>0.13639999999999999</v>
      </c>
      <c r="Q17">
        <v>1.9570000000000001</v>
      </c>
      <c r="R17">
        <v>59.93</v>
      </c>
      <c r="S17">
        <v>6</v>
      </c>
      <c r="T17">
        <v>2</v>
      </c>
    </row>
    <row r="18" spans="5:20" ht="15" customHeight="1" x14ac:dyDescent="0.25">
      <c r="E18" s="19">
        <v>3</v>
      </c>
      <c r="F18" s="19">
        <v>2</v>
      </c>
      <c r="G18" s="19" t="s">
        <v>707</v>
      </c>
      <c r="H18" s="19">
        <v>0.40529999999999999</v>
      </c>
      <c r="I18" s="19">
        <v>0.85040000000000004</v>
      </c>
      <c r="J18" s="19">
        <v>1.8140000000000001</v>
      </c>
      <c r="K18" s="59" t="str">
        <f t="shared" si="0"/>
        <v>0.85 (0.41 – 1.81)</v>
      </c>
      <c r="L18" s="16" t="str">
        <f t="shared" si="1"/>
        <v>0.85
(0.41 – 1.81)</v>
      </c>
      <c r="N18" s="59" t="s">
        <v>430</v>
      </c>
      <c r="O18" s="16" t="s">
        <v>711</v>
      </c>
      <c r="P18">
        <v>3.2870000000000003E-2</v>
      </c>
      <c r="Q18">
        <v>1.0049999999999999</v>
      </c>
      <c r="R18">
        <v>59.39</v>
      </c>
      <c r="S18">
        <v>7</v>
      </c>
      <c r="T18">
        <v>2</v>
      </c>
    </row>
    <row r="19" spans="5:20" ht="15" customHeight="1" x14ac:dyDescent="0.25">
      <c r="E19" s="19">
        <v>1</v>
      </c>
      <c r="F19" s="19">
        <v>5</v>
      </c>
      <c r="G19" s="19" t="s">
        <v>789</v>
      </c>
      <c r="H19" s="19">
        <v>0.17343045438779051</v>
      </c>
      <c r="I19" s="19">
        <v>0.83963056255247692</v>
      </c>
      <c r="J19" s="19">
        <v>4.056795131845842</v>
      </c>
      <c r="K19" s="59" t="str">
        <f t="shared" si="0"/>
        <v>0.84 (0.17 – 4.06)</v>
      </c>
      <c r="L19" s="16" t="str">
        <f t="shared" si="1"/>
        <v>0.84
(0.17 – 4.06)</v>
      </c>
      <c r="N19" s="59" t="s">
        <v>431</v>
      </c>
      <c r="O19" s="16" t="s">
        <v>712</v>
      </c>
      <c r="P19">
        <v>0.49709999999999999</v>
      </c>
      <c r="Q19">
        <v>2.4020000000000001</v>
      </c>
      <c r="R19">
        <v>15.79</v>
      </c>
      <c r="S19">
        <v>8</v>
      </c>
      <c r="T19">
        <v>2</v>
      </c>
    </row>
    <row r="20" spans="5:20" ht="15" customHeight="1" x14ac:dyDescent="0.25">
      <c r="E20" s="19">
        <v>3</v>
      </c>
      <c r="F20" s="59">
        <v>9</v>
      </c>
      <c r="G20" s="54" t="s">
        <v>751</v>
      </c>
      <c r="H20" s="16">
        <v>0.33467202141900937</v>
      </c>
      <c r="I20" s="16">
        <v>0.82576383154417832</v>
      </c>
      <c r="J20" s="16">
        <v>2.2537750732476898</v>
      </c>
      <c r="K20" s="59" t="str">
        <f t="shared" si="0"/>
        <v>0.83 (0.33 – 2.25)</v>
      </c>
      <c r="L20" s="16" t="str">
        <f t="shared" si="1"/>
        <v>0.83
(0.33 – 2.25)</v>
      </c>
      <c r="N20" s="59" t="s">
        <v>432</v>
      </c>
      <c r="O20" s="16" t="s">
        <v>713</v>
      </c>
      <c r="P20">
        <v>0.45729999999999998</v>
      </c>
      <c r="Q20">
        <v>1.0289999999999999</v>
      </c>
      <c r="R20">
        <v>2.39</v>
      </c>
      <c r="S20">
        <v>9</v>
      </c>
      <c r="T20">
        <v>2</v>
      </c>
    </row>
    <row r="21" spans="5:20" ht="15" customHeight="1" x14ac:dyDescent="0.25">
      <c r="E21" s="19">
        <v>4</v>
      </c>
      <c r="F21" s="19">
        <v>1</v>
      </c>
      <c r="G21" s="19" t="s">
        <v>700</v>
      </c>
      <c r="H21" s="19">
        <v>0.33429999999999999</v>
      </c>
      <c r="I21" s="19">
        <v>0.82</v>
      </c>
      <c r="J21" s="19">
        <v>2.0419999999999998</v>
      </c>
      <c r="K21" s="59" t="str">
        <f t="shared" si="0"/>
        <v>0.82 (0.33 – 2.04)</v>
      </c>
      <c r="L21" s="16" t="str">
        <f t="shared" si="1"/>
        <v>0.82
(0.33 – 2.04)</v>
      </c>
      <c r="N21" s="59" t="s">
        <v>433</v>
      </c>
      <c r="O21" s="16" t="s">
        <v>714</v>
      </c>
      <c r="P21">
        <v>0.92159999999999997</v>
      </c>
      <c r="Q21">
        <v>1.734</v>
      </c>
      <c r="R21">
        <v>3.3460000000000001</v>
      </c>
      <c r="S21">
        <v>10</v>
      </c>
      <c r="T21">
        <v>2</v>
      </c>
    </row>
    <row r="22" spans="5:20" ht="15" customHeight="1" x14ac:dyDescent="0.25">
      <c r="E22" s="57">
        <v>9</v>
      </c>
      <c r="F22" s="57">
        <v>5</v>
      </c>
      <c r="G22" s="57" t="s">
        <v>731</v>
      </c>
      <c r="H22" s="57">
        <v>0.14180000000000001</v>
      </c>
      <c r="I22" s="57">
        <v>0.80689999999999995</v>
      </c>
      <c r="J22" s="57">
        <v>4.4749999999999996</v>
      </c>
      <c r="K22" s="59" t="str">
        <f t="shared" si="0"/>
        <v>0.81 (0.14 – 4.48)</v>
      </c>
      <c r="L22" s="16" t="str">
        <f t="shared" si="1"/>
        <v>0.81
(0.14 – 4.48)</v>
      </c>
      <c r="N22" s="59" t="s">
        <v>434</v>
      </c>
      <c r="O22" s="16" t="s">
        <v>715</v>
      </c>
      <c r="P22">
        <v>0.4824</v>
      </c>
      <c r="Q22">
        <v>1.04</v>
      </c>
      <c r="R22">
        <v>2.42</v>
      </c>
      <c r="S22">
        <v>4</v>
      </c>
      <c r="T22">
        <v>3</v>
      </c>
    </row>
    <row r="23" spans="5:20" ht="15" customHeight="1" x14ac:dyDescent="0.25">
      <c r="E23" s="19">
        <v>7</v>
      </c>
      <c r="F23" s="19">
        <v>5</v>
      </c>
      <c r="G23" s="19" t="s">
        <v>729</v>
      </c>
      <c r="H23" s="19">
        <v>2.044E-2</v>
      </c>
      <c r="I23" s="19">
        <v>0.80379999999999996</v>
      </c>
      <c r="J23" s="19">
        <v>41.76</v>
      </c>
      <c r="K23" s="59" t="str">
        <f t="shared" si="0"/>
        <v>0.80 (0.02 – 41.76)</v>
      </c>
      <c r="L23" s="16" t="str">
        <f t="shared" si="1"/>
        <v>0.80
(0.02 – 41.76)</v>
      </c>
      <c r="N23" s="59" t="s">
        <v>435</v>
      </c>
      <c r="O23" s="16" t="s">
        <v>716</v>
      </c>
      <c r="P23">
        <v>0.30099999999999999</v>
      </c>
      <c r="Q23">
        <v>1.5089999999999999</v>
      </c>
      <c r="R23">
        <v>8.0399999999999991</v>
      </c>
      <c r="S23">
        <v>5</v>
      </c>
      <c r="T23">
        <v>3</v>
      </c>
    </row>
    <row r="24" spans="5:20" ht="15" customHeight="1" x14ac:dyDescent="0.25">
      <c r="E24" s="19">
        <v>6</v>
      </c>
      <c r="F24" s="19">
        <v>8</v>
      </c>
      <c r="G24" s="19" t="s">
        <v>743</v>
      </c>
      <c r="H24" s="19">
        <v>3.3123550844650546E-2</v>
      </c>
      <c r="I24" s="19">
        <v>0.79176563737133809</v>
      </c>
      <c r="J24" s="19">
        <v>33.65870077415012</v>
      </c>
      <c r="K24" s="59" t="str">
        <f t="shared" si="0"/>
        <v>0.79 (0.03 – 33.66)</v>
      </c>
      <c r="L24" s="16" t="str">
        <f t="shared" si="1"/>
        <v>0.79
(0.03 – 33.66)</v>
      </c>
      <c r="N24" s="59" t="s">
        <v>436</v>
      </c>
      <c r="O24" s="16" t="s">
        <v>717</v>
      </c>
      <c r="P24">
        <v>0.19070000000000001</v>
      </c>
      <c r="Q24">
        <v>2.3719999999999999</v>
      </c>
      <c r="R24">
        <v>71.03</v>
      </c>
      <c r="S24">
        <v>6</v>
      </c>
      <c r="T24">
        <v>3</v>
      </c>
    </row>
    <row r="25" spans="5:20" ht="15" customHeight="1" x14ac:dyDescent="0.25">
      <c r="E25" s="19">
        <v>3</v>
      </c>
      <c r="F25" s="19">
        <v>1</v>
      </c>
      <c r="G25" s="19" t="s">
        <v>699</v>
      </c>
      <c r="H25" s="19">
        <v>0.35930000000000001</v>
      </c>
      <c r="I25" s="19">
        <v>0.78390000000000004</v>
      </c>
      <c r="J25" s="19">
        <v>1.7589999999999999</v>
      </c>
      <c r="K25" s="59" t="str">
        <f t="shared" si="0"/>
        <v>0.78 (0.36 – 1.76)</v>
      </c>
      <c r="L25" s="16" t="str">
        <f t="shared" si="1"/>
        <v>0.78
(0.36 – 1.76)</v>
      </c>
      <c r="N25" s="59" t="s">
        <v>437</v>
      </c>
      <c r="O25" s="16" t="s">
        <v>718</v>
      </c>
      <c r="P25">
        <v>3.662E-2</v>
      </c>
      <c r="Q25">
        <v>1.1579999999999999</v>
      </c>
      <c r="R25">
        <v>79.040000000000006</v>
      </c>
      <c r="S25">
        <v>7</v>
      </c>
      <c r="T25">
        <v>3</v>
      </c>
    </row>
    <row r="26" spans="5:20" ht="15" customHeight="1" x14ac:dyDescent="0.25">
      <c r="E26" s="19">
        <v>2</v>
      </c>
      <c r="F26" s="59">
        <v>5</v>
      </c>
      <c r="G26" s="54" t="s">
        <v>785</v>
      </c>
      <c r="H26" s="16">
        <v>0.17733640716439084</v>
      </c>
      <c r="I26" s="16">
        <v>0.76804915514592931</v>
      </c>
      <c r="J26" s="16">
        <v>3.2733224222585924</v>
      </c>
      <c r="K26" s="59" t="str">
        <f t="shared" si="0"/>
        <v>0.77 (0.18 – 3.27)</v>
      </c>
      <c r="L26" s="16" t="str">
        <f t="shared" si="1"/>
        <v>0.77
(0.18 – 3.27)</v>
      </c>
      <c r="N26" s="59" t="s">
        <v>438</v>
      </c>
      <c r="O26" s="16" t="s">
        <v>719</v>
      </c>
      <c r="P26">
        <v>0.51149999999999995</v>
      </c>
      <c r="Q26">
        <v>2.7549999999999999</v>
      </c>
      <c r="R26">
        <v>21.93</v>
      </c>
      <c r="S26">
        <v>8</v>
      </c>
      <c r="T26">
        <v>3</v>
      </c>
    </row>
    <row r="27" spans="5:20" ht="15" customHeight="1" x14ac:dyDescent="0.25">
      <c r="E27" s="19">
        <v>5</v>
      </c>
      <c r="F27" s="19">
        <v>10</v>
      </c>
      <c r="G27" s="19" t="s">
        <v>746</v>
      </c>
      <c r="H27" s="19">
        <v>0.14929829799940281</v>
      </c>
      <c r="I27" s="19">
        <v>0.73313782991202336</v>
      </c>
      <c r="J27" s="19">
        <v>3.8109756097560972</v>
      </c>
      <c r="K27" s="59" t="str">
        <f t="shared" si="0"/>
        <v>0.73 (0.15 – 3.81)</v>
      </c>
      <c r="L27" s="16" t="str">
        <f t="shared" si="1"/>
        <v>0.73
(0.15 – 3.81)</v>
      </c>
      <c r="N27" s="59" t="s">
        <v>439</v>
      </c>
      <c r="O27" s="16" t="s">
        <v>720</v>
      </c>
      <c r="P27">
        <v>0.44369999999999998</v>
      </c>
      <c r="Q27">
        <v>1.2110000000000001</v>
      </c>
      <c r="R27">
        <v>2.988</v>
      </c>
      <c r="S27">
        <v>9</v>
      </c>
      <c r="T27">
        <v>3</v>
      </c>
    </row>
    <row r="28" spans="5:20" ht="15" customHeight="1" x14ac:dyDescent="0.25">
      <c r="E28" s="19">
        <v>4</v>
      </c>
      <c r="F28" s="19">
        <v>5</v>
      </c>
      <c r="G28" s="19" t="s">
        <v>783</v>
      </c>
      <c r="H28" s="19">
        <v>0.11950286806883365</v>
      </c>
      <c r="I28" s="19">
        <v>0.69444444444444442</v>
      </c>
      <c r="J28" s="19">
        <v>3.941663381947182</v>
      </c>
      <c r="K28" s="59" t="str">
        <f t="shared" si="0"/>
        <v>0.69 (0.12 – 3.94)</v>
      </c>
      <c r="L28" s="16" t="str">
        <f t="shared" si="1"/>
        <v>0.69
(0.12 – 3.94)</v>
      </c>
      <c r="N28" s="59" t="s">
        <v>440</v>
      </c>
      <c r="O28" s="16" t="s">
        <v>721</v>
      </c>
      <c r="P28">
        <v>0.93889999999999996</v>
      </c>
      <c r="Q28">
        <v>2.02</v>
      </c>
      <c r="R28">
        <v>4.5960000000000001</v>
      </c>
      <c r="S28">
        <v>10</v>
      </c>
      <c r="T28">
        <v>3</v>
      </c>
    </row>
    <row r="29" spans="5:20" ht="15" customHeight="1" x14ac:dyDescent="0.25">
      <c r="E29" s="57">
        <v>3</v>
      </c>
      <c r="F29" s="57">
        <v>5</v>
      </c>
      <c r="G29" s="57" t="s">
        <v>781</v>
      </c>
      <c r="H29" s="57">
        <v>0.12437810945273634</v>
      </c>
      <c r="I29" s="57">
        <v>0.66269052352551361</v>
      </c>
      <c r="J29" s="57">
        <v>3.3222591362126246</v>
      </c>
      <c r="K29" s="59" t="str">
        <f t="shared" si="0"/>
        <v>0.66 (0.12 – 3.32)</v>
      </c>
      <c r="L29" s="16" t="str">
        <f t="shared" si="1"/>
        <v>0.66
(0.12 – 3.32)</v>
      </c>
      <c r="N29" s="59" t="s">
        <v>441</v>
      </c>
      <c r="O29" s="16" t="s">
        <v>722</v>
      </c>
      <c r="P29">
        <v>0.25369999999999998</v>
      </c>
      <c r="Q29">
        <v>1.44</v>
      </c>
      <c r="R29">
        <v>8.3680000000000003</v>
      </c>
      <c r="S29">
        <v>5</v>
      </c>
      <c r="T29">
        <v>4</v>
      </c>
    </row>
    <row r="30" spans="5:20" ht="15" customHeight="1" x14ac:dyDescent="0.25">
      <c r="E30" s="19">
        <v>5</v>
      </c>
      <c r="F30" s="19">
        <v>6</v>
      </c>
      <c r="G30" s="19" t="s">
        <v>792</v>
      </c>
      <c r="H30" s="19">
        <v>1.5372790161414298E-2</v>
      </c>
      <c r="I30" s="19">
        <v>0.62150403977625857</v>
      </c>
      <c r="J30" s="19">
        <v>13.663068725235687</v>
      </c>
      <c r="K30" s="59" t="str">
        <f t="shared" si="0"/>
        <v>0.62 (0.02 – 13.66)</v>
      </c>
      <c r="L30" s="16" t="str">
        <f t="shared" si="1"/>
        <v>0.62
(0.02 – 13.66)</v>
      </c>
      <c r="N30" s="59" t="s">
        <v>442</v>
      </c>
      <c r="O30" s="16" t="s">
        <v>723</v>
      </c>
      <c r="P30">
        <v>0.1641</v>
      </c>
      <c r="Q30">
        <v>2.2160000000000002</v>
      </c>
      <c r="R30">
        <v>66.16</v>
      </c>
      <c r="S30">
        <v>6</v>
      </c>
      <c r="T30">
        <v>4</v>
      </c>
    </row>
    <row r="31" spans="5:20" ht="15" customHeight="1" x14ac:dyDescent="0.25">
      <c r="E31" s="19">
        <v>1</v>
      </c>
      <c r="F31" s="59">
        <v>10</v>
      </c>
      <c r="G31" s="54" t="s">
        <v>756</v>
      </c>
      <c r="H31" s="16">
        <v>0.3627130939426913</v>
      </c>
      <c r="I31" s="16">
        <v>0.61957868649318459</v>
      </c>
      <c r="J31" s="16">
        <v>1.0731916720326251</v>
      </c>
      <c r="K31" s="59" t="str">
        <f t="shared" si="0"/>
        <v>0.62 (0.36 – 1.07)</v>
      </c>
      <c r="L31" s="16" t="str">
        <f t="shared" si="1"/>
        <v>0.62
(0.36 – 1.07)</v>
      </c>
      <c r="N31" s="59" t="s">
        <v>443</v>
      </c>
      <c r="O31" s="16" t="s">
        <v>724</v>
      </c>
      <c r="P31">
        <v>3.3619999999999997E-2</v>
      </c>
      <c r="Q31">
        <v>1.1439999999999999</v>
      </c>
      <c r="R31">
        <v>61.51</v>
      </c>
      <c r="S31">
        <v>7</v>
      </c>
      <c r="T31">
        <v>4</v>
      </c>
    </row>
    <row r="32" spans="5:20" ht="15" customHeight="1" x14ac:dyDescent="0.25">
      <c r="E32" s="19">
        <v>9</v>
      </c>
      <c r="F32" s="19">
        <v>10</v>
      </c>
      <c r="G32" s="19" t="s">
        <v>757</v>
      </c>
      <c r="H32" s="19">
        <v>0.28694404591104733</v>
      </c>
      <c r="I32" s="19">
        <v>0.58858151854031782</v>
      </c>
      <c r="J32" s="19">
        <v>1.1771630370806356</v>
      </c>
      <c r="K32" s="59" t="str">
        <f t="shared" si="0"/>
        <v>0.59 (0.29 – 1.18)</v>
      </c>
      <c r="L32" s="16" t="str">
        <f t="shared" si="1"/>
        <v>0.59
(0.29 – 1.18)</v>
      </c>
      <c r="N32" s="59" t="s">
        <v>444</v>
      </c>
      <c r="O32" s="16" t="s">
        <v>725</v>
      </c>
      <c r="P32">
        <v>0.4299</v>
      </c>
      <c r="Q32">
        <v>2.5950000000000002</v>
      </c>
      <c r="R32">
        <v>22.35</v>
      </c>
      <c r="S32">
        <v>8</v>
      </c>
      <c r="T32">
        <v>4</v>
      </c>
    </row>
    <row r="33" spans="3:20" ht="15" customHeight="1" x14ac:dyDescent="0.25">
      <c r="E33" s="19">
        <v>2</v>
      </c>
      <c r="F33" s="19">
        <v>10</v>
      </c>
      <c r="G33" s="19" t="s">
        <v>760</v>
      </c>
      <c r="H33" s="19">
        <v>0.29886431560071725</v>
      </c>
      <c r="I33" s="19">
        <v>0.57670126874279126</v>
      </c>
      <c r="J33" s="19">
        <v>1.0850694444444444</v>
      </c>
      <c r="K33" s="59" t="str">
        <f t="shared" si="0"/>
        <v>0.58 (0.30 – 1.09)</v>
      </c>
      <c r="L33" s="16" t="str">
        <f t="shared" si="1"/>
        <v>0.58
(0.30 – 1.09)</v>
      </c>
      <c r="N33" s="59" t="s">
        <v>445</v>
      </c>
      <c r="O33" s="16" t="s">
        <v>726</v>
      </c>
      <c r="P33">
        <v>0.37309999999999999</v>
      </c>
      <c r="Q33">
        <v>1.1719999999999999</v>
      </c>
      <c r="R33">
        <v>3.3260000000000001</v>
      </c>
      <c r="S33">
        <v>9</v>
      </c>
      <c r="T33">
        <v>4</v>
      </c>
    </row>
    <row r="34" spans="3:20" ht="15" customHeight="1" x14ac:dyDescent="0.25">
      <c r="E34" s="19">
        <v>5</v>
      </c>
      <c r="F34" s="59">
        <v>8</v>
      </c>
      <c r="G34" s="54" t="s">
        <v>745</v>
      </c>
      <c r="H34" s="16">
        <v>5.4347826086956527E-2</v>
      </c>
      <c r="I34" s="16">
        <v>0.56980056980056981</v>
      </c>
      <c r="J34" s="16">
        <v>4.2426813746287655</v>
      </c>
      <c r="K34" s="59" t="str">
        <f t="shared" si="0"/>
        <v>0.57 (0.05 – 4.24)</v>
      </c>
      <c r="L34" s="16" t="str">
        <f t="shared" si="1"/>
        <v>0.57
(0.05 – 4.24)</v>
      </c>
      <c r="N34" s="59" t="s">
        <v>446</v>
      </c>
      <c r="O34" s="16" t="s">
        <v>727</v>
      </c>
      <c r="P34">
        <v>0.75800000000000001</v>
      </c>
      <c r="Q34">
        <v>1.9690000000000001</v>
      </c>
      <c r="R34">
        <v>4.9690000000000003</v>
      </c>
      <c r="S34">
        <v>10</v>
      </c>
      <c r="T34">
        <v>4</v>
      </c>
    </row>
    <row r="35" spans="3:20" ht="15" customHeight="1" x14ac:dyDescent="0.25">
      <c r="E35" s="57">
        <v>7</v>
      </c>
      <c r="F35" s="57">
        <v>10</v>
      </c>
      <c r="G35" s="57" t="s">
        <v>761</v>
      </c>
      <c r="H35" s="57">
        <v>1.7768301350390901E-2</v>
      </c>
      <c r="I35" s="57">
        <v>0.55524708495280406</v>
      </c>
      <c r="J35" s="57">
        <v>37.850113550340652</v>
      </c>
      <c r="K35" s="59" t="str">
        <f t="shared" si="0"/>
        <v>0.56 (0.02 – 37.85)</v>
      </c>
      <c r="L35" s="16" t="str">
        <f t="shared" si="1"/>
        <v>0.56
(0.02 – 37.85)</v>
      </c>
      <c r="N35" s="59" t="s">
        <v>447</v>
      </c>
      <c r="O35" s="16" t="s">
        <v>728</v>
      </c>
      <c r="P35">
        <v>7.3190000000000005E-2</v>
      </c>
      <c r="Q35">
        <v>1.609</v>
      </c>
      <c r="R35">
        <v>65.05</v>
      </c>
      <c r="S35">
        <v>6</v>
      </c>
      <c r="T35">
        <v>5</v>
      </c>
    </row>
    <row r="36" spans="3:20" ht="15" customHeight="1" x14ac:dyDescent="0.25">
      <c r="C36" s="56"/>
      <c r="D36" s="57"/>
      <c r="E36" s="19">
        <v>1</v>
      </c>
      <c r="F36" s="19">
        <v>6</v>
      </c>
      <c r="G36" s="19" t="s">
        <v>790</v>
      </c>
      <c r="H36" s="19">
        <v>1.754693805930865E-2</v>
      </c>
      <c r="I36" s="19">
        <v>0.5420054200542006</v>
      </c>
      <c r="J36" s="19">
        <v>7.8308535630383709</v>
      </c>
      <c r="K36" s="59" t="str">
        <f t="shared" si="0"/>
        <v>0.54 (0.02 – 7.83)</v>
      </c>
      <c r="L36" s="16" t="str">
        <f t="shared" si="1"/>
        <v>0.54
(0.02 – 7.83)</v>
      </c>
      <c r="M36" s="57"/>
      <c r="N36" s="59" t="s">
        <v>448</v>
      </c>
      <c r="O36" s="16" t="s">
        <v>729</v>
      </c>
      <c r="P36">
        <v>2.044E-2</v>
      </c>
      <c r="Q36">
        <v>0.80379999999999996</v>
      </c>
      <c r="R36">
        <v>41.76</v>
      </c>
      <c r="S36">
        <v>7</v>
      </c>
      <c r="T36">
        <v>5</v>
      </c>
    </row>
    <row r="37" spans="3:20" ht="15" customHeight="1" x14ac:dyDescent="0.25">
      <c r="C37" s="56"/>
      <c r="D37" s="57"/>
      <c r="E37" s="19">
        <v>2</v>
      </c>
      <c r="F37" s="19">
        <v>6</v>
      </c>
      <c r="G37" s="19" t="s">
        <v>787</v>
      </c>
      <c r="H37" s="19">
        <v>1.6686133822793259E-2</v>
      </c>
      <c r="I37" s="19">
        <v>0.51098620337250888</v>
      </c>
      <c r="J37" s="19">
        <v>7.3313782991202352</v>
      </c>
      <c r="K37" s="59" t="str">
        <f t="shared" si="0"/>
        <v>0.51 (0.02 – 7.33)</v>
      </c>
      <c r="L37" s="16" t="str">
        <f t="shared" si="1"/>
        <v>0.51
(0.02 – 7.33)</v>
      </c>
      <c r="M37" s="57"/>
      <c r="N37" s="59" t="s">
        <v>449</v>
      </c>
      <c r="O37" s="16" t="s">
        <v>730</v>
      </c>
      <c r="P37">
        <v>0.23569999999999999</v>
      </c>
      <c r="Q37">
        <v>1.7549999999999999</v>
      </c>
      <c r="R37">
        <v>18.399999999999999</v>
      </c>
      <c r="S37">
        <v>8</v>
      </c>
      <c r="T37">
        <v>5</v>
      </c>
    </row>
    <row r="38" spans="3:20" ht="15" customHeight="1" x14ac:dyDescent="0.25">
      <c r="C38" s="56"/>
      <c r="D38" s="57"/>
      <c r="E38" s="57">
        <v>4</v>
      </c>
      <c r="F38" s="57">
        <v>10</v>
      </c>
      <c r="G38" s="57" t="s">
        <v>750</v>
      </c>
      <c r="H38" s="57">
        <v>0.20124773596297041</v>
      </c>
      <c r="I38" s="57">
        <v>0.50787201625190448</v>
      </c>
      <c r="J38" s="57">
        <v>1.3192612137203166</v>
      </c>
      <c r="K38" s="59" t="str">
        <f t="shared" si="0"/>
        <v>0.51 (0.20 – 1.32)</v>
      </c>
      <c r="L38" s="16" t="str">
        <f t="shared" si="1"/>
        <v>0.51
(0.20 – 1.32)</v>
      </c>
      <c r="M38" s="57"/>
      <c r="N38" s="59" t="s">
        <v>450</v>
      </c>
      <c r="O38" s="16" t="s">
        <v>731</v>
      </c>
      <c r="P38">
        <v>0.14180000000000001</v>
      </c>
      <c r="Q38">
        <v>0.80689999999999995</v>
      </c>
      <c r="R38">
        <v>4.4749999999999996</v>
      </c>
      <c r="S38">
        <v>9</v>
      </c>
      <c r="T38">
        <v>5</v>
      </c>
    </row>
    <row r="39" spans="3:20" ht="15" customHeight="1" x14ac:dyDescent="0.25">
      <c r="C39" s="56"/>
      <c r="D39" s="57"/>
      <c r="E39" s="57">
        <v>3</v>
      </c>
      <c r="F39" s="57">
        <v>10</v>
      </c>
      <c r="G39" s="57" t="s">
        <v>754</v>
      </c>
      <c r="H39" s="57">
        <v>0.2175805047867711</v>
      </c>
      <c r="I39" s="57">
        <v>0.49504950495049505</v>
      </c>
      <c r="J39" s="57">
        <v>1.0650761529449355</v>
      </c>
      <c r="K39" s="59" t="str">
        <f t="shared" si="0"/>
        <v>0.50 (0.22 – 1.07)</v>
      </c>
      <c r="L39" s="16" t="str">
        <f t="shared" si="1"/>
        <v>0.50
(0.22 – 1.07)</v>
      </c>
      <c r="M39" s="57"/>
      <c r="N39" s="59" t="s">
        <v>451</v>
      </c>
      <c r="O39" s="16" t="s">
        <v>732</v>
      </c>
      <c r="P39">
        <v>0.26240000000000002</v>
      </c>
      <c r="Q39">
        <v>1.3640000000000001</v>
      </c>
      <c r="R39">
        <v>6.6980000000000004</v>
      </c>
      <c r="S39">
        <v>10</v>
      </c>
      <c r="T39">
        <v>5</v>
      </c>
    </row>
    <row r="40" spans="3:20" ht="15" customHeight="1" x14ac:dyDescent="0.25">
      <c r="C40" s="56"/>
      <c r="D40" s="57"/>
      <c r="E40" s="57">
        <v>9</v>
      </c>
      <c r="F40" s="57">
        <v>6</v>
      </c>
      <c r="G40" s="57" t="s">
        <v>735</v>
      </c>
      <c r="H40" s="57">
        <v>1.5180000000000001E-2</v>
      </c>
      <c r="I40" s="57">
        <v>0.49480000000000002</v>
      </c>
      <c r="J40" s="57">
        <v>7.6980000000000004</v>
      </c>
      <c r="K40" s="59" t="str">
        <f t="shared" si="0"/>
        <v>0.49 (0.02 – 7.70)</v>
      </c>
      <c r="L40" s="16" t="str">
        <f t="shared" si="1"/>
        <v>0.49
(0.02 – 7.70)</v>
      </c>
      <c r="M40" s="57"/>
      <c r="N40" s="59" t="s">
        <v>452</v>
      </c>
      <c r="O40" s="16" t="s">
        <v>733</v>
      </c>
      <c r="P40">
        <v>4.1619999999999999E-3</v>
      </c>
      <c r="Q40">
        <v>0.40400000000000003</v>
      </c>
      <c r="R40">
        <v>85.48</v>
      </c>
      <c r="S40">
        <v>7</v>
      </c>
      <c r="T40">
        <v>6</v>
      </c>
    </row>
    <row r="41" spans="3:20" ht="15" customHeight="1" x14ac:dyDescent="0.25">
      <c r="C41" s="56"/>
      <c r="D41" s="57"/>
      <c r="E41" s="57">
        <v>7</v>
      </c>
      <c r="F41" s="57">
        <v>8</v>
      </c>
      <c r="G41" s="57" t="s">
        <v>791</v>
      </c>
      <c r="H41" s="57">
        <v>7.283321194464675E-3</v>
      </c>
      <c r="I41" s="57">
        <v>0.46317739694302923</v>
      </c>
      <c r="J41" s="57">
        <v>31.387319522912744</v>
      </c>
      <c r="K41" s="59" t="str">
        <f t="shared" si="0"/>
        <v>0.46 (0.01 – 31.39)</v>
      </c>
      <c r="L41" s="16" t="str">
        <f t="shared" si="1"/>
        <v>0.46
(0.01 – 31.39)</v>
      </c>
      <c r="M41" s="57"/>
      <c r="N41" s="59" t="s">
        <v>453</v>
      </c>
      <c r="O41" s="16" t="s">
        <v>734</v>
      </c>
      <c r="P41">
        <v>2.971E-2</v>
      </c>
      <c r="Q41">
        <v>1.2629999999999999</v>
      </c>
      <c r="R41">
        <v>30.19</v>
      </c>
      <c r="S41">
        <v>8</v>
      </c>
      <c r="T41">
        <v>6</v>
      </c>
    </row>
    <row r="42" spans="3:20" ht="15" customHeight="1" x14ac:dyDescent="0.25">
      <c r="C42" s="56"/>
      <c r="D42" s="57"/>
      <c r="E42" s="19">
        <v>4</v>
      </c>
      <c r="F42" s="19">
        <v>6</v>
      </c>
      <c r="G42" s="19" t="s">
        <v>784</v>
      </c>
      <c r="H42" s="19">
        <v>1.5114873035066506E-2</v>
      </c>
      <c r="I42" s="19">
        <v>0.45126353790613716</v>
      </c>
      <c r="J42" s="19">
        <v>6.0938452163315056</v>
      </c>
      <c r="K42" s="59" t="str">
        <f t="shared" si="0"/>
        <v>0.45 (0.02 – 6.09)</v>
      </c>
      <c r="L42" s="16" t="str">
        <f t="shared" si="1"/>
        <v>0.45
(0.02 – 6.09)</v>
      </c>
      <c r="M42" s="57"/>
      <c r="N42" s="59" t="s">
        <v>454</v>
      </c>
      <c r="O42" s="16" t="s">
        <v>735</v>
      </c>
      <c r="P42">
        <v>1.5180000000000001E-2</v>
      </c>
      <c r="Q42">
        <v>0.49480000000000002</v>
      </c>
      <c r="R42">
        <v>7.6980000000000004</v>
      </c>
      <c r="S42">
        <v>9</v>
      </c>
      <c r="T42">
        <v>6</v>
      </c>
    </row>
    <row r="43" spans="3:20" ht="15" customHeight="1" x14ac:dyDescent="0.25">
      <c r="C43" s="56"/>
      <c r="D43" s="57"/>
      <c r="E43" s="57">
        <v>1</v>
      </c>
      <c r="F43" s="57">
        <v>8</v>
      </c>
      <c r="G43" s="57" t="s">
        <v>755</v>
      </c>
      <c r="H43" s="57">
        <v>7.2046109510086456E-2</v>
      </c>
      <c r="I43" s="57">
        <v>0.44603033006244425</v>
      </c>
      <c r="J43" s="57">
        <v>2.2502250225022502</v>
      </c>
      <c r="K43" s="59" t="str">
        <f t="shared" si="0"/>
        <v>0.45 (0.07 – 2.25)</v>
      </c>
      <c r="L43" s="16" t="str">
        <f t="shared" si="1"/>
        <v>0.45
(0.07 – 2.25)</v>
      </c>
      <c r="M43" s="57"/>
      <c r="N43" s="59" t="s">
        <v>455</v>
      </c>
      <c r="O43" s="16" t="s">
        <v>736</v>
      </c>
      <c r="P43">
        <v>2.9069999999999999E-2</v>
      </c>
      <c r="Q43">
        <v>0.87919999999999998</v>
      </c>
      <c r="R43">
        <v>12.39</v>
      </c>
      <c r="S43">
        <v>10</v>
      </c>
      <c r="T43">
        <v>6</v>
      </c>
    </row>
    <row r="44" spans="3:20" ht="15" customHeight="1" x14ac:dyDescent="0.25">
      <c r="C44" s="56"/>
      <c r="D44" s="57"/>
      <c r="E44" s="19">
        <v>9</v>
      </c>
      <c r="F44" s="59">
        <v>8</v>
      </c>
      <c r="G44" s="54" t="s">
        <v>740</v>
      </c>
      <c r="H44" s="16">
        <v>6.0440000000000001E-2</v>
      </c>
      <c r="I44" s="16">
        <v>0.4294</v>
      </c>
      <c r="J44" s="16">
        <v>2.3420000000000001</v>
      </c>
      <c r="K44" s="59" t="str">
        <f t="shared" si="0"/>
        <v>0.43 (0.06 – 2.34)</v>
      </c>
      <c r="L44" s="16" t="str">
        <f t="shared" si="1"/>
        <v>0.43
(0.06 – 2.34)</v>
      </c>
      <c r="M44" s="57"/>
      <c r="N44" s="59" t="s">
        <v>456</v>
      </c>
      <c r="O44" s="16" t="s">
        <v>737</v>
      </c>
      <c r="P44">
        <v>3.1859999999999999E-2</v>
      </c>
      <c r="Q44">
        <v>2.1589999999999998</v>
      </c>
      <c r="R44">
        <v>137.30000000000001</v>
      </c>
      <c r="S44">
        <v>8</v>
      </c>
      <c r="T44">
        <v>7</v>
      </c>
    </row>
    <row r="45" spans="3:20" ht="15" customHeight="1" x14ac:dyDescent="0.25">
      <c r="C45" s="56"/>
      <c r="D45" s="57"/>
      <c r="E45" s="19">
        <v>3</v>
      </c>
      <c r="F45" s="19">
        <v>6</v>
      </c>
      <c r="G45" s="19" t="s">
        <v>782</v>
      </c>
      <c r="H45" s="19">
        <v>1.4078558355624384E-2</v>
      </c>
      <c r="I45" s="19">
        <v>0.42158516020236092</v>
      </c>
      <c r="J45" s="19">
        <v>5.2438384897745145</v>
      </c>
      <c r="K45" s="59" t="str">
        <f t="shared" si="0"/>
        <v>0.42 (0.01 – 5.24)</v>
      </c>
      <c r="L45" s="16" t="str">
        <f t="shared" si="1"/>
        <v>0.42
(0.01 – 5.24)</v>
      </c>
      <c r="M45" s="57"/>
      <c r="N45" s="59" t="s">
        <v>457</v>
      </c>
      <c r="O45" s="16" t="s">
        <v>738</v>
      </c>
      <c r="P45">
        <v>1.6490000000000001E-2</v>
      </c>
      <c r="Q45">
        <v>1.0209999999999999</v>
      </c>
      <c r="R45">
        <v>33.020000000000003</v>
      </c>
      <c r="S45">
        <v>9</v>
      </c>
      <c r="T45">
        <v>7</v>
      </c>
    </row>
    <row r="46" spans="3:20" ht="15" customHeight="1" x14ac:dyDescent="0.25">
      <c r="C46" s="56"/>
      <c r="D46" s="57"/>
      <c r="E46" s="19">
        <v>2</v>
      </c>
      <c r="F46" s="59">
        <v>8</v>
      </c>
      <c r="G46" s="54" t="s">
        <v>788</v>
      </c>
      <c r="H46" s="16">
        <v>6.333122229259025E-2</v>
      </c>
      <c r="I46" s="16">
        <v>0.4163197335553705</v>
      </c>
      <c r="J46" s="16">
        <v>2.0116676725005029</v>
      </c>
      <c r="K46" s="59" t="str">
        <f t="shared" si="0"/>
        <v>0.42 (0.06 – 2.01)</v>
      </c>
      <c r="L46" s="16" t="str">
        <f t="shared" si="1"/>
        <v>0.42
(0.06 – 2.01)</v>
      </c>
      <c r="M46" s="57"/>
      <c r="N46" s="59" t="s">
        <v>458</v>
      </c>
      <c r="O46" s="16" t="s">
        <v>739</v>
      </c>
      <c r="P46">
        <v>2.6419999999999999E-2</v>
      </c>
      <c r="Q46">
        <v>1.8009999999999999</v>
      </c>
      <c r="R46">
        <v>56.28</v>
      </c>
      <c r="S46">
        <v>10</v>
      </c>
      <c r="T46">
        <v>7</v>
      </c>
    </row>
    <row r="47" spans="3:20" ht="15" customHeight="1" x14ac:dyDescent="0.25">
      <c r="C47" s="56"/>
      <c r="D47" s="57"/>
      <c r="E47" s="57">
        <v>7</v>
      </c>
      <c r="F47" s="57">
        <v>6</v>
      </c>
      <c r="G47" s="57" t="s">
        <v>733</v>
      </c>
      <c r="H47" s="57">
        <v>4.1619999999999999E-3</v>
      </c>
      <c r="I47" s="57">
        <v>0.40400000000000003</v>
      </c>
      <c r="J47" s="57">
        <v>85.48</v>
      </c>
      <c r="K47" s="59" t="str">
        <f t="shared" si="0"/>
        <v>0.40 (0.00 – 85.48)</v>
      </c>
      <c r="L47" s="16" t="str">
        <f t="shared" si="1"/>
        <v>0.40
(0.00 – 85.48)</v>
      </c>
      <c r="M47" s="57"/>
      <c r="N47" s="59" t="s">
        <v>459</v>
      </c>
      <c r="O47" s="16" t="s">
        <v>740</v>
      </c>
      <c r="P47">
        <v>6.0440000000000001E-2</v>
      </c>
      <c r="Q47">
        <v>0.4294</v>
      </c>
      <c r="R47">
        <v>2.3420000000000001</v>
      </c>
      <c r="S47">
        <v>9</v>
      </c>
      <c r="T47">
        <v>8</v>
      </c>
    </row>
    <row r="48" spans="3:20" ht="15" customHeight="1" x14ac:dyDescent="0.25">
      <c r="C48" s="56"/>
      <c r="D48" s="57"/>
      <c r="E48" s="57">
        <v>4</v>
      </c>
      <c r="F48" s="57">
        <v>8</v>
      </c>
      <c r="G48" s="57" t="s">
        <v>748</v>
      </c>
      <c r="H48" s="57">
        <v>4.4742729306487691E-2</v>
      </c>
      <c r="I48" s="57">
        <v>0.38535645472061653</v>
      </c>
      <c r="J48" s="57">
        <v>2.3261223540358222</v>
      </c>
      <c r="K48" s="59" t="str">
        <f t="shared" si="0"/>
        <v>0.39 (0.04 – 2.33)</v>
      </c>
      <c r="L48" s="16" t="str">
        <f t="shared" si="1"/>
        <v>0.39
(0.04 – 2.33)</v>
      </c>
      <c r="M48" s="57"/>
      <c r="N48" s="59" t="s">
        <v>460</v>
      </c>
      <c r="O48" s="16" t="s">
        <v>741</v>
      </c>
      <c r="P48">
        <v>0.1004</v>
      </c>
      <c r="Q48">
        <v>0.72760000000000002</v>
      </c>
      <c r="R48">
        <v>3.89</v>
      </c>
      <c r="S48">
        <v>10</v>
      </c>
      <c r="T48">
        <v>8</v>
      </c>
    </row>
    <row r="49" spans="3:20" ht="15" customHeight="1" x14ac:dyDescent="0.25">
      <c r="C49" s="56"/>
      <c r="D49" s="57"/>
      <c r="E49" s="19">
        <v>3</v>
      </c>
      <c r="F49" s="19">
        <v>8</v>
      </c>
      <c r="G49" s="19" t="s">
        <v>752</v>
      </c>
      <c r="H49" s="19">
        <v>4.5599635202918376E-2</v>
      </c>
      <c r="I49" s="19">
        <v>0.36297640653357532</v>
      </c>
      <c r="J49" s="19">
        <v>1.9550342130987295</v>
      </c>
      <c r="K49" s="59" t="str">
        <f t="shared" si="0"/>
        <v>0.36 (0.05 – 1.96)</v>
      </c>
      <c r="L49" s="16" t="str">
        <f t="shared" si="1"/>
        <v>0.36
(0.05 – 1.96)</v>
      </c>
      <c r="M49" s="57"/>
      <c r="N49" s="59" t="s">
        <v>461</v>
      </c>
      <c r="O49" s="16" t="s">
        <v>742</v>
      </c>
      <c r="P49">
        <v>0.84950000000000003</v>
      </c>
      <c r="Q49">
        <v>1.6990000000000001</v>
      </c>
      <c r="R49">
        <v>3.4849999999999999</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544</v>
      </c>
      <c r="C5" s="17" t="s">
        <v>351</v>
      </c>
      <c r="D5" s="17">
        <v>1</v>
      </c>
      <c r="E5">
        <v>1.46E-2</v>
      </c>
      <c r="F5">
        <v>0.11990000000000001</v>
      </c>
      <c r="G5">
        <v>3.2950000000000002E-3</v>
      </c>
      <c r="H5">
        <v>0</v>
      </c>
      <c r="I5">
        <v>0</v>
      </c>
      <c r="J5">
        <v>0</v>
      </c>
      <c r="L5">
        <v>1</v>
      </c>
      <c r="M5">
        <v>1.46E-2</v>
      </c>
      <c r="N5">
        <v>2.427E-2</v>
      </c>
      <c r="O5">
        <v>9.0029999999999999E-2</v>
      </c>
      <c r="P5">
        <v>0.1216</v>
      </c>
      <c r="Q5">
        <v>0.1087</v>
      </c>
      <c r="R5">
        <v>0.16900000000000001</v>
      </c>
      <c r="S5">
        <v>0.3518</v>
      </c>
      <c r="T5">
        <v>3.703E-2</v>
      </c>
      <c r="U5">
        <v>8.2830000000000001E-2</v>
      </c>
      <c r="V5">
        <v>1E-4</v>
      </c>
    </row>
    <row r="6" spans="2:22" x14ac:dyDescent="0.25">
      <c r="B6" t="s">
        <v>545</v>
      </c>
      <c r="C6" s="17" t="s">
        <v>351</v>
      </c>
      <c r="D6" s="17">
        <v>2</v>
      </c>
      <c r="E6">
        <v>6.9500000000000006E-2</v>
      </c>
      <c r="F6">
        <v>0.25430000000000003</v>
      </c>
      <c r="G6">
        <v>6.9930000000000001E-3</v>
      </c>
      <c r="H6">
        <v>0</v>
      </c>
      <c r="I6">
        <v>0</v>
      </c>
      <c r="J6">
        <v>1</v>
      </c>
      <c r="L6">
        <v>2</v>
      </c>
      <c r="M6">
        <v>6.9500000000000006E-2</v>
      </c>
      <c r="N6">
        <v>9.8030000000000006E-2</v>
      </c>
      <c r="O6">
        <v>0.22689999999999999</v>
      </c>
      <c r="P6">
        <v>0.2051</v>
      </c>
      <c r="Q6">
        <v>0.1196</v>
      </c>
      <c r="R6">
        <v>5.9929999999999997E-2</v>
      </c>
      <c r="S6">
        <v>6.9830000000000003E-2</v>
      </c>
      <c r="T6">
        <v>3.4070000000000003E-2</v>
      </c>
      <c r="U6">
        <v>0.1163</v>
      </c>
      <c r="V6">
        <v>6.9999999999999999E-4</v>
      </c>
    </row>
    <row r="7" spans="2:22" x14ac:dyDescent="0.25">
      <c r="B7" t="s">
        <v>546</v>
      </c>
      <c r="C7" s="17" t="s">
        <v>351</v>
      </c>
      <c r="D7" s="17">
        <v>3</v>
      </c>
      <c r="E7">
        <v>0.1076</v>
      </c>
      <c r="F7">
        <v>0.30980000000000002</v>
      </c>
      <c r="G7">
        <v>5.9449999999999998E-3</v>
      </c>
      <c r="H7">
        <v>0</v>
      </c>
      <c r="I7">
        <v>0</v>
      </c>
      <c r="J7">
        <v>1</v>
      </c>
      <c r="L7">
        <v>3</v>
      </c>
      <c r="M7">
        <v>0.1076</v>
      </c>
      <c r="N7">
        <v>0.18310000000000001</v>
      </c>
      <c r="O7">
        <v>0.2402</v>
      </c>
      <c r="P7">
        <v>0.16159999999999999</v>
      </c>
      <c r="Q7">
        <v>6.9070000000000006E-2</v>
      </c>
      <c r="R7">
        <v>3.8899999999999997E-2</v>
      </c>
      <c r="S7">
        <v>4.5370000000000001E-2</v>
      </c>
      <c r="T7">
        <v>2.9569999999999999E-2</v>
      </c>
      <c r="U7">
        <v>0.122</v>
      </c>
      <c r="V7">
        <v>2.7000000000000001E-3</v>
      </c>
    </row>
    <row r="8" spans="2:22" x14ac:dyDescent="0.25">
      <c r="B8" t="s">
        <v>547</v>
      </c>
      <c r="C8" s="17" t="s">
        <v>351</v>
      </c>
      <c r="D8" s="17">
        <v>4</v>
      </c>
      <c r="E8">
        <v>0.16980000000000001</v>
      </c>
      <c r="F8">
        <v>0.3755</v>
      </c>
      <c r="G8">
        <v>8.2520000000000007E-3</v>
      </c>
      <c r="H8">
        <v>0</v>
      </c>
      <c r="I8">
        <v>0</v>
      </c>
      <c r="J8">
        <v>1</v>
      </c>
      <c r="L8">
        <v>4</v>
      </c>
      <c r="M8">
        <v>0.16980000000000001</v>
      </c>
      <c r="N8">
        <v>0.21340000000000001</v>
      </c>
      <c r="O8">
        <v>0.15690000000000001</v>
      </c>
      <c r="P8">
        <v>0.1328</v>
      </c>
      <c r="Q8">
        <v>6.3630000000000006E-2</v>
      </c>
      <c r="R8">
        <v>3.4299999999999997E-2</v>
      </c>
      <c r="S8">
        <v>3.6299999999999999E-2</v>
      </c>
      <c r="T8">
        <v>4.2169999999999999E-2</v>
      </c>
      <c r="U8">
        <v>0.13819999999999999</v>
      </c>
      <c r="V8">
        <v>1.2500000000000001E-2</v>
      </c>
    </row>
    <row r="9" spans="2:22" x14ac:dyDescent="0.25">
      <c r="B9" t="s">
        <v>548</v>
      </c>
      <c r="C9" s="17" t="s">
        <v>351</v>
      </c>
      <c r="D9" s="17">
        <v>5</v>
      </c>
      <c r="E9">
        <v>0.2155</v>
      </c>
      <c r="F9">
        <v>0.41120000000000001</v>
      </c>
      <c r="G9">
        <v>8.1930000000000006E-3</v>
      </c>
      <c r="H9">
        <v>0</v>
      </c>
      <c r="I9">
        <v>0</v>
      </c>
      <c r="J9">
        <v>1</v>
      </c>
      <c r="L9">
        <v>5</v>
      </c>
      <c r="M9">
        <v>0.2155</v>
      </c>
      <c r="N9">
        <v>0.21360000000000001</v>
      </c>
      <c r="O9">
        <v>0.12230000000000001</v>
      </c>
      <c r="P9">
        <v>0.1099</v>
      </c>
      <c r="Q9">
        <v>6.3729999999999995E-2</v>
      </c>
      <c r="R9">
        <v>3.2530000000000003E-2</v>
      </c>
      <c r="S9">
        <v>2.997E-2</v>
      </c>
      <c r="T9">
        <v>3.9570000000000001E-2</v>
      </c>
      <c r="U9">
        <v>0.1424</v>
      </c>
      <c r="V9">
        <v>3.0530000000000002E-2</v>
      </c>
    </row>
    <row r="10" spans="2:22" x14ac:dyDescent="0.25">
      <c r="B10" t="s">
        <v>549</v>
      </c>
      <c r="C10" s="17" t="s">
        <v>351</v>
      </c>
      <c r="D10" s="17">
        <v>6</v>
      </c>
      <c r="E10">
        <v>0.19980000000000001</v>
      </c>
      <c r="F10">
        <v>0.39979999999999999</v>
      </c>
      <c r="G10">
        <v>7.901E-3</v>
      </c>
      <c r="H10">
        <v>0</v>
      </c>
      <c r="I10">
        <v>0</v>
      </c>
      <c r="J10">
        <v>1</v>
      </c>
      <c r="L10">
        <v>6</v>
      </c>
      <c r="M10">
        <v>0.19980000000000001</v>
      </c>
      <c r="N10">
        <v>0.14399999999999999</v>
      </c>
      <c r="O10">
        <v>9.1700000000000004E-2</v>
      </c>
      <c r="P10">
        <v>0.1041</v>
      </c>
      <c r="Q10">
        <v>8.1030000000000005E-2</v>
      </c>
      <c r="R10">
        <v>4.6269999999999999E-2</v>
      </c>
      <c r="S10">
        <v>3.3869999999999997E-2</v>
      </c>
      <c r="T10">
        <v>4.7699999999999999E-2</v>
      </c>
      <c r="U10">
        <v>0.16</v>
      </c>
      <c r="V10">
        <v>9.1469999999999996E-2</v>
      </c>
    </row>
    <row r="11" spans="2:22" x14ac:dyDescent="0.25">
      <c r="B11" t="s">
        <v>550</v>
      </c>
      <c r="C11" s="17" t="s">
        <v>351</v>
      </c>
      <c r="D11" s="17">
        <v>7</v>
      </c>
      <c r="E11">
        <v>0.14069999999999999</v>
      </c>
      <c r="F11">
        <v>0.34770000000000001</v>
      </c>
      <c r="G11">
        <v>8.1460000000000005E-3</v>
      </c>
      <c r="H11">
        <v>0</v>
      </c>
      <c r="I11">
        <v>0</v>
      </c>
      <c r="J11">
        <v>1</v>
      </c>
      <c r="L11">
        <v>7</v>
      </c>
      <c r="M11">
        <v>0.14069999999999999</v>
      </c>
      <c r="N11">
        <v>9.2899999999999996E-2</v>
      </c>
      <c r="O11">
        <v>4.9169999999999998E-2</v>
      </c>
      <c r="P11">
        <v>8.2100000000000006E-2</v>
      </c>
      <c r="Q11">
        <v>0.10979999999999999</v>
      </c>
      <c r="R11">
        <v>5.5230000000000001E-2</v>
      </c>
      <c r="S11">
        <v>4.9500000000000002E-2</v>
      </c>
      <c r="T11">
        <v>6.7830000000000001E-2</v>
      </c>
      <c r="U11">
        <v>0.12540000000000001</v>
      </c>
      <c r="V11">
        <v>0.22739999999999999</v>
      </c>
    </row>
    <row r="12" spans="2:22" x14ac:dyDescent="0.25">
      <c r="B12" t="s">
        <v>551</v>
      </c>
      <c r="C12" s="17" t="s">
        <v>351</v>
      </c>
      <c r="D12" s="17">
        <v>8</v>
      </c>
      <c r="E12">
        <v>7.0830000000000004E-2</v>
      </c>
      <c r="F12">
        <v>0.25650000000000001</v>
      </c>
      <c r="G12">
        <v>8.2900000000000005E-3</v>
      </c>
      <c r="H12">
        <v>0</v>
      </c>
      <c r="I12">
        <v>0</v>
      </c>
      <c r="J12">
        <v>1</v>
      </c>
      <c r="L12">
        <v>8</v>
      </c>
      <c r="M12">
        <v>7.0830000000000004E-2</v>
      </c>
      <c r="N12">
        <v>2.6169999999999999E-2</v>
      </c>
      <c r="O12">
        <v>1.627E-2</v>
      </c>
      <c r="P12">
        <v>4.9500000000000002E-2</v>
      </c>
      <c r="Q12">
        <v>0.14699999999999999</v>
      </c>
      <c r="R12">
        <v>8.9200000000000002E-2</v>
      </c>
      <c r="S12">
        <v>6.5000000000000002E-2</v>
      </c>
      <c r="T12">
        <v>0.1452</v>
      </c>
      <c r="U12">
        <v>7.9670000000000005E-2</v>
      </c>
      <c r="V12">
        <v>0.31119999999999998</v>
      </c>
    </row>
    <row r="13" spans="2:22" x14ac:dyDescent="0.25">
      <c r="B13" t="s">
        <v>552</v>
      </c>
      <c r="C13" s="17" t="s">
        <v>351</v>
      </c>
      <c r="D13" s="17">
        <v>9</v>
      </c>
      <c r="E13">
        <v>1.0699999999999999E-2</v>
      </c>
      <c r="F13">
        <v>0.10290000000000001</v>
      </c>
      <c r="G13">
        <v>1.735E-3</v>
      </c>
      <c r="H13">
        <v>0</v>
      </c>
      <c r="I13">
        <v>0</v>
      </c>
      <c r="J13">
        <v>0</v>
      </c>
      <c r="L13">
        <v>9</v>
      </c>
      <c r="M13">
        <v>1.0699999999999999E-2</v>
      </c>
      <c r="N13">
        <v>3.7330000000000002E-3</v>
      </c>
      <c r="O13">
        <v>6.0330000000000002E-3</v>
      </c>
      <c r="P13">
        <v>2.7300000000000001E-2</v>
      </c>
      <c r="Q13">
        <v>0.15329999999999999</v>
      </c>
      <c r="R13">
        <v>0.1338</v>
      </c>
      <c r="S13">
        <v>0.1067</v>
      </c>
      <c r="T13">
        <v>0.2772</v>
      </c>
      <c r="U13">
        <v>2.7699999999999999E-2</v>
      </c>
      <c r="V13">
        <v>0.25359999999999999</v>
      </c>
    </row>
    <row r="14" spans="2:22" x14ac:dyDescent="0.25">
      <c r="B14" t="s">
        <v>553</v>
      </c>
      <c r="C14" s="17" t="s">
        <v>351</v>
      </c>
      <c r="D14" s="17">
        <v>10</v>
      </c>
      <c r="E14">
        <v>1E-3</v>
      </c>
      <c r="F14">
        <v>3.1609999999999999E-2</v>
      </c>
      <c r="G14">
        <v>3.3330000000000002E-4</v>
      </c>
      <c r="H14">
        <v>0</v>
      </c>
      <c r="I14">
        <v>0</v>
      </c>
      <c r="J14">
        <v>0</v>
      </c>
      <c r="L14">
        <v>10</v>
      </c>
      <c r="M14">
        <v>1E-3</v>
      </c>
      <c r="N14">
        <v>8.0000000000000004E-4</v>
      </c>
      <c r="O14">
        <v>5.9999999999999995E-4</v>
      </c>
      <c r="P14">
        <v>5.8999999999999999E-3</v>
      </c>
      <c r="Q14">
        <v>8.4169999999999995E-2</v>
      </c>
      <c r="R14">
        <v>0.34079999999999999</v>
      </c>
      <c r="S14">
        <v>0.2117</v>
      </c>
      <c r="T14">
        <v>0.2797</v>
      </c>
      <c r="U14">
        <v>5.5329999999999997E-3</v>
      </c>
      <c r="V14">
        <v>6.9800000000000001E-2</v>
      </c>
    </row>
    <row r="15" spans="2:22" hidden="1" x14ac:dyDescent="0.25">
      <c r="B15" t="s">
        <v>554</v>
      </c>
      <c r="C15" s="17" t="s">
        <v>352</v>
      </c>
      <c r="D15" s="17">
        <v>1</v>
      </c>
      <c r="E15">
        <v>2.427E-2</v>
      </c>
      <c r="F15">
        <v>0.15390000000000001</v>
      </c>
      <c r="G15">
        <v>2.3410000000000002E-3</v>
      </c>
      <c r="H15">
        <v>0</v>
      </c>
      <c r="I15">
        <v>0</v>
      </c>
      <c r="J15">
        <v>0</v>
      </c>
    </row>
    <row r="16" spans="2:22" hidden="1" x14ac:dyDescent="0.25">
      <c r="B16" t="s">
        <v>555</v>
      </c>
      <c r="C16" s="17" t="s">
        <v>352</v>
      </c>
      <c r="D16" s="17">
        <v>2</v>
      </c>
      <c r="E16">
        <v>9.8030000000000006E-2</v>
      </c>
      <c r="F16">
        <v>0.2974</v>
      </c>
      <c r="G16">
        <v>5.8089999999999999E-3</v>
      </c>
      <c r="H16">
        <v>0</v>
      </c>
      <c r="I16">
        <v>0</v>
      </c>
      <c r="J16">
        <v>1</v>
      </c>
    </row>
    <row r="17" spans="2:10" hidden="1" x14ac:dyDescent="0.25">
      <c r="B17" t="s">
        <v>556</v>
      </c>
      <c r="C17" s="17" t="s">
        <v>352</v>
      </c>
      <c r="D17" s="17">
        <v>3</v>
      </c>
      <c r="E17">
        <v>0.18310000000000001</v>
      </c>
      <c r="F17">
        <v>0.38669999999999999</v>
      </c>
      <c r="G17">
        <v>9.3779999999999992E-3</v>
      </c>
      <c r="H17">
        <v>0</v>
      </c>
      <c r="I17">
        <v>0</v>
      </c>
      <c r="J17">
        <v>1</v>
      </c>
    </row>
    <row r="18" spans="2:10" hidden="1" x14ac:dyDescent="0.25">
      <c r="B18" t="s">
        <v>557</v>
      </c>
      <c r="C18" s="17" t="s">
        <v>352</v>
      </c>
      <c r="D18" s="17">
        <v>4</v>
      </c>
      <c r="E18">
        <v>0.21340000000000001</v>
      </c>
      <c r="F18">
        <v>0.40970000000000001</v>
      </c>
      <c r="G18">
        <v>7.8560000000000001E-3</v>
      </c>
      <c r="H18">
        <v>0</v>
      </c>
      <c r="I18">
        <v>0</v>
      </c>
      <c r="J18">
        <v>1</v>
      </c>
    </row>
    <row r="19" spans="2:10" hidden="1" x14ac:dyDescent="0.25">
      <c r="B19" t="s">
        <v>558</v>
      </c>
      <c r="C19" s="17" t="s">
        <v>352</v>
      </c>
      <c r="D19" s="17">
        <v>5</v>
      </c>
      <c r="E19">
        <v>0.21360000000000001</v>
      </c>
      <c r="F19">
        <v>0.4098</v>
      </c>
      <c r="G19">
        <v>8.6110000000000006E-3</v>
      </c>
      <c r="H19">
        <v>0</v>
      </c>
      <c r="I19">
        <v>0</v>
      </c>
      <c r="J19">
        <v>1</v>
      </c>
    </row>
    <row r="20" spans="2:10" hidden="1" x14ac:dyDescent="0.25">
      <c r="B20" t="s">
        <v>559</v>
      </c>
      <c r="C20" s="17" t="s">
        <v>352</v>
      </c>
      <c r="D20" s="17">
        <v>6</v>
      </c>
      <c r="E20">
        <v>0.14399999999999999</v>
      </c>
      <c r="F20">
        <v>0.35110000000000002</v>
      </c>
      <c r="G20">
        <v>6.842E-3</v>
      </c>
      <c r="H20">
        <v>0</v>
      </c>
      <c r="I20">
        <v>0</v>
      </c>
      <c r="J20">
        <v>1</v>
      </c>
    </row>
    <row r="21" spans="2:10" hidden="1" x14ac:dyDescent="0.25">
      <c r="B21" t="s">
        <v>560</v>
      </c>
      <c r="C21" s="17" t="s">
        <v>352</v>
      </c>
      <c r="D21" s="17">
        <v>7</v>
      </c>
      <c r="E21">
        <v>9.2899999999999996E-2</v>
      </c>
      <c r="F21">
        <v>0.2903</v>
      </c>
      <c r="G21">
        <v>8.0809999999999996E-3</v>
      </c>
      <c r="H21">
        <v>0</v>
      </c>
      <c r="I21">
        <v>0</v>
      </c>
      <c r="J21">
        <v>1</v>
      </c>
    </row>
    <row r="22" spans="2:10" hidden="1" x14ac:dyDescent="0.25">
      <c r="B22" t="s">
        <v>561</v>
      </c>
      <c r="C22" s="17" t="s">
        <v>352</v>
      </c>
      <c r="D22" s="17">
        <v>8</v>
      </c>
      <c r="E22">
        <v>2.6169999999999999E-2</v>
      </c>
      <c r="F22">
        <v>0.15959999999999999</v>
      </c>
      <c r="G22">
        <v>3.107E-3</v>
      </c>
      <c r="H22">
        <v>0</v>
      </c>
      <c r="I22">
        <v>0</v>
      </c>
      <c r="J22">
        <v>1</v>
      </c>
    </row>
    <row r="23" spans="2:10" hidden="1" x14ac:dyDescent="0.25">
      <c r="B23" t="s">
        <v>562</v>
      </c>
      <c r="C23" s="17" t="s">
        <v>352</v>
      </c>
      <c r="D23" s="17">
        <v>9</v>
      </c>
      <c r="E23">
        <v>3.7330000000000002E-3</v>
      </c>
      <c r="F23">
        <v>6.0990000000000003E-2</v>
      </c>
      <c r="G23">
        <v>8.5419999999999995E-4</v>
      </c>
      <c r="H23">
        <v>0</v>
      </c>
      <c r="I23">
        <v>0</v>
      </c>
      <c r="J23">
        <v>0</v>
      </c>
    </row>
    <row r="24" spans="2:10" hidden="1" x14ac:dyDescent="0.25">
      <c r="B24" t="s">
        <v>563</v>
      </c>
      <c r="C24" s="17" t="s">
        <v>352</v>
      </c>
      <c r="D24" s="17">
        <v>10</v>
      </c>
      <c r="E24">
        <v>8.0000000000000004E-4</v>
      </c>
      <c r="F24">
        <v>2.827E-2</v>
      </c>
      <c r="G24">
        <v>4.1310000000000001E-4</v>
      </c>
      <c r="H24">
        <v>0</v>
      </c>
      <c r="I24">
        <v>0</v>
      </c>
      <c r="J24">
        <v>0</v>
      </c>
    </row>
    <row r="25" spans="2:10" hidden="1" x14ac:dyDescent="0.25">
      <c r="B25" t="s">
        <v>564</v>
      </c>
      <c r="C25" s="17" t="s">
        <v>353</v>
      </c>
      <c r="D25" s="17">
        <v>1</v>
      </c>
      <c r="E25">
        <v>9.0029999999999999E-2</v>
      </c>
      <c r="F25">
        <v>0.28620000000000001</v>
      </c>
      <c r="G25">
        <v>7.0920000000000002E-3</v>
      </c>
      <c r="H25">
        <v>0</v>
      </c>
      <c r="I25">
        <v>0</v>
      </c>
      <c r="J25">
        <v>1</v>
      </c>
    </row>
    <row r="26" spans="2:10" hidden="1" x14ac:dyDescent="0.25">
      <c r="B26" t="s">
        <v>565</v>
      </c>
      <c r="C26" s="17" t="s">
        <v>353</v>
      </c>
      <c r="D26" s="17">
        <v>2</v>
      </c>
      <c r="E26">
        <v>0.22689999999999999</v>
      </c>
      <c r="F26">
        <v>0.41880000000000001</v>
      </c>
      <c r="G26">
        <v>1.059E-2</v>
      </c>
      <c r="H26">
        <v>0</v>
      </c>
      <c r="I26">
        <v>0</v>
      </c>
      <c r="J26">
        <v>1</v>
      </c>
    </row>
    <row r="27" spans="2:10" hidden="1" x14ac:dyDescent="0.25">
      <c r="B27" t="s">
        <v>566</v>
      </c>
      <c r="C27" s="17" t="s">
        <v>353</v>
      </c>
      <c r="D27" s="17">
        <v>3</v>
      </c>
      <c r="E27">
        <v>0.2402</v>
      </c>
      <c r="F27">
        <v>0.42720000000000002</v>
      </c>
      <c r="G27">
        <v>9.6679999999999995E-3</v>
      </c>
      <c r="H27">
        <v>0</v>
      </c>
      <c r="I27">
        <v>0</v>
      </c>
      <c r="J27">
        <v>1</v>
      </c>
    </row>
    <row r="28" spans="2:10" hidden="1" x14ac:dyDescent="0.25">
      <c r="B28" t="s">
        <v>567</v>
      </c>
      <c r="C28" s="17" t="s">
        <v>353</v>
      </c>
      <c r="D28" s="17">
        <v>4</v>
      </c>
      <c r="E28">
        <v>0.15690000000000001</v>
      </c>
      <c r="F28">
        <v>0.36370000000000002</v>
      </c>
      <c r="G28">
        <v>6.2189999999999997E-3</v>
      </c>
      <c r="H28">
        <v>0</v>
      </c>
      <c r="I28">
        <v>0</v>
      </c>
      <c r="J28">
        <v>1</v>
      </c>
    </row>
    <row r="29" spans="2:10" hidden="1" x14ac:dyDescent="0.25">
      <c r="B29" t="s">
        <v>568</v>
      </c>
      <c r="C29" s="17" t="s">
        <v>353</v>
      </c>
      <c r="D29" s="17">
        <v>5</v>
      </c>
      <c r="E29">
        <v>0.12230000000000001</v>
      </c>
      <c r="F29">
        <v>0.3276</v>
      </c>
      <c r="G29">
        <v>6.8580000000000004E-3</v>
      </c>
      <c r="H29">
        <v>0</v>
      </c>
      <c r="I29">
        <v>0</v>
      </c>
      <c r="J29">
        <v>1</v>
      </c>
    </row>
    <row r="30" spans="2:10" hidden="1" x14ac:dyDescent="0.25">
      <c r="B30" t="s">
        <v>569</v>
      </c>
      <c r="C30" t="s">
        <v>353</v>
      </c>
      <c r="D30">
        <v>6</v>
      </c>
      <c r="E30">
        <v>9.1700000000000004E-2</v>
      </c>
      <c r="F30">
        <v>0.28860000000000002</v>
      </c>
      <c r="G30">
        <v>6.0939999999999996E-3</v>
      </c>
      <c r="H30">
        <v>0</v>
      </c>
      <c r="I30">
        <v>0</v>
      </c>
      <c r="J30">
        <v>1</v>
      </c>
    </row>
    <row r="31" spans="2:10" hidden="1" x14ac:dyDescent="0.25">
      <c r="B31" t="s">
        <v>570</v>
      </c>
      <c r="C31" t="s">
        <v>353</v>
      </c>
      <c r="D31">
        <v>7</v>
      </c>
      <c r="E31">
        <v>4.9169999999999998E-2</v>
      </c>
      <c r="F31">
        <v>0.2162</v>
      </c>
      <c r="G31">
        <v>4.3800000000000002E-3</v>
      </c>
      <c r="H31">
        <v>0</v>
      </c>
      <c r="I31">
        <v>0</v>
      </c>
      <c r="J31">
        <v>1</v>
      </c>
    </row>
    <row r="32" spans="2:10" hidden="1" x14ac:dyDescent="0.25">
      <c r="B32" t="s">
        <v>571</v>
      </c>
      <c r="C32" t="s">
        <v>353</v>
      </c>
      <c r="D32">
        <v>8</v>
      </c>
      <c r="E32">
        <v>1.627E-2</v>
      </c>
      <c r="F32">
        <v>0.1265</v>
      </c>
      <c r="G32">
        <v>1.8289999999999999E-3</v>
      </c>
      <c r="H32">
        <v>0</v>
      </c>
      <c r="I32">
        <v>0</v>
      </c>
      <c r="J32">
        <v>0</v>
      </c>
    </row>
    <row r="33" spans="2:10" hidden="1" x14ac:dyDescent="0.25">
      <c r="B33" t="s">
        <v>572</v>
      </c>
      <c r="C33" t="s">
        <v>353</v>
      </c>
      <c r="D33">
        <v>9</v>
      </c>
      <c r="E33">
        <v>6.0330000000000002E-3</v>
      </c>
      <c r="F33">
        <v>7.7439999999999995E-2</v>
      </c>
      <c r="G33">
        <v>1.206E-3</v>
      </c>
      <c r="H33">
        <v>0</v>
      </c>
      <c r="I33">
        <v>0</v>
      </c>
      <c r="J33">
        <v>0</v>
      </c>
    </row>
    <row r="34" spans="2:10" hidden="1" x14ac:dyDescent="0.25">
      <c r="B34" t="s">
        <v>573</v>
      </c>
      <c r="C34" t="s">
        <v>353</v>
      </c>
      <c r="D34">
        <v>10</v>
      </c>
      <c r="E34">
        <v>5.9999999999999995E-4</v>
      </c>
      <c r="F34">
        <v>2.4490000000000001E-2</v>
      </c>
      <c r="G34">
        <v>2.0900000000000001E-4</v>
      </c>
      <c r="H34">
        <v>0</v>
      </c>
      <c r="I34">
        <v>0</v>
      </c>
      <c r="J34">
        <v>0</v>
      </c>
    </row>
    <row r="35" spans="2:10" hidden="1" x14ac:dyDescent="0.25">
      <c r="B35" t="s">
        <v>574</v>
      </c>
      <c r="C35" t="s">
        <v>354</v>
      </c>
      <c r="D35">
        <v>1</v>
      </c>
      <c r="E35">
        <v>0.1216</v>
      </c>
      <c r="F35">
        <v>0.32679999999999998</v>
      </c>
      <c r="G35">
        <v>9.0299999999999998E-3</v>
      </c>
      <c r="H35">
        <v>0</v>
      </c>
      <c r="I35">
        <v>0</v>
      </c>
      <c r="J35">
        <v>1</v>
      </c>
    </row>
    <row r="36" spans="2:10" hidden="1" x14ac:dyDescent="0.25">
      <c r="B36" t="s">
        <v>575</v>
      </c>
      <c r="C36" t="s">
        <v>354</v>
      </c>
      <c r="D36">
        <v>2</v>
      </c>
      <c r="E36">
        <v>0.2051</v>
      </c>
      <c r="F36">
        <v>0.40379999999999999</v>
      </c>
      <c r="G36">
        <v>9.6270000000000001E-3</v>
      </c>
      <c r="H36">
        <v>0</v>
      </c>
      <c r="I36">
        <v>0</v>
      </c>
      <c r="J36">
        <v>1</v>
      </c>
    </row>
    <row r="37" spans="2:10" hidden="1" x14ac:dyDescent="0.25">
      <c r="B37" t="s">
        <v>576</v>
      </c>
      <c r="C37" t="s">
        <v>354</v>
      </c>
      <c r="D37">
        <v>3</v>
      </c>
      <c r="E37">
        <v>0.16159999999999999</v>
      </c>
      <c r="F37">
        <v>0.36809999999999998</v>
      </c>
      <c r="G37">
        <v>7.8440000000000003E-3</v>
      </c>
      <c r="H37">
        <v>0</v>
      </c>
      <c r="I37">
        <v>0</v>
      </c>
      <c r="J37">
        <v>1</v>
      </c>
    </row>
    <row r="38" spans="2:10" hidden="1" x14ac:dyDescent="0.25">
      <c r="B38" t="s">
        <v>577</v>
      </c>
      <c r="C38" t="s">
        <v>354</v>
      </c>
      <c r="D38">
        <v>4</v>
      </c>
      <c r="E38">
        <v>0.1328</v>
      </c>
      <c r="F38">
        <v>0.33939999999999998</v>
      </c>
      <c r="G38">
        <v>6.6100000000000004E-3</v>
      </c>
      <c r="H38">
        <v>0</v>
      </c>
      <c r="I38">
        <v>0</v>
      </c>
      <c r="J38">
        <v>1</v>
      </c>
    </row>
    <row r="39" spans="2:10" hidden="1" x14ac:dyDescent="0.25">
      <c r="B39" t="s">
        <v>578</v>
      </c>
      <c r="C39" t="s">
        <v>354</v>
      </c>
      <c r="D39">
        <v>5</v>
      </c>
      <c r="E39">
        <v>0.1099</v>
      </c>
      <c r="F39">
        <v>0.31269999999999998</v>
      </c>
      <c r="G39">
        <v>5.875E-3</v>
      </c>
      <c r="H39">
        <v>0</v>
      </c>
      <c r="I39">
        <v>0</v>
      </c>
      <c r="J39">
        <v>1</v>
      </c>
    </row>
    <row r="40" spans="2:10" hidden="1" x14ac:dyDescent="0.25">
      <c r="B40" t="s">
        <v>579</v>
      </c>
      <c r="C40" t="s">
        <v>354</v>
      </c>
      <c r="D40">
        <v>6</v>
      </c>
      <c r="E40">
        <v>0.1041</v>
      </c>
      <c r="F40">
        <v>0.3054</v>
      </c>
      <c r="G40">
        <v>6.1640000000000002E-3</v>
      </c>
      <c r="H40">
        <v>0</v>
      </c>
      <c r="I40">
        <v>0</v>
      </c>
      <c r="J40">
        <v>1</v>
      </c>
    </row>
    <row r="41" spans="2:10" hidden="1" x14ac:dyDescent="0.25">
      <c r="B41" t="s">
        <v>580</v>
      </c>
      <c r="C41" t="s">
        <v>354</v>
      </c>
      <c r="D41">
        <v>7</v>
      </c>
      <c r="E41">
        <v>8.2100000000000006E-2</v>
      </c>
      <c r="F41">
        <v>0.27450000000000002</v>
      </c>
      <c r="G41">
        <v>4.947E-3</v>
      </c>
      <c r="H41">
        <v>0</v>
      </c>
      <c r="I41">
        <v>0</v>
      </c>
      <c r="J41">
        <v>1</v>
      </c>
    </row>
    <row r="42" spans="2:10" hidden="1" x14ac:dyDescent="0.25">
      <c r="B42" t="s">
        <v>581</v>
      </c>
      <c r="C42" t="s">
        <v>354</v>
      </c>
      <c r="D42">
        <v>8</v>
      </c>
      <c r="E42">
        <v>4.9500000000000002E-2</v>
      </c>
      <c r="F42">
        <v>0.21690000000000001</v>
      </c>
      <c r="G42">
        <v>4.0010000000000002E-3</v>
      </c>
      <c r="H42">
        <v>0</v>
      </c>
      <c r="I42">
        <v>0</v>
      </c>
      <c r="J42">
        <v>1</v>
      </c>
    </row>
    <row r="43" spans="2:10" hidden="1" x14ac:dyDescent="0.25">
      <c r="B43" t="s">
        <v>582</v>
      </c>
      <c r="C43" t="s">
        <v>354</v>
      </c>
      <c r="D43">
        <v>9</v>
      </c>
      <c r="E43">
        <v>2.7300000000000001E-2</v>
      </c>
      <c r="F43">
        <v>0.16300000000000001</v>
      </c>
      <c r="G43">
        <v>3.1250000000000002E-3</v>
      </c>
      <c r="H43">
        <v>0</v>
      </c>
      <c r="I43">
        <v>0</v>
      </c>
      <c r="J43">
        <v>1</v>
      </c>
    </row>
    <row r="44" spans="2:10" hidden="1" x14ac:dyDescent="0.25">
      <c r="B44" t="s">
        <v>583</v>
      </c>
      <c r="C44" t="s">
        <v>354</v>
      </c>
      <c r="D44">
        <v>10</v>
      </c>
      <c r="E44">
        <v>5.8999999999999999E-3</v>
      </c>
      <c r="F44">
        <v>7.6579999999999995E-2</v>
      </c>
      <c r="G44">
        <v>8.9930000000000001E-4</v>
      </c>
      <c r="H44">
        <v>0</v>
      </c>
      <c r="I44">
        <v>0</v>
      </c>
      <c r="J44">
        <v>0</v>
      </c>
    </row>
    <row r="45" spans="2:10" hidden="1" x14ac:dyDescent="0.25">
      <c r="B45" t="s">
        <v>584</v>
      </c>
      <c r="C45" t="s">
        <v>355</v>
      </c>
      <c r="D45">
        <v>1</v>
      </c>
      <c r="E45">
        <v>0.1087</v>
      </c>
      <c r="F45">
        <v>0.31119999999999998</v>
      </c>
      <c r="G45">
        <v>7.7299999999999999E-3</v>
      </c>
      <c r="H45">
        <v>0</v>
      </c>
      <c r="I45">
        <v>0</v>
      </c>
      <c r="J45">
        <v>1</v>
      </c>
    </row>
    <row r="46" spans="2:10" hidden="1" x14ac:dyDescent="0.25">
      <c r="B46" t="s">
        <v>585</v>
      </c>
      <c r="C46" t="s">
        <v>355</v>
      </c>
      <c r="D46">
        <v>2</v>
      </c>
      <c r="E46">
        <v>0.1196</v>
      </c>
      <c r="F46">
        <v>0.32450000000000001</v>
      </c>
      <c r="G46">
        <v>7.8960000000000002E-3</v>
      </c>
      <c r="H46">
        <v>0</v>
      </c>
      <c r="I46">
        <v>0</v>
      </c>
      <c r="J46">
        <v>1</v>
      </c>
    </row>
    <row r="47" spans="2:10" hidden="1" x14ac:dyDescent="0.25">
      <c r="B47" t="s">
        <v>586</v>
      </c>
      <c r="C47" t="s">
        <v>355</v>
      </c>
      <c r="D47">
        <v>3</v>
      </c>
      <c r="E47">
        <v>6.9070000000000006E-2</v>
      </c>
      <c r="F47">
        <v>0.25359999999999999</v>
      </c>
      <c r="G47">
        <v>4.235E-3</v>
      </c>
      <c r="H47">
        <v>0</v>
      </c>
      <c r="I47">
        <v>0</v>
      </c>
      <c r="J47">
        <v>1</v>
      </c>
    </row>
    <row r="48" spans="2:10" hidden="1" x14ac:dyDescent="0.25">
      <c r="B48" t="s">
        <v>587</v>
      </c>
      <c r="C48" t="s">
        <v>355</v>
      </c>
      <c r="D48">
        <v>4</v>
      </c>
      <c r="E48">
        <v>6.3630000000000006E-2</v>
      </c>
      <c r="F48">
        <v>0.24410000000000001</v>
      </c>
      <c r="G48">
        <v>3.555E-3</v>
      </c>
      <c r="H48">
        <v>0</v>
      </c>
      <c r="I48">
        <v>0</v>
      </c>
      <c r="J48">
        <v>1</v>
      </c>
    </row>
    <row r="49" spans="2:10" hidden="1" x14ac:dyDescent="0.25">
      <c r="B49" t="s">
        <v>588</v>
      </c>
      <c r="C49" t="s">
        <v>355</v>
      </c>
      <c r="D49">
        <v>5</v>
      </c>
      <c r="E49">
        <v>6.3729999999999995E-2</v>
      </c>
      <c r="F49">
        <v>0.24429999999999999</v>
      </c>
      <c r="G49">
        <v>3.2569999999999999E-3</v>
      </c>
      <c r="H49">
        <v>0</v>
      </c>
      <c r="I49">
        <v>0</v>
      </c>
      <c r="J49">
        <v>1</v>
      </c>
    </row>
    <row r="50" spans="2:10" hidden="1" x14ac:dyDescent="0.25">
      <c r="B50" t="s">
        <v>589</v>
      </c>
      <c r="C50" t="s">
        <v>355</v>
      </c>
      <c r="D50">
        <v>6</v>
      </c>
      <c r="E50">
        <v>8.1030000000000005E-2</v>
      </c>
      <c r="F50">
        <v>0.27289999999999998</v>
      </c>
      <c r="G50">
        <v>4.3249999999999999E-3</v>
      </c>
      <c r="H50">
        <v>0</v>
      </c>
      <c r="I50">
        <v>0</v>
      </c>
      <c r="J50">
        <v>1</v>
      </c>
    </row>
    <row r="51" spans="2:10" hidden="1" x14ac:dyDescent="0.25">
      <c r="B51" t="s">
        <v>590</v>
      </c>
      <c r="C51" t="s">
        <v>355</v>
      </c>
      <c r="D51">
        <v>7</v>
      </c>
      <c r="E51">
        <v>0.10979999999999999</v>
      </c>
      <c r="F51">
        <v>0.31259999999999999</v>
      </c>
      <c r="G51">
        <v>5.9500000000000004E-3</v>
      </c>
      <c r="H51">
        <v>0</v>
      </c>
      <c r="I51">
        <v>0</v>
      </c>
      <c r="J51">
        <v>1</v>
      </c>
    </row>
    <row r="52" spans="2:10" hidden="1" x14ac:dyDescent="0.25">
      <c r="B52" t="s">
        <v>591</v>
      </c>
      <c r="C52" t="s">
        <v>355</v>
      </c>
      <c r="D52">
        <v>8</v>
      </c>
      <c r="E52">
        <v>0.14699999999999999</v>
      </c>
      <c r="F52">
        <v>0.35410000000000003</v>
      </c>
      <c r="G52">
        <v>8.0029999999999997E-3</v>
      </c>
      <c r="H52">
        <v>0</v>
      </c>
      <c r="I52">
        <v>0</v>
      </c>
      <c r="J52">
        <v>1</v>
      </c>
    </row>
    <row r="53" spans="2:10" hidden="1" x14ac:dyDescent="0.25">
      <c r="B53" t="s">
        <v>592</v>
      </c>
      <c r="C53" t="s">
        <v>355</v>
      </c>
      <c r="D53">
        <v>9</v>
      </c>
      <c r="E53">
        <v>0.15329999999999999</v>
      </c>
      <c r="F53">
        <v>0.36030000000000001</v>
      </c>
      <c r="G53">
        <v>8.6879999999999995E-3</v>
      </c>
      <c r="H53">
        <v>0</v>
      </c>
      <c r="I53">
        <v>0</v>
      </c>
      <c r="J53">
        <v>1</v>
      </c>
    </row>
    <row r="54" spans="2:10" hidden="1" x14ac:dyDescent="0.25">
      <c r="B54" t="s">
        <v>593</v>
      </c>
      <c r="C54" t="s">
        <v>355</v>
      </c>
      <c r="D54">
        <v>10</v>
      </c>
      <c r="E54">
        <v>8.4169999999999995E-2</v>
      </c>
      <c r="F54">
        <v>0.27760000000000001</v>
      </c>
      <c r="G54">
        <v>7.6490000000000004E-3</v>
      </c>
      <c r="H54">
        <v>0</v>
      </c>
      <c r="I54">
        <v>0</v>
      </c>
      <c r="J54">
        <v>1</v>
      </c>
    </row>
    <row r="55" spans="2:10" hidden="1" x14ac:dyDescent="0.25">
      <c r="B55" t="s">
        <v>594</v>
      </c>
      <c r="C55" t="s">
        <v>356</v>
      </c>
      <c r="D55">
        <v>1</v>
      </c>
      <c r="E55">
        <v>0.16900000000000001</v>
      </c>
      <c r="F55">
        <v>0.37480000000000002</v>
      </c>
      <c r="G55">
        <v>1.4370000000000001E-2</v>
      </c>
      <c r="H55">
        <v>0</v>
      </c>
      <c r="I55">
        <v>0</v>
      </c>
      <c r="J55">
        <v>1</v>
      </c>
    </row>
    <row r="56" spans="2:10" hidden="1" x14ac:dyDescent="0.25">
      <c r="B56" t="s">
        <v>595</v>
      </c>
      <c r="C56" t="s">
        <v>356</v>
      </c>
      <c r="D56">
        <v>2</v>
      </c>
      <c r="E56">
        <v>5.9929999999999997E-2</v>
      </c>
      <c r="F56">
        <v>0.2374</v>
      </c>
      <c r="G56">
        <v>4.2820000000000002E-3</v>
      </c>
      <c r="H56">
        <v>0</v>
      </c>
      <c r="I56">
        <v>0</v>
      </c>
      <c r="J56">
        <v>1</v>
      </c>
    </row>
    <row r="57" spans="2:10" hidden="1" x14ac:dyDescent="0.25">
      <c r="B57" t="s">
        <v>596</v>
      </c>
      <c r="C57" t="s">
        <v>356</v>
      </c>
      <c r="D57">
        <v>3</v>
      </c>
      <c r="E57">
        <v>3.8899999999999997E-2</v>
      </c>
      <c r="F57">
        <v>0.19339999999999999</v>
      </c>
      <c r="G57">
        <v>2.9169999999999999E-3</v>
      </c>
      <c r="H57">
        <v>0</v>
      </c>
      <c r="I57">
        <v>0</v>
      </c>
      <c r="J57">
        <v>1</v>
      </c>
    </row>
    <row r="58" spans="2:10" hidden="1" x14ac:dyDescent="0.25">
      <c r="B58" t="s">
        <v>597</v>
      </c>
      <c r="C58" t="s">
        <v>356</v>
      </c>
      <c r="D58">
        <v>4</v>
      </c>
      <c r="E58">
        <v>3.4299999999999997E-2</v>
      </c>
      <c r="F58">
        <v>0.182</v>
      </c>
      <c r="G58">
        <v>3.3570000000000002E-3</v>
      </c>
      <c r="H58">
        <v>0</v>
      </c>
      <c r="I58">
        <v>0</v>
      </c>
      <c r="J58">
        <v>1</v>
      </c>
    </row>
    <row r="59" spans="2:10" hidden="1" x14ac:dyDescent="0.25">
      <c r="B59" t="s">
        <v>598</v>
      </c>
      <c r="C59" t="s">
        <v>356</v>
      </c>
      <c r="D59">
        <v>5</v>
      </c>
      <c r="E59">
        <v>3.2530000000000003E-2</v>
      </c>
      <c r="F59">
        <v>0.1774</v>
      </c>
      <c r="G59">
        <v>2.2880000000000001E-3</v>
      </c>
      <c r="H59">
        <v>0</v>
      </c>
      <c r="I59">
        <v>0</v>
      </c>
      <c r="J59">
        <v>1</v>
      </c>
    </row>
    <row r="60" spans="2:10" hidden="1" x14ac:dyDescent="0.25">
      <c r="B60" t="s">
        <v>599</v>
      </c>
      <c r="C60" t="s">
        <v>356</v>
      </c>
      <c r="D60">
        <v>6</v>
      </c>
      <c r="E60">
        <v>4.6269999999999999E-2</v>
      </c>
      <c r="F60">
        <v>0.21010000000000001</v>
      </c>
      <c r="G60">
        <v>5.372E-3</v>
      </c>
      <c r="H60">
        <v>0</v>
      </c>
      <c r="I60">
        <v>0</v>
      </c>
      <c r="J60">
        <v>1</v>
      </c>
    </row>
    <row r="61" spans="2:10" hidden="1" x14ac:dyDescent="0.25">
      <c r="B61" t="s">
        <v>600</v>
      </c>
      <c r="C61" t="s">
        <v>356</v>
      </c>
      <c r="D61">
        <v>7</v>
      </c>
      <c r="E61">
        <v>5.5230000000000001E-2</v>
      </c>
      <c r="F61">
        <v>0.22839999999999999</v>
      </c>
      <c r="G61">
        <v>4.463E-3</v>
      </c>
      <c r="H61">
        <v>0</v>
      </c>
      <c r="I61">
        <v>0</v>
      </c>
      <c r="J61">
        <v>1</v>
      </c>
    </row>
    <row r="62" spans="2:10" hidden="1" x14ac:dyDescent="0.25">
      <c r="B62" t="s">
        <v>601</v>
      </c>
      <c r="C62" t="s">
        <v>356</v>
      </c>
      <c r="D62">
        <v>8</v>
      </c>
      <c r="E62">
        <v>8.9200000000000002E-2</v>
      </c>
      <c r="F62">
        <v>0.28499999999999998</v>
      </c>
      <c r="G62">
        <v>6.8890000000000002E-3</v>
      </c>
      <c r="H62">
        <v>0</v>
      </c>
      <c r="I62">
        <v>0</v>
      </c>
      <c r="J62">
        <v>1</v>
      </c>
    </row>
    <row r="63" spans="2:10" hidden="1" x14ac:dyDescent="0.25">
      <c r="B63" t="s">
        <v>602</v>
      </c>
      <c r="C63" t="s">
        <v>356</v>
      </c>
      <c r="D63">
        <v>9</v>
      </c>
      <c r="E63">
        <v>0.1338</v>
      </c>
      <c r="F63">
        <v>0.34039999999999998</v>
      </c>
      <c r="G63">
        <v>8.9569999999999997E-3</v>
      </c>
      <c r="H63">
        <v>0</v>
      </c>
      <c r="I63">
        <v>0</v>
      </c>
      <c r="J63">
        <v>1</v>
      </c>
    </row>
    <row r="64" spans="2:10" hidden="1" x14ac:dyDescent="0.25">
      <c r="B64" t="s">
        <v>603</v>
      </c>
      <c r="C64" t="s">
        <v>356</v>
      </c>
      <c r="D64">
        <v>10</v>
      </c>
      <c r="E64">
        <v>0.34079999999999999</v>
      </c>
      <c r="F64">
        <v>0.47399999999999998</v>
      </c>
      <c r="G64">
        <v>1.8550000000000001E-2</v>
      </c>
      <c r="H64">
        <v>0</v>
      </c>
      <c r="I64">
        <v>0</v>
      </c>
      <c r="J64">
        <v>1</v>
      </c>
    </row>
    <row r="65" spans="2:10" hidden="1" x14ac:dyDescent="0.25">
      <c r="B65" t="s">
        <v>604</v>
      </c>
      <c r="C65" t="s">
        <v>357</v>
      </c>
      <c r="D65">
        <v>1</v>
      </c>
      <c r="E65">
        <v>0.3518</v>
      </c>
      <c r="F65">
        <v>0.47749999999999998</v>
      </c>
      <c r="G65">
        <v>1.8870000000000001E-2</v>
      </c>
      <c r="H65">
        <v>0</v>
      </c>
      <c r="I65">
        <v>0</v>
      </c>
      <c r="J65">
        <v>1</v>
      </c>
    </row>
    <row r="66" spans="2:10" hidden="1" x14ac:dyDescent="0.25">
      <c r="B66" t="s">
        <v>605</v>
      </c>
      <c r="C66" t="s">
        <v>357</v>
      </c>
      <c r="D66">
        <v>2</v>
      </c>
      <c r="E66">
        <v>6.9830000000000003E-2</v>
      </c>
      <c r="F66">
        <v>0.25490000000000002</v>
      </c>
      <c r="G66">
        <v>4.8710000000000003E-3</v>
      </c>
      <c r="H66">
        <v>0</v>
      </c>
      <c r="I66">
        <v>0</v>
      </c>
      <c r="J66">
        <v>1</v>
      </c>
    </row>
    <row r="67" spans="2:10" hidden="1" x14ac:dyDescent="0.25">
      <c r="B67" t="s">
        <v>606</v>
      </c>
      <c r="C67" t="s">
        <v>357</v>
      </c>
      <c r="D67">
        <v>3</v>
      </c>
      <c r="E67">
        <v>4.5370000000000001E-2</v>
      </c>
      <c r="F67">
        <v>0.20810000000000001</v>
      </c>
      <c r="G67">
        <v>3.6319999999999998E-3</v>
      </c>
      <c r="H67">
        <v>0</v>
      </c>
      <c r="I67">
        <v>0</v>
      </c>
      <c r="J67">
        <v>1</v>
      </c>
    </row>
    <row r="68" spans="2:10" hidden="1" x14ac:dyDescent="0.25">
      <c r="B68" t="s">
        <v>607</v>
      </c>
      <c r="C68" t="s">
        <v>357</v>
      </c>
      <c r="D68">
        <v>4</v>
      </c>
      <c r="E68">
        <v>3.6299999999999999E-2</v>
      </c>
      <c r="F68">
        <v>0.187</v>
      </c>
      <c r="G68">
        <v>3.1700000000000001E-3</v>
      </c>
      <c r="H68">
        <v>0</v>
      </c>
      <c r="I68">
        <v>0</v>
      </c>
      <c r="J68">
        <v>1</v>
      </c>
    </row>
    <row r="69" spans="2:10" hidden="1" x14ac:dyDescent="0.25">
      <c r="B69" t="s">
        <v>608</v>
      </c>
      <c r="C69" t="s">
        <v>357</v>
      </c>
      <c r="D69">
        <v>5</v>
      </c>
      <c r="E69">
        <v>2.997E-2</v>
      </c>
      <c r="F69">
        <v>0.17050000000000001</v>
      </c>
      <c r="G69">
        <v>2.1879999999999998E-3</v>
      </c>
      <c r="H69">
        <v>0</v>
      </c>
      <c r="I69">
        <v>0</v>
      </c>
      <c r="J69">
        <v>1</v>
      </c>
    </row>
    <row r="70" spans="2:10" hidden="1" x14ac:dyDescent="0.25">
      <c r="B70" t="s">
        <v>609</v>
      </c>
      <c r="C70" t="s">
        <v>357</v>
      </c>
      <c r="D70">
        <v>6</v>
      </c>
      <c r="E70">
        <v>3.3869999999999997E-2</v>
      </c>
      <c r="F70">
        <v>0.18090000000000001</v>
      </c>
      <c r="G70">
        <v>2.392E-3</v>
      </c>
      <c r="H70">
        <v>0</v>
      </c>
      <c r="I70">
        <v>0</v>
      </c>
      <c r="J70">
        <v>1</v>
      </c>
    </row>
    <row r="71" spans="2:10" hidden="1" x14ac:dyDescent="0.25">
      <c r="B71" t="s">
        <v>610</v>
      </c>
      <c r="C71" t="s">
        <v>357</v>
      </c>
      <c r="D71">
        <v>7</v>
      </c>
      <c r="E71">
        <v>4.9500000000000002E-2</v>
      </c>
      <c r="F71">
        <v>0.21690000000000001</v>
      </c>
      <c r="G71">
        <v>4.9090000000000002E-3</v>
      </c>
      <c r="H71">
        <v>0</v>
      </c>
      <c r="I71">
        <v>0</v>
      </c>
      <c r="J71">
        <v>1</v>
      </c>
    </row>
    <row r="72" spans="2:10" hidden="1" x14ac:dyDescent="0.25">
      <c r="B72" t="s">
        <v>611</v>
      </c>
      <c r="C72" t="s">
        <v>357</v>
      </c>
      <c r="D72">
        <v>8</v>
      </c>
      <c r="E72">
        <v>6.5000000000000002E-2</v>
      </c>
      <c r="F72">
        <v>0.2465</v>
      </c>
      <c r="G72">
        <v>4.7340000000000004E-3</v>
      </c>
      <c r="H72">
        <v>0</v>
      </c>
      <c r="I72">
        <v>0</v>
      </c>
      <c r="J72">
        <v>1</v>
      </c>
    </row>
    <row r="73" spans="2:10" hidden="1" x14ac:dyDescent="0.25">
      <c r="B73" t="s">
        <v>612</v>
      </c>
      <c r="C73" t="s">
        <v>357</v>
      </c>
      <c r="D73">
        <v>9</v>
      </c>
      <c r="E73">
        <v>0.1067</v>
      </c>
      <c r="F73">
        <v>0.30869999999999997</v>
      </c>
      <c r="G73">
        <v>8.3890000000000006E-3</v>
      </c>
      <c r="H73">
        <v>0</v>
      </c>
      <c r="I73">
        <v>0</v>
      </c>
      <c r="J73">
        <v>1</v>
      </c>
    </row>
    <row r="74" spans="2:10" hidden="1" x14ac:dyDescent="0.25">
      <c r="B74" t="s">
        <v>613</v>
      </c>
      <c r="C74" t="s">
        <v>357</v>
      </c>
      <c r="D74">
        <v>10</v>
      </c>
      <c r="E74">
        <v>0.2117</v>
      </c>
      <c r="F74">
        <v>0.40849999999999997</v>
      </c>
      <c r="G74">
        <v>1.6879999999999999E-2</v>
      </c>
      <c r="H74">
        <v>0</v>
      </c>
      <c r="I74">
        <v>0</v>
      </c>
      <c r="J74">
        <v>1</v>
      </c>
    </row>
    <row r="75" spans="2:10" hidden="1" x14ac:dyDescent="0.25">
      <c r="B75" t="s">
        <v>614</v>
      </c>
      <c r="C75" t="s">
        <v>358</v>
      </c>
      <c r="D75">
        <v>1</v>
      </c>
      <c r="E75">
        <v>3.703E-2</v>
      </c>
      <c r="F75">
        <v>0.1888</v>
      </c>
      <c r="G75">
        <v>5.8710000000000004E-3</v>
      </c>
      <c r="H75">
        <v>0</v>
      </c>
      <c r="I75">
        <v>0</v>
      </c>
      <c r="J75">
        <v>1</v>
      </c>
    </row>
    <row r="76" spans="2:10" hidden="1" x14ac:dyDescent="0.25">
      <c r="B76" t="s">
        <v>615</v>
      </c>
      <c r="C76" t="s">
        <v>358</v>
      </c>
      <c r="D76">
        <v>2</v>
      </c>
      <c r="E76">
        <v>3.4070000000000003E-2</v>
      </c>
      <c r="F76">
        <v>0.18140000000000001</v>
      </c>
      <c r="G76">
        <v>3.4220000000000001E-3</v>
      </c>
      <c r="H76">
        <v>0</v>
      </c>
      <c r="I76">
        <v>0</v>
      </c>
      <c r="J76">
        <v>1</v>
      </c>
    </row>
    <row r="77" spans="2:10" hidden="1" x14ac:dyDescent="0.25">
      <c r="B77" t="s">
        <v>616</v>
      </c>
      <c r="C77" t="s">
        <v>358</v>
      </c>
      <c r="D77">
        <v>3</v>
      </c>
      <c r="E77">
        <v>2.9569999999999999E-2</v>
      </c>
      <c r="F77">
        <v>0.1694</v>
      </c>
      <c r="G77">
        <v>2.369E-3</v>
      </c>
      <c r="H77">
        <v>0</v>
      </c>
      <c r="I77">
        <v>0</v>
      </c>
      <c r="J77">
        <v>1</v>
      </c>
    </row>
    <row r="78" spans="2:10" hidden="1" x14ac:dyDescent="0.25">
      <c r="B78" t="s">
        <v>617</v>
      </c>
      <c r="C78" t="s">
        <v>358</v>
      </c>
      <c r="D78">
        <v>4</v>
      </c>
      <c r="E78">
        <v>4.2169999999999999E-2</v>
      </c>
      <c r="F78">
        <v>0.20100000000000001</v>
      </c>
      <c r="G78">
        <v>5.5659999999999998E-3</v>
      </c>
      <c r="H78">
        <v>0</v>
      </c>
      <c r="I78">
        <v>0</v>
      </c>
      <c r="J78">
        <v>1</v>
      </c>
    </row>
    <row r="79" spans="2:10" hidden="1" x14ac:dyDescent="0.25">
      <c r="B79" t="s">
        <v>618</v>
      </c>
      <c r="C79" t="s">
        <v>358</v>
      </c>
      <c r="D79">
        <v>5</v>
      </c>
      <c r="E79">
        <v>3.9570000000000001E-2</v>
      </c>
      <c r="F79">
        <v>0.19489999999999999</v>
      </c>
      <c r="G79">
        <v>3.4069999999999999E-3</v>
      </c>
      <c r="H79">
        <v>0</v>
      </c>
      <c r="I79">
        <v>0</v>
      </c>
      <c r="J79">
        <v>1</v>
      </c>
    </row>
    <row r="80" spans="2:10" hidden="1" x14ac:dyDescent="0.25">
      <c r="B80" t="s">
        <v>619</v>
      </c>
      <c r="C80" t="s">
        <v>358</v>
      </c>
      <c r="D80">
        <v>6</v>
      </c>
      <c r="E80">
        <v>4.7699999999999999E-2</v>
      </c>
      <c r="F80">
        <v>0.21310000000000001</v>
      </c>
      <c r="G80">
        <v>3.424E-3</v>
      </c>
      <c r="H80">
        <v>0</v>
      </c>
      <c r="I80">
        <v>0</v>
      </c>
      <c r="J80">
        <v>1</v>
      </c>
    </row>
    <row r="81" spans="2:10" hidden="1" x14ac:dyDescent="0.25">
      <c r="B81" t="s">
        <v>620</v>
      </c>
      <c r="C81" t="s">
        <v>358</v>
      </c>
      <c r="D81">
        <v>7</v>
      </c>
      <c r="E81">
        <v>6.7830000000000001E-2</v>
      </c>
      <c r="F81">
        <v>0.2515</v>
      </c>
      <c r="G81">
        <v>4.2649999999999997E-3</v>
      </c>
      <c r="H81">
        <v>0</v>
      </c>
      <c r="I81">
        <v>0</v>
      </c>
      <c r="J81">
        <v>1</v>
      </c>
    </row>
    <row r="82" spans="2:10" hidden="1" x14ac:dyDescent="0.25">
      <c r="B82" t="s">
        <v>621</v>
      </c>
      <c r="C82" t="s">
        <v>358</v>
      </c>
      <c r="D82">
        <v>8</v>
      </c>
      <c r="E82">
        <v>0.1452</v>
      </c>
      <c r="F82">
        <v>0.3523</v>
      </c>
      <c r="G82">
        <v>8.2609999999999992E-3</v>
      </c>
      <c r="H82">
        <v>0</v>
      </c>
      <c r="I82">
        <v>0</v>
      </c>
      <c r="J82">
        <v>1</v>
      </c>
    </row>
    <row r="83" spans="2:10" hidden="1" x14ac:dyDescent="0.25">
      <c r="B83" t="s">
        <v>622</v>
      </c>
      <c r="C83" t="s">
        <v>358</v>
      </c>
      <c r="D83">
        <v>9</v>
      </c>
      <c r="E83">
        <v>0.2772</v>
      </c>
      <c r="F83">
        <v>0.4476</v>
      </c>
      <c r="G83">
        <v>1.3350000000000001E-2</v>
      </c>
      <c r="H83">
        <v>0</v>
      </c>
      <c r="I83">
        <v>0</v>
      </c>
      <c r="J83">
        <v>1</v>
      </c>
    </row>
    <row r="84" spans="2:10" hidden="1" x14ac:dyDescent="0.25">
      <c r="B84" t="s">
        <v>623</v>
      </c>
      <c r="C84" t="s">
        <v>358</v>
      </c>
      <c r="D84">
        <v>10</v>
      </c>
      <c r="E84">
        <v>0.2797</v>
      </c>
      <c r="F84">
        <v>0.44890000000000002</v>
      </c>
      <c r="G84">
        <v>1.55E-2</v>
      </c>
      <c r="H84">
        <v>0</v>
      </c>
      <c r="I84">
        <v>0</v>
      </c>
      <c r="J84">
        <v>1</v>
      </c>
    </row>
    <row r="85" spans="2:10" hidden="1" x14ac:dyDescent="0.25">
      <c r="B85" t="s">
        <v>624</v>
      </c>
      <c r="C85" t="s">
        <v>359</v>
      </c>
      <c r="D85">
        <v>1</v>
      </c>
      <c r="E85">
        <v>8.2830000000000001E-2</v>
      </c>
      <c r="F85">
        <v>0.27560000000000001</v>
      </c>
      <c r="G85">
        <v>9.7439999999999992E-3</v>
      </c>
      <c r="H85">
        <v>0</v>
      </c>
      <c r="I85">
        <v>0</v>
      </c>
      <c r="J85">
        <v>1</v>
      </c>
    </row>
    <row r="86" spans="2:10" hidden="1" x14ac:dyDescent="0.25">
      <c r="B86" t="s">
        <v>625</v>
      </c>
      <c r="C86" t="s">
        <v>359</v>
      </c>
      <c r="D86">
        <v>2</v>
      </c>
      <c r="E86">
        <v>0.1163</v>
      </c>
      <c r="F86">
        <v>0.3206</v>
      </c>
      <c r="G86">
        <v>7.0749999999999997E-3</v>
      </c>
      <c r="H86">
        <v>0</v>
      </c>
      <c r="I86">
        <v>0</v>
      </c>
      <c r="J86">
        <v>1</v>
      </c>
    </row>
    <row r="87" spans="2:10" hidden="1" x14ac:dyDescent="0.25">
      <c r="B87" t="s">
        <v>626</v>
      </c>
      <c r="C87" t="s">
        <v>359</v>
      </c>
      <c r="D87">
        <v>3</v>
      </c>
      <c r="E87">
        <v>0.122</v>
      </c>
      <c r="F87">
        <v>0.32719999999999999</v>
      </c>
      <c r="G87">
        <v>5.4099999999999999E-3</v>
      </c>
      <c r="H87">
        <v>0</v>
      </c>
      <c r="I87">
        <v>0</v>
      </c>
      <c r="J87">
        <v>1</v>
      </c>
    </row>
    <row r="88" spans="2:10" hidden="1" x14ac:dyDescent="0.25">
      <c r="B88" t="s">
        <v>627</v>
      </c>
      <c r="C88" t="s">
        <v>359</v>
      </c>
      <c r="D88">
        <v>4</v>
      </c>
      <c r="E88">
        <v>0.13819999999999999</v>
      </c>
      <c r="F88">
        <v>0.34510000000000002</v>
      </c>
      <c r="G88">
        <v>5.9839999999999997E-3</v>
      </c>
      <c r="H88">
        <v>0</v>
      </c>
      <c r="I88">
        <v>0</v>
      </c>
      <c r="J88">
        <v>1</v>
      </c>
    </row>
    <row r="89" spans="2:10" hidden="1" x14ac:dyDescent="0.25">
      <c r="B89" t="s">
        <v>628</v>
      </c>
      <c r="C89" t="s">
        <v>359</v>
      </c>
      <c r="D89">
        <v>5</v>
      </c>
      <c r="E89">
        <v>0.1424</v>
      </c>
      <c r="F89">
        <v>0.34949999999999998</v>
      </c>
      <c r="G89">
        <v>6.4669999999999997E-3</v>
      </c>
      <c r="H89">
        <v>0</v>
      </c>
      <c r="I89">
        <v>0</v>
      </c>
      <c r="J89">
        <v>1</v>
      </c>
    </row>
    <row r="90" spans="2:10" hidden="1" x14ac:dyDescent="0.25">
      <c r="B90" t="s">
        <v>629</v>
      </c>
      <c r="C90" t="s">
        <v>359</v>
      </c>
      <c r="D90">
        <v>6</v>
      </c>
      <c r="E90">
        <v>0.16</v>
      </c>
      <c r="F90">
        <v>0.36659999999999998</v>
      </c>
      <c r="G90">
        <v>8.2450000000000006E-3</v>
      </c>
      <c r="H90">
        <v>0</v>
      </c>
      <c r="I90">
        <v>0</v>
      </c>
      <c r="J90">
        <v>1</v>
      </c>
    </row>
    <row r="91" spans="2:10" hidden="1" x14ac:dyDescent="0.25">
      <c r="B91" t="s">
        <v>630</v>
      </c>
      <c r="C91" t="s">
        <v>359</v>
      </c>
      <c r="D91">
        <v>7</v>
      </c>
      <c r="E91">
        <v>0.12540000000000001</v>
      </c>
      <c r="F91">
        <v>0.33110000000000001</v>
      </c>
      <c r="G91">
        <v>7.1500000000000001E-3</v>
      </c>
      <c r="H91">
        <v>0</v>
      </c>
      <c r="I91">
        <v>0</v>
      </c>
      <c r="J91">
        <v>1</v>
      </c>
    </row>
    <row r="92" spans="2:10" hidden="1" x14ac:dyDescent="0.25">
      <c r="B92" t="s">
        <v>631</v>
      </c>
      <c r="C92" t="s">
        <v>359</v>
      </c>
      <c r="D92">
        <v>8</v>
      </c>
      <c r="E92">
        <v>7.9670000000000005E-2</v>
      </c>
      <c r="F92">
        <v>0.27079999999999999</v>
      </c>
      <c r="G92">
        <v>6.6870000000000002E-3</v>
      </c>
      <c r="H92">
        <v>0</v>
      </c>
      <c r="I92">
        <v>0</v>
      </c>
      <c r="J92">
        <v>1</v>
      </c>
    </row>
    <row r="93" spans="2:10" hidden="1" x14ac:dyDescent="0.25">
      <c r="B93" t="s">
        <v>632</v>
      </c>
      <c r="C93" t="s">
        <v>359</v>
      </c>
      <c r="D93">
        <v>9</v>
      </c>
      <c r="E93">
        <v>2.7699999999999999E-2</v>
      </c>
      <c r="F93">
        <v>0.1641</v>
      </c>
      <c r="G93">
        <v>3.388E-3</v>
      </c>
      <c r="H93">
        <v>0</v>
      </c>
      <c r="I93">
        <v>0</v>
      </c>
      <c r="J93">
        <v>1</v>
      </c>
    </row>
    <row r="94" spans="2:10" hidden="1" x14ac:dyDescent="0.25">
      <c r="B94" t="s">
        <v>633</v>
      </c>
      <c r="C94" t="s">
        <v>359</v>
      </c>
      <c r="D94">
        <v>10</v>
      </c>
      <c r="E94">
        <v>5.5329999999999997E-3</v>
      </c>
      <c r="F94">
        <v>7.4179999999999996E-2</v>
      </c>
      <c r="G94">
        <v>1.1820000000000001E-3</v>
      </c>
      <c r="H94">
        <v>0</v>
      </c>
      <c r="I94">
        <v>0</v>
      </c>
      <c r="J94">
        <v>0</v>
      </c>
    </row>
    <row r="95" spans="2:10" hidden="1" x14ac:dyDescent="0.25">
      <c r="B95" t="s">
        <v>634</v>
      </c>
      <c r="C95" t="s">
        <v>360</v>
      </c>
      <c r="D95">
        <v>1</v>
      </c>
      <c r="E95">
        <v>1E-4</v>
      </c>
      <c r="F95">
        <v>9.9989999999999992E-3</v>
      </c>
      <c r="G95">
        <v>5.7739999999999999E-5</v>
      </c>
      <c r="H95">
        <v>0</v>
      </c>
      <c r="I95">
        <v>0</v>
      </c>
      <c r="J95">
        <v>0</v>
      </c>
    </row>
    <row r="96" spans="2:10" hidden="1" x14ac:dyDescent="0.25">
      <c r="B96" t="s">
        <v>635</v>
      </c>
      <c r="C96" t="s">
        <v>360</v>
      </c>
      <c r="D96">
        <v>2</v>
      </c>
      <c r="E96">
        <v>6.9999999999999999E-4</v>
      </c>
      <c r="F96">
        <v>2.6450000000000001E-2</v>
      </c>
      <c r="G96">
        <v>1.997E-4</v>
      </c>
      <c r="H96">
        <v>0</v>
      </c>
      <c r="I96">
        <v>0</v>
      </c>
      <c r="J96">
        <v>0</v>
      </c>
    </row>
    <row r="97" spans="2:10" hidden="1" x14ac:dyDescent="0.25">
      <c r="B97" t="s">
        <v>636</v>
      </c>
      <c r="C97" t="s">
        <v>360</v>
      </c>
      <c r="D97">
        <v>3</v>
      </c>
      <c r="E97">
        <v>2.7000000000000001E-3</v>
      </c>
      <c r="F97">
        <v>5.1889999999999999E-2</v>
      </c>
      <c r="G97">
        <v>5.7939999999999999E-4</v>
      </c>
      <c r="H97">
        <v>0</v>
      </c>
      <c r="I97">
        <v>0</v>
      </c>
      <c r="J97">
        <v>0</v>
      </c>
    </row>
    <row r="98" spans="2:10" hidden="1" x14ac:dyDescent="0.25">
      <c r="B98" t="s">
        <v>637</v>
      </c>
      <c r="C98" t="s">
        <v>360</v>
      </c>
      <c r="D98">
        <v>4</v>
      </c>
      <c r="E98">
        <v>1.2500000000000001E-2</v>
      </c>
      <c r="F98">
        <v>0.1111</v>
      </c>
      <c r="G98">
        <v>2.3140000000000001E-3</v>
      </c>
      <c r="H98">
        <v>0</v>
      </c>
      <c r="I98">
        <v>0</v>
      </c>
      <c r="J98">
        <v>0</v>
      </c>
    </row>
    <row r="99" spans="2:10" hidden="1" x14ac:dyDescent="0.25">
      <c r="B99" t="s">
        <v>638</v>
      </c>
      <c r="C99" t="s">
        <v>360</v>
      </c>
      <c r="D99">
        <v>5</v>
      </c>
      <c r="E99">
        <v>3.0530000000000002E-2</v>
      </c>
      <c r="F99">
        <v>0.17199999999999999</v>
      </c>
      <c r="G99">
        <v>2.9740000000000001E-3</v>
      </c>
      <c r="H99">
        <v>0</v>
      </c>
      <c r="I99">
        <v>0</v>
      </c>
      <c r="J99">
        <v>1</v>
      </c>
    </row>
    <row r="100" spans="2:10" hidden="1" x14ac:dyDescent="0.25">
      <c r="B100" t="s">
        <v>639</v>
      </c>
      <c r="C100" t="s">
        <v>360</v>
      </c>
      <c r="D100">
        <v>6</v>
      </c>
      <c r="E100">
        <v>9.1469999999999996E-2</v>
      </c>
      <c r="F100">
        <v>0.2883</v>
      </c>
      <c r="G100">
        <v>6.6689999999999996E-3</v>
      </c>
      <c r="H100">
        <v>0</v>
      </c>
      <c r="I100">
        <v>0</v>
      </c>
      <c r="J100">
        <v>1</v>
      </c>
    </row>
    <row r="101" spans="2:10" hidden="1" x14ac:dyDescent="0.25">
      <c r="B101" t="s">
        <v>640</v>
      </c>
      <c r="C101" t="s">
        <v>360</v>
      </c>
      <c r="D101">
        <v>7</v>
      </c>
      <c r="E101">
        <v>0.22739999999999999</v>
      </c>
      <c r="F101">
        <v>0.41920000000000002</v>
      </c>
      <c r="G101">
        <v>1.056E-2</v>
      </c>
      <c r="H101">
        <v>0</v>
      </c>
      <c r="I101">
        <v>0</v>
      </c>
      <c r="J101">
        <v>1</v>
      </c>
    </row>
    <row r="102" spans="2:10" hidden="1" x14ac:dyDescent="0.25">
      <c r="B102" t="s">
        <v>641</v>
      </c>
      <c r="C102" t="s">
        <v>360</v>
      </c>
      <c r="D102">
        <v>8</v>
      </c>
      <c r="E102">
        <v>0.31119999999999998</v>
      </c>
      <c r="F102">
        <v>0.46300000000000002</v>
      </c>
      <c r="G102">
        <v>1.1440000000000001E-2</v>
      </c>
      <c r="H102">
        <v>0</v>
      </c>
      <c r="I102">
        <v>0</v>
      </c>
      <c r="J102">
        <v>1</v>
      </c>
    </row>
    <row r="103" spans="2:10" hidden="1" x14ac:dyDescent="0.25">
      <c r="B103" t="s">
        <v>642</v>
      </c>
      <c r="C103" t="s">
        <v>360</v>
      </c>
      <c r="D103">
        <v>9</v>
      </c>
      <c r="E103">
        <v>0.25359999999999999</v>
      </c>
      <c r="F103">
        <v>0.43509999999999999</v>
      </c>
      <c r="G103">
        <v>1.321E-2</v>
      </c>
      <c r="H103">
        <v>0</v>
      </c>
      <c r="I103">
        <v>0</v>
      </c>
      <c r="J103">
        <v>1</v>
      </c>
    </row>
    <row r="104" spans="2:10" hidden="1" x14ac:dyDescent="0.25">
      <c r="B104" t="s">
        <v>643</v>
      </c>
      <c r="C104" t="s">
        <v>360</v>
      </c>
      <c r="D104">
        <v>10</v>
      </c>
      <c r="E104">
        <v>6.9800000000000001E-2</v>
      </c>
      <c r="F104">
        <v>0.25480000000000003</v>
      </c>
      <c r="G104">
        <v>6.4390000000000003E-3</v>
      </c>
      <c r="H104">
        <v>0</v>
      </c>
      <c r="I104">
        <v>0</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8 2018 10 10 45 AM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2018-02-08T14:11:33Z</dcterms:modified>
</cp:coreProperties>
</file>