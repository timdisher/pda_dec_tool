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August 2017 analyses\Outcome 2_Rpt Rx\"/>
    </mc:Choice>
  </mc:AlternateContent>
  <bookViews>
    <workbookView xWindow="0" yWindow="0" windowWidth="28800" windowHeight="12435" tabRatio="663" firstSheet="5" activeTab="7"/>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Rankogram!$C$15:$C$19</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R99" i="46"/>
  <c r="R98" i="46"/>
  <c r="R97" i="46"/>
  <c r="R96" i="46"/>
  <c r="R95" i="46"/>
  <c r="R94" i="46"/>
  <c r="R93" i="46"/>
  <c r="R92" i="46"/>
  <c r="R91" i="46"/>
  <c r="R90" i="46"/>
  <c r="R89" i="46"/>
  <c r="R88" i="46"/>
  <c r="R87" i="46"/>
  <c r="R86" i="46"/>
  <c r="R85" i="46"/>
  <c r="R84" i="46"/>
  <c r="R83" i="46"/>
  <c r="R82" i="46"/>
  <c r="R81" i="46"/>
  <c r="R80" i="46"/>
  <c r="R79"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7" i="20"/>
  <c r="K7" i="20"/>
  <c r="L5" i="20"/>
  <c r="K5" i="20"/>
  <c r="L33" i="20"/>
  <c r="K33" i="20"/>
  <c r="L39" i="20"/>
  <c r="K39" i="20"/>
  <c r="L14" i="20"/>
  <c r="K14" i="20"/>
  <c r="L26" i="20"/>
  <c r="K26" i="20"/>
  <c r="L9" i="20"/>
  <c r="K9" i="20"/>
  <c r="L16" i="20"/>
  <c r="K16" i="20"/>
  <c r="L6" i="20"/>
  <c r="K6" i="20"/>
  <c r="L12" i="20"/>
  <c r="K12" i="20"/>
  <c r="L23" i="20"/>
  <c r="K23" i="20"/>
  <c r="L11" i="20"/>
  <c r="K11" i="20"/>
  <c r="L25" i="20"/>
  <c r="K25" i="20"/>
  <c r="L17" i="20"/>
  <c r="K17" i="20"/>
  <c r="L22" i="20"/>
  <c r="K22" i="20"/>
  <c r="L38" i="20"/>
  <c r="K38" i="20"/>
  <c r="L24" i="20"/>
  <c r="K24" i="20"/>
  <c r="L34" i="20"/>
  <c r="K34" i="20"/>
  <c r="L30" i="20"/>
  <c r="K30" i="20"/>
  <c r="L8" i="20"/>
  <c r="K8" i="20"/>
  <c r="L28" i="20"/>
  <c r="K28" i="20"/>
  <c r="L29" i="20"/>
  <c r="K29" i="20"/>
  <c r="L37" i="20"/>
  <c r="K37" i="20"/>
  <c r="L21" i="20"/>
  <c r="K21" i="20"/>
  <c r="L27" i="20"/>
  <c r="K27" i="20"/>
  <c r="L10" i="20"/>
  <c r="K10" i="20"/>
  <c r="L36" i="20"/>
  <c r="K36" i="20"/>
  <c r="L18" i="20"/>
  <c r="K18" i="20"/>
  <c r="L31" i="20"/>
  <c r="K31" i="20"/>
  <c r="L15" i="20"/>
  <c r="K15" i="20"/>
  <c r="L35" i="20"/>
  <c r="K35" i="20"/>
  <c r="L40" i="20"/>
  <c r="K40" i="20"/>
  <c r="L32" i="20"/>
  <c r="K32" i="20"/>
  <c r="L20" i="20"/>
  <c r="K20" i="20"/>
  <c r="L13" i="20"/>
  <c r="K13" i="20"/>
  <c r="L19" i="20"/>
  <c r="K19"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49" i="27"/>
  <c r="K49" i="27"/>
  <c r="L48" i="27"/>
  <c r="K48" i="27"/>
  <c r="L47" i="27"/>
  <c r="K47" i="27"/>
  <c r="L46" i="27"/>
  <c r="K46" i="27"/>
  <c r="L45" i="27"/>
  <c r="K45" i="27"/>
  <c r="L44" i="27"/>
  <c r="K44" i="27"/>
  <c r="L43" i="27"/>
  <c r="K43" i="27"/>
  <c r="L42" i="27"/>
  <c r="K42" i="27"/>
  <c r="L41" i="27"/>
  <c r="K41" i="27"/>
  <c r="L24" i="27"/>
  <c r="K24" i="27"/>
  <c r="L36" i="27"/>
  <c r="K36" i="27"/>
  <c r="L13" i="27"/>
  <c r="K13" i="27"/>
  <c r="L5" i="27"/>
  <c r="K5" i="27"/>
  <c r="L11" i="27"/>
  <c r="K11" i="27"/>
  <c r="L7" i="27"/>
  <c r="K7" i="27"/>
  <c r="L14" i="27"/>
  <c r="K14" i="27"/>
  <c r="L29" i="27"/>
  <c r="K29" i="27"/>
  <c r="L19" i="27"/>
  <c r="K19" i="27"/>
  <c r="L39" i="27"/>
  <c r="K39" i="27"/>
  <c r="L34" i="27"/>
  <c r="K34" i="27"/>
  <c r="L37" i="27"/>
  <c r="K37" i="27"/>
  <c r="L27" i="27"/>
  <c r="K27" i="27"/>
  <c r="L32" i="27"/>
  <c r="K32" i="27"/>
  <c r="L12" i="27"/>
  <c r="K12" i="27"/>
  <c r="L33" i="27"/>
  <c r="K33" i="27"/>
  <c r="L15" i="27"/>
  <c r="K15" i="27"/>
  <c r="L9" i="27"/>
  <c r="K9" i="27"/>
  <c r="L6" i="27"/>
  <c r="K6" i="27"/>
  <c r="L16" i="27"/>
  <c r="K16" i="27"/>
  <c r="L26" i="27"/>
  <c r="K26" i="27"/>
  <c r="L25" i="27"/>
  <c r="K25" i="27"/>
  <c r="L21" i="27"/>
  <c r="K21" i="27"/>
  <c r="L35" i="27"/>
  <c r="K35" i="27"/>
  <c r="L23" i="27"/>
  <c r="K23" i="27"/>
  <c r="L8" i="27"/>
  <c r="K8" i="27"/>
  <c r="L18" i="27"/>
  <c r="K18" i="27"/>
  <c r="L20" i="27"/>
  <c r="K20" i="27"/>
  <c r="L28" i="27"/>
  <c r="K28" i="27"/>
  <c r="L31" i="27"/>
  <c r="K31" i="27"/>
  <c r="L38" i="27"/>
  <c r="K38" i="27"/>
  <c r="L10" i="27"/>
  <c r="K10" i="27"/>
  <c r="L30" i="27"/>
  <c r="K30" i="27"/>
  <c r="L17" i="27"/>
  <c r="K17" i="27"/>
  <c r="L40" i="27"/>
  <c r="K40" i="27"/>
  <c r="L22" i="27"/>
  <c r="K22"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49" i="12"/>
  <c r="K49" i="12"/>
  <c r="L48" i="12"/>
  <c r="K48" i="12"/>
  <c r="L47" i="12"/>
  <c r="K47" i="12"/>
  <c r="L46" i="12"/>
  <c r="K46" i="12"/>
  <c r="L45" i="12"/>
  <c r="K45" i="12"/>
  <c r="L44" i="12"/>
  <c r="K44" i="12"/>
  <c r="L43" i="12"/>
  <c r="K43" i="12"/>
  <c r="L42" i="12"/>
  <c r="K42" i="12"/>
  <c r="L41" i="12"/>
  <c r="K41" i="12"/>
  <c r="L32" i="12"/>
  <c r="K32" i="12"/>
  <c r="L34" i="12"/>
  <c r="K34" i="12"/>
  <c r="L10" i="12"/>
  <c r="K10" i="12"/>
  <c r="L35" i="12"/>
  <c r="K35" i="12"/>
  <c r="L13" i="12"/>
  <c r="K13" i="12"/>
  <c r="L5" i="12"/>
  <c r="K5" i="12"/>
  <c r="L36" i="12"/>
  <c r="K36" i="12"/>
  <c r="L21" i="12"/>
  <c r="K21" i="12"/>
  <c r="L14" i="12"/>
  <c r="K14" i="12"/>
  <c r="L11" i="12"/>
  <c r="K11" i="12"/>
  <c r="L37" i="12"/>
  <c r="K37" i="12"/>
  <c r="L25" i="12"/>
  <c r="K25" i="12"/>
  <c r="L18" i="12"/>
  <c r="K18" i="12"/>
  <c r="L17" i="12"/>
  <c r="K17" i="12"/>
  <c r="L6" i="12"/>
  <c r="K6" i="12"/>
  <c r="L24" i="12"/>
  <c r="K24" i="12"/>
  <c r="L9" i="12"/>
  <c r="K9" i="12"/>
  <c r="L30" i="12"/>
  <c r="K30" i="12"/>
  <c r="L26" i="12"/>
  <c r="K26" i="12"/>
  <c r="L38" i="12"/>
  <c r="K38" i="12"/>
  <c r="L12" i="12"/>
  <c r="K12" i="12"/>
  <c r="L19" i="12"/>
  <c r="K19" i="12"/>
  <c r="L23" i="12"/>
  <c r="K23" i="12"/>
  <c r="L39" i="12"/>
  <c r="K39" i="12"/>
  <c r="L40" i="12"/>
  <c r="K40" i="12"/>
  <c r="L29" i="12"/>
  <c r="K29" i="12"/>
  <c r="L31" i="12"/>
  <c r="K31" i="12"/>
  <c r="L15" i="12"/>
  <c r="K15" i="12"/>
  <c r="L16" i="12"/>
  <c r="K16" i="12"/>
  <c r="L28" i="12"/>
  <c r="K28" i="12"/>
  <c r="L33" i="12"/>
  <c r="K33" i="12"/>
  <c r="L22" i="12"/>
  <c r="K22" i="12"/>
  <c r="L20" i="12"/>
  <c r="K20" i="12"/>
  <c r="L8" i="12"/>
  <c r="K8" i="12"/>
  <c r="L7" i="12"/>
  <c r="K7" i="12"/>
  <c r="L27" i="12"/>
  <c r="K27"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15" i="24"/>
  <c r="E21" i="24"/>
  <c r="H20" i="24"/>
  <c r="G20" i="24"/>
  <c r="F20" i="24"/>
  <c r="E14" i="24"/>
  <c r="E20" i="24"/>
  <c r="H19" i="24"/>
  <c r="G19" i="24"/>
  <c r="F19" i="24"/>
  <c r="E13" i="24"/>
  <c r="E19" i="24"/>
  <c r="H12" i="24"/>
  <c r="H18" i="24"/>
  <c r="G12" i="24"/>
  <c r="G18" i="24"/>
  <c r="F12" i="24"/>
  <c r="F18" i="24"/>
  <c r="B18" i="39"/>
  <c r="B17" i="39"/>
  <c r="B16" i="39"/>
  <c r="B15" i="39"/>
  <c r="B14" i="39"/>
  <c r="B13" i="39"/>
  <c r="B12" i="39"/>
  <c r="B11" i="39"/>
  <c r="B10" i="39"/>
  <c r="B9" i="39"/>
  <c r="B8" i="39"/>
  <c r="B7" i="39"/>
  <c r="B6" i="39"/>
  <c r="B5" i="39"/>
  <c r="C18" i="39"/>
  <c r="C15" i="39"/>
  <c r="C16" i="39"/>
  <c r="C13" i="39"/>
  <c r="B4" i="39"/>
  <c r="C4" i="39"/>
  <c r="C5" i="39"/>
  <c r="C6" i="39"/>
  <c r="C7" i="39"/>
  <c r="C8" i="39"/>
  <c r="C9" i="39"/>
  <c r="C10" i="39"/>
  <c r="C11" i="39"/>
  <c r="C12" i="39"/>
  <c r="C17" i="39"/>
  <c r="C14"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I149" i="40"/>
  <c r="J124" i="40"/>
  <c r="J113" i="40"/>
  <c r="J149" i="40"/>
  <c r="J127" i="40"/>
  <c r="J118" i="40"/>
  <c r="J150" i="40"/>
  <c r="J115" i="40"/>
  <c r="J122" i="40"/>
  <c r="I146" i="40"/>
  <c r="K124" i="40"/>
  <c r="I136" i="40"/>
  <c r="I128" i="40"/>
  <c r="K130" i="40"/>
  <c r="I132" i="40"/>
  <c r="K144" i="40"/>
  <c r="I129" i="40"/>
  <c r="J140" i="40"/>
  <c r="I124" i="40"/>
  <c r="J111" i="40"/>
  <c r="K116" i="40"/>
  <c r="J146" i="40"/>
  <c r="I118" i="40"/>
  <c r="K113" i="40"/>
  <c r="K133" i="40"/>
  <c r="J121" i="40"/>
  <c r="J137" i="40"/>
  <c r="K128" i="40"/>
  <c r="K134" i="40"/>
  <c r="J147" i="40"/>
  <c r="K150" i="40"/>
  <c r="I145" i="40"/>
  <c r="J120" i="40"/>
  <c r="J134" i="40"/>
  <c r="I114" i="40"/>
  <c r="I125" i="40"/>
  <c r="J129" i="40"/>
  <c r="J133" i="40"/>
  <c r="K147" i="40"/>
  <c r="I116" i="40"/>
  <c r="K146" i="40"/>
  <c r="J125" i="40"/>
  <c r="K149" i="40"/>
  <c r="J144" i="40"/>
  <c r="I150" i="40"/>
  <c r="K135" i="40"/>
  <c r="K118" i="40"/>
  <c r="I113" i="40"/>
  <c r="K148" i="40"/>
  <c r="I138" i="40"/>
  <c r="K129" i="40"/>
  <c r="J123" i="40"/>
  <c r="J131" i="40"/>
  <c r="I140" i="40"/>
  <c r="K143" i="40"/>
  <c r="K137" i="40"/>
  <c r="K115" i="40"/>
  <c r="I144" i="40"/>
  <c r="J148" i="40"/>
  <c r="I117" i="40"/>
  <c r="I112" i="40"/>
  <c r="I130" i="40"/>
  <c r="I143" i="40"/>
  <c r="I111" i="40"/>
  <c r="I141" i="40"/>
  <c r="K122" i="40"/>
  <c r="J145" i="40"/>
  <c r="J128" i="40"/>
  <c r="K132" i="40"/>
  <c r="J112" i="40"/>
  <c r="I123" i="40"/>
  <c r="K114" i="40"/>
  <c r="I127" i="40"/>
  <c r="K142" i="40"/>
  <c r="I119" i="40"/>
  <c r="I134" i="40"/>
  <c r="K121" i="40"/>
  <c r="I121" i="40"/>
  <c r="J139" i="40"/>
  <c r="J141" i="40"/>
  <c r="I133" i="40"/>
  <c r="K117" i="40"/>
  <c r="K123" i="40"/>
  <c r="I131" i="40"/>
  <c r="I147" i="40"/>
  <c r="J130" i="40"/>
  <c r="K111" i="40"/>
  <c r="J126" i="40"/>
  <c r="J138" i="40"/>
  <c r="I122" i="40"/>
  <c r="K141" i="40"/>
  <c r="K120" i="40"/>
  <c r="J117" i="40"/>
  <c r="J114" i="40"/>
  <c r="K125" i="40"/>
  <c r="J132" i="40"/>
  <c r="K126" i="40"/>
  <c r="K127" i="40"/>
  <c r="K145" i="40"/>
  <c r="I120" i="40"/>
  <c r="J119" i="40"/>
  <c r="J142" i="40"/>
  <c r="K136" i="40"/>
  <c r="I142" i="40"/>
  <c r="I137" i="40"/>
  <c r="K140" i="40"/>
  <c r="I148" i="40"/>
  <c r="K139" i="40"/>
  <c r="I135" i="40"/>
  <c r="J116" i="40"/>
  <c r="K138" i="40"/>
  <c r="I139" i="40"/>
  <c r="I126" i="40"/>
  <c r="J135" i="40"/>
  <c r="J136" i="40"/>
  <c r="I115" i="40"/>
  <c r="J143" i="40"/>
  <c r="K131" i="40"/>
  <c r="K119" i="40"/>
  <c r="K112" i="40"/>
  <c r="C14" i="1"/>
  <c r="C5" i="1"/>
  <c r="C6" i="1"/>
  <c r="C7" i="1"/>
  <c r="C8" i="1"/>
  <c r="C9" i="1"/>
  <c r="C10" i="1"/>
  <c r="C11" i="1"/>
  <c r="C12" i="1"/>
  <c r="C13"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U99" i="46"/>
  <c r="T99" i="46"/>
  <c r="P99" i="46"/>
  <c r="O99" i="46"/>
  <c r="M99" i="46"/>
  <c r="H99" i="46"/>
  <c r="U98" i="46"/>
  <c r="T98" i="46"/>
  <c r="P98" i="46"/>
  <c r="O98" i="46"/>
  <c r="M98" i="46"/>
  <c r="H98" i="46"/>
  <c r="U97" i="46"/>
  <c r="T97" i="46"/>
  <c r="P97" i="46"/>
  <c r="O97" i="46"/>
  <c r="M97" i="46"/>
  <c r="H97" i="46"/>
  <c r="U96" i="46"/>
  <c r="T96" i="46"/>
  <c r="P96" i="46"/>
  <c r="O96" i="46"/>
  <c r="M96" i="46"/>
  <c r="H96" i="46"/>
  <c r="U95" i="46"/>
  <c r="T95" i="46"/>
  <c r="P95" i="46"/>
  <c r="O95" i="46"/>
  <c r="M95" i="46"/>
  <c r="H95" i="46"/>
  <c r="U94" i="46"/>
  <c r="T94" i="46"/>
  <c r="P94" i="46"/>
  <c r="O94" i="46"/>
  <c r="M94" i="46"/>
  <c r="H94" i="46"/>
  <c r="U93" i="46"/>
  <c r="T93" i="46"/>
  <c r="P93" i="46"/>
  <c r="O93" i="46"/>
  <c r="M93" i="46"/>
  <c r="H93" i="46"/>
  <c r="U92" i="46"/>
  <c r="T92" i="46"/>
  <c r="P92" i="46"/>
  <c r="O92" i="46"/>
  <c r="M92" i="46"/>
  <c r="H92" i="46"/>
  <c r="U91" i="46"/>
  <c r="T91" i="46"/>
  <c r="P91" i="46"/>
  <c r="O91" i="46"/>
  <c r="M91" i="46"/>
  <c r="H91" i="46"/>
  <c r="U90" i="46"/>
  <c r="T90" i="46"/>
  <c r="P90" i="46"/>
  <c r="O90" i="46"/>
  <c r="M90" i="46"/>
  <c r="H90" i="46"/>
  <c r="U89" i="46"/>
  <c r="T89" i="46"/>
  <c r="P89" i="46"/>
  <c r="O89" i="46"/>
  <c r="M89" i="46"/>
  <c r="H89" i="46"/>
  <c r="U88" i="46"/>
  <c r="T88" i="46"/>
  <c r="P88" i="46"/>
  <c r="O88" i="46"/>
  <c r="M88" i="46"/>
  <c r="H88" i="46"/>
  <c r="U87" i="46"/>
  <c r="T87" i="46"/>
  <c r="P87" i="46"/>
  <c r="O87" i="46"/>
  <c r="M87" i="46"/>
  <c r="H87" i="46"/>
  <c r="U86" i="46"/>
  <c r="T86" i="46"/>
  <c r="P86" i="46"/>
  <c r="O86" i="46"/>
  <c r="M86" i="46"/>
  <c r="H86" i="46"/>
  <c r="U85" i="46"/>
  <c r="T85" i="46"/>
  <c r="P85" i="46"/>
  <c r="O85" i="46"/>
  <c r="M85" i="46"/>
  <c r="H85" i="46"/>
  <c r="U84" i="46"/>
  <c r="T84" i="46"/>
  <c r="P84" i="46"/>
  <c r="O84" i="46"/>
  <c r="M84" i="46"/>
  <c r="H84" i="46"/>
  <c r="U83" i="46"/>
  <c r="T83" i="46"/>
  <c r="P83" i="46"/>
  <c r="O83" i="46"/>
  <c r="M83" i="46"/>
  <c r="H83" i="46"/>
  <c r="U82" i="46"/>
  <c r="T82" i="46"/>
  <c r="P82" i="46"/>
  <c r="O82" i="46"/>
  <c r="M82" i="46"/>
  <c r="H82" i="46"/>
  <c r="U81" i="46"/>
  <c r="T81" i="46"/>
  <c r="P81" i="46"/>
  <c r="O81" i="46"/>
  <c r="M81" i="46"/>
  <c r="H81" i="46"/>
  <c r="U80" i="46"/>
  <c r="T80" i="46"/>
  <c r="P80" i="46"/>
  <c r="O80" i="46"/>
  <c r="M80" i="46"/>
  <c r="H80" i="46"/>
  <c r="U79" i="46"/>
  <c r="T79" i="46"/>
  <c r="P79" i="46"/>
  <c r="O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K92" i="40"/>
  <c r="I77" i="40"/>
  <c r="I67" i="40"/>
  <c r="K28" i="40"/>
  <c r="I58" i="40"/>
  <c r="J5" i="40"/>
  <c r="I49" i="40"/>
  <c r="I19" i="40"/>
  <c r="K75" i="40"/>
  <c r="I46" i="40"/>
  <c r="J80" i="40"/>
  <c r="J9" i="40"/>
  <c r="J69" i="40"/>
  <c r="J6" i="40"/>
  <c r="K6" i="40"/>
  <c r="I33" i="40"/>
  <c r="I20" i="40"/>
  <c r="K34" i="40"/>
  <c r="I7" i="40"/>
  <c r="J34" i="40"/>
  <c r="K19" i="40"/>
  <c r="J41" i="40"/>
  <c r="J37" i="40"/>
  <c r="I99" i="40"/>
  <c r="I5" i="40"/>
  <c r="I14" i="40"/>
  <c r="I17" i="40"/>
  <c r="K29" i="40"/>
  <c r="J91" i="40"/>
  <c r="J58" i="40"/>
  <c r="K44" i="40"/>
  <c r="I83" i="40"/>
  <c r="J56" i="40"/>
  <c r="I32" i="40"/>
  <c r="J102" i="40"/>
  <c r="I39" i="40"/>
  <c r="K13" i="40"/>
  <c r="K17" i="40"/>
  <c r="K76" i="40"/>
  <c r="K57" i="40"/>
  <c r="J85" i="40"/>
  <c r="J59" i="40"/>
  <c r="K32" i="40"/>
  <c r="I18" i="40"/>
  <c r="K85" i="40"/>
  <c r="K70" i="40"/>
  <c r="K100" i="40"/>
  <c r="J42" i="40"/>
  <c r="J11" i="40"/>
  <c r="J96" i="40"/>
  <c r="I53" i="40"/>
  <c r="K51" i="40"/>
  <c r="K65" i="40"/>
  <c r="I43" i="40"/>
  <c r="J100" i="40"/>
  <c r="J94" i="40"/>
  <c r="I88" i="40"/>
  <c r="K40" i="40"/>
  <c r="J71" i="40"/>
  <c r="K31" i="40"/>
  <c r="K49" i="40"/>
  <c r="I13" i="40"/>
  <c r="I74" i="40"/>
  <c r="K107" i="40"/>
  <c r="K91" i="40"/>
  <c r="J30" i="40"/>
  <c r="K50" i="40"/>
  <c r="K38" i="40"/>
  <c r="K108" i="40"/>
  <c r="I50" i="40"/>
  <c r="K69" i="40"/>
  <c r="K82" i="40"/>
  <c r="J98" i="40"/>
  <c r="I9" i="40"/>
  <c r="I28" i="40"/>
  <c r="J65" i="40"/>
  <c r="J63" i="40"/>
  <c r="I89" i="40"/>
  <c r="J7" i="40"/>
  <c r="I34" i="40"/>
  <c r="J48" i="40"/>
  <c r="J18" i="40"/>
  <c r="I65" i="40"/>
  <c r="K21" i="40"/>
  <c r="J23" i="40"/>
  <c r="K58" i="40"/>
  <c r="I85" i="40"/>
  <c r="J10" i="40"/>
  <c r="I21" i="40"/>
  <c r="J25" i="40"/>
  <c r="I76" i="40"/>
  <c r="J70" i="40"/>
  <c r="J74" i="40"/>
  <c r="K46" i="40"/>
  <c r="J108" i="40"/>
  <c r="J47" i="40"/>
  <c r="K11" i="40"/>
  <c r="I84" i="40"/>
  <c r="J79" i="40"/>
  <c r="J60" i="40"/>
  <c r="J72" i="40"/>
  <c r="I59" i="40"/>
  <c r="J36" i="40"/>
  <c r="J22" i="40"/>
  <c r="I24" i="40"/>
  <c r="J57" i="40"/>
  <c r="K105" i="40"/>
  <c r="I66" i="40"/>
  <c r="I73" i="40"/>
  <c r="K43" i="40"/>
  <c r="J49" i="40"/>
  <c r="K77" i="40"/>
  <c r="J32" i="40"/>
  <c r="I51" i="40"/>
  <c r="I72" i="40"/>
  <c r="I95" i="40"/>
  <c r="I86" i="40"/>
  <c r="J78" i="40"/>
  <c r="K12" i="40"/>
  <c r="J55" i="40"/>
  <c r="I56" i="40"/>
  <c r="K18" i="40"/>
  <c r="K102" i="40"/>
  <c r="J33" i="40"/>
  <c r="I29" i="40"/>
  <c r="J8" i="40"/>
  <c r="J15" i="40"/>
  <c r="K89" i="40"/>
  <c r="K52" i="40"/>
  <c r="I27" i="40"/>
  <c r="J76" i="40"/>
  <c r="K47" i="40"/>
  <c r="K106" i="40"/>
  <c r="J101" i="40"/>
  <c r="J38" i="40"/>
  <c r="I107" i="40"/>
  <c r="J51" i="40"/>
  <c r="J104" i="40"/>
  <c r="J62" i="40"/>
  <c r="I54" i="40"/>
  <c r="K62" i="40"/>
  <c r="J83" i="40"/>
  <c r="I69" i="40"/>
  <c r="K15" i="40"/>
  <c r="K81" i="40"/>
  <c r="J20" i="40"/>
  <c r="K59" i="40"/>
  <c r="K72" i="40"/>
  <c r="J88" i="40"/>
  <c r="I35" i="40"/>
  <c r="I48" i="40"/>
  <c r="K86" i="40"/>
  <c r="J105" i="40"/>
  <c r="J66" i="40"/>
  <c r="K93" i="40"/>
  <c r="I42" i="40"/>
  <c r="J64" i="40"/>
  <c r="K67" i="40"/>
  <c r="K87" i="40"/>
  <c r="I64" i="40"/>
  <c r="I12" i="40"/>
  <c r="K36" i="40"/>
  <c r="J92" i="40"/>
  <c r="I96" i="40"/>
  <c r="J26" i="40"/>
  <c r="I80" i="40"/>
  <c r="J35" i="40"/>
  <c r="K101" i="40"/>
  <c r="I105" i="40"/>
  <c r="J73" i="40"/>
  <c r="K16" i="40"/>
  <c r="J28" i="40"/>
  <c r="K61" i="40"/>
  <c r="J19" i="40"/>
  <c r="I22" i="40"/>
  <c r="I100" i="40"/>
  <c r="K39" i="40"/>
  <c r="K26" i="40"/>
  <c r="K109" i="40"/>
  <c r="J81" i="40"/>
  <c r="I55" i="40"/>
  <c r="J16" i="40"/>
  <c r="J87" i="40"/>
  <c r="K42" i="40"/>
  <c r="K9" i="40"/>
  <c r="J44" i="40"/>
  <c r="K71" i="40"/>
  <c r="K48" i="40"/>
  <c r="I109" i="40"/>
  <c r="K79" i="40"/>
  <c r="K5" i="40"/>
  <c r="K99" i="40"/>
  <c r="I37" i="40"/>
  <c r="J29" i="40"/>
  <c r="J61" i="40"/>
  <c r="I104" i="40"/>
  <c r="K24" i="40"/>
  <c r="I97" i="40"/>
  <c r="I63" i="40"/>
  <c r="K56" i="40"/>
  <c r="J103" i="40"/>
  <c r="J21" i="40"/>
  <c r="K35" i="40"/>
  <c r="J17" i="40"/>
  <c r="J82" i="40"/>
  <c r="I31" i="40"/>
  <c r="J109" i="40"/>
  <c r="J14" i="40"/>
  <c r="I36" i="40"/>
  <c r="K30" i="40"/>
  <c r="J54" i="40"/>
  <c r="J67" i="40"/>
  <c r="J107" i="40"/>
  <c r="K53" i="40"/>
  <c r="K14" i="40"/>
  <c r="I70" i="40"/>
  <c r="K84" i="40"/>
  <c r="K54" i="40"/>
  <c r="I61" i="40"/>
  <c r="I68" i="40"/>
  <c r="J52" i="40"/>
  <c r="J12" i="40"/>
  <c r="K78" i="40"/>
  <c r="I62" i="40"/>
  <c r="I93" i="40"/>
  <c r="K98" i="40"/>
  <c r="I91" i="40"/>
  <c r="K25" i="40"/>
  <c r="J39" i="40"/>
  <c r="I40" i="40"/>
  <c r="K7" i="40"/>
  <c r="I79" i="40"/>
  <c r="I45" i="40"/>
  <c r="I90" i="40"/>
  <c r="I110" i="40"/>
  <c r="K103" i="40"/>
  <c r="J45" i="40"/>
  <c r="I52" i="40"/>
  <c r="J99" i="40"/>
  <c r="K66" i="40"/>
  <c r="J93" i="40"/>
  <c r="J27" i="40"/>
  <c r="I26" i="40"/>
  <c r="K63" i="40"/>
  <c r="I16" i="40"/>
  <c r="K60" i="40"/>
  <c r="K20" i="40"/>
  <c r="K64" i="40"/>
  <c r="J31" i="40"/>
  <c r="K90" i="40"/>
  <c r="J106" i="40"/>
  <c r="I82" i="40"/>
  <c r="K22" i="40"/>
  <c r="I30" i="40"/>
  <c r="K45" i="40"/>
  <c r="J77" i="40"/>
  <c r="I103" i="40"/>
  <c r="I78" i="40"/>
  <c r="K95" i="40"/>
  <c r="K8" i="40"/>
  <c r="K68" i="40"/>
  <c r="K104" i="40"/>
  <c r="K23" i="40"/>
  <c r="I41" i="40"/>
  <c r="J84" i="40"/>
  <c r="K10" i="40"/>
  <c r="J86" i="40"/>
  <c r="J90" i="40"/>
  <c r="I94" i="40"/>
  <c r="I25" i="40"/>
  <c r="I75" i="40"/>
  <c r="I81" i="40"/>
  <c r="K97" i="40"/>
  <c r="J110" i="40"/>
  <c r="I92" i="40"/>
  <c r="I87" i="40"/>
  <c r="I71" i="40"/>
  <c r="J46" i="40"/>
  <c r="K88" i="40"/>
  <c r="I102" i="40"/>
  <c r="I47" i="40"/>
  <c r="K96" i="40"/>
  <c r="J24" i="40"/>
  <c r="K94" i="40"/>
  <c r="K80" i="40"/>
  <c r="K33" i="40"/>
  <c r="I57" i="40"/>
  <c r="K83" i="40"/>
  <c r="J97" i="40"/>
  <c r="K41" i="40"/>
  <c r="J43" i="40"/>
  <c r="I108" i="40"/>
  <c r="I23" i="40"/>
  <c r="I44" i="40"/>
  <c r="J89" i="40"/>
  <c r="J40" i="40"/>
  <c r="I101" i="40"/>
  <c r="I6" i="40"/>
  <c r="J95" i="40"/>
  <c r="K37" i="40"/>
  <c r="K73" i="40"/>
  <c r="I11" i="40"/>
  <c r="I8" i="40"/>
  <c r="J75" i="40"/>
  <c r="I60" i="40"/>
  <c r="I10" i="40"/>
  <c r="K55" i="40"/>
  <c r="J50" i="40"/>
  <c r="J53" i="40"/>
  <c r="K27" i="40"/>
  <c r="I38" i="40"/>
  <c r="I15" i="40"/>
  <c r="J68" i="40"/>
  <c r="I98" i="40"/>
  <c r="I106" i="40"/>
  <c r="J13" i="40"/>
  <c r="K110" i="40"/>
  <c r="K74" i="40"/>
  <c r="U34" i="46"/>
  <c r="U46" i="46"/>
  <c r="Q31" i="46"/>
  <c r="Q27" i="46"/>
  <c r="Q15" i="46"/>
  <c r="Q19" i="46"/>
  <c r="Q11" i="46"/>
  <c r="Q23" i="46"/>
  <c r="Q32" i="46"/>
  <c r="S32" i="46"/>
  <c r="T32" i="46"/>
  <c r="U32" i="46"/>
  <c r="Q33" i="46"/>
  <c r="S33" i="46"/>
  <c r="T33" i="46"/>
  <c r="U33" i="46"/>
  <c r="Q34" i="46"/>
  <c r="S34" i="46"/>
  <c r="T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Q80" i="46"/>
  <c r="S80" i="46"/>
  <c r="Q81" i="46"/>
  <c r="S81" i="46"/>
  <c r="Q82" i="46"/>
  <c r="S82" i="46"/>
  <c r="Q83" i="46"/>
  <c r="S83" i="46"/>
  <c r="Q84" i="46"/>
  <c r="S84" i="46"/>
  <c r="Q85" i="46"/>
  <c r="S85" i="46"/>
  <c r="Q86" i="46"/>
  <c r="S86" i="46"/>
  <c r="Q87" i="46"/>
  <c r="S87" i="46"/>
  <c r="Q88" i="46"/>
  <c r="S88" i="46"/>
  <c r="Q89" i="46"/>
  <c r="S89" i="46"/>
  <c r="Q90" i="46"/>
  <c r="S90" i="46"/>
  <c r="Q91" i="46"/>
  <c r="S91" i="46"/>
  <c r="Q92" i="46"/>
  <c r="S92" i="46"/>
  <c r="Q93" i="46"/>
  <c r="S93" i="46"/>
  <c r="Q94" i="46"/>
  <c r="S94" i="46"/>
  <c r="Q95" i="46"/>
  <c r="S95" i="46"/>
  <c r="Q96" i="46"/>
  <c r="S96" i="46"/>
  <c r="Q97" i="46"/>
  <c r="S97" i="46"/>
  <c r="Q98" i="46"/>
  <c r="S98" i="46"/>
  <c r="Q99" i="46"/>
  <c r="S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K4" i="2"/>
  <c r="M4" i="2"/>
  <c r="O4" i="2"/>
  <c r="Q4" i="2"/>
  <c r="S4" i="2"/>
  <c r="U4" i="2"/>
  <c r="W4" i="2"/>
  <c r="Y4" i="2"/>
  <c r="AA4" i="2"/>
  <c r="AC4" i="2"/>
  <c r="AE4" i="2"/>
  <c r="AG4" i="2"/>
  <c r="E5" i="23"/>
  <c r="C4" i="2"/>
  <c r="E12" i="48"/>
  <c r="C3" i="2"/>
  <c r="E7" i="48"/>
  <c r="E11" i="48"/>
  <c r="C2" i="2"/>
  <c r="J34" i="48"/>
  <c r="J24" i="48"/>
  <c r="J38" i="48"/>
  <c r="J33" i="48"/>
  <c r="E15" i="48"/>
  <c r="I27" i="48"/>
  <c r="J29" i="48"/>
  <c r="I34" i="48"/>
  <c r="J25" i="48"/>
  <c r="J28" i="48"/>
  <c r="J36" i="48"/>
  <c r="J26" i="48"/>
  <c r="E17" i="48"/>
  <c r="J31" i="48"/>
  <c r="J35" i="48"/>
  <c r="J37" i="48"/>
  <c r="J32" i="48"/>
  <c r="J27" i="48"/>
  <c r="I32" i="48"/>
  <c r="J30" i="48"/>
  <c r="I25" i="48"/>
  <c r="I36" i="48"/>
  <c r="I28" i="48"/>
  <c r="I24" i="48"/>
  <c r="I33" i="48"/>
  <c r="I29" i="48"/>
  <c r="I37" i="48"/>
  <c r="I31" i="48"/>
  <c r="I38" i="48"/>
  <c r="I30" i="48"/>
  <c r="I35" i="48"/>
  <c r="I2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alcChain>
</file>

<file path=xl/sharedStrings.xml><?xml version="1.0" encoding="utf-8"?>
<sst xmlns="http://schemas.openxmlformats.org/spreadsheetml/2006/main" count="3094" uniqueCount="834">
  <si>
    <t>r[,1]</t>
  </si>
  <si>
    <t>n[,1]</t>
  </si>
  <si>
    <t>r[,2]</t>
  </si>
  <si>
    <t>n[,2]</t>
  </si>
  <si>
    <t>t[,1]</t>
  </si>
  <si>
    <t>t[,2]</t>
  </si>
  <si>
    <t>na[]</t>
  </si>
  <si>
    <t>Treatment ID</t>
  </si>
  <si>
    <t>Drug</t>
  </si>
  <si>
    <t>Study #</t>
  </si>
  <si>
    <t>Study Name</t>
  </si>
  <si>
    <t># of Events</t>
  </si>
  <si>
    <t># of Patients</t>
  </si>
  <si>
    <t>Legend</t>
  </si>
  <si>
    <t>Number of Studies</t>
  </si>
  <si>
    <t>Number of Treatments</t>
  </si>
  <si>
    <t>NA</t>
  </si>
  <si>
    <t>END</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</si>
  <si>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</si>
  <si>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</si>
  <si>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</si>
  <si>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</si>
  <si>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</si>
  <si>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</si>
  <si>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</si>
  <si>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</si>
  <si>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</si>
  <si>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</si>
  <si>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</si>
  <si>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</si>
  <si>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</si>
  <si>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</si>
  <si>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</si>
  <si>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</si>
  <si>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</si>
  <si>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</si>
  <si>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</si>
  <si>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</si>
  <si>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</si>
  <si>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</si>
  <si>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</si>
  <si>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</si>
  <si>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</si>
  <si>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</si>
  <si>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</si>
  <si>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</si>
  <si>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</si>
  <si>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</si>
  <si>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</si>
  <si>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</si>
  <si>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</si>
  <si>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</si>
  <si>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</si>
  <si>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</si>
  <si>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</si>
  <si>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</si>
  <si>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</si>
  <si>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</si>
  <si>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</si>
  <si>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</si>
  <si>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</si>
  <si>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</si>
  <si>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</si>
  <si>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</si>
  <si>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</si>
  <si>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</si>
  <si>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</si>
  <si>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</si>
  <si>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</si>
  <si>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</si>
  <si>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</si>
  <si>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</si>
  <si>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</si>
  <si>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</si>
  <si>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</si>
  <si>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</si>
  <si>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</si>
  <si>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</si>
  <si>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</si>
  <si>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</si>
  <si>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</si>
  <si>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</si>
  <si>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</si>
  <si>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</si>
  <si>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</si>
  <si>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</si>
  <si>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</si>
  <si>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</si>
  <si>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</si>
  <si>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</si>
  <si>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</si>
  <si>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</si>
  <si>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</si>
  <si>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</si>
  <si>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</si>
  <si>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</si>
  <si>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</si>
  <si>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</si>
  <si>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</si>
  <si>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</si>
  <si>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</si>
  <si>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</si>
  <si>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</si>
  <si>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</si>
  <si>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</si>
  <si>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</si>
  <si>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</si>
  <si>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</si>
  <si>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</si>
  <si>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</si>
  <si>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</si>
  <si>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</si>
  <si>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</si>
  <si>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</si>
  <si>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</si>
  <si>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</si>
  <si>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</si>
  <si>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</si>
  <si>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</si>
  <si>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</si>
  <si>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</si>
  <si>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</si>
  <si>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</si>
  <si>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</si>
  <si>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</si>
  <si>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</si>
  <si>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</si>
  <si>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</si>
  <si>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</si>
  <si>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</si>
  <si>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</si>
  <si>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</si>
  <si>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</si>
  <si>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</si>
  <si>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</si>
  <si>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</si>
  <si>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</si>
  <si>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</si>
  <si>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</si>
  <si>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</si>
  <si>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</si>
  <si>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</si>
  <si>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</si>
  <si>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</si>
  <si>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</si>
  <si>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</si>
  <si>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</si>
  <si>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</si>
  <si>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</si>
  <si>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</si>
  <si>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</si>
  <si>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</si>
  <si>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</si>
  <si>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</si>
  <si>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</si>
  <si>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</si>
  <si>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</si>
  <si>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</si>
  <si>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</si>
  <si>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</si>
  <si>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</si>
  <si>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</si>
  <si>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</si>
  <si>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</si>
  <si>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</si>
  <si>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</si>
  <si>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</si>
  <si>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</si>
  <si>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</si>
  <si>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</si>
  <si>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</si>
  <si>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</si>
  <si>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</si>
  <si>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</si>
  <si>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</si>
  <si>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</si>
  <si>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</si>
  <si>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</si>
  <si>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</si>
  <si>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</si>
  <si>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</si>
  <si>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</si>
  <si>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</si>
  <si>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</si>
  <si>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</si>
  <si>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</si>
  <si>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</si>
  <si>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</si>
  <si>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</si>
  <si>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</si>
  <si>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</si>
  <si>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</si>
  <si>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</si>
  <si>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</si>
  <si>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</si>
  <si>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</si>
  <si>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</si>
  <si>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</si>
  <si>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</si>
  <si>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</si>
  <si>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</si>
  <si>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</si>
  <si>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</si>
  <si>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</si>
  <si>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</si>
  <si>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</si>
  <si>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</si>
  <si>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</si>
  <si>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</si>
  <si>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</si>
  <si>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</si>
  <si>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</si>
  <si>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</si>
  <si>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</si>
  <si>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</si>
  <si>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</si>
  <si>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</si>
  <si>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</si>
  <si>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</si>
  <si>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</si>
  <si>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</si>
  <si>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</si>
  <si>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</si>
  <si>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</si>
  <si>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</si>
  <si>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</si>
  <si>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</si>
  <si>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</si>
  <si>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</si>
  <si>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</si>
  <si>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</si>
  <si>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</si>
  <si>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</si>
  <si>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</si>
  <si>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</si>
  <si>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</si>
  <si>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</si>
  <si>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</si>
  <si>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</si>
  <si>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</si>
  <si>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</si>
  <si>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</si>
  <si>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</si>
  <si>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</si>
  <si>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</si>
  <si>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OR &lt;1 Means the Treatment in Top Left is Better</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</si>
  <si>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</si>
  <si>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</si>
  <si>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</si>
  <si>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</si>
  <si>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</si>
  <si>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</si>
  <si>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</si>
  <si>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</si>
  <si>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Medical</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</si>
  <si>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</si>
  <si>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</si>
  <si>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</si>
  <si>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</si>
  <si>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</si>
  <si>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</si>
  <si>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</si>
  <si>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</si>
  <si>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</si>
  <si>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</si>
  <si>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</si>
  <si>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</si>
  <si>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</si>
  <si>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</si>
  <si>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</si>
  <si>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</si>
  <si>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</si>
  <si>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</si>
  <si>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</si>
  <si>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</si>
  <si>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</si>
  <si>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</si>
  <si>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</si>
  <si>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</si>
  <si>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</si>
  <si>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</si>
  <si>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</si>
  <si>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</si>
  <si>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</si>
  <si>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</si>
  <si>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</si>
  <si>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</si>
  <si>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</si>
  <si>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</si>
  <si>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</si>
  <si>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</si>
  <si>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</si>
  <si>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</si>
  <si>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</si>
  <si>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</si>
  <si>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</si>
  <si>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</si>
  <si>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</si>
  <si>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</si>
  <si>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</si>
  <si>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</si>
  <si>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</si>
  <si>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</si>
  <si>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</si>
  <si>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</si>
  <si>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</si>
  <si>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</si>
  <si>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</si>
  <si>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</si>
  <si>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</si>
  <si>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</si>
  <si>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</si>
  <si>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</si>
  <si>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</si>
  <si>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</si>
  <si>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</si>
  <si>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</si>
  <si>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</si>
  <si>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</si>
  <si>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</si>
  <si>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</si>
  <si>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</si>
  <si>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</si>
  <si>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</si>
  <si>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</si>
  <si>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display(log)</t>
  </si>
  <si>
    <t>model is syntactically correct</t>
  </si>
  <si>
    <t>data(C:/WinBUGS data/Data List.txt)</t>
  </si>
  <si>
    <t>data(C:/WinBUGS data/Data Table.txt)</t>
  </si>
  <si>
    <t>update(1000)</t>
  </si>
  <si>
    <t>dic.set()</t>
  </si>
  <si>
    <t>set(rk)</t>
  </si>
  <si>
    <t>set(best)</t>
  </si>
  <si>
    <t>set(OR)</t>
  </si>
  <si>
    <t>set(prob)</t>
  </si>
  <si>
    <t>set(resdev)</t>
  </si>
  <si>
    <t>set(SUCRA)</t>
  </si>
  <si>
    <t>stats(*)</t>
  </si>
  <si>
    <t>dic.stats()</t>
  </si>
  <si>
    <t>DIC</t>
  </si>
  <si>
    <t>gr(OR)</t>
  </si>
  <si>
    <t>trace(OR)</t>
  </si>
  <si>
    <t>data loaded</t>
  </si>
  <si>
    <t>model compiled</t>
  </si>
  <si>
    <t>Node statistics</t>
  </si>
  <si>
    <t xml:space="preserve"> node</t>
  </si>
  <si>
    <t xml:space="preserve"> mean</t>
  </si>
  <si>
    <t xml:space="preserve"> sd</t>
  </si>
  <si>
    <t xml:space="preserve"> MC error</t>
  </si>
  <si>
    <t>median</t>
  </si>
  <si>
    <t>start</t>
  </si>
  <si>
    <t>sample</t>
  </si>
  <si>
    <t>OR[1,2]</t>
  </si>
  <si>
    <t>OR[1,3]</t>
  </si>
  <si>
    <t>OR[1,4]</t>
  </si>
  <si>
    <t>OR[1,5]</t>
  </si>
  <si>
    <t>OR[2,3]</t>
  </si>
  <si>
    <t>OR[2,4]</t>
  </si>
  <si>
    <t>OR[2,5]</t>
  </si>
  <si>
    <t>OR[3,4]</t>
  </si>
  <si>
    <t>OR[3,5]</t>
  </si>
  <si>
    <t>OR[4,5]</t>
  </si>
  <si>
    <t>SUCRA[1]</t>
  </si>
  <si>
    <t>SUCRA[2]</t>
  </si>
  <si>
    <t>SUCRA[3]</t>
  </si>
  <si>
    <t>SUCRA[4]</t>
  </si>
  <si>
    <t>SUCRA[5]</t>
  </si>
  <si>
    <t>best[1]</t>
  </si>
  <si>
    <t>best[2]</t>
  </si>
  <si>
    <t>best[3]</t>
  </si>
  <si>
    <t>best[4]</t>
  </si>
  <si>
    <t>best[5]</t>
  </si>
  <si>
    <t>prob[1,1]</t>
  </si>
  <si>
    <t>prob[1,2]</t>
  </si>
  <si>
    <t>prob[1,3]</t>
  </si>
  <si>
    <t>prob[1,4]</t>
  </si>
  <si>
    <t>prob[1,5]</t>
  </si>
  <si>
    <t>prob[2,1]</t>
  </si>
  <si>
    <t>prob[2,2]</t>
  </si>
  <si>
    <t>prob[2,3]</t>
  </si>
  <si>
    <t>prob[2,4]</t>
  </si>
  <si>
    <t>prob[2,5]</t>
  </si>
  <si>
    <t>prob[3,1]</t>
  </si>
  <si>
    <t>prob[3,2]</t>
  </si>
  <si>
    <t>prob[3,3]</t>
  </si>
  <si>
    <t>prob[3,4]</t>
  </si>
  <si>
    <t>prob[3,5]</t>
  </si>
  <si>
    <t>prob[4,1]</t>
  </si>
  <si>
    <t>prob[4,2]</t>
  </si>
  <si>
    <t>prob[4,3]</t>
  </si>
  <si>
    <t>prob[4,4]</t>
  </si>
  <si>
    <t>prob[4,5]</t>
  </si>
  <si>
    <t>prob[5,1]</t>
  </si>
  <si>
    <t>prob[5,2]</t>
  </si>
  <si>
    <t>prob[5,3]</t>
  </si>
  <si>
    <t>prob[5,4]</t>
  </si>
  <si>
    <t>prob[5,5]</t>
  </si>
  <si>
    <t>rk[1]</t>
  </si>
  <si>
    <t>rk[2]</t>
  </si>
  <si>
    <t>rk[3]</t>
  </si>
  <si>
    <t>rk[4]</t>
  </si>
  <si>
    <t>rk[5]</t>
  </si>
  <si>
    <t>Dbar = post.mean of -2logL; Dhat = -2LogL at post.mean of stochastic nodes</t>
  </si>
  <si>
    <t>Dbar</t>
  </si>
  <si>
    <t>Dhat</t>
  </si>
  <si>
    <t>pD</t>
  </si>
  <si>
    <t>r</t>
  </si>
  <si>
    <t>total</t>
  </si>
  <si>
    <t>Gelman Rubin statistic</t>
  </si>
  <si>
    <t>Dynamic trace</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</si>
  <si>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</si>
  <si>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</si>
  <si>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</si>
  <si>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</si>
  <si>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</si>
  <si>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</si>
  <si>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</si>
  <si>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</si>
  <si>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resdev[1]</t>
  </si>
  <si>
    <t>resdev[2]</t>
  </si>
  <si>
    <t>resdev[3]</t>
  </si>
  <si>
    <t>resdev[4]</t>
  </si>
  <si>
    <t>resdev[5]</t>
  </si>
  <si>
    <t>resdev[6]</t>
  </si>
  <si>
    <t>resdev[7]</t>
  </si>
  <si>
    <t>resdev[8]</t>
  </si>
  <si>
    <t>resdev[9]</t>
  </si>
  <si>
    <t>resdev[10]</t>
  </si>
  <si>
    <t>resdev[11]</t>
  </si>
  <si>
    <t>resdev[12]</t>
  </si>
  <si>
    <t>totresdev</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</si>
  <si>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</si>
  <si>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</si>
  <si>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</si>
  <si>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</si>
  <si>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</si>
  <si>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</si>
  <si>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</si>
  <si>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</si>
  <si>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</si>
  <si>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</si>
  <si>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</si>
  <si>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</si>
  <si>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</si>
  <si>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</si>
  <si>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</si>
  <si>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</si>
  <si>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</si>
  <si>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</si>
  <si>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</si>
  <si>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</si>
  <si>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</si>
  <si>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</si>
  <si>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check(C:/WinBUGS data/Random Effect Model (Vague).txt)</t>
  </si>
  <si>
    <t>inits(1,C:/WinBUGS data/Random Effect Inits (Vague)1.txt)</t>
  </si>
  <si>
    <t>this chain contains uninitialized variables</t>
  </si>
  <si>
    <t>inits(2,C:/WinBUGS data/Random Effect Inits (Vague)2.txt)</t>
  </si>
  <si>
    <t>inits(3,C:/WinBUGS data/Random Effect Inits (Vague)3.txt)</t>
  </si>
  <si>
    <t>initial values generated, model initialized</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</si>
  <si>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</si>
  <si>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</si>
  <si>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</si>
  <si>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</si>
  <si>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</si>
  <si>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</si>
  <si>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</si>
  <si>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</si>
  <si>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</si>
  <si>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</si>
  <si>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</si>
  <si>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</si>
  <si>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</si>
  <si>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</si>
  <si>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</si>
  <si>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</si>
  <si>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</si>
  <si>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</si>
  <si>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</si>
  <si>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</si>
  <si>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</si>
  <si>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</si>
  <si>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</si>
  <si>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</si>
  <si>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sd</t>
  </si>
  <si>
    <t>list(mu=c(1,1.5,0.5,0.5,0.5,0.5,0.5,1.5,1,1,2,0.5), d= structure(.Data = c(NA,2,0.5,1,1.5, NA,NA,2,1,1, NA,NA,NA,1,0.5, NA,NA,NA,NA,1.5, NA,NA,NA,NA,NA), .Dim =c(5, 5)))</t>
  </si>
  <si>
    <t>list(mu=c(0.5,0.5,0,1.5,1,0,1.5,2,0,2,1,1), d= structure(.Data = c(NA,0.5,1,1,1.5, NA,NA,0.5,1.5,1, NA,NA,NA,1,1, NA,NA,NA,NA,2, NA,NA,NA,NA,NA), .Dim =c(5, 5)))</t>
  </si>
  <si>
    <t>list(mu=c(1.5,1.5,0,0.5,0.5,1,1,0.5,1.5,0,0.5,0.5), d= structure(.Data = c(NA,0,2,1.5,1.5, NA,NA,1,0.5,1.5, NA,NA,NA,1,1, NA,NA,NA,NA,0.5, NA,NA,NA,NA,NA), .Dim =c(5, 5)))</t>
  </si>
  <si>
    <t>INDOIV</t>
  </si>
  <si>
    <t>IBUIV</t>
  </si>
  <si>
    <t>IBUPO</t>
  </si>
  <si>
    <t>PARAPO</t>
  </si>
  <si>
    <t>IBUIVHIGHDOSE</t>
  </si>
  <si>
    <t>IBUPOHIGHDOSE</t>
  </si>
  <si>
    <t>INDOIVCONT</t>
  </si>
  <si>
    <t>INDOTHERS</t>
  </si>
  <si>
    <t>PLAC_NORX</t>
  </si>
  <si>
    <t>r[,6]</t>
  </si>
  <si>
    <t>n[,6]</t>
  </si>
  <si>
    <t>r[,7]</t>
  </si>
  <si>
    <t>n[,7]</t>
  </si>
  <si>
    <t>r[,8]</t>
  </si>
  <si>
    <t>n[,8]</t>
  </si>
  <si>
    <t>r[,9]</t>
  </si>
  <si>
    <t>n[,9]</t>
  </si>
  <si>
    <t>t[,6]</t>
  </si>
  <si>
    <t>t[,7]</t>
  </si>
  <si>
    <t>t[,8]</t>
  </si>
  <si>
    <t>t[,9]</t>
  </si>
  <si>
    <t>list(NS=33, NT=9)</t>
  </si>
  <si>
    <t>INDOIV vs. IBUPO</t>
  </si>
  <si>
    <t>IBUPO vs. PARAPO</t>
  </si>
  <si>
    <t>IBUIV vs. IBUPO</t>
  </si>
  <si>
    <t>INDOIV vs. PLAC_NORX</t>
  </si>
  <si>
    <t>IBUIV vs. INDOIVCONT</t>
  </si>
  <si>
    <t>IBUIV vs. IBUIVHIGHDOSE</t>
  </si>
  <si>
    <t>IBUPO vs. INDOTHERS</t>
  </si>
  <si>
    <t>INDOIV vs. INDOTHERS</t>
  </si>
  <si>
    <t>INDOIV vs. IBUIV</t>
  </si>
  <si>
    <t>INDOTHERS vs. PLAC_NORX</t>
  </si>
  <si>
    <t>IBUIV vs. PLAC_NORX</t>
  </si>
  <si>
    <t>IBUPO vs. IBUPOHIGHDOSE</t>
  </si>
  <si>
    <t>OR[1,6]</t>
  </si>
  <si>
    <t>OR[1,7]</t>
  </si>
  <si>
    <t>OR[1,8]</t>
  </si>
  <si>
    <t>OR[1,9]</t>
  </si>
  <si>
    <t>OR[2,6]</t>
  </si>
  <si>
    <t>OR[2,7]</t>
  </si>
  <si>
    <t>OR[2,8]</t>
  </si>
  <si>
    <t>OR[2,9]</t>
  </si>
  <si>
    <t>OR[3,6]</t>
  </si>
  <si>
    <t>OR[3,7]</t>
  </si>
  <si>
    <t>OR[3,8]</t>
  </si>
  <si>
    <t>OR[3,9]</t>
  </si>
  <si>
    <t>OR[4,6]</t>
  </si>
  <si>
    <t>OR[4,7]</t>
  </si>
  <si>
    <t>OR[4,8]</t>
  </si>
  <si>
    <t>OR[4,9]</t>
  </si>
  <si>
    <t>OR[5,6]</t>
  </si>
  <si>
    <t>OR[5,7]</t>
  </si>
  <si>
    <t>OR[5,8]</t>
  </si>
  <si>
    <t>OR[5,9]</t>
  </si>
  <si>
    <t>OR[6,7]</t>
  </si>
  <si>
    <t>OR[6,8]</t>
  </si>
  <si>
    <t>OR[6,9]</t>
  </si>
  <si>
    <t>OR[7,8]</t>
  </si>
  <si>
    <t>OR[7,9]</t>
  </si>
  <si>
    <t>OR[8,9]</t>
  </si>
  <si>
    <t>SUCRA[6]</t>
  </si>
  <si>
    <t>SUCRA[7]</t>
  </si>
  <si>
    <t>SUCRA[8]</t>
  </si>
  <si>
    <t>SUCRA[9]</t>
  </si>
  <si>
    <t>best[6]</t>
  </si>
  <si>
    <t>best[7]</t>
  </si>
  <si>
    <t>best[8]</t>
  </si>
  <si>
    <t>best[9]</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</si>
  <si>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</si>
  <si>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</si>
  <si>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</si>
  <si>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</si>
  <si>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</si>
  <si>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</si>
  <si>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</si>
  <si>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</si>
  <si>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</si>
  <si>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</si>
  <si>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</si>
  <si>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</si>
  <si>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</si>
  <si>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</si>
  <si>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</si>
  <si>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</si>
  <si>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</si>
  <si>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</si>
  <si>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</si>
  <si>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</si>
  <si>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</si>
  <si>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</si>
  <si>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</si>
  <si>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</si>
  <si>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</si>
  <si>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</si>
  <si>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</si>
  <si>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</si>
  <si>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</si>
  <si>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</si>
  <si>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</si>
  <si>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</si>
  <si>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</si>
  <si>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</si>
  <si>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</si>
  <si>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</si>
  <si>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</si>
  <si>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</si>
  <si>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</si>
  <si>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</si>
  <si>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</si>
  <si>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</si>
  <si>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prob[1,6]</t>
  </si>
  <si>
    <t>prob[1,7]</t>
  </si>
  <si>
    <t>prob[1,8]</t>
  </si>
  <si>
    <t>prob[1,9]</t>
  </si>
  <si>
    <t>prob[2,6]</t>
  </si>
  <si>
    <t>prob[2,7]</t>
  </si>
  <si>
    <t>prob[2,8]</t>
  </si>
  <si>
    <t>prob[2,9]</t>
  </si>
  <si>
    <t>prob[3,6]</t>
  </si>
  <si>
    <t>prob[3,7]</t>
  </si>
  <si>
    <t>prob[3,8]</t>
  </si>
  <si>
    <t>prob[3,9]</t>
  </si>
  <si>
    <t>prob[4,6]</t>
  </si>
  <si>
    <t>prob[4,7]</t>
  </si>
  <si>
    <t>prob[4,8]</t>
  </si>
  <si>
    <t>prob[4,9]</t>
  </si>
  <si>
    <t>prob[5,6]</t>
  </si>
  <si>
    <t>prob[5,7]</t>
  </si>
  <si>
    <t>prob[5,8]</t>
  </si>
  <si>
    <t>prob[5,9]</t>
  </si>
  <si>
    <t>prob[6,1]</t>
  </si>
  <si>
    <t>prob[6,2]</t>
  </si>
  <si>
    <t>prob[6,3]</t>
  </si>
  <si>
    <t>prob[6,4]</t>
  </si>
  <si>
    <t>prob[6,5]</t>
  </si>
  <si>
    <t>prob[6,6]</t>
  </si>
  <si>
    <t>prob[6,7]</t>
  </si>
  <si>
    <t>prob[6,8]</t>
  </si>
  <si>
    <t>prob[6,9]</t>
  </si>
  <si>
    <t>prob[7,1]</t>
  </si>
  <si>
    <t>prob[7,2]</t>
  </si>
  <si>
    <t>prob[7,3]</t>
  </si>
  <si>
    <t>prob[7,4]</t>
  </si>
  <si>
    <t>prob[7,5]</t>
  </si>
  <si>
    <t>prob[7,6]</t>
  </si>
  <si>
    <t>prob[7,7]</t>
  </si>
  <si>
    <t>prob[7,8]</t>
  </si>
  <si>
    <t>prob[7,9]</t>
  </si>
  <si>
    <t>prob[8,1]</t>
  </si>
  <si>
    <t>prob[8,2]</t>
  </si>
  <si>
    <t>prob[8,3]</t>
  </si>
  <si>
    <t>prob[8,4]</t>
  </si>
  <si>
    <t>prob[8,5]</t>
  </si>
  <si>
    <t>prob[8,6]</t>
  </si>
  <si>
    <t>prob[8,7]</t>
  </si>
  <si>
    <t>prob[8,8]</t>
  </si>
  <si>
    <t>prob[8,9]</t>
  </si>
  <si>
    <t>prob[9,1]</t>
  </si>
  <si>
    <t>prob[9,2]</t>
  </si>
  <si>
    <t>prob[9,3]</t>
  </si>
  <si>
    <t>prob[9,4]</t>
  </si>
  <si>
    <t>prob[9,5]</t>
  </si>
  <si>
    <t>prob[9,6]</t>
  </si>
  <si>
    <t>prob[9,7]</t>
  </si>
  <si>
    <t>prob[9,8]</t>
  </si>
  <si>
    <t>prob[9,9]</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</si>
  <si>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</si>
  <si>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</si>
  <si>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</si>
  <si>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</si>
  <si>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</si>
  <si>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</si>
  <si>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</si>
  <si>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</si>
  <si>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</si>
  <si>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</si>
  <si>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</si>
  <si>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</si>
  <si>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</si>
  <si>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</si>
  <si>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</si>
  <si>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</si>
  <si>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</si>
  <si>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</si>
  <si>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</si>
  <si>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</si>
  <si>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</si>
  <si>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rk[6]</t>
  </si>
  <si>
    <t>rk[7]</t>
  </si>
  <si>
    <t>rk[8]</t>
  </si>
  <si>
    <t>rk[9]</t>
  </si>
  <si>
    <t>IBUIV versus INDOIV</t>
  </si>
  <si>
    <t>IBUPO versus INDOIV</t>
  </si>
  <si>
    <t>PARAPO versus INDOIV</t>
  </si>
  <si>
    <t>IBUIVHIGHDOSE versus INDOIV</t>
  </si>
  <si>
    <t>IBUPOHIGHDOSE versus INDOIV</t>
  </si>
  <si>
    <t>INDOIVCONT versus INDOIV</t>
  </si>
  <si>
    <t>INDOTHERS versus INDOIV</t>
  </si>
  <si>
    <t>PLAC_NORX versus INDOIV</t>
  </si>
  <si>
    <t>IBUPO versus IBUIV</t>
  </si>
  <si>
    <t>PARAPO versus IBUIV</t>
  </si>
  <si>
    <t>IBUIVHIGHDOSE versus IBUIV</t>
  </si>
  <si>
    <t>IBUPOHIGHDOSE versus IBUIV</t>
  </si>
  <si>
    <t>INDOIVCONT versus IBUIV</t>
  </si>
  <si>
    <t>INDOTHERS versus IBUIV</t>
  </si>
  <si>
    <t>PLAC_NORX versus IBUIV</t>
  </si>
  <si>
    <t>PARAPO versus IBUPO</t>
  </si>
  <si>
    <t>IBUIVHIGHDOSE versus IBUPO</t>
  </si>
  <si>
    <t>IBUPOHIGHDOSE versus IBUPO</t>
  </si>
  <si>
    <t>INDOIVCONT versus IBUPO</t>
  </si>
  <si>
    <t>INDOTHERS versus IBUPO</t>
  </si>
  <si>
    <t>PLAC_NORX versus IBUPO</t>
  </si>
  <si>
    <t>IBUIVHIGHDOSE versus PARAPO</t>
  </si>
  <si>
    <t>IBUPOHIGHDOSE versus PARAPO</t>
  </si>
  <si>
    <t>INDOIVCONT versus PARAPO</t>
  </si>
  <si>
    <t>INDOTHERS versus PARAPO</t>
  </si>
  <si>
    <t>PLAC_NORX versus PARAPO</t>
  </si>
  <si>
    <t>IBUPOHIGHDOSE versus IBUIVHIGHDOSE</t>
  </si>
  <si>
    <t>INDOIVCONT versus IBUIVHIGHDOSE</t>
  </si>
  <si>
    <t>INDOTHERS versus IBUIVHIGHDOSE</t>
  </si>
  <si>
    <t>PLAC_NORX versus IBUIVHIGHDOSE</t>
  </si>
  <si>
    <t>INDOIVCONT versus IBUPOHIGHDOSE</t>
  </si>
  <si>
    <t>INDOTHERS versus IBUPOHIGHDOSE</t>
  </si>
  <si>
    <t>PLAC_NORX versus IBUPOHIGHDOSE</t>
  </si>
  <si>
    <t>INDOTHERS versus INDOIVCONT</t>
  </si>
  <si>
    <t>PLAC_NORX versus INDOIVCONT</t>
  </si>
  <si>
    <t>PLAC_NORX versus INDOTHERS</t>
  </si>
  <si>
    <t>IBUPOHIGHDOSE versus INDOTHERS</t>
  </si>
  <si>
    <t>IBUPOHIGHDOSE versus INDOIVCONT</t>
  </si>
  <si>
    <t>IBUPOHIGHDOSE versus PLAC_NORX</t>
  </si>
  <si>
    <t>PARAPO versus IBUIVHIGHDOSE</t>
  </si>
  <si>
    <t>PARAPO versus INDOTHERS</t>
  </si>
  <si>
    <t>PARAPO versus INDOIVCONT</t>
  </si>
  <si>
    <t>PARAPO versus PLAC_NORX</t>
  </si>
  <si>
    <t>IBUIVHIGHDOSE versus INDOTHERS</t>
  </si>
  <si>
    <t>IBUIVHIGHDOSE versus INDOIVCONT</t>
  </si>
  <si>
    <t>IBUIVHIGHDOSE versus PLAC_NORX</t>
  </si>
  <si>
    <t>IBUPO versus INDOTHERS</t>
  </si>
  <si>
    <t>IBUPO versus INDOIVCONT</t>
  </si>
  <si>
    <t>IBUPO versus PLAC_NORX</t>
  </si>
  <si>
    <t>INDOTHERS versus PLAC_NORX</t>
  </si>
  <si>
    <t>INDOIVCONT versus PLAC_NORX</t>
  </si>
  <si>
    <t>INDOIV versus IBUIV</t>
  </si>
  <si>
    <t>INDOIV versus PLAC_NORX</t>
  </si>
  <si>
    <t>IBUIV versus PLAC_NORX</t>
  </si>
  <si>
    <t>list(mu=c(0.5,1,1,0.5,0,1.5,2,1,1,1,0,1,1,0.5,1.5,0,0.5,1,0.5,1.5,1,1,0.5,1,0,2,1.5,2,1.5,1.5,0.5,0.5,1.5), sd=1.5, d= structure(.Data = c(NA,1.5,1.5,1,2,2,0,1.5,0.5, NA,NA,1.5,1,1.5,2,1,0.5,0.5, NA,NA,NA,1,1,1,0.5,1,0.5, NA,NA,NA,NA,1.5,1.5,1.5,1,1.5, NA,NA,NA,NA,NA,2,0,1.5,1, NA,NA,NA,NA,NA,NA,1,0.5,1, NA,NA,NA,NA,NA,NA,NA,1.5,1.5, NA,NA,NA,NA,NA,NA,NA,NA,1.5), .Dim =c(8, 9)))</t>
  </si>
  <si>
    <t>list(mu=c(1.5,1.5,1,1,2,2,1.5,1.5,0.5,0.5,0.5,0.5,0,1.5,0.5,0.5,2,1.5,0,1.5,1,0.5,1,1,1,2,1,0.5,0,0,1,0.5,1.5), sd=2, d= structure(.Data = c(NA,1,1,1.5,0.5,0.5,0.5,1,1, NA,NA,0,0,1,2,1,0.5,1, NA,NA,NA,1.5,0,1,2,1,0, NA,NA,NA,NA,2,1.5,1,2,0, NA,NA,NA,NA,NA,0,0.5,0,0.5, NA,NA,NA,NA,NA,NA,1.5,0,1.5, NA,NA,NA,NA,NA,NA,NA,1.5,1.5, NA,NA,NA,NA,NA,NA,NA,NA,0.5), .Dim =c(8, 9)))</t>
  </si>
  <si>
    <t>list(mu=c(0,0.5,1,0.5,0,0.5,1,1.5,0.5,1,1.5,2,1,2,0,1,1.5,0.5,1.5,0.5,1.5,0.5,0.5,1,0.5,2,1.5,0.5,0.5,0,1,1.5,1.5), sd=1.5, d= structure(.Data = c(NA,2,0.5,1,1.5,0.5,2,1,1.5, NA,NA,1,1,1,1,0,0,1, NA,NA,NA,0,0.5,1,1.5,1.5,0.5, NA,NA,NA,NA,0.5,0,0.5,2,1.5, NA,NA,NA,NA,NA,2,1,0,1, NA,NA,NA,NA,NA,NA,1,1,1, NA,NA,NA,NA,NA,NA,NA,1,1.5, NA,NA,NA,NA,NA,NA,NA,NA,1.5), .Dim =c(8, 9)))</t>
  </si>
  <si>
    <t>list(d=c(NA,1.5,0.5,0,1.5,1.5,2,2,2), sd=1, mu=c(1.5,1.5,2,1.5,1,1.5,0,0.5,1,2,0.5,1,0.5,0.5,1,1.5,2,1,1.5,0,1,1,1,0.5,1,0.5,1.5,2,1,1,1.5,0,0.5))</t>
  </si>
  <si>
    <t>list(d=c(NA,1,0.5,1.5,0,1.5,1.5,0.5,1.5), sd=1.5, mu=c(0.5,1.5,2,2,0,0,0,0,0.5,1,0.5,1,1.5,1,2,1,1.5,0,2,1,1.5,1,0.5,2,0.5,1,1,1.5,0,1.5,0,0,0))</t>
  </si>
  <si>
    <t>list(d=c(NA,1,1.5,1.5,1,0.5,0,1,1.5), sd=1.5, mu=c(0.5,1,0.5,0.5,2,1,1.5,0.5,2,0.5,1.5,1.5,0.5,0,0.5,0.5,1.5,1,1.5,2,1,0.5,0,0,1,0.5,0.5,1,1.5,1,0.5,0.5,1))</t>
  </si>
  <si>
    <t>list(d=c(NA,1.5,0,1,1.5,0,1,0.5,1), var=2, mu=c(1.5,0.5,0.5,0.5,0.5,0.5,1.5,1,1,2,0.5,2,0.5,1,1.5,2,1,1,1,0.5,1.5,0.5,1,0.5,0.5,1,1.5,0,1,0,1.5,0.5,1.5))</t>
  </si>
  <si>
    <t>list(d=c(NA,1,0.5,0.5,2,1.5,1,0,1), var=1.5, mu=c(0.5,0,1.5,1,0,1.5,2,0,2,1,1,0.5,1,1,1.5,0.5,1.5,1,1,1,2,0.5,0.5,2,1.5,1.5,0.5,0,1,0.5,1,1,1))</t>
  </si>
  <si>
    <t>list(d=c(NA,1.5,1.5,0.5,1,1,0.5,1,1.5), var=2, mu=c(1.5,0,0.5,0.5,1,1,0.5,1.5,0,0.5,0.5,0,2,1.5,1.5,1,0.5,1.5,1,1,0.5,0.5,1,1,1.5,0.5,2,1.5,0,0,1,1.5,2))</t>
  </si>
  <si>
    <t>list(d=c(NA,1.5,1.5,1,1.5,1.5,1,1.5,0.5), mu=c(2,2,1,0.5,1,1,1.5,0.5,1.5,1.5,2,2,0,1.5,0.5,1,1.5,0.5,0.5,1,1,1.5,1,0.5,0.5,1.5,1,1,0.5,1.5,2,0,1))</t>
  </si>
  <si>
    <t>list(d=c(NA,0,0,0.5,1.5,0.5,2,0.5,0), mu=c(1,0.5,0.5,1,2,1.5,1.5,0.5,0,1.5,1.5,2,2,1,0.5,0,1.5,2,1.5,0.5,0.5,1,0.5,0.5,0,0.5,1.5,0,1.5,0.5,0.5,2,2))</t>
  </si>
  <si>
    <t>list(d=c(NA,1.5,1,2,1,0.5,0,0,1), mu=c(1,1,1,2,1.5,0,1,0.5,1,0.5,1.5,1,1.5,0,1,0.5,1,0.5,0.5,2,1,2,1.5,0.5,1.5,1.5,1.5,1,0.5,1,2,1.5,1))</t>
  </si>
  <si>
    <t>PARAPO vs. IBUPOHIGHDOSE</t>
  </si>
  <si>
    <t>save(C:/WinBUGS Results/Random Effect Results (Vague ) 8 8 2017 12 53 51 PM.txt)</t>
  </si>
  <si>
    <t>IBUIVHIGHDOSE versus IBUPOHIGHDOSE</t>
  </si>
  <si>
    <t>PARAPO versus IBUPOHIGHDOSE</t>
  </si>
  <si>
    <t>check(C:/WinBUGS data/Random Effect Model (Informative).txt)</t>
  </si>
  <si>
    <t>inits(1,C:/WinBUGS data/Random Effect Inits (Informative)1.txt)</t>
  </si>
  <si>
    <t>inits(2,C:/WinBUGS data/Random Effect Inits (Informative)2.txt)</t>
  </si>
  <si>
    <t>inits(3,C:/WinBUGS data/Random Effect Inits (Informative)3.txt)</t>
  </si>
  <si>
    <t>save(C:/WinBUGS Results/Random Effect Results (Informative) 8 8 2017 12 54 00 PM.txt)</t>
  </si>
  <si>
    <t>IBUPO versus IBUPOHIGHDOSE</t>
  </si>
  <si>
    <t>check(C:/WinBUGS data/Inconsistency Random Effect Model (Vague).txt)</t>
  </si>
  <si>
    <t>data(C:/WinBUGS data/Inconsistency Data List.txt)</t>
  </si>
  <si>
    <t>data(C:/WinBUGS data/Inconsistency Data Table.txt)</t>
  </si>
  <si>
    <t>inits(1,C:/WinBUGS data/Inconsistency Random Effect Inits (Vague)1.txt)</t>
  </si>
  <si>
    <t>inits(2,C:/WinBUGS data/Inconsistency Random Effect Inits (Vague)2.txt)</t>
  </si>
  <si>
    <t>inits(3,C:/WinBUGS data/Inconsistency Random Effect Inits (Vague)3.txt)</t>
  </si>
  <si>
    <t>d[1,2]</t>
  </si>
  <si>
    <t>d[1,3]</t>
  </si>
  <si>
    <t>d[1,4]</t>
  </si>
  <si>
    <t>d[1,5]</t>
  </si>
  <si>
    <t>d[1,6]</t>
  </si>
  <si>
    <t>d[1,7]</t>
  </si>
  <si>
    <t>d[1,8]</t>
  </si>
  <si>
    <t>d[1,9]</t>
  </si>
  <si>
    <t>d[2,3]</t>
  </si>
  <si>
    <t>d[2,4]</t>
  </si>
  <si>
    <t>d[2,5]</t>
  </si>
  <si>
    <t>d[2,6]</t>
  </si>
  <si>
    <t>d[2,7]</t>
  </si>
  <si>
    <t>d[2,8]</t>
  </si>
  <si>
    <t>d[2,9]</t>
  </si>
  <si>
    <t>d[3,4]</t>
  </si>
  <si>
    <t>d[3,5]</t>
  </si>
  <si>
    <t>d[3,6]</t>
  </si>
  <si>
    <t>d[3,7]</t>
  </si>
  <si>
    <t>d[3,8]</t>
  </si>
  <si>
    <t>d[3,9]</t>
  </si>
  <si>
    <t>d[4,5]</t>
  </si>
  <si>
    <t>d[4,6]</t>
  </si>
  <si>
    <t>d[4,7]</t>
  </si>
  <si>
    <t>d[4,8]</t>
  </si>
  <si>
    <t>d[4,9]</t>
  </si>
  <si>
    <t>d[5,6]</t>
  </si>
  <si>
    <t>d[5,7]</t>
  </si>
  <si>
    <t>d[5,8]</t>
  </si>
  <si>
    <t>d[5,9]</t>
  </si>
  <si>
    <t>d[6,7]</t>
  </si>
  <si>
    <t>d[6,8]</t>
  </si>
  <si>
    <t>d[6,9]</t>
  </si>
  <si>
    <t>d[7,8]</t>
  </si>
  <si>
    <t>d[7,9]</t>
  </si>
  <si>
    <t>d[8,9]</t>
  </si>
  <si>
    <t>save(C:/WinBUGS Results/Inconsistency Random Effect Results (Vague ) 8 8 2017 12 54 08 PM.txt)</t>
  </si>
  <si>
    <t>0.82
(0.18 – 3.64)</t>
  </si>
  <si>
    <t>0.72
(0.13 – 3.48)</t>
  </si>
  <si>
    <t>0.62
(0.15 – 2.60)</t>
  </si>
  <si>
    <t>0.53
(0.14 – 2.26)</t>
  </si>
  <si>
    <t>0.36
(0.06 – 2.18)</t>
  </si>
  <si>
    <t>0.35
(0.10 – 1.42)</t>
  </si>
  <si>
    <t>0.25
(0.07 – 0.91)</t>
  </si>
  <si>
    <t>0.05
(0.01 – 0.21)</t>
  </si>
  <si>
    <t>0.86
(0.36 – 1.88)</t>
  </si>
  <si>
    <t>0.77
(0.40 – 1.39)</t>
  </si>
  <si>
    <t>0.65
(0.28 – 1.55)</t>
  </si>
  <si>
    <t>0.44
(0.10 – 1.72)</t>
  </si>
  <si>
    <t>0.43
(0.18 – 0.96)</t>
  </si>
  <si>
    <t>0.30
(0.12 – 0.67)</t>
  </si>
  <si>
    <t>0.06
(0.02 – 0.17)</t>
  </si>
  <si>
    <t>0.89
(0.40 – 2.18)</t>
  </si>
  <si>
    <t>0.75
(0.30 – 2.18)</t>
  </si>
  <si>
    <t>0.51
(0.11 – 2.39)</t>
  </si>
  <si>
    <t>0.49
(0.21 – 1.42)</t>
  </si>
  <si>
    <t>0.35
(0.14 – 0.95)</t>
  </si>
  <si>
    <t>0.07
(0.02 – 0.24)</t>
  </si>
  <si>
    <t>0.85
(0.48 – 1.58)</t>
  </si>
  <si>
    <t>0.56
(0.14 – 2.09)</t>
  </si>
  <si>
    <t>0.56
(0.32 – 1.00)</t>
  </si>
  <si>
    <t>0.39
(0.21 – 0.72)</t>
  </si>
  <si>
    <t>0.08
(0.03 – 0.19)</t>
  </si>
  <si>
    <t>0.65
(0.17 – 2.39)</t>
  </si>
  <si>
    <t>0.67
(0.38 – 1.06)</t>
  </si>
  <si>
    <t>0.47
(0.25 – 0.79)</t>
  </si>
  <si>
    <t>0.10
(0.04 – 0.21)</t>
  </si>
  <si>
    <t>0.99
(0.32 – 3.58)</t>
  </si>
  <si>
    <t>0.71
(0.21 – 2.43)</t>
  </si>
  <si>
    <t>0.14
(0.03 – 0.56)</t>
  </si>
  <si>
    <t>0.70
(0.46 – 1.08)</t>
  </si>
  <si>
    <t>0.15
(0.06 – 0.27)</t>
  </si>
  <si>
    <t>0.21
(0.10 – 0.40)</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</si>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</sst>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99">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711340206185567E-2"/>
          <c:w val="0.45767847166118031"/>
          <c:h val="0.92783505154639179"/>
        </c:manualLayout>
      </c:layout>
      <c:scatterChart>
        <c:scatterStyle val="lineMarker"/>
        <c:varyColors val="0"/>
        <c:ser>
          <c:idx val="0"/>
          <c:order val="0"/>
          <c:tx>
            <c:v>INDOIVCONT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2.5867999999999998</c:v>
                </c:pt>
              </c:numLit>
            </c:plus>
            <c:minus>
              <c:numLit>
                <c:formatCode>General</c:formatCode>
                <c:ptCount val="1"/>
                <c:pt idx="0">
                  <c:v>0.66769999999999996</c:v>
                </c:pt>
              </c:numLit>
            </c:minus>
          </c:errBars>
          <c:xVal>
            <c:numRef>
              <c:f>'Random Effects (Vague)'!$I$5</c:f>
              <c:numCache>
                <c:formatCode>0.0000</c:formatCode>
                <c:ptCount val="1"/>
                <c:pt idx="0">
                  <c:v>0.99119999999999997</c:v>
                </c:pt>
              </c:numCache>
            </c:numRef>
          </c:xVal>
          <c:yVal>
            <c:numLit>
              <c:formatCode>General</c:formatCode>
              <c:ptCount val="1"/>
              <c:pt idx="0">
                <c:v>1.5</c:v>
              </c:pt>
            </c:numLit>
          </c:yVal>
          <c:smooth val="0"/>
        </c:ser>
        <c:ser>
          <c:idx val="1"/>
          <c:order val="1"/>
          <c:tx>
            <c:v>IBUPOHIGHDOSE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1.2852000000000001</c:v>
                </c:pt>
              </c:numLit>
            </c:plus>
            <c:minus>
              <c:numLit>
                <c:formatCode>General</c:formatCode>
                <c:ptCount val="1"/>
                <c:pt idx="0">
                  <c:v>0.48740000000000006</c:v>
                </c:pt>
              </c:numLit>
            </c:minus>
          </c:errBars>
          <c:xVal>
            <c:numRef>
              <c:f>'Random Effects (Vague)'!$I$6</c:f>
              <c:numCache>
                <c:formatCode>General</c:formatCode>
                <c:ptCount val="1"/>
                <c:pt idx="0">
                  <c:v>0.89080000000000004</c:v>
                </c:pt>
              </c:numCache>
            </c:numRef>
          </c:xVal>
          <c:yVal>
            <c:numLit>
              <c:formatCode>General</c:formatCode>
              <c:ptCount val="1"/>
              <c:pt idx="0">
                <c:v>3.5</c:v>
              </c:pt>
            </c:numLit>
          </c:yVal>
          <c:smooth val="0"/>
        </c:ser>
        <c:ser>
          <c:idx val="2"/>
          <c:order val="2"/>
          <c:tx>
            <c:v>PARAPO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1.020461154964686</c:v>
                </c:pt>
              </c:numLit>
            </c:plus>
            <c:minus>
              <c:numLit>
                <c:formatCode>General</c:formatCode>
                <c:ptCount val="1"/>
                <c:pt idx="0">
                  <c:v>0.50001248470623494</c:v>
                </c:pt>
              </c:numLit>
            </c:minus>
          </c:errBars>
          <c:xVal>
            <c:numRef>
              <c:f>'Random Effects (Vague)'!$I$7</c:f>
              <c:numCache>
                <c:formatCode>0.0000</c:formatCode>
                <c:ptCount val="1"/>
                <c:pt idx="0">
                  <c:v>0.86206896551724144</c:v>
                </c:pt>
              </c:numCache>
            </c:numRef>
          </c:xVal>
          <c:yVal>
            <c:numLit>
              <c:formatCode>General</c:formatCode>
              <c:ptCount val="1"/>
              <c:pt idx="0">
                <c:v>5.5</c:v>
              </c:pt>
            </c:numLit>
          </c:yVal>
          <c:smooth val="0"/>
        </c:ser>
        <c:ser>
          <c:idx val="3"/>
          <c:order val="3"/>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0.73585652718981154</c:v>
                </c:pt>
              </c:numLit>
            </c:plus>
            <c:minus>
              <c:numLit>
                <c:formatCode>General</c:formatCode>
                <c:ptCount val="1"/>
                <c:pt idx="0">
                  <c:v>0.36740718992627386</c:v>
                </c:pt>
              </c:numLit>
            </c:minus>
          </c:errBars>
          <c:xVal>
            <c:numRef>
              <c:f>'Random Effects (Vague)'!$I$8</c:f>
              <c:numCache>
                <c:formatCode>General</c:formatCode>
                <c:ptCount val="1"/>
                <c:pt idx="0">
                  <c:v>0.84817642069550458</c:v>
                </c:pt>
              </c:numCache>
            </c:numRef>
          </c:xVal>
          <c:yVal>
            <c:numLit>
              <c:formatCode>General</c:formatCode>
              <c:ptCount val="1"/>
              <c:pt idx="0">
                <c:v>7.5</c:v>
              </c:pt>
            </c:numLit>
          </c:yVal>
          <c:smooth val="0"/>
        </c:ser>
        <c:ser>
          <c:idx val="4"/>
          <c:order val="4"/>
          <c:tx>
            <c:v>IBUIVHIGHDOSE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2.8223000000000003</c:v>
                </c:pt>
              </c:numLit>
            </c:plus>
            <c:minus>
              <c:numLit>
                <c:formatCode>General</c:formatCode>
                <c:ptCount val="1"/>
                <c:pt idx="0">
                  <c:v>0.64249999999999996</c:v>
                </c:pt>
              </c:numLit>
            </c:minus>
          </c:errBars>
          <c:xVal>
            <c:numRef>
              <c:f>'Random Effects (Vague)'!$I$9</c:f>
              <c:numCache>
                <c:formatCode>General</c:formatCode>
                <c:ptCount val="1"/>
                <c:pt idx="0">
                  <c:v>0.81769999999999998</c:v>
                </c:pt>
              </c:numCache>
            </c:numRef>
          </c:xVal>
          <c:yVal>
            <c:numLit>
              <c:formatCode>General</c:formatCode>
              <c:ptCount val="1"/>
              <c:pt idx="0">
                <c:v>9.5</c:v>
              </c:pt>
            </c:numLit>
          </c:yVal>
          <c:smooth val="0"/>
        </c:ser>
        <c:ser>
          <c:idx val="5"/>
          <c:order val="5"/>
          <c:tx>
            <c:v>PARAPO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0.61299999999999988</c:v>
                </c:pt>
              </c:numLit>
            </c:plus>
            <c:minus>
              <c:numLit>
                <c:formatCode>General</c:formatCode>
                <c:ptCount val="1"/>
                <c:pt idx="0">
                  <c:v>0.36930000000000002</c:v>
                </c:pt>
              </c:numLit>
            </c:minus>
          </c:errBars>
          <c:xVal>
            <c:numRef>
              <c:f>'Random Effects (Vague)'!$I$10</c:f>
              <c:numCache>
                <c:formatCode>General</c:formatCode>
                <c:ptCount val="1"/>
                <c:pt idx="0">
                  <c:v>0.77300000000000002</c:v>
                </c:pt>
              </c:numCache>
            </c:numRef>
          </c:xVal>
          <c:yVal>
            <c:numLit>
              <c:formatCode>General</c:formatCode>
              <c:ptCount val="1"/>
              <c:pt idx="0">
                <c:v>11.5</c:v>
              </c:pt>
            </c:numLit>
          </c:yVal>
          <c:smooth val="0"/>
        </c:ser>
        <c:ser>
          <c:idx val="6"/>
          <c:order val="6"/>
          <c:tx>
            <c:v>IBUPOHIGHDOSE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1.4299174431846575</c:v>
                </c:pt>
              </c:numLit>
            </c:plus>
            <c:minus>
              <c:numLit>
                <c:formatCode>General</c:formatCode>
                <c:ptCount val="1"/>
                <c:pt idx="0">
                  <c:v>0.45352118266416963</c:v>
                </c:pt>
              </c:numLit>
            </c:minus>
          </c:errBars>
          <c:xVal>
            <c:numRef>
              <c:f>'Random Effects (Vague)'!$I$11</c:f>
              <c:numCache>
                <c:formatCode>General</c:formatCode>
                <c:ptCount val="1"/>
                <c:pt idx="0">
                  <c:v>0.75301204819277101</c:v>
                </c:pt>
              </c:numCache>
            </c:numRef>
          </c:xVal>
          <c:yVal>
            <c:numLit>
              <c:formatCode>General</c:formatCode>
              <c:ptCount val="1"/>
              <c:pt idx="0">
                <c:v>13.5</c:v>
              </c:pt>
            </c:numLit>
          </c:yVal>
          <c:smooth val="0"/>
        </c:ser>
        <c:ser>
          <c:idx val="7"/>
          <c:order val="7"/>
          <c:tx>
            <c:v>IBUIVHIGHDOSE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2.7571090557539817</c:v>
                </c:pt>
              </c:numLit>
            </c:plus>
            <c:minus>
              <c:numLit>
                <c:formatCode>General</c:formatCode>
                <c:ptCount val="1"/>
                <c:pt idx="0">
                  <c:v>0.58851909011163972</c:v>
                </c:pt>
              </c:numLit>
            </c:minus>
          </c:errBars>
          <c:xVal>
            <c:numRef>
              <c:f>'Random Effects (Vague)'!$I$12</c:f>
              <c:numCache>
                <c:formatCode>General</c:formatCode>
                <c:ptCount val="1"/>
                <c:pt idx="0">
                  <c:v>0.71994240460763137</c:v>
                </c:pt>
              </c:numCache>
            </c:numRef>
          </c:xVal>
          <c:yVal>
            <c:numLit>
              <c:formatCode>General</c:formatCode>
              <c:ptCount val="1"/>
              <c:pt idx="0">
                <c:v>15.5</c:v>
              </c:pt>
            </c:numLit>
          </c:yVal>
          <c:smooth val="0"/>
        </c:ser>
        <c:ser>
          <c:idx val="8"/>
          <c:order val="8"/>
          <c:tx>
            <c:v>INDOIVCONT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1.7141999999999999</c:v>
                </c:pt>
              </c:numLit>
            </c:plus>
            <c:minus>
              <c:numLit>
                <c:formatCode>General</c:formatCode>
                <c:ptCount val="1"/>
                <c:pt idx="0">
                  <c:v>0.501</c:v>
                </c:pt>
              </c:numLit>
            </c:minus>
          </c:errBars>
          <c:xVal>
            <c:numRef>
              <c:f>'Random Effects (Vague)'!$I$13</c:f>
              <c:numCache>
                <c:formatCode>General</c:formatCode>
                <c:ptCount val="1"/>
                <c:pt idx="0">
                  <c:v>0.71479999999999999</c:v>
                </c:pt>
              </c:numCache>
            </c:numRef>
          </c:xVal>
          <c:yVal>
            <c:numLit>
              <c:formatCode>General</c:formatCode>
              <c:ptCount val="1"/>
              <c:pt idx="0">
                <c:v>17.5</c:v>
              </c:pt>
            </c:numLit>
          </c:yVal>
          <c:smooth val="0"/>
        </c:ser>
        <c:ser>
          <c:idx val="9"/>
          <c:order val="9"/>
          <c:tx>
            <c:v>INDOIV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0.38285374571179231</c:v>
                </c:pt>
              </c:numLit>
            </c:plus>
            <c:minus>
              <c:numLit>
                <c:formatCode>General</c:formatCode>
                <c:ptCount val="1"/>
                <c:pt idx="0">
                  <c:v>0.23925319603732481</c:v>
                </c:pt>
              </c:numLit>
            </c:minus>
          </c:errBars>
          <c:xVal>
            <c:numRef>
              <c:f>'Random Effects (Vague)'!$I$14</c:f>
              <c:numCache>
                <c:formatCode>0.0000</c:formatCode>
                <c:ptCount val="1"/>
                <c:pt idx="0">
                  <c:v>0.69881201956673655</c:v>
                </c:pt>
              </c:numCache>
            </c:numRef>
          </c:xVal>
          <c:yVal>
            <c:numLit>
              <c:formatCode>General</c:formatCode>
              <c:ptCount val="1"/>
              <c:pt idx="0">
                <c:v>19.5</c:v>
              </c:pt>
            </c:numLit>
          </c:yVal>
          <c:smooth val="0"/>
        </c:ser>
        <c:ser>
          <c:idx val="10"/>
          <c:order val="10"/>
          <c:tx>
            <c:v>INDOTHERS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0.39240000000000008</c:v>
                </c:pt>
              </c:numLit>
            </c:plus>
            <c:minus>
              <c:numLit>
                <c:formatCode>General</c:formatCode>
                <c:ptCount val="1"/>
                <c:pt idx="0">
                  <c:v>0.2858</c:v>
                </c:pt>
              </c:numLit>
            </c:minus>
          </c:errBars>
          <c:xVal>
            <c:numRef>
              <c:f>'Random Effects (Vague)'!$I$15</c:f>
              <c:numCache>
                <c:formatCode>General</c:formatCode>
                <c:ptCount val="1"/>
                <c:pt idx="0">
                  <c:v>0.66959999999999997</c:v>
                </c:pt>
              </c:numCache>
            </c:numRef>
          </c:xVal>
          <c:yVal>
            <c:numLit>
              <c:formatCode>General</c:formatCode>
              <c:ptCount val="1"/>
              <c:pt idx="0">
                <c:v>21.5</c:v>
              </c:pt>
            </c:numLit>
          </c:yVal>
          <c:smooth val="0"/>
        </c:ser>
        <c:ser>
          <c:idx val="11"/>
          <c:order val="11"/>
          <c:tx>
            <c:v>INDOTHERS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1.7391000000000001</c:v>
                </c:pt>
              </c:numLit>
            </c:plus>
            <c:minus>
              <c:numLit>
                <c:formatCode>General</c:formatCode>
                <c:ptCount val="1"/>
                <c:pt idx="0">
                  <c:v>0.48740000000000006</c:v>
                </c:pt>
              </c:numLit>
            </c:minus>
          </c:errBars>
          <c:xVal>
            <c:numRef>
              <c:f>'Random Effects (Vague)'!$I$16</c:f>
              <c:numCache>
                <c:formatCode>General</c:formatCode>
                <c:ptCount val="1"/>
                <c:pt idx="0">
                  <c:v>0.65490000000000004</c:v>
                </c:pt>
              </c:numCache>
            </c:numRef>
          </c:xVal>
          <c:yVal>
            <c:numLit>
              <c:formatCode>General</c:formatCode>
              <c:ptCount val="1"/>
              <c:pt idx="0">
                <c:v>23.5</c:v>
              </c:pt>
            </c:numLit>
          </c:yVal>
          <c:smooth val="0"/>
        </c:ser>
        <c:ser>
          <c:idx val="12"/>
          <c:order val="12"/>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0.89823638952787832</c:v>
                </c:pt>
              </c:numLit>
            </c:plus>
            <c:minus>
              <c:numLit>
                <c:formatCode>General</c:formatCode>
                <c:ptCount val="1"/>
                <c:pt idx="0">
                  <c:v>0.3717458422677602</c:v>
                </c:pt>
              </c:numLit>
            </c:minus>
          </c:errBars>
          <c:xVal>
            <c:numRef>
              <c:f>'Random Effects (Vague)'!$I$17</c:f>
              <c:numCache>
                <c:formatCode>General</c:formatCode>
                <c:ptCount val="1"/>
                <c:pt idx="0">
                  <c:v>0.65359477124183007</c:v>
                </c:pt>
              </c:numCache>
            </c:numRef>
          </c:xVal>
          <c:yVal>
            <c:numLit>
              <c:formatCode>General</c:formatCode>
              <c:ptCount val="1"/>
              <c:pt idx="0">
                <c:v>25.5</c:v>
              </c:pt>
            </c:numLit>
          </c:yVal>
          <c:smooth val="0"/>
        </c:ser>
        <c:ser>
          <c:idx val="13"/>
          <c:order val="13"/>
          <c:tx>
            <c:v>IBUIVHIGHDOSE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1.9849999999999999</c:v>
                </c:pt>
              </c:numLit>
            </c:plus>
            <c:minus>
              <c:numLit>
                <c:formatCode>General</c:formatCode>
                <c:ptCount val="1"/>
                <c:pt idx="0">
                  <c:v>0.46150000000000002</c:v>
                </c:pt>
              </c:numLit>
            </c:minus>
          </c:errBars>
          <c:xVal>
            <c:numRef>
              <c:f>'Random Effects (Vague)'!$I$18</c:f>
              <c:numCache>
                <c:formatCode>General</c:formatCode>
                <c:ptCount val="1"/>
                <c:pt idx="0">
                  <c:v>0.61599999999999999</c:v>
                </c:pt>
              </c:numCache>
            </c:numRef>
          </c:xVal>
          <c:yVal>
            <c:numLit>
              <c:formatCode>General</c:formatCode>
              <c:ptCount val="1"/>
              <c:pt idx="0">
                <c:v>27.5</c:v>
              </c:pt>
            </c:numLit>
          </c:yVal>
          <c:smooth val="0"/>
        </c:ser>
        <c:ser>
          <c:idx val="14"/>
          <c:order val="14"/>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1.5356395519010091</c:v>
                </c:pt>
              </c:numLit>
            </c:plus>
            <c:minus>
              <c:numLit>
                <c:formatCode>General</c:formatCode>
                <c:ptCount val="1"/>
                <c:pt idx="0">
                  <c:v>0.41490814591576336</c:v>
                </c:pt>
              </c:numLit>
            </c:minus>
          </c:errBars>
          <c:xVal>
            <c:numRef>
              <c:f>'Random Effects (Vague)'!$I$19</c:f>
              <c:numCache>
                <c:formatCode>General</c:formatCode>
                <c:ptCount val="1"/>
                <c:pt idx="0">
                  <c:v>0.5577244841048522</c:v>
                </c:pt>
              </c:numCache>
            </c:numRef>
          </c:xVal>
          <c:yVal>
            <c:numLit>
              <c:formatCode>General</c:formatCode>
              <c:ptCount val="1"/>
              <c:pt idx="0">
                <c:v>29.5</c:v>
              </c:pt>
            </c:numLit>
          </c:yVal>
          <c:smooth val="0"/>
        </c:ser>
        <c:ser>
          <c:idx val="15"/>
          <c:order val="15"/>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0.43799999999999994</c:v>
                </c:pt>
              </c:numLit>
            </c:plus>
            <c:minus>
              <c:numLit>
                <c:formatCode>General</c:formatCode>
                <c:ptCount val="1"/>
                <c:pt idx="0">
                  <c:v>0.23560000000000003</c:v>
                </c:pt>
              </c:numLit>
            </c:minus>
          </c:errBars>
          <c:xVal>
            <c:numRef>
              <c:f>'Random Effects (Vague)'!$I$20</c:f>
              <c:numCache>
                <c:formatCode>General</c:formatCode>
                <c:ptCount val="1"/>
                <c:pt idx="0">
                  <c:v>0.55700000000000005</c:v>
                </c:pt>
              </c:numCache>
            </c:numRef>
          </c:xVal>
          <c:yVal>
            <c:numLit>
              <c:formatCode>General</c:formatCode>
              <c:ptCount val="1"/>
              <c:pt idx="0">
                <c:v>31.5</c:v>
              </c:pt>
            </c:numLit>
          </c:yVal>
          <c:smooth val="0"/>
        </c:ser>
        <c:ser>
          <c:idx val="16"/>
          <c:order val="16"/>
          <c:tx>
            <c:v>IBUIVHIGHDOSE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1.7379815577938336</c:v>
                </c:pt>
              </c:numLit>
            </c:plus>
            <c:minus>
              <c:numLit>
                <c:formatCode>General</c:formatCode>
                <c:ptCount val="1"/>
                <c:pt idx="0">
                  <c:v>0.38426308351607108</c:v>
                </c:pt>
              </c:numLit>
            </c:minus>
          </c:errBars>
          <c:xVal>
            <c:numRef>
              <c:f>'Random Effects (Vague)'!$I$21</c:f>
              <c:numCache>
                <c:formatCode>General</c:formatCode>
                <c:ptCount val="1"/>
                <c:pt idx="0">
                  <c:v>0.52548607461902264</c:v>
                </c:pt>
              </c:numCache>
            </c:numRef>
          </c:xVal>
          <c:yVal>
            <c:numLit>
              <c:formatCode>General</c:formatCode>
              <c:ptCount val="1"/>
              <c:pt idx="0">
                <c:v>33.5</c:v>
              </c:pt>
            </c:numLit>
          </c:yVal>
          <c:smooth val="0"/>
        </c:ser>
        <c:ser>
          <c:idx val="17"/>
          <c:order val="17"/>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1.8836097224391706</c:v>
                </c:pt>
              </c:numLit>
            </c:plus>
            <c:minus>
              <c:numLit>
                <c:formatCode>General</c:formatCode>
                <c:ptCount val="1"/>
                <c:pt idx="0">
                  <c:v>0.39868453498917439</c:v>
                </c:pt>
              </c:numLit>
            </c:minus>
          </c:errBars>
          <c:xVal>
            <c:numRef>
              <c:f>'Random Effects (Vague)'!$I$22</c:f>
              <c:numCache>
                <c:formatCode>General</c:formatCode>
                <c:ptCount val="1"/>
                <c:pt idx="0">
                  <c:v>0.50530570995452251</c:v>
                </c:pt>
              </c:numCache>
            </c:numRef>
          </c:xVal>
          <c:yVal>
            <c:numLit>
              <c:formatCode>General</c:formatCode>
              <c:ptCount val="1"/>
              <c:pt idx="0">
                <c:v>35.5</c:v>
              </c:pt>
            </c:numLit>
          </c:yVal>
          <c:smooth val="0"/>
        </c:ser>
        <c:ser>
          <c:idx val="18"/>
          <c:order val="18"/>
          <c:tx>
            <c:v>IBUPOHIGHDOSE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0.92949999999999999</c:v>
                </c:pt>
              </c:numLit>
            </c:plus>
            <c:minus>
              <c:numLit>
                <c:formatCode>General</c:formatCode>
                <c:ptCount val="1"/>
                <c:pt idx="0">
                  <c:v>0.28400000000000003</c:v>
                </c:pt>
              </c:numLit>
            </c:minus>
          </c:errBars>
          <c:xVal>
            <c:numRef>
              <c:f>'Random Effects (Vague)'!$I$23</c:f>
              <c:numCache>
                <c:formatCode>General</c:formatCode>
                <c:ptCount val="1"/>
                <c:pt idx="0">
                  <c:v>0.48949999999999999</c:v>
                </c:pt>
              </c:numCache>
            </c:numRef>
          </c:xVal>
          <c:yVal>
            <c:numLit>
              <c:formatCode>General</c:formatCode>
              <c:ptCount val="1"/>
              <c:pt idx="0">
                <c:v>37.5</c:v>
              </c:pt>
            </c:numLit>
          </c:yVal>
          <c:smooth val="0"/>
        </c:ser>
        <c:ser>
          <c:idx val="19"/>
          <c:order val="19"/>
          <c:tx>
            <c:v>INDOTHERS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0.32130000000000003</c:v>
                </c:pt>
              </c:numLit>
            </c:plus>
            <c:minus>
              <c:numLit>
                <c:formatCode>General</c:formatCode>
                <c:ptCount val="1"/>
                <c:pt idx="0">
                  <c:v>0.22380000000000003</c:v>
                </c:pt>
              </c:numLit>
            </c:minus>
          </c:errBars>
          <c:xVal>
            <c:numRef>
              <c:f>'Random Effects (Vague)'!$I$24</c:f>
              <c:numCache>
                <c:formatCode>General</c:formatCode>
                <c:ptCount val="1"/>
                <c:pt idx="0">
                  <c:v>0.46960000000000002</c:v>
                </c:pt>
              </c:numCache>
            </c:numRef>
          </c:xVal>
          <c:yVal>
            <c:numLit>
              <c:formatCode>General</c:formatCode>
              <c:ptCount val="1"/>
              <c:pt idx="0">
                <c:v>39.5</c:v>
              </c:pt>
            </c:numLit>
          </c:yVal>
          <c:smooth val="0"/>
        </c:ser>
        <c:ser>
          <c:idx val="20"/>
          <c:order val="20"/>
          <c:tx>
            <c:v>PARAPO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1.2872198423745023</c:v>
                </c:pt>
              </c:numLit>
            </c:plus>
            <c:minus>
              <c:numLit>
                <c:formatCode>General</c:formatCode>
                <c:ptCount val="1"/>
                <c:pt idx="0">
                  <c:v>0.33711051810599324</c:v>
                </c:pt>
              </c:numLit>
            </c:minus>
          </c:errBars>
          <c:xVal>
            <c:numRef>
              <c:f>'Random Effects (Vague)'!$I$25</c:f>
              <c:numCache>
                <c:formatCode>General</c:formatCode>
                <c:ptCount val="1"/>
                <c:pt idx="0">
                  <c:v>0.4357298474945534</c:v>
                </c:pt>
              </c:numCache>
            </c:numRef>
          </c:xVal>
          <c:yVal>
            <c:numLit>
              <c:formatCode>General</c:formatCode>
              <c:ptCount val="1"/>
              <c:pt idx="0">
                <c:v>41.5</c:v>
              </c:pt>
            </c:numLit>
          </c:yVal>
          <c:smooth val="0"/>
        </c:ser>
        <c:ser>
          <c:idx val="21"/>
          <c:order val="21"/>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0.5343</c:v>
                </c:pt>
              </c:numLit>
            </c:plus>
            <c:minus>
              <c:numLit>
                <c:formatCode>General</c:formatCode>
                <c:ptCount val="1"/>
                <c:pt idx="0">
                  <c:v>0.245</c:v>
                </c:pt>
              </c:numLit>
            </c:minus>
          </c:errBars>
          <c:xVal>
            <c:numRef>
              <c:f>'Random Effects (Vague)'!$I$26</c:f>
              <c:numCache>
                <c:formatCode>General</c:formatCode>
                <c:ptCount val="1"/>
                <c:pt idx="0">
                  <c:v>0.42959999999999998</c:v>
                </c:pt>
              </c:numCache>
            </c:numRef>
          </c:xVal>
          <c:yVal>
            <c:numLit>
              <c:formatCode>General</c:formatCode>
              <c:ptCount val="1"/>
              <c:pt idx="0">
                <c:v>43.5</c:v>
              </c:pt>
            </c:numLit>
          </c:yVal>
          <c:smooth val="0"/>
        </c:ser>
        <c:ser>
          <c:idx val="22"/>
          <c:order val="22"/>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0.32940000000000003</c:v>
                </c:pt>
              </c:numLit>
            </c:plus>
            <c:minus>
              <c:numLit>
                <c:formatCode>General</c:formatCode>
                <c:ptCount val="1"/>
                <c:pt idx="0">
                  <c:v>0.17779999999999999</c:v>
                </c:pt>
              </c:numLit>
            </c:minus>
          </c:errBars>
          <c:xVal>
            <c:numRef>
              <c:f>'Random Effects (Vague)'!$I$27</c:f>
              <c:numCache>
                <c:formatCode>General</c:formatCode>
                <c:ptCount val="1"/>
                <c:pt idx="0">
                  <c:v>0.38919999999999999</c:v>
                </c:pt>
              </c:numCache>
            </c:numRef>
          </c:xVal>
          <c:yVal>
            <c:numLit>
              <c:formatCode>General</c:formatCode>
              <c:ptCount val="1"/>
              <c:pt idx="0">
                <c:v>45.5</c:v>
              </c:pt>
            </c:numLit>
          </c:yVal>
          <c:smooth val="0"/>
        </c:ser>
        <c:ser>
          <c:idx val="23"/>
          <c:order val="23"/>
          <c:tx>
            <c:v>IBUIVHIGHDOSE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1.8239161175891645</c:v>
                </c:pt>
              </c:numLit>
            </c:plus>
            <c:minus>
              <c:numLit>
                <c:formatCode>General</c:formatCode>
                <c:ptCount val="1"/>
                <c:pt idx="0">
                  <c:v>0.30153696215166842</c:v>
                </c:pt>
              </c:numLit>
            </c:minus>
          </c:errBars>
          <c:xVal>
            <c:numRef>
              <c:f>'Random Effects (Vague)'!$I$28</c:f>
              <c:numCache>
                <c:formatCode>General</c:formatCode>
                <c:ptCount val="1"/>
                <c:pt idx="0">
                  <c:v>0.35663338088445079</c:v>
                </c:pt>
              </c:numCache>
            </c:numRef>
          </c:xVal>
          <c:yVal>
            <c:numLit>
              <c:formatCode>General</c:formatCode>
              <c:ptCount val="1"/>
              <c:pt idx="0">
                <c:v>47.5</c:v>
              </c:pt>
            </c:numLit>
          </c:yVal>
          <c:smooth val="0"/>
        </c:ser>
        <c:ser>
          <c:idx val="24"/>
          <c:order val="24"/>
          <c:tx>
            <c:v>IBUPOHIGHDOSE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c:v>
                </c:pt>
              </c:numLit>
            </c:plus>
            <c:minus>
              <c:numLit>
                <c:formatCode>General</c:formatCode>
                <c:ptCount val="1"/>
                <c:pt idx="0">
                  <c:v>0.21430000000000002</c:v>
                </c:pt>
              </c:numLit>
            </c:minus>
          </c:errBars>
          <c:xVal>
            <c:numRef>
              <c:f>'Random Effects (Vague)'!$I$29</c:f>
              <c:numCache>
                <c:formatCode>General</c:formatCode>
                <c:ptCount val="1"/>
                <c:pt idx="0">
                  <c:v>0.35270000000000001</c:v>
                </c:pt>
              </c:numCache>
            </c:numRef>
          </c:xVal>
          <c:yVal>
            <c:numLit>
              <c:formatCode>General</c:formatCode>
              <c:ptCount val="1"/>
              <c:pt idx="0">
                <c:v>49.5</c:v>
              </c:pt>
            </c:numLit>
          </c:yVal>
          <c:smooth val="0"/>
        </c:ser>
        <c:ser>
          <c:idx val="25"/>
          <c:order val="25"/>
          <c:tx>
            <c:v>IBUIVHIGHDOSE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1.0720999999999998</c:v>
                </c:pt>
              </c:numLit>
            </c:plus>
            <c:minus>
              <c:numLit>
                <c:formatCode>General</c:formatCode>
                <c:ptCount val="1"/>
                <c:pt idx="0">
                  <c:v>0.25683</c:v>
                </c:pt>
              </c:numLit>
            </c:minus>
          </c:errBars>
          <c:xVal>
            <c:numRef>
              <c:f>'Random Effects (Vague)'!$I$30</c:f>
              <c:numCache>
                <c:formatCode>General</c:formatCode>
                <c:ptCount val="1"/>
                <c:pt idx="0">
                  <c:v>0.35189999999999999</c:v>
                </c:pt>
              </c:numCache>
            </c:numRef>
          </c:xVal>
          <c:yVal>
            <c:numLit>
              <c:formatCode>General</c:formatCode>
              <c:ptCount val="1"/>
              <c:pt idx="0">
                <c:v>51.5</c:v>
              </c:pt>
            </c:numLit>
          </c:yVal>
          <c:smooth val="0"/>
        </c:ser>
        <c:ser>
          <c:idx val="26"/>
          <c:order val="26"/>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0.37069999999999997</c:v>
                </c:pt>
              </c:numLit>
            </c:plus>
            <c:minus>
              <c:numLit>
                <c:formatCode>General</c:formatCode>
                <c:ptCount val="1"/>
                <c:pt idx="0">
                  <c:v>0.17809999999999998</c:v>
                </c:pt>
              </c:numLit>
            </c:minus>
          </c:errBars>
          <c:xVal>
            <c:numRef>
              <c:f>'Random Effects (Vague)'!$I$31</c:f>
              <c:numCache>
                <c:formatCode>General</c:formatCode>
                <c:ptCount val="1"/>
                <c:pt idx="0">
                  <c:v>0.30099999999999999</c:v>
                </c:pt>
              </c:numCache>
            </c:numRef>
          </c:xVal>
          <c:yVal>
            <c:numLit>
              <c:formatCode>General</c:formatCode>
              <c:ptCount val="1"/>
              <c:pt idx="0">
                <c:v>53.5</c:v>
              </c:pt>
            </c:numLit>
          </c:yVal>
          <c:smooth val="0"/>
        </c:ser>
        <c:ser>
          <c:idx val="27"/>
          <c:order val="27"/>
          <c:tx>
            <c:v>IBUIVHIGHDOSE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0.65469999999999995</c:v>
                </c:pt>
              </c:numLit>
            </c:plus>
            <c:minus>
              <c:numLit>
                <c:formatCode>General</c:formatCode>
                <c:ptCount val="1"/>
                <c:pt idx="0">
                  <c:v>0.18507000000000001</c:v>
                </c:pt>
              </c:numLit>
            </c:minus>
          </c:errBars>
          <c:xVal>
            <c:numRef>
              <c:f>'Random Effects (Vague)'!$I$32</c:f>
              <c:numCache>
                <c:formatCode>General</c:formatCode>
                <c:ptCount val="1"/>
                <c:pt idx="0">
                  <c:v>0.25290000000000001</c:v>
                </c:pt>
              </c:numCache>
            </c:numRef>
          </c:xVal>
          <c:yVal>
            <c:numLit>
              <c:formatCode>General</c:formatCode>
              <c:ptCount val="1"/>
              <c:pt idx="0">
                <c:v>55.5</c:v>
              </c:pt>
            </c:numLit>
          </c:yVal>
          <c:smooth val="0"/>
        </c:ser>
        <c:ser>
          <c:idx val="28"/>
          <c:order val="28"/>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0.1948797087685977</c:v>
                </c:pt>
              </c:numLit>
            </c:plus>
            <c:minus>
              <c:numLit>
                <c:formatCode>General</c:formatCode>
                <c:ptCount val="1"/>
                <c:pt idx="0">
                  <c:v>0.11070428265189564</c:v>
                </c:pt>
              </c:numLit>
            </c:minus>
          </c:errBars>
          <c:xVal>
            <c:numRef>
              <c:f>'Random Effects (Vague)'!$I$33</c:f>
              <c:numCache>
                <c:formatCode>0.0000</c:formatCode>
                <c:ptCount val="1"/>
                <c:pt idx="0">
                  <c:v>0.20576131687242796</c:v>
                </c:pt>
              </c:numCache>
            </c:numRef>
          </c:xVal>
          <c:yVal>
            <c:numLit>
              <c:formatCode>General</c:formatCode>
              <c:ptCount val="1"/>
              <c:pt idx="0">
                <c:v>57.5</c:v>
              </c:pt>
            </c:numLit>
          </c:yVal>
          <c:smooth val="0"/>
        </c:ser>
        <c:ser>
          <c:idx val="29"/>
          <c:order val="29"/>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0.12725934030284619</c:v>
                </c:pt>
              </c:numLit>
            </c:plus>
            <c:minus>
              <c:numLit>
                <c:formatCode>General</c:formatCode>
                <c:ptCount val="1"/>
                <c:pt idx="0">
                  <c:v>8.3283392073947304E-2</c:v>
                </c:pt>
              </c:numLit>
            </c:minus>
          </c:errBars>
          <c:xVal>
            <c:numRef>
              <c:f>'Random Effects (Vague)'!$I$34</c:f>
              <c:numCache>
                <c:formatCode>General</c:formatCode>
                <c:ptCount val="1"/>
                <c:pt idx="0">
                  <c:v>0.14566642388929352</c:v>
                </c:pt>
              </c:numCache>
            </c:numRef>
          </c:xVal>
          <c:yVal>
            <c:numLit>
              <c:formatCode>General</c:formatCode>
              <c:ptCount val="1"/>
              <c:pt idx="0">
                <c:v>59.5</c:v>
              </c:pt>
            </c:numLit>
          </c:yVal>
          <c:smooth val="0"/>
        </c:ser>
        <c:ser>
          <c:idx val="30"/>
          <c:order val="30"/>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0.42134520058928449</c:v>
                </c:pt>
              </c:numLit>
            </c:plus>
            <c:minus>
              <c:numLit>
                <c:formatCode>General</c:formatCode>
                <c:ptCount val="1"/>
                <c:pt idx="0">
                  <c:v>0.10980670045555954</c:v>
                </c:pt>
              </c:numLit>
            </c:minus>
          </c:errBars>
          <c:xVal>
            <c:numRef>
              <c:f>'Random Effects (Vague)'!$I$35</c:f>
              <c:numCache>
                <c:formatCode>General</c:formatCode>
                <c:ptCount val="1"/>
                <c:pt idx="0">
                  <c:v>0.14330753797649756</c:v>
                </c:pt>
              </c:numCache>
            </c:numRef>
          </c:xVal>
          <c:yVal>
            <c:numLit>
              <c:formatCode>General</c:formatCode>
              <c:ptCount val="1"/>
              <c:pt idx="0">
                <c:v>61.5</c:v>
              </c:pt>
            </c:numLit>
          </c:yVal>
          <c:smooth val="0"/>
        </c:ser>
        <c:ser>
          <c:idx val="31"/>
          <c:order val="31"/>
          <c:tx>
            <c:v>INDOTHERS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0.11066195364204739</c:v>
                </c:pt>
              </c:numLit>
            </c:plus>
            <c:minus>
              <c:numLit>
                <c:formatCode>General</c:formatCode>
                <c:ptCount val="1"/>
                <c:pt idx="0">
                  <c:v>5.5562563446440699E-2</c:v>
                </c:pt>
              </c:numLit>
            </c:minus>
          </c:errBars>
          <c:xVal>
            <c:numRef>
              <c:f>'Random Effects (Vague)'!$I$36</c:f>
              <c:numCache>
                <c:formatCode>General</c:formatCode>
                <c:ptCount val="1"/>
                <c:pt idx="0">
                  <c:v>9.5057034220532327E-2</c:v>
                </c:pt>
              </c:numCache>
            </c:numRef>
          </c:xVal>
          <c:yVal>
            <c:numLit>
              <c:formatCode>General</c:formatCode>
              <c:ptCount val="1"/>
              <c:pt idx="0">
                <c:v>63.5</c:v>
              </c:pt>
            </c:numLit>
          </c:yVal>
          <c:smooth val="0"/>
        </c:ser>
        <c:ser>
          <c:idx val="32"/>
          <c:order val="32"/>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0.10892207944303657</c:v>
                </c:pt>
              </c:numLit>
            </c:plus>
            <c:minus>
              <c:numLit>
                <c:formatCode>General</c:formatCode>
                <c:ptCount val="1"/>
                <c:pt idx="0">
                  <c:v>4.8955404034567329E-2</c:v>
                </c:pt>
              </c:numLit>
            </c:minus>
          </c:errBars>
          <c:xVal>
            <c:numRef>
              <c:f>'Random Effects (Vague)'!$I$37</c:f>
              <c:numCache>
                <c:formatCode>General</c:formatCode>
                <c:ptCount val="1"/>
                <c:pt idx="0">
                  <c:v>8.1699346405228759E-2</c:v>
                </c:pt>
              </c:numCache>
            </c:numRef>
          </c:xVal>
          <c:yVal>
            <c:numLit>
              <c:formatCode>General</c:formatCode>
              <c:ptCount val="1"/>
              <c:pt idx="0">
                <c:v>65.5</c:v>
              </c:pt>
            </c:numLit>
          </c:yVal>
          <c:smooth val="0"/>
        </c:ser>
        <c:ser>
          <c:idx val="33"/>
          <c:order val="33"/>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0.16992861029558276</c:v>
                </c:pt>
              </c:numLit>
            </c:plus>
            <c:minus>
              <c:numLit>
                <c:formatCode>General</c:formatCode>
                <c:ptCount val="1"/>
                <c:pt idx="0">
                  <c:v>4.8884360631896939E-2</c:v>
                </c:pt>
              </c:numLit>
            </c:minus>
          </c:errBars>
          <c:xVal>
            <c:numRef>
              <c:f>'Random Effects (Vague)'!$I$38</c:f>
              <c:numCache>
                <c:formatCode>General</c:formatCode>
                <c:ptCount val="1"/>
                <c:pt idx="0">
                  <c:v>7.0571630204657732E-2</c:v>
                </c:pt>
              </c:numCache>
            </c:numRef>
          </c:xVal>
          <c:yVal>
            <c:numLit>
              <c:formatCode>General</c:formatCode>
              <c:ptCount val="1"/>
              <c:pt idx="0">
                <c:v>67.5</c:v>
              </c:pt>
            </c:numLit>
          </c:yVal>
          <c:smooth val="0"/>
        </c:ser>
        <c:ser>
          <c:idx val="34"/>
          <c:order val="34"/>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0.11451154394459583</c:v>
                </c:pt>
              </c:numLit>
            </c:plus>
            <c:minus>
              <c:numLit>
                <c:formatCode>General</c:formatCode>
                <c:ptCount val="1"/>
                <c:pt idx="0">
                  <c:v>3.9635384395880921E-2</c:v>
                </c:pt>
              </c:numLit>
            </c:minus>
          </c:errBars>
          <c:xVal>
            <c:numRef>
              <c:f>'Random Effects (Vague)'!$I$39</c:f>
              <c:numCache>
                <c:formatCode>0.0000</c:formatCode>
                <c:ptCount val="1"/>
                <c:pt idx="0">
                  <c:v>6.0313630880579019E-2</c:v>
                </c:pt>
              </c:numCache>
            </c:numRef>
          </c:xVal>
          <c:yVal>
            <c:numLit>
              <c:formatCode>General</c:formatCode>
              <c:ptCount val="1"/>
              <c:pt idx="0">
                <c:v>69.5</c:v>
              </c:pt>
            </c:numLit>
          </c:yVal>
          <c:smooth val="0"/>
        </c:ser>
        <c:ser>
          <c:idx val="35"/>
          <c:order val="35"/>
          <c:tx>
            <c:v>IBUIVHIGHDOSE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0.16068680898991175</c:v>
                </c:pt>
              </c:numLit>
            </c:plus>
            <c:minus>
              <c:numLit>
                <c:formatCode>General</c:formatCode>
                <c:ptCount val="1"/>
                <c:pt idx="0">
                  <c:v>4.1851151808639214E-2</c:v>
                </c:pt>
              </c:numLit>
            </c:minus>
          </c:errBars>
          <c:xVal>
            <c:numRef>
              <c:f>'Random Effects (Vague)'!$I$40</c:f>
              <c:numCache>
                <c:formatCode>General</c:formatCode>
                <c:ptCount val="1"/>
                <c:pt idx="0">
                  <c:v>5.2714812862414341E-2</c:v>
                </c:pt>
              </c:numCache>
            </c:numRef>
          </c:xVal>
          <c:yVal>
            <c:numLit>
              <c:formatCode>General</c:formatCode>
              <c:ptCount val="1"/>
              <c:pt idx="0">
                <c:v>71.5</c:v>
              </c:pt>
            </c:numLit>
          </c:yVal>
          <c:smooth val="0"/>
        </c:ser>
        <c:dLbls>
          <c:showLegendKey val="0"/>
          <c:showVal val="0"/>
          <c:showCatName val="0"/>
          <c:showSerName val="0"/>
          <c:showPercent val="0"/>
          <c:showBubbleSize val="0"/>
        </c:dLbls>
        <c:axId val="238096808"/>
        <c:axId val="238097192"/>
      </c:scatterChart>
      <c:valAx>
        <c:axId val="238096808"/>
        <c:scaling>
          <c:logBase val="10"/>
          <c:orientation val="minMax"/>
        </c:scaling>
        <c:delete val="0"/>
        <c:axPos val="b"/>
        <c:numFmt formatCode="0.0000" sourceLinked="1"/>
        <c:majorTickMark val="out"/>
        <c:minorTickMark val="out"/>
        <c:tickLblPos val="nextTo"/>
        <c:crossAx val="238097192"/>
        <c:crossesAt val="0"/>
        <c:crossBetween val="midCat"/>
      </c:valAx>
      <c:valAx>
        <c:axId val="238097192"/>
        <c:scaling>
          <c:orientation val="minMax"/>
          <c:max val="72"/>
          <c:min val="0"/>
        </c:scaling>
        <c:delete val="0"/>
        <c:axPos val="l"/>
        <c:numFmt formatCode="General" sourceLinked="1"/>
        <c:majorTickMark val="none"/>
        <c:minorTickMark val="none"/>
        <c:tickLblPos val="none"/>
        <c:crossAx val="238096808"/>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814628940613193"/>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Data'!$M$5:$M$100</c:f>
              <c:numCache>
                <c:formatCode>General</c:formatCode>
                <c:ptCount val="9"/>
                <c:pt idx="0">
                  <c:v>0</c:v>
                </c:pt>
                <c:pt idx="1">
                  <c:v>1.333E-3</c:v>
                </c:pt>
                <c:pt idx="2">
                  <c:v>5.3330000000000001E-3</c:v>
                </c:pt>
                <c:pt idx="3">
                  <c:v>2.1329999999999998E-2</c:v>
                </c:pt>
                <c:pt idx="4">
                  <c:v>9.733E-2</c:v>
                </c:pt>
                <c:pt idx="5">
                  <c:v>0.442</c:v>
                </c:pt>
                <c:pt idx="6">
                  <c:v>0.38</c:v>
                </c:pt>
                <c:pt idx="7">
                  <c:v>5.2670000000000002E-2</c:v>
                </c:pt>
                <c:pt idx="8">
                  <c:v>0</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Data'!$N$5:$N$100</c:f>
              <c:numCache>
                <c:formatCode>General</c:formatCode>
                <c:ptCount val="9"/>
                <c:pt idx="0">
                  <c:v>0</c:v>
                </c:pt>
                <c:pt idx="1">
                  <c:v>0</c:v>
                </c:pt>
                <c:pt idx="2">
                  <c:v>0</c:v>
                </c:pt>
                <c:pt idx="3">
                  <c:v>3.3330000000000002E-4</c:v>
                </c:pt>
                <c:pt idx="4">
                  <c:v>3.0000000000000001E-3</c:v>
                </c:pt>
                <c:pt idx="5">
                  <c:v>2.3E-2</c:v>
                </c:pt>
                <c:pt idx="6">
                  <c:v>0.29570000000000002</c:v>
                </c:pt>
                <c:pt idx="7">
                  <c:v>0.67800000000000005</c:v>
                </c:pt>
                <c:pt idx="8">
                  <c:v>0</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Data'!$O$5:$O$100</c:f>
              <c:numCache>
                <c:formatCode>General</c:formatCode>
                <c:ptCount val="9"/>
                <c:pt idx="0">
                  <c:v>1.933E-2</c:v>
                </c:pt>
                <c:pt idx="1">
                  <c:v>0.125</c:v>
                </c:pt>
                <c:pt idx="2">
                  <c:v>0.31</c:v>
                </c:pt>
                <c:pt idx="3">
                  <c:v>0.32529999999999998</c:v>
                </c:pt>
                <c:pt idx="4">
                  <c:v>0.16470000000000001</c:v>
                </c:pt>
                <c:pt idx="5">
                  <c:v>5.3330000000000002E-2</c:v>
                </c:pt>
                <c:pt idx="6">
                  <c:v>2.333E-3</c:v>
                </c:pt>
                <c:pt idx="7">
                  <c:v>0</c:v>
                </c:pt>
                <c:pt idx="8">
                  <c:v>0</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Data'!$P$5:$P$100</c:f>
              <c:numCache>
                <c:formatCode>General</c:formatCode>
                <c:ptCount val="9"/>
                <c:pt idx="0">
                  <c:v>0.22900000000000001</c:v>
                </c:pt>
                <c:pt idx="1">
                  <c:v>0.37230000000000002</c:v>
                </c:pt>
                <c:pt idx="2">
                  <c:v>0.24</c:v>
                </c:pt>
                <c:pt idx="3">
                  <c:v>9.7670000000000007E-2</c:v>
                </c:pt>
                <c:pt idx="4">
                  <c:v>4.1669999999999999E-2</c:v>
                </c:pt>
                <c:pt idx="5">
                  <c:v>1.4E-2</c:v>
                </c:pt>
                <c:pt idx="6">
                  <c:v>5.0000000000000001E-3</c:v>
                </c:pt>
                <c:pt idx="7">
                  <c:v>3.3330000000000002E-4</c:v>
                </c:pt>
                <c:pt idx="8">
                  <c:v>0</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Data'!$Q$5:$Q$100</c:f>
              <c:numCache>
                <c:formatCode>General</c:formatCode>
                <c:ptCount val="9"/>
                <c:pt idx="0">
                  <c:v>0.5323</c:v>
                </c:pt>
                <c:pt idx="1">
                  <c:v>0.12330000000000001</c:v>
                </c:pt>
                <c:pt idx="2">
                  <c:v>9.4670000000000004E-2</c:v>
                </c:pt>
                <c:pt idx="3">
                  <c:v>7.2669999999999998E-2</c:v>
                </c:pt>
                <c:pt idx="4">
                  <c:v>8.7330000000000005E-2</c:v>
                </c:pt>
                <c:pt idx="5">
                  <c:v>4.4670000000000001E-2</c:v>
                </c:pt>
                <c:pt idx="6">
                  <c:v>3.2329999999999998E-2</c:v>
                </c:pt>
                <c:pt idx="7">
                  <c:v>1.2670000000000001E-2</c:v>
                </c:pt>
                <c:pt idx="8">
                  <c:v>0</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Data'!$R$5:$R$100</c:f>
              <c:numCache>
                <c:formatCode>General</c:formatCode>
                <c:ptCount val="9"/>
                <c:pt idx="0">
                  <c:v>0.16669999999999999</c:v>
                </c:pt>
                <c:pt idx="1">
                  <c:v>0.25800000000000001</c:v>
                </c:pt>
                <c:pt idx="2">
                  <c:v>0.1663</c:v>
                </c:pt>
                <c:pt idx="3">
                  <c:v>0.16969999999999999</c:v>
                </c:pt>
                <c:pt idx="4">
                  <c:v>0.1187</c:v>
                </c:pt>
                <c:pt idx="5">
                  <c:v>6.7669999999999994E-2</c:v>
                </c:pt>
                <c:pt idx="6">
                  <c:v>3.9E-2</c:v>
                </c:pt>
                <c:pt idx="7">
                  <c:v>1.4E-2</c:v>
                </c:pt>
                <c:pt idx="8">
                  <c:v>0</c:v>
                </c:pt>
              </c:numCache>
            </c:numRef>
          </c:val>
          <c:smooth val="0"/>
        </c:ser>
        <c:ser>
          <c:idx val="6"/>
          <c:order val="6"/>
          <c:tx>
            <c:strRef>
              <c:f>'Rankogram Data'!$S$4</c:f>
              <c:strCache>
                <c:ptCount val="1"/>
                <c:pt idx="0">
                  <c:v>INDOIVCONT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Data'!$S$5:$S$100</c:f>
              <c:numCache>
                <c:formatCode>General</c:formatCode>
                <c:ptCount val="9"/>
                <c:pt idx="0">
                  <c:v>3.567E-2</c:v>
                </c:pt>
                <c:pt idx="1">
                  <c:v>4.7E-2</c:v>
                </c:pt>
                <c:pt idx="2">
                  <c:v>5.3670000000000002E-2</c:v>
                </c:pt>
                <c:pt idx="3">
                  <c:v>7.2669999999999998E-2</c:v>
                </c:pt>
                <c:pt idx="4">
                  <c:v>0.11070000000000001</c:v>
                </c:pt>
                <c:pt idx="5">
                  <c:v>0.2127</c:v>
                </c:pt>
                <c:pt idx="6">
                  <c:v>0.22600000000000001</c:v>
                </c:pt>
                <c:pt idx="7">
                  <c:v>0.2397</c:v>
                </c:pt>
                <c:pt idx="8">
                  <c:v>2E-3</c:v>
                </c:pt>
              </c:numCache>
            </c:numRef>
          </c:val>
          <c:smooth val="0"/>
        </c:ser>
        <c:ser>
          <c:idx val="7"/>
          <c:order val="7"/>
          <c:tx>
            <c:strRef>
              <c:f>'Rankogram Data'!$T$4</c:f>
              <c:strCache>
                <c:ptCount val="1"/>
                <c:pt idx="0">
                  <c:v>INDOTHERS</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Data'!$T$5:$T$100</c:f>
              <c:numCache>
                <c:formatCode>General</c:formatCode>
                <c:ptCount val="9"/>
                <c:pt idx="0">
                  <c:v>1.7000000000000001E-2</c:v>
                </c:pt>
                <c:pt idx="1">
                  <c:v>7.2999999999999995E-2</c:v>
                </c:pt>
                <c:pt idx="2">
                  <c:v>0.13</c:v>
                </c:pt>
                <c:pt idx="3">
                  <c:v>0.24030000000000001</c:v>
                </c:pt>
                <c:pt idx="4">
                  <c:v>0.37669999999999998</c:v>
                </c:pt>
                <c:pt idx="5">
                  <c:v>0.14269999999999999</c:v>
                </c:pt>
                <c:pt idx="6">
                  <c:v>1.967E-2</c:v>
                </c:pt>
                <c:pt idx="7">
                  <c:v>6.667E-4</c:v>
                </c:pt>
                <c:pt idx="8">
                  <c:v>0</c:v>
                </c:pt>
              </c:numCache>
            </c:numRef>
          </c:val>
          <c:smooth val="0"/>
        </c:ser>
        <c:ser>
          <c:idx val="8"/>
          <c:order val="8"/>
          <c:tx>
            <c:strRef>
              <c:f>'Rankogram Data'!$U$4</c:f>
              <c:strCache>
                <c:ptCount val="1"/>
                <c:pt idx="0">
                  <c:v>PLAC_NORX</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Data'!$U$5:$U$100</c:f>
              <c:numCache>
                <c:formatCode>General</c:formatCode>
                <c:ptCount val="9"/>
                <c:pt idx="0">
                  <c:v>0</c:v>
                </c:pt>
                <c:pt idx="1">
                  <c:v>0</c:v>
                </c:pt>
                <c:pt idx="2">
                  <c:v>0</c:v>
                </c:pt>
                <c:pt idx="3">
                  <c:v>0</c:v>
                </c:pt>
                <c:pt idx="4">
                  <c:v>0</c:v>
                </c:pt>
                <c:pt idx="5">
                  <c:v>0</c:v>
                </c:pt>
                <c:pt idx="6">
                  <c:v>0</c:v>
                </c:pt>
                <c:pt idx="7">
                  <c:v>2E-3</c:v>
                </c:pt>
                <c:pt idx="8">
                  <c:v>0.998</c:v>
                </c:pt>
              </c:numCache>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Data'!$AA$5:$AA$100</c:f>
            </c:numRef>
          </c:val>
          <c:smooth val="0"/>
        </c:ser>
        <c:dLbls>
          <c:showLegendKey val="0"/>
          <c:showVal val="0"/>
          <c:showCatName val="0"/>
          <c:showSerName val="0"/>
          <c:showPercent val="0"/>
          <c:showBubbleSize val="0"/>
        </c:dLbls>
        <c:marker val="1"/>
        <c:smooth val="0"/>
        <c:axId val="238258624"/>
        <c:axId val="175177984"/>
      </c:lineChart>
      <c:catAx>
        <c:axId val="2382586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75177984"/>
        <c:crosses val="autoZero"/>
        <c:auto val="1"/>
        <c:lblAlgn val="ctr"/>
        <c:lblOffset val="100"/>
        <c:noMultiLvlLbl val="0"/>
      </c:catAx>
      <c:valAx>
        <c:axId val="175177984"/>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258624"/>
        <c:crosses val="autoZero"/>
        <c:crossBetween val="between"/>
        <c:majorUnit val="0.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173760576"/>
        <c:axId val="238731648"/>
      </c:scatterChart>
      <c:valAx>
        <c:axId val="173760576"/>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238731648"/>
        <c:crosses val="autoZero"/>
        <c:crossBetween val="midCat"/>
        <c:majorUnit val="0.5"/>
        <c:minorUnit val="0.25"/>
      </c:valAx>
      <c:valAx>
        <c:axId val="23873164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173760576"/>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0.54859999999999998</c:v>
                </c:pt>
                <c:pt idx="1">
                  <c:v>0.73850000000000005</c:v>
                </c:pt>
                <c:pt idx="2">
                  <c:v>0.84060000000000001</c:v>
                </c:pt>
                <c:pt idx="3">
                  <c:v>0.79879999999999995</c:v>
                </c:pt>
                <c:pt idx="4">
                  <c:v>0.82689999999999997</c:v>
                </c:pt>
                <c:pt idx="5">
                  <c:v>0.66720000000000002</c:v>
                </c:pt>
                <c:pt idx="6">
                  <c:v>1.2290000000000001</c:v>
                </c:pt>
                <c:pt idx="7">
                  <c:v>1.2430000000000001</c:v>
                </c:pt>
                <c:pt idx="8">
                  <c:v>1.077</c:v>
                </c:pt>
                <c:pt idx="9">
                  <c:v>1.194</c:v>
                </c:pt>
                <c:pt idx="10">
                  <c:v>0.44650000000000001</c:v>
                </c:pt>
                <c:pt idx="11">
                  <c:v>0.80430000000000001</c:v>
                </c:pt>
                <c:pt idx="12">
                  <c:v>0.94089999999999996</c:v>
                </c:pt>
                <c:pt idx="13">
                  <c:v>0.96450000000000002</c:v>
                </c:pt>
                <c:pt idx="14">
                  <c:v>0.96679999999999999</c:v>
                </c:pt>
                <c:pt idx="15">
                  <c:v>0.9758</c:v>
                </c:pt>
                <c:pt idx="16">
                  <c:v>0.76459999999999995</c:v>
                </c:pt>
                <c:pt idx="17">
                  <c:v>1.1859999999999999</c:v>
                </c:pt>
                <c:pt idx="18">
                  <c:v>0.67510000000000003</c:v>
                </c:pt>
                <c:pt idx="19">
                  <c:v>0.64870000000000005</c:v>
                </c:pt>
                <c:pt idx="20">
                  <c:v>1.526</c:v>
                </c:pt>
                <c:pt idx="21">
                  <c:v>1.2889999999999999</c:v>
                </c:pt>
                <c:pt idx="22">
                  <c:v>0.73009999999999997</c:v>
                </c:pt>
                <c:pt idx="23">
                  <c:v>0.76990000000000003</c:v>
                </c:pt>
                <c:pt idx="24">
                  <c:v>0.86419999999999997</c:v>
                </c:pt>
                <c:pt idx="25">
                  <c:v>0.79720000000000002</c:v>
                </c:pt>
              </c:numCache>
            </c:numRef>
          </c:xVal>
          <c:yVal>
            <c:numRef>
              <c:f>'Inconsistency Data'!$J$6:$J$105</c:f>
              <c:numCache>
                <c:formatCode>General</c:formatCode>
                <c:ptCount val="26"/>
                <c:pt idx="0">
                  <c:v>0.54349999999999998</c:v>
                </c:pt>
                <c:pt idx="1">
                  <c:v>0.67120000000000002</c:v>
                </c:pt>
                <c:pt idx="2">
                  <c:v>1.0620000000000001</c:v>
                </c:pt>
                <c:pt idx="3">
                  <c:v>0.98550000000000004</c:v>
                </c:pt>
                <c:pt idx="4">
                  <c:v>0.81230000000000002</c:v>
                </c:pt>
                <c:pt idx="5">
                  <c:v>0.62009999999999998</c:v>
                </c:pt>
                <c:pt idx="6">
                  <c:v>1.0840000000000001</c:v>
                </c:pt>
                <c:pt idx="7">
                  <c:v>0.9677</c:v>
                </c:pt>
                <c:pt idx="8">
                  <c:v>0.8508</c:v>
                </c:pt>
                <c:pt idx="9">
                  <c:v>0.93740000000000001</c:v>
                </c:pt>
                <c:pt idx="10">
                  <c:v>0.66869999999999996</c:v>
                </c:pt>
                <c:pt idx="11">
                  <c:v>0.83499999999999996</c:v>
                </c:pt>
                <c:pt idx="12">
                  <c:v>0.89870000000000005</c:v>
                </c:pt>
                <c:pt idx="13">
                  <c:v>0.9284</c:v>
                </c:pt>
                <c:pt idx="14">
                  <c:v>0.87450000000000006</c:v>
                </c:pt>
                <c:pt idx="15">
                  <c:v>0.84809999999999997</c:v>
                </c:pt>
                <c:pt idx="16">
                  <c:v>1.0089999999999999</c:v>
                </c:pt>
                <c:pt idx="17">
                  <c:v>1.353</c:v>
                </c:pt>
                <c:pt idx="18">
                  <c:v>0.68679999999999997</c:v>
                </c:pt>
                <c:pt idx="19">
                  <c:v>0.65329999999999999</c:v>
                </c:pt>
                <c:pt idx="20">
                  <c:v>1.4370000000000001</c:v>
                </c:pt>
                <c:pt idx="21">
                  <c:v>1.2809999999999999</c:v>
                </c:pt>
                <c:pt idx="22">
                  <c:v>0.78059999999999996</c:v>
                </c:pt>
                <c:pt idx="23">
                  <c:v>0.79369999999999996</c:v>
                </c:pt>
                <c:pt idx="24">
                  <c:v>0.77170000000000005</c:v>
                </c:pt>
                <c:pt idx="25">
                  <c:v>0.69899999999999995</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237758128"/>
        <c:axId val="237824752"/>
      </c:scatterChart>
      <c:valAx>
        <c:axId val="23775812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237824752"/>
        <c:crosses val="autoZero"/>
        <c:crossBetween val="midCat"/>
        <c:majorUnit val="0.5"/>
        <c:minorUnit val="0.25"/>
      </c:valAx>
      <c:valAx>
        <c:axId val="237824752"/>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23775812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6</xdr:col>
      <xdr:colOff>355014</xdr:colOff>
      <xdr:row>29</xdr:row>
      <xdr:rowOff>167689</xdr:rowOff>
    </xdr:from>
    <xdr:to>
      <xdr:col>9</xdr:col>
      <xdr:colOff>203786</xdr:colOff>
      <xdr:row>38</xdr:row>
      <xdr:rowOff>130761</xdr:rowOff>
    </xdr:to>
    <xdr:sp macro="" textlink="">
      <xdr:nvSpPr>
        <xdr:cNvPr id="78" name="A"/>
        <xdr:cNvSpPr/>
      </xdr:nvSpPr>
      <xdr:spPr>
        <a:xfrm>
          <a:off x="6222414" y="5777914"/>
          <a:ext cx="1677572" cy="167757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9</xdr:col>
      <xdr:colOff>34849</xdr:colOff>
      <xdr:row>51</xdr:row>
      <xdr:rowOff>28499</xdr:rowOff>
    </xdr:from>
    <xdr:to>
      <xdr:col>11</xdr:col>
      <xdr:colOff>396951</xdr:colOff>
      <xdr:row>59</xdr:row>
      <xdr:rowOff>85801</xdr:rowOff>
    </xdr:to>
    <xdr:sp macro="" textlink="">
      <xdr:nvSpPr>
        <xdr:cNvPr id="79" name="B"/>
        <xdr:cNvSpPr/>
      </xdr:nvSpPr>
      <xdr:spPr>
        <a:xfrm>
          <a:off x="7731049" y="9839249"/>
          <a:ext cx="1581302" cy="158130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15</xdr:col>
      <xdr:colOff>183594</xdr:colOff>
      <xdr:row>62</xdr:row>
      <xdr:rowOff>177244</xdr:rowOff>
    </xdr:from>
    <xdr:to>
      <xdr:col>17</xdr:col>
      <xdr:colOff>324406</xdr:colOff>
      <xdr:row>70</xdr:row>
      <xdr:rowOff>13257</xdr:rowOff>
    </xdr:to>
    <xdr:sp macro="" textlink="">
      <xdr:nvSpPr>
        <xdr:cNvPr id="80" name="C"/>
        <xdr:cNvSpPr/>
      </xdr:nvSpPr>
      <xdr:spPr>
        <a:xfrm>
          <a:off x="11537394" y="12083494"/>
          <a:ext cx="1360012" cy="1360013"/>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22</xdr:col>
      <xdr:colOff>332220</xdr:colOff>
      <xdr:row>60</xdr:row>
      <xdr:rowOff>21069</xdr:rowOff>
    </xdr:from>
    <xdr:to>
      <xdr:col>24</xdr:col>
      <xdr:colOff>48782</xdr:colOff>
      <xdr:row>65</xdr:row>
      <xdr:rowOff>4330</xdr:rowOff>
    </xdr:to>
    <xdr:sp macro="" textlink="">
      <xdr:nvSpPr>
        <xdr:cNvPr id="81" name="D"/>
        <xdr:cNvSpPr/>
      </xdr:nvSpPr>
      <xdr:spPr>
        <a:xfrm>
          <a:off x="15953220" y="11546319"/>
          <a:ext cx="935762" cy="935761"/>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292883</xdr:colOff>
      <xdr:row>44</xdr:row>
      <xdr:rowOff>70632</xdr:rowOff>
    </xdr:from>
    <xdr:to>
      <xdr:col>28</xdr:col>
      <xdr:colOff>88119</xdr:colOff>
      <xdr:row>46</xdr:row>
      <xdr:rowOff>94467</xdr:rowOff>
    </xdr:to>
    <xdr:sp macro="" textlink="">
      <xdr:nvSpPr>
        <xdr:cNvPr id="82" name="E"/>
        <xdr:cNvSpPr/>
      </xdr:nvSpPr>
      <xdr:spPr>
        <a:xfrm>
          <a:off x="18961883" y="8547882"/>
          <a:ext cx="404836" cy="404835"/>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167123</xdr:colOff>
      <xdr:row>21</xdr:row>
      <xdr:rowOff>144898</xdr:rowOff>
    </xdr:from>
    <xdr:to>
      <xdr:col>28</xdr:col>
      <xdr:colOff>213877</xdr:colOff>
      <xdr:row>24</xdr:row>
      <xdr:rowOff>153552</xdr:rowOff>
    </xdr:to>
    <xdr:sp macro="" textlink="">
      <xdr:nvSpPr>
        <xdr:cNvPr id="83" name="F"/>
        <xdr:cNvSpPr/>
      </xdr:nvSpPr>
      <xdr:spPr>
        <a:xfrm>
          <a:off x="18836123" y="4154923"/>
          <a:ext cx="656354" cy="65635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23</xdr:col>
      <xdr:colOff>0</xdr:colOff>
      <xdr:row>5</xdr:row>
      <xdr:rowOff>76200</xdr:rowOff>
    </xdr:from>
    <xdr:to>
      <xdr:col>23</xdr:col>
      <xdr:colOff>381000</xdr:colOff>
      <xdr:row>7</xdr:row>
      <xdr:rowOff>76200</xdr:rowOff>
    </xdr:to>
    <xdr:sp macro="" textlink="">
      <xdr:nvSpPr>
        <xdr:cNvPr id="84" name="G"/>
        <xdr:cNvSpPr/>
      </xdr:nvSpPr>
      <xdr:spPr>
        <a:xfrm>
          <a:off x="16230600" y="10287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15</xdr:col>
      <xdr:colOff>399464</xdr:colOff>
      <xdr:row>1</xdr:row>
      <xdr:rowOff>30726</xdr:rowOff>
    </xdr:from>
    <xdr:to>
      <xdr:col>17</xdr:col>
      <xdr:colOff>415794</xdr:colOff>
      <xdr:row>7</xdr:row>
      <xdr:rowOff>123254</xdr:rowOff>
    </xdr:to>
    <xdr:sp macro="" textlink="">
      <xdr:nvSpPr>
        <xdr:cNvPr id="85" name="H"/>
        <xdr:cNvSpPr/>
      </xdr:nvSpPr>
      <xdr:spPr>
        <a:xfrm>
          <a:off x="11814101" y="215081"/>
          <a:ext cx="1245362" cy="119865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9</xdr:col>
      <xdr:colOff>449137</xdr:colOff>
      <xdr:row>11</xdr:row>
      <xdr:rowOff>131637</xdr:rowOff>
    </xdr:from>
    <xdr:to>
      <xdr:col>10</xdr:col>
      <xdr:colOff>592263</xdr:colOff>
      <xdr:row>15</xdr:row>
      <xdr:rowOff>122363</xdr:rowOff>
    </xdr:to>
    <xdr:sp macro="" textlink="">
      <xdr:nvSpPr>
        <xdr:cNvPr id="86" name="I"/>
        <xdr:cNvSpPr/>
      </xdr:nvSpPr>
      <xdr:spPr>
        <a:xfrm>
          <a:off x="8145337" y="2227137"/>
          <a:ext cx="752726" cy="7527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8</xdr:col>
      <xdr:colOff>567711</xdr:colOff>
      <xdr:row>37</xdr:row>
      <xdr:rowOff>75586</xdr:rowOff>
    </xdr:from>
    <xdr:to>
      <xdr:col>15</xdr:col>
      <xdr:colOff>382763</xdr:colOff>
      <xdr:row>63</xdr:row>
      <xdr:rowOff>185913</xdr:rowOff>
    </xdr:to>
    <xdr:cxnSp macro="">
      <xdr:nvCxnSpPr>
        <xdr:cNvPr id="87" name="Straight Arrow Connector 86"/>
        <xdr:cNvCxnSpPr>
          <a:stCxn id="78" idx="5"/>
          <a:endCxn id="80" idx="1"/>
        </xdr:cNvCxnSpPr>
      </xdr:nvCxnSpPr>
      <xdr:spPr>
        <a:xfrm>
          <a:off x="7654311" y="7209811"/>
          <a:ext cx="4082252" cy="5072852"/>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324406</xdr:colOff>
      <xdr:row>62</xdr:row>
      <xdr:rowOff>107950</xdr:rowOff>
    </xdr:from>
    <xdr:to>
      <xdr:col>22</xdr:col>
      <xdr:colOff>332220</xdr:colOff>
      <xdr:row>66</xdr:row>
      <xdr:rowOff>95251</xdr:rowOff>
    </xdr:to>
    <xdr:cxnSp macro="">
      <xdr:nvCxnSpPr>
        <xdr:cNvPr id="88" name="Straight Arrow Connector 87"/>
        <xdr:cNvCxnSpPr>
          <a:stCxn id="80" idx="6"/>
          <a:endCxn id="81" idx="2"/>
        </xdr:cNvCxnSpPr>
      </xdr:nvCxnSpPr>
      <xdr:spPr>
        <a:xfrm flipV="1">
          <a:off x="12897406" y="12014200"/>
          <a:ext cx="3055814" cy="749301"/>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165375</xdr:colOff>
      <xdr:row>58</xdr:row>
      <xdr:rowOff>44725</xdr:rowOff>
    </xdr:from>
    <xdr:to>
      <xdr:col>15</xdr:col>
      <xdr:colOff>382763</xdr:colOff>
      <xdr:row>63</xdr:row>
      <xdr:rowOff>185913</xdr:rowOff>
    </xdr:to>
    <xdr:cxnSp macro="">
      <xdr:nvCxnSpPr>
        <xdr:cNvPr id="89" name="Straight Arrow Connector 88"/>
        <xdr:cNvCxnSpPr>
          <a:stCxn id="79" idx="5"/>
          <a:endCxn id="80" idx="1"/>
        </xdr:cNvCxnSpPr>
      </xdr:nvCxnSpPr>
      <xdr:spPr>
        <a:xfrm>
          <a:off x="9080775" y="11188975"/>
          <a:ext cx="2655788" cy="1093688"/>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584200</xdr:colOff>
      <xdr:row>15</xdr:row>
      <xdr:rowOff>12129</xdr:rowOff>
    </xdr:from>
    <xdr:to>
      <xdr:col>9</xdr:col>
      <xdr:colOff>559371</xdr:colOff>
      <xdr:row>29</xdr:row>
      <xdr:rowOff>167689</xdr:rowOff>
    </xdr:to>
    <xdr:cxnSp macro="">
      <xdr:nvCxnSpPr>
        <xdr:cNvPr id="90" name="Straight Arrow Connector 89"/>
        <xdr:cNvCxnSpPr>
          <a:stCxn id="78" idx="0"/>
          <a:endCxn id="86" idx="3"/>
        </xdr:cNvCxnSpPr>
      </xdr:nvCxnSpPr>
      <xdr:spPr>
        <a:xfrm flipV="1">
          <a:off x="7061200" y="2869629"/>
          <a:ext cx="1194371" cy="2908285"/>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165375</xdr:colOff>
      <xdr:row>7</xdr:row>
      <xdr:rowOff>20404</xdr:rowOff>
    </xdr:from>
    <xdr:to>
      <xdr:col>23</xdr:col>
      <xdr:colOff>55796</xdr:colOff>
      <xdr:row>52</xdr:row>
      <xdr:rowOff>69575</xdr:rowOff>
    </xdr:to>
    <xdr:cxnSp macro="">
      <xdr:nvCxnSpPr>
        <xdr:cNvPr id="91" name="Straight Arrow Connector 90"/>
        <xdr:cNvCxnSpPr>
          <a:stCxn id="79" idx="7"/>
          <a:endCxn id="84" idx="3"/>
        </xdr:cNvCxnSpPr>
      </xdr:nvCxnSpPr>
      <xdr:spPr>
        <a:xfrm flipV="1">
          <a:off x="9080775" y="1353904"/>
          <a:ext cx="7205621" cy="871692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396951</xdr:colOff>
      <xdr:row>45</xdr:row>
      <xdr:rowOff>82550</xdr:rowOff>
    </xdr:from>
    <xdr:to>
      <xdr:col>27</xdr:col>
      <xdr:colOff>292883</xdr:colOff>
      <xdr:row>55</xdr:row>
      <xdr:rowOff>57150</xdr:rowOff>
    </xdr:to>
    <xdr:cxnSp macro="">
      <xdr:nvCxnSpPr>
        <xdr:cNvPr id="92" name="Straight Arrow Connector 91"/>
        <xdr:cNvCxnSpPr>
          <a:stCxn id="79" idx="6"/>
          <a:endCxn id="82" idx="2"/>
        </xdr:cNvCxnSpPr>
      </xdr:nvCxnSpPr>
      <xdr:spPr>
        <a:xfrm flipV="1">
          <a:off x="9312351" y="8750300"/>
          <a:ext cx="9649532" cy="187960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254000</xdr:colOff>
      <xdr:row>7</xdr:row>
      <xdr:rowOff>123254</xdr:rowOff>
    </xdr:from>
    <xdr:to>
      <xdr:col>16</xdr:col>
      <xdr:colOff>407629</xdr:colOff>
      <xdr:row>62</xdr:row>
      <xdr:rowOff>177244</xdr:rowOff>
    </xdr:to>
    <xdr:cxnSp macro="">
      <xdr:nvCxnSpPr>
        <xdr:cNvPr id="94" name="Straight Arrow Connector 93"/>
        <xdr:cNvCxnSpPr>
          <a:stCxn id="80" idx="0"/>
          <a:endCxn id="85" idx="4"/>
        </xdr:cNvCxnSpPr>
      </xdr:nvCxnSpPr>
      <xdr:spPr>
        <a:xfrm flipV="1">
          <a:off x="12283153" y="1413738"/>
          <a:ext cx="153629" cy="10316409"/>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570467</xdr:colOff>
      <xdr:row>6</xdr:row>
      <xdr:rowOff>132070</xdr:rowOff>
    </xdr:from>
    <xdr:to>
      <xdr:col>15</xdr:col>
      <xdr:colOff>581843</xdr:colOff>
      <xdr:row>31</xdr:row>
      <xdr:rowOff>36555</xdr:rowOff>
    </xdr:to>
    <xdr:cxnSp macro="">
      <xdr:nvCxnSpPr>
        <xdr:cNvPr id="95" name="Straight Arrow Connector 94"/>
        <xdr:cNvCxnSpPr>
          <a:stCxn id="78" idx="7"/>
          <a:endCxn id="85" idx="3"/>
        </xdr:cNvCxnSpPr>
      </xdr:nvCxnSpPr>
      <xdr:spPr>
        <a:xfrm flipV="1">
          <a:off x="7683491" y="1238199"/>
          <a:ext cx="4312989" cy="4620896"/>
        </a:xfrm>
        <a:prstGeom prst="straightConnector1">
          <a:avLst/>
        </a:prstGeom>
        <a:ln w="762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584200</xdr:colOff>
      <xdr:row>38</xdr:row>
      <xdr:rowOff>130761</xdr:rowOff>
    </xdr:from>
    <xdr:to>
      <xdr:col>9</xdr:col>
      <xdr:colOff>266425</xdr:colOff>
      <xdr:row>52</xdr:row>
      <xdr:rowOff>69575</xdr:rowOff>
    </xdr:to>
    <xdr:cxnSp macro="">
      <xdr:nvCxnSpPr>
        <xdr:cNvPr id="96" name="Straight Arrow Connector 95"/>
        <xdr:cNvCxnSpPr>
          <a:stCxn id="78" idx="4"/>
          <a:endCxn id="79" idx="1"/>
        </xdr:cNvCxnSpPr>
      </xdr:nvCxnSpPr>
      <xdr:spPr>
        <a:xfrm>
          <a:off x="7061200" y="7455486"/>
          <a:ext cx="901425" cy="2615339"/>
        </a:xfrm>
        <a:prstGeom prst="straightConnector1">
          <a:avLst/>
        </a:prstGeom>
        <a:ln w="1016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481309</xdr:colOff>
      <xdr:row>6</xdr:row>
      <xdr:rowOff>132070</xdr:rowOff>
    </xdr:from>
    <xdr:to>
      <xdr:col>15</xdr:col>
      <xdr:colOff>581843</xdr:colOff>
      <xdr:row>12</xdr:row>
      <xdr:rowOff>53917</xdr:rowOff>
    </xdr:to>
    <xdr:cxnSp macro="">
      <xdr:nvCxnSpPr>
        <xdr:cNvPr id="97" name="Straight Arrow Connector 96"/>
        <xdr:cNvCxnSpPr>
          <a:stCxn id="85" idx="3"/>
          <a:endCxn id="86" idx="7"/>
        </xdr:cNvCxnSpPr>
      </xdr:nvCxnSpPr>
      <xdr:spPr>
        <a:xfrm flipH="1">
          <a:off x="8823365" y="1238199"/>
          <a:ext cx="3173115" cy="1027976"/>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215900</xdr:colOff>
      <xdr:row>15</xdr:row>
      <xdr:rowOff>122363</xdr:rowOff>
    </xdr:from>
    <xdr:to>
      <xdr:col>10</xdr:col>
      <xdr:colOff>215900</xdr:colOff>
      <xdr:row>51</xdr:row>
      <xdr:rowOff>28499</xdr:rowOff>
    </xdr:to>
    <xdr:cxnSp macro="">
      <xdr:nvCxnSpPr>
        <xdr:cNvPr id="98" name="Straight Arrow Connector 97"/>
        <xdr:cNvCxnSpPr>
          <a:stCxn id="79" idx="0"/>
          <a:endCxn id="86" idx="4"/>
        </xdr:cNvCxnSpPr>
      </xdr:nvCxnSpPr>
      <xdr:spPr>
        <a:xfrm flipV="1">
          <a:off x="8521700" y="2979863"/>
          <a:ext cx="0" cy="685938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125237</xdr:colOff>
      <xdr:row>24</xdr:row>
      <xdr:rowOff>57431</xdr:rowOff>
    </xdr:from>
    <xdr:to>
      <xdr:col>27</xdr:col>
      <xdr:colOff>263244</xdr:colOff>
      <xdr:row>63</xdr:row>
      <xdr:rowOff>185913</xdr:rowOff>
    </xdr:to>
    <xdr:cxnSp macro="">
      <xdr:nvCxnSpPr>
        <xdr:cNvPr id="99" name="Straight Arrow Connector 98"/>
        <xdr:cNvCxnSpPr>
          <a:stCxn id="80" idx="7"/>
          <a:endCxn id="83" idx="3"/>
        </xdr:cNvCxnSpPr>
      </xdr:nvCxnSpPr>
      <xdr:spPr>
        <a:xfrm flipV="1">
          <a:off x="12698237" y="4715156"/>
          <a:ext cx="6234007" cy="756750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190501</xdr:colOff>
      <xdr:row>24</xdr:row>
      <xdr:rowOff>153552</xdr:rowOff>
    </xdr:from>
    <xdr:to>
      <xdr:col>27</xdr:col>
      <xdr:colOff>495300</xdr:colOff>
      <xdr:row>60</xdr:row>
      <xdr:rowOff>21069</xdr:rowOff>
    </xdr:to>
    <xdr:cxnSp macro="">
      <xdr:nvCxnSpPr>
        <xdr:cNvPr id="100" name="Straight Arrow Connector 99"/>
        <xdr:cNvCxnSpPr>
          <a:stCxn id="81" idx="0"/>
          <a:endCxn id="83" idx="4"/>
        </xdr:cNvCxnSpPr>
      </xdr:nvCxnSpPr>
      <xdr:spPr>
        <a:xfrm flipV="1">
          <a:off x="16421101" y="4811277"/>
          <a:ext cx="2743199" cy="6735042"/>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18478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0.98213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181483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0.9811</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18129250"/>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0.92715</cdr:y>
    </cdr:from>
    <cdr:to>
      <cdr:x>0.31649</cdr:x>
      <cdr:y>0.95464</cdr:y>
    </cdr:to>
    <cdr:sp macro="" textlink="">
      <cdr:nvSpPr>
        <cdr:cNvPr id="2" name="TextBox 1"/>
        <cdr:cNvSpPr txBox="1"/>
      </cdr:nvSpPr>
      <cdr:spPr>
        <a:xfrm xmlns:a="http://schemas.openxmlformats.org/drawingml/2006/main">
          <a:off x="63500" y="1713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INDOIV</a:t>
          </a:r>
        </a:p>
      </cdr:txBody>
    </cdr:sp>
  </cdr:relSizeAnchor>
  <cdr:relSizeAnchor xmlns:cdr="http://schemas.openxmlformats.org/drawingml/2006/chartDrawing">
    <cdr:from>
      <cdr:x>0.75498</cdr:x>
      <cdr:y>0.92715</cdr:y>
    </cdr:from>
    <cdr:to>
      <cdr:x>1</cdr:x>
      <cdr:y>0.94089</cdr:y>
    </cdr:to>
    <cdr:sp macro="" textlink="">
      <cdr:nvSpPr>
        <cdr:cNvPr id="3" name="TextBox 2"/>
        <cdr:cNvSpPr txBox="1"/>
      </cdr:nvSpPr>
      <cdr:spPr>
        <a:xfrm xmlns:a="http://schemas.openxmlformats.org/drawingml/2006/main">
          <a:off x="4815044" y="1713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0.99 (0.32 – 3.58)</a:t>
          </a:r>
        </a:p>
      </cdr:txBody>
    </cdr:sp>
  </cdr:relSizeAnchor>
  <cdr:relSizeAnchor xmlns:cdr="http://schemas.openxmlformats.org/drawingml/2006/chartDrawing">
    <cdr:from>
      <cdr:x>0.01021</cdr:x>
      <cdr:y>0.90172</cdr:y>
    </cdr:from>
    <cdr:to>
      <cdr:x>0.31649</cdr:x>
      <cdr:y>0.92921</cdr:y>
    </cdr:to>
    <cdr:sp macro="" textlink="">
      <cdr:nvSpPr>
        <cdr:cNvPr id="4" name="TextBox 3"/>
        <cdr:cNvSpPr txBox="1"/>
      </cdr:nvSpPr>
      <cdr:spPr>
        <a:xfrm xmlns:a="http://schemas.openxmlformats.org/drawingml/2006/main">
          <a:off x="63500" y="1666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IBUPO</a:t>
          </a:r>
        </a:p>
      </cdr:txBody>
    </cdr:sp>
  </cdr:relSizeAnchor>
  <cdr:relSizeAnchor xmlns:cdr="http://schemas.openxmlformats.org/drawingml/2006/chartDrawing">
    <cdr:from>
      <cdr:x>0.75498</cdr:x>
      <cdr:y>0.90172</cdr:y>
    </cdr:from>
    <cdr:to>
      <cdr:x>1</cdr:x>
      <cdr:y>0.91546</cdr:y>
    </cdr:to>
    <cdr:sp macro="" textlink="">
      <cdr:nvSpPr>
        <cdr:cNvPr id="5" name="TextBox 4"/>
        <cdr:cNvSpPr txBox="1"/>
      </cdr:nvSpPr>
      <cdr:spPr>
        <a:xfrm xmlns:a="http://schemas.openxmlformats.org/drawingml/2006/main">
          <a:off x="4815044" y="1666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0.89 (0.40 – 2.18)</a:t>
          </a:r>
        </a:p>
      </cdr:txBody>
    </cdr:sp>
  </cdr:relSizeAnchor>
  <cdr:relSizeAnchor xmlns:cdr="http://schemas.openxmlformats.org/drawingml/2006/chartDrawing">
    <cdr:from>
      <cdr:x>0.01021</cdr:x>
      <cdr:y>0.87629</cdr:y>
    </cdr:from>
    <cdr:to>
      <cdr:x>0.31649</cdr:x>
      <cdr:y>0.90378</cdr:y>
    </cdr:to>
    <cdr:sp macro="" textlink="">
      <cdr:nvSpPr>
        <cdr:cNvPr id="6" name="TextBox 5"/>
        <cdr:cNvSpPr txBox="1"/>
      </cdr:nvSpPr>
      <cdr:spPr>
        <a:xfrm xmlns:a="http://schemas.openxmlformats.org/drawingml/2006/main">
          <a:off x="63500" y="1619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IBUPOHIGHDOSE</a:t>
          </a:r>
        </a:p>
      </cdr:txBody>
    </cdr:sp>
  </cdr:relSizeAnchor>
  <cdr:relSizeAnchor xmlns:cdr="http://schemas.openxmlformats.org/drawingml/2006/chartDrawing">
    <cdr:from>
      <cdr:x>0.75498</cdr:x>
      <cdr:y>0.87629</cdr:y>
    </cdr:from>
    <cdr:to>
      <cdr:x>1</cdr:x>
      <cdr:y>0.89003</cdr:y>
    </cdr:to>
    <cdr:sp macro="" textlink="">
      <cdr:nvSpPr>
        <cdr:cNvPr id="7" name="TextBox 6"/>
        <cdr:cNvSpPr txBox="1"/>
      </cdr:nvSpPr>
      <cdr:spPr>
        <a:xfrm xmlns:a="http://schemas.openxmlformats.org/drawingml/2006/main">
          <a:off x="4815044" y="1619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0.86 (0.36 – 1.88)</a:t>
          </a:r>
        </a:p>
      </cdr:txBody>
    </cdr:sp>
  </cdr:relSizeAnchor>
  <cdr:relSizeAnchor xmlns:cdr="http://schemas.openxmlformats.org/drawingml/2006/chartDrawing">
    <cdr:from>
      <cdr:x>0.01021</cdr:x>
      <cdr:y>0.85086</cdr:y>
    </cdr:from>
    <cdr:to>
      <cdr:x>0.31649</cdr:x>
      <cdr:y>0.87835</cdr:y>
    </cdr:to>
    <cdr:sp macro="" textlink="">
      <cdr:nvSpPr>
        <cdr:cNvPr id="8" name="TextBox 7"/>
        <cdr:cNvSpPr txBox="1"/>
      </cdr:nvSpPr>
      <cdr:spPr>
        <a:xfrm xmlns:a="http://schemas.openxmlformats.org/drawingml/2006/main">
          <a:off x="63500" y="1572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0.85086</cdr:y>
    </cdr:from>
    <cdr:to>
      <cdr:x>1</cdr:x>
      <cdr:y>0.8646</cdr:y>
    </cdr:to>
    <cdr:sp macro="" textlink="">
      <cdr:nvSpPr>
        <cdr:cNvPr id="9" name="TextBox 8"/>
        <cdr:cNvSpPr txBox="1"/>
      </cdr:nvSpPr>
      <cdr:spPr>
        <a:xfrm xmlns:a="http://schemas.openxmlformats.org/drawingml/2006/main">
          <a:off x="4815044" y="1572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0.85 (0.48 – 1.58)</a:t>
          </a:r>
        </a:p>
      </cdr:txBody>
    </cdr:sp>
  </cdr:relSizeAnchor>
  <cdr:relSizeAnchor xmlns:cdr="http://schemas.openxmlformats.org/drawingml/2006/chartDrawing">
    <cdr:from>
      <cdr:x>0.01021</cdr:x>
      <cdr:y>0.82543</cdr:y>
    </cdr:from>
    <cdr:to>
      <cdr:x>0.31649</cdr:x>
      <cdr:y>0.85292</cdr:y>
    </cdr:to>
    <cdr:sp macro="" textlink="">
      <cdr:nvSpPr>
        <cdr:cNvPr id="10" name="TextBox 9"/>
        <cdr:cNvSpPr txBox="1"/>
      </cdr:nvSpPr>
      <cdr:spPr>
        <a:xfrm xmlns:a="http://schemas.openxmlformats.org/drawingml/2006/main">
          <a:off x="63500" y="1525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PARAPO</a:t>
          </a:r>
        </a:p>
      </cdr:txBody>
    </cdr:sp>
  </cdr:relSizeAnchor>
  <cdr:relSizeAnchor xmlns:cdr="http://schemas.openxmlformats.org/drawingml/2006/chartDrawing">
    <cdr:from>
      <cdr:x>0.75498</cdr:x>
      <cdr:y>0.82543</cdr:y>
    </cdr:from>
    <cdr:to>
      <cdr:x>1</cdr:x>
      <cdr:y>0.83918</cdr:y>
    </cdr:to>
    <cdr:sp macro="" textlink="">
      <cdr:nvSpPr>
        <cdr:cNvPr id="11" name="TextBox 10"/>
        <cdr:cNvSpPr txBox="1"/>
      </cdr:nvSpPr>
      <cdr:spPr>
        <a:xfrm xmlns:a="http://schemas.openxmlformats.org/drawingml/2006/main">
          <a:off x="4815044" y="1525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0.82 (0.18 – 3.64)</a:t>
          </a:r>
        </a:p>
      </cdr:txBody>
    </cdr:sp>
  </cdr:relSizeAnchor>
  <cdr:relSizeAnchor xmlns:cdr="http://schemas.openxmlformats.org/drawingml/2006/chartDrawing">
    <cdr:from>
      <cdr:x>0.01021</cdr:x>
      <cdr:y>0.8</cdr:y>
    </cdr:from>
    <cdr:to>
      <cdr:x>0.31649</cdr:x>
      <cdr:y>0.82749</cdr:y>
    </cdr:to>
    <cdr:sp macro="" textlink="">
      <cdr:nvSpPr>
        <cdr:cNvPr id="12" name="TextBox 11"/>
        <cdr:cNvSpPr txBox="1"/>
      </cdr:nvSpPr>
      <cdr:spPr>
        <a:xfrm xmlns:a="http://schemas.openxmlformats.org/drawingml/2006/main">
          <a:off x="63500" y="1478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a:t>
          </a:r>
        </a:p>
      </cdr:txBody>
    </cdr:sp>
  </cdr:relSizeAnchor>
  <cdr:relSizeAnchor xmlns:cdr="http://schemas.openxmlformats.org/drawingml/2006/chartDrawing">
    <cdr:from>
      <cdr:x>0.75498</cdr:x>
      <cdr:y>0.8</cdr:y>
    </cdr:from>
    <cdr:to>
      <cdr:x>1</cdr:x>
      <cdr:y>0.81375</cdr:y>
    </cdr:to>
    <cdr:sp macro="" textlink="">
      <cdr:nvSpPr>
        <cdr:cNvPr id="13" name="TextBox 12"/>
        <cdr:cNvSpPr txBox="1"/>
      </cdr:nvSpPr>
      <cdr:spPr>
        <a:xfrm xmlns:a="http://schemas.openxmlformats.org/drawingml/2006/main">
          <a:off x="4815044" y="1478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0.77 (0.40 – 1.39)</a:t>
          </a:r>
        </a:p>
      </cdr:txBody>
    </cdr:sp>
  </cdr:relSizeAnchor>
  <cdr:relSizeAnchor xmlns:cdr="http://schemas.openxmlformats.org/drawingml/2006/chartDrawing">
    <cdr:from>
      <cdr:x>0.01021</cdr:x>
      <cdr:y>0.77457</cdr:y>
    </cdr:from>
    <cdr:to>
      <cdr:x>0.31649</cdr:x>
      <cdr:y>0.80206</cdr:y>
    </cdr:to>
    <cdr:sp macro="" textlink="">
      <cdr:nvSpPr>
        <cdr:cNvPr id="14" name="TextBox 13"/>
        <cdr:cNvSpPr txBox="1"/>
      </cdr:nvSpPr>
      <cdr:spPr>
        <a:xfrm xmlns:a="http://schemas.openxmlformats.org/drawingml/2006/main">
          <a:off x="63500" y="1431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INDOTHERS</a:t>
          </a:r>
        </a:p>
      </cdr:txBody>
    </cdr:sp>
  </cdr:relSizeAnchor>
  <cdr:relSizeAnchor xmlns:cdr="http://schemas.openxmlformats.org/drawingml/2006/chartDrawing">
    <cdr:from>
      <cdr:x>0.75498</cdr:x>
      <cdr:y>0.77457</cdr:y>
    </cdr:from>
    <cdr:to>
      <cdr:x>1</cdr:x>
      <cdr:y>0.78832</cdr:y>
    </cdr:to>
    <cdr:sp macro="" textlink="">
      <cdr:nvSpPr>
        <cdr:cNvPr id="15" name="TextBox 14"/>
        <cdr:cNvSpPr txBox="1"/>
      </cdr:nvSpPr>
      <cdr:spPr>
        <a:xfrm xmlns:a="http://schemas.openxmlformats.org/drawingml/2006/main">
          <a:off x="4815044" y="1431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0.75 (0.30 – 2.18)</a:t>
          </a:r>
        </a:p>
      </cdr:txBody>
    </cdr:sp>
  </cdr:relSizeAnchor>
  <cdr:relSizeAnchor xmlns:cdr="http://schemas.openxmlformats.org/drawingml/2006/chartDrawing">
    <cdr:from>
      <cdr:x>0.01021</cdr:x>
      <cdr:y>0.74914</cdr:y>
    </cdr:from>
    <cdr:to>
      <cdr:x>0.31649</cdr:x>
      <cdr:y>0.77663</cdr:y>
    </cdr:to>
    <cdr:sp macro="" textlink="">
      <cdr:nvSpPr>
        <cdr:cNvPr id="16" name="TextBox 15"/>
        <cdr:cNvSpPr txBox="1"/>
      </cdr:nvSpPr>
      <cdr:spPr>
        <a:xfrm xmlns:a="http://schemas.openxmlformats.org/drawingml/2006/main">
          <a:off x="63500" y="1384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IBUPOHIGHDOSE</a:t>
          </a:r>
        </a:p>
      </cdr:txBody>
    </cdr:sp>
  </cdr:relSizeAnchor>
  <cdr:relSizeAnchor xmlns:cdr="http://schemas.openxmlformats.org/drawingml/2006/chartDrawing">
    <cdr:from>
      <cdr:x>0.75498</cdr:x>
      <cdr:y>0.74914</cdr:y>
    </cdr:from>
    <cdr:to>
      <cdr:x>1</cdr:x>
      <cdr:y>0.76289</cdr:y>
    </cdr:to>
    <cdr:sp macro="" textlink="">
      <cdr:nvSpPr>
        <cdr:cNvPr id="17" name="TextBox 16"/>
        <cdr:cNvSpPr txBox="1"/>
      </cdr:nvSpPr>
      <cdr:spPr>
        <a:xfrm xmlns:a="http://schemas.openxmlformats.org/drawingml/2006/main">
          <a:off x="4815044" y="1384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0.72 (0.13 – 3.48)</a:t>
          </a:r>
        </a:p>
      </cdr:txBody>
    </cdr:sp>
  </cdr:relSizeAnchor>
  <cdr:relSizeAnchor xmlns:cdr="http://schemas.openxmlformats.org/drawingml/2006/chartDrawing">
    <cdr:from>
      <cdr:x>0.01021</cdr:x>
      <cdr:y>0.72371</cdr:y>
    </cdr:from>
    <cdr:to>
      <cdr:x>0.31649</cdr:x>
      <cdr:y>0.7512</cdr:y>
    </cdr:to>
    <cdr:sp macro="" textlink="">
      <cdr:nvSpPr>
        <cdr:cNvPr id="18" name="TextBox 17"/>
        <cdr:cNvSpPr txBox="1"/>
      </cdr:nvSpPr>
      <cdr:spPr>
        <a:xfrm xmlns:a="http://schemas.openxmlformats.org/drawingml/2006/main">
          <a:off x="63500" y="1337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a:t>
          </a:r>
        </a:p>
      </cdr:txBody>
    </cdr:sp>
  </cdr:relSizeAnchor>
  <cdr:relSizeAnchor xmlns:cdr="http://schemas.openxmlformats.org/drawingml/2006/chartDrawing">
    <cdr:from>
      <cdr:x>0.75498</cdr:x>
      <cdr:y>0.72371</cdr:y>
    </cdr:from>
    <cdr:to>
      <cdr:x>1</cdr:x>
      <cdr:y>0.73746</cdr:y>
    </cdr:to>
    <cdr:sp macro="" textlink="">
      <cdr:nvSpPr>
        <cdr:cNvPr id="19" name="TextBox 18"/>
        <cdr:cNvSpPr txBox="1"/>
      </cdr:nvSpPr>
      <cdr:spPr>
        <a:xfrm xmlns:a="http://schemas.openxmlformats.org/drawingml/2006/main">
          <a:off x="4815044" y="1337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0.71 (0.21 – 2.43)</a:t>
          </a:r>
        </a:p>
      </cdr:txBody>
    </cdr:sp>
  </cdr:relSizeAnchor>
  <cdr:relSizeAnchor xmlns:cdr="http://schemas.openxmlformats.org/drawingml/2006/chartDrawing">
    <cdr:from>
      <cdr:x>0.01021</cdr:x>
      <cdr:y>0.69828</cdr:y>
    </cdr:from>
    <cdr:to>
      <cdr:x>0.31649</cdr:x>
      <cdr:y>0.72577</cdr:y>
    </cdr:to>
    <cdr:sp macro="" textlink="">
      <cdr:nvSpPr>
        <cdr:cNvPr id="20" name="TextBox 19"/>
        <cdr:cNvSpPr txBox="1"/>
      </cdr:nvSpPr>
      <cdr:spPr>
        <a:xfrm xmlns:a="http://schemas.openxmlformats.org/drawingml/2006/main">
          <a:off x="63500" y="1290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a:t>
          </a:r>
        </a:p>
      </cdr:txBody>
    </cdr:sp>
  </cdr:relSizeAnchor>
  <cdr:relSizeAnchor xmlns:cdr="http://schemas.openxmlformats.org/drawingml/2006/chartDrawing">
    <cdr:from>
      <cdr:x>0.75498</cdr:x>
      <cdr:y>0.69828</cdr:y>
    </cdr:from>
    <cdr:to>
      <cdr:x>1</cdr:x>
      <cdr:y>0.71203</cdr:y>
    </cdr:to>
    <cdr:sp macro="" textlink="">
      <cdr:nvSpPr>
        <cdr:cNvPr id="21" name="TextBox 20"/>
        <cdr:cNvSpPr txBox="1"/>
      </cdr:nvSpPr>
      <cdr:spPr>
        <a:xfrm xmlns:a="http://schemas.openxmlformats.org/drawingml/2006/main">
          <a:off x="4815044" y="1290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0.70 (0.46 – 1.08)</a:t>
          </a:r>
        </a:p>
      </cdr:txBody>
    </cdr:sp>
  </cdr:relSizeAnchor>
  <cdr:relSizeAnchor xmlns:cdr="http://schemas.openxmlformats.org/drawingml/2006/chartDrawing">
    <cdr:from>
      <cdr:x>0.01021</cdr:x>
      <cdr:y>0.67285</cdr:y>
    </cdr:from>
    <cdr:to>
      <cdr:x>0.31649</cdr:x>
      <cdr:y>0.70034</cdr:y>
    </cdr:to>
    <cdr:sp macro="" textlink="">
      <cdr:nvSpPr>
        <cdr:cNvPr id="22" name="TextBox 21"/>
        <cdr:cNvSpPr txBox="1"/>
      </cdr:nvSpPr>
      <cdr:spPr>
        <a:xfrm xmlns:a="http://schemas.openxmlformats.org/drawingml/2006/main">
          <a:off x="63500" y="12433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a:t>
          </a:r>
        </a:p>
      </cdr:txBody>
    </cdr:sp>
  </cdr:relSizeAnchor>
  <cdr:relSizeAnchor xmlns:cdr="http://schemas.openxmlformats.org/drawingml/2006/chartDrawing">
    <cdr:from>
      <cdr:x>0.75498</cdr:x>
      <cdr:y>0.67285</cdr:y>
    </cdr:from>
    <cdr:to>
      <cdr:x>1</cdr:x>
      <cdr:y>0.6866</cdr:y>
    </cdr:to>
    <cdr:sp macro="" textlink="">
      <cdr:nvSpPr>
        <cdr:cNvPr id="23" name="TextBox 22"/>
        <cdr:cNvSpPr txBox="1"/>
      </cdr:nvSpPr>
      <cdr:spPr>
        <a:xfrm xmlns:a="http://schemas.openxmlformats.org/drawingml/2006/main">
          <a:off x="4815044" y="12433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0.67 (0.38 – 1.06)</a:t>
          </a:r>
        </a:p>
      </cdr:txBody>
    </cdr:sp>
  </cdr:relSizeAnchor>
  <cdr:relSizeAnchor xmlns:cdr="http://schemas.openxmlformats.org/drawingml/2006/chartDrawing">
    <cdr:from>
      <cdr:x>0.01021</cdr:x>
      <cdr:y>0.64742</cdr:y>
    </cdr:from>
    <cdr:to>
      <cdr:x>0.31649</cdr:x>
      <cdr:y>0.67491</cdr:y>
    </cdr:to>
    <cdr:sp macro="" textlink="">
      <cdr:nvSpPr>
        <cdr:cNvPr id="24" name="TextBox 23"/>
        <cdr:cNvSpPr txBox="1"/>
      </cdr:nvSpPr>
      <cdr:spPr>
        <a:xfrm xmlns:a="http://schemas.openxmlformats.org/drawingml/2006/main">
          <a:off x="63500" y="11963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INDOIVCONT</a:t>
          </a:r>
        </a:p>
      </cdr:txBody>
    </cdr:sp>
  </cdr:relSizeAnchor>
  <cdr:relSizeAnchor xmlns:cdr="http://schemas.openxmlformats.org/drawingml/2006/chartDrawing">
    <cdr:from>
      <cdr:x>0.75498</cdr:x>
      <cdr:y>0.64742</cdr:y>
    </cdr:from>
    <cdr:to>
      <cdr:x>1</cdr:x>
      <cdr:y>0.66117</cdr:y>
    </cdr:to>
    <cdr:sp macro="" textlink="">
      <cdr:nvSpPr>
        <cdr:cNvPr id="25" name="TextBox 24"/>
        <cdr:cNvSpPr txBox="1"/>
      </cdr:nvSpPr>
      <cdr:spPr>
        <a:xfrm xmlns:a="http://schemas.openxmlformats.org/drawingml/2006/main">
          <a:off x="4815044" y="11963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0.65 (0.17 – 2.39)</a:t>
          </a:r>
        </a:p>
      </cdr:txBody>
    </cdr:sp>
  </cdr:relSizeAnchor>
  <cdr:relSizeAnchor xmlns:cdr="http://schemas.openxmlformats.org/drawingml/2006/chartDrawing">
    <cdr:from>
      <cdr:x>0.01021</cdr:x>
      <cdr:y>0.62199</cdr:y>
    </cdr:from>
    <cdr:to>
      <cdr:x>0.31649</cdr:x>
      <cdr:y>0.64948</cdr:y>
    </cdr:to>
    <cdr:sp macro="" textlink="">
      <cdr:nvSpPr>
        <cdr:cNvPr id="26" name="TextBox 25"/>
        <cdr:cNvSpPr txBox="1"/>
      </cdr:nvSpPr>
      <cdr:spPr>
        <a:xfrm xmlns:a="http://schemas.openxmlformats.org/drawingml/2006/main">
          <a:off x="63500" y="11493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0.62199</cdr:y>
    </cdr:from>
    <cdr:to>
      <cdr:x>1</cdr:x>
      <cdr:y>0.63574</cdr:y>
    </cdr:to>
    <cdr:sp macro="" textlink="">
      <cdr:nvSpPr>
        <cdr:cNvPr id="27" name="TextBox 26"/>
        <cdr:cNvSpPr txBox="1"/>
      </cdr:nvSpPr>
      <cdr:spPr>
        <a:xfrm xmlns:a="http://schemas.openxmlformats.org/drawingml/2006/main">
          <a:off x="4815044" y="11493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0.65 (0.28 – 1.55)</a:t>
          </a:r>
        </a:p>
      </cdr:txBody>
    </cdr:sp>
  </cdr:relSizeAnchor>
  <cdr:relSizeAnchor xmlns:cdr="http://schemas.openxmlformats.org/drawingml/2006/chartDrawing">
    <cdr:from>
      <cdr:x>0.01021</cdr:x>
      <cdr:y>0.59656</cdr:y>
    </cdr:from>
    <cdr:to>
      <cdr:x>0.31649</cdr:x>
      <cdr:y>0.62405</cdr:y>
    </cdr:to>
    <cdr:sp macro="" textlink="">
      <cdr:nvSpPr>
        <cdr:cNvPr id="28" name="TextBox 27"/>
        <cdr:cNvSpPr txBox="1"/>
      </cdr:nvSpPr>
      <cdr:spPr>
        <a:xfrm xmlns:a="http://schemas.openxmlformats.org/drawingml/2006/main">
          <a:off x="63500" y="11023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a:t>
          </a:r>
        </a:p>
      </cdr:txBody>
    </cdr:sp>
  </cdr:relSizeAnchor>
  <cdr:relSizeAnchor xmlns:cdr="http://schemas.openxmlformats.org/drawingml/2006/chartDrawing">
    <cdr:from>
      <cdr:x>0.75498</cdr:x>
      <cdr:y>0.59656</cdr:y>
    </cdr:from>
    <cdr:to>
      <cdr:x>1</cdr:x>
      <cdr:y>0.61031</cdr:y>
    </cdr:to>
    <cdr:sp macro="" textlink="">
      <cdr:nvSpPr>
        <cdr:cNvPr id="29" name="TextBox 28"/>
        <cdr:cNvSpPr txBox="1"/>
      </cdr:nvSpPr>
      <cdr:spPr>
        <a:xfrm xmlns:a="http://schemas.openxmlformats.org/drawingml/2006/main">
          <a:off x="4815044" y="11023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(0.15 – 2.60)</a:t>
          </a:r>
        </a:p>
      </cdr:txBody>
    </cdr:sp>
  </cdr:relSizeAnchor>
  <cdr:relSizeAnchor xmlns:cdr="http://schemas.openxmlformats.org/drawingml/2006/chartDrawing">
    <cdr:from>
      <cdr:x>0.01021</cdr:x>
      <cdr:y>0.57113</cdr:y>
    </cdr:from>
    <cdr:to>
      <cdr:x>0.31649</cdr:x>
      <cdr:y>0.59863</cdr:y>
    </cdr:to>
    <cdr:sp macro="" textlink="">
      <cdr:nvSpPr>
        <cdr:cNvPr id="30" name="TextBox 29"/>
        <cdr:cNvSpPr txBox="1"/>
      </cdr:nvSpPr>
      <cdr:spPr>
        <a:xfrm xmlns:a="http://schemas.openxmlformats.org/drawingml/2006/main">
          <a:off x="63500" y="10553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0.57113</cdr:y>
    </cdr:from>
    <cdr:to>
      <cdr:x>1</cdr:x>
      <cdr:y>0.58488</cdr:y>
    </cdr:to>
    <cdr:sp macro="" textlink="">
      <cdr:nvSpPr>
        <cdr:cNvPr id="31" name="TextBox 30"/>
        <cdr:cNvSpPr txBox="1"/>
      </cdr:nvSpPr>
      <cdr:spPr>
        <a:xfrm xmlns:a="http://schemas.openxmlformats.org/drawingml/2006/main">
          <a:off x="4815044" y="10553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0.56 (0.14 – 2.09)</a:t>
          </a:r>
        </a:p>
      </cdr:txBody>
    </cdr:sp>
  </cdr:relSizeAnchor>
  <cdr:relSizeAnchor xmlns:cdr="http://schemas.openxmlformats.org/drawingml/2006/chartDrawing">
    <cdr:from>
      <cdr:x>0.01021</cdr:x>
      <cdr:y>0.5457</cdr:y>
    </cdr:from>
    <cdr:to>
      <cdr:x>0.31649</cdr:x>
      <cdr:y>0.5732</cdr:y>
    </cdr:to>
    <cdr:sp macro="" textlink="">
      <cdr:nvSpPr>
        <cdr:cNvPr id="192" name="TextBox 191"/>
        <cdr:cNvSpPr txBox="1"/>
      </cdr:nvSpPr>
      <cdr:spPr>
        <a:xfrm xmlns:a="http://schemas.openxmlformats.org/drawingml/2006/main">
          <a:off x="63500" y="10083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0.5457</cdr:y>
    </cdr:from>
    <cdr:to>
      <cdr:x>1</cdr:x>
      <cdr:y>0.55945</cdr:y>
    </cdr:to>
    <cdr:sp macro="" textlink="">
      <cdr:nvSpPr>
        <cdr:cNvPr id="193" name="TextBox 192"/>
        <cdr:cNvSpPr txBox="1"/>
      </cdr:nvSpPr>
      <cdr:spPr>
        <a:xfrm xmlns:a="http://schemas.openxmlformats.org/drawingml/2006/main">
          <a:off x="4815044" y="10083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0.56 (0.32 – 1.00)</a:t>
          </a:r>
        </a:p>
      </cdr:txBody>
    </cdr:sp>
  </cdr:relSizeAnchor>
  <cdr:relSizeAnchor xmlns:cdr="http://schemas.openxmlformats.org/drawingml/2006/chartDrawing">
    <cdr:from>
      <cdr:x>0.01021</cdr:x>
      <cdr:y>0.52096</cdr:y>
    </cdr:from>
    <cdr:to>
      <cdr:x>0.31649</cdr:x>
      <cdr:y>0.54845</cdr:y>
    </cdr:to>
    <cdr:sp macro="" textlink="">
      <cdr:nvSpPr>
        <cdr:cNvPr id="194" name="TextBox 193"/>
        <cdr:cNvSpPr txBox="1"/>
      </cdr:nvSpPr>
      <cdr:spPr>
        <a:xfrm xmlns:a="http://schemas.openxmlformats.org/drawingml/2006/main">
          <a:off x="63500" y="9626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INDOTHERS</a:t>
          </a:r>
        </a:p>
      </cdr:txBody>
    </cdr:sp>
  </cdr:relSizeAnchor>
  <cdr:relSizeAnchor xmlns:cdr="http://schemas.openxmlformats.org/drawingml/2006/chartDrawing">
    <cdr:from>
      <cdr:x>0.75498</cdr:x>
      <cdr:y>0.52096</cdr:y>
    </cdr:from>
    <cdr:to>
      <cdr:x>1</cdr:x>
      <cdr:y>0.53471</cdr:y>
    </cdr:to>
    <cdr:sp macro="" textlink="">
      <cdr:nvSpPr>
        <cdr:cNvPr id="195" name="TextBox 194"/>
        <cdr:cNvSpPr txBox="1"/>
      </cdr:nvSpPr>
      <cdr:spPr>
        <a:xfrm xmlns:a="http://schemas.openxmlformats.org/drawingml/2006/main">
          <a:off x="4815044" y="9626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(0.14 – 2.26)</a:t>
          </a:r>
        </a:p>
      </cdr:txBody>
    </cdr:sp>
  </cdr:relSizeAnchor>
  <cdr:relSizeAnchor xmlns:cdr="http://schemas.openxmlformats.org/drawingml/2006/chartDrawing">
    <cdr:from>
      <cdr:x>0.01021</cdr:x>
      <cdr:y>0.49553</cdr:y>
    </cdr:from>
    <cdr:to>
      <cdr:x>0.31649</cdr:x>
      <cdr:y>0.52302</cdr:y>
    </cdr:to>
    <cdr:sp macro="" textlink="">
      <cdr:nvSpPr>
        <cdr:cNvPr id="196" name="TextBox 195"/>
        <cdr:cNvSpPr txBox="1"/>
      </cdr:nvSpPr>
      <cdr:spPr>
        <a:xfrm xmlns:a="http://schemas.openxmlformats.org/drawingml/2006/main">
          <a:off x="63500" y="9156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0.49553</cdr:y>
    </cdr:from>
    <cdr:to>
      <cdr:x>1</cdr:x>
      <cdr:y>0.50928</cdr:y>
    </cdr:to>
    <cdr:sp macro="" textlink="">
      <cdr:nvSpPr>
        <cdr:cNvPr id="197" name="TextBox 196"/>
        <cdr:cNvSpPr txBox="1"/>
      </cdr:nvSpPr>
      <cdr:spPr>
        <a:xfrm xmlns:a="http://schemas.openxmlformats.org/drawingml/2006/main">
          <a:off x="4815044" y="9156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0.51 (0.11 – 2.39)</a:t>
          </a:r>
        </a:p>
      </cdr:txBody>
    </cdr:sp>
  </cdr:relSizeAnchor>
  <cdr:relSizeAnchor xmlns:cdr="http://schemas.openxmlformats.org/drawingml/2006/chartDrawing">
    <cdr:from>
      <cdr:x>0.01021</cdr:x>
      <cdr:y>0.4701</cdr:y>
    </cdr:from>
    <cdr:to>
      <cdr:x>0.31649</cdr:x>
      <cdr:y>0.49759</cdr:y>
    </cdr:to>
    <cdr:sp macro="" textlink="">
      <cdr:nvSpPr>
        <cdr:cNvPr id="198" name="TextBox 197"/>
        <cdr:cNvSpPr txBox="1"/>
      </cdr:nvSpPr>
      <cdr:spPr>
        <a:xfrm xmlns:a="http://schemas.openxmlformats.org/drawingml/2006/main">
          <a:off x="63500" y="8686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a:t>
          </a:r>
        </a:p>
      </cdr:txBody>
    </cdr:sp>
  </cdr:relSizeAnchor>
  <cdr:relSizeAnchor xmlns:cdr="http://schemas.openxmlformats.org/drawingml/2006/chartDrawing">
    <cdr:from>
      <cdr:x>0.75498</cdr:x>
      <cdr:y>0.4701</cdr:y>
    </cdr:from>
    <cdr:to>
      <cdr:x>1</cdr:x>
      <cdr:y>0.48385</cdr:y>
    </cdr:to>
    <cdr:sp macro="" textlink="">
      <cdr:nvSpPr>
        <cdr:cNvPr id="199" name="TextBox 198"/>
        <cdr:cNvSpPr txBox="1"/>
      </cdr:nvSpPr>
      <cdr:spPr>
        <a:xfrm xmlns:a="http://schemas.openxmlformats.org/drawingml/2006/main">
          <a:off x="4815044" y="8686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0.49 (0.21 – 1.42)</a:t>
          </a:r>
        </a:p>
      </cdr:txBody>
    </cdr:sp>
  </cdr:relSizeAnchor>
  <cdr:relSizeAnchor xmlns:cdr="http://schemas.openxmlformats.org/drawingml/2006/chartDrawing">
    <cdr:from>
      <cdr:x>0.01021</cdr:x>
      <cdr:y>0.44467</cdr:y>
    </cdr:from>
    <cdr:to>
      <cdr:x>0.31649</cdr:x>
      <cdr:y>0.47216</cdr:y>
    </cdr:to>
    <cdr:sp macro="" textlink="">
      <cdr:nvSpPr>
        <cdr:cNvPr id="200" name="TextBox 199"/>
        <cdr:cNvSpPr txBox="1"/>
      </cdr:nvSpPr>
      <cdr:spPr>
        <a:xfrm xmlns:a="http://schemas.openxmlformats.org/drawingml/2006/main">
          <a:off x="63500" y="8216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a:t>
          </a:r>
        </a:p>
      </cdr:txBody>
    </cdr:sp>
  </cdr:relSizeAnchor>
  <cdr:relSizeAnchor xmlns:cdr="http://schemas.openxmlformats.org/drawingml/2006/chartDrawing">
    <cdr:from>
      <cdr:x>0.75498</cdr:x>
      <cdr:y>0.44467</cdr:y>
    </cdr:from>
    <cdr:to>
      <cdr:x>1</cdr:x>
      <cdr:y>0.45842</cdr:y>
    </cdr:to>
    <cdr:sp macro="" textlink="">
      <cdr:nvSpPr>
        <cdr:cNvPr id="201" name="TextBox 200"/>
        <cdr:cNvSpPr txBox="1"/>
      </cdr:nvSpPr>
      <cdr:spPr>
        <a:xfrm xmlns:a="http://schemas.openxmlformats.org/drawingml/2006/main">
          <a:off x="4815044" y="8216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0.47 (0.25 – 0.79)</a:t>
          </a:r>
        </a:p>
      </cdr:txBody>
    </cdr:sp>
  </cdr:relSizeAnchor>
  <cdr:relSizeAnchor xmlns:cdr="http://schemas.openxmlformats.org/drawingml/2006/chartDrawing">
    <cdr:from>
      <cdr:x>0.01021</cdr:x>
      <cdr:y>0.41924</cdr:y>
    </cdr:from>
    <cdr:to>
      <cdr:x>0.31649</cdr:x>
      <cdr:y>0.44674</cdr:y>
    </cdr:to>
    <cdr:sp macro="" textlink="">
      <cdr:nvSpPr>
        <cdr:cNvPr id="202" name="TextBox 201"/>
        <cdr:cNvSpPr txBox="1"/>
      </cdr:nvSpPr>
      <cdr:spPr>
        <a:xfrm xmlns:a="http://schemas.openxmlformats.org/drawingml/2006/main">
          <a:off x="63500" y="7747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INDOIVCONT</a:t>
          </a:r>
        </a:p>
      </cdr:txBody>
    </cdr:sp>
  </cdr:relSizeAnchor>
  <cdr:relSizeAnchor xmlns:cdr="http://schemas.openxmlformats.org/drawingml/2006/chartDrawing">
    <cdr:from>
      <cdr:x>0.75498</cdr:x>
      <cdr:y>0.41924</cdr:y>
    </cdr:from>
    <cdr:to>
      <cdr:x>1</cdr:x>
      <cdr:y>0.43299</cdr:y>
    </cdr:to>
    <cdr:sp macro="" textlink="">
      <cdr:nvSpPr>
        <cdr:cNvPr id="203" name="TextBox 202"/>
        <cdr:cNvSpPr txBox="1"/>
      </cdr:nvSpPr>
      <cdr:spPr>
        <a:xfrm xmlns:a="http://schemas.openxmlformats.org/drawingml/2006/main">
          <a:off x="4815044" y="7747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(0.10 – 1.72)</a:t>
          </a:r>
        </a:p>
      </cdr:txBody>
    </cdr:sp>
  </cdr:relSizeAnchor>
  <cdr:relSizeAnchor xmlns:cdr="http://schemas.openxmlformats.org/drawingml/2006/chartDrawing">
    <cdr:from>
      <cdr:x>0.01021</cdr:x>
      <cdr:y>0.39381</cdr:y>
    </cdr:from>
    <cdr:to>
      <cdr:x>0.31649</cdr:x>
      <cdr:y>0.42131</cdr:y>
    </cdr:to>
    <cdr:sp macro="" textlink="">
      <cdr:nvSpPr>
        <cdr:cNvPr id="204" name="TextBox 203"/>
        <cdr:cNvSpPr txBox="1"/>
      </cdr:nvSpPr>
      <cdr:spPr>
        <a:xfrm xmlns:a="http://schemas.openxmlformats.org/drawingml/2006/main">
          <a:off x="63500" y="7277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0.39381</cdr:y>
    </cdr:from>
    <cdr:to>
      <cdr:x>1</cdr:x>
      <cdr:y>0.40756</cdr:y>
    </cdr:to>
    <cdr:sp macro="" textlink="">
      <cdr:nvSpPr>
        <cdr:cNvPr id="205" name="TextBox 204"/>
        <cdr:cNvSpPr txBox="1"/>
      </cdr:nvSpPr>
      <cdr:spPr>
        <a:xfrm xmlns:a="http://schemas.openxmlformats.org/drawingml/2006/main">
          <a:off x="4815044" y="7277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0.43 (0.18 – 0.96)</a:t>
          </a:r>
        </a:p>
      </cdr:txBody>
    </cdr:sp>
  </cdr:relSizeAnchor>
  <cdr:relSizeAnchor xmlns:cdr="http://schemas.openxmlformats.org/drawingml/2006/chartDrawing">
    <cdr:from>
      <cdr:x>0.01021</cdr:x>
      <cdr:y>0.36838</cdr:y>
    </cdr:from>
    <cdr:to>
      <cdr:x>0.31649</cdr:x>
      <cdr:y>0.39588</cdr:y>
    </cdr:to>
    <cdr:sp macro="" textlink="">
      <cdr:nvSpPr>
        <cdr:cNvPr id="206" name="TextBox 205"/>
        <cdr:cNvSpPr txBox="1"/>
      </cdr:nvSpPr>
      <cdr:spPr>
        <a:xfrm xmlns:a="http://schemas.openxmlformats.org/drawingml/2006/main">
          <a:off x="63500" y="6807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0.36838</cdr:y>
    </cdr:from>
    <cdr:to>
      <cdr:x>1</cdr:x>
      <cdr:y>0.38213</cdr:y>
    </cdr:to>
    <cdr:sp macro="" textlink="">
      <cdr:nvSpPr>
        <cdr:cNvPr id="207" name="TextBox 206"/>
        <cdr:cNvSpPr txBox="1"/>
      </cdr:nvSpPr>
      <cdr:spPr>
        <a:xfrm xmlns:a="http://schemas.openxmlformats.org/drawingml/2006/main">
          <a:off x="4815044" y="6807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0.39 (0.21 – 0.72)</a:t>
          </a:r>
        </a:p>
      </cdr:txBody>
    </cdr:sp>
  </cdr:relSizeAnchor>
  <cdr:relSizeAnchor xmlns:cdr="http://schemas.openxmlformats.org/drawingml/2006/chartDrawing">
    <cdr:from>
      <cdr:x>0.01021</cdr:x>
      <cdr:y>0.34296</cdr:y>
    </cdr:from>
    <cdr:to>
      <cdr:x>0.31649</cdr:x>
      <cdr:y>0.37045</cdr:y>
    </cdr:to>
    <cdr:sp macro="" textlink="">
      <cdr:nvSpPr>
        <cdr:cNvPr id="208" name="TextBox 207"/>
        <cdr:cNvSpPr txBox="1"/>
      </cdr:nvSpPr>
      <cdr:spPr>
        <a:xfrm xmlns:a="http://schemas.openxmlformats.org/drawingml/2006/main">
          <a:off x="63500" y="6337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INDOIVCONT</a:t>
          </a:r>
        </a:p>
      </cdr:txBody>
    </cdr:sp>
  </cdr:relSizeAnchor>
  <cdr:relSizeAnchor xmlns:cdr="http://schemas.openxmlformats.org/drawingml/2006/chartDrawing">
    <cdr:from>
      <cdr:x>0.75498</cdr:x>
      <cdr:y>0.34296</cdr:y>
    </cdr:from>
    <cdr:to>
      <cdr:x>1</cdr:x>
      <cdr:y>0.3567</cdr:y>
    </cdr:to>
    <cdr:sp macro="" textlink="">
      <cdr:nvSpPr>
        <cdr:cNvPr id="209" name="TextBox 208"/>
        <cdr:cNvSpPr txBox="1"/>
      </cdr:nvSpPr>
      <cdr:spPr>
        <a:xfrm xmlns:a="http://schemas.openxmlformats.org/drawingml/2006/main">
          <a:off x="4815044" y="6337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0.36 (0.06 – 2.18)</a:t>
          </a:r>
        </a:p>
      </cdr:txBody>
    </cdr:sp>
  </cdr:relSizeAnchor>
  <cdr:relSizeAnchor xmlns:cdr="http://schemas.openxmlformats.org/drawingml/2006/chartDrawing">
    <cdr:from>
      <cdr:x>0.01021</cdr:x>
      <cdr:y>0.31753</cdr:y>
    </cdr:from>
    <cdr:to>
      <cdr:x>0.31649</cdr:x>
      <cdr:y>0.34502</cdr:y>
    </cdr:to>
    <cdr:sp macro="" textlink="">
      <cdr:nvSpPr>
        <cdr:cNvPr id="210" name="TextBox 209"/>
        <cdr:cNvSpPr txBox="1"/>
      </cdr:nvSpPr>
      <cdr:spPr>
        <a:xfrm xmlns:a="http://schemas.openxmlformats.org/drawingml/2006/main">
          <a:off x="63500" y="5867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a:t>
          </a:r>
        </a:p>
      </cdr:txBody>
    </cdr:sp>
  </cdr:relSizeAnchor>
  <cdr:relSizeAnchor xmlns:cdr="http://schemas.openxmlformats.org/drawingml/2006/chartDrawing">
    <cdr:from>
      <cdr:x>0.75498</cdr:x>
      <cdr:y>0.31753</cdr:y>
    </cdr:from>
    <cdr:to>
      <cdr:x>1</cdr:x>
      <cdr:y>0.33127</cdr:y>
    </cdr:to>
    <cdr:sp macro="" textlink="">
      <cdr:nvSpPr>
        <cdr:cNvPr id="213" name="TextBox 212"/>
        <cdr:cNvSpPr txBox="1"/>
      </cdr:nvSpPr>
      <cdr:spPr>
        <a:xfrm xmlns:a="http://schemas.openxmlformats.org/drawingml/2006/main">
          <a:off x="4815044" y="5867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0.35 (0.14 – 0.95)</a:t>
          </a:r>
        </a:p>
      </cdr:txBody>
    </cdr:sp>
  </cdr:relSizeAnchor>
  <cdr:relSizeAnchor xmlns:cdr="http://schemas.openxmlformats.org/drawingml/2006/chartDrawing">
    <cdr:from>
      <cdr:x>0.01021</cdr:x>
      <cdr:y>0.2921</cdr:y>
    </cdr:from>
    <cdr:to>
      <cdr:x>0.31649</cdr:x>
      <cdr:y>0.31959</cdr:y>
    </cdr:to>
    <cdr:sp macro="" textlink="">
      <cdr:nvSpPr>
        <cdr:cNvPr id="214" name="TextBox 213"/>
        <cdr:cNvSpPr txBox="1"/>
      </cdr:nvSpPr>
      <cdr:spPr>
        <a:xfrm xmlns:a="http://schemas.openxmlformats.org/drawingml/2006/main">
          <a:off x="63500" y="5397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a:t>
          </a:r>
        </a:p>
      </cdr:txBody>
    </cdr:sp>
  </cdr:relSizeAnchor>
  <cdr:relSizeAnchor xmlns:cdr="http://schemas.openxmlformats.org/drawingml/2006/chartDrawing">
    <cdr:from>
      <cdr:x>0.75498</cdr:x>
      <cdr:y>0.2921</cdr:y>
    </cdr:from>
    <cdr:to>
      <cdr:x>1</cdr:x>
      <cdr:y>0.30584</cdr:y>
    </cdr:to>
    <cdr:sp macro="" textlink="">
      <cdr:nvSpPr>
        <cdr:cNvPr id="215" name="TextBox 214"/>
        <cdr:cNvSpPr txBox="1"/>
      </cdr:nvSpPr>
      <cdr:spPr>
        <a:xfrm xmlns:a="http://schemas.openxmlformats.org/drawingml/2006/main">
          <a:off x="4815044" y="5397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0.35 (0.10 – 1.42)</a:t>
          </a:r>
        </a:p>
      </cdr:txBody>
    </cdr:sp>
  </cdr:relSizeAnchor>
  <cdr:relSizeAnchor xmlns:cdr="http://schemas.openxmlformats.org/drawingml/2006/chartDrawing">
    <cdr:from>
      <cdr:x>0.01021</cdr:x>
      <cdr:y>0.26667</cdr:y>
    </cdr:from>
    <cdr:to>
      <cdr:x>0.31649</cdr:x>
      <cdr:y>0.29416</cdr:y>
    </cdr:to>
    <cdr:sp macro="" textlink="">
      <cdr:nvSpPr>
        <cdr:cNvPr id="216" name="TextBox 215"/>
        <cdr:cNvSpPr txBox="1"/>
      </cdr:nvSpPr>
      <cdr:spPr>
        <a:xfrm xmlns:a="http://schemas.openxmlformats.org/drawingml/2006/main">
          <a:off x="63500" y="4927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0.26667</cdr:y>
    </cdr:from>
    <cdr:to>
      <cdr:x>1</cdr:x>
      <cdr:y>0.28041</cdr:y>
    </cdr:to>
    <cdr:sp macro="" textlink="">
      <cdr:nvSpPr>
        <cdr:cNvPr id="217" name="TextBox 216"/>
        <cdr:cNvSpPr txBox="1"/>
      </cdr:nvSpPr>
      <cdr:spPr>
        <a:xfrm xmlns:a="http://schemas.openxmlformats.org/drawingml/2006/main">
          <a:off x="4815044" y="4927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0.30 (0.12 – 0.67)</a:t>
          </a:r>
        </a:p>
      </cdr:txBody>
    </cdr:sp>
  </cdr:relSizeAnchor>
  <cdr:relSizeAnchor xmlns:cdr="http://schemas.openxmlformats.org/drawingml/2006/chartDrawing">
    <cdr:from>
      <cdr:x>0.01021</cdr:x>
      <cdr:y>0.24124</cdr:y>
    </cdr:from>
    <cdr:to>
      <cdr:x>0.31649</cdr:x>
      <cdr:y>0.26873</cdr:y>
    </cdr:to>
    <cdr:sp macro="" textlink="">
      <cdr:nvSpPr>
        <cdr:cNvPr id="218" name="TextBox 217"/>
        <cdr:cNvSpPr txBox="1"/>
      </cdr:nvSpPr>
      <cdr:spPr>
        <a:xfrm xmlns:a="http://schemas.openxmlformats.org/drawingml/2006/main">
          <a:off x="63500" y="4457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a:t>
          </a:r>
        </a:p>
      </cdr:txBody>
    </cdr:sp>
  </cdr:relSizeAnchor>
  <cdr:relSizeAnchor xmlns:cdr="http://schemas.openxmlformats.org/drawingml/2006/chartDrawing">
    <cdr:from>
      <cdr:x>0.75498</cdr:x>
      <cdr:y>0.24124</cdr:y>
    </cdr:from>
    <cdr:to>
      <cdr:x>1</cdr:x>
      <cdr:y>0.25498</cdr:y>
    </cdr:to>
    <cdr:sp macro="" textlink="">
      <cdr:nvSpPr>
        <cdr:cNvPr id="219" name="TextBox 218"/>
        <cdr:cNvSpPr txBox="1"/>
      </cdr:nvSpPr>
      <cdr:spPr>
        <a:xfrm xmlns:a="http://schemas.openxmlformats.org/drawingml/2006/main">
          <a:off x="4815044" y="4457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0.25 (0.07 – 0.91)</a:t>
          </a:r>
        </a:p>
      </cdr:txBody>
    </cdr:sp>
  </cdr:relSizeAnchor>
  <cdr:relSizeAnchor xmlns:cdr="http://schemas.openxmlformats.org/drawingml/2006/chartDrawing">
    <cdr:from>
      <cdr:x>0.01021</cdr:x>
      <cdr:y>0.21581</cdr:y>
    </cdr:from>
    <cdr:to>
      <cdr:x>0.31649</cdr:x>
      <cdr:y>0.2433</cdr:y>
    </cdr:to>
    <cdr:sp macro="" textlink="">
      <cdr:nvSpPr>
        <cdr:cNvPr id="220" name="TextBox 219"/>
        <cdr:cNvSpPr txBox="1"/>
      </cdr:nvSpPr>
      <cdr:spPr>
        <a:xfrm xmlns:a="http://schemas.openxmlformats.org/drawingml/2006/main">
          <a:off x="63500" y="3987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0.21581</cdr:y>
    </cdr:from>
    <cdr:to>
      <cdr:x>1</cdr:x>
      <cdr:y>0.22955</cdr:y>
    </cdr:to>
    <cdr:sp macro="" textlink="">
      <cdr:nvSpPr>
        <cdr:cNvPr id="221" name="TextBox 220"/>
        <cdr:cNvSpPr txBox="1"/>
      </cdr:nvSpPr>
      <cdr:spPr>
        <a:xfrm xmlns:a="http://schemas.openxmlformats.org/drawingml/2006/main">
          <a:off x="4815044" y="3987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0.21 (0.10 – 0.40)</a:t>
          </a:r>
        </a:p>
      </cdr:txBody>
    </cdr:sp>
  </cdr:relSizeAnchor>
  <cdr:relSizeAnchor xmlns:cdr="http://schemas.openxmlformats.org/drawingml/2006/chartDrawing">
    <cdr:from>
      <cdr:x>0.01021</cdr:x>
      <cdr:y>0.19038</cdr:y>
    </cdr:from>
    <cdr:to>
      <cdr:x>0.31649</cdr:x>
      <cdr:y>0.21787</cdr:y>
    </cdr:to>
    <cdr:sp macro="" textlink="">
      <cdr:nvSpPr>
        <cdr:cNvPr id="222" name="TextBox 221"/>
        <cdr:cNvSpPr txBox="1"/>
      </cdr:nvSpPr>
      <cdr:spPr>
        <a:xfrm xmlns:a="http://schemas.openxmlformats.org/drawingml/2006/main">
          <a:off x="63500" y="3517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0.19038</cdr:y>
    </cdr:from>
    <cdr:to>
      <cdr:x>1</cdr:x>
      <cdr:y>0.20412</cdr:y>
    </cdr:to>
    <cdr:sp macro="" textlink="">
      <cdr:nvSpPr>
        <cdr:cNvPr id="223" name="TextBox 222"/>
        <cdr:cNvSpPr txBox="1"/>
      </cdr:nvSpPr>
      <cdr:spPr>
        <a:xfrm xmlns:a="http://schemas.openxmlformats.org/drawingml/2006/main">
          <a:off x="4815044" y="3517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0.15 (0.06 – 0.27)</a:t>
          </a:r>
        </a:p>
      </cdr:txBody>
    </cdr:sp>
  </cdr:relSizeAnchor>
  <cdr:relSizeAnchor xmlns:cdr="http://schemas.openxmlformats.org/drawingml/2006/chartDrawing">
    <cdr:from>
      <cdr:x>0.01021</cdr:x>
      <cdr:y>0.16495</cdr:y>
    </cdr:from>
    <cdr:to>
      <cdr:x>0.31649</cdr:x>
      <cdr:y>0.19244</cdr:y>
    </cdr:to>
    <cdr:sp macro="" textlink="">
      <cdr:nvSpPr>
        <cdr:cNvPr id="224" name="TextBox 223"/>
        <cdr:cNvSpPr txBox="1"/>
      </cdr:nvSpPr>
      <cdr:spPr>
        <a:xfrm xmlns:a="http://schemas.openxmlformats.org/drawingml/2006/main">
          <a:off x="63500" y="3048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0.16495</cdr:y>
    </cdr:from>
    <cdr:to>
      <cdr:x>1</cdr:x>
      <cdr:y>0.17869</cdr:y>
    </cdr:to>
    <cdr:sp macro="" textlink="">
      <cdr:nvSpPr>
        <cdr:cNvPr id="225" name="TextBox 224"/>
        <cdr:cNvSpPr txBox="1"/>
      </cdr:nvSpPr>
      <cdr:spPr>
        <a:xfrm xmlns:a="http://schemas.openxmlformats.org/drawingml/2006/main">
          <a:off x="4815044" y="3048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0.14 (0.03 – 0.56)</a:t>
          </a:r>
        </a:p>
      </cdr:txBody>
    </cdr:sp>
  </cdr:relSizeAnchor>
  <cdr:relSizeAnchor xmlns:cdr="http://schemas.openxmlformats.org/drawingml/2006/chartDrawing">
    <cdr:from>
      <cdr:x>0.01021</cdr:x>
      <cdr:y>0.13952</cdr:y>
    </cdr:from>
    <cdr:to>
      <cdr:x>0.31649</cdr:x>
      <cdr:y>0.16701</cdr:y>
    </cdr:to>
    <cdr:sp macro="" textlink="">
      <cdr:nvSpPr>
        <cdr:cNvPr id="226" name="TextBox 225"/>
        <cdr:cNvSpPr txBox="1"/>
      </cdr:nvSpPr>
      <cdr:spPr>
        <a:xfrm xmlns:a="http://schemas.openxmlformats.org/drawingml/2006/main">
          <a:off x="63500" y="2578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PLAC_NORX</a:t>
          </a:r>
        </a:p>
      </cdr:txBody>
    </cdr:sp>
  </cdr:relSizeAnchor>
  <cdr:relSizeAnchor xmlns:cdr="http://schemas.openxmlformats.org/drawingml/2006/chartDrawing">
    <cdr:from>
      <cdr:x>0.75498</cdr:x>
      <cdr:y>0.13952</cdr:y>
    </cdr:from>
    <cdr:to>
      <cdr:x>1</cdr:x>
      <cdr:y>0.15326</cdr:y>
    </cdr:to>
    <cdr:sp macro="" textlink="">
      <cdr:nvSpPr>
        <cdr:cNvPr id="227" name="TextBox 226"/>
        <cdr:cNvSpPr txBox="1"/>
      </cdr:nvSpPr>
      <cdr:spPr>
        <a:xfrm xmlns:a="http://schemas.openxmlformats.org/drawingml/2006/main">
          <a:off x="4815044" y="2578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0.10 (0.04 – 0.21)</a:t>
          </a:r>
        </a:p>
      </cdr:txBody>
    </cdr:sp>
  </cdr:relSizeAnchor>
  <cdr:relSizeAnchor xmlns:cdr="http://schemas.openxmlformats.org/drawingml/2006/chartDrawing">
    <cdr:from>
      <cdr:x>0.01021</cdr:x>
      <cdr:y>0.11409</cdr:y>
    </cdr:from>
    <cdr:to>
      <cdr:x>0.31649</cdr:x>
      <cdr:y>0.14158</cdr:y>
    </cdr:to>
    <cdr:sp macro="" textlink="">
      <cdr:nvSpPr>
        <cdr:cNvPr id="228" name="TextBox 227"/>
        <cdr:cNvSpPr txBox="1"/>
      </cdr:nvSpPr>
      <cdr:spPr>
        <a:xfrm xmlns:a="http://schemas.openxmlformats.org/drawingml/2006/main">
          <a:off x="63500" y="2108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0.11409</cdr:y>
    </cdr:from>
    <cdr:to>
      <cdr:x>1</cdr:x>
      <cdr:y>0.12784</cdr:y>
    </cdr:to>
    <cdr:sp macro="" textlink="">
      <cdr:nvSpPr>
        <cdr:cNvPr id="229" name="TextBox 228"/>
        <cdr:cNvSpPr txBox="1"/>
      </cdr:nvSpPr>
      <cdr:spPr>
        <a:xfrm xmlns:a="http://schemas.openxmlformats.org/drawingml/2006/main">
          <a:off x="4815044" y="2108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0.08 (0.03 – 0.19)</a:t>
          </a:r>
        </a:p>
      </cdr:txBody>
    </cdr:sp>
  </cdr:relSizeAnchor>
  <cdr:relSizeAnchor xmlns:cdr="http://schemas.openxmlformats.org/drawingml/2006/chartDrawing">
    <cdr:from>
      <cdr:x>0.01021</cdr:x>
      <cdr:y>0.08935</cdr:y>
    </cdr:from>
    <cdr:to>
      <cdr:x>0.31649</cdr:x>
      <cdr:y>0.11684</cdr:y>
    </cdr:to>
    <cdr:sp macro="" textlink="">
      <cdr:nvSpPr>
        <cdr:cNvPr id="230" name="TextBox 229"/>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0.08935</cdr:y>
    </cdr:from>
    <cdr:to>
      <cdr:x>1</cdr:x>
      <cdr:y>0.10309</cdr:y>
    </cdr:to>
    <cdr:sp macro="" textlink="">
      <cdr:nvSpPr>
        <cdr:cNvPr id="231" name="TextBox 230"/>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0.07 (0.02 – 0.24)</a:t>
          </a:r>
        </a:p>
      </cdr:txBody>
    </cdr:sp>
  </cdr:relSizeAnchor>
  <cdr:relSizeAnchor xmlns:cdr="http://schemas.openxmlformats.org/drawingml/2006/chartDrawing">
    <cdr:from>
      <cdr:x>0.01021</cdr:x>
      <cdr:y>0.06392</cdr:y>
    </cdr:from>
    <cdr:to>
      <cdr:x>0.31649</cdr:x>
      <cdr:y>0.09141</cdr:y>
    </cdr:to>
    <cdr:sp macro="" textlink="">
      <cdr:nvSpPr>
        <cdr:cNvPr id="232" name="TextBox 231"/>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0.06392</cdr:y>
    </cdr:from>
    <cdr:to>
      <cdr:x>1</cdr:x>
      <cdr:y>0.07766</cdr:y>
    </cdr:to>
    <cdr:sp macro="" textlink="">
      <cdr:nvSpPr>
        <cdr:cNvPr id="233" name="TextBox 232"/>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0.06 (0.02 – 0.17)</a:t>
          </a:r>
        </a:p>
      </cdr:txBody>
    </cdr:sp>
  </cdr:relSizeAnchor>
  <cdr:relSizeAnchor xmlns:cdr="http://schemas.openxmlformats.org/drawingml/2006/chartDrawing">
    <cdr:from>
      <cdr:x>0.01021</cdr:x>
      <cdr:y>0.03849</cdr:y>
    </cdr:from>
    <cdr:to>
      <cdr:x>0.31649</cdr:x>
      <cdr:y>0.06598</cdr:y>
    </cdr:to>
    <cdr:sp macro="" textlink="">
      <cdr:nvSpPr>
        <cdr:cNvPr id="234" name="TextBox 233"/>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PLAC_NORX</a:t>
          </a:r>
        </a:p>
      </cdr:txBody>
    </cdr:sp>
  </cdr:relSizeAnchor>
  <cdr:relSizeAnchor xmlns:cdr="http://schemas.openxmlformats.org/drawingml/2006/chartDrawing">
    <cdr:from>
      <cdr:x>0.75498</cdr:x>
      <cdr:y>0.03849</cdr:y>
    </cdr:from>
    <cdr:to>
      <cdr:x>1</cdr:x>
      <cdr:y>0.05223</cdr:y>
    </cdr:to>
    <cdr:sp macro="" textlink="">
      <cdr:nvSpPr>
        <cdr:cNvPr id="235" name="TextBox 234"/>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0.05 (0.01 – 0.21)</a:t>
          </a:r>
        </a:p>
      </cdr:txBody>
    </cdr:sp>
  </cdr:relSizeAnchor>
  <cdr:relSizeAnchor xmlns:cdr="http://schemas.openxmlformats.org/drawingml/2006/chartDrawing">
    <cdr:from>
      <cdr:x>0.01021</cdr:x>
      <cdr:y>0.00344</cdr:y>
    </cdr:from>
    <cdr:to>
      <cdr:x>0.41858</cdr:x>
      <cdr:y>0.03093</cdr:y>
    </cdr:to>
    <cdr:sp macro="" textlink="">
      <cdr:nvSpPr>
        <cdr:cNvPr id="236" name="TextBox 235"/>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0.00344</cdr:y>
    </cdr:from>
    <cdr:to>
      <cdr:x>1</cdr:x>
      <cdr:y>0.03093</cdr:y>
    </cdr:to>
    <cdr:sp macro="" textlink="">
      <cdr:nvSpPr>
        <cdr:cNvPr id="237" name="TextBox 236"/>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0.96495</cdr:y>
    </cdr:from>
    <cdr:to>
      <cdr:x>0.60233</cdr:x>
      <cdr:y>0.97869</cdr:y>
    </cdr:to>
    <cdr:sp macro="" textlink="">
      <cdr:nvSpPr>
        <cdr:cNvPr id="238" name="TextBox 237"/>
        <cdr:cNvSpPr txBox="1"/>
      </cdr:nvSpPr>
      <cdr:spPr>
        <a:xfrm xmlns:a="http://schemas.openxmlformats.org/drawingml/2006/main">
          <a:off x="2222364" y="1783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0.96495</cdr:y>
    </cdr:from>
    <cdr:to>
      <cdr:x>0.81498</cdr:x>
      <cdr:y>0.97869</cdr:y>
    </cdr:to>
    <cdr:sp macro="" textlink="">
      <cdr:nvSpPr>
        <cdr:cNvPr id="239" name="TextBox 238"/>
        <cdr:cNvSpPr txBox="1"/>
      </cdr:nvSpPr>
      <cdr:spPr>
        <a:xfrm xmlns:a="http://schemas.openxmlformats.org/drawingml/2006/main">
          <a:off x="3545044" y="1783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0.97869</cdr:y>
    </cdr:from>
    <cdr:to>
      <cdr:x>0.85673</cdr:x>
      <cdr:y>0.99244</cdr:y>
    </cdr:to>
    <cdr:sp macro="" textlink="">
      <cdr:nvSpPr>
        <cdr:cNvPr id="240" name="TextBox 239"/>
        <cdr:cNvSpPr txBox="1"/>
      </cdr:nvSpPr>
      <cdr:spPr>
        <a:xfrm xmlns:a="http://schemas.openxmlformats.org/drawingml/2006/main">
          <a:off x="2984363" y="18084800"/>
          <a:ext cx="2344345"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0.9512</cdr:y>
    </cdr:from>
    <cdr:to>
      <cdr:x>0.32687</cdr:x>
      <cdr:y>0.97182</cdr:y>
    </cdr:to>
    <cdr:sp macro="" textlink="">
      <cdr:nvSpPr>
        <cdr:cNvPr id="241" name="TextBox 240"/>
        <cdr:cNvSpPr txBox="1"/>
      </cdr:nvSpPr>
      <cdr:spPr>
        <a:xfrm xmlns:a="http://schemas.openxmlformats.org/drawingml/2006/main">
          <a:off x="63499" y="17576800"/>
          <a:ext cx="1969559"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0.2221 
95% CrI (0.03283 – 0.5463)</a:t>
          </a:r>
        </a:p>
      </cdr:txBody>
    </cdr:sp>
  </cdr:relSizeAnchor>
  <cdr:relSizeAnchor xmlns:cdr="http://schemas.openxmlformats.org/drawingml/2006/chartDrawing">
    <cdr:from>
      <cdr:x>0.01021</cdr:x>
      <cdr:y>0.96495</cdr:y>
    </cdr:from>
    <cdr:to>
      <cdr:x>0.29607</cdr:x>
      <cdr:y>0.98557</cdr:y>
    </cdr:to>
    <cdr:sp macro="" textlink="">
      <cdr:nvSpPr>
        <cdr:cNvPr id="242" name="TextBox 241"/>
        <cdr:cNvSpPr txBox="1"/>
      </cdr:nvSpPr>
      <cdr:spPr>
        <a:xfrm xmlns:a="http://schemas.openxmlformats.org/drawingml/2006/main">
          <a:off x="63500" y="1783080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131</v>
      </c>
    </row>
    <row r="30" spans="3:13" x14ac:dyDescent="0.25">
      <c r="C30" s="230" t="s">
        <v>253</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13" zoomScale="120" zoomScaleNormal="120" workbookViewId="0">
      <selection activeCell="D31" sqref="D31"/>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232</v>
      </c>
    </row>
    <row r="3" spans="2:16" x14ac:dyDescent="0.25">
      <c r="P3" t="s">
        <v>231</v>
      </c>
    </row>
    <row r="8" spans="2:16" ht="33.75" customHeight="1" thickBot="1" x14ac:dyDescent="0.3">
      <c r="B8" s="21" t="s">
        <v>118</v>
      </c>
      <c r="C8" s="19"/>
      <c r="D8" s="11"/>
    </row>
    <row r="9" spans="2:16" ht="15.75" customHeight="1" thickTop="1" x14ac:dyDescent="0.25">
      <c r="B9" s="20"/>
      <c r="C9" s="18" t="s">
        <v>37</v>
      </c>
      <c r="D9" s="174">
        <v>1000</v>
      </c>
      <c r="F9" s="231" t="s">
        <v>120</v>
      </c>
      <c r="G9" s="232"/>
      <c r="H9" s="233"/>
    </row>
    <row r="10" spans="2:16" ht="15.75" thickBot="1" x14ac:dyDescent="0.3">
      <c r="B10" s="20"/>
      <c r="C10" s="18" t="s">
        <v>38</v>
      </c>
      <c r="D10" s="175">
        <v>1000</v>
      </c>
      <c r="F10" s="234"/>
      <c r="G10" s="235"/>
      <c r="H10" s="236"/>
    </row>
    <row r="11" spans="2:16" ht="15.75" customHeight="1" thickTop="1" x14ac:dyDescent="0.25">
      <c r="B11" s="20"/>
      <c r="C11" s="18" t="s">
        <v>70</v>
      </c>
      <c r="D11" s="169" t="b">
        <v>1</v>
      </c>
      <c r="F11" s="231" t="s">
        <v>119</v>
      </c>
      <c r="G11" s="232"/>
      <c r="H11" s="233"/>
    </row>
    <row r="12" spans="2:16" ht="15.75" thickBot="1" x14ac:dyDescent="0.3">
      <c r="B12" s="20"/>
      <c r="C12" s="18" t="s">
        <v>69</v>
      </c>
      <c r="D12" s="170" t="b">
        <v>1</v>
      </c>
      <c r="F12" s="240"/>
      <c r="G12" s="241"/>
      <c r="H12" s="242"/>
    </row>
    <row r="13" spans="2:16" ht="34.5" customHeight="1" thickTop="1" thickBot="1" x14ac:dyDescent="0.3">
      <c r="B13" s="21" t="s">
        <v>73</v>
      </c>
    </row>
    <row r="14" spans="2:16" ht="15.75" customHeight="1" thickTop="1" x14ac:dyDescent="0.25">
      <c r="B14" s="20"/>
      <c r="C14" s="18" t="s">
        <v>138</v>
      </c>
      <c r="D14" s="168">
        <v>0</v>
      </c>
      <c r="F14" s="231" t="s">
        <v>121</v>
      </c>
      <c r="G14" s="232"/>
      <c r="H14" s="233"/>
    </row>
    <row r="15" spans="2:16" ht="15" customHeight="1" x14ac:dyDescent="0.25">
      <c r="B15" s="20"/>
      <c r="C15" s="18" t="s">
        <v>139</v>
      </c>
      <c r="D15" s="169">
        <v>2</v>
      </c>
      <c r="F15" s="240"/>
      <c r="G15" s="241"/>
      <c r="H15" s="242"/>
    </row>
    <row r="16" spans="2:16" ht="15" customHeight="1" x14ac:dyDescent="0.25">
      <c r="B16" s="20"/>
      <c r="C16" s="18" t="s">
        <v>273</v>
      </c>
      <c r="D16" s="169">
        <v>1</v>
      </c>
      <c r="F16" s="240"/>
      <c r="G16" s="241"/>
      <c r="H16" s="242"/>
    </row>
    <row r="17" spans="2:8" ht="15.75" customHeight="1" thickBot="1" x14ac:dyDescent="0.3">
      <c r="B17" s="20"/>
      <c r="C17" s="18" t="s">
        <v>274</v>
      </c>
      <c r="D17" s="170">
        <v>2</v>
      </c>
      <c r="F17" s="234"/>
      <c r="G17" s="235"/>
      <c r="H17" s="236"/>
    </row>
    <row r="18" spans="2:8" ht="33.75" customHeight="1" thickTop="1" thickBot="1" x14ac:dyDescent="0.3">
      <c r="B18" s="21" t="s">
        <v>117</v>
      </c>
    </row>
    <row r="19" spans="2:8" ht="35.25" customHeight="1" thickTop="1" thickBot="1" x14ac:dyDescent="0.3">
      <c r="C19" s="24" t="s">
        <v>36</v>
      </c>
      <c r="D19" s="171" t="s">
        <v>301</v>
      </c>
      <c r="E19" t="s">
        <v>84</v>
      </c>
      <c r="F19" s="237" t="s">
        <v>135</v>
      </c>
      <c r="G19" s="238"/>
      <c r="H19" s="239"/>
    </row>
    <row r="20" spans="2:8" ht="33" customHeight="1" thickTop="1" x14ac:dyDescent="0.25">
      <c r="C20" s="25" t="s">
        <v>50</v>
      </c>
      <c r="D20" s="171" t="s">
        <v>317</v>
      </c>
      <c r="F20" s="231" t="s">
        <v>140</v>
      </c>
      <c r="G20" s="232"/>
      <c r="H20" s="233"/>
    </row>
    <row r="21" spans="2:8" ht="33" customHeight="1" thickBot="1" x14ac:dyDescent="0.3">
      <c r="C21" s="24" t="s">
        <v>51</v>
      </c>
      <c r="D21" s="171" t="s">
        <v>318</v>
      </c>
      <c r="F21" s="234"/>
      <c r="G21" s="235"/>
      <c r="H21" s="236"/>
    </row>
    <row r="22" spans="2:8" ht="15.75" customHeight="1" thickTop="1" x14ac:dyDescent="0.25">
      <c r="C22" s="18" t="s">
        <v>58</v>
      </c>
      <c r="D22" s="172" t="s">
        <v>60</v>
      </c>
      <c r="F22" s="231" t="s">
        <v>122</v>
      </c>
      <c r="G22" s="232"/>
      <c r="H22" s="233"/>
    </row>
    <row r="23" spans="2:8" ht="15.75" thickBot="1" x14ac:dyDescent="0.3">
      <c r="C23" s="18" t="s">
        <v>59</v>
      </c>
      <c r="D23" s="172" t="s">
        <v>61</v>
      </c>
      <c r="F23" s="234"/>
      <c r="G23" s="235"/>
      <c r="H23" s="236"/>
    </row>
    <row r="24" spans="2:8" ht="15.75" thickTop="1" x14ac:dyDescent="0.25">
      <c r="C24" s="18" t="s">
        <v>53</v>
      </c>
      <c r="D24" s="172" t="s">
        <v>62</v>
      </c>
    </row>
    <row r="25" spans="2:8" x14ac:dyDescent="0.25">
      <c r="C25" s="18" t="s">
        <v>54</v>
      </c>
      <c r="D25" s="172" t="s">
        <v>63</v>
      </c>
    </row>
    <row r="26" spans="2:8" x14ac:dyDescent="0.25">
      <c r="C26" s="18" t="s">
        <v>52</v>
      </c>
      <c r="D26" s="172" t="s">
        <v>64</v>
      </c>
    </row>
    <row r="27" spans="2:8" x14ac:dyDescent="0.25">
      <c r="C27" s="18" t="s">
        <v>55</v>
      </c>
      <c r="D27" s="172" t="s">
        <v>65</v>
      </c>
    </row>
    <row r="28" spans="2:8" x14ac:dyDescent="0.25">
      <c r="C28" s="18" t="s">
        <v>57</v>
      </c>
      <c r="D28" s="172" t="s">
        <v>66</v>
      </c>
    </row>
    <row r="29" spans="2:8" ht="15.75" thickBot="1" x14ac:dyDescent="0.3">
      <c r="C29" s="18" t="s">
        <v>56</v>
      </c>
      <c r="D29" s="172" t="s">
        <v>67</v>
      </c>
    </row>
    <row r="30" spans="2:8" ht="15.75" customHeight="1" thickTop="1" thickBot="1" x14ac:dyDescent="0.3">
      <c r="C30" s="18" t="s">
        <v>276</v>
      </c>
      <c r="D30" s="177" t="b">
        <v>1</v>
      </c>
      <c r="F30" s="237" t="s">
        <v>277</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zoomScale="80" zoomScaleNormal="80" workbookViewId="0">
      <selection activeCell="I41" sqref="I41"/>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2">
        <f>COUNTIF(D7:D56,"&lt;&gt;")</f>
        <v>33</v>
      </c>
      <c r="D2" s="143" t="s">
        <v>14</v>
      </c>
      <c r="G2" s="60"/>
      <c r="H2" s="60"/>
    </row>
    <row r="3" spans="3:34" ht="19.5" thickBot="1" x14ac:dyDescent="0.35">
      <c r="C3" s="144">
        <f>COUNTIF(E5:AH5,"&lt;&gt;")</f>
        <v>9</v>
      </c>
      <c r="D3" s="143" t="s">
        <v>15</v>
      </c>
      <c r="E3" s="254" t="s">
        <v>233</v>
      </c>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6"/>
    </row>
    <row r="4" spans="3:34" ht="15.75" thickBot="1" x14ac:dyDescent="0.3">
      <c r="C4" s="144">
        <f>COUNTIF(F7:F56,"&lt;&gt;")</f>
        <v>18</v>
      </c>
      <c r="D4" s="143" t="s">
        <v>116</v>
      </c>
      <c r="E4" s="245">
        <v>1</v>
      </c>
      <c r="F4" s="246"/>
      <c r="G4" s="245">
        <f>E4+1</f>
        <v>2</v>
      </c>
      <c r="H4" s="246"/>
      <c r="I4" s="245">
        <f>G4+1</f>
        <v>3</v>
      </c>
      <c r="J4" s="246"/>
      <c r="K4" s="245">
        <f>I4+1</f>
        <v>4</v>
      </c>
      <c r="L4" s="246"/>
      <c r="M4" s="245">
        <f>K4+1</f>
        <v>5</v>
      </c>
      <c r="N4" s="246"/>
      <c r="O4" s="245">
        <f>M4+1</f>
        <v>6</v>
      </c>
      <c r="P4" s="246"/>
      <c r="Q4" s="245">
        <f>O4+1</f>
        <v>7</v>
      </c>
      <c r="R4" s="246"/>
      <c r="S4" s="245">
        <f>Q4+1</f>
        <v>8</v>
      </c>
      <c r="T4" s="246"/>
      <c r="U4" s="245">
        <f>S4+1</f>
        <v>9</v>
      </c>
      <c r="V4" s="246"/>
      <c r="W4" s="245">
        <f>U4+1</f>
        <v>10</v>
      </c>
      <c r="X4" s="246"/>
      <c r="Y4" s="245">
        <f>W4+1</f>
        <v>11</v>
      </c>
      <c r="Z4" s="246"/>
      <c r="AA4" s="245">
        <f>Y4+1</f>
        <v>12</v>
      </c>
      <c r="AB4" s="246"/>
      <c r="AC4" s="245">
        <f>AA4+1</f>
        <v>13</v>
      </c>
      <c r="AD4" s="246"/>
      <c r="AE4" s="245">
        <f>AC4+1</f>
        <v>14</v>
      </c>
      <c r="AF4" s="246"/>
      <c r="AG4" s="245">
        <f>AE4+1</f>
        <v>15</v>
      </c>
      <c r="AH4" s="246"/>
    </row>
    <row r="5" spans="3:34" ht="19.5" customHeight="1" thickBot="1" x14ac:dyDescent="0.3">
      <c r="C5" s="243" t="s">
        <v>9</v>
      </c>
      <c r="D5" s="141" t="s">
        <v>243</v>
      </c>
      <c r="E5" s="249" t="s">
        <v>487</v>
      </c>
      <c r="F5" s="250"/>
      <c r="G5" s="247" t="s">
        <v>488</v>
      </c>
      <c r="H5" s="248"/>
      <c r="I5" s="247" t="s">
        <v>489</v>
      </c>
      <c r="J5" s="248"/>
      <c r="K5" s="247" t="s">
        <v>490</v>
      </c>
      <c r="L5" s="248"/>
      <c r="M5" s="247" t="s">
        <v>491</v>
      </c>
      <c r="N5" s="248"/>
      <c r="O5" s="247" t="s">
        <v>492</v>
      </c>
      <c r="P5" s="248"/>
      <c r="Q5" s="247" t="s">
        <v>493</v>
      </c>
      <c r="R5" s="248"/>
      <c r="S5" s="247" t="s">
        <v>494</v>
      </c>
      <c r="T5" s="248"/>
      <c r="U5" s="247" t="s">
        <v>495</v>
      </c>
      <c r="V5" s="248"/>
      <c r="W5" s="247"/>
      <c r="X5" s="248"/>
      <c r="Y5" s="247"/>
      <c r="Z5" s="248"/>
      <c r="AA5" s="247"/>
      <c r="AB5" s="248"/>
      <c r="AC5" s="247"/>
      <c r="AD5" s="248"/>
      <c r="AE5" s="247"/>
      <c r="AF5" s="248"/>
      <c r="AG5" s="247"/>
      <c r="AH5" s="248"/>
    </row>
    <row r="6" spans="3:34" ht="32.25" customHeight="1" thickBot="1" x14ac:dyDescent="0.3">
      <c r="C6" s="244"/>
      <c r="D6" s="141" t="s">
        <v>10</v>
      </c>
      <c r="E6" s="76" t="s">
        <v>11</v>
      </c>
      <c r="F6" s="77" t="s">
        <v>12</v>
      </c>
      <c r="G6" s="76" t="s">
        <v>11</v>
      </c>
      <c r="H6" s="77" t="s">
        <v>12</v>
      </c>
      <c r="I6" s="76" t="s">
        <v>11</v>
      </c>
      <c r="J6" s="77" t="s">
        <v>12</v>
      </c>
      <c r="K6" s="76" t="s">
        <v>11</v>
      </c>
      <c r="L6" s="77" t="s">
        <v>12</v>
      </c>
      <c r="M6" s="76" t="s">
        <v>11</v>
      </c>
      <c r="N6" s="77" t="s">
        <v>12</v>
      </c>
      <c r="O6" s="76" t="s">
        <v>11</v>
      </c>
      <c r="P6" s="77" t="s">
        <v>12</v>
      </c>
      <c r="Q6" s="76" t="s">
        <v>11</v>
      </c>
      <c r="R6" s="77" t="s">
        <v>12</v>
      </c>
      <c r="S6" s="76" t="s">
        <v>11</v>
      </c>
      <c r="T6" s="77" t="s">
        <v>12</v>
      </c>
      <c r="U6" s="76" t="s">
        <v>11</v>
      </c>
      <c r="V6" s="77" t="s">
        <v>12</v>
      </c>
      <c r="W6" s="76" t="s">
        <v>11</v>
      </c>
      <c r="X6" s="77" t="s">
        <v>12</v>
      </c>
      <c r="Y6" s="76" t="s">
        <v>11</v>
      </c>
      <c r="Z6" s="77" t="s">
        <v>12</v>
      </c>
      <c r="AA6" s="76" t="s">
        <v>11</v>
      </c>
      <c r="AB6" s="77" t="s">
        <v>12</v>
      </c>
      <c r="AC6" s="76" t="s">
        <v>11</v>
      </c>
      <c r="AD6" s="77" t="s">
        <v>12</v>
      </c>
      <c r="AE6" s="76" t="s">
        <v>11</v>
      </c>
      <c r="AF6" s="77" t="s">
        <v>12</v>
      </c>
      <c r="AG6" s="76" t="s">
        <v>11</v>
      </c>
      <c r="AH6" s="77" t="s">
        <v>12</v>
      </c>
    </row>
    <row r="7" spans="3:34" x14ac:dyDescent="0.25">
      <c r="C7" s="79">
        <v>1</v>
      </c>
      <c r="D7" s="94">
        <v>1</v>
      </c>
      <c r="E7" s="62">
        <v>0</v>
      </c>
      <c r="F7" s="63">
        <v>9</v>
      </c>
      <c r="G7" s="62"/>
      <c r="H7" s="63"/>
      <c r="I7" s="62">
        <v>0</v>
      </c>
      <c r="J7" s="63">
        <v>12</v>
      </c>
      <c r="K7" s="62"/>
      <c r="L7" s="63"/>
      <c r="M7" s="62"/>
      <c r="N7" s="63"/>
      <c r="O7" s="62"/>
      <c r="P7" s="63"/>
      <c r="Q7" s="62"/>
      <c r="R7" s="63"/>
      <c r="S7" s="62"/>
      <c r="T7" s="63"/>
      <c r="U7" s="62"/>
      <c r="V7" s="63"/>
      <c r="W7" s="62"/>
      <c r="X7" s="63"/>
      <c r="Y7" s="62"/>
      <c r="Z7" s="63"/>
      <c r="AA7" s="62"/>
      <c r="AB7" s="63"/>
      <c r="AC7" s="62"/>
      <c r="AD7" s="63"/>
      <c r="AE7" s="62"/>
      <c r="AF7" s="63"/>
      <c r="AG7" s="62"/>
      <c r="AH7" s="63"/>
    </row>
    <row r="8" spans="3:34" x14ac:dyDescent="0.25">
      <c r="C8" s="80">
        <v>2</v>
      </c>
      <c r="D8" s="61">
        <v>7</v>
      </c>
      <c r="E8" s="62"/>
      <c r="F8" s="63"/>
      <c r="G8" s="62"/>
      <c r="H8" s="63"/>
      <c r="I8" s="62">
        <v>25</v>
      </c>
      <c r="J8" s="63">
        <v>80</v>
      </c>
      <c r="K8" s="62">
        <v>20</v>
      </c>
      <c r="L8" s="63">
        <v>80</v>
      </c>
      <c r="M8" s="62"/>
      <c r="N8" s="63"/>
      <c r="O8" s="62"/>
      <c r="P8" s="63"/>
      <c r="Q8" s="62"/>
      <c r="R8" s="63"/>
      <c r="S8" s="62"/>
      <c r="T8" s="63"/>
      <c r="U8" s="62"/>
      <c r="V8" s="63"/>
      <c r="W8" s="62"/>
      <c r="X8" s="63"/>
      <c r="Y8" s="62"/>
      <c r="Z8" s="63"/>
      <c r="AA8" s="62"/>
      <c r="AB8" s="63"/>
      <c r="AC8" s="62"/>
      <c r="AD8" s="63"/>
      <c r="AE8" s="62"/>
      <c r="AF8" s="63"/>
      <c r="AG8" s="62"/>
      <c r="AH8" s="63"/>
    </row>
    <row r="9" spans="3:34" x14ac:dyDescent="0.25">
      <c r="C9" s="80">
        <v>3</v>
      </c>
      <c r="D9" s="61">
        <v>8</v>
      </c>
      <c r="E9" s="62"/>
      <c r="F9" s="63"/>
      <c r="G9" s="62">
        <v>13</v>
      </c>
      <c r="H9" s="63">
        <v>34</v>
      </c>
      <c r="I9" s="62">
        <v>6</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80">
        <v>4</v>
      </c>
      <c r="D10" s="61">
        <v>9</v>
      </c>
      <c r="E10" s="62"/>
      <c r="F10" s="63"/>
      <c r="G10" s="62">
        <v>19</v>
      </c>
      <c r="H10" s="63">
        <v>50</v>
      </c>
      <c r="I10" s="62">
        <v>6</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80">
        <v>5</v>
      </c>
      <c r="D11" s="61">
        <v>13</v>
      </c>
      <c r="E11" s="62">
        <v>5</v>
      </c>
      <c r="F11" s="63">
        <v>15</v>
      </c>
      <c r="G11" s="62"/>
      <c r="H11" s="63"/>
      <c r="I11" s="62">
        <v>6</v>
      </c>
      <c r="J11" s="63">
        <v>15</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80">
        <v>6</v>
      </c>
      <c r="D12" s="61">
        <v>15</v>
      </c>
      <c r="E12" s="62">
        <v>2</v>
      </c>
      <c r="F12" s="63">
        <v>20</v>
      </c>
      <c r="G12" s="62"/>
      <c r="H12" s="63"/>
      <c r="I12" s="62"/>
      <c r="J12" s="63"/>
      <c r="K12" s="62"/>
      <c r="L12" s="63"/>
      <c r="M12" s="62"/>
      <c r="N12" s="63"/>
      <c r="O12" s="62"/>
      <c r="P12" s="63"/>
      <c r="Q12" s="62"/>
      <c r="R12" s="63"/>
      <c r="S12" s="62"/>
      <c r="T12" s="63"/>
      <c r="U12" s="62">
        <v>9</v>
      </c>
      <c r="V12" s="63">
        <v>19</v>
      </c>
      <c r="W12" s="62"/>
      <c r="X12" s="63"/>
      <c r="Y12" s="62"/>
      <c r="Z12" s="63"/>
      <c r="AA12" s="62"/>
      <c r="AB12" s="63"/>
      <c r="AC12" s="62"/>
      <c r="AD12" s="63"/>
      <c r="AE12" s="62"/>
      <c r="AF12" s="63"/>
      <c r="AG12" s="62"/>
      <c r="AH12" s="63"/>
    </row>
    <row r="13" spans="3:34" x14ac:dyDescent="0.25">
      <c r="C13" s="80">
        <v>7</v>
      </c>
      <c r="D13" s="61">
        <v>17</v>
      </c>
      <c r="E13" s="62"/>
      <c r="F13" s="63"/>
      <c r="G13" s="62">
        <v>12</v>
      </c>
      <c r="H13" s="63">
        <v>32</v>
      </c>
      <c r="I13" s="62"/>
      <c r="J13" s="63"/>
      <c r="K13" s="62"/>
      <c r="L13" s="63"/>
      <c r="M13" s="62"/>
      <c r="N13" s="63"/>
      <c r="O13" s="62"/>
      <c r="P13" s="63"/>
      <c r="Q13" s="62">
        <v>9</v>
      </c>
      <c r="R13" s="63">
        <v>31</v>
      </c>
      <c r="S13" s="62"/>
      <c r="T13" s="63"/>
      <c r="U13" s="62"/>
      <c r="V13" s="63"/>
      <c r="W13" s="62"/>
      <c r="X13" s="63"/>
      <c r="Y13" s="62"/>
      <c r="Z13" s="63"/>
      <c r="AA13" s="62"/>
      <c r="AB13" s="63"/>
      <c r="AC13" s="62"/>
      <c r="AD13" s="63"/>
      <c r="AE13" s="62"/>
      <c r="AF13" s="63"/>
      <c r="AG13" s="62"/>
      <c r="AH13" s="63"/>
    </row>
    <row r="14" spans="3:34" x14ac:dyDescent="0.25">
      <c r="C14" s="80">
        <v>8</v>
      </c>
      <c r="D14" s="61">
        <v>18</v>
      </c>
      <c r="E14" s="62"/>
      <c r="F14" s="63"/>
      <c r="G14" s="62">
        <v>13</v>
      </c>
      <c r="H14" s="63">
        <v>35</v>
      </c>
      <c r="I14" s="62"/>
      <c r="J14" s="63"/>
      <c r="K14" s="62"/>
      <c r="L14" s="63"/>
      <c r="M14" s="62">
        <v>5</v>
      </c>
      <c r="N14" s="63">
        <v>35</v>
      </c>
      <c r="O14" s="62"/>
      <c r="P14" s="63"/>
      <c r="Q14" s="62"/>
      <c r="R14" s="63"/>
      <c r="S14" s="62"/>
      <c r="T14" s="63"/>
      <c r="U14" s="62"/>
      <c r="V14" s="63"/>
      <c r="W14" s="62"/>
      <c r="X14" s="63"/>
      <c r="Y14" s="62"/>
      <c r="Z14" s="63"/>
      <c r="AA14" s="62"/>
      <c r="AB14" s="63"/>
      <c r="AC14" s="62"/>
      <c r="AD14" s="63"/>
      <c r="AE14" s="62"/>
      <c r="AF14" s="63"/>
      <c r="AG14" s="62"/>
      <c r="AH14" s="63"/>
    </row>
    <row r="15" spans="3:34" x14ac:dyDescent="0.25">
      <c r="C15" s="80">
        <v>9</v>
      </c>
      <c r="D15" s="61">
        <v>19</v>
      </c>
      <c r="E15" s="62"/>
      <c r="F15" s="63"/>
      <c r="G15" s="62"/>
      <c r="H15" s="63"/>
      <c r="I15" s="62">
        <v>1</v>
      </c>
      <c r="J15" s="63">
        <v>18</v>
      </c>
      <c r="K15" s="62"/>
      <c r="L15" s="63"/>
      <c r="M15" s="62"/>
      <c r="N15" s="63"/>
      <c r="O15" s="62"/>
      <c r="P15" s="63"/>
      <c r="Q15" s="62"/>
      <c r="R15" s="63"/>
      <c r="S15" s="62">
        <v>3</v>
      </c>
      <c r="T15" s="63">
        <v>18</v>
      </c>
      <c r="U15" s="62"/>
      <c r="V15" s="63"/>
      <c r="W15" s="62"/>
      <c r="X15" s="63"/>
      <c r="Y15" s="62"/>
      <c r="Z15" s="63"/>
      <c r="AA15" s="62"/>
      <c r="AB15" s="63"/>
      <c r="AC15" s="62"/>
      <c r="AD15" s="63"/>
      <c r="AE15" s="62"/>
      <c r="AF15" s="63"/>
      <c r="AG15" s="62"/>
      <c r="AH15" s="63"/>
    </row>
    <row r="16" spans="3:34" x14ac:dyDescent="0.25">
      <c r="C16" s="80">
        <v>10</v>
      </c>
      <c r="D16" s="61">
        <v>21</v>
      </c>
      <c r="E16" s="62">
        <v>7</v>
      </c>
      <c r="F16" s="63">
        <v>50</v>
      </c>
      <c r="G16" s="62"/>
      <c r="H16" s="63"/>
      <c r="I16" s="62"/>
      <c r="J16" s="63"/>
      <c r="K16" s="62"/>
      <c r="L16" s="63"/>
      <c r="M16" s="62"/>
      <c r="N16" s="63"/>
      <c r="O16" s="62"/>
      <c r="P16" s="63"/>
      <c r="Q16" s="62"/>
      <c r="R16" s="63"/>
      <c r="S16" s="62">
        <v>6</v>
      </c>
      <c r="T16" s="63">
        <v>55</v>
      </c>
      <c r="U16" s="62"/>
      <c r="V16" s="63"/>
      <c r="W16" s="62"/>
      <c r="X16" s="63"/>
      <c r="Y16" s="62"/>
      <c r="Z16" s="63"/>
      <c r="AA16" s="62"/>
      <c r="AB16" s="63"/>
      <c r="AC16" s="62"/>
      <c r="AD16" s="63"/>
      <c r="AE16" s="62"/>
      <c r="AF16" s="63"/>
      <c r="AG16" s="62"/>
      <c r="AH16" s="63"/>
    </row>
    <row r="17" spans="3:34" x14ac:dyDescent="0.25">
      <c r="C17" s="80">
        <v>11</v>
      </c>
      <c r="D17" s="61">
        <v>24</v>
      </c>
      <c r="E17" s="62">
        <v>25</v>
      </c>
      <c r="F17" s="63">
        <v>81</v>
      </c>
      <c r="G17" s="62">
        <v>25</v>
      </c>
      <c r="H17" s="63">
        <v>94</v>
      </c>
      <c r="I17" s="62"/>
      <c r="J17" s="63"/>
      <c r="K17" s="62"/>
      <c r="L17" s="63"/>
      <c r="M17" s="62"/>
      <c r="N17" s="63"/>
      <c r="O17" s="62"/>
      <c r="P17" s="63"/>
      <c r="Q17" s="62"/>
      <c r="R17" s="63"/>
      <c r="S17" s="62"/>
      <c r="T17" s="63"/>
      <c r="U17" s="62"/>
      <c r="V17" s="63"/>
      <c r="W17" s="62"/>
      <c r="X17" s="63"/>
      <c r="Y17" s="62"/>
      <c r="Z17" s="63"/>
      <c r="AA17" s="62"/>
      <c r="AB17" s="63"/>
      <c r="AC17" s="62"/>
      <c r="AD17" s="63"/>
      <c r="AE17" s="62"/>
      <c r="AF17" s="63"/>
      <c r="AG17" s="62"/>
      <c r="AH17" s="63"/>
    </row>
    <row r="18" spans="3:34" x14ac:dyDescent="0.25">
      <c r="C18" s="80">
        <v>12</v>
      </c>
      <c r="D18" s="61">
        <v>26</v>
      </c>
      <c r="E18" s="62">
        <v>17</v>
      </c>
      <c r="F18" s="63">
        <v>69</v>
      </c>
      <c r="G18" s="62"/>
      <c r="H18" s="63"/>
      <c r="I18" s="62"/>
      <c r="J18" s="63"/>
      <c r="K18" s="62"/>
      <c r="L18" s="63"/>
      <c r="M18" s="62"/>
      <c r="N18" s="63"/>
      <c r="O18" s="62"/>
      <c r="P18" s="63"/>
      <c r="Q18" s="62"/>
      <c r="R18" s="63"/>
      <c r="S18" s="62">
        <v>14</v>
      </c>
      <c r="T18" s="63">
        <v>71</v>
      </c>
      <c r="U18" s="62"/>
      <c r="V18" s="63"/>
      <c r="W18" s="62"/>
      <c r="X18" s="63"/>
      <c r="Y18" s="62"/>
      <c r="Z18" s="63"/>
      <c r="AA18" s="62"/>
      <c r="AB18" s="63"/>
      <c r="AC18" s="62"/>
      <c r="AD18" s="63"/>
      <c r="AE18" s="62"/>
      <c r="AF18" s="63"/>
      <c r="AG18" s="62"/>
      <c r="AH18" s="63"/>
    </row>
    <row r="19" spans="3:34" x14ac:dyDescent="0.25">
      <c r="C19" s="80">
        <v>13</v>
      </c>
      <c r="D19" s="61">
        <v>27</v>
      </c>
      <c r="E19" s="62">
        <v>3</v>
      </c>
      <c r="F19" s="63">
        <v>11</v>
      </c>
      <c r="G19" s="62"/>
      <c r="H19" s="63"/>
      <c r="I19" s="62"/>
      <c r="J19" s="63"/>
      <c r="K19" s="62"/>
      <c r="L19" s="63"/>
      <c r="M19" s="62"/>
      <c r="N19" s="63"/>
      <c r="O19" s="62"/>
      <c r="P19" s="63"/>
      <c r="Q19" s="62"/>
      <c r="R19" s="63"/>
      <c r="S19" s="62"/>
      <c r="T19" s="63"/>
      <c r="U19" s="62">
        <v>11</v>
      </c>
      <c r="V19" s="63">
        <v>13</v>
      </c>
      <c r="W19" s="62"/>
      <c r="X19" s="63"/>
      <c r="Y19" s="62"/>
      <c r="Z19" s="63"/>
      <c r="AA19" s="62"/>
      <c r="AB19" s="63"/>
      <c r="AC19" s="62"/>
      <c r="AD19" s="63"/>
      <c r="AE19" s="62"/>
      <c r="AF19" s="63"/>
      <c r="AG19" s="62"/>
      <c r="AH19" s="63"/>
    </row>
    <row r="20" spans="3:34" x14ac:dyDescent="0.25">
      <c r="C20" s="80">
        <v>14</v>
      </c>
      <c r="D20" s="61">
        <v>28</v>
      </c>
      <c r="E20" s="62">
        <v>2</v>
      </c>
      <c r="F20" s="63">
        <v>8</v>
      </c>
      <c r="G20" s="62">
        <v>3</v>
      </c>
      <c r="H20" s="63">
        <v>8</v>
      </c>
      <c r="I20" s="62"/>
      <c r="J20" s="63"/>
      <c r="K20" s="62"/>
      <c r="L20" s="63"/>
      <c r="M20" s="62"/>
      <c r="N20" s="63"/>
      <c r="O20" s="62"/>
      <c r="P20" s="63"/>
      <c r="Q20" s="62"/>
      <c r="R20" s="63"/>
      <c r="S20" s="62"/>
      <c r="T20" s="63"/>
      <c r="U20" s="62"/>
      <c r="V20" s="63"/>
      <c r="W20" s="62"/>
      <c r="X20" s="63"/>
      <c r="Y20" s="62"/>
      <c r="Z20" s="63"/>
      <c r="AA20" s="62"/>
      <c r="AB20" s="63"/>
      <c r="AC20" s="62"/>
      <c r="AD20" s="63"/>
      <c r="AE20" s="62"/>
      <c r="AF20" s="63"/>
      <c r="AG20" s="62"/>
      <c r="AH20" s="63"/>
    </row>
    <row r="21" spans="3:34" x14ac:dyDescent="0.25">
      <c r="C21" s="80">
        <v>15</v>
      </c>
      <c r="D21" s="61">
        <v>30</v>
      </c>
      <c r="E21" s="62"/>
      <c r="F21" s="63"/>
      <c r="G21" s="62"/>
      <c r="H21" s="63"/>
      <c r="I21" s="62"/>
      <c r="J21" s="63"/>
      <c r="K21" s="62"/>
      <c r="L21" s="63"/>
      <c r="M21" s="62"/>
      <c r="N21" s="63"/>
      <c r="O21" s="62"/>
      <c r="P21" s="63"/>
      <c r="Q21" s="62"/>
      <c r="R21" s="63"/>
      <c r="S21" s="62">
        <v>2</v>
      </c>
      <c r="T21" s="63">
        <v>12</v>
      </c>
      <c r="U21" s="62">
        <v>4</v>
      </c>
      <c r="V21" s="63">
        <v>11</v>
      </c>
      <c r="W21" s="62"/>
      <c r="X21" s="63"/>
      <c r="Y21" s="62"/>
      <c r="Z21" s="63"/>
      <c r="AA21" s="62"/>
      <c r="AB21" s="63"/>
      <c r="AC21" s="62"/>
      <c r="AD21" s="63"/>
      <c r="AE21" s="62"/>
      <c r="AF21" s="63"/>
      <c r="AG21" s="62"/>
      <c r="AH21" s="63"/>
    </row>
    <row r="22" spans="3:34" x14ac:dyDescent="0.25">
      <c r="C22" s="80">
        <v>16</v>
      </c>
      <c r="D22" s="61">
        <v>32</v>
      </c>
      <c r="E22" s="62"/>
      <c r="F22" s="63"/>
      <c r="G22" s="62"/>
      <c r="H22" s="63"/>
      <c r="I22" s="62">
        <v>9</v>
      </c>
      <c r="J22" s="63">
        <v>40</v>
      </c>
      <c r="K22" s="62">
        <v>11</v>
      </c>
      <c r="L22" s="63">
        <v>40</v>
      </c>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80">
        <v>17</v>
      </c>
      <c r="D23" s="61">
        <v>35</v>
      </c>
      <c r="E23" s="62">
        <v>3</v>
      </c>
      <c r="F23" s="63">
        <v>20</v>
      </c>
      <c r="G23" s="62">
        <v>4</v>
      </c>
      <c r="H23" s="63">
        <v>20</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80">
        <v>18</v>
      </c>
      <c r="D24" s="61">
        <v>37</v>
      </c>
      <c r="E24" s="62">
        <v>1</v>
      </c>
      <c r="F24" s="63">
        <v>15</v>
      </c>
      <c r="G24" s="62">
        <v>4</v>
      </c>
      <c r="H24" s="63">
        <v>18</v>
      </c>
      <c r="I24" s="62"/>
      <c r="J24" s="63"/>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80">
        <v>19</v>
      </c>
      <c r="D25" s="61">
        <v>39</v>
      </c>
      <c r="E25" s="62"/>
      <c r="F25" s="63"/>
      <c r="G25" s="62">
        <v>9</v>
      </c>
      <c r="H25" s="63">
        <v>32</v>
      </c>
      <c r="I25" s="62">
        <v>6</v>
      </c>
      <c r="J25" s="63">
        <v>36</v>
      </c>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80">
        <v>20</v>
      </c>
      <c r="D26" s="61">
        <v>42</v>
      </c>
      <c r="E26" s="62">
        <v>13</v>
      </c>
      <c r="F26" s="63">
        <v>62</v>
      </c>
      <c r="G26" s="62"/>
      <c r="H26" s="63"/>
      <c r="I26" s="62"/>
      <c r="J26" s="63"/>
      <c r="K26" s="62"/>
      <c r="L26" s="63"/>
      <c r="M26" s="62"/>
      <c r="N26" s="63"/>
      <c r="O26" s="62"/>
      <c r="P26" s="63"/>
      <c r="Q26" s="62"/>
      <c r="R26" s="63"/>
      <c r="S26" s="62">
        <v>10</v>
      </c>
      <c r="T26" s="63">
        <v>59</v>
      </c>
      <c r="U26" s="62"/>
      <c r="V26" s="63"/>
      <c r="W26" s="62"/>
      <c r="X26" s="63"/>
      <c r="Y26" s="62"/>
      <c r="Z26" s="63"/>
      <c r="AA26" s="62"/>
      <c r="AB26" s="63"/>
      <c r="AC26" s="62"/>
      <c r="AD26" s="63"/>
      <c r="AE26" s="62"/>
      <c r="AF26" s="63"/>
      <c r="AG26" s="62"/>
      <c r="AH26" s="63"/>
    </row>
    <row r="27" spans="3:34" x14ac:dyDescent="0.25">
      <c r="C27" s="80">
        <v>21</v>
      </c>
      <c r="D27" s="61">
        <v>43</v>
      </c>
      <c r="E27" s="62">
        <v>5</v>
      </c>
      <c r="F27" s="63">
        <v>36</v>
      </c>
      <c r="G27" s="62"/>
      <c r="H27" s="63"/>
      <c r="I27" s="62"/>
      <c r="J27" s="63"/>
      <c r="K27" s="62"/>
      <c r="L27" s="63"/>
      <c r="M27" s="62"/>
      <c r="N27" s="63"/>
      <c r="O27" s="62"/>
      <c r="P27" s="63"/>
      <c r="Q27" s="62"/>
      <c r="R27" s="63"/>
      <c r="S27" s="62">
        <v>0</v>
      </c>
      <c r="T27" s="63">
        <v>34</v>
      </c>
      <c r="U27" s="62"/>
      <c r="V27" s="63"/>
      <c r="W27" s="62"/>
      <c r="X27" s="63"/>
      <c r="Y27" s="62"/>
      <c r="Z27" s="63"/>
      <c r="AA27" s="62"/>
      <c r="AB27" s="63"/>
      <c r="AC27" s="62"/>
      <c r="AD27" s="63"/>
      <c r="AE27" s="62"/>
      <c r="AF27" s="63"/>
      <c r="AG27" s="62"/>
      <c r="AH27" s="63"/>
    </row>
    <row r="28" spans="3:34" x14ac:dyDescent="0.25">
      <c r="C28" s="80">
        <v>22</v>
      </c>
      <c r="D28" s="61">
        <v>44</v>
      </c>
      <c r="E28" s="62">
        <v>0</v>
      </c>
      <c r="F28" s="63">
        <v>18</v>
      </c>
      <c r="G28" s="62"/>
      <c r="H28" s="63"/>
      <c r="I28" s="62"/>
      <c r="J28" s="63"/>
      <c r="K28" s="62"/>
      <c r="L28" s="63"/>
      <c r="M28" s="62"/>
      <c r="N28" s="63"/>
      <c r="O28" s="62"/>
      <c r="P28" s="63"/>
      <c r="Q28" s="62"/>
      <c r="R28" s="63"/>
      <c r="S28" s="62">
        <v>0</v>
      </c>
      <c r="T28" s="63">
        <v>16</v>
      </c>
      <c r="U28" s="62"/>
      <c r="V28" s="63"/>
      <c r="W28" s="62"/>
      <c r="X28" s="63"/>
      <c r="Y28" s="62"/>
      <c r="Z28" s="63"/>
      <c r="AA28" s="62"/>
      <c r="AB28" s="63"/>
      <c r="AC28" s="62"/>
      <c r="AD28" s="63"/>
      <c r="AE28" s="62"/>
      <c r="AF28" s="63"/>
      <c r="AG28" s="62"/>
      <c r="AH28" s="63"/>
    </row>
    <row r="29" spans="3:34" x14ac:dyDescent="0.25">
      <c r="C29" s="80">
        <v>23</v>
      </c>
      <c r="D29" s="61">
        <v>45</v>
      </c>
      <c r="E29" s="62"/>
      <c r="F29" s="63"/>
      <c r="G29" s="62"/>
      <c r="H29" s="63"/>
      <c r="I29" s="62"/>
      <c r="J29" s="63"/>
      <c r="K29" s="62"/>
      <c r="L29" s="63"/>
      <c r="M29" s="62"/>
      <c r="N29" s="63"/>
      <c r="O29" s="62"/>
      <c r="P29" s="63"/>
      <c r="Q29" s="62"/>
      <c r="R29" s="63"/>
      <c r="S29" s="62">
        <v>4</v>
      </c>
      <c r="T29" s="63">
        <v>15</v>
      </c>
      <c r="U29" s="62">
        <v>11</v>
      </c>
      <c r="V29" s="63">
        <v>15</v>
      </c>
      <c r="W29" s="62"/>
      <c r="X29" s="63"/>
      <c r="Y29" s="62"/>
      <c r="Z29" s="63"/>
      <c r="AA29" s="62"/>
      <c r="AB29" s="63"/>
      <c r="AC29" s="62"/>
      <c r="AD29" s="63"/>
      <c r="AE29" s="62"/>
      <c r="AF29" s="63"/>
      <c r="AG29" s="62"/>
      <c r="AH29" s="63"/>
    </row>
    <row r="30" spans="3:34" x14ac:dyDescent="0.25">
      <c r="C30" s="80">
        <v>24</v>
      </c>
      <c r="D30" s="61">
        <v>47</v>
      </c>
      <c r="E30" s="62"/>
      <c r="F30" s="63"/>
      <c r="G30" s="62">
        <v>9</v>
      </c>
      <c r="H30" s="63">
        <v>54</v>
      </c>
      <c r="I30" s="62"/>
      <c r="J30" s="63"/>
      <c r="K30" s="62"/>
      <c r="L30" s="63"/>
      <c r="M30" s="62"/>
      <c r="N30" s="63"/>
      <c r="O30" s="62"/>
      <c r="P30" s="63"/>
      <c r="Q30" s="62"/>
      <c r="R30" s="63"/>
      <c r="S30" s="62"/>
      <c r="T30" s="63"/>
      <c r="U30" s="62">
        <v>24</v>
      </c>
      <c r="V30" s="63">
        <v>51</v>
      </c>
      <c r="W30" s="62"/>
      <c r="X30" s="63"/>
      <c r="Y30" s="62"/>
      <c r="Z30" s="63"/>
      <c r="AA30" s="62"/>
      <c r="AB30" s="63"/>
      <c r="AC30" s="62"/>
      <c r="AD30" s="63"/>
      <c r="AE30" s="62"/>
      <c r="AF30" s="63"/>
      <c r="AG30" s="62"/>
      <c r="AH30" s="63"/>
    </row>
    <row r="31" spans="3:34" x14ac:dyDescent="0.25">
      <c r="C31" s="80">
        <v>25</v>
      </c>
      <c r="D31" s="61">
        <v>49</v>
      </c>
      <c r="E31" s="62">
        <v>7</v>
      </c>
      <c r="F31" s="63">
        <v>59</v>
      </c>
      <c r="G31" s="62">
        <v>8</v>
      </c>
      <c r="H31" s="63">
        <v>60</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80">
        <v>26</v>
      </c>
      <c r="D32" s="61">
        <v>53</v>
      </c>
      <c r="E32" s="62">
        <v>9</v>
      </c>
      <c r="F32" s="63">
        <v>74</v>
      </c>
      <c r="G32" s="62">
        <v>12</v>
      </c>
      <c r="H32" s="63">
        <v>74</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80">
        <v>27</v>
      </c>
      <c r="D33" s="61">
        <v>54</v>
      </c>
      <c r="E33" s="62"/>
      <c r="F33" s="63"/>
      <c r="G33" s="62"/>
      <c r="H33" s="63"/>
      <c r="I33" s="62">
        <v>32</v>
      </c>
      <c r="J33" s="63">
        <v>48</v>
      </c>
      <c r="K33" s="62"/>
      <c r="L33" s="63"/>
      <c r="M33" s="62"/>
      <c r="N33" s="63"/>
      <c r="O33" s="62"/>
      <c r="P33" s="63"/>
      <c r="Q33" s="62"/>
      <c r="R33" s="63"/>
      <c r="S33" s="62">
        <v>20</v>
      </c>
      <c r="T33" s="63">
        <v>35</v>
      </c>
      <c r="U33" s="62"/>
      <c r="V33" s="63"/>
      <c r="W33" s="62"/>
      <c r="X33" s="63"/>
      <c r="Y33" s="62"/>
      <c r="Z33" s="63"/>
      <c r="AA33" s="62"/>
      <c r="AB33" s="63"/>
      <c r="AC33" s="62"/>
      <c r="AD33" s="63"/>
      <c r="AE33" s="62"/>
      <c r="AF33" s="63"/>
      <c r="AG33" s="62"/>
      <c r="AH33" s="63"/>
    </row>
    <row r="34" spans="3:34" x14ac:dyDescent="0.25">
      <c r="C34" s="80">
        <v>28</v>
      </c>
      <c r="D34" s="61">
        <v>56</v>
      </c>
      <c r="E34" s="62"/>
      <c r="F34" s="63"/>
      <c r="G34" s="62"/>
      <c r="H34" s="63"/>
      <c r="I34" s="62">
        <v>10</v>
      </c>
      <c r="J34" s="63">
        <v>30</v>
      </c>
      <c r="K34" s="62"/>
      <c r="L34" s="63"/>
      <c r="M34" s="62"/>
      <c r="N34" s="63"/>
      <c r="O34" s="62">
        <v>6</v>
      </c>
      <c r="P34" s="63">
        <v>30</v>
      </c>
      <c r="Q34" s="62"/>
      <c r="R34" s="63"/>
      <c r="S34" s="62"/>
      <c r="T34" s="63"/>
      <c r="U34" s="62"/>
      <c r="V34" s="63"/>
      <c r="W34" s="62"/>
      <c r="X34" s="63"/>
      <c r="Y34" s="62"/>
      <c r="Z34" s="63"/>
      <c r="AA34" s="62"/>
      <c r="AB34" s="63"/>
      <c r="AC34" s="62"/>
      <c r="AD34" s="63"/>
      <c r="AE34" s="62"/>
      <c r="AF34" s="63"/>
      <c r="AG34" s="62"/>
      <c r="AH34" s="63"/>
    </row>
    <row r="35" spans="3:34" x14ac:dyDescent="0.25">
      <c r="C35" s="80">
        <v>29</v>
      </c>
      <c r="D35" s="61">
        <v>61</v>
      </c>
      <c r="E35" s="62">
        <v>4</v>
      </c>
      <c r="F35" s="63">
        <v>12</v>
      </c>
      <c r="G35" s="62"/>
      <c r="H35" s="63"/>
      <c r="I35" s="62"/>
      <c r="J35" s="63"/>
      <c r="K35" s="62"/>
      <c r="L35" s="63"/>
      <c r="M35" s="62"/>
      <c r="N35" s="63"/>
      <c r="O35" s="62"/>
      <c r="P35" s="63"/>
      <c r="Q35" s="62"/>
      <c r="R35" s="63"/>
      <c r="S35" s="62"/>
      <c r="T35" s="63"/>
      <c r="U35" s="62">
        <v>10</v>
      </c>
      <c r="V35" s="63">
        <v>12</v>
      </c>
      <c r="W35" s="62"/>
      <c r="X35" s="63"/>
      <c r="Y35" s="62"/>
      <c r="Z35" s="63"/>
      <c r="AA35" s="62"/>
      <c r="AB35" s="63"/>
      <c r="AC35" s="62"/>
      <c r="AD35" s="63"/>
      <c r="AE35" s="62"/>
      <c r="AF35" s="63"/>
      <c r="AG35" s="62"/>
      <c r="AH35" s="63"/>
    </row>
    <row r="36" spans="3:34" x14ac:dyDescent="0.25">
      <c r="C36" s="80">
        <v>30</v>
      </c>
      <c r="D36" s="61">
        <v>62</v>
      </c>
      <c r="E36" s="62">
        <v>3</v>
      </c>
      <c r="F36" s="63">
        <v>24</v>
      </c>
      <c r="G36" s="62">
        <v>7</v>
      </c>
      <c r="H36" s="63">
        <v>23</v>
      </c>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80">
        <v>31</v>
      </c>
      <c r="D37" s="61">
        <v>64</v>
      </c>
      <c r="E37" s="62"/>
      <c r="F37" s="63"/>
      <c r="G37" s="62"/>
      <c r="H37" s="63"/>
      <c r="I37" s="62">
        <v>2</v>
      </c>
      <c r="J37" s="63">
        <v>12</v>
      </c>
      <c r="K37" s="62"/>
      <c r="L37" s="63"/>
      <c r="M37" s="62"/>
      <c r="N37" s="63"/>
      <c r="O37" s="62"/>
      <c r="P37" s="63"/>
      <c r="Q37" s="62"/>
      <c r="R37" s="63"/>
      <c r="S37" s="62">
        <v>3</v>
      </c>
      <c r="T37" s="63">
        <v>11</v>
      </c>
      <c r="U37" s="62"/>
      <c r="V37" s="63"/>
      <c r="W37" s="62"/>
      <c r="X37" s="63"/>
      <c r="Y37" s="62"/>
      <c r="Z37" s="63"/>
      <c r="AA37" s="62"/>
      <c r="AB37" s="63"/>
      <c r="AC37" s="62"/>
      <c r="AD37" s="63"/>
      <c r="AE37" s="62"/>
      <c r="AF37" s="63"/>
      <c r="AG37" s="62"/>
      <c r="AH37" s="63"/>
    </row>
    <row r="38" spans="3:34" x14ac:dyDescent="0.25">
      <c r="C38" s="80">
        <v>32</v>
      </c>
      <c r="D38" s="61">
        <v>65</v>
      </c>
      <c r="E38" s="62">
        <v>2</v>
      </c>
      <c r="F38" s="63">
        <v>18</v>
      </c>
      <c r="G38" s="62"/>
      <c r="H38" s="63"/>
      <c r="I38" s="62">
        <v>1</v>
      </c>
      <c r="J38" s="63">
        <v>16</v>
      </c>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80">
        <v>33</v>
      </c>
      <c r="D39" s="61">
        <v>67</v>
      </c>
      <c r="E39" s="62"/>
      <c r="F39" s="63"/>
      <c r="G39" s="62"/>
      <c r="H39" s="63"/>
      <c r="I39" s="62"/>
      <c r="J39" s="63"/>
      <c r="K39" s="62">
        <v>12</v>
      </c>
      <c r="L39" s="63">
        <v>67</v>
      </c>
      <c r="M39" s="62"/>
      <c r="N39" s="63"/>
      <c r="O39" s="62">
        <v>17</v>
      </c>
      <c r="P39" s="63">
        <v>62</v>
      </c>
      <c r="Q39" s="62"/>
      <c r="R39" s="63"/>
      <c r="S39" s="62"/>
      <c r="T39" s="63"/>
      <c r="U39" s="62"/>
      <c r="V39" s="63"/>
      <c r="W39" s="62"/>
      <c r="X39" s="63"/>
      <c r="Y39" s="62"/>
      <c r="Z39" s="63"/>
      <c r="AA39" s="62"/>
      <c r="AB39" s="63"/>
      <c r="AC39" s="62"/>
      <c r="AD39" s="63"/>
      <c r="AE39" s="62"/>
      <c r="AF39" s="63"/>
      <c r="AG39" s="62"/>
      <c r="AH39" s="63"/>
    </row>
    <row r="40" spans="3:34" x14ac:dyDescent="0.25">
      <c r="C40" s="80">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80">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80">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80">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80">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80">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80">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80">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80">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80">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80">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80">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80">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80">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80">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80">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1">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8">
        <f>MIN(patient_totals)</f>
        <v>31</v>
      </c>
      <c r="D57" s="78">
        <f>SUM(patient_totals)</f>
        <v>2322</v>
      </c>
      <c r="E57" s="251">
        <f>IF(SUM(F7:F56)=0,"",SUM(F7:F56))</f>
        <v>601</v>
      </c>
      <c r="F57" s="252"/>
      <c r="G57" s="251">
        <f>IF(SUM(H7:H56)=0,"",SUM(H7:H56))</f>
        <v>534</v>
      </c>
      <c r="H57" s="252"/>
      <c r="I57" s="251">
        <f>IF(SUM(J7:J56)=0,"",SUM(J7:J56))</f>
        <v>395</v>
      </c>
      <c r="J57" s="252"/>
      <c r="K57" s="251">
        <f>IF(SUM(L7:L56)=0,"",SUM(L7:L56))</f>
        <v>187</v>
      </c>
      <c r="L57" s="252"/>
      <c r="M57" s="251">
        <f>IF(SUM(N7:N56)=0,"",SUM(N7:N56))</f>
        <v>35</v>
      </c>
      <c r="N57" s="252"/>
      <c r="O57" s="251">
        <f>IF(SUM(P7:P56)=0,"",SUM(P7:P56))</f>
        <v>92</v>
      </c>
      <c r="P57" s="252"/>
      <c r="Q57" s="251">
        <f>IF(SUM(R7:R56)=0,"",SUM(R7:R56))</f>
        <v>31</v>
      </c>
      <c r="R57" s="252"/>
      <c r="S57" s="251">
        <f>IF(SUM(T7:T56)=0,"",SUM(T7:T56))</f>
        <v>326</v>
      </c>
      <c r="T57" s="252"/>
      <c r="U57" s="251">
        <f>IF(SUM(V7:V56)=0,"",SUM(V7:V56))</f>
        <v>121</v>
      </c>
      <c r="V57" s="252"/>
      <c r="W57" s="251" t="str">
        <f>IF(SUM(X7:X56)=0,"",SUM(X7:X56))</f>
        <v/>
      </c>
      <c r="X57" s="252"/>
      <c r="Y57" s="251" t="str">
        <f>IF(SUM(Z7:Z56)=0,"",SUM(Z7:Z56))</f>
        <v/>
      </c>
      <c r="Z57" s="252"/>
      <c r="AA57" s="251" t="str">
        <f>IF(SUM(AB7:AB56)=0,"",SUM(AB7:AB56))</f>
        <v/>
      </c>
      <c r="AB57" s="252"/>
      <c r="AC57" s="251" t="str">
        <f>IF(SUM(AD7:AD56)=0,"",SUM(AD7:AD56))</f>
        <v/>
      </c>
      <c r="AD57" s="252"/>
      <c r="AE57" s="251" t="str">
        <f>IF(SUM(AF7:AF56)=0,"",SUM(AF7:AF56))</f>
        <v/>
      </c>
      <c r="AF57" s="252"/>
      <c r="AG57" s="253" t="str">
        <f>IF(SUM(AH7:AH56)=0,"",SUM(AH7:AH56))</f>
        <v/>
      </c>
      <c r="AH57" s="252"/>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40:D56">
    <cfRule type="expression" dxfId="98" priority="118">
      <formula>$D39&lt;&gt;""</formula>
    </cfRule>
  </conditionalFormatting>
  <conditionalFormatting sqref="W5:AH5">
    <cfRule type="expression" dxfId="97" priority="116">
      <formula>U$5&lt;&gt;""</formula>
    </cfRule>
  </conditionalFormatting>
  <conditionalFormatting sqref="E18">
    <cfRule type="expression" dxfId="96" priority="32">
      <formula>AND($D18&lt;&gt;"",E$5&lt;&gt;"")</formula>
    </cfRule>
  </conditionalFormatting>
  <conditionalFormatting sqref="F18">
    <cfRule type="expression" dxfId="95" priority="31">
      <formula>AND($D18&lt;&gt;"",E$5&lt;&gt;"")</formula>
    </cfRule>
  </conditionalFormatting>
  <conditionalFormatting sqref="E40:E56">
    <cfRule type="expression" dxfId="94" priority="111">
      <formula>AND($D40&lt;&gt;"",E$5&lt;&gt;"")</formula>
    </cfRule>
  </conditionalFormatting>
  <conditionalFormatting sqref="F40:F56">
    <cfRule type="expression" dxfId="93" priority="110">
      <formula>AND($D40&lt;&gt;"",E$5&lt;&gt;"")</formula>
    </cfRule>
  </conditionalFormatting>
  <conditionalFormatting sqref="I18 K18 M18 O18">
    <cfRule type="expression" dxfId="92" priority="28">
      <formula>AND($D18&lt;&gt;"",I$5&lt;&gt;"")</formula>
    </cfRule>
  </conditionalFormatting>
  <conditionalFormatting sqref="J18 L18 N18 P18">
    <cfRule type="expression" dxfId="91" priority="27">
      <formula>AND($D18&lt;&gt;"",I$5&lt;&gt;"")</formula>
    </cfRule>
  </conditionalFormatting>
  <conditionalFormatting sqref="S7 U7 W7 Y7 AA7 AC7 AE7 AG7">
    <cfRule type="expression" dxfId="90" priority="107">
      <formula>AND($D7&lt;&gt;"",S$5&lt;&gt;"")</formula>
    </cfRule>
  </conditionalFormatting>
  <conditionalFormatting sqref="T7 V7 X7 Z7 AB7 AD7 AF7 AH7">
    <cfRule type="expression" dxfId="89" priority="106">
      <formula>AND($D7&lt;&gt;"",S$5&lt;&gt;"")</formula>
    </cfRule>
  </conditionalFormatting>
  <conditionalFormatting sqref="G40:G56">
    <cfRule type="expression" dxfId="88" priority="105">
      <formula>AND($D40&lt;&gt;"",G$5&lt;&gt;"")</formula>
    </cfRule>
  </conditionalFormatting>
  <conditionalFormatting sqref="H40:H56">
    <cfRule type="expression" dxfId="87" priority="104">
      <formula>AND($D40&lt;&gt;"",G$5&lt;&gt;"")</formula>
    </cfRule>
  </conditionalFormatting>
  <conditionalFormatting sqref="I40:I56 O40:O56 Q40:Q56 S8:S14 U8:U20 W8:W56 Y8:Y56 AA8:AA56 AC8:AC56 AE8:AE56 AG8:AG56 K40:K56 M40:M56 S40:S56 U36:U56">
    <cfRule type="expression" dxfId="86" priority="103">
      <formula>AND($D8&lt;&gt;"",I$5&lt;&gt;"")</formula>
    </cfRule>
  </conditionalFormatting>
  <conditionalFormatting sqref="J40:J56 P40:P56 R40:R56 T8:T14 V8:V20 X8:X56 Z8:Z56 AB8:AB56 AD8:AD56 AF8:AF56 AH8:AH56 L40:L56 N40:N56 T40:T56 V36:V56">
    <cfRule type="expression" dxfId="85" priority="102">
      <formula>AND($D8&lt;&gt;"",I$5&lt;&gt;"")</formula>
    </cfRule>
  </conditionalFormatting>
  <conditionalFormatting sqref="E20">
    <cfRule type="expression" dxfId="84" priority="20">
      <formula>AND($D20&lt;&gt;"",E$5&lt;&gt;"")</formula>
    </cfRule>
  </conditionalFormatting>
  <conditionalFormatting sqref="F20">
    <cfRule type="expression" dxfId="83" priority="19">
      <formula>AND($D20&lt;&gt;"",E$5&lt;&gt;"")</formula>
    </cfRule>
  </conditionalFormatting>
  <conditionalFormatting sqref="G20">
    <cfRule type="expression" dxfId="82" priority="18">
      <formula>AND($D20&lt;&gt;"",G$5&lt;&gt;"")</formula>
    </cfRule>
  </conditionalFormatting>
  <conditionalFormatting sqref="H20">
    <cfRule type="expression" dxfId="81" priority="17">
      <formula>AND($D20&lt;&gt;"",G$5&lt;&gt;"")</formula>
    </cfRule>
  </conditionalFormatting>
  <conditionalFormatting sqref="I20 K20 M20 O20">
    <cfRule type="expression" dxfId="80" priority="16">
      <formula>AND($D20&lt;&gt;"",I$5&lt;&gt;"")</formula>
    </cfRule>
  </conditionalFormatting>
  <conditionalFormatting sqref="J20 L20 N20 P20">
    <cfRule type="expression" dxfId="79" priority="15">
      <formula>AND($D20&lt;&gt;"",I$5&lt;&gt;"")</formula>
    </cfRule>
  </conditionalFormatting>
  <conditionalFormatting sqref="G21">
    <cfRule type="expression" dxfId="78" priority="14">
      <formula>AND($D21&lt;&gt;"",G$5&lt;&gt;"")</formula>
    </cfRule>
  </conditionalFormatting>
  <conditionalFormatting sqref="H21">
    <cfRule type="expression" dxfId="77" priority="13">
      <formula>AND($D21&lt;&gt;"",G$5&lt;&gt;"")</formula>
    </cfRule>
  </conditionalFormatting>
  <conditionalFormatting sqref="I21 K21 M21 O21">
    <cfRule type="expression" dxfId="76" priority="12">
      <formula>AND($D21&lt;&gt;"",I$5&lt;&gt;"")</formula>
    </cfRule>
  </conditionalFormatting>
  <conditionalFormatting sqref="J21 L21 N21 P21">
    <cfRule type="expression" dxfId="75" priority="11">
      <formula>AND($D21&lt;&gt;"",I$5&lt;&gt;"")</formula>
    </cfRule>
  </conditionalFormatting>
  <conditionalFormatting sqref="G5:H5">
    <cfRule type="expression" dxfId="74" priority="87">
      <formula>E$5&lt;&gt;""</formula>
    </cfRule>
  </conditionalFormatting>
  <conditionalFormatting sqref="I5:V5">
    <cfRule type="expression" dxfId="73" priority="86">
      <formula>G$5&lt;&gt;""</formula>
    </cfRule>
  </conditionalFormatting>
  <conditionalFormatting sqref="G5:H5">
    <cfRule type="expression" dxfId="72" priority="85">
      <formula>E$5&lt;&gt;""</formula>
    </cfRule>
  </conditionalFormatting>
  <conditionalFormatting sqref="I5:R5">
    <cfRule type="expression" dxfId="71" priority="84">
      <formula>G$5&lt;&gt;""</formula>
    </cfRule>
  </conditionalFormatting>
  <conditionalFormatting sqref="G5:H5">
    <cfRule type="expression" dxfId="70" priority="83">
      <formula>E$5&lt;&gt;""</formula>
    </cfRule>
  </conditionalFormatting>
  <conditionalFormatting sqref="I5:R5">
    <cfRule type="expression" dxfId="69" priority="82">
      <formula>G$5&lt;&gt;""</formula>
    </cfRule>
  </conditionalFormatting>
  <conditionalFormatting sqref="V21:V35">
    <cfRule type="expression" dxfId="68" priority="1">
      <formula>AND($D21&lt;&gt;"",U$5&lt;&gt;"")</formula>
    </cfRule>
  </conditionalFormatting>
  <conditionalFormatting sqref="D8">
    <cfRule type="expression" dxfId="67" priority="79">
      <formula>$D7&lt;&gt;""</formula>
    </cfRule>
  </conditionalFormatting>
  <conditionalFormatting sqref="D9">
    <cfRule type="expression" dxfId="66" priority="78">
      <formula>$D8&lt;&gt;""</formula>
    </cfRule>
  </conditionalFormatting>
  <conditionalFormatting sqref="D10:D39">
    <cfRule type="expression" dxfId="65" priority="77">
      <formula>$D9&lt;&gt;""</formula>
    </cfRule>
  </conditionalFormatting>
  <conditionalFormatting sqref="E7 Q14:Q39">
    <cfRule type="expression" dxfId="64" priority="76">
      <formula>AND($D7&lt;&gt;"",E$5&lt;&gt;"")</formula>
    </cfRule>
  </conditionalFormatting>
  <conditionalFormatting sqref="F7 R14:R39">
    <cfRule type="expression" dxfId="63" priority="75">
      <formula>AND($D7&lt;&gt;"",E$5&lt;&gt;"")</formula>
    </cfRule>
  </conditionalFormatting>
  <conditionalFormatting sqref="E8:E16 E21:E39">
    <cfRule type="expression" dxfId="62" priority="74">
      <formula>AND($D8&lt;&gt;"",E$5&lt;&gt;"")</formula>
    </cfRule>
  </conditionalFormatting>
  <conditionalFormatting sqref="F8:F16 F21:F39">
    <cfRule type="expression" dxfId="61" priority="73">
      <formula>AND($D8&lt;&gt;"",E$5&lt;&gt;"")</formula>
    </cfRule>
  </conditionalFormatting>
  <conditionalFormatting sqref="G7">
    <cfRule type="expression" dxfId="60" priority="72">
      <formula>AND($D7&lt;&gt;"",G$5&lt;&gt;"")</formula>
    </cfRule>
  </conditionalFormatting>
  <conditionalFormatting sqref="H7">
    <cfRule type="expression" dxfId="59" priority="71">
      <formula>AND($D7&lt;&gt;"",G$5&lt;&gt;"")</formula>
    </cfRule>
  </conditionalFormatting>
  <conditionalFormatting sqref="I7 K7 M7 O7 Q7">
    <cfRule type="expression" dxfId="58" priority="70">
      <formula>AND($D7&lt;&gt;"",I$5&lt;&gt;"")</formula>
    </cfRule>
  </conditionalFormatting>
  <conditionalFormatting sqref="J7 L7 N7 P7 R7">
    <cfRule type="expression" dxfId="57" priority="69">
      <formula>AND($D7&lt;&gt;"",I$5&lt;&gt;"")</formula>
    </cfRule>
  </conditionalFormatting>
  <conditionalFormatting sqref="G8:G12 G15 G23:G39">
    <cfRule type="expression" dxfId="56" priority="68">
      <formula>AND($D8&lt;&gt;"",G$5&lt;&gt;"")</formula>
    </cfRule>
  </conditionalFormatting>
  <conditionalFormatting sqref="H8:H12 H15 H23:H39">
    <cfRule type="expression" dxfId="55" priority="67">
      <formula>AND($D8&lt;&gt;"",G$5&lt;&gt;"")</formula>
    </cfRule>
  </conditionalFormatting>
  <conditionalFormatting sqref="I8:I11 O8:O17 Q8:Q12 K8:K11 M8:M17 K13:K17 I23:I39 K23:K39 M23:M39 O22:O39">
    <cfRule type="expression" dxfId="54" priority="66">
      <formula>AND($D8&lt;&gt;"",I$5&lt;&gt;"")</formula>
    </cfRule>
  </conditionalFormatting>
  <conditionalFormatting sqref="J8:J11 P8:P17 R8:R12 L8:L11 N8:N17 L13:L17 J23:J39 L23:L39 N23:N39 P22:P39">
    <cfRule type="expression" dxfId="53" priority="65">
      <formula>AND($D8&lt;&gt;"",I$5&lt;&gt;"")</formula>
    </cfRule>
  </conditionalFormatting>
  <conditionalFormatting sqref="M11:M17">
    <cfRule type="expression" dxfId="52" priority="64">
      <formula>AND($D11&lt;&gt;"",M$5&lt;&gt;"")</formula>
    </cfRule>
  </conditionalFormatting>
  <conditionalFormatting sqref="N11:N17">
    <cfRule type="expression" dxfId="51" priority="63">
      <formula>AND($D11&lt;&gt;"",M$5&lt;&gt;"")</formula>
    </cfRule>
  </conditionalFormatting>
  <conditionalFormatting sqref="M7">
    <cfRule type="expression" dxfId="50" priority="62">
      <formula>AND($D7&lt;&gt;"",M$5&lt;&gt;"")</formula>
    </cfRule>
  </conditionalFormatting>
  <conditionalFormatting sqref="N7">
    <cfRule type="expression" dxfId="49" priority="61">
      <formula>AND($D7&lt;&gt;"",M$5&lt;&gt;"")</formula>
    </cfRule>
  </conditionalFormatting>
  <conditionalFormatting sqref="K11">
    <cfRule type="expression" dxfId="48" priority="60">
      <formula>AND($D11&lt;&gt;"",K$5&lt;&gt;"")</formula>
    </cfRule>
  </conditionalFormatting>
  <conditionalFormatting sqref="L11">
    <cfRule type="expression" dxfId="47" priority="59">
      <formula>AND($D11&lt;&gt;"",K$5&lt;&gt;"")</formula>
    </cfRule>
  </conditionalFormatting>
  <conditionalFormatting sqref="K11">
    <cfRule type="expression" dxfId="46" priority="58">
      <formula>AND($D11&lt;&gt;"",K$5&lt;&gt;"")</formula>
    </cfRule>
  </conditionalFormatting>
  <conditionalFormatting sqref="L11">
    <cfRule type="expression" dxfId="45" priority="57">
      <formula>AND($D11&lt;&gt;"",K$5&lt;&gt;"")</formula>
    </cfRule>
  </conditionalFormatting>
  <conditionalFormatting sqref="M8">
    <cfRule type="expression" dxfId="44" priority="56">
      <formula>AND($D8&lt;&gt;"",M$5&lt;&gt;"")</formula>
    </cfRule>
  </conditionalFormatting>
  <conditionalFormatting sqref="N8">
    <cfRule type="expression" dxfId="43" priority="55">
      <formula>AND($D8&lt;&gt;"",M$5&lt;&gt;"")</formula>
    </cfRule>
  </conditionalFormatting>
  <conditionalFormatting sqref="K12 I12">
    <cfRule type="expression" dxfId="42" priority="54">
      <formula>AND($D12&lt;&gt;"",I$5&lt;&gt;"")</formula>
    </cfRule>
  </conditionalFormatting>
  <conditionalFormatting sqref="L12 J12">
    <cfRule type="expression" dxfId="41" priority="53">
      <formula>AND($D12&lt;&gt;"",I$5&lt;&gt;"")</formula>
    </cfRule>
  </conditionalFormatting>
  <conditionalFormatting sqref="G13">
    <cfRule type="expression" dxfId="40" priority="52">
      <formula>AND($D13&lt;&gt;"",G$5&lt;&gt;"")</formula>
    </cfRule>
  </conditionalFormatting>
  <conditionalFormatting sqref="H13">
    <cfRule type="expression" dxfId="39" priority="51">
      <formula>AND($D13&lt;&gt;"",G$5&lt;&gt;"")</formula>
    </cfRule>
  </conditionalFormatting>
  <conditionalFormatting sqref="I13">
    <cfRule type="expression" dxfId="38" priority="50">
      <formula>AND($D13&lt;&gt;"",I$5&lt;&gt;"")</formula>
    </cfRule>
  </conditionalFormatting>
  <conditionalFormatting sqref="J13">
    <cfRule type="expression" dxfId="37" priority="49">
      <formula>AND($D13&lt;&gt;"",I$5&lt;&gt;"")</formula>
    </cfRule>
  </conditionalFormatting>
  <conditionalFormatting sqref="G14">
    <cfRule type="expression" dxfId="36" priority="48">
      <formula>AND($D14&lt;&gt;"",G$5&lt;&gt;"")</formula>
    </cfRule>
  </conditionalFormatting>
  <conditionalFormatting sqref="H14">
    <cfRule type="expression" dxfId="35" priority="47">
      <formula>AND($D14&lt;&gt;"",G$5&lt;&gt;"")</formula>
    </cfRule>
  </conditionalFormatting>
  <conditionalFormatting sqref="I14">
    <cfRule type="expression" dxfId="34" priority="46">
      <formula>AND($D14&lt;&gt;"",I$5&lt;&gt;"")</formula>
    </cfRule>
  </conditionalFormatting>
  <conditionalFormatting sqref="J14">
    <cfRule type="expression" dxfId="33" priority="45">
      <formula>AND($D14&lt;&gt;"",I$5&lt;&gt;"")</formula>
    </cfRule>
  </conditionalFormatting>
  <conditionalFormatting sqref="I15">
    <cfRule type="expression" dxfId="32" priority="44">
      <formula>AND($D15&lt;&gt;"",I$5&lt;&gt;"")</formula>
    </cfRule>
  </conditionalFormatting>
  <conditionalFormatting sqref="J15">
    <cfRule type="expression" dxfId="31" priority="43">
      <formula>AND($D15&lt;&gt;"",I$5&lt;&gt;"")</formula>
    </cfRule>
  </conditionalFormatting>
  <conditionalFormatting sqref="G16">
    <cfRule type="expression" dxfId="30" priority="42">
      <formula>AND($D16&lt;&gt;"",G$5&lt;&gt;"")</formula>
    </cfRule>
  </conditionalFormatting>
  <conditionalFormatting sqref="H16">
    <cfRule type="expression" dxfId="29" priority="41">
      <formula>AND($D16&lt;&gt;"",G$5&lt;&gt;"")</formula>
    </cfRule>
  </conditionalFormatting>
  <conditionalFormatting sqref="I16">
    <cfRule type="expression" dxfId="28" priority="40">
      <formula>AND($D16&lt;&gt;"",I$5&lt;&gt;"")</formula>
    </cfRule>
  </conditionalFormatting>
  <conditionalFormatting sqref="J16">
    <cfRule type="expression" dxfId="27" priority="39">
      <formula>AND($D16&lt;&gt;"",I$5&lt;&gt;"")</formula>
    </cfRule>
  </conditionalFormatting>
  <conditionalFormatting sqref="E17">
    <cfRule type="expression" dxfId="26" priority="38">
      <formula>AND($D17&lt;&gt;"",E$5&lt;&gt;"")</formula>
    </cfRule>
  </conditionalFormatting>
  <conditionalFormatting sqref="F17">
    <cfRule type="expression" dxfId="25" priority="37">
      <formula>AND($D17&lt;&gt;"",E$5&lt;&gt;"")</formula>
    </cfRule>
  </conditionalFormatting>
  <conditionalFormatting sqref="G17">
    <cfRule type="expression" dxfId="24" priority="36">
      <formula>AND($D17&lt;&gt;"",G$5&lt;&gt;"")</formula>
    </cfRule>
  </conditionalFormatting>
  <conditionalFormatting sqref="H17">
    <cfRule type="expression" dxfId="23" priority="35">
      <formula>AND($D17&lt;&gt;"",G$5&lt;&gt;"")</formula>
    </cfRule>
  </conditionalFormatting>
  <conditionalFormatting sqref="I17">
    <cfRule type="expression" dxfId="22" priority="34">
      <formula>AND($D17&lt;&gt;"",I$5&lt;&gt;"")</formula>
    </cfRule>
  </conditionalFormatting>
  <conditionalFormatting sqref="J17">
    <cfRule type="expression" dxfId="21" priority="33">
      <formula>AND($D17&lt;&gt;"",I$5&lt;&gt;"")</formula>
    </cfRule>
  </conditionalFormatting>
  <conditionalFormatting sqref="G18">
    <cfRule type="expression" dxfId="20" priority="30">
      <formula>AND($D18&lt;&gt;"",G$5&lt;&gt;"")</formula>
    </cfRule>
  </conditionalFormatting>
  <conditionalFormatting sqref="H18">
    <cfRule type="expression" dxfId="19" priority="29">
      <formula>AND($D18&lt;&gt;"",G$5&lt;&gt;"")</formula>
    </cfRule>
  </conditionalFormatting>
  <conditionalFormatting sqref="E19">
    <cfRule type="expression" dxfId="18" priority="26">
      <formula>AND($D19&lt;&gt;"",E$5&lt;&gt;"")</formula>
    </cfRule>
  </conditionalFormatting>
  <conditionalFormatting sqref="F19">
    <cfRule type="expression" dxfId="17" priority="25">
      <formula>AND($D19&lt;&gt;"",E$5&lt;&gt;"")</formula>
    </cfRule>
  </conditionalFormatting>
  <conditionalFormatting sqref="G19">
    <cfRule type="expression" dxfId="16" priority="24">
      <formula>AND($D19&lt;&gt;"",G$5&lt;&gt;"")</formula>
    </cfRule>
  </conditionalFormatting>
  <conditionalFormatting sqref="H19">
    <cfRule type="expression" dxfId="15" priority="23">
      <formula>AND($D19&lt;&gt;"",G$5&lt;&gt;"")</formula>
    </cfRule>
  </conditionalFormatting>
  <conditionalFormatting sqref="I19 K19 M19 O19">
    <cfRule type="expression" dxfId="14" priority="22">
      <formula>AND($D19&lt;&gt;"",I$5&lt;&gt;"")</formula>
    </cfRule>
  </conditionalFormatting>
  <conditionalFormatting sqref="J19 L19 N19 P19">
    <cfRule type="expression" dxfId="13" priority="21">
      <formula>AND($D19&lt;&gt;"",I$5&lt;&gt;"")</formula>
    </cfRule>
  </conditionalFormatting>
  <conditionalFormatting sqref="G22">
    <cfRule type="expression" dxfId="12" priority="10">
      <formula>AND($D22&lt;&gt;"",G$5&lt;&gt;"")</formula>
    </cfRule>
  </conditionalFormatting>
  <conditionalFormatting sqref="H22">
    <cfRule type="expression" dxfId="11" priority="9">
      <formula>AND($D22&lt;&gt;"",G$5&lt;&gt;"")</formula>
    </cfRule>
  </conditionalFormatting>
  <conditionalFormatting sqref="I22 K22 M22">
    <cfRule type="expression" dxfId="10" priority="8">
      <formula>AND($D22&lt;&gt;"",I$5&lt;&gt;"")</formula>
    </cfRule>
  </conditionalFormatting>
  <conditionalFormatting sqref="J22 L22 N22">
    <cfRule type="expression" dxfId="9" priority="7">
      <formula>AND($D22&lt;&gt;"",I$5&lt;&gt;"")</formula>
    </cfRule>
  </conditionalFormatting>
  <conditionalFormatting sqref="Q13">
    <cfRule type="expression" dxfId="8" priority="80">
      <formula>AND($D13&lt;&gt;"",S$5&lt;&gt;"")</formula>
    </cfRule>
  </conditionalFormatting>
  <conditionalFormatting sqref="R13">
    <cfRule type="expression" dxfId="7" priority="81">
      <formula>AND($D13&lt;&gt;"",S$5&lt;&gt;"")</formula>
    </cfRule>
  </conditionalFormatting>
  <conditionalFormatting sqref="S17 S20:S39">
    <cfRule type="expression" dxfId="6" priority="4">
      <formula>AND($D17&lt;&gt;"",S$5&lt;&gt;"")</formula>
    </cfRule>
  </conditionalFormatting>
  <conditionalFormatting sqref="T17 T20:T39">
    <cfRule type="expression" dxfId="5" priority="3">
      <formula>AND($D17&lt;&gt;"",S$5&lt;&gt;"")</formula>
    </cfRule>
  </conditionalFormatting>
  <conditionalFormatting sqref="S15:S16 S18:S19">
    <cfRule type="expression" dxfId="4" priority="5">
      <formula>AND($D15&lt;&gt;"",U$5&lt;&gt;"")</formula>
    </cfRule>
  </conditionalFormatting>
  <conditionalFormatting sqref="T15:T16 T18:T19">
    <cfRule type="expression" dxfId="3" priority="6">
      <formula>AND($D15&lt;&gt;"",U$5&lt;&gt;"")</formula>
    </cfRule>
  </conditionalFormatting>
  <conditionalFormatting sqref="U21:U35">
    <cfRule type="expression" dxfId="2" priority="2">
      <formula>AND($D21&lt;&gt;"",U$5&lt;&gt;"")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275</v>
      </c>
    </row>
    <row r="4" spans="2:20" ht="28.5" customHeight="1" x14ac:dyDescent="0.25">
      <c r="B4" s="19">
        <f>MAX(B5:B53)</f>
        <v>0.63047093152999878</v>
      </c>
      <c r="C4" s="28" t="s">
        <v>9</v>
      </c>
      <c r="D4" s="29" t="s">
        <v>141</v>
      </c>
      <c r="E4" s="30" t="s">
        <v>142</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1,3</v>
      </c>
      <c r="F5" s="31">
        <f>IFERROR(INDEX('WINBUGS data'!$F$17:$ZZ$65,MATCH($C5,'WINBUGS data'!$F$17:$F$65,0),MATCH("t[,"&amp;F$4 &amp;"]",'WINBUGS data'!$F$16:$ZZ$16,0)),"")</f>
        <v>1</v>
      </c>
      <c r="G5" s="31">
        <f>IFERROR(INDEX('WINBUGS data'!$F$17:$ZZ$65,MATCH($C5,'WINBUGS data'!$F$17:$F$65,0),MATCH("t[,"&amp;G$4 &amp;"]",'WINBUGS data'!$F$16:$ZZ$16,0)),"")</f>
        <v>3</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3,4</v>
      </c>
      <c r="F6" s="31">
        <f>IFERROR(INDEX('WINBUGS data'!$F$17:$ZZ$65,MATCH($C6,'WINBUGS data'!$F$17:$F$65,0),MATCH("t[,"&amp;F$4 &amp;"]",'WINBUGS data'!$F$16:$ZZ$16,0)),"")</f>
        <v>3</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1,3</v>
      </c>
      <c r="F9" s="31">
        <f>IFERROR(INDEX('WINBUGS data'!$F$17:$ZZ$65,MATCH($C9,'WINBUGS data'!$F$17:$F$65,0),MATCH("t[,"&amp;F$4 &amp;"]",'WINBUGS data'!$F$16:$ZZ$16,0)),"")</f>
        <v>1</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1,9</v>
      </c>
      <c r="F10" s="31">
        <f>IFERROR(INDEX('WINBUGS data'!$F$17:$ZZ$65,MATCH($C10,'WINBUGS data'!$F$17:$F$65,0),MATCH("t[,"&amp;F$4 &amp;"]",'WINBUGS data'!$F$16:$ZZ$16,0)),"")</f>
        <v>1</v>
      </c>
      <c r="G10" s="31">
        <f>IFERROR(INDEX('WINBUGS data'!$F$17:$ZZ$65,MATCH($C10,'WINBUGS data'!$F$17:$F$65,0),MATCH("t[,"&amp;G$4 &amp;"]",'WINBUGS data'!$F$16:$ZZ$16,0)),"")</f>
        <v>9</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2,7</v>
      </c>
      <c r="F11" s="31">
        <f>IFERROR(INDEX('WINBUGS data'!$F$17:$ZZ$65,MATCH($C11,'WINBUGS data'!$F$17:$F$65,0),MATCH("t[,"&amp;F$4 &amp;"]",'WINBUGS data'!$F$16:$ZZ$16,0)),"")</f>
        <v>2</v>
      </c>
      <c r="G11" s="31">
        <f>IFERROR(INDEX('WINBUGS data'!$F$17:$ZZ$65,MATCH($C11,'WINBUGS data'!$F$17:$F$65,0),MATCH("t[,"&amp;G$4 &amp;"]",'WINBUGS data'!$F$16:$ZZ$16,0)),"")</f>
        <v>7</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2,5</v>
      </c>
      <c r="F12" s="31">
        <f>IFERROR(INDEX('WINBUGS data'!$F$17:$ZZ$65,MATCH($C12,'WINBUGS data'!$F$17:$F$65,0),MATCH("t[,"&amp;F$4 &amp;"]",'WINBUGS data'!$F$16:$ZZ$16,0)),"")</f>
        <v>2</v>
      </c>
      <c r="G12" s="31">
        <f>IFERROR(INDEX('WINBUGS data'!$F$17:$ZZ$65,MATCH($C12,'WINBUGS data'!$F$17:$F$65,0),MATCH("t[,"&amp;G$4 &amp;"]",'WINBUGS data'!$F$16:$ZZ$16,0)),"")</f>
        <v>5</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3,8</v>
      </c>
      <c r="F13" s="31">
        <f>IFERROR(INDEX('WINBUGS data'!$F$17:$ZZ$65,MATCH($C13,'WINBUGS data'!$F$17:$F$65,0),MATCH("t[,"&amp;F$4 &amp;"]",'WINBUGS data'!$F$16:$ZZ$16,0)),"")</f>
        <v>3</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1,8</v>
      </c>
      <c r="F14" s="31">
        <f>IFERROR(INDEX('WINBUGS data'!$F$17:$ZZ$65,MATCH($C14,'WINBUGS data'!$F$17:$F$65,0),MATCH("t[,"&amp;F$4 &amp;"]",'WINBUGS data'!$F$16:$ZZ$16,0)),"")</f>
        <v>1</v>
      </c>
      <c r="G14" s="31">
        <f>IFERROR(INDEX('WINBUGS data'!$F$17:$ZZ$65,MATCH($C14,'WINBUGS data'!$F$17:$F$65,0),MATCH("t[,"&amp;G$4 &amp;"]",'WINBUGS data'!$F$16:$ZZ$16,0)),"")</f>
        <v>8</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1,2</v>
      </c>
      <c r="F15" s="31">
        <f>IFERROR(INDEX('WINBUGS data'!$F$17:$ZZ$65,MATCH($C15,'WINBUGS data'!$F$17:$F$65,0),MATCH("t[,"&amp;F$4 &amp;"]",'WINBUGS data'!$F$16:$ZZ$16,0)),"")</f>
        <v>1</v>
      </c>
      <c r="G15" s="31">
        <f>IFERROR(INDEX('WINBUGS data'!$F$17:$ZZ$65,MATCH($C15,'WINBUGS data'!$F$17:$F$65,0),MATCH("t[,"&amp;G$4 &amp;"]",'WINBUGS data'!$F$16:$ZZ$16,0)),"")</f>
        <v>2</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1,8</v>
      </c>
      <c r="F16" s="31">
        <f>IFERROR(INDEX('WINBUGS data'!$F$17:$ZZ$65,MATCH($C16,'WINBUGS data'!$F$17:$F$65,0),MATCH("t[,"&amp;F$4 &amp;"]",'WINBUGS data'!$F$16:$ZZ$16,0)),"")</f>
        <v>1</v>
      </c>
      <c r="G16" s="31">
        <f>IFERROR(INDEX('WINBUGS data'!$F$17:$ZZ$65,MATCH($C16,'WINBUGS data'!$F$17:$F$65,0),MATCH("t[,"&amp;G$4 &amp;"]",'WINBUGS data'!$F$16:$ZZ$16,0)),"")</f>
        <v>8</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1,9</v>
      </c>
      <c r="F17" s="31">
        <f>IFERROR(INDEX('WINBUGS data'!$F$17:$ZZ$65,MATCH($C17,'WINBUGS data'!$F$17:$F$65,0),MATCH("t[,"&amp;F$4 &amp;"]",'WINBUGS data'!$F$16:$ZZ$16,0)),"")</f>
        <v>1</v>
      </c>
      <c r="G17" s="31">
        <f>IFERROR(INDEX('WINBUGS data'!$F$17:$ZZ$65,MATCH($C17,'WINBUGS data'!$F$17:$F$65,0),MATCH("t[,"&amp;G$4 &amp;"]",'WINBUGS data'!$F$16:$ZZ$16,0)),"")</f>
        <v>9</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1,2</v>
      </c>
      <c r="F18" s="31">
        <f>IFERROR(INDEX('WINBUGS data'!$F$17:$ZZ$65,MATCH($C18,'WINBUGS data'!$F$17:$F$65,0),MATCH("t[,"&amp;F$4 &amp;"]",'WINBUGS data'!$F$16:$ZZ$16,0)),"")</f>
        <v>1</v>
      </c>
      <c r="G18" s="31">
        <f>IFERROR(INDEX('WINBUGS data'!$F$17:$ZZ$65,MATCH($C18,'WINBUGS data'!$F$17:$F$65,0),MATCH("t[,"&amp;G$4 &amp;"]",'WINBUGS data'!$F$16:$ZZ$16,0)),"")</f>
        <v>2</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8,9</v>
      </c>
      <c r="F19" s="31">
        <f>IFERROR(INDEX('WINBUGS data'!$F$17:$ZZ$65,MATCH($C19,'WINBUGS data'!$F$17:$F$65,0),MATCH("t[,"&amp;F$4 &amp;"]",'WINBUGS data'!$F$16:$ZZ$16,0)),"")</f>
        <v>8</v>
      </c>
      <c r="G19" s="31">
        <f>IFERROR(INDEX('WINBUGS data'!$F$17:$ZZ$65,MATCH($C19,'WINBUGS data'!$F$17:$F$65,0),MATCH("t[,"&amp;G$4 &amp;"]",'WINBUGS data'!$F$16:$ZZ$16,0)),"")</f>
        <v>9</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3,4</v>
      </c>
      <c r="F20" s="31">
        <f>IFERROR(INDEX('WINBUGS data'!$F$17:$ZZ$65,MATCH($C20,'WINBUGS data'!$F$17:$F$65,0),MATCH("t[,"&amp;F$4 &amp;"]",'WINBUGS data'!$F$16:$ZZ$16,0)),"")</f>
        <v>3</v>
      </c>
      <c r="G20" s="31">
        <f>IFERROR(INDEX('WINBUGS data'!$F$17:$ZZ$65,MATCH($C20,'WINBUGS data'!$F$17:$F$65,0),MATCH("t[,"&amp;G$4 &amp;"]",'WINBUGS data'!$F$16:$ZZ$16,0)),"")</f>
        <v>4</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1,2</v>
      </c>
      <c r="F22" s="31">
        <f>IFERROR(INDEX('WINBUGS data'!$F$17:$ZZ$65,MATCH($C22,'WINBUGS data'!$F$17:$F$65,0),MATCH("t[,"&amp;F$4 &amp;"]",'WINBUGS data'!$F$16:$ZZ$16,0)),"")</f>
        <v>1</v>
      </c>
      <c r="G22" s="31">
        <f>IFERROR(INDEX('WINBUGS data'!$F$17:$ZZ$65,MATCH($C22,'WINBUGS data'!$F$17:$F$65,0),MATCH("t[,"&amp;G$4 &amp;"]",'WINBUGS data'!$F$16:$ZZ$16,0)),"")</f>
        <v>2</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2,3</v>
      </c>
      <c r="F23" s="31">
        <f>IFERROR(INDEX('WINBUGS data'!$F$17:$ZZ$65,MATCH($C23,'WINBUGS data'!$F$17:$F$65,0),MATCH("t[,"&amp;F$4 &amp;"]",'WINBUGS data'!$F$16:$ZZ$16,0)),"")</f>
        <v>2</v>
      </c>
      <c r="G23" s="31">
        <f>IFERROR(INDEX('WINBUGS data'!$F$17:$ZZ$65,MATCH($C23,'WINBUGS data'!$F$17:$F$65,0),MATCH("t[,"&amp;G$4 &amp;"]",'WINBUGS data'!$F$16:$ZZ$16,0)),"")</f>
        <v>3</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1,8</v>
      </c>
      <c r="F24" s="31">
        <f>IFERROR(INDEX('WINBUGS data'!$F$17:$ZZ$65,MATCH($C24,'WINBUGS data'!$F$17:$F$65,0),MATCH("t[,"&amp;F$4 &amp;"]",'WINBUGS data'!$F$16:$ZZ$16,0)),"")</f>
        <v>1</v>
      </c>
      <c r="G24" s="31">
        <f>IFERROR(INDEX('WINBUGS data'!$F$17:$ZZ$65,MATCH($C24,'WINBUGS data'!$F$17:$F$65,0),MATCH("t[,"&amp;G$4 &amp;"]",'WINBUGS data'!$F$16:$ZZ$16,0)),"")</f>
        <v>8</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1,8</v>
      </c>
      <c r="F25" s="31">
        <f>IFERROR(INDEX('WINBUGS data'!$F$17:$ZZ$65,MATCH($C25,'WINBUGS data'!$F$17:$F$65,0),MATCH("t[,"&amp;F$4 &amp;"]",'WINBUGS data'!$F$16:$ZZ$16,0)),"")</f>
        <v>1</v>
      </c>
      <c r="G25" s="31">
        <f>IFERROR(INDEX('WINBUGS data'!$F$17:$ZZ$65,MATCH($C25,'WINBUGS data'!$F$17:$F$65,0),MATCH("t[,"&amp;G$4 &amp;"]",'WINBUGS data'!$F$16:$ZZ$16,0)),"")</f>
        <v>8</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1,8</v>
      </c>
      <c r="F26" s="31">
        <f>IFERROR(INDEX('WINBUGS data'!$F$17:$ZZ$65,MATCH($C26,'WINBUGS data'!$F$17:$F$65,0),MATCH("t[,"&amp;F$4 &amp;"]",'WINBUGS data'!$F$16:$ZZ$16,0)),"")</f>
        <v>1</v>
      </c>
      <c r="G26" s="31">
        <f>IFERROR(INDEX('WINBUGS data'!$F$17:$ZZ$65,MATCH($C26,'WINBUGS data'!$F$17:$F$65,0),MATCH("t[,"&amp;G$4 &amp;"]",'WINBUGS data'!$F$16:$ZZ$16,0)),"")</f>
        <v>8</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8,9</v>
      </c>
      <c r="F27" s="31">
        <f>IFERROR(INDEX('WINBUGS data'!$F$17:$ZZ$65,MATCH($C27,'WINBUGS data'!$F$17:$F$65,0),MATCH("t[,"&amp;F$4 &amp;"]",'WINBUGS data'!$F$16:$ZZ$16,0)),"")</f>
        <v>8</v>
      </c>
      <c r="G27" s="31">
        <f>IFERROR(INDEX('WINBUGS data'!$F$17:$ZZ$65,MATCH($C27,'WINBUGS data'!$F$17:$F$65,0),MATCH("t[,"&amp;G$4 &amp;"]",'WINBUGS data'!$F$16:$ZZ$16,0)),"")</f>
        <v>9</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2,9</v>
      </c>
      <c r="F28" s="31">
        <f>IFERROR(INDEX('WINBUGS data'!$F$17:$ZZ$65,MATCH($C28,'WINBUGS data'!$F$17:$F$65,0),MATCH("t[,"&amp;F$4 &amp;"]",'WINBUGS data'!$F$16:$ZZ$16,0)),"")</f>
        <v>2</v>
      </c>
      <c r="G28" s="31">
        <f>IFERROR(INDEX('WINBUGS data'!$F$17:$ZZ$65,MATCH($C28,'WINBUGS data'!$F$17:$F$65,0),MATCH("t[,"&amp;G$4 &amp;"]",'WINBUGS data'!$F$16:$ZZ$16,0)),"")</f>
        <v>9</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3,8</v>
      </c>
      <c r="F31" s="31">
        <f>IFERROR(INDEX('WINBUGS data'!$F$17:$ZZ$65,MATCH($C31,'WINBUGS data'!$F$17:$F$65,0),MATCH("t[,"&amp;F$4 &amp;"]",'WINBUGS data'!$F$16:$ZZ$16,0)),"")</f>
        <v>3</v>
      </c>
      <c r="G31" s="31">
        <f>IFERROR(INDEX('WINBUGS data'!$F$17:$ZZ$65,MATCH($C31,'WINBUGS data'!$F$17:$F$65,0),MATCH("t[,"&amp;G$4 &amp;"]",'WINBUGS data'!$F$16:$ZZ$16,0)),"")</f>
        <v>8</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3,6</v>
      </c>
      <c r="F32" s="31">
        <f>IFERROR(INDEX('WINBUGS data'!$F$17:$ZZ$65,MATCH($C32,'WINBUGS data'!$F$17:$F$65,0),MATCH("t[,"&amp;F$4 &amp;"]",'WINBUGS data'!$F$16:$ZZ$16,0)),"")</f>
        <v>3</v>
      </c>
      <c r="G32" s="31">
        <f>IFERROR(INDEX('WINBUGS data'!$F$17:$ZZ$65,MATCH($C32,'WINBUGS data'!$F$17:$F$65,0),MATCH("t[,"&amp;G$4 &amp;"]",'WINBUGS data'!$F$16:$ZZ$16,0)),"")</f>
        <v>6</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1,9</v>
      </c>
      <c r="F33" s="31">
        <f>IFERROR(INDEX('WINBUGS data'!$F$17:$ZZ$65,MATCH($C33,'WINBUGS data'!$F$17:$F$65,0),MATCH("t[,"&amp;F$4 &amp;"]",'WINBUGS data'!$F$16:$ZZ$16,0)),"")</f>
        <v>1</v>
      </c>
      <c r="G33" s="31">
        <f>IFERROR(INDEX('WINBUGS data'!$F$17:$ZZ$65,MATCH($C33,'WINBUGS data'!$F$17:$F$65,0),MATCH("t[,"&amp;G$4 &amp;"]",'WINBUGS data'!$F$16:$ZZ$16,0)),"")</f>
        <v>9</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1,2</v>
      </c>
      <c r="F34" s="31">
        <f>IFERROR(INDEX('WINBUGS data'!$F$17:$ZZ$65,MATCH($C34,'WINBUGS data'!$F$17:$F$65,0),MATCH("t[,"&amp;F$4 &amp;"]",'WINBUGS data'!$F$16:$ZZ$16,0)),"")</f>
        <v>1</v>
      </c>
      <c r="G34" s="31">
        <f>IFERROR(INDEX('WINBUGS data'!$F$17:$ZZ$65,MATCH($C34,'WINBUGS data'!$F$17:$F$65,0),MATCH("t[,"&amp;G$4 &amp;"]",'WINBUGS data'!$F$16:$ZZ$16,0)),"")</f>
        <v>2</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3,8</v>
      </c>
      <c r="F35" s="31">
        <f>IFERROR(INDEX('WINBUGS data'!$F$17:$ZZ$65,MATCH($C35,'WINBUGS data'!$F$17:$F$65,0),MATCH("t[,"&amp;F$4 &amp;"]",'WINBUGS data'!$F$16:$ZZ$16,0)),"")</f>
        <v>3</v>
      </c>
      <c r="G35" s="31">
        <f>IFERROR(INDEX('WINBUGS data'!$F$17:$ZZ$65,MATCH($C35,'WINBUGS data'!$F$17:$F$65,0),MATCH("t[,"&amp;G$4 &amp;"]",'WINBUGS data'!$F$16:$ZZ$16,0)),"")</f>
        <v>8</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1,3</v>
      </c>
      <c r="F36" s="31">
        <f>IFERROR(INDEX('WINBUGS data'!$F$17:$ZZ$65,MATCH($C36,'WINBUGS data'!$F$17:$F$65,0),MATCH("t[,"&amp;F$4 &amp;"]",'WINBUGS data'!$F$16:$ZZ$16,0)),"")</f>
        <v>1</v>
      </c>
      <c r="G36" s="31">
        <f>IFERROR(INDEX('WINBUGS data'!$F$17:$ZZ$65,MATCH($C36,'WINBUGS data'!$F$17:$F$65,0),MATCH("t[,"&amp;G$4 &amp;"]",'WINBUGS data'!$F$16:$ZZ$16,0)),"")</f>
        <v>3</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4,6</v>
      </c>
      <c r="F37" s="31">
        <f>IFERROR(INDEX('WINBUGS data'!$F$17:$ZZ$65,MATCH($C37,'WINBUGS data'!$F$17:$F$65,0),MATCH("t[,"&amp;F$4 &amp;"]",'WINBUGS data'!$F$16:$ZZ$16,0)),"")</f>
        <v>4</v>
      </c>
      <c r="G37" s="31">
        <f>IFERROR(INDEX('WINBUGS data'!$F$17:$ZZ$65,MATCH($C37,'WINBUGS data'!$F$17:$F$65,0),MATCH("t[,"&amp;G$4 &amp;"]",'WINBUGS data'!$F$16:$ZZ$16,0)),"")</f>
        <v>6</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I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5" ht="87" customHeight="1" thickBot="1" x14ac:dyDescent="0.3">
      <c r="J1" s="22" t="s">
        <v>123</v>
      </c>
    </row>
    <row r="2" spans="2:35" ht="19.5" thickBot="1" x14ac:dyDescent="0.35">
      <c r="B2" s="257" t="s">
        <v>13</v>
      </c>
      <c r="C2" s="258"/>
      <c r="H2" s="9" t="s">
        <v>267</v>
      </c>
      <c r="I2" s="10"/>
      <c r="J2" s="10"/>
      <c r="K2" s="10"/>
      <c r="L2" s="10"/>
      <c r="M2" s="10"/>
      <c r="N2" s="10"/>
      <c r="O2" s="10"/>
      <c r="P2" s="10"/>
      <c r="Q2" s="10"/>
      <c r="R2" s="10"/>
      <c r="S2" s="10"/>
      <c r="T2" s="10"/>
    </row>
    <row r="3" spans="2:35" ht="15.75" thickBot="1" x14ac:dyDescent="0.3">
      <c r="B3" s="4" t="s">
        <v>8</v>
      </c>
      <c r="C3" s="3" t="s">
        <v>7</v>
      </c>
      <c r="H3" t="s">
        <v>735</v>
      </c>
    </row>
    <row r="4" spans="2:35" x14ac:dyDescent="0.25">
      <c r="B4" s="5" t="str">
        <f>IF('DATA Input'!E5="","",'DATA Input'!E5)</f>
        <v>INDOIV</v>
      </c>
      <c r="C4" s="1">
        <f>IF(B4="","",1)</f>
        <v>1</v>
      </c>
      <c r="H4" t="s">
        <v>736</v>
      </c>
    </row>
    <row r="5" spans="2:35" x14ac:dyDescent="0.25">
      <c r="B5" s="5" t="str">
        <f>IF('DATA Input'!G5="","",'DATA Input'!G5)</f>
        <v>IBUIV</v>
      </c>
      <c r="C5" s="1">
        <f>IF(B5="","",C4+1)</f>
        <v>2</v>
      </c>
      <c r="H5" t="s">
        <v>737</v>
      </c>
    </row>
    <row r="6" spans="2:35" ht="15.75" x14ac:dyDescent="0.25">
      <c r="B6" s="5" t="str">
        <f>IF('DATA Input'!I5="","",'DATA Input'!I5)</f>
        <v>IBUPO</v>
      </c>
      <c r="C6" s="1">
        <f t="shared" ref="C6:C18" si="0">IF(B6="","",C5+1)</f>
        <v>3</v>
      </c>
      <c r="H6" s="9" t="s">
        <v>268</v>
      </c>
      <c r="I6" s="10"/>
      <c r="J6" s="10"/>
      <c r="K6" s="10"/>
      <c r="L6" s="10"/>
      <c r="M6" s="10"/>
      <c r="N6" s="10"/>
      <c r="O6" s="10"/>
      <c r="P6" s="10"/>
      <c r="Q6" s="10"/>
      <c r="R6" s="10"/>
      <c r="S6" s="10"/>
      <c r="T6" s="10"/>
    </row>
    <row r="7" spans="2:35" x14ac:dyDescent="0.25">
      <c r="B7" s="5" t="str">
        <f>IF('DATA Input'!K$5="","",'DATA Input'!K$5)</f>
        <v>PARAPO</v>
      </c>
      <c r="C7" s="1">
        <f t="shared" si="0"/>
        <v>4</v>
      </c>
      <c r="H7" t="s">
        <v>738</v>
      </c>
    </row>
    <row r="8" spans="2:35" x14ac:dyDescent="0.25">
      <c r="B8" s="5" t="str">
        <f>IF('DATA Input'!M$5="","",'DATA Input'!M$5)</f>
        <v>IBUIVHIGHDOSE</v>
      </c>
      <c r="C8" s="1">
        <f t="shared" si="0"/>
        <v>5</v>
      </c>
      <c r="H8" t="s">
        <v>739</v>
      </c>
    </row>
    <row r="9" spans="2:35" x14ac:dyDescent="0.25">
      <c r="B9" s="5" t="str">
        <f>IF('DATA Input'!O$5="","",'DATA Input'!O$5)</f>
        <v>IBUPOHIGHDOSE</v>
      </c>
      <c r="C9" s="1">
        <f t="shared" si="0"/>
        <v>6</v>
      </c>
      <c r="H9" t="s">
        <v>740</v>
      </c>
    </row>
    <row r="10" spans="2:35" ht="15.75" x14ac:dyDescent="0.25">
      <c r="B10" s="5" t="str">
        <f>IF('DATA Input'!Q$5="","",'DATA Input'!Q$5)</f>
        <v>INDOIVCONT</v>
      </c>
      <c r="C10" s="1">
        <f t="shared" si="0"/>
        <v>7</v>
      </c>
      <c r="H10" s="9" t="s">
        <v>269</v>
      </c>
      <c r="I10" s="10"/>
      <c r="J10" s="10"/>
      <c r="K10" s="10"/>
      <c r="L10" s="10"/>
      <c r="M10" s="10"/>
      <c r="N10" s="10"/>
      <c r="O10" s="10"/>
      <c r="P10" s="10"/>
      <c r="Q10" s="10"/>
      <c r="R10" s="10"/>
      <c r="S10" s="10"/>
      <c r="T10" s="10"/>
    </row>
    <row r="11" spans="2:35" x14ac:dyDescent="0.25">
      <c r="B11" s="5" t="str">
        <f>IF('DATA Input'!S$5="","",'DATA Input'!S$5)</f>
        <v>INDOTHERS</v>
      </c>
      <c r="C11" s="1">
        <f t="shared" si="0"/>
        <v>8</v>
      </c>
      <c r="H11" t="s">
        <v>741</v>
      </c>
    </row>
    <row r="12" spans="2:35" x14ac:dyDescent="0.25">
      <c r="B12" s="5" t="str">
        <f>IF('DATA Input'!U$5="","",'DATA Input'!U$5)</f>
        <v>PLAC_NORX</v>
      </c>
      <c r="C12" s="1">
        <f t="shared" si="0"/>
        <v>9</v>
      </c>
      <c r="F12" s="173" t="s">
        <v>272</v>
      </c>
      <c r="G12" s="147"/>
      <c r="H12" s="54" t="s">
        <v>742</v>
      </c>
      <c r="I12" s="19"/>
      <c r="J12" s="19"/>
      <c r="K12" s="19"/>
      <c r="L12" s="19"/>
      <c r="M12" s="19"/>
      <c r="N12" s="19"/>
      <c r="O12" s="19"/>
      <c r="P12" s="19"/>
      <c r="Q12" s="19"/>
      <c r="R12" s="19"/>
      <c r="S12" s="19"/>
      <c r="T12" s="19"/>
      <c r="U12" s="19"/>
      <c r="V12" s="19"/>
      <c r="W12" s="19"/>
      <c r="X12" s="19"/>
    </row>
    <row r="13" spans="2:35" x14ac:dyDescent="0.25">
      <c r="B13" s="5" t="str">
        <f>IF('DATA Input'!W$5="","",'DATA Input'!W$5)</f>
        <v/>
      </c>
      <c r="C13" s="1" t="str">
        <f t="shared" si="0"/>
        <v/>
      </c>
      <c r="F13" s="8"/>
      <c r="G13" s="16"/>
      <c r="H13" s="54" t="s">
        <v>743</v>
      </c>
      <c r="I13" s="19">
        <v>9.4285714285714288</v>
      </c>
      <c r="J13" s="19">
        <v>0.5714285714285714</v>
      </c>
      <c r="K13" s="19">
        <v>12.571428571428571</v>
      </c>
      <c r="L13" s="19"/>
      <c r="M13" s="19"/>
      <c r="N13" s="19"/>
      <c r="O13" s="19"/>
      <c r="P13" s="19"/>
      <c r="Q13" s="19"/>
      <c r="R13" s="19"/>
      <c r="S13" s="19"/>
      <c r="T13" s="19"/>
      <c r="U13" s="19"/>
      <c r="V13" s="19"/>
      <c r="W13" s="19"/>
      <c r="X13" s="19"/>
    </row>
    <row r="14" spans="2:35" x14ac:dyDescent="0.25">
      <c r="B14" s="5" t="str">
        <f>IF('DATA Input'!Y$5="","",'DATA Input'!Y$5)</f>
        <v/>
      </c>
      <c r="C14" s="1" t="str">
        <f t="shared" si="0"/>
        <v/>
      </c>
      <c r="F14" s="8"/>
      <c r="G14" s="16"/>
      <c r="H14" s="148" t="s">
        <v>130</v>
      </c>
      <c r="I14" s="148"/>
      <c r="J14" s="148"/>
      <c r="K14" s="148"/>
      <c r="L14" s="148"/>
      <c r="M14" s="148"/>
      <c r="N14" s="148"/>
      <c r="O14" s="148"/>
      <c r="P14" s="148"/>
      <c r="Q14" s="148"/>
      <c r="R14" s="148"/>
      <c r="S14" s="148"/>
      <c r="T14" s="148"/>
      <c r="U14" s="148"/>
      <c r="V14" s="148"/>
      <c r="W14" s="148"/>
      <c r="X14" s="19"/>
    </row>
    <row r="15" spans="2:35" x14ac:dyDescent="0.25">
      <c r="B15" s="5" t="str">
        <f>IF('DATA Input'!AA$5="","",'DATA Input'!AA$5)</f>
        <v/>
      </c>
      <c r="C15" s="1" t="str">
        <f t="shared" si="0"/>
        <v/>
      </c>
      <c r="F15" s="8"/>
      <c r="G15" s="16"/>
      <c r="H15" s="149" t="s">
        <v>508</v>
      </c>
      <c r="I15" s="19"/>
      <c r="J15" s="19"/>
      <c r="K15" s="19"/>
      <c r="L15" s="19"/>
      <c r="M15" s="19"/>
      <c r="N15" s="19"/>
      <c r="O15" s="19"/>
      <c r="P15" s="19"/>
      <c r="Q15" s="19"/>
      <c r="R15" s="19"/>
      <c r="S15" s="19"/>
      <c r="T15" s="19"/>
      <c r="U15" s="19"/>
      <c r="V15" s="19"/>
      <c r="W15" s="19"/>
      <c r="X15" s="19"/>
    </row>
    <row r="16" spans="2:35" x14ac:dyDescent="0.25">
      <c r="B16" s="5" t="str">
        <f>IF('DATA Input'!AC$5="","",'DATA Input'!AC$5)</f>
        <v/>
      </c>
      <c r="C16" s="1" t="str">
        <f t="shared" si="0"/>
        <v/>
      </c>
      <c r="F16" s="221" t="s">
        <v>270</v>
      </c>
      <c r="G16" s="221" t="s">
        <v>10</v>
      </c>
      <c r="H16" s="16" t="s">
        <v>0</v>
      </c>
      <c r="I16" s="16" t="s">
        <v>1</v>
      </c>
      <c r="J16" s="16" t="s">
        <v>2</v>
      </c>
      <c r="K16" s="16" t="s">
        <v>3</v>
      </c>
      <c r="L16" s="16" t="s">
        <v>44</v>
      </c>
      <c r="M16" s="16" t="s">
        <v>45</v>
      </c>
      <c r="N16" s="16" t="s">
        <v>46</v>
      </c>
      <c r="O16" s="16" t="s">
        <v>47</v>
      </c>
      <c r="P16" s="16" t="s">
        <v>255</v>
      </c>
      <c r="Q16" s="16" t="s">
        <v>256</v>
      </c>
      <c r="R16" s="16" t="s">
        <v>496</v>
      </c>
      <c r="S16" s="16" t="s">
        <v>497</v>
      </c>
      <c r="T16" s="16" t="s">
        <v>498</v>
      </c>
      <c r="U16" s="16" t="s">
        <v>499</v>
      </c>
      <c r="V16" s="16" t="s">
        <v>500</v>
      </c>
      <c r="W16" s="16" t="s">
        <v>501</v>
      </c>
      <c r="X16" s="19" t="s">
        <v>502</v>
      </c>
      <c r="Y16" t="s">
        <v>503</v>
      </c>
      <c r="Z16" t="s">
        <v>4</v>
      </c>
      <c r="AA16" t="s">
        <v>5</v>
      </c>
      <c r="AB16" t="s">
        <v>48</v>
      </c>
      <c r="AC16" t="s">
        <v>49</v>
      </c>
      <c r="AD16" t="s">
        <v>257</v>
      </c>
      <c r="AE16" t="s">
        <v>504</v>
      </c>
      <c r="AF16" t="s">
        <v>505</v>
      </c>
      <c r="AG16" t="s">
        <v>506</v>
      </c>
      <c r="AH16" t="s">
        <v>507</v>
      </c>
      <c r="AI16" t="s">
        <v>6</v>
      </c>
    </row>
    <row r="17" spans="2:35" x14ac:dyDescent="0.25">
      <c r="B17" s="5" t="str">
        <f>IF('DATA Input'!AE$5="","",'DATA Input'!AE$5)</f>
        <v/>
      </c>
      <c r="C17" s="1" t="str">
        <f t="shared" si="0"/>
        <v/>
      </c>
      <c r="F17" s="16">
        <v>1</v>
      </c>
      <c r="G17" s="105">
        <v>1</v>
      </c>
      <c r="H17" s="145">
        <v>0</v>
      </c>
      <c r="I17" s="145">
        <v>9</v>
      </c>
      <c r="J17" s="145">
        <v>0</v>
      </c>
      <c r="K17" s="145">
        <v>12</v>
      </c>
      <c r="L17" s="145" t="s">
        <v>16</v>
      </c>
      <c r="M17" s="145">
        <v>1</v>
      </c>
      <c r="N17" s="19" t="s">
        <v>16</v>
      </c>
      <c r="O17" s="19">
        <v>1</v>
      </c>
      <c r="P17" s="19" t="s">
        <v>16</v>
      </c>
      <c r="Q17" s="19">
        <v>1</v>
      </c>
      <c r="R17" s="19" t="s">
        <v>16</v>
      </c>
      <c r="S17" s="19">
        <v>1</v>
      </c>
      <c r="T17" s="19" t="s">
        <v>16</v>
      </c>
      <c r="U17" s="19">
        <v>1</v>
      </c>
      <c r="V17" s="19" t="s">
        <v>16</v>
      </c>
      <c r="W17" s="19">
        <v>1</v>
      </c>
      <c r="X17" s="19" t="s">
        <v>16</v>
      </c>
      <c r="Y17">
        <v>1</v>
      </c>
      <c r="Z17">
        <v>1</v>
      </c>
      <c r="AA17">
        <v>3</v>
      </c>
      <c r="AB17" t="s">
        <v>16</v>
      </c>
      <c r="AC17" t="s">
        <v>16</v>
      </c>
      <c r="AD17" t="s">
        <v>16</v>
      </c>
      <c r="AE17" t="s">
        <v>16</v>
      </c>
      <c r="AF17" t="s">
        <v>16</v>
      </c>
      <c r="AG17" t="s">
        <v>16</v>
      </c>
      <c r="AH17" t="s">
        <v>16</v>
      </c>
      <c r="AI17">
        <v>2</v>
      </c>
    </row>
    <row r="18" spans="2:35" ht="15.75" thickBot="1" x14ac:dyDescent="0.3">
      <c r="B18" s="6" t="str">
        <f>IF('DATA Input'!AG$5="","",'DATA Input'!AG$5)</f>
        <v/>
      </c>
      <c r="C18" s="2" t="str">
        <f t="shared" si="0"/>
        <v/>
      </c>
      <c r="F18" s="16">
        <v>2</v>
      </c>
      <c r="G18" s="105">
        <v>7</v>
      </c>
      <c r="H18" s="19">
        <v>25</v>
      </c>
      <c r="I18" s="19">
        <v>80</v>
      </c>
      <c r="J18" s="19">
        <v>20</v>
      </c>
      <c r="K18" s="19">
        <v>80</v>
      </c>
      <c r="L18" s="19" t="s">
        <v>16</v>
      </c>
      <c r="M18" s="19">
        <v>1</v>
      </c>
      <c r="N18" s="19" t="s">
        <v>16</v>
      </c>
      <c r="O18" s="19">
        <v>1</v>
      </c>
      <c r="P18" s="19" t="s">
        <v>16</v>
      </c>
      <c r="Q18" s="19">
        <v>1</v>
      </c>
      <c r="R18" s="19" t="s">
        <v>16</v>
      </c>
      <c r="S18" s="19">
        <v>1</v>
      </c>
      <c r="T18" s="19" t="s">
        <v>16</v>
      </c>
      <c r="U18" s="19">
        <v>1</v>
      </c>
      <c r="V18" s="19" t="s">
        <v>16</v>
      </c>
      <c r="W18" s="19">
        <v>1</v>
      </c>
      <c r="X18" s="19" t="s">
        <v>16</v>
      </c>
      <c r="Y18">
        <v>1</v>
      </c>
      <c r="Z18">
        <v>3</v>
      </c>
      <c r="AA18">
        <v>4</v>
      </c>
      <c r="AB18" t="s">
        <v>16</v>
      </c>
      <c r="AC18" t="s">
        <v>16</v>
      </c>
      <c r="AD18" t="s">
        <v>16</v>
      </c>
      <c r="AE18" t="s">
        <v>16</v>
      </c>
      <c r="AF18" t="s">
        <v>16</v>
      </c>
      <c r="AG18" t="s">
        <v>16</v>
      </c>
      <c r="AH18" t="s">
        <v>16</v>
      </c>
      <c r="AI18">
        <v>2</v>
      </c>
    </row>
    <row r="19" spans="2:35" x14ac:dyDescent="0.25">
      <c r="F19" s="16">
        <v>3</v>
      </c>
      <c r="G19" s="105">
        <v>8</v>
      </c>
      <c r="H19" s="19">
        <v>13</v>
      </c>
      <c r="I19" s="19">
        <v>34</v>
      </c>
      <c r="J19" s="19">
        <v>6</v>
      </c>
      <c r="K19" s="19">
        <v>36</v>
      </c>
      <c r="L19" s="19" t="s">
        <v>16</v>
      </c>
      <c r="M19" s="19">
        <v>1</v>
      </c>
      <c r="N19" s="19" t="s">
        <v>16</v>
      </c>
      <c r="O19" s="19">
        <v>1</v>
      </c>
      <c r="P19" s="19" t="s">
        <v>16</v>
      </c>
      <c r="Q19" s="19">
        <v>1</v>
      </c>
      <c r="R19" s="19" t="s">
        <v>16</v>
      </c>
      <c r="S19" s="19">
        <v>1</v>
      </c>
      <c r="T19" s="19" t="s">
        <v>16</v>
      </c>
      <c r="U19" s="19">
        <v>1</v>
      </c>
      <c r="V19" s="19" t="s">
        <v>16</v>
      </c>
      <c r="W19" s="19">
        <v>1</v>
      </c>
      <c r="X19" s="19" t="s">
        <v>16</v>
      </c>
      <c r="Y19">
        <v>1</v>
      </c>
      <c r="Z19">
        <v>2</v>
      </c>
      <c r="AA19">
        <v>3</v>
      </c>
      <c r="AB19" t="s">
        <v>16</v>
      </c>
      <c r="AC19" t="s">
        <v>16</v>
      </c>
      <c r="AD19" t="s">
        <v>16</v>
      </c>
      <c r="AE19" t="s">
        <v>16</v>
      </c>
      <c r="AF19" t="s">
        <v>16</v>
      </c>
      <c r="AG19" t="s">
        <v>16</v>
      </c>
      <c r="AH19" t="s">
        <v>16</v>
      </c>
      <c r="AI19">
        <v>2</v>
      </c>
    </row>
    <row r="20" spans="2:35" x14ac:dyDescent="0.25">
      <c r="F20" s="16">
        <v>4</v>
      </c>
      <c r="G20" s="105">
        <v>9</v>
      </c>
      <c r="H20" s="19">
        <v>19</v>
      </c>
      <c r="I20" s="19">
        <v>50</v>
      </c>
      <c r="J20" s="19">
        <v>6</v>
      </c>
      <c r="K20" s="19">
        <v>52</v>
      </c>
      <c r="L20" s="19" t="s">
        <v>16</v>
      </c>
      <c r="M20" s="19">
        <v>1</v>
      </c>
      <c r="N20" s="19" t="s">
        <v>16</v>
      </c>
      <c r="O20" s="19">
        <v>1</v>
      </c>
      <c r="P20" s="19" t="s">
        <v>16</v>
      </c>
      <c r="Q20" s="19">
        <v>1</v>
      </c>
      <c r="R20" s="19" t="s">
        <v>16</v>
      </c>
      <c r="S20" s="19">
        <v>1</v>
      </c>
      <c r="T20" s="19" t="s">
        <v>16</v>
      </c>
      <c r="U20" s="19">
        <v>1</v>
      </c>
      <c r="V20" s="19" t="s">
        <v>16</v>
      </c>
      <c r="W20" s="19">
        <v>1</v>
      </c>
      <c r="X20" s="19" t="s">
        <v>16</v>
      </c>
      <c r="Y20">
        <v>1</v>
      </c>
      <c r="Z20">
        <v>2</v>
      </c>
      <c r="AA20">
        <v>3</v>
      </c>
      <c r="AB20" t="s">
        <v>16</v>
      </c>
      <c r="AC20" t="s">
        <v>16</v>
      </c>
      <c r="AD20" t="s">
        <v>16</v>
      </c>
      <c r="AE20" t="s">
        <v>16</v>
      </c>
      <c r="AF20" t="s">
        <v>16</v>
      </c>
      <c r="AG20" t="s">
        <v>16</v>
      </c>
      <c r="AH20" t="s">
        <v>16</v>
      </c>
      <c r="AI20">
        <v>2</v>
      </c>
    </row>
    <row r="21" spans="2:35" x14ac:dyDescent="0.25">
      <c r="F21" s="16">
        <v>5</v>
      </c>
      <c r="G21" s="105">
        <v>13</v>
      </c>
      <c r="H21" s="19">
        <v>5</v>
      </c>
      <c r="I21" s="19">
        <v>15</v>
      </c>
      <c r="J21" s="19">
        <v>6</v>
      </c>
      <c r="K21" s="19">
        <v>15</v>
      </c>
      <c r="L21" s="19" t="s">
        <v>16</v>
      </c>
      <c r="M21" s="19">
        <v>1</v>
      </c>
      <c r="N21" s="19" t="s">
        <v>16</v>
      </c>
      <c r="O21" s="19">
        <v>1</v>
      </c>
      <c r="P21" s="19" t="s">
        <v>16</v>
      </c>
      <c r="Q21" s="19">
        <v>1</v>
      </c>
      <c r="R21" s="19" t="s">
        <v>16</v>
      </c>
      <c r="S21" s="19">
        <v>1</v>
      </c>
      <c r="T21" s="19" t="s">
        <v>16</v>
      </c>
      <c r="U21" s="19">
        <v>1</v>
      </c>
      <c r="V21" s="19" t="s">
        <v>16</v>
      </c>
      <c r="W21" s="19">
        <v>1</v>
      </c>
      <c r="X21" s="19" t="s">
        <v>16</v>
      </c>
      <c r="Y21">
        <v>1</v>
      </c>
      <c r="Z21">
        <v>1</v>
      </c>
      <c r="AA21">
        <v>3</v>
      </c>
      <c r="AB21" t="s">
        <v>16</v>
      </c>
      <c r="AC21" t="s">
        <v>16</v>
      </c>
      <c r="AD21" t="s">
        <v>16</v>
      </c>
      <c r="AE21" t="s">
        <v>16</v>
      </c>
      <c r="AF21" t="s">
        <v>16</v>
      </c>
      <c r="AG21" t="s">
        <v>16</v>
      </c>
      <c r="AH21" t="s">
        <v>16</v>
      </c>
      <c r="AI21">
        <v>2</v>
      </c>
    </row>
    <row r="22" spans="2:35" x14ac:dyDescent="0.25">
      <c r="F22" s="16">
        <v>6</v>
      </c>
      <c r="G22" s="105">
        <v>15</v>
      </c>
      <c r="H22" s="19">
        <v>2</v>
      </c>
      <c r="I22" s="19">
        <v>20</v>
      </c>
      <c r="J22" s="19">
        <v>9</v>
      </c>
      <c r="K22" s="19">
        <v>19</v>
      </c>
      <c r="L22" s="19" t="s">
        <v>16</v>
      </c>
      <c r="M22" s="19">
        <v>1</v>
      </c>
      <c r="N22" s="19" t="s">
        <v>16</v>
      </c>
      <c r="O22" s="19">
        <v>1</v>
      </c>
      <c r="P22" s="19" t="s">
        <v>16</v>
      </c>
      <c r="Q22" s="19">
        <v>1</v>
      </c>
      <c r="R22" s="19" t="s">
        <v>16</v>
      </c>
      <c r="S22" s="19">
        <v>1</v>
      </c>
      <c r="T22" s="19" t="s">
        <v>16</v>
      </c>
      <c r="U22" s="19">
        <v>1</v>
      </c>
      <c r="V22" s="19" t="s">
        <v>16</v>
      </c>
      <c r="W22" s="19">
        <v>1</v>
      </c>
      <c r="X22" s="19" t="s">
        <v>16</v>
      </c>
      <c r="Y22">
        <v>1</v>
      </c>
      <c r="Z22">
        <v>1</v>
      </c>
      <c r="AA22">
        <v>9</v>
      </c>
      <c r="AB22" t="s">
        <v>16</v>
      </c>
      <c r="AC22" t="s">
        <v>16</v>
      </c>
      <c r="AD22" t="s">
        <v>16</v>
      </c>
      <c r="AE22" t="s">
        <v>16</v>
      </c>
      <c r="AF22" t="s">
        <v>16</v>
      </c>
      <c r="AG22" t="s">
        <v>16</v>
      </c>
      <c r="AH22" t="s">
        <v>16</v>
      </c>
      <c r="AI22">
        <v>2</v>
      </c>
    </row>
    <row r="23" spans="2:35" x14ac:dyDescent="0.25">
      <c r="F23" s="16">
        <v>7</v>
      </c>
      <c r="G23" s="105">
        <v>17</v>
      </c>
      <c r="H23" s="19">
        <v>12</v>
      </c>
      <c r="I23" s="19">
        <v>32</v>
      </c>
      <c r="J23" s="19">
        <v>9</v>
      </c>
      <c r="K23" s="19">
        <v>31</v>
      </c>
      <c r="L23" s="19" t="s">
        <v>16</v>
      </c>
      <c r="M23" s="19">
        <v>1</v>
      </c>
      <c r="N23" s="19" t="s">
        <v>16</v>
      </c>
      <c r="O23" s="19">
        <v>1</v>
      </c>
      <c r="P23" s="19" t="s">
        <v>16</v>
      </c>
      <c r="Q23" s="19">
        <v>1</v>
      </c>
      <c r="R23" s="19" t="s">
        <v>16</v>
      </c>
      <c r="S23" s="19">
        <v>1</v>
      </c>
      <c r="T23" s="19" t="s">
        <v>16</v>
      </c>
      <c r="U23" s="19">
        <v>1</v>
      </c>
      <c r="V23" s="19" t="s">
        <v>16</v>
      </c>
      <c r="W23" s="19">
        <v>1</v>
      </c>
      <c r="X23" s="19" t="s">
        <v>16</v>
      </c>
      <c r="Y23">
        <v>1</v>
      </c>
      <c r="Z23">
        <v>2</v>
      </c>
      <c r="AA23">
        <v>7</v>
      </c>
      <c r="AB23" t="s">
        <v>16</v>
      </c>
      <c r="AC23" t="s">
        <v>16</v>
      </c>
      <c r="AD23" t="s">
        <v>16</v>
      </c>
      <c r="AE23" t="s">
        <v>16</v>
      </c>
      <c r="AF23" t="s">
        <v>16</v>
      </c>
      <c r="AG23" t="s">
        <v>16</v>
      </c>
      <c r="AH23" t="s">
        <v>16</v>
      </c>
      <c r="AI23">
        <v>2</v>
      </c>
    </row>
    <row r="24" spans="2:35" x14ac:dyDescent="0.25">
      <c r="F24" s="16">
        <v>8</v>
      </c>
      <c r="G24" s="105">
        <v>18</v>
      </c>
      <c r="H24" s="19">
        <v>13</v>
      </c>
      <c r="I24" s="19">
        <v>35</v>
      </c>
      <c r="J24" s="19">
        <v>5</v>
      </c>
      <c r="K24" s="19">
        <v>35</v>
      </c>
      <c r="L24" s="19" t="s">
        <v>16</v>
      </c>
      <c r="M24" s="19">
        <v>1</v>
      </c>
      <c r="N24" s="19" t="s">
        <v>16</v>
      </c>
      <c r="O24" s="19">
        <v>1</v>
      </c>
      <c r="P24" s="19" t="s">
        <v>16</v>
      </c>
      <c r="Q24" s="19">
        <v>1</v>
      </c>
      <c r="R24" s="19" t="s">
        <v>16</v>
      </c>
      <c r="S24" s="19">
        <v>1</v>
      </c>
      <c r="T24" s="19" t="s">
        <v>16</v>
      </c>
      <c r="U24" s="19">
        <v>1</v>
      </c>
      <c r="V24" s="19" t="s">
        <v>16</v>
      </c>
      <c r="W24" s="19">
        <v>1</v>
      </c>
      <c r="X24" s="19" t="s">
        <v>16</v>
      </c>
      <c r="Y24">
        <v>1</v>
      </c>
      <c r="Z24">
        <v>2</v>
      </c>
      <c r="AA24">
        <v>5</v>
      </c>
      <c r="AB24" t="s">
        <v>16</v>
      </c>
      <c r="AC24" t="s">
        <v>16</v>
      </c>
      <c r="AD24" t="s">
        <v>16</v>
      </c>
      <c r="AE24" t="s">
        <v>16</v>
      </c>
      <c r="AF24" t="s">
        <v>16</v>
      </c>
      <c r="AG24" t="s">
        <v>16</v>
      </c>
      <c r="AH24" t="s">
        <v>16</v>
      </c>
      <c r="AI24">
        <v>2</v>
      </c>
    </row>
    <row r="25" spans="2:35" x14ac:dyDescent="0.25">
      <c r="F25" s="16">
        <v>9</v>
      </c>
      <c r="G25" s="105">
        <v>19</v>
      </c>
      <c r="H25" s="19">
        <v>1</v>
      </c>
      <c r="I25" s="19">
        <v>18</v>
      </c>
      <c r="J25" s="19">
        <v>3</v>
      </c>
      <c r="K25" s="19">
        <v>18</v>
      </c>
      <c r="L25" s="19" t="s">
        <v>16</v>
      </c>
      <c r="M25" s="19">
        <v>1</v>
      </c>
      <c r="N25" s="19" t="s">
        <v>16</v>
      </c>
      <c r="O25" s="19">
        <v>1</v>
      </c>
      <c r="P25" s="19" t="s">
        <v>16</v>
      </c>
      <c r="Q25" s="19">
        <v>1</v>
      </c>
      <c r="R25" s="19" t="s">
        <v>16</v>
      </c>
      <c r="S25" s="19">
        <v>1</v>
      </c>
      <c r="T25" s="19" t="s">
        <v>16</v>
      </c>
      <c r="U25" s="19">
        <v>1</v>
      </c>
      <c r="V25" s="19" t="s">
        <v>16</v>
      </c>
      <c r="W25" s="19">
        <v>1</v>
      </c>
      <c r="X25" s="19" t="s">
        <v>16</v>
      </c>
      <c r="Y25">
        <v>1</v>
      </c>
      <c r="Z25">
        <v>3</v>
      </c>
      <c r="AA25">
        <v>8</v>
      </c>
      <c r="AB25" t="s">
        <v>16</v>
      </c>
      <c r="AC25" t="s">
        <v>16</v>
      </c>
      <c r="AD25" t="s">
        <v>16</v>
      </c>
      <c r="AE25" t="s">
        <v>16</v>
      </c>
      <c r="AF25" t="s">
        <v>16</v>
      </c>
      <c r="AG25" t="s">
        <v>16</v>
      </c>
      <c r="AH25" t="s">
        <v>16</v>
      </c>
      <c r="AI25">
        <v>2</v>
      </c>
    </row>
    <row r="26" spans="2:35" x14ac:dyDescent="0.25">
      <c r="F26" s="16">
        <v>10</v>
      </c>
      <c r="G26" s="105">
        <v>21</v>
      </c>
      <c r="H26" s="19">
        <v>7</v>
      </c>
      <c r="I26" s="19">
        <v>50</v>
      </c>
      <c r="J26" s="19">
        <v>6</v>
      </c>
      <c r="K26" s="19">
        <v>55</v>
      </c>
      <c r="L26" s="19" t="s">
        <v>16</v>
      </c>
      <c r="M26" s="19">
        <v>1</v>
      </c>
      <c r="N26" s="19" t="s">
        <v>16</v>
      </c>
      <c r="O26" s="19">
        <v>1</v>
      </c>
      <c r="P26" s="19" t="s">
        <v>16</v>
      </c>
      <c r="Q26" s="19">
        <v>1</v>
      </c>
      <c r="R26" s="19" t="s">
        <v>16</v>
      </c>
      <c r="S26" s="19">
        <v>1</v>
      </c>
      <c r="T26" s="19" t="s">
        <v>16</v>
      </c>
      <c r="U26" s="19">
        <v>1</v>
      </c>
      <c r="V26" s="19" t="s">
        <v>16</v>
      </c>
      <c r="W26" s="19">
        <v>1</v>
      </c>
      <c r="X26" s="19" t="s">
        <v>16</v>
      </c>
      <c r="Y26">
        <v>1</v>
      </c>
      <c r="Z26">
        <v>1</v>
      </c>
      <c r="AA26">
        <v>8</v>
      </c>
      <c r="AB26" t="s">
        <v>16</v>
      </c>
      <c r="AC26" t="s">
        <v>16</v>
      </c>
      <c r="AD26" t="s">
        <v>16</v>
      </c>
      <c r="AE26" t="s">
        <v>16</v>
      </c>
      <c r="AF26" t="s">
        <v>16</v>
      </c>
      <c r="AG26" t="s">
        <v>16</v>
      </c>
      <c r="AH26" t="s">
        <v>16</v>
      </c>
      <c r="AI26">
        <v>2</v>
      </c>
    </row>
    <row r="27" spans="2:35" x14ac:dyDescent="0.25">
      <c r="F27" s="16">
        <v>11</v>
      </c>
      <c r="G27" s="105">
        <v>24</v>
      </c>
      <c r="H27" s="19">
        <v>25</v>
      </c>
      <c r="I27" s="16">
        <v>81</v>
      </c>
      <c r="J27" s="16">
        <v>25</v>
      </c>
      <c r="K27" s="16">
        <v>94</v>
      </c>
      <c r="L27" s="16" t="s">
        <v>16</v>
      </c>
      <c r="M27" s="16">
        <v>1</v>
      </c>
      <c r="N27" s="16" t="s">
        <v>16</v>
      </c>
      <c r="O27" s="16">
        <v>1</v>
      </c>
      <c r="P27" s="16" t="s">
        <v>16</v>
      </c>
      <c r="Q27" s="16">
        <v>1</v>
      </c>
      <c r="R27" s="16" t="s">
        <v>16</v>
      </c>
      <c r="S27" s="16">
        <v>1</v>
      </c>
      <c r="T27" s="16" t="s">
        <v>16</v>
      </c>
      <c r="U27" s="16">
        <v>1</v>
      </c>
      <c r="V27" s="16" t="s">
        <v>16</v>
      </c>
      <c r="W27" s="16">
        <v>1</v>
      </c>
      <c r="X27" s="16" t="s">
        <v>16</v>
      </c>
      <c r="Y27">
        <v>1</v>
      </c>
      <c r="Z27">
        <v>1</v>
      </c>
      <c r="AA27">
        <v>2</v>
      </c>
      <c r="AB27" t="s">
        <v>16</v>
      </c>
      <c r="AC27" t="s">
        <v>16</v>
      </c>
      <c r="AD27" t="s">
        <v>16</v>
      </c>
      <c r="AE27" t="s">
        <v>16</v>
      </c>
      <c r="AF27" t="s">
        <v>16</v>
      </c>
      <c r="AG27" t="s">
        <v>16</v>
      </c>
      <c r="AH27" t="s">
        <v>16</v>
      </c>
      <c r="AI27">
        <v>2</v>
      </c>
    </row>
    <row r="28" spans="2:35" x14ac:dyDescent="0.25">
      <c r="F28" s="16">
        <v>12</v>
      </c>
      <c r="G28" s="105">
        <v>26</v>
      </c>
      <c r="H28" s="16">
        <v>17</v>
      </c>
      <c r="I28" s="16">
        <v>69</v>
      </c>
      <c r="J28" s="16">
        <v>14</v>
      </c>
      <c r="K28" s="16">
        <v>71</v>
      </c>
      <c r="L28" s="16" t="s">
        <v>16</v>
      </c>
      <c r="M28" s="16">
        <v>1</v>
      </c>
      <c r="N28" s="16" t="s">
        <v>16</v>
      </c>
      <c r="O28" s="16">
        <v>1</v>
      </c>
      <c r="P28" s="16" t="s">
        <v>16</v>
      </c>
      <c r="Q28" s="16">
        <v>1</v>
      </c>
      <c r="R28" s="16" t="s">
        <v>16</v>
      </c>
      <c r="S28" s="16">
        <v>1</v>
      </c>
      <c r="T28" s="16" t="s">
        <v>16</v>
      </c>
      <c r="U28" s="16">
        <v>1</v>
      </c>
      <c r="V28" s="16" t="s">
        <v>16</v>
      </c>
      <c r="W28" s="16">
        <v>1</v>
      </c>
      <c r="X28" s="16" t="s">
        <v>16</v>
      </c>
      <c r="Y28">
        <v>1</v>
      </c>
      <c r="Z28">
        <v>1</v>
      </c>
      <c r="AA28">
        <v>8</v>
      </c>
      <c r="AB28" t="s">
        <v>16</v>
      </c>
      <c r="AC28" t="s">
        <v>16</v>
      </c>
      <c r="AD28" t="s">
        <v>16</v>
      </c>
      <c r="AE28" t="s">
        <v>16</v>
      </c>
      <c r="AF28" t="s">
        <v>16</v>
      </c>
      <c r="AG28" t="s">
        <v>16</v>
      </c>
      <c r="AH28" t="s">
        <v>16</v>
      </c>
      <c r="AI28">
        <v>2</v>
      </c>
    </row>
    <row r="29" spans="2:35" x14ac:dyDescent="0.25">
      <c r="F29" s="16">
        <v>13</v>
      </c>
      <c r="G29" s="105">
        <v>27</v>
      </c>
      <c r="H29" s="16">
        <v>3</v>
      </c>
      <c r="I29" s="16">
        <v>11</v>
      </c>
      <c r="J29" s="16">
        <v>11</v>
      </c>
      <c r="K29" s="16">
        <v>13</v>
      </c>
      <c r="L29" s="16" t="s">
        <v>16</v>
      </c>
      <c r="M29" s="16">
        <v>1</v>
      </c>
      <c r="N29" s="16" t="s">
        <v>16</v>
      </c>
      <c r="O29" s="16">
        <v>1</v>
      </c>
      <c r="P29" s="16" t="s">
        <v>16</v>
      </c>
      <c r="Q29" s="16">
        <v>1</v>
      </c>
      <c r="R29" s="16" t="s">
        <v>16</v>
      </c>
      <c r="S29" s="16">
        <v>1</v>
      </c>
      <c r="T29" s="16" t="s">
        <v>16</v>
      </c>
      <c r="U29" s="16">
        <v>1</v>
      </c>
      <c r="V29" s="16" t="s">
        <v>16</v>
      </c>
      <c r="W29" s="16">
        <v>1</v>
      </c>
      <c r="X29" s="16" t="s">
        <v>16</v>
      </c>
      <c r="Y29">
        <v>1</v>
      </c>
      <c r="Z29">
        <v>1</v>
      </c>
      <c r="AA29">
        <v>9</v>
      </c>
      <c r="AB29" t="s">
        <v>16</v>
      </c>
      <c r="AC29" t="s">
        <v>16</v>
      </c>
      <c r="AD29" t="s">
        <v>16</v>
      </c>
      <c r="AE29" t="s">
        <v>16</v>
      </c>
      <c r="AF29" t="s">
        <v>16</v>
      </c>
      <c r="AG29" t="s">
        <v>16</v>
      </c>
      <c r="AH29" t="s">
        <v>16</v>
      </c>
      <c r="AI29">
        <v>2</v>
      </c>
    </row>
    <row r="30" spans="2:35" x14ac:dyDescent="0.25">
      <c r="F30" s="16">
        <v>14</v>
      </c>
      <c r="G30" s="105">
        <v>28</v>
      </c>
      <c r="H30" s="16">
        <v>2</v>
      </c>
      <c r="I30" s="16">
        <v>8</v>
      </c>
      <c r="J30" s="16">
        <v>3</v>
      </c>
      <c r="K30" s="16">
        <v>8</v>
      </c>
      <c r="L30" s="16" t="s">
        <v>16</v>
      </c>
      <c r="M30" s="16">
        <v>1</v>
      </c>
      <c r="N30" s="16" t="s">
        <v>16</v>
      </c>
      <c r="O30" s="16">
        <v>1</v>
      </c>
      <c r="P30" s="16" t="s">
        <v>16</v>
      </c>
      <c r="Q30" s="16">
        <v>1</v>
      </c>
      <c r="R30" s="16" t="s">
        <v>16</v>
      </c>
      <c r="S30" s="16">
        <v>1</v>
      </c>
      <c r="T30" s="16" t="s">
        <v>16</v>
      </c>
      <c r="U30" s="16">
        <v>1</v>
      </c>
      <c r="V30" s="16" t="s">
        <v>16</v>
      </c>
      <c r="W30" s="16">
        <v>1</v>
      </c>
      <c r="X30" s="16" t="s">
        <v>16</v>
      </c>
      <c r="Y30">
        <v>1</v>
      </c>
      <c r="Z30">
        <v>1</v>
      </c>
      <c r="AA30">
        <v>2</v>
      </c>
      <c r="AB30" t="s">
        <v>16</v>
      </c>
      <c r="AC30" t="s">
        <v>16</v>
      </c>
      <c r="AD30" t="s">
        <v>16</v>
      </c>
      <c r="AE30" t="s">
        <v>16</v>
      </c>
      <c r="AF30" t="s">
        <v>16</v>
      </c>
      <c r="AG30" t="s">
        <v>16</v>
      </c>
      <c r="AH30" t="s">
        <v>16</v>
      </c>
      <c r="AI30">
        <v>2</v>
      </c>
    </row>
    <row r="31" spans="2:35" x14ac:dyDescent="0.25">
      <c r="F31" s="16">
        <v>15</v>
      </c>
      <c r="G31" s="105">
        <v>30</v>
      </c>
      <c r="H31" s="16">
        <v>2</v>
      </c>
      <c r="I31" s="16">
        <v>12</v>
      </c>
      <c r="J31" s="16">
        <v>4</v>
      </c>
      <c r="K31" s="16">
        <v>11</v>
      </c>
      <c r="L31" s="16" t="s">
        <v>16</v>
      </c>
      <c r="M31" s="16">
        <v>1</v>
      </c>
      <c r="N31" s="16" t="s">
        <v>16</v>
      </c>
      <c r="O31" s="16">
        <v>1</v>
      </c>
      <c r="P31" s="16" t="s">
        <v>16</v>
      </c>
      <c r="Q31" s="16">
        <v>1</v>
      </c>
      <c r="R31" s="16" t="s">
        <v>16</v>
      </c>
      <c r="S31" s="16">
        <v>1</v>
      </c>
      <c r="T31" s="16" t="s">
        <v>16</v>
      </c>
      <c r="U31" s="16">
        <v>1</v>
      </c>
      <c r="V31" s="16" t="s">
        <v>16</v>
      </c>
      <c r="W31" s="16">
        <v>1</v>
      </c>
      <c r="X31" s="16" t="s">
        <v>16</v>
      </c>
      <c r="Y31">
        <v>1</v>
      </c>
      <c r="Z31">
        <v>8</v>
      </c>
      <c r="AA31">
        <v>9</v>
      </c>
      <c r="AB31" t="s">
        <v>16</v>
      </c>
      <c r="AC31" t="s">
        <v>16</v>
      </c>
      <c r="AD31" t="s">
        <v>16</v>
      </c>
      <c r="AE31" t="s">
        <v>16</v>
      </c>
      <c r="AF31" t="s">
        <v>16</v>
      </c>
      <c r="AG31" t="s">
        <v>16</v>
      </c>
      <c r="AH31" t="s">
        <v>16</v>
      </c>
      <c r="AI31">
        <v>2</v>
      </c>
    </row>
    <row r="32" spans="2:35" x14ac:dyDescent="0.25">
      <c r="F32" s="16">
        <v>16</v>
      </c>
      <c r="G32" s="105">
        <v>32</v>
      </c>
      <c r="H32" s="16">
        <v>9</v>
      </c>
      <c r="I32" s="16">
        <v>40</v>
      </c>
      <c r="J32" s="16">
        <v>11</v>
      </c>
      <c r="K32" s="16">
        <v>40</v>
      </c>
      <c r="L32" s="16" t="s">
        <v>16</v>
      </c>
      <c r="M32" s="16">
        <v>1</v>
      </c>
      <c r="N32" s="16" t="s">
        <v>16</v>
      </c>
      <c r="O32" s="16">
        <v>1</v>
      </c>
      <c r="P32" s="16" t="s">
        <v>16</v>
      </c>
      <c r="Q32" s="16">
        <v>1</v>
      </c>
      <c r="R32" s="16" t="s">
        <v>16</v>
      </c>
      <c r="S32" s="16">
        <v>1</v>
      </c>
      <c r="T32" s="16" t="s">
        <v>16</v>
      </c>
      <c r="U32" s="16">
        <v>1</v>
      </c>
      <c r="V32" s="16" t="s">
        <v>16</v>
      </c>
      <c r="W32" s="16">
        <v>1</v>
      </c>
      <c r="X32" s="16" t="s">
        <v>16</v>
      </c>
      <c r="Y32">
        <v>1</v>
      </c>
      <c r="Z32">
        <v>3</v>
      </c>
      <c r="AA32">
        <v>4</v>
      </c>
      <c r="AB32" t="s">
        <v>16</v>
      </c>
      <c r="AC32" t="s">
        <v>16</v>
      </c>
      <c r="AD32" t="s">
        <v>16</v>
      </c>
      <c r="AE32" t="s">
        <v>16</v>
      </c>
      <c r="AF32" t="s">
        <v>16</v>
      </c>
      <c r="AG32" t="s">
        <v>16</v>
      </c>
      <c r="AH32" t="s">
        <v>16</v>
      </c>
      <c r="AI32">
        <v>2</v>
      </c>
    </row>
    <row r="33" spans="6:35" x14ac:dyDescent="0.25">
      <c r="F33" s="16">
        <v>17</v>
      </c>
      <c r="G33" s="105">
        <v>35</v>
      </c>
      <c r="H33" s="16">
        <v>3</v>
      </c>
      <c r="I33" s="16">
        <v>20</v>
      </c>
      <c r="J33" s="16">
        <v>4</v>
      </c>
      <c r="K33" s="16">
        <v>20</v>
      </c>
      <c r="L33" s="16" t="s">
        <v>16</v>
      </c>
      <c r="M33" s="16">
        <v>1</v>
      </c>
      <c r="N33" s="16" t="s">
        <v>16</v>
      </c>
      <c r="O33" s="16">
        <v>1</v>
      </c>
      <c r="P33" s="16" t="s">
        <v>16</v>
      </c>
      <c r="Q33" s="16">
        <v>1</v>
      </c>
      <c r="R33" s="16" t="s">
        <v>16</v>
      </c>
      <c r="S33" s="16">
        <v>1</v>
      </c>
      <c r="T33" s="16" t="s">
        <v>16</v>
      </c>
      <c r="U33" s="16">
        <v>1</v>
      </c>
      <c r="V33" s="16" t="s">
        <v>16</v>
      </c>
      <c r="W33" s="16">
        <v>1</v>
      </c>
      <c r="X33" s="16" t="s">
        <v>16</v>
      </c>
      <c r="Y33">
        <v>1</v>
      </c>
      <c r="Z33">
        <v>1</v>
      </c>
      <c r="AA33">
        <v>2</v>
      </c>
      <c r="AB33" t="s">
        <v>16</v>
      </c>
      <c r="AC33" t="s">
        <v>16</v>
      </c>
      <c r="AD33" t="s">
        <v>16</v>
      </c>
      <c r="AE33" t="s">
        <v>16</v>
      </c>
      <c r="AF33" t="s">
        <v>16</v>
      </c>
      <c r="AG33" t="s">
        <v>16</v>
      </c>
      <c r="AH33" t="s">
        <v>16</v>
      </c>
      <c r="AI33">
        <v>2</v>
      </c>
    </row>
    <row r="34" spans="6:35" x14ac:dyDescent="0.25">
      <c r="F34" s="16">
        <v>18</v>
      </c>
      <c r="G34" s="105">
        <v>37</v>
      </c>
      <c r="H34" s="16">
        <v>0.52941176470588236</v>
      </c>
      <c r="I34" s="16">
        <v>18.529411764705884</v>
      </c>
      <c r="J34" s="16">
        <v>0.47058823529411764</v>
      </c>
      <c r="K34" s="16">
        <v>16.470588235294116</v>
      </c>
      <c r="L34" s="16" t="s">
        <v>16</v>
      </c>
      <c r="M34" s="16">
        <v>1</v>
      </c>
      <c r="N34" s="16" t="s">
        <v>16</v>
      </c>
      <c r="O34" s="16">
        <v>1</v>
      </c>
      <c r="P34" s="16" t="s">
        <v>16</v>
      </c>
      <c r="Q34" s="16">
        <v>1</v>
      </c>
      <c r="R34" s="16" t="s">
        <v>16</v>
      </c>
      <c r="S34" s="16">
        <v>1</v>
      </c>
      <c r="T34" s="16" t="s">
        <v>16</v>
      </c>
      <c r="U34" s="16">
        <v>1</v>
      </c>
      <c r="V34" s="16" t="s">
        <v>16</v>
      </c>
      <c r="W34" s="16">
        <v>1</v>
      </c>
      <c r="X34" s="16" t="s">
        <v>16</v>
      </c>
      <c r="Y34">
        <v>1</v>
      </c>
      <c r="Z34">
        <v>1</v>
      </c>
      <c r="AA34">
        <v>2</v>
      </c>
      <c r="AB34" t="s">
        <v>16</v>
      </c>
      <c r="AC34" t="s">
        <v>16</v>
      </c>
      <c r="AD34" t="s">
        <v>16</v>
      </c>
      <c r="AE34" t="s">
        <v>16</v>
      </c>
      <c r="AF34" t="s">
        <v>16</v>
      </c>
      <c r="AG34" t="s">
        <v>16</v>
      </c>
      <c r="AH34" t="s">
        <v>16</v>
      </c>
      <c r="AI34">
        <v>2</v>
      </c>
    </row>
    <row r="35" spans="6:35" x14ac:dyDescent="0.25">
      <c r="F35" s="16">
        <v>19</v>
      </c>
      <c r="G35" s="105">
        <v>39</v>
      </c>
      <c r="H35" s="16">
        <v>9</v>
      </c>
      <c r="I35" s="16">
        <v>32</v>
      </c>
      <c r="J35" s="16">
        <v>6</v>
      </c>
      <c r="K35" s="16">
        <v>36</v>
      </c>
      <c r="L35" s="16" t="s">
        <v>16</v>
      </c>
      <c r="M35" s="16">
        <v>1</v>
      </c>
      <c r="N35" s="16" t="s">
        <v>16</v>
      </c>
      <c r="O35" s="16">
        <v>1</v>
      </c>
      <c r="P35" s="16" t="s">
        <v>16</v>
      </c>
      <c r="Q35" s="16">
        <v>1</v>
      </c>
      <c r="R35" s="16" t="s">
        <v>16</v>
      </c>
      <c r="S35" s="16">
        <v>1</v>
      </c>
      <c r="T35" s="16" t="s">
        <v>16</v>
      </c>
      <c r="U35" s="16">
        <v>1</v>
      </c>
      <c r="V35" s="16" t="s">
        <v>16</v>
      </c>
      <c r="W35" s="16">
        <v>1</v>
      </c>
      <c r="X35" s="16" t="s">
        <v>16</v>
      </c>
      <c r="Y35">
        <v>1</v>
      </c>
      <c r="Z35">
        <v>2</v>
      </c>
      <c r="AA35">
        <v>3</v>
      </c>
      <c r="AB35" t="s">
        <v>16</v>
      </c>
      <c r="AC35" t="s">
        <v>16</v>
      </c>
      <c r="AD35" t="s">
        <v>16</v>
      </c>
      <c r="AE35" t="s">
        <v>16</v>
      </c>
      <c r="AF35" t="s">
        <v>16</v>
      </c>
      <c r="AG35" t="s">
        <v>16</v>
      </c>
      <c r="AH35" t="s">
        <v>16</v>
      </c>
      <c r="AI35">
        <v>2</v>
      </c>
    </row>
    <row r="36" spans="6:35" x14ac:dyDescent="0.25">
      <c r="F36" s="16">
        <v>20</v>
      </c>
      <c r="G36" s="105">
        <v>42</v>
      </c>
      <c r="H36" s="16">
        <v>13</v>
      </c>
      <c r="I36" s="16">
        <v>62</v>
      </c>
      <c r="J36" s="16">
        <v>10</v>
      </c>
      <c r="K36" s="16">
        <v>59</v>
      </c>
      <c r="L36" s="16" t="s">
        <v>16</v>
      </c>
      <c r="M36" s="16">
        <v>1</v>
      </c>
      <c r="N36" s="16" t="s">
        <v>16</v>
      </c>
      <c r="O36" s="16">
        <v>1</v>
      </c>
      <c r="P36" s="16" t="s">
        <v>16</v>
      </c>
      <c r="Q36" s="16">
        <v>1</v>
      </c>
      <c r="R36" s="16" t="s">
        <v>16</v>
      </c>
      <c r="S36" s="16">
        <v>1</v>
      </c>
      <c r="T36" s="16" t="s">
        <v>16</v>
      </c>
      <c r="U36" s="16">
        <v>1</v>
      </c>
      <c r="V36" s="16" t="s">
        <v>16</v>
      </c>
      <c r="W36" s="16">
        <v>1</v>
      </c>
      <c r="X36" s="16" t="s">
        <v>16</v>
      </c>
      <c r="Y36">
        <v>1</v>
      </c>
      <c r="Z36">
        <v>1</v>
      </c>
      <c r="AA36">
        <v>8</v>
      </c>
      <c r="AB36" t="s">
        <v>16</v>
      </c>
      <c r="AC36" t="s">
        <v>16</v>
      </c>
      <c r="AD36" t="s">
        <v>16</v>
      </c>
      <c r="AE36" t="s">
        <v>16</v>
      </c>
      <c r="AF36" t="s">
        <v>16</v>
      </c>
      <c r="AG36" t="s">
        <v>16</v>
      </c>
      <c r="AH36" t="s">
        <v>16</v>
      </c>
      <c r="AI36">
        <v>2</v>
      </c>
    </row>
    <row r="37" spans="6:35" x14ac:dyDescent="0.25">
      <c r="F37" s="16">
        <v>21</v>
      </c>
      <c r="G37" s="105">
        <v>43</v>
      </c>
      <c r="H37" s="16">
        <v>5</v>
      </c>
      <c r="I37" s="16">
        <v>36</v>
      </c>
      <c r="J37" s="16">
        <v>0</v>
      </c>
      <c r="K37" s="16">
        <v>34</v>
      </c>
      <c r="L37" s="16" t="s">
        <v>16</v>
      </c>
      <c r="M37" s="16">
        <v>1</v>
      </c>
      <c r="N37" s="16" t="s">
        <v>16</v>
      </c>
      <c r="O37" s="16">
        <v>1</v>
      </c>
      <c r="P37" s="16" t="s">
        <v>16</v>
      </c>
      <c r="Q37" s="16">
        <v>1</v>
      </c>
      <c r="R37" s="16" t="s">
        <v>16</v>
      </c>
      <c r="S37" s="16">
        <v>1</v>
      </c>
      <c r="T37" s="16" t="s">
        <v>16</v>
      </c>
      <c r="U37" s="16">
        <v>1</v>
      </c>
      <c r="V37" s="16" t="s">
        <v>16</v>
      </c>
      <c r="W37" s="16">
        <v>1</v>
      </c>
      <c r="X37" s="16" t="s">
        <v>16</v>
      </c>
      <c r="Y37">
        <v>1</v>
      </c>
      <c r="Z37">
        <v>1</v>
      </c>
      <c r="AA37">
        <v>8</v>
      </c>
      <c r="AB37" t="s">
        <v>16</v>
      </c>
      <c r="AC37" t="s">
        <v>16</v>
      </c>
      <c r="AD37" t="s">
        <v>16</v>
      </c>
      <c r="AE37" t="s">
        <v>16</v>
      </c>
      <c r="AF37" t="s">
        <v>16</v>
      </c>
      <c r="AG37" t="s">
        <v>16</v>
      </c>
      <c r="AH37" t="s">
        <v>16</v>
      </c>
      <c r="AI37">
        <v>2</v>
      </c>
    </row>
    <row r="38" spans="6:35" x14ac:dyDescent="0.25">
      <c r="F38" s="16">
        <v>22</v>
      </c>
      <c r="G38" s="105">
        <v>44</v>
      </c>
      <c r="H38" s="16">
        <v>0</v>
      </c>
      <c r="I38" s="16">
        <v>18</v>
      </c>
      <c r="J38" s="16">
        <v>0</v>
      </c>
      <c r="K38" s="16">
        <v>16</v>
      </c>
      <c r="L38" s="16" t="s">
        <v>16</v>
      </c>
      <c r="M38" s="16">
        <v>1</v>
      </c>
      <c r="N38" s="16" t="s">
        <v>16</v>
      </c>
      <c r="O38" s="16">
        <v>1</v>
      </c>
      <c r="P38" s="16" t="s">
        <v>16</v>
      </c>
      <c r="Q38" s="16">
        <v>1</v>
      </c>
      <c r="R38" s="16" t="s">
        <v>16</v>
      </c>
      <c r="S38" s="16">
        <v>1</v>
      </c>
      <c r="T38" s="16" t="s">
        <v>16</v>
      </c>
      <c r="U38" s="16">
        <v>1</v>
      </c>
      <c r="V38" s="16" t="s">
        <v>16</v>
      </c>
      <c r="W38" s="16">
        <v>1</v>
      </c>
      <c r="X38" s="16" t="s">
        <v>16</v>
      </c>
      <c r="Y38">
        <v>1</v>
      </c>
      <c r="Z38">
        <v>1</v>
      </c>
      <c r="AA38">
        <v>8</v>
      </c>
      <c r="AB38" t="s">
        <v>16</v>
      </c>
      <c r="AC38" t="s">
        <v>16</v>
      </c>
      <c r="AD38" t="s">
        <v>16</v>
      </c>
      <c r="AE38" t="s">
        <v>16</v>
      </c>
      <c r="AF38" t="s">
        <v>16</v>
      </c>
      <c r="AG38" t="s">
        <v>16</v>
      </c>
      <c r="AH38" t="s">
        <v>16</v>
      </c>
      <c r="AI38">
        <v>2</v>
      </c>
    </row>
    <row r="39" spans="6:35" x14ac:dyDescent="0.25">
      <c r="F39" s="16">
        <v>23</v>
      </c>
      <c r="G39" s="105">
        <v>45</v>
      </c>
      <c r="H39" s="16">
        <v>4</v>
      </c>
      <c r="I39" s="16">
        <v>15</v>
      </c>
      <c r="J39" s="16">
        <v>11</v>
      </c>
      <c r="K39" s="16">
        <v>15</v>
      </c>
      <c r="L39" s="16" t="s">
        <v>16</v>
      </c>
      <c r="M39" s="16">
        <v>1</v>
      </c>
      <c r="N39" s="16" t="s">
        <v>16</v>
      </c>
      <c r="O39" s="16">
        <v>1</v>
      </c>
      <c r="P39" s="16" t="s">
        <v>16</v>
      </c>
      <c r="Q39" s="16">
        <v>1</v>
      </c>
      <c r="R39" s="16" t="s">
        <v>16</v>
      </c>
      <c r="S39" s="16">
        <v>1</v>
      </c>
      <c r="T39" s="16" t="s">
        <v>16</v>
      </c>
      <c r="U39" s="16">
        <v>1</v>
      </c>
      <c r="V39" s="16" t="s">
        <v>16</v>
      </c>
      <c r="W39" s="16">
        <v>1</v>
      </c>
      <c r="X39" s="16" t="s">
        <v>16</v>
      </c>
      <c r="Y39">
        <v>1</v>
      </c>
      <c r="Z39">
        <v>8</v>
      </c>
      <c r="AA39">
        <v>9</v>
      </c>
      <c r="AB39" t="s">
        <v>16</v>
      </c>
      <c r="AC39" t="s">
        <v>16</v>
      </c>
      <c r="AD39" t="s">
        <v>16</v>
      </c>
      <c r="AE39" t="s">
        <v>16</v>
      </c>
      <c r="AF39" t="s">
        <v>16</v>
      </c>
      <c r="AG39" t="s">
        <v>16</v>
      </c>
      <c r="AH39" t="s">
        <v>16</v>
      </c>
      <c r="AI39">
        <v>2</v>
      </c>
    </row>
    <row r="40" spans="6:35" x14ac:dyDescent="0.25">
      <c r="F40" s="16">
        <v>24</v>
      </c>
      <c r="G40" s="105">
        <v>47</v>
      </c>
      <c r="H40" s="16">
        <v>9</v>
      </c>
      <c r="I40" s="16">
        <v>54</v>
      </c>
      <c r="J40" s="16">
        <v>24</v>
      </c>
      <c r="K40" s="16">
        <v>51</v>
      </c>
      <c r="L40" s="16" t="s">
        <v>16</v>
      </c>
      <c r="M40" s="16">
        <v>1</v>
      </c>
      <c r="N40" s="16" t="s">
        <v>16</v>
      </c>
      <c r="O40" s="16">
        <v>1</v>
      </c>
      <c r="P40" s="16" t="s">
        <v>16</v>
      </c>
      <c r="Q40" s="16">
        <v>1</v>
      </c>
      <c r="R40" s="16" t="s">
        <v>16</v>
      </c>
      <c r="S40" s="16">
        <v>1</v>
      </c>
      <c r="T40" s="16" t="s">
        <v>16</v>
      </c>
      <c r="U40" s="16">
        <v>1</v>
      </c>
      <c r="V40" s="16" t="s">
        <v>16</v>
      </c>
      <c r="W40" s="16">
        <v>1</v>
      </c>
      <c r="X40" t="s">
        <v>16</v>
      </c>
      <c r="Y40">
        <v>1</v>
      </c>
      <c r="Z40">
        <v>2</v>
      </c>
      <c r="AA40">
        <v>9</v>
      </c>
      <c r="AB40" t="s">
        <v>16</v>
      </c>
      <c r="AC40" t="s">
        <v>16</v>
      </c>
      <c r="AD40" t="s">
        <v>16</v>
      </c>
      <c r="AE40" t="s">
        <v>16</v>
      </c>
      <c r="AF40" t="s">
        <v>16</v>
      </c>
      <c r="AG40" t="s">
        <v>16</v>
      </c>
      <c r="AH40" t="s">
        <v>16</v>
      </c>
      <c r="AI40">
        <v>2</v>
      </c>
    </row>
    <row r="41" spans="6:35" x14ac:dyDescent="0.25">
      <c r="F41" s="16">
        <v>25</v>
      </c>
      <c r="G41" s="105">
        <v>49</v>
      </c>
      <c r="H41" s="16">
        <v>7</v>
      </c>
      <c r="I41" s="16">
        <v>59</v>
      </c>
      <c r="J41" s="16">
        <v>8</v>
      </c>
      <c r="K41" s="16">
        <v>60</v>
      </c>
      <c r="L41" s="16" t="s">
        <v>16</v>
      </c>
      <c r="M41" s="16">
        <v>1</v>
      </c>
      <c r="N41" s="16" t="s">
        <v>16</v>
      </c>
      <c r="O41" s="16">
        <v>1</v>
      </c>
      <c r="P41" s="16" t="s">
        <v>16</v>
      </c>
      <c r="Q41" s="16">
        <v>1</v>
      </c>
      <c r="R41" s="16" t="s">
        <v>16</v>
      </c>
      <c r="S41" s="16">
        <v>1</v>
      </c>
      <c r="T41" s="16" t="s">
        <v>16</v>
      </c>
      <c r="U41" s="16">
        <v>1</v>
      </c>
      <c r="V41" s="16" t="s">
        <v>16</v>
      </c>
      <c r="W41" s="16">
        <v>1</v>
      </c>
      <c r="X41" t="s">
        <v>16</v>
      </c>
      <c r="Y41">
        <v>1</v>
      </c>
      <c r="Z41">
        <v>1</v>
      </c>
      <c r="AA41">
        <v>2</v>
      </c>
      <c r="AB41" t="s">
        <v>16</v>
      </c>
      <c r="AC41" t="s">
        <v>16</v>
      </c>
      <c r="AD41" t="s">
        <v>16</v>
      </c>
      <c r="AE41" t="s">
        <v>16</v>
      </c>
      <c r="AF41" t="s">
        <v>16</v>
      </c>
      <c r="AG41" t="s">
        <v>16</v>
      </c>
      <c r="AH41" t="s">
        <v>16</v>
      </c>
      <c r="AI41">
        <v>2</v>
      </c>
    </row>
    <row r="42" spans="6:35" x14ac:dyDescent="0.25">
      <c r="F42" s="16">
        <v>26</v>
      </c>
      <c r="G42" s="105">
        <v>53</v>
      </c>
      <c r="H42" s="16">
        <v>9</v>
      </c>
      <c r="I42" s="16">
        <v>74</v>
      </c>
      <c r="J42" s="16">
        <v>12</v>
      </c>
      <c r="K42" s="16">
        <v>74</v>
      </c>
      <c r="L42" s="16" t="s">
        <v>16</v>
      </c>
      <c r="M42" s="16">
        <v>1</v>
      </c>
      <c r="N42" s="16" t="s">
        <v>16</v>
      </c>
      <c r="O42" s="16">
        <v>1</v>
      </c>
      <c r="P42" s="16" t="s">
        <v>16</v>
      </c>
      <c r="Q42" s="16">
        <v>1</v>
      </c>
      <c r="R42" s="16" t="s">
        <v>16</v>
      </c>
      <c r="S42" s="16">
        <v>1</v>
      </c>
      <c r="T42" s="16" t="s">
        <v>16</v>
      </c>
      <c r="U42" s="16">
        <v>1</v>
      </c>
      <c r="V42" s="16" t="s">
        <v>16</v>
      </c>
      <c r="W42" s="16">
        <v>1</v>
      </c>
      <c r="X42" t="s">
        <v>16</v>
      </c>
      <c r="Y42">
        <v>1</v>
      </c>
      <c r="Z42">
        <v>1</v>
      </c>
      <c r="AA42">
        <v>2</v>
      </c>
      <c r="AB42" t="s">
        <v>16</v>
      </c>
      <c r="AC42" t="s">
        <v>16</v>
      </c>
      <c r="AD42" t="s">
        <v>16</v>
      </c>
      <c r="AE42" t="s">
        <v>16</v>
      </c>
      <c r="AF42" t="s">
        <v>16</v>
      </c>
      <c r="AG42" t="s">
        <v>16</v>
      </c>
      <c r="AH42" t="s">
        <v>16</v>
      </c>
      <c r="AI42">
        <v>2</v>
      </c>
    </row>
    <row r="43" spans="6:35" x14ac:dyDescent="0.25">
      <c r="F43" s="16">
        <v>27</v>
      </c>
      <c r="G43" s="105">
        <v>54</v>
      </c>
      <c r="H43" s="16">
        <v>32</v>
      </c>
      <c r="I43" s="16">
        <v>48</v>
      </c>
      <c r="J43" s="16">
        <v>20</v>
      </c>
      <c r="K43" s="16">
        <v>35</v>
      </c>
      <c r="L43" s="16" t="s">
        <v>16</v>
      </c>
      <c r="M43" s="16">
        <v>1</v>
      </c>
      <c r="N43" s="16" t="s">
        <v>16</v>
      </c>
      <c r="O43" s="16">
        <v>1</v>
      </c>
      <c r="P43" s="16" t="s">
        <v>16</v>
      </c>
      <c r="Q43" s="16">
        <v>1</v>
      </c>
      <c r="R43" s="16" t="s">
        <v>16</v>
      </c>
      <c r="S43" s="16">
        <v>1</v>
      </c>
      <c r="T43" s="16" t="s">
        <v>16</v>
      </c>
      <c r="U43" s="16">
        <v>1</v>
      </c>
      <c r="V43" s="16" t="s">
        <v>16</v>
      </c>
      <c r="W43" s="16">
        <v>1</v>
      </c>
      <c r="X43" t="s">
        <v>16</v>
      </c>
      <c r="Y43">
        <v>1</v>
      </c>
      <c r="Z43">
        <v>3</v>
      </c>
      <c r="AA43">
        <v>8</v>
      </c>
      <c r="AB43" t="s">
        <v>16</v>
      </c>
      <c r="AC43" t="s">
        <v>16</v>
      </c>
      <c r="AD43" t="s">
        <v>16</v>
      </c>
      <c r="AE43" t="s">
        <v>16</v>
      </c>
      <c r="AF43" t="s">
        <v>16</v>
      </c>
      <c r="AG43" t="s">
        <v>16</v>
      </c>
      <c r="AH43" t="s">
        <v>16</v>
      </c>
      <c r="AI43">
        <v>2</v>
      </c>
    </row>
    <row r="44" spans="6:35" x14ac:dyDescent="0.25">
      <c r="F44" s="16">
        <v>28</v>
      </c>
      <c r="G44" s="105">
        <v>56</v>
      </c>
      <c r="H44" s="16">
        <v>10</v>
      </c>
      <c r="I44" s="16">
        <v>30</v>
      </c>
      <c r="J44" s="16">
        <v>6</v>
      </c>
      <c r="K44" s="16">
        <v>30</v>
      </c>
      <c r="L44" s="16" t="s">
        <v>16</v>
      </c>
      <c r="M44" s="16">
        <v>1</v>
      </c>
      <c r="N44" s="16" t="s">
        <v>16</v>
      </c>
      <c r="O44" s="16">
        <v>1</v>
      </c>
      <c r="P44" s="16" t="s">
        <v>16</v>
      </c>
      <c r="Q44" s="16">
        <v>1</v>
      </c>
      <c r="R44" s="16" t="s">
        <v>16</v>
      </c>
      <c r="S44" s="16">
        <v>1</v>
      </c>
      <c r="T44" s="16" t="s">
        <v>16</v>
      </c>
      <c r="U44" s="16">
        <v>1</v>
      </c>
      <c r="V44" s="16" t="s">
        <v>16</v>
      </c>
      <c r="W44" s="16">
        <v>1</v>
      </c>
      <c r="X44" t="s">
        <v>16</v>
      </c>
      <c r="Y44">
        <v>1</v>
      </c>
      <c r="Z44">
        <v>3</v>
      </c>
      <c r="AA44">
        <v>6</v>
      </c>
      <c r="AB44" t="s">
        <v>16</v>
      </c>
      <c r="AC44" t="s">
        <v>16</v>
      </c>
      <c r="AD44" t="s">
        <v>16</v>
      </c>
      <c r="AE44" t="s">
        <v>16</v>
      </c>
      <c r="AF44" t="s">
        <v>16</v>
      </c>
      <c r="AG44" t="s">
        <v>16</v>
      </c>
      <c r="AH44" t="s">
        <v>16</v>
      </c>
      <c r="AI44">
        <v>2</v>
      </c>
    </row>
    <row r="45" spans="6:35" x14ac:dyDescent="0.25">
      <c r="F45" s="16">
        <v>29</v>
      </c>
      <c r="G45" s="105">
        <v>61</v>
      </c>
      <c r="H45" s="16">
        <v>4</v>
      </c>
      <c r="I45" s="16">
        <v>12</v>
      </c>
      <c r="J45" s="16">
        <v>10</v>
      </c>
      <c r="K45" s="16">
        <v>12</v>
      </c>
      <c r="L45" s="16" t="s">
        <v>16</v>
      </c>
      <c r="M45" s="16">
        <v>1</v>
      </c>
      <c r="N45" s="16" t="s">
        <v>16</v>
      </c>
      <c r="O45" s="16">
        <v>1</v>
      </c>
      <c r="P45" s="16" t="s">
        <v>16</v>
      </c>
      <c r="Q45" s="16">
        <v>1</v>
      </c>
      <c r="R45" s="16" t="s">
        <v>16</v>
      </c>
      <c r="S45" s="16">
        <v>1</v>
      </c>
      <c r="T45" s="16" t="s">
        <v>16</v>
      </c>
      <c r="U45" s="16">
        <v>1</v>
      </c>
      <c r="V45" s="16" t="s">
        <v>16</v>
      </c>
      <c r="W45" s="16">
        <v>1</v>
      </c>
      <c r="X45" t="s">
        <v>16</v>
      </c>
      <c r="Y45">
        <v>1</v>
      </c>
      <c r="Z45">
        <v>1</v>
      </c>
      <c r="AA45">
        <v>9</v>
      </c>
      <c r="AB45" t="s">
        <v>16</v>
      </c>
      <c r="AC45" t="s">
        <v>16</v>
      </c>
      <c r="AD45" t="s">
        <v>16</v>
      </c>
      <c r="AE45" t="s">
        <v>16</v>
      </c>
      <c r="AF45" t="s">
        <v>16</v>
      </c>
      <c r="AG45" t="s">
        <v>16</v>
      </c>
      <c r="AH45" t="s">
        <v>16</v>
      </c>
      <c r="AI45">
        <v>2</v>
      </c>
    </row>
    <row r="46" spans="6:35" x14ac:dyDescent="0.25">
      <c r="F46" s="16">
        <v>30</v>
      </c>
      <c r="G46" s="105">
        <v>62</v>
      </c>
      <c r="H46">
        <v>3</v>
      </c>
      <c r="I46">
        <v>24</v>
      </c>
      <c r="J46">
        <v>7</v>
      </c>
      <c r="K46">
        <v>23</v>
      </c>
      <c r="L46" t="s">
        <v>16</v>
      </c>
      <c r="M46">
        <v>1</v>
      </c>
      <c r="N46" t="s">
        <v>16</v>
      </c>
      <c r="O46">
        <v>1</v>
      </c>
      <c r="P46" t="s">
        <v>16</v>
      </c>
      <c r="Q46">
        <v>1</v>
      </c>
      <c r="R46" t="s">
        <v>16</v>
      </c>
      <c r="S46">
        <v>1</v>
      </c>
      <c r="T46" t="s">
        <v>16</v>
      </c>
      <c r="U46">
        <v>1</v>
      </c>
      <c r="V46" t="s">
        <v>16</v>
      </c>
      <c r="W46">
        <v>1</v>
      </c>
      <c r="X46" t="s">
        <v>16</v>
      </c>
      <c r="Y46">
        <v>1</v>
      </c>
      <c r="Z46">
        <v>1</v>
      </c>
      <c r="AA46">
        <v>2</v>
      </c>
      <c r="AB46" t="s">
        <v>16</v>
      </c>
      <c r="AC46" t="s">
        <v>16</v>
      </c>
      <c r="AD46" t="s">
        <v>16</v>
      </c>
      <c r="AE46" t="s">
        <v>16</v>
      </c>
      <c r="AF46" t="s">
        <v>16</v>
      </c>
      <c r="AG46" t="s">
        <v>16</v>
      </c>
      <c r="AH46" t="s">
        <v>16</v>
      </c>
      <c r="AI46">
        <v>2</v>
      </c>
    </row>
    <row r="47" spans="6:35" x14ac:dyDescent="0.25">
      <c r="F47" s="16">
        <v>31</v>
      </c>
      <c r="G47" s="105">
        <v>64</v>
      </c>
      <c r="H47">
        <v>2</v>
      </c>
      <c r="I47">
        <v>12</v>
      </c>
      <c r="J47">
        <v>3</v>
      </c>
      <c r="K47">
        <v>11</v>
      </c>
      <c r="L47" t="s">
        <v>16</v>
      </c>
      <c r="M47">
        <v>1</v>
      </c>
      <c r="N47" t="s">
        <v>16</v>
      </c>
      <c r="O47">
        <v>1</v>
      </c>
      <c r="P47" t="s">
        <v>16</v>
      </c>
      <c r="Q47">
        <v>1</v>
      </c>
      <c r="R47" t="s">
        <v>16</v>
      </c>
      <c r="S47">
        <v>1</v>
      </c>
      <c r="T47" t="s">
        <v>16</v>
      </c>
      <c r="U47">
        <v>1</v>
      </c>
      <c r="V47" t="s">
        <v>16</v>
      </c>
      <c r="W47">
        <v>1</v>
      </c>
      <c r="X47" t="s">
        <v>16</v>
      </c>
      <c r="Y47">
        <v>1</v>
      </c>
      <c r="Z47">
        <v>3</v>
      </c>
      <c r="AA47">
        <v>8</v>
      </c>
      <c r="AB47" t="s">
        <v>16</v>
      </c>
      <c r="AC47" t="s">
        <v>16</v>
      </c>
      <c r="AD47" t="s">
        <v>16</v>
      </c>
      <c r="AE47" t="s">
        <v>16</v>
      </c>
      <c r="AF47" t="s">
        <v>16</v>
      </c>
      <c r="AG47" t="s">
        <v>16</v>
      </c>
      <c r="AH47" t="s">
        <v>16</v>
      </c>
      <c r="AI47">
        <v>2</v>
      </c>
    </row>
    <row r="48" spans="6:35" x14ac:dyDescent="0.25">
      <c r="F48" s="16">
        <v>32</v>
      </c>
      <c r="G48" s="105">
        <v>65</v>
      </c>
      <c r="H48">
        <v>2</v>
      </c>
      <c r="I48">
        <v>18</v>
      </c>
      <c r="J48">
        <v>1</v>
      </c>
      <c r="K48">
        <v>16</v>
      </c>
      <c r="L48" t="s">
        <v>16</v>
      </c>
      <c r="M48">
        <v>1</v>
      </c>
      <c r="N48" t="s">
        <v>16</v>
      </c>
      <c r="O48">
        <v>1</v>
      </c>
      <c r="P48" t="s">
        <v>16</v>
      </c>
      <c r="Q48">
        <v>1</v>
      </c>
      <c r="R48" t="s">
        <v>16</v>
      </c>
      <c r="S48">
        <v>1</v>
      </c>
      <c r="T48" t="s">
        <v>16</v>
      </c>
      <c r="U48">
        <v>1</v>
      </c>
      <c r="V48" t="s">
        <v>16</v>
      </c>
      <c r="W48">
        <v>1</v>
      </c>
      <c r="X48" t="s">
        <v>16</v>
      </c>
      <c r="Y48">
        <v>1</v>
      </c>
      <c r="Z48">
        <v>1</v>
      </c>
      <c r="AA48">
        <v>3</v>
      </c>
      <c r="AB48" t="s">
        <v>16</v>
      </c>
      <c r="AC48" t="s">
        <v>16</v>
      </c>
      <c r="AD48" t="s">
        <v>16</v>
      </c>
      <c r="AE48" t="s">
        <v>16</v>
      </c>
      <c r="AF48" t="s">
        <v>16</v>
      </c>
      <c r="AG48" t="s">
        <v>16</v>
      </c>
      <c r="AH48" t="s">
        <v>16</v>
      </c>
      <c r="AI48">
        <v>2</v>
      </c>
    </row>
    <row r="49" spans="6:35" x14ac:dyDescent="0.25">
      <c r="F49" s="16">
        <v>33</v>
      </c>
      <c r="G49" s="105">
        <v>67</v>
      </c>
      <c r="H49">
        <v>12</v>
      </c>
      <c r="I49">
        <v>67</v>
      </c>
      <c r="J49">
        <v>17</v>
      </c>
      <c r="K49">
        <v>62</v>
      </c>
      <c r="L49" t="s">
        <v>16</v>
      </c>
      <c r="M49">
        <v>1</v>
      </c>
      <c r="N49" t="s">
        <v>16</v>
      </c>
      <c r="O49">
        <v>1</v>
      </c>
      <c r="P49" t="s">
        <v>16</v>
      </c>
      <c r="Q49">
        <v>1</v>
      </c>
      <c r="R49" t="s">
        <v>16</v>
      </c>
      <c r="S49">
        <v>1</v>
      </c>
      <c r="T49" t="s">
        <v>16</v>
      </c>
      <c r="U49">
        <v>1</v>
      </c>
      <c r="V49" t="s">
        <v>16</v>
      </c>
      <c r="W49">
        <v>1</v>
      </c>
      <c r="X49" t="s">
        <v>16</v>
      </c>
      <c r="Y49">
        <v>1</v>
      </c>
      <c r="Z49">
        <v>4</v>
      </c>
      <c r="AA49">
        <v>6</v>
      </c>
      <c r="AB49" t="s">
        <v>16</v>
      </c>
      <c r="AC49" t="s">
        <v>16</v>
      </c>
      <c r="AD49" t="s">
        <v>16</v>
      </c>
      <c r="AE49" t="s">
        <v>16</v>
      </c>
      <c r="AF49" t="s">
        <v>16</v>
      </c>
      <c r="AG49" t="s">
        <v>16</v>
      </c>
      <c r="AH49" t="s">
        <v>16</v>
      </c>
      <c r="AI49">
        <v>2</v>
      </c>
    </row>
    <row r="50" spans="6:35" x14ac:dyDescent="0.25">
      <c r="F50" s="16"/>
      <c r="G50" s="105"/>
      <c r="H50" t="s">
        <v>17</v>
      </c>
    </row>
    <row r="51" spans="6:35" x14ac:dyDescent="0.25">
      <c r="F51" s="16"/>
      <c r="G51" s="105"/>
    </row>
    <row r="52" spans="6:35" x14ac:dyDescent="0.25">
      <c r="F52" s="16"/>
      <c r="G52" s="105"/>
    </row>
    <row r="53" spans="6:35" x14ac:dyDescent="0.25">
      <c r="F53" s="16"/>
      <c r="G53" s="105"/>
    </row>
    <row r="54" spans="6:35" x14ac:dyDescent="0.25">
      <c r="F54" s="16"/>
      <c r="G54" s="105"/>
    </row>
    <row r="55" spans="6:35" x14ac:dyDescent="0.25">
      <c r="F55" s="16"/>
      <c r="G55" s="105"/>
    </row>
    <row r="56" spans="6:35" x14ac:dyDescent="0.25">
      <c r="F56" s="16"/>
      <c r="G56" s="105"/>
    </row>
    <row r="57" spans="6:35" x14ac:dyDescent="0.25">
      <c r="F57" s="16"/>
      <c r="G57" s="105"/>
    </row>
    <row r="58" spans="6:35" x14ac:dyDescent="0.25">
      <c r="F58" s="16"/>
      <c r="G58" s="105"/>
    </row>
    <row r="59" spans="6:35" x14ac:dyDescent="0.25">
      <c r="G59" s="105"/>
    </row>
    <row r="60" spans="6:35" x14ac:dyDescent="0.25">
      <c r="G60" s="105"/>
    </row>
    <row r="61" spans="6:35" x14ac:dyDescent="0.25">
      <c r="G61" s="105"/>
    </row>
    <row r="62" spans="6:35" x14ac:dyDescent="0.25">
      <c r="G62" s="105"/>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123</v>
      </c>
    </row>
    <row r="2" spans="2:26" ht="19.5" thickBot="1" x14ac:dyDescent="0.35">
      <c r="B2" s="257" t="s">
        <v>13</v>
      </c>
      <c r="C2" s="258"/>
      <c r="H2" s="9" t="s">
        <v>129</v>
      </c>
      <c r="I2" s="10"/>
      <c r="J2" s="10"/>
      <c r="K2" s="10"/>
      <c r="L2" s="10"/>
      <c r="M2" s="10"/>
      <c r="N2" s="10"/>
      <c r="O2" s="10"/>
      <c r="P2" s="10"/>
      <c r="Q2" s="10"/>
      <c r="R2" s="10"/>
      <c r="S2" s="10"/>
      <c r="T2" s="10"/>
    </row>
    <row r="3" spans="2:26" ht="15.75" thickBot="1" x14ac:dyDescent="0.3">
      <c r="B3" s="4" t="s">
        <v>8</v>
      </c>
      <c r="C3" s="3" t="s">
        <v>7</v>
      </c>
      <c r="H3" t="s">
        <v>732</v>
      </c>
    </row>
    <row r="4" spans="2:26" x14ac:dyDescent="0.25">
      <c r="B4" s="5" t="str">
        <f>IF('DATA Input'!E5="","",'DATA Input'!E5)</f>
        <v>INDOIV</v>
      </c>
      <c r="C4" s="1">
        <f>IF(B4="","",1)</f>
        <v>1</v>
      </c>
      <c r="H4" t="s">
        <v>733</v>
      </c>
    </row>
    <row r="5" spans="2:26" x14ac:dyDescent="0.25">
      <c r="B5" s="5" t="str">
        <f>IF('DATA Input'!G5="","",'DATA Input'!G5)</f>
        <v>IBUIV</v>
      </c>
      <c r="C5" s="1">
        <f>IF(B5="","",C4+1)</f>
        <v>2</v>
      </c>
      <c r="H5" t="s">
        <v>734</v>
      </c>
    </row>
    <row r="6" spans="2:26" ht="15.75" x14ac:dyDescent="0.25">
      <c r="B6" s="5" t="str">
        <f>IF('DATA Input'!I5="","",'DATA Input'!I5)</f>
        <v>IBUPO</v>
      </c>
      <c r="C6" s="1">
        <f t="shared" ref="C6:C18" si="0">IF(B6="","",C5+1)</f>
        <v>3</v>
      </c>
      <c r="H6" s="9" t="s">
        <v>128</v>
      </c>
      <c r="I6" s="10"/>
      <c r="J6" s="10"/>
      <c r="K6" s="10"/>
      <c r="L6" s="10"/>
      <c r="M6" s="10"/>
      <c r="N6" s="10"/>
      <c r="O6" s="10"/>
      <c r="P6" s="10"/>
      <c r="Q6" s="10"/>
      <c r="R6" s="10"/>
      <c r="S6" s="10"/>
      <c r="T6" s="10"/>
    </row>
    <row r="7" spans="2:26" x14ac:dyDescent="0.25">
      <c r="B7" s="5" t="str">
        <f>IF('DATA Input'!K$5="","",'DATA Input'!K$5)</f>
        <v>PARAPO</v>
      </c>
      <c r="C7" s="1">
        <f t="shared" si="0"/>
        <v>4</v>
      </c>
      <c r="H7" t="s">
        <v>484</v>
      </c>
    </row>
    <row r="8" spans="2:26" x14ac:dyDescent="0.25">
      <c r="B8" s="5" t="str">
        <f>IF('DATA Input'!M$5="","",'DATA Input'!M$5)</f>
        <v>IBUIVHIGHDOSE</v>
      </c>
      <c r="C8" s="1">
        <f t="shared" si="0"/>
        <v>5</v>
      </c>
      <c r="H8" t="s">
        <v>485</v>
      </c>
    </row>
    <row r="9" spans="2:26" x14ac:dyDescent="0.25">
      <c r="B9" s="5" t="str">
        <f>IF('DATA Input'!O$5="","",'DATA Input'!O$5)</f>
        <v>IBUPOHIGHDOSE</v>
      </c>
      <c r="C9" s="1">
        <f t="shared" si="0"/>
        <v>6</v>
      </c>
      <c r="H9" t="s">
        <v>486</v>
      </c>
    </row>
    <row r="10" spans="2:26" x14ac:dyDescent="0.25">
      <c r="B10" s="5" t="str">
        <f>IF('DATA Input'!Q$5="","",'DATA Input'!Q$5)</f>
        <v>INDOIVCONT</v>
      </c>
      <c r="C10" s="1">
        <f t="shared" si="0"/>
        <v>7</v>
      </c>
      <c r="H10" s="259" t="s">
        <v>130</v>
      </c>
      <c r="I10" s="259"/>
      <c r="J10" s="259"/>
      <c r="K10" s="259"/>
      <c r="L10" s="259"/>
      <c r="M10" s="259"/>
      <c r="N10" s="259"/>
      <c r="O10" s="259"/>
      <c r="P10" s="259"/>
      <c r="Q10" s="259"/>
      <c r="R10" s="259"/>
      <c r="S10" s="259"/>
      <c r="T10" s="259"/>
      <c r="U10" s="259"/>
      <c r="V10" s="259"/>
      <c r="W10" s="259"/>
    </row>
    <row r="11" spans="2:26" x14ac:dyDescent="0.25">
      <c r="B11" s="5" t="str">
        <f>IF('DATA Input'!S$5="","",'DATA Input'!S$5)</f>
        <v>INDOTHERS</v>
      </c>
      <c r="C11" s="1">
        <f t="shared" si="0"/>
        <v>8</v>
      </c>
      <c r="H11" t="s">
        <v>508</v>
      </c>
    </row>
    <row r="12" spans="2:26" x14ac:dyDescent="0.25">
      <c r="B12" s="5" t="str">
        <f>IF('DATA Input'!U$5="","",'DATA Input'!U$5)</f>
        <v>PLAC_NORX</v>
      </c>
      <c r="C12" s="1">
        <f t="shared" si="0"/>
        <v>9</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workbookViewId="0">
      <selection activeCell="Q16" sqref="Q16"/>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5" t="s">
        <v>284</v>
      </c>
    </row>
    <row r="6" spans="4:5" ht="15.75" thickBot="1" x14ac:dyDescent="0.3">
      <c r="D6" s="208" t="s">
        <v>278</v>
      </c>
      <c r="E6" s="209" t="s">
        <v>279</v>
      </c>
    </row>
    <row r="7" spans="4:5" x14ac:dyDescent="0.25">
      <c r="D7" s="206" t="s">
        <v>291</v>
      </c>
      <c r="E7" s="207">
        <f>num_treatments</f>
        <v>9</v>
      </c>
    </row>
    <row r="8" spans="4:5" x14ac:dyDescent="0.25">
      <c r="D8" s="180" t="s">
        <v>14</v>
      </c>
      <c r="E8" s="182">
        <f>num_studies</f>
        <v>33</v>
      </c>
    </row>
    <row r="9" spans="4:5" x14ac:dyDescent="0.25">
      <c r="D9" s="180" t="s">
        <v>292</v>
      </c>
      <c r="E9" s="183">
        <f>max_total</f>
        <v>2322</v>
      </c>
    </row>
    <row r="10" spans="4:5" x14ac:dyDescent="0.25">
      <c r="D10" s="180" t="s">
        <v>293</v>
      </c>
      <c r="E10" s="183">
        <f>SUM('DATA Input'!E7:E55,'DATA Input'!G7:G56,'DATA Input'!I7:I56,'DATA Input'!K7:K56,'DATA Input'!M7:M56,'DATA Input'!O7:O56,'DATA Input'!Q7:Q56,'DATA Input'!S7:S56,'DATA Input'!U7:U56,'DATA Input'!W7:W56,'DATA Input'!Y7:Y56,'DATA Input'!AA7:AA56,'DATA Input'!AC7:AC56,'DATA Input'!AE7:AE56,'DATA Input'!AG7:AG56)</f>
        <v>561</v>
      </c>
    </row>
    <row r="11" spans="4:5" x14ac:dyDescent="0.25">
      <c r="D11" s="180" t="s">
        <v>294</v>
      </c>
      <c r="E11" s="182">
        <f>COMBIN(E7,2)</f>
        <v>36</v>
      </c>
    </row>
    <row r="12" spans="4:5" x14ac:dyDescent="0.25">
      <c r="D12" s="180" t="s">
        <v>295</v>
      </c>
      <c r="E12" s="182">
        <f>Unique_connections(list)</f>
        <v>13</v>
      </c>
    </row>
    <row r="13" spans="4:5" x14ac:dyDescent="0.25">
      <c r="D13" s="180" t="s">
        <v>296</v>
      </c>
      <c r="E13" s="182">
        <f ca="1">COUNTIF(OFFSET('WINBUGS data'!G17:G66,0,MATCH("na[]",'WINBUGS data'!H16:BE16,0)),"2")</f>
        <v>33</v>
      </c>
    </row>
    <row r="14" spans="4:5" x14ac:dyDescent="0.25">
      <c r="D14" s="180" t="s">
        <v>297</v>
      </c>
      <c r="E14" s="182">
        <f ca="1">COUNTIF(OFFSET('WINBUGS data'!G17:G66,0,MATCH("na[]",'WINBUGS data'!H16:BE16,0)),"&gt;2")</f>
        <v>0</v>
      </c>
    </row>
    <row r="15" spans="4:5" x14ac:dyDescent="0.25">
      <c r="D15" s="180" t="s">
        <v>300</v>
      </c>
      <c r="E15" s="182">
        <f>No_zero('DATA Input'!E7:AH56)</f>
        <v>30</v>
      </c>
    </row>
    <row r="16" spans="4:5" x14ac:dyDescent="0.25">
      <c r="D16" s="180" t="s">
        <v>298</v>
      </c>
      <c r="E16" s="182">
        <f>num_studies-E15</f>
        <v>3</v>
      </c>
    </row>
    <row r="17" spans="4:11" ht="15.75" thickBot="1" x14ac:dyDescent="0.3">
      <c r="D17" s="181" t="s">
        <v>299</v>
      </c>
      <c r="E17" s="184">
        <f>All_zero('DATA Input'!E7:AH56)</f>
        <v>2</v>
      </c>
    </row>
    <row r="18" spans="4:11" x14ac:dyDescent="0.25">
      <c r="D18" s="178"/>
    </row>
    <row r="19" spans="4:11" hidden="1" x14ac:dyDescent="0.25">
      <c r="D19" s="178"/>
    </row>
    <row r="20" spans="4:11" x14ac:dyDescent="0.25">
      <c r="D20" s="178"/>
    </row>
    <row r="21" spans="4:11" ht="16.5" thickBot="1" x14ac:dyDescent="0.3">
      <c r="D21" s="260" t="s">
        <v>290</v>
      </c>
      <c r="E21" s="260"/>
      <c r="F21" s="260"/>
    </row>
    <row r="22" spans="4:11" ht="8.25" hidden="1" customHeight="1" thickBot="1" x14ac:dyDescent="0.3">
      <c r="D22" s="195" t="s">
        <v>281</v>
      </c>
      <c r="E22" s="195"/>
      <c r="F22" s="195"/>
      <c r="G22" s="195"/>
      <c r="H22" s="195"/>
      <c r="I22" s="195"/>
      <c r="J22" s="195"/>
      <c r="K22" s="47"/>
    </row>
    <row r="23" spans="4:11" ht="15.75" thickBot="1" x14ac:dyDescent="0.3">
      <c r="D23" s="213" t="s">
        <v>281</v>
      </c>
      <c r="E23" s="214" t="s">
        <v>287</v>
      </c>
      <c r="F23" s="214" t="s">
        <v>282</v>
      </c>
      <c r="G23" s="214" t="s">
        <v>283</v>
      </c>
      <c r="H23" s="214" t="s">
        <v>288</v>
      </c>
      <c r="I23" s="214" t="s">
        <v>285</v>
      </c>
      <c r="J23" s="209" t="s">
        <v>286</v>
      </c>
    </row>
    <row r="24" spans="4:11" x14ac:dyDescent="0.25">
      <c r="D24" s="206" t="str">
        <f>IF('DATA Input'!$E$5="","",'DATA Input'!$E$5)</f>
        <v>INDOIV</v>
      </c>
      <c r="E24" s="210">
        <f>COUNTIF('DATA Input'!$F$7:$F$56,"&lt;&gt;")</f>
        <v>18</v>
      </c>
      <c r="F24" s="210">
        <f>SUM('DATA Input'!$E$7:$E$56)</f>
        <v>108</v>
      </c>
      <c r="G24" s="210">
        <f>SUM('DATA Input'!$F$7:$F$56)</f>
        <v>601</v>
      </c>
      <c r="H24" s="211">
        <f>F24/G24</f>
        <v>0.17970049916805325</v>
      </c>
      <c r="I24" s="211">
        <f>MinRate(1,'DATA Input'!$E$7:$AH$56)</f>
        <v>6.6666670143604279E-2</v>
      </c>
      <c r="J24" s="212">
        <f>MaxRate(1,'DATA Input'!$E$7:$AH$56)</f>
        <v>0.3333333432674408</v>
      </c>
    </row>
    <row r="25" spans="4:11" x14ac:dyDescent="0.25">
      <c r="D25" s="180" t="str">
        <f>IF('DATA Input'!$G$5="","",'DATA Input'!$G$5)</f>
        <v>IBUIV</v>
      </c>
      <c r="E25" s="186">
        <f>COUNTIF('DATA Input'!$H$7:$H$56,"&lt;&gt;")</f>
        <v>13</v>
      </c>
      <c r="F25" s="185">
        <f>SUM('DATA Input'!$G$7:$G$56)</f>
        <v>138</v>
      </c>
      <c r="G25" s="186">
        <f>SUM('DATA Input'!$H$7:$H$56)</f>
        <v>534</v>
      </c>
      <c r="H25" s="189">
        <f t="shared" ref="H25:H38" si="0">F25/G25</f>
        <v>0.25842696629213485</v>
      </c>
      <c r="I25" s="189">
        <f>MinRate(2,'DATA Input'!$E$7:$AH$56)</f>
        <v>0.13333334028720856</v>
      </c>
      <c r="J25" s="191">
        <f>MaxRate(2,'DATA Input'!$E$7:$AH$56)</f>
        <v>0.38235294818878174</v>
      </c>
    </row>
    <row r="26" spans="4:11" x14ac:dyDescent="0.25">
      <c r="D26" s="180" t="str">
        <f>IF('DATA Input'!$I$5="","",'DATA Input'!$I$5)</f>
        <v>IBUPO</v>
      </c>
      <c r="E26" s="186">
        <f>COUNTIF('DATA Input'!$J$7:$J$56,"&lt;&gt;")</f>
        <v>12</v>
      </c>
      <c r="F26" s="185">
        <f>SUM('DATA Input'!$I$7:$I$56)</f>
        <v>104</v>
      </c>
      <c r="G26" s="186">
        <f>SUM('DATA Input'!$J$7:$J$56)</f>
        <v>395</v>
      </c>
      <c r="H26" s="189">
        <f t="shared" si="0"/>
        <v>0.26329113924050634</v>
      </c>
      <c r="I26" s="189">
        <f>MinRate(3,'DATA Input'!$E$7:$AH$56)</f>
        <v>5.55555559694767E-2</v>
      </c>
      <c r="J26" s="191">
        <f>MaxRate(3,'DATA Input'!$E$7:$AH$56)</f>
        <v>0.66666668653488159</v>
      </c>
    </row>
    <row r="27" spans="4:11" x14ac:dyDescent="0.25">
      <c r="D27" s="180" t="str">
        <f>IF('DATA Input'!$K$5="","",'DATA Input'!$K$5)</f>
        <v>PARAPO</v>
      </c>
      <c r="E27" s="185">
        <f>COUNTIF('DATA Input'!$L$7:$L$56,"&lt;&gt;")</f>
        <v>3</v>
      </c>
      <c r="F27" s="185">
        <f>SUM('DATA Input'!$K$7:$K$56)</f>
        <v>43</v>
      </c>
      <c r="G27" s="185">
        <f>SUM('DATA Input'!$L$7:$L$56)</f>
        <v>187</v>
      </c>
      <c r="H27" s="189">
        <f t="shared" si="0"/>
        <v>0.22994652406417113</v>
      </c>
      <c r="I27" s="189">
        <f>MinRate(4,'DATA Input'!$E$7:$AH$56)</f>
        <v>0.17910447716712952</v>
      </c>
      <c r="J27" s="191">
        <f>MaxRate(4,'DATA Input'!$E$7:$AH$56)</f>
        <v>0.27500000596046448</v>
      </c>
    </row>
    <row r="28" spans="4:11" x14ac:dyDescent="0.25">
      <c r="D28" s="180" t="str">
        <f>IF('DATA Input'!$M$5="","",'DATA Input'!$M$5)</f>
        <v>IBUIVHIGHDOSE</v>
      </c>
      <c r="E28" s="185">
        <f>COUNTIF('DATA Input'!$N$7:$N$56,"&lt;&gt;")</f>
        <v>1</v>
      </c>
      <c r="F28" s="185">
        <f>SUM('DATA Input'!$M$7:$M$56)</f>
        <v>5</v>
      </c>
      <c r="G28" s="185">
        <f>SUM('DATA Input'!$N$7:$N$56)</f>
        <v>35</v>
      </c>
      <c r="H28" s="189">
        <f t="shared" si="0"/>
        <v>0.14285714285714285</v>
      </c>
      <c r="I28" s="189">
        <f>MinRate(5,'DATA Input'!$E$7:$AH$56)</f>
        <v>0.1428571492433548</v>
      </c>
      <c r="J28" s="191">
        <f>MaxRate(5,'DATA Input'!$E$7:$AH$56)</f>
        <v>0.1428571492433548</v>
      </c>
    </row>
    <row r="29" spans="4:11" x14ac:dyDescent="0.25">
      <c r="D29" s="180" t="str">
        <f>IF('DATA Input'!$O$5="","",'DATA Input'!$O$5)</f>
        <v>IBUPOHIGHDOSE</v>
      </c>
      <c r="E29" s="185">
        <f>COUNTIF('DATA Input'!$P$7:$P$56,"&lt;&gt;")</f>
        <v>2</v>
      </c>
      <c r="F29" s="185">
        <f>SUM('DATA Input'!$O$7:$O$56)</f>
        <v>23</v>
      </c>
      <c r="G29" s="185">
        <f>SUM('DATA Input'!$P$7:$P$56)</f>
        <v>92</v>
      </c>
      <c r="H29" s="189">
        <f t="shared" si="0"/>
        <v>0.25</v>
      </c>
      <c r="I29" s="189">
        <f>MinRate(6,'DATA Input'!$E$7:$AH$56)</f>
        <v>0.20000000298023224</v>
      </c>
      <c r="J29" s="191">
        <f>MaxRate(6,'DATA Input'!$E$7:$AH$56)</f>
        <v>0.27419355511665344</v>
      </c>
    </row>
    <row r="30" spans="4:11" x14ac:dyDescent="0.25">
      <c r="D30" s="180" t="str">
        <f>IF('DATA Input'!$Q$5="","",'DATA Input'!$Q$5)</f>
        <v>INDOIVCONT</v>
      </c>
      <c r="E30" s="185">
        <f>COUNTIF('DATA Input'!$R$7:$R$56,"&lt;&gt;")</f>
        <v>1</v>
      </c>
      <c r="F30" s="185">
        <f>SUM('DATA Input'!$Q$7:$Q$56)</f>
        <v>9</v>
      </c>
      <c r="G30" s="185">
        <f>SUM('DATA Input'!$R$7:$R$56)</f>
        <v>31</v>
      </c>
      <c r="H30" s="189">
        <f t="shared" si="0"/>
        <v>0.29032258064516131</v>
      </c>
      <c r="I30" s="189">
        <f>MinRate(7,'DATA Input'!$E$7:$AH$56)</f>
        <v>0.29032257199287415</v>
      </c>
      <c r="J30" s="191">
        <f>MaxRate(7,'DATA Input'!$E$7:$AH$56)</f>
        <v>0.29032257199287415</v>
      </c>
    </row>
    <row r="31" spans="4:11" x14ac:dyDescent="0.25">
      <c r="D31" s="180" t="str">
        <f>IF('DATA Input'!$S$5="","",'DATA Input'!$S$5)</f>
        <v>INDOTHERS</v>
      </c>
      <c r="E31" s="185">
        <f>COUNTIF('DATA Input'!$T$7:$T$56,"&lt;&gt;")</f>
        <v>10</v>
      </c>
      <c r="F31" s="185">
        <f>SUM('DATA Input'!$S$7:$S$56)</f>
        <v>62</v>
      </c>
      <c r="G31" s="185">
        <f>SUM('DATA Input'!$T$7:$T$56)</f>
        <v>326</v>
      </c>
      <c r="H31" s="189">
        <f t="shared" si="0"/>
        <v>0.19018404907975461</v>
      </c>
      <c r="I31" s="189">
        <f>MinRate(8,'DATA Input'!$E$7:$AH$56)</f>
        <v>0.10909090936183929</v>
      </c>
      <c r="J31" s="191">
        <f>MaxRate(8,'DATA Input'!$E$7:$AH$56)</f>
        <v>0.57142859697341919</v>
      </c>
    </row>
    <row r="32" spans="4:11" ht="15.75" thickBot="1" x14ac:dyDescent="0.3">
      <c r="D32" s="180" t="str">
        <f>IF('DATA Input'!$U$5="","",'DATA Input'!$U$5)</f>
        <v>PLAC_NORX</v>
      </c>
      <c r="E32" s="185">
        <f>COUNTIF('DATA Input'!$V$7:$V$56,"&lt;&gt;")</f>
        <v>6</v>
      </c>
      <c r="F32" s="185">
        <f>SUM('DATA Input'!$U$7:$U$56)</f>
        <v>69</v>
      </c>
      <c r="G32" s="185">
        <f>SUM('DATA Input'!$V$7:$V$56)</f>
        <v>121</v>
      </c>
      <c r="H32" s="189">
        <f t="shared" si="0"/>
        <v>0.57024793388429751</v>
      </c>
      <c r="I32" s="189">
        <f>MinRate(9,'DATA Input'!$E$7:$AH$56)</f>
        <v>0.36363637447357178</v>
      </c>
      <c r="J32" s="191">
        <f>MaxRate(9,'DATA Input'!$E$7:$AH$56)</f>
        <v>0.8461538553237915</v>
      </c>
    </row>
    <row r="33" spans="4:10" hidden="1" x14ac:dyDescent="0.25">
      <c r="D33" s="180" t="str">
        <f>IF('DATA Input'!$W$5="","",'DATA Input'!$W$5)</f>
        <v/>
      </c>
      <c r="E33" s="185">
        <f>COUNTIF('DATA Input'!$X$7:$X$56,"&lt;&gt;")</f>
        <v>0</v>
      </c>
      <c r="F33" s="185">
        <f>SUM('DATA Input'!$W$7:$W$56)</f>
        <v>0</v>
      </c>
      <c r="G33" s="185">
        <f>SUM('DATA Input'!$X$7:$X$56)</f>
        <v>0</v>
      </c>
      <c r="H33" s="189" t="e">
        <f t="shared" si="0"/>
        <v>#DIV/0!</v>
      </c>
      <c r="I33" s="189">
        <f>MinRate(10,'DATA Input'!$E$7:$AH$56)</f>
        <v>1</v>
      </c>
      <c r="J33" s="191">
        <f>MaxRate(10,'DATA Input'!$E$7:$AH$56)</f>
        <v>0</v>
      </c>
    </row>
    <row r="34" spans="4:10" hidden="1" x14ac:dyDescent="0.25">
      <c r="D34" s="187" t="str">
        <f>IF('DATA Input'!$Y$5="","",'DATA Input'!$Y$5)</f>
        <v/>
      </c>
      <c r="E34" s="185">
        <f>COUNTIF('DATA Input'!$Z$7:$Z$56,"&lt;&gt;")</f>
        <v>0</v>
      </c>
      <c r="F34" s="185">
        <f>SUM('DATA Input'!$Y$7:$Y$56)</f>
        <v>0</v>
      </c>
      <c r="G34" s="185">
        <f>SUM('DATA Input'!$Z$7:$Z$56)</f>
        <v>0</v>
      </c>
      <c r="H34" s="189" t="e">
        <f t="shared" si="0"/>
        <v>#DIV/0!</v>
      </c>
      <c r="I34" s="189">
        <f>MinRate(11,'DATA Input'!$E$7:$AH$56)</f>
        <v>1</v>
      </c>
      <c r="J34" s="191">
        <f>MaxRate(11,'DATA Input'!$E$7:$AH$56)</f>
        <v>0</v>
      </c>
    </row>
    <row r="35" spans="4:10" hidden="1" x14ac:dyDescent="0.25">
      <c r="D35" s="180" t="str">
        <f>IF('DATA Input'!$AA$5="","",'DATA Input'!$AA$5)</f>
        <v/>
      </c>
      <c r="E35" s="185">
        <f>COUNTIF('DATA Input'!$AB$7:$AB$56,"&lt;&gt;")</f>
        <v>0</v>
      </c>
      <c r="F35" s="185">
        <f>SUM('DATA Input'!$AA$7:$AA$56)</f>
        <v>0</v>
      </c>
      <c r="G35" s="185">
        <f>SUM('DATA Input'!$AB$7:$AB$56)</f>
        <v>0</v>
      </c>
      <c r="H35" s="189" t="e">
        <f t="shared" si="0"/>
        <v>#DIV/0!</v>
      </c>
      <c r="I35" s="189">
        <f>MinRate(12,'DATA Input'!$E$7:$AH$56)</f>
        <v>1</v>
      </c>
      <c r="J35" s="191">
        <f>MaxRate(12,'DATA Input'!$E$7:$AH$56)</f>
        <v>0</v>
      </c>
    </row>
    <row r="36" spans="4:10" hidden="1" x14ac:dyDescent="0.25">
      <c r="D36" s="180" t="str">
        <f>IF('DATA Input'!$AC$5="","",'DATA Input'!$AC$5)</f>
        <v/>
      </c>
      <c r="E36" s="185">
        <f>COUNTIF('DATA Input'!$AD$7:$AD$56,"&lt;&gt;")</f>
        <v>0</v>
      </c>
      <c r="F36" s="185">
        <f>SUM('DATA Input'!$AC$7:$AC$56)</f>
        <v>0</v>
      </c>
      <c r="G36" s="185">
        <f>SUM('DATA Input'!$AD$7:$AD$56)</f>
        <v>0</v>
      </c>
      <c r="H36" s="189" t="e">
        <f t="shared" si="0"/>
        <v>#DIV/0!</v>
      </c>
      <c r="I36" s="189">
        <f>MinRate(13,'DATA Input'!$E$7:$AH$56)</f>
        <v>1</v>
      </c>
      <c r="J36" s="191">
        <f>MaxRate(13,'DATA Input'!$E$7:$AH$56)</f>
        <v>0</v>
      </c>
    </row>
    <row r="37" spans="4:10" hidden="1" x14ac:dyDescent="0.25">
      <c r="D37" s="180" t="str">
        <f>IF('DATA Input'!$AE$5="","",'DATA Input'!$AE$5)</f>
        <v/>
      </c>
      <c r="E37" s="186">
        <f>COUNTIF('DATA Input'!$AF$7:$AF$56,"&lt;&gt;")</f>
        <v>0</v>
      </c>
      <c r="F37" s="185">
        <f>SUM('DATA Input'!$AE$7:$AE$56)</f>
        <v>0</v>
      </c>
      <c r="G37" s="186">
        <f>SUM('DATA Input'!$AF$7:$AF$56)</f>
        <v>0</v>
      </c>
      <c r="H37" s="189" t="e">
        <f t="shared" si="0"/>
        <v>#DIV/0!</v>
      </c>
      <c r="I37" s="189">
        <f>MinRate(14,'DATA Input'!$E$7:$AH$56)</f>
        <v>1</v>
      </c>
      <c r="J37" s="191">
        <f>MaxRate(14,'DATA Input'!$E$7:$AH$56)</f>
        <v>0</v>
      </c>
    </row>
    <row r="38" spans="4:10" ht="15.75" hidden="1" thickBot="1" x14ac:dyDescent="0.3">
      <c r="D38" s="181" t="str">
        <f>IF('DATA Input'!$AG$5="","",'DATA Input'!$AG$5)</f>
        <v/>
      </c>
      <c r="E38" s="188">
        <f>COUNTIF('DATA Input'!$AH$7:$AH$56,"&lt;&gt;")</f>
        <v>0</v>
      </c>
      <c r="F38" s="192">
        <f>SUM('DATA Input'!$AG$7:$AG$56)</f>
        <v>0</v>
      </c>
      <c r="G38" s="188">
        <f>SUM('DATA Input'!$AH$7:$AH$56)</f>
        <v>0</v>
      </c>
      <c r="H38" s="190" t="e">
        <f t="shared" si="0"/>
        <v>#DIV/0!</v>
      </c>
      <c r="I38" s="190">
        <f>MinRate(15,'DATA Input'!$E$7:$AH$56)</f>
        <v>1</v>
      </c>
      <c r="J38" s="193">
        <f>MaxRate(15,'DATA Input'!$E$7:$AH$56)</f>
        <v>0</v>
      </c>
    </row>
    <row r="39" spans="4:10" x14ac:dyDescent="0.25">
      <c r="D39" s="216"/>
      <c r="E39" s="194"/>
      <c r="F39" s="194"/>
      <c r="G39" s="194"/>
      <c r="H39" s="194"/>
      <c r="I39" s="194"/>
      <c r="J39" s="194"/>
    </row>
    <row r="41" spans="4:10" ht="16.5" thickBot="1" x14ac:dyDescent="0.3">
      <c r="D41" s="260" t="s">
        <v>289</v>
      </c>
      <c r="E41" s="260"/>
      <c r="F41" s="260"/>
    </row>
    <row r="42" spans="4:10" ht="15.75" thickBot="1" x14ac:dyDescent="0.3">
      <c r="D42" s="215" t="s">
        <v>280</v>
      </c>
      <c r="E42" s="214" t="s">
        <v>287</v>
      </c>
      <c r="F42" s="214" t="s">
        <v>283</v>
      </c>
      <c r="G42" s="209" t="s">
        <v>282</v>
      </c>
    </row>
    <row r="43" spans="4:10" x14ac:dyDescent="0.25">
      <c r="D43" s="217" t="s">
        <v>509</v>
      </c>
      <c r="E43" s="196">
        <v>3</v>
      </c>
      <c r="F43" s="197">
        <v>85</v>
      </c>
      <c r="G43" s="198">
        <v>14</v>
      </c>
    </row>
    <row r="44" spans="4:10" x14ac:dyDescent="0.25">
      <c r="D44" s="180" t="s">
        <v>510</v>
      </c>
      <c r="E44" s="185">
        <v>2</v>
      </c>
      <c r="F44" s="186">
        <v>240</v>
      </c>
      <c r="G44" s="183">
        <v>65</v>
      </c>
    </row>
    <row r="45" spans="4:10" x14ac:dyDescent="0.25">
      <c r="D45" s="180" t="s">
        <v>511</v>
      </c>
      <c r="E45" s="185">
        <v>3</v>
      </c>
      <c r="F45" s="186">
        <v>240</v>
      </c>
      <c r="G45" s="183">
        <v>59</v>
      </c>
    </row>
    <row r="46" spans="4:10" x14ac:dyDescent="0.25">
      <c r="D46" s="180" t="s">
        <v>512</v>
      </c>
      <c r="E46" s="185">
        <v>3</v>
      </c>
      <c r="F46" s="186">
        <v>87</v>
      </c>
      <c r="G46" s="183">
        <v>39</v>
      </c>
    </row>
    <row r="47" spans="4:10" x14ac:dyDescent="0.25">
      <c r="D47" s="180" t="s">
        <v>513</v>
      </c>
      <c r="E47" s="185">
        <v>1</v>
      </c>
      <c r="F47" s="186">
        <v>63</v>
      </c>
      <c r="G47" s="183">
        <v>21</v>
      </c>
    </row>
    <row r="48" spans="4:10" x14ac:dyDescent="0.25">
      <c r="D48" s="180" t="s">
        <v>514</v>
      </c>
      <c r="E48" s="185">
        <v>1</v>
      </c>
      <c r="F48" s="186">
        <v>70</v>
      </c>
      <c r="G48" s="183">
        <v>18</v>
      </c>
    </row>
    <row r="49" spans="4:7" x14ac:dyDescent="0.25">
      <c r="D49" s="180" t="s">
        <v>515</v>
      </c>
      <c r="E49" s="185">
        <v>3</v>
      </c>
      <c r="F49" s="186">
        <v>142</v>
      </c>
      <c r="G49" s="183">
        <v>61</v>
      </c>
    </row>
    <row r="50" spans="4:7" x14ac:dyDescent="0.25">
      <c r="D50" s="179" t="s">
        <v>516</v>
      </c>
      <c r="E50" s="185">
        <v>5</v>
      </c>
      <c r="F50" s="186">
        <v>470</v>
      </c>
      <c r="G50" s="183">
        <v>72</v>
      </c>
    </row>
    <row r="51" spans="4:7" x14ac:dyDescent="0.25">
      <c r="D51" s="218" t="s">
        <v>517</v>
      </c>
      <c r="E51" s="199">
        <v>7</v>
      </c>
      <c r="F51" s="201">
        <v>578</v>
      </c>
      <c r="G51" s="202">
        <v>113</v>
      </c>
    </row>
    <row r="52" spans="4:7" x14ac:dyDescent="0.25">
      <c r="D52" s="218" t="s">
        <v>518</v>
      </c>
      <c r="E52" s="199">
        <v>2</v>
      </c>
      <c r="F52" s="201">
        <v>53</v>
      </c>
      <c r="G52" s="202">
        <v>21</v>
      </c>
    </row>
    <row r="53" spans="4:7" x14ac:dyDescent="0.25">
      <c r="D53" s="218" t="s">
        <v>519</v>
      </c>
      <c r="E53" s="199">
        <v>1</v>
      </c>
      <c r="F53" s="201">
        <v>105</v>
      </c>
      <c r="G53" s="202">
        <v>33</v>
      </c>
    </row>
    <row r="54" spans="4:7" x14ac:dyDescent="0.25">
      <c r="D54" s="218" t="s">
        <v>520</v>
      </c>
      <c r="E54" s="199">
        <v>1</v>
      </c>
      <c r="F54" s="201">
        <v>60</v>
      </c>
      <c r="G54" s="202">
        <v>16</v>
      </c>
    </row>
    <row r="55" spans="4:7" ht="15.75" thickBot="1" x14ac:dyDescent="0.3">
      <c r="D55" s="218" t="s">
        <v>744</v>
      </c>
      <c r="E55" s="199">
        <v>1</v>
      </c>
      <c r="F55" s="201">
        <v>129</v>
      </c>
      <c r="G55" s="202">
        <v>29</v>
      </c>
    </row>
    <row r="56" spans="4:7" hidden="1" x14ac:dyDescent="0.25">
      <c r="D56" s="218"/>
      <c r="E56" s="199"/>
      <c r="F56" s="201"/>
      <c r="G56" s="202"/>
    </row>
    <row r="57" spans="4:7" hidden="1" x14ac:dyDescent="0.25">
      <c r="D57" s="218"/>
      <c r="E57" s="199"/>
      <c r="F57" s="201"/>
      <c r="G57" s="202"/>
    </row>
    <row r="58" spans="4:7" hidden="1" x14ac:dyDescent="0.25">
      <c r="D58" s="218"/>
      <c r="E58" s="199"/>
      <c r="F58" s="201"/>
      <c r="G58" s="202"/>
    </row>
    <row r="59" spans="4:7" hidden="1" x14ac:dyDescent="0.25">
      <c r="D59" s="218"/>
      <c r="E59" s="199"/>
      <c r="F59" s="201"/>
      <c r="G59" s="202"/>
    </row>
    <row r="60" spans="4:7" hidden="1" x14ac:dyDescent="0.25">
      <c r="D60" s="218"/>
      <c r="E60" s="199"/>
      <c r="F60" s="201"/>
      <c r="G60" s="202"/>
    </row>
    <row r="61" spans="4:7" hidden="1" x14ac:dyDescent="0.25">
      <c r="D61" s="218"/>
      <c r="E61" s="199"/>
      <c r="F61" s="201"/>
      <c r="G61" s="202"/>
    </row>
    <row r="62" spans="4:7" hidden="1" x14ac:dyDescent="0.25">
      <c r="D62" s="218"/>
      <c r="E62" s="199"/>
      <c r="F62" s="201"/>
      <c r="G62" s="202"/>
    </row>
    <row r="63" spans="4:7" hidden="1" x14ac:dyDescent="0.25">
      <c r="D63" s="218"/>
      <c r="E63" s="199"/>
      <c r="F63" s="201"/>
      <c r="G63" s="202"/>
    </row>
    <row r="64" spans="4:7" hidden="1" x14ac:dyDescent="0.25">
      <c r="D64" s="218"/>
      <c r="E64" s="199"/>
      <c r="F64" s="201"/>
      <c r="G64" s="202"/>
    </row>
    <row r="65" spans="4:7" hidden="1" x14ac:dyDescent="0.25">
      <c r="D65" s="218"/>
      <c r="E65" s="199"/>
      <c r="F65" s="201"/>
      <c r="G65" s="202"/>
    </row>
    <row r="66" spans="4:7" hidden="1" x14ac:dyDescent="0.25">
      <c r="D66" s="218"/>
      <c r="E66" s="199"/>
      <c r="F66" s="201"/>
      <c r="G66" s="202"/>
    </row>
    <row r="67" spans="4:7" hidden="1" x14ac:dyDescent="0.25">
      <c r="D67" s="218"/>
      <c r="E67" s="199"/>
      <c r="F67" s="201"/>
      <c r="G67" s="202"/>
    </row>
    <row r="68" spans="4:7" hidden="1" x14ac:dyDescent="0.25">
      <c r="D68" s="218"/>
      <c r="E68" s="199"/>
      <c r="F68" s="201"/>
      <c r="G68" s="202"/>
    </row>
    <row r="69" spans="4:7" hidden="1" x14ac:dyDescent="0.25">
      <c r="D69" s="218"/>
      <c r="E69" s="199"/>
      <c r="F69" s="201"/>
      <c r="G69" s="202"/>
    </row>
    <row r="70" spans="4:7" hidden="1" x14ac:dyDescent="0.25">
      <c r="D70" s="218"/>
      <c r="E70" s="199"/>
      <c r="F70" s="201"/>
      <c r="G70" s="202"/>
    </row>
    <row r="71" spans="4:7" hidden="1" x14ac:dyDescent="0.25">
      <c r="D71" s="218"/>
      <c r="E71" s="199"/>
      <c r="F71" s="201"/>
      <c r="G71" s="202"/>
    </row>
    <row r="72" spans="4:7" hidden="1" x14ac:dyDescent="0.25">
      <c r="D72" s="218"/>
      <c r="E72" s="199"/>
      <c r="F72" s="201"/>
      <c r="G72" s="202"/>
    </row>
    <row r="73" spans="4:7" hidden="1" x14ac:dyDescent="0.25">
      <c r="D73" s="218"/>
      <c r="E73" s="199"/>
      <c r="F73" s="201"/>
      <c r="G73" s="202"/>
    </row>
    <row r="74" spans="4:7" hidden="1" x14ac:dyDescent="0.25">
      <c r="D74" s="218"/>
      <c r="E74" s="199"/>
      <c r="F74" s="201"/>
      <c r="G74" s="202"/>
    </row>
    <row r="75" spans="4:7" hidden="1" x14ac:dyDescent="0.25">
      <c r="D75" s="218"/>
      <c r="E75" s="199"/>
      <c r="F75" s="201"/>
      <c r="G75" s="202"/>
    </row>
    <row r="76" spans="4:7" hidden="1" x14ac:dyDescent="0.25">
      <c r="D76" s="218"/>
      <c r="E76" s="199"/>
      <c r="F76" s="201"/>
      <c r="G76" s="202"/>
    </row>
    <row r="77" spans="4:7" hidden="1" x14ac:dyDescent="0.25">
      <c r="D77" s="218"/>
      <c r="E77" s="199"/>
      <c r="F77" s="201"/>
      <c r="G77" s="202"/>
    </row>
    <row r="78" spans="4:7" hidden="1" x14ac:dyDescent="0.25">
      <c r="D78" s="218"/>
      <c r="E78" s="199"/>
      <c r="F78" s="201"/>
      <c r="G78" s="202"/>
    </row>
    <row r="79" spans="4:7" hidden="1" x14ac:dyDescent="0.25">
      <c r="D79" s="218"/>
      <c r="E79" s="199"/>
      <c r="F79" s="201"/>
      <c r="G79" s="202"/>
    </row>
    <row r="80" spans="4:7" hidden="1" x14ac:dyDescent="0.25">
      <c r="D80" s="218"/>
      <c r="E80" s="199"/>
      <c r="F80" s="201"/>
      <c r="G80" s="202"/>
    </row>
    <row r="81" spans="4:7" hidden="1" x14ac:dyDescent="0.25">
      <c r="D81" s="218"/>
      <c r="E81" s="199"/>
      <c r="F81" s="201"/>
      <c r="G81" s="202"/>
    </row>
    <row r="82" spans="4:7" hidden="1" x14ac:dyDescent="0.25">
      <c r="D82" s="218"/>
      <c r="E82" s="199"/>
      <c r="F82" s="201"/>
      <c r="G82" s="202"/>
    </row>
    <row r="83" spans="4:7" hidden="1" x14ac:dyDescent="0.25">
      <c r="D83" s="218"/>
      <c r="E83" s="199"/>
      <c r="F83" s="201"/>
      <c r="G83" s="202"/>
    </row>
    <row r="84" spans="4:7" hidden="1" x14ac:dyDescent="0.25">
      <c r="D84" s="218"/>
      <c r="E84" s="199"/>
      <c r="F84" s="201"/>
      <c r="G84" s="202"/>
    </row>
    <row r="85" spans="4:7" hidden="1" x14ac:dyDescent="0.25">
      <c r="D85" s="218"/>
      <c r="E85" s="199"/>
      <c r="F85" s="201"/>
      <c r="G85" s="202"/>
    </row>
    <row r="86" spans="4:7" hidden="1" x14ac:dyDescent="0.25">
      <c r="D86" s="218"/>
      <c r="E86" s="199"/>
      <c r="F86" s="201"/>
      <c r="G86" s="202"/>
    </row>
    <row r="87" spans="4:7" hidden="1" x14ac:dyDescent="0.25">
      <c r="D87" s="218"/>
      <c r="E87" s="199"/>
      <c r="F87" s="201"/>
      <c r="G87" s="202"/>
    </row>
    <row r="88" spans="4:7" hidden="1" x14ac:dyDescent="0.25">
      <c r="D88" s="218"/>
      <c r="E88" s="199"/>
      <c r="F88" s="201"/>
      <c r="G88" s="202"/>
    </row>
    <row r="89" spans="4:7" hidden="1" x14ac:dyDescent="0.25">
      <c r="D89" s="218"/>
      <c r="E89" s="199"/>
      <c r="F89" s="201"/>
      <c r="G89" s="202"/>
    </row>
    <row r="90" spans="4:7" hidden="1" x14ac:dyDescent="0.25">
      <c r="D90" s="218"/>
      <c r="E90" s="199"/>
      <c r="F90" s="201"/>
      <c r="G90" s="202"/>
    </row>
    <row r="91" spans="4:7" hidden="1" x14ac:dyDescent="0.25">
      <c r="D91" s="218"/>
      <c r="E91" s="199"/>
      <c r="F91" s="201"/>
      <c r="G91" s="202"/>
    </row>
    <row r="92" spans="4:7" hidden="1" x14ac:dyDescent="0.25">
      <c r="D92" s="218"/>
      <c r="E92" s="199"/>
      <c r="F92" s="201"/>
      <c r="G92" s="202"/>
    </row>
    <row r="93" spans="4:7" hidden="1" x14ac:dyDescent="0.25">
      <c r="D93" s="218"/>
      <c r="E93" s="199"/>
      <c r="F93" s="201"/>
      <c r="G93" s="202"/>
    </row>
    <row r="94" spans="4:7" hidden="1" x14ac:dyDescent="0.25">
      <c r="D94" s="218"/>
      <c r="E94" s="199"/>
      <c r="F94" s="201"/>
      <c r="G94" s="202"/>
    </row>
    <row r="95" spans="4:7" hidden="1" x14ac:dyDescent="0.25">
      <c r="D95" s="218"/>
      <c r="E95" s="199"/>
      <c r="F95" s="201"/>
      <c r="G95" s="202"/>
    </row>
    <row r="96" spans="4:7" hidden="1" x14ac:dyDescent="0.25">
      <c r="D96" s="218"/>
      <c r="E96" s="199"/>
      <c r="F96" s="201"/>
      <c r="G96" s="202"/>
    </row>
    <row r="97" spans="4:7" hidden="1" x14ac:dyDescent="0.25">
      <c r="D97" s="218"/>
      <c r="E97" s="199"/>
      <c r="F97" s="201"/>
      <c r="G97" s="202"/>
    </row>
    <row r="98" spans="4:7" hidden="1" x14ac:dyDescent="0.25">
      <c r="D98" s="218"/>
      <c r="E98" s="199"/>
      <c r="F98" s="201"/>
      <c r="G98" s="202"/>
    </row>
    <row r="99" spans="4:7" hidden="1" x14ac:dyDescent="0.25">
      <c r="D99" s="218"/>
      <c r="E99" s="199"/>
      <c r="F99" s="201"/>
      <c r="G99" s="202"/>
    </row>
    <row r="100" spans="4:7" hidden="1" x14ac:dyDescent="0.25">
      <c r="D100" s="218"/>
      <c r="E100" s="199"/>
      <c r="F100" s="201"/>
      <c r="G100" s="202"/>
    </row>
    <row r="101" spans="4:7" hidden="1" x14ac:dyDescent="0.25">
      <c r="D101" s="218"/>
      <c r="E101" s="199"/>
      <c r="F101" s="201"/>
      <c r="G101" s="202"/>
    </row>
    <row r="102" spans="4:7" hidden="1" x14ac:dyDescent="0.25">
      <c r="D102" s="218"/>
      <c r="E102" s="199"/>
      <c r="F102" s="201"/>
      <c r="G102" s="202"/>
    </row>
    <row r="103" spans="4:7" hidden="1" x14ac:dyDescent="0.25">
      <c r="D103" s="218"/>
      <c r="E103" s="199"/>
      <c r="F103" s="201"/>
      <c r="G103" s="202"/>
    </row>
    <row r="104" spans="4:7" hidden="1" x14ac:dyDescent="0.25">
      <c r="D104" s="218"/>
      <c r="E104" s="199"/>
      <c r="F104" s="201"/>
      <c r="G104" s="202"/>
    </row>
    <row r="105" spans="4:7" hidden="1" x14ac:dyDescent="0.25">
      <c r="D105" s="218"/>
      <c r="E105" s="199"/>
      <c r="F105" s="201"/>
      <c r="G105" s="202"/>
    </row>
    <row r="106" spans="4:7" hidden="1" x14ac:dyDescent="0.25">
      <c r="D106" s="218"/>
      <c r="E106" s="199"/>
      <c r="F106" s="201"/>
      <c r="G106" s="202"/>
    </row>
    <row r="107" spans="4:7" hidden="1" x14ac:dyDescent="0.25">
      <c r="D107" s="218"/>
      <c r="E107" s="199"/>
      <c r="F107" s="201"/>
      <c r="G107" s="202"/>
    </row>
    <row r="108" spans="4:7" hidden="1" x14ac:dyDescent="0.25">
      <c r="D108" s="218"/>
      <c r="E108" s="199"/>
      <c r="F108" s="201"/>
      <c r="G108" s="202"/>
    </row>
    <row r="109" spans="4:7" hidden="1" x14ac:dyDescent="0.25">
      <c r="D109" s="218"/>
      <c r="E109" s="199"/>
      <c r="F109" s="201"/>
      <c r="G109" s="202"/>
    </row>
    <row r="110" spans="4:7" hidden="1" x14ac:dyDescent="0.25">
      <c r="D110" s="218"/>
      <c r="E110" s="199"/>
      <c r="F110" s="201"/>
      <c r="G110" s="202"/>
    </row>
    <row r="111" spans="4:7" hidden="1" x14ac:dyDescent="0.25">
      <c r="D111" s="218"/>
      <c r="E111" s="199"/>
      <c r="F111" s="201"/>
      <c r="G111" s="202"/>
    </row>
    <row r="112" spans="4:7" hidden="1" x14ac:dyDescent="0.25">
      <c r="D112" s="218"/>
      <c r="E112" s="199"/>
      <c r="F112" s="201"/>
      <c r="G112" s="202"/>
    </row>
    <row r="113" spans="4:7" hidden="1" x14ac:dyDescent="0.25">
      <c r="D113" s="218"/>
      <c r="E113" s="199"/>
      <c r="F113" s="201"/>
      <c r="G113" s="202"/>
    </row>
    <row r="114" spans="4:7" hidden="1" x14ac:dyDescent="0.25">
      <c r="D114" s="218"/>
      <c r="E114" s="199"/>
      <c r="F114" s="201"/>
      <c r="G114" s="202"/>
    </row>
    <row r="115" spans="4:7" hidden="1" x14ac:dyDescent="0.25">
      <c r="D115" s="218"/>
      <c r="E115" s="199"/>
      <c r="F115" s="201"/>
      <c r="G115" s="202"/>
    </row>
    <row r="116" spans="4:7" hidden="1" x14ac:dyDescent="0.25">
      <c r="D116" s="218"/>
      <c r="E116" s="199"/>
      <c r="F116" s="201"/>
      <c r="G116" s="202"/>
    </row>
    <row r="117" spans="4:7" hidden="1" x14ac:dyDescent="0.25">
      <c r="D117" s="218"/>
      <c r="E117" s="199"/>
      <c r="F117" s="201"/>
      <c r="G117" s="202"/>
    </row>
    <row r="118" spans="4:7" hidden="1" x14ac:dyDescent="0.25">
      <c r="D118" s="218"/>
      <c r="E118" s="199"/>
      <c r="F118" s="201"/>
      <c r="G118" s="202"/>
    </row>
    <row r="119" spans="4:7" hidden="1" x14ac:dyDescent="0.25">
      <c r="D119" s="218"/>
      <c r="E119" s="199"/>
      <c r="F119" s="201"/>
      <c r="G119" s="202"/>
    </row>
    <row r="120" spans="4:7" hidden="1" x14ac:dyDescent="0.25">
      <c r="D120" s="218"/>
      <c r="E120" s="199"/>
      <c r="F120" s="201"/>
      <c r="G120" s="202"/>
    </row>
    <row r="121" spans="4:7" hidden="1" x14ac:dyDescent="0.25">
      <c r="D121" s="218"/>
      <c r="E121" s="199"/>
      <c r="F121" s="201"/>
      <c r="G121" s="202"/>
    </row>
    <row r="122" spans="4:7" hidden="1" x14ac:dyDescent="0.25">
      <c r="D122" s="218"/>
      <c r="E122" s="199"/>
      <c r="F122" s="201"/>
      <c r="G122" s="202"/>
    </row>
    <row r="123" spans="4:7" hidden="1" x14ac:dyDescent="0.25">
      <c r="D123" s="218"/>
      <c r="E123" s="199"/>
      <c r="F123" s="201"/>
      <c r="G123" s="202"/>
    </row>
    <row r="124" spans="4:7" hidden="1" x14ac:dyDescent="0.25">
      <c r="D124" s="218"/>
      <c r="E124" s="199"/>
      <c r="F124" s="201"/>
      <c r="G124" s="202"/>
    </row>
    <row r="125" spans="4:7" hidden="1" x14ac:dyDescent="0.25">
      <c r="D125" s="218"/>
      <c r="E125" s="199"/>
      <c r="F125" s="201"/>
      <c r="G125" s="202"/>
    </row>
    <row r="126" spans="4:7" hidden="1" x14ac:dyDescent="0.25">
      <c r="D126" s="218"/>
      <c r="E126" s="199"/>
      <c r="F126" s="201"/>
      <c r="G126" s="202"/>
    </row>
    <row r="127" spans="4:7" hidden="1" x14ac:dyDescent="0.25">
      <c r="D127" s="218"/>
      <c r="E127" s="199"/>
      <c r="F127" s="201"/>
      <c r="G127" s="202"/>
    </row>
    <row r="128" spans="4:7" hidden="1" x14ac:dyDescent="0.25">
      <c r="D128" s="218"/>
      <c r="E128" s="199"/>
      <c r="F128" s="201"/>
      <c r="G128" s="202"/>
    </row>
    <row r="129" spans="4:7" hidden="1" x14ac:dyDescent="0.25">
      <c r="D129" s="218"/>
      <c r="E129" s="199"/>
      <c r="F129" s="201"/>
      <c r="G129" s="202"/>
    </row>
    <row r="130" spans="4:7" hidden="1" x14ac:dyDescent="0.25">
      <c r="D130" s="218"/>
      <c r="E130" s="199"/>
      <c r="F130" s="201"/>
      <c r="G130" s="202"/>
    </row>
    <row r="131" spans="4:7" hidden="1" x14ac:dyDescent="0.25">
      <c r="D131" s="218"/>
      <c r="E131" s="199"/>
      <c r="F131" s="201"/>
      <c r="G131" s="202"/>
    </row>
    <row r="132" spans="4:7" hidden="1" x14ac:dyDescent="0.25">
      <c r="D132" s="218"/>
      <c r="E132" s="199"/>
      <c r="F132" s="201"/>
      <c r="G132" s="202"/>
    </row>
    <row r="133" spans="4:7" hidden="1" x14ac:dyDescent="0.25">
      <c r="D133" s="218"/>
      <c r="E133" s="199"/>
      <c r="F133" s="201"/>
      <c r="G133" s="202"/>
    </row>
    <row r="134" spans="4:7" hidden="1" x14ac:dyDescent="0.25">
      <c r="D134" s="218"/>
      <c r="E134" s="199"/>
      <c r="F134" s="201"/>
      <c r="G134" s="202"/>
    </row>
    <row r="135" spans="4:7" hidden="1" x14ac:dyDescent="0.25">
      <c r="D135" s="218"/>
      <c r="E135" s="199"/>
      <c r="F135" s="201"/>
      <c r="G135" s="202"/>
    </row>
    <row r="136" spans="4:7" hidden="1" x14ac:dyDescent="0.25">
      <c r="D136" s="218"/>
      <c r="E136" s="199"/>
      <c r="F136" s="201"/>
      <c r="G136" s="202"/>
    </row>
    <row r="137" spans="4:7" hidden="1" x14ac:dyDescent="0.25">
      <c r="D137" s="218"/>
      <c r="E137" s="199"/>
      <c r="F137" s="201"/>
      <c r="G137" s="202"/>
    </row>
    <row r="138" spans="4:7" hidden="1" x14ac:dyDescent="0.25">
      <c r="D138" s="218"/>
      <c r="E138" s="199"/>
      <c r="F138" s="201"/>
      <c r="G138" s="202"/>
    </row>
    <row r="139" spans="4:7" hidden="1" x14ac:dyDescent="0.25">
      <c r="D139" s="218"/>
      <c r="E139" s="199"/>
      <c r="F139" s="201"/>
      <c r="G139" s="202"/>
    </row>
    <row r="140" spans="4:7" hidden="1" x14ac:dyDescent="0.25">
      <c r="D140" s="218"/>
      <c r="E140" s="199"/>
      <c r="F140" s="201"/>
      <c r="G140" s="202"/>
    </row>
    <row r="141" spans="4:7" hidden="1" x14ac:dyDescent="0.25">
      <c r="D141" s="218"/>
      <c r="E141" s="199"/>
      <c r="F141" s="201"/>
      <c r="G141" s="202"/>
    </row>
    <row r="142" spans="4:7" hidden="1" x14ac:dyDescent="0.25">
      <c r="D142" s="218"/>
      <c r="E142" s="199"/>
      <c r="F142" s="201"/>
      <c r="G142" s="202"/>
    </row>
    <row r="143" spans="4:7" hidden="1" x14ac:dyDescent="0.25">
      <c r="D143" s="218"/>
      <c r="E143" s="199"/>
      <c r="F143" s="201"/>
      <c r="G143" s="202"/>
    </row>
    <row r="144" spans="4:7" hidden="1" x14ac:dyDescent="0.25">
      <c r="D144" s="218"/>
      <c r="E144" s="199"/>
      <c r="F144" s="201"/>
      <c r="G144" s="202"/>
    </row>
    <row r="145" spans="4:7" hidden="1" x14ac:dyDescent="0.25">
      <c r="D145" s="218"/>
      <c r="E145" s="199"/>
      <c r="F145" s="201"/>
      <c r="G145" s="202"/>
    </row>
    <row r="146" spans="4:7" hidden="1" x14ac:dyDescent="0.25">
      <c r="D146" s="218"/>
      <c r="E146" s="199"/>
      <c r="F146" s="201"/>
      <c r="G146" s="202"/>
    </row>
    <row r="147" spans="4:7" ht="15.75" hidden="1" thickBot="1" x14ac:dyDescent="0.3">
      <c r="D147" s="219"/>
      <c r="E147" s="200"/>
      <c r="F147" s="203"/>
      <c r="G147" s="204"/>
    </row>
    <row r="148" spans="4:7" x14ac:dyDescent="0.25">
      <c r="D148" s="216"/>
      <c r="E148" s="194"/>
      <c r="F148" s="194"/>
      <c r="G148" s="194"/>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tabSelected="1" zoomScale="62" zoomScaleNormal="62" workbookViewId="0">
      <selection activeCell="F1" sqref="F1:AD72"/>
    </sheetView>
  </sheetViews>
  <sheetFormatPr defaultRowHeight="15" x14ac:dyDescent="0.25"/>
  <cols>
    <col min="2" max="2" width="26.7109375" customWidth="1"/>
    <col min="3" max="3" width="24.7109375" customWidth="1"/>
  </cols>
  <sheetData>
    <row r="19" spans="2:3" ht="15.75" thickBot="1" x14ac:dyDescent="0.3"/>
    <row r="20" spans="2:3" x14ac:dyDescent="0.25">
      <c r="B20" s="82" t="s">
        <v>252</v>
      </c>
      <c r="C20" s="95">
        <v>30</v>
      </c>
    </row>
    <row r="22" spans="2:3" ht="15.75" thickBot="1" x14ac:dyDescent="0.3"/>
    <row r="23" spans="2:3" ht="19.5" thickBot="1" x14ac:dyDescent="0.35">
      <c r="B23" s="254" t="s">
        <v>13</v>
      </c>
      <c r="C23" s="256"/>
    </row>
    <row r="24" spans="2:3" ht="15.75" thickBot="1" x14ac:dyDescent="0.3">
      <c r="B24" s="100" t="s">
        <v>8</v>
      </c>
      <c r="C24" s="96" t="s">
        <v>236</v>
      </c>
    </row>
    <row r="25" spans="2:3" x14ac:dyDescent="0.25">
      <c r="B25" s="101" t="str">
        <f>'WINBUGS data'!B4</f>
        <v>INDOIV</v>
      </c>
      <c r="C25" s="97" t="s">
        <v>302</v>
      </c>
    </row>
    <row r="26" spans="2:3" x14ac:dyDescent="0.25">
      <c r="B26" s="102" t="str">
        <f>'WINBUGS data'!B5</f>
        <v>IBUIV</v>
      </c>
      <c r="C26" s="98" t="s">
        <v>303</v>
      </c>
    </row>
    <row r="27" spans="2:3" x14ac:dyDescent="0.25">
      <c r="B27" s="102" t="str">
        <f>'WINBUGS data'!B6</f>
        <v>IBUPO</v>
      </c>
      <c r="C27" s="98" t="s">
        <v>304</v>
      </c>
    </row>
    <row r="28" spans="2:3" x14ac:dyDescent="0.25">
      <c r="B28" s="102" t="str">
        <f>'WINBUGS data'!B7</f>
        <v>PARAPO</v>
      </c>
      <c r="C28" s="98" t="s">
        <v>305</v>
      </c>
    </row>
    <row r="29" spans="2:3" x14ac:dyDescent="0.25">
      <c r="B29" s="102" t="str">
        <f>'WINBUGS data'!B8</f>
        <v>IBUIVHIGHDOSE</v>
      </c>
      <c r="C29" s="98" t="s">
        <v>306</v>
      </c>
    </row>
    <row r="30" spans="2:3" x14ac:dyDescent="0.25">
      <c r="B30" s="102" t="str">
        <f>'WINBUGS data'!B9</f>
        <v>IBUPOHIGHDOSE</v>
      </c>
      <c r="C30" s="98" t="s">
        <v>307</v>
      </c>
    </row>
    <row r="31" spans="2:3" x14ac:dyDescent="0.25">
      <c r="B31" s="102" t="str">
        <f>'WINBUGS data'!B10</f>
        <v>INDOIVCONT</v>
      </c>
      <c r="C31" s="98" t="s">
        <v>308</v>
      </c>
    </row>
    <row r="32" spans="2:3" x14ac:dyDescent="0.25">
      <c r="B32" s="102" t="str">
        <f>'WINBUGS data'!B11</f>
        <v>INDOTHERS</v>
      </c>
      <c r="C32" s="98" t="s">
        <v>309</v>
      </c>
    </row>
    <row r="33" spans="2:3" x14ac:dyDescent="0.25">
      <c r="B33" s="102" t="str">
        <f>'WINBUGS data'!B12</f>
        <v>PLAC_NORX</v>
      </c>
      <c r="C33" s="98" t="s">
        <v>310</v>
      </c>
    </row>
    <row r="34" spans="2:3" x14ac:dyDescent="0.25">
      <c r="B34" s="102" t="str">
        <f>'WINBUGS data'!B13</f>
        <v/>
      </c>
      <c r="C34" s="98" t="s">
        <v>311</v>
      </c>
    </row>
    <row r="35" spans="2:3" x14ac:dyDescent="0.25">
      <c r="B35" s="102" t="str">
        <f>'WINBUGS data'!B14</f>
        <v/>
      </c>
      <c r="C35" s="98" t="s">
        <v>312</v>
      </c>
    </row>
    <row r="36" spans="2:3" x14ac:dyDescent="0.25">
      <c r="B36" s="102" t="str">
        <f>'WINBUGS data'!B15</f>
        <v/>
      </c>
      <c r="C36" s="98" t="s">
        <v>313</v>
      </c>
    </row>
    <row r="37" spans="2:3" x14ac:dyDescent="0.25">
      <c r="B37" s="102" t="str">
        <f>'WINBUGS data'!B16</f>
        <v/>
      </c>
      <c r="C37" s="98" t="s">
        <v>314</v>
      </c>
    </row>
    <row r="38" spans="2:3" x14ac:dyDescent="0.25">
      <c r="B38" s="102" t="str">
        <f>'WINBUGS data'!B17</f>
        <v/>
      </c>
      <c r="C38" s="98" t="s">
        <v>315</v>
      </c>
    </row>
    <row r="39" spans="2:3" ht="15.75" thickBot="1" x14ac:dyDescent="0.3">
      <c r="B39" s="103" t="str">
        <f>'WINBUGS data'!B18</f>
        <v/>
      </c>
      <c r="C39" s="99" t="s">
        <v>316</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6" sqref="D6"/>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221</v>
      </c>
      <c r="Z3" t="str">
        <f ca="1">'Fixed Effects'!A1</f>
        <v>Fixed Effects</v>
      </c>
    </row>
    <row r="4" spans="1:26" ht="15.75" thickBot="1" x14ac:dyDescent="0.3">
      <c r="C4" s="82" t="s">
        <v>230</v>
      </c>
      <c r="D4" s="90" t="s">
        <v>125</v>
      </c>
      <c r="Y4" t="s">
        <v>223</v>
      </c>
      <c r="Z4" t="str">
        <f ca="1">'Random Effects (Vague)'!A1</f>
        <v>Random Effects (Vague)</v>
      </c>
    </row>
    <row r="5" spans="1:26" ht="15.75" thickBot="1" x14ac:dyDescent="0.3">
      <c r="A5" s="93"/>
      <c r="B5" s="261" t="s">
        <v>235</v>
      </c>
      <c r="C5" s="83" t="s">
        <v>219</v>
      </c>
      <c r="D5" s="91" t="s">
        <v>228</v>
      </c>
      <c r="U5" s="11"/>
      <c r="Y5" t="s">
        <v>222</v>
      </c>
      <c r="Z5" t="str">
        <f ca="1">'Random Effects  (Informative)'!A1</f>
        <v>Random Effects  (Informative)</v>
      </c>
    </row>
    <row r="6" spans="1:26" ht="15.75" thickBot="1" x14ac:dyDescent="0.3">
      <c r="A6" s="93"/>
      <c r="B6" s="262"/>
      <c r="C6" s="84" t="s">
        <v>220</v>
      </c>
      <c r="D6" s="92" t="s">
        <v>224</v>
      </c>
      <c r="E6" s="39"/>
      <c r="U6" s="11"/>
      <c r="Z6" t="s">
        <v>224</v>
      </c>
    </row>
    <row r="7" spans="1:26" ht="15.75" thickBot="1" x14ac:dyDescent="0.3">
      <c r="A7" s="47"/>
      <c r="C7" s="84" t="s">
        <v>234</v>
      </c>
      <c r="D7" s="92">
        <v>2</v>
      </c>
    </row>
    <row r="8" spans="1:26" ht="15.75" thickBot="1" x14ac:dyDescent="0.3">
      <c r="C8" s="84" t="s">
        <v>246</v>
      </c>
      <c r="D8" s="92">
        <v>7</v>
      </c>
    </row>
    <row r="9" spans="1:26" ht="15.75" thickBot="1" x14ac:dyDescent="0.3">
      <c r="C9" s="84" t="s">
        <v>251</v>
      </c>
      <c r="D9" s="92">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124" zoomScaleNormal="124" workbookViewId="0">
      <selection activeCell="N6" sqref="N6"/>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230</v>
      </c>
      <c r="C2" s="95" t="s">
        <v>125</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227</v>
      </c>
      <c r="C3" s="85" t="s">
        <v>228</v>
      </c>
      <c r="Y3" t="s">
        <v>221</v>
      </c>
      <c r="Z3" t="str">
        <f ca="1">'Fixed Effects'!A1</f>
        <v>Fixed Effects</v>
      </c>
    </row>
    <row r="4" spans="2:26" ht="15.75" thickBot="1" x14ac:dyDescent="0.3">
      <c r="Y4" t="s">
        <v>223</v>
      </c>
      <c r="Z4" t="str">
        <f ca="1">'Random Effects (Vague)'!A1</f>
        <v>Random Effects (Vague)</v>
      </c>
    </row>
    <row r="5" spans="2:26" ht="39.950000000000003" customHeight="1" thickBot="1" x14ac:dyDescent="0.3">
      <c r="E5" s="69"/>
      <c r="F5" s="224" t="s">
        <v>491</v>
      </c>
      <c r="G5" s="70"/>
      <c r="H5" s="70"/>
      <c r="I5" s="70"/>
      <c r="J5" s="70"/>
      <c r="K5" s="70"/>
      <c r="L5" s="70"/>
      <c r="M5" s="70"/>
      <c r="N5" s="70"/>
      <c r="O5" s="70"/>
      <c r="P5" s="70"/>
      <c r="Q5" s="70"/>
      <c r="R5" s="70"/>
      <c r="S5" s="70"/>
      <c r="Y5" t="s">
        <v>222</v>
      </c>
      <c r="Z5" t="str">
        <f ca="1">'Random Effects  (Informative)'!A1</f>
        <v>Random Effects  (Informative)</v>
      </c>
    </row>
    <row r="6" spans="2:26" ht="39.950000000000003" customHeight="1" thickBot="1" x14ac:dyDescent="0.3">
      <c r="E6" s="69"/>
      <c r="F6" s="228" t="s">
        <v>797</v>
      </c>
      <c r="G6" s="224" t="s">
        <v>490</v>
      </c>
      <c r="H6" s="70"/>
      <c r="I6" s="70"/>
      <c r="J6" s="70"/>
      <c r="K6" s="70"/>
      <c r="L6" s="70"/>
      <c r="M6" s="70"/>
      <c r="N6" s="70"/>
      <c r="O6" s="70"/>
      <c r="P6" s="70"/>
      <c r="Q6" s="70"/>
      <c r="R6" s="70"/>
      <c r="S6" s="70"/>
      <c r="Y6" t="s">
        <v>245</v>
      </c>
    </row>
    <row r="7" spans="2:26" ht="39.950000000000003" customHeight="1" thickBot="1" x14ac:dyDescent="0.3">
      <c r="E7" s="69"/>
      <c r="F7" s="226" t="s">
        <v>798</v>
      </c>
      <c r="G7" s="225" t="s">
        <v>805</v>
      </c>
      <c r="H7" s="224" t="s">
        <v>492</v>
      </c>
      <c r="I7" s="70"/>
      <c r="J7" s="70"/>
      <c r="K7" s="70"/>
      <c r="L7" s="70"/>
      <c r="M7" s="70"/>
      <c r="N7" s="70"/>
      <c r="O7" s="70"/>
      <c r="P7" s="70"/>
      <c r="Q7" s="70"/>
      <c r="R7" s="70"/>
      <c r="S7" s="70"/>
    </row>
    <row r="8" spans="2:26" ht="39.950000000000003" customHeight="1" thickBot="1" x14ac:dyDescent="0.3">
      <c r="E8" s="69"/>
      <c r="F8" s="226" t="s">
        <v>799</v>
      </c>
      <c r="G8" s="222" t="s">
        <v>806</v>
      </c>
      <c r="H8" s="225" t="s">
        <v>812</v>
      </c>
      <c r="I8" s="224" t="s">
        <v>489</v>
      </c>
      <c r="J8" s="70"/>
      <c r="K8" s="70"/>
      <c r="L8" s="70"/>
      <c r="M8" s="70"/>
      <c r="N8" s="70"/>
      <c r="O8" s="70"/>
      <c r="P8" s="70"/>
      <c r="Q8" s="70"/>
      <c r="R8" s="70"/>
      <c r="S8" s="70"/>
    </row>
    <row r="9" spans="2:26" ht="39.950000000000003" customHeight="1" thickBot="1" x14ac:dyDescent="0.3">
      <c r="E9" s="69"/>
      <c r="F9" s="226" t="s">
        <v>800</v>
      </c>
      <c r="G9" s="222" t="s">
        <v>807</v>
      </c>
      <c r="H9" s="222" t="s">
        <v>813</v>
      </c>
      <c r="I9" s="225" t="s">
        <v>818</v>
      </c>
      <c r="J9" s="224" t="s">
        <v>494</v>
      </c>
      <c r="K9" s="70"/>
      <c r="L9" s="70"/>
      <c r="M9" s="70"/>
      <c r="N9" s="70"/>
      <c r="O9" s="70"/>
      <c r="P9" s="70"/>
      <c r="Q9" s="70"/>
      <c r="R9" s="70"/>
      <c r="S9" s="70"/>
    </row>
    <row r="10" spans="2:26" ht="39.950000000000003" customHeight="1" thickBot="1" x14ac:dyDescent="0.3">
      <c r="E10" s="69"/>
      <c r="F10" s="226" t="s">
        <v>801</v>
      </c>
      <c r="G10" s="222" t="s">
        <v>808</v>
      </c>
      <c r="H10" s="222" t="s">
        <v>814</v>
      </c>
      <c r="I10" s="222" t="s">
        <v>819</v>
      </c>
      <c r="J10" s="225" t="s">
        <v>823</v>
      </c>
      <c r="K10" s="224" t="s">
        <v>493</v>
      </c>
      <c r="L10" s="70"/>
      <c r="M10" s="70"/>
      <c r="N10" s="70"/>
      <c r="O10" s="70"/>
      <c r="P10" s="70"/>
      <c r="Q10" s="70"/>
      <c r="R10" s="70"/>
      <c r="S10" s="70"/>
    </row>
    <row r="11" spans="2:26" ht="39.950000000000003" customHeight="1" thickBot="1" x14ac:dyDescent="0.3">
      <c r="E11" s="69"/>
      <c r="F11" s="226" t="s">
        <v>802</v>
      </c>
      <c r="G11" s="222" t="s">
        <v>809</v>
      </c>
      <c r="H11" s="222" t="s">
        <v>815</v>
      </c>
      <c r="I11" s="222" t="s">
        <v>820</v>
      </c>
      <c r="J11" s="222" t="s">
        <v>824</v>
      </c>
      <c r="K11" s="225" t="s">
        <v>827</v>
      </c>
      <c r="L11" s="224" t="s">
        <v>487</v>
      </c>
      <c r="M11" s="70"/>
      <c r="N11" s="70"/>
      <c r="O11" s="70"/>
      <c r="P11" s="70"/>
      <c r="Q11" s="70"/>
      <c r="R11" s="70"/>
      <c r="S11" s="70"/>
    </row>
    <row r="12" spans="2:26" ht="39.950000000000003" customHeight="1" thickBot="1" x14ac:dyDescent="0.3">
      <c r="E12" s="69"/>
      <c r="F12" s="226" t="s">
        <v>803</v>
      </c>
      <c r="G12" s="222" t="s">
        <v>810</v>
      </c>
      <c r="H12" s="222" t="s">
        <v>816</v>
      </c>
      <c r="I12" s="222" t="s">
        <v>821</v>
      </c>
      <c r="J12" s="222" t="s">
        <v>825</v>
      </c>
      <c r="K12" s="222" t="s">
        <v>828</v>
      </c>
      <c r="L12" s="225" t="s">
        <v>830</v>
      </c>
      <c r="M12" s="224" t="s">
        <v>488</v>
      </c>
      <c r="N12" s="70"/>
      <c r="O12" s="70"/>
      <c r="P12" s="70"/>
      <c r="Q12" s="70"/>
      <c r="R12" s="70"/>
      <c r="S12" s="70"/>
    </row>
    <row r="13" spans="2:26" ht="39.950000000000003" customHeight="1" thickBot="1" x14ac:dyDescent="0.3">
      <c r="E13" s="69"/>
      <c r="F13" s="227" t="s">
        <v>804</v>
      </c>
      <c r="G13" s="223" t="s">
        <v>811</v>
      </c>
      <c r="H13" s="223" t="s">
        <v>817</v>
      </c>
      <c r="I13" s="223" t="s">
        <v>822</v>
      </c>
      <c r="J13" s="223" t="s">
        <v>826</v>
      </c>
      <c r="K13" s="223" t="s">
        <v>829</v>
      </c>
      <c r="L13" s="223" t="s">
        <v>831</v>
      </c>
      <c r="M13" s="229" t="s">
        <v>832</v>
      </c>
      <c r="N13" s="224" t="s">
        <v>495</v>
      </c>
      <c r="O13" s="70"/>
      <c r="P13" s="70"/>
      <c r="Q13" s="70"/>
      <c r="R13" s="70"/>
      <c r="S13" s="70"/>
    </row>
    <row r="14" spans="2:26" ht="39.950000000000003" customHeight="1" x14ac:dyDescent="0.25">
      <c r="E14" s="69"/>
      <c r="F14" s="71"/>
      <c r="G14" s="71"/>
      <c r="H14" s="71"/>
      <c r="I14" s="71"/>
      <c r="J14" s="71"/>
      <c r="K14" s="71"/>
      <c r="L14" s="71"/>
      <c r="M14" s="71"/>
      <c r="N14" s="71"/>
      <c r="O14" s="71"/>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Y25" sqref="Y25"/>
    </sheetView>
  </sheetViews>
  <sheetFormatPr defaultRowHeight="15" x14ac:dyDescent="0.25"/>
  <cols>
    <col min="2" max="2" width="11.85546875" customWidth="1"/>
    <col min="3" max="3" width="33" customWidth="1"/>
    <col min="13" max="27" width="9.140625" customWidth="1"/>
  </cols>
  <sheetData>
    <row r="2" spans="2:30" hidden="1" x14ac:dyDescent="0.25">
      <c r="B2" t="s">
        <v>833</v>
      </c>
    </row>
    <row r="3" spans="2:30" ht="13.5" hidden="1" customHeight="1" x14ac:dyDescent="0.25">
      <c r="B3" t="s">
        <v>39</v>
      </c>
    </row>
    <row r="4" spans="2:30" hidden="1" x14ac:dyDescent="0.25">
      <c r="B4" t="s">
        <v>228</v>
      </c>
    </row>
    <row r="5" spans="2:30" hidden="1" x14ac:dyDescent="0.25">
      <c r="B5" t="s">
        <v>225</v>
      </c>
    </row>
    <row r="6" spans="2:30" ht="15.75" thickBot="1" x14ac:dyDescent="0.3"/>
    <row r="7" spans="2:30" ht="15.75" thickBot="1" x14ac:dyDescent="0.3">
      <c r="B7" s="67" t="s">
        <v>227</v>
      </c>
      <c r="C7" s="85" t="s">
        <v>228</v>
      </c>
    </row>
    <row r="8" spans="2:30" ht="15.75" thickBot="1" x14ac:dyDescent="0.3">
      <c r="B8" s="67" t="s">
        <v>264</v>
      </c>
      <c r="C8" s="85" t="s">
        <v>262</v>
      </c>
    </row>
    <row r="9" spans="2:30" ht="15.75" hidden="1" thickBot="1" x14ac:dyDescent="0.3">
      <c r="B9" s="67" t="s">
        <v>210</v>
      </c>
      <c r="C9" s="85" t="s">
        <v>254</v>
      </c>
    </row>
    <row r="10" spans="2:30" x14ac:dyDescent="0.25">
      <c r="AD10" t="s">
        <v>263</v>
      </c>
    </row>
    <row r="11" spans="2:30" x14ac:dyDescent="0.25">
      <c r="C11" s="146" t="s">
        <v>266</v>
      </c>
      <c r="AD11" t="s">
        <v>262</v>
      </c>
    </row>
    <row r="12" spans="2:30" x14ac:dyDescent="0.25">
      <c r="AD12" t="s">
        <v>260</v>
      </c>
    </row>
    <row r="13" spans="2:30" ht="15.75" thickBot="1" x14ac:dyDescent="0.3">
      <c r="AD13" t="s">
        <v>261</v>
      </c>
    </row>
    <row r="14" spans="2:30" ht="15.75" thickBot="1" x14ac:dyDescent="0.3">
      <c r="C14" s="113" t="s">
        <v>210</v>
      </c>
      <c r="D14" s="114" t="s">
        <v>247</v>
      </c>
    </row>
    <row r="15" spans="2:30" x14ac:dyDescent="0.25">
      <c r="C15" s="107" t="s">
        <v>491</v>
      </c>
      <c r="D15" s="108">
        <v>0.82669999999999999</v>
      </c>
    </row>
    <row r="16" spans="2:30" x14ac:dyDescent="0.25">
      <c r="C16" s="109" t="s">
        <v>490</v>
      </c>
      <c r="D16" s="110">
        <v>0.82320000000000004</v>
      </c>
    </row>
    <row r="17" spans="2:5" x14ac:dyDescent="0.25">
      <c r="C17" s="109" t="s">
        <v>492</v>
      </c>
      <c r="D17" s="110">
        <v>0.71940000000000004</v>
      </c>
    </row>
    <row r="18" spans="2:5" x14ac:dyDescent="0.25">
      <c r="C18" s="109" t="s">
        <v>489</v>
      </c>
      <c r="D18" s="110">
        <v>0.66749999999999998</v>
      </c>
    </row>
    <row r="19" spans="2:5" x14ac:dyDescent="0.25">
      <c r="C19" s="109" t="s">
        <v>494</v>
      </c>
      <c r="D19" s="110">
        <v>0.57540000000000002</v>
      </c>
    </row>
    <row r="20" spans="2:5" x14ac:dyDescent="0.25">
      <c r="C20" s="109" t="s">
        <v>493</v>
      </c>
      <c r="D20" s="110">
        <v>0.38400000000000001</v>
      </c>
    </row>
    <row r="21" spans="2:5" x14ac:dyDescent="0.25">
      <c r="C21" s="109" t="s">
        <v>487</v>
      </c>
      <c r="D21" s="110">
        <v>0.33450000000000002</v>
      </c>
    </row>
    <row r="22" spans="2:5" x14ac:dyDescent="0.25">
      <c r="C22" s="109" t="s">
        <v>488</v>
      </c>
      <c r="D22" s="110">
        <v>0.16900000000000001</v>
      </c>
    </row>
    <row r="23" spans="2:5" x14ac:dyDescent="0.25">
      <c r="C23" s="109" t="s">
        <v>495</v>
      </c>
      <c r="D23" s="110">
        <v>2.5000000000000001E-4</v>
      </c>
    </row>
    <row r="24" spans="2:5" x14ac:dyDescent="0.25">
      <c r="C24" s="109"/>
      <c r="D24" s="110"/>
    </row>
    <row r="25" spans="2:5" x14ac:dyDescent="0.25">
      <c r="C25" s="109"/>
      <c r="D25" s="110"/>
    </row>
    <row r="26" spans="2:5" x14ac:dyDescent="0.25">
      <c r="C26" s="109"/>
      <c r="D26" s="110"/>
    </row>
    <row r="27" spans="2:5" x14ac:dyDescent="0.25">
      <c r="C27" s="109"/>
      <c r="D27" s="110"/>
    </row>
    <row r="28" spans="2:5" x14ac:dyDescent="0.25">
      <c r="C28" s="109"/>
      <c r="D28" s="110"/>
    </row>
    <row r="29" spans="2:5" ht="15.75" thickBot="1" x14ac:dyDescent="0.3">
      <c r="C29" s="111"/>
      <c r="D29" s="112"/>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39</v>
      </c>
      <c r="E4" s="265"/>
      <c r="F4" s="265"/>
      <c r="G4" s="265"/>
      <c r="H4" s="266"/>
      <c r="I4" s="264" t="s">
        <v>228</v>
      </c>
      <c r="J4" s="265"/>
      <c r="K4" s="265"/>
      <c r="L4" s="265"/>
      <c r="M4" s="266"/>
      <c r="N4" s="40"/>
      <c r="O4" s="267" t="s">
        <v>214</v>
      </c>
      <c r="P4" s="268"/>
      <c r="Q4" s="268"/>
      <c r="R4" s="268"/>
      <c r="S4" s="268"/>
      <c r="T4" s="268"/>
      <c r="U4" s="268"/>
      <c r="V4" s="269"/>
    </row>
    <row r="5" spans="1:35" ht="15.75" thickBot="1" x14ac:dyDescent="0.3">
      <c r="D5" s="270" t="s">
        <v>211</v>
      </c>
      <c r="E5" s="271"/>
      <c r="F5" s="271" t="s">
        <v>212</v>
      </c>
      <c r="G5" s="271"/>
      <c r="H5" s="2" t="s">
        <v>213</v>
      </c>
      <c r="I5" s="270" t="s">
        <v>211</v>
      </c>
      <c r="J5" s="271"/>
      <c r="K5" s="271" t="s">
        <v>212</v>
      </c>
      <c r="L5" s="271"/>
      <c r="M5" s="2" t="s">
        <v>213</v>
      </c>
      <c r="O5" s="118" t="s">
        <v>209</v>
      </c>
      <c r="P5" s="119" t="s">
        <v>210</v>
      </c>
      <c r="Q5" s="46"/>
      <c r="R5" s="46" t="s">
        <v>10</v>
      </c>
      <c r="S5" s="120"/>
      <c r="T5" s="87" t="s">
        <v>215</v>
      </c>
      <c r="U5" s="87" t="s">
        <v>216</v>
      </c>
      <c r="V5" s="65">
        <v>1</v>
      </c>
      <c r="Z5" t="str">
        <f>R5</f>
        <v>Study Name</v>
      </c>
      <c r="AB5" s="263"/>
      <c r="AC5" s="263"/>
      <c r="AD5" s="263"/>
      <c r="AE5" s="263"/>
      <c r="AH5" s="19"/>
      <c r="AI5" s="19"/>
    </row>
    <row r="6" spans="1:35" x14ac:dyDescent="0.25">
      <c r="A6">
        <v>0</v>
      </c>
      <c r="B6">
        <v>0</v>
      </c>
      <c r="D6" s="26"/>
      <c r="E6" s="31"/>
      <c r="F6" s="31"/>
      <c r="G6" s="31"/>
      <c r="H6" s="1" t="str">
        <f>IF(D6="","",G6-E6)</f>
        <v/>
      </c>
      <c r="I6" s="26" t="s">
        <v>459</v>
      </c>
      <c r="J6" s="31">
        <v>0.54349999999999998</v>
      </c>
      <c r="K6" s="31" t="s">
        <v>459</v>
      </c>
      <c r="L6" s="31">
        <v>0.54859999999999998</v>
      </c>
      <c r="M6" s="1">
        <f>IF(I6="","",L6-J6)</f>
        <v>5.0999999999999934E-3</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7" t="e">
        <f>INDEX('WINBUGS data'!$F$17:$AI$65,(O6*1),MATCH(Q6,'WINBUGS data'!$F$16:$AI$16,0))</f>
        <v>#VALUE!</v>
      </c>
      <c r="T6" s="88" t="str">
        <f>IF(D6="","",INDEX('WINBUGS data'!$B$4:$C$18,'Inconsistency Data'!S6,1))</f>
        <v/>
      </c>
      <c r="U6" s="88"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460</v>
      </c>
      <c r="J7" s="31">
        <v>0.67120000000000002</v>
      </c>
      <c r="K7" s="31" t="s">
        <v>460</v>
      </c>
      <c r="L7" s="31">
        <v>0.73850000000000005</v>
      </c>
      <c r="M7" s="1">
        <f t="shared" ref="M7:M70" si="5">IF(I7="","",L7-J7)</f>
        <v>6.7300000000000026E-2</v>
      </c>
      <c r="O7" s="26" t="str">
        <f t="shared" si="0"/>
        <v/>
      </c>
      <c r="P7" s="31" t="e">
        <f t="shared" si="1"/>
        <v>#VALUE!</v>
      </c>
      <c r="Q7" s="39" t="e">
        <f t="shared" si="2"/>
        <v>#VALUE!</v>
      </c>
      <c r="R7" s="39" t="str">
        <f>IF(D7="","",INDEX('WINBUGS data'!$F$17:$AI$65,'Inconsistency Data'!O7,2))</f>
        <v/>
      </c>
      <c r="S7" s="220" t="e">
        <f>INDEX('WINBUGS data'!$F$17:$AI$65,(O7*1),MATCH(Q7,'WINBUGS data'!$F$16:$AI$16,0))</f>
        <v>#VALUE!</v>
      </c>
      <c r="T7" s="88" t="str">
        <f>IF(D7="","",INDEX('WINBUGS Data Inconsistency'!$B$4:$C$18,'Inconsistency Data'!S7,1))</f>
        <v/>
      </c>
      <c r="U7" s="88"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461</v>
      </c>
      <c r="J8" s="31">
        <v>1.0620000000000001</v>
      </c>
      <c r="K8" s="31" t="s">
        <v>461</v>
      </c>
      <c r="L8" s="31">
        <v>0.84060000000000001</v>
      </c>
      <c r="M8" s="1">
        <f t="shared" si="5"/>
        <v>-0.22140000000000004</v>
      </c>
      <c r="O8" s="26" t="str">
        <f t="shared" si="0"/>
        <v/>
      </c>
      <c r="P8" s="31" t="e">
        <f t="shared" si="1"/>
        <v>#VALUE!</v>
      </c>
      <c r="Q8" s="39" t="e">
        <f t="shared" si="2"/>
        <v>#VALUE!</v>
      </c>
      <c r="R8" s="39" t="str">
        <f>IF(D8="","",INDEX('WINBUGS data'!$F$17:$AI$65,'Inconsistency Data'!O8,2))</f>
        <v/>
      </c>
      <c r="S8" s="117" t="e">
        <f>INDEX('WINBUGS data'!$F$17:$AI$65,(O8*1),MATCH(Q8,'WINBUGS data'!$F$16:$AI$16,0))</f>
        <v>#VALUE!</v>
      </c>
      <c r="T8" s="88" t="str">
        <f>IF(D8="","",INDEX('WINBUGS Data Inconsistency'!$B$4:$C$18,'Inconsistency Data'!S8,1))</f>
        <v/>
      </c>
      <c r="U8" s="88" t="str">
        <f t="shared" si="3"/>
        <v/>
      </c>
      <c r="V8" s="42" t="str">
        <f t="shared" si="6"/>
        <v/>
      </c>
      <c r="AB8" s="39"/>
      <c r="AC8" s="39"/>
      <c r="AD8" s="39"/>
      <c r="AE8" s="39"/>
      <c r="AH8" s="19"/>
      <c r="AI8" s="19"/>
    </row>
    <row r="9" spans="1:35" x14ac:dyDescent="0.25">
      <c r="D9" s="26"/>
      <c r="E9" s="31"/>
      <c r="F9" s="31"/>
      <c r="G9" s="31"/>
      <c r="H9" s="1" t="str">
        <f t="shared" si="4"/>
        <v/>
      </c>
      <c r="I9" s="26" t="s">
        <v>462</v>
      </c>
      <c r="J9" s="31">
        <v>0.98550000000000004</v>
      </c>
      <c r="K9" s="31" t="s">
        <v>462</v>
      </c>
      <c r="L9" s="31">
        <v>0.79879999999999995</v>
      </c>
      <c r="M9" s="1">
        <f t="shared" si="5"/>
        <v>-0.18670000000000009</v>
      </c>
      <c r="O9" s="26" t="str">
        <f t="shared" si="0"/>
        <v/>
      </c>
      <c r="P9" s="31" t="e">
        <f t="shared" si="1"/>
        <v>#VALUE!</v>
      </c>
      <c r="Q9" s="39" t="e">
        <f t="shared" si="2"/>
        <v>#VALUE!</v>
      </c>
      <c r="R9" s="39" t="str">
        <f>IF(D9="","",INDEX('WINBUGS data'!$F$17:$AI$65,'Inconsistency Data'!O9,2))</f>
        <v/>
      </c>
      <c r="S9" s="117" t="e">
        <f>INDEX('WINBUGS data'!$F$17:$AI$65,(O9*1),MATCH(Q9,'WINBUGS data'!$F$16:$AI$16,0))</f>
        <v>#VALUE!</v>
      </c>
      <c r="T9" s="88" t="str">
        <f>IF(D9="","",INDEX('WINBUGS Data Inconsistency'!$B$4:$C$18,'Inconsistency Data'!S9,1))</f>
        <v/>
      </c>
      <c r="U9" s="88" t="str">
        <f t="shared" si="3"/>
        <v/>
      </c>
      <c r="V9" s="42" t="str">
        <f t="shared" si="6"/>
        <v/>
      </c>
      <c r="AB9" s="39"/>
      <c r="AC9" s="39"/>
      <c r="AD9" s="39"/>
      <c r="AE9" s="39"/>
      <c r="AH9" s="19"/>
      <c r="AI9" s="19"/>
    </row>
    <row r="10" spans="1:35" x14ac:dyDescent="0.25">
      <c r="D10" s="26"/>
      <c r="E10" s="31"/>
      <c r="F10" s="31"/>
      <c r="G10" s="31"/>
      <c r="H10" s="1" t="str">
        <f t="shared" si="4"/>
        <v/>
      </c>
      <c r="I10" s="26" t="s">
        <v>463</v>
      </c>
      <c r="J10" s="31">
        <v>0.81230000000000002</v>
      </c>
      <c r="K10" s="31" t="s">
        <v>463</v>
      </c>
      <c r="L10" s="31">
        <v>0.82689999999999997</v>
      </c>
      <c r="M10" s="1">
        <f t="shared" si="5"/>
        <v>1.4599999999999946E-2</v>
      </c>
      <c r="O10" s="26" t="str">
        <f t="shared" si="0"/>
        <v/>
      </c>
      <c r="P10" s="31" t="e">
        <f t="shared" si="1"/>
        <v>#VALUE!</v>
      </c>
      <c r="Q10" s="39" t="e">
        <f t="shared" si="2"/>
        <v>#VALUE!</v>
      </c>
      <c r="R10" s="39" t="str">
        <f>IF(D10="","",INDEX('WINBUGS data'!$F$17:$AI$65,'Inconsistency Data'!O10,2))</f>
        <v/>
      </c>
      <c r="S10" s="117" t="e">
        <f>INDEX('WINBUGS data'!$F$17:$AI$65,(O10*1),MATCH(Q10,'WINBUGS data'!$F$16:$AI$16,0))</f>
        <v>#VALUE!</v>
      </c>
      <c r="T10" s="88" t="str">
        <f>IF(D10="","",INDEX('WINBUGS Data Inconsistency'!$B$4:$C$18,'Inconsistency Data'!S10,1))</f>
        <v/>
      </c>
      <c r="U10" s="88" t="str">
        <f t="shared" si="3"/>
        <v/>
      </c>
      <c r="V10" s="42" t="str">
        <f t="shared" si="6"/>
        <v/>
      </c>
      <c r="AB10" s="39"/>
      <c r="AC10" s="39"/>
      <c r="AD10" s="39"/>
      <c r="AE10" s="39"/>
      <c r="AH10" s="19"/>
      <c r="AI10" s="19"/>
    </row>
    <row r="11" spans="1:35" x14ac:dyDescent="0.25">
      <c r="D11" s="26"/>
      <c r="E11" s="31"/>
      <c r="F11" s="31"/>
      <c r="G11" s="31"/>
      <c r="H11" s="1" t="str">
        <f t="shared" si="4"/>
        <v/>
      </c>
      <c r="I11" s="26" t="s">
        <v>464</v>
      </c>
      <c r="J11" s="31">
        <v>0.62009999999999998</v>
      </c>
      <c r="K11" s="31" t="s">
        <v>464</v>
      </c>
      <c r="L11" s="31">
        <v>0.66720000000000002</v>
      </c>
      <c r="M11" s="1">
        <f t="shared" si="5"/>
        <v>4.7100000000000031E-2</v>
      </c>
      <c r="O11" s="26" t="str">
        <f t="shared" si="0"/>
        <v/>
      </c>
      <c r="P11" s="31" t="e">
        <f t="shared" si="1"/>
        <v>#VALUE!</v>
      </c>
      <c r="Q11" s="39" t="e">
        <f t="shared" si="2"/>
        <v>#VALUE!</v>
      </c>
      <c r="R11" s="39" t="str">
        <f>IF(D11="","",INDEX('WINBUGS data'!$F$17:$AI$65,'Inconsistency Data'!O11,2))</f>
        <v/>
      </c>
      <c r="S11" s="117" t="e">
        <f>INDEX('WINBUGS data'!$F$17:$AI$65,(O11*1),MATCH(Q11,'WINBUGS data'!$F$16:$AI$16,0))</f>
        <v>#VALUE!</v>
      </c>
      <c r="T11" s="88" t="str">
        <f>IF(D11="","",INDEX('WINBUGS Data Inconsistency'!$B$4:$C$18,'Inconsistency Data'!S11,1))</f>
        <v/>
      </c>
      <c r="U11" s="88" t="str">
        <f t="shared" si="3"/>
        <v/>
      </c>
      <c r="V11" s="42" t="str">
        <f t="shared" si="6"/>
        <v/>
      </c>
      <c r="AB11" s="39"/>
      <c r="AC11" s="39"/>
      <c r="AD11" s="39"/>
      <c r="AE11" s="39"/>
      <c r="AH11" s="19"/>
      <c r="AI11" s="19"/>
    </row>
    <row r="12" spans="1:35" x14ac:dyDescent="0.25">
      <c r="D12" s="26"/>
      <c r="E12" s="31"/>
      <c r="F12" s="31"/>
      <c r="G12" s="31"/>
      <c r="H12" s="1" t="str">
        <f t="shared" si="4"/>
        <v/>
      </c>
      <c r="I12" s="26" t="s">
        <v>465</v>
      </c>
      <c r="J12" s="31">
        <v>1.0840000000000001</v>
      </c>
      <c r="K12" s="31" t="s">
        <v>465</v>
      </c>
      <c r="L12" s="31">
        <v>1.2290000000000001</v>
      </c>
      <c r="M12" s="1">
        <f t="shared" si="5"/>
        <v>0.14500000000000002</v>
      </c>
      <c r="O12" s="26" t="str">
        <f t="shared" si="0"/>
        <v/>
      </c>
      <c r="P12" s="31" t="e">
        <f t="shared" si="1"/>
        <v>#VALUE!</v>
      </c>
      <c r="Q12" s="39" t="e">
        <f t="shared" si="2"/>
        <v>#VALUE!</v>
      </c>
      <c r="R12" s="39" t="str">
        <f>IF(D12="","",INDEX('WINBUGS data'!$F$17:$AI$65,'Inconsistency Data'!O12,2))</f>
        <v/>
      </c>
      <c r="S12" s="117" t="e">
        <f>INDEX('WINBUGS data'!$F$17:$AI$65,(O12*1),MATCH(Q12,'WINBUGS data'!$F$16:$AI$16,0))</f>
        <v>#VALUE!</v>
      </c>
      <c r="T12" s="88" t="str">
        <f>IF(D12="","",INDEX('WINBUGS Data Inconsistency'!$B$4:$C$18,'Inconsistency Data'!S12,1))</f>
        <v/>
      </c>
      <c r="U12" s="88" t="str">
        <f t="shared" si="3"/>
        <v/>
      </c>
      <c r="V12" s="42" t="str">
        <f t="shared" si="6"/>
        <v/>
      </c>
      <c r="AB12" s="39"/>
      <c r="AC12" s="39"/>
      <c r="AD12" s="39"/>
      <c r="AE12" s="39"/>
      <c r="AH12" s="19"/>
      <c r="AI12" s="19"/>
    </row>
    <row r="13" spans="1:35" x14ac:dyDescent="0.25">
      <c r="D13" s="26"/>
      <c r="E13" s="31"/>
      <c r="F13" s="31"/>
      <c r="G13" s="31"/>
      <c r="H13" s="1" t="str">
        <f t="shared" si="4"/>
        <v/>
      </c>
      <c r="I13" s="26" t="s">
        <v>466</v>
      </c>
      <c r="J13" s="31">
        <v>0.9677</v>
      </c>
      <c r="K13" s="31" t="s">
        <v>466</v>
      </c>
      <c r="L13" s="31">
        <v>1.2430000000000001</v>
      </c>
      <c r="M13" s="1">
        <f t="shared" si="5"/>
        <v>0.2753000000000001</v>
      </c>
      <c r="O13" s="26" t="str">
        <f t="shared" si="0"/>
        <v/>
      </c>
      <c r="P13" s="31" t="e">
        <f t="shared" si="1"/>
        <v>#VALUE!</v>
      </c>
      <c r="Q13" s="39" t="e">
        <f t="shared" si="2"/>
        <v>#VALUE!</v>
      </c>
      <c r="R13" s="39" t="str">
        <f>IF(D13="","",INDEX('WINBUGS data'!$F$17:$AI$65,'Inconsistency Data'!O13,2))</f>
        <v/>
      </c>
      <c r="S13" s="117" t="e">
        <f>INDEX('WINBUGS data'!$F$17:$AI$65,(O13*1),MATCH(Q13,'WINBUGS data'!$F$16:$AI$16,0))</f>
        <v>#VALUE!</v>
      </c>
      <c r="T13" s="88" t="str">
        <f>IF(D13="","",INDEX('WINBUGS Data Inconsistency'!$B$4:$C$18,'Inconsistency Data'!S13,1))</f>
        <v/>
      </c>
      <c r="U13" s="88" t="str">
        <f t="shared" si="3"/>
        <v/>
      </c>
      <c r="V13" s="42" t="str">
        <f t="shared" si="6"/>
        <v/>
      </c>
      <c r="AB13" s="39"/>
      <c r="AC13" s="39"/>
      <c r="AD13" s="39"/>
      <c r="AE13" s="39"/>
      <c r="AH13" s="19"/>
      <c r="AI13" s="19"/>
    </row>
    <row r="14" spans="1:35" x14ac:dyDescent="0.25">
      <c r="D14" s="26"/>
      <c r="E14" s="31"/>
      <c r="F14" s="31"/>
      <c r="G14" s="31"/>
      <c r="H14" s="1" t="str">
        <f t="shared" si="4"/>
        <v/>
      </c>
      <c r="I14" s="26" t="s">
        <v>467</v>
      </c>
      <c r="J14" s="31">
        <v>0.8508</v>
      </c>
      <c r="K14" s="31" t="s">
        <v>467</v>
      </c>
      <c r="L14" s="31">
        <v>1.077</v>
      </c>
      <c r="M14" s="1">
        <f t="shared" si="5"/>
        <v>0.22619999999999996</v>
      </c>
      <c r="O14" s="26" t="str">
        <f t="shared" si="0"/>
        <v/>
      </c>
      <c r="P14" s="31" t="e">
        <f t="shared" si="1"/>
        <v>#VALUE!</v>
      </c>
      <c r="Q14" s="39" t="e">
        <f t="shared" si="2"/>
        <v>#VALUE!</v>
      </c>
      <c r="R14" s="39" t="str">
        <f>IF(D14="","",INDEX('WINBUGS data'!$F$17:$AI$65,'Inconsistency Data'!O14,2))</f>
        <v/>
      </c>
      <c r="S14" s="117" t="e">
        <f>INDEX('WINBUGS data'!$F$17:$AI$65,(O14*1),MATCH(Q14,'WINBUGS data'!$F$16:$AI$16,0))</f>
        <v>#VALUE!</v>
      </c>
      <c r="T14" s="88" t="str">
        <f>IF(D14="","",INDEX('WINBUGS Data Inconsistency'!$B$4:$C$18,'Inconsistency Data'!S14,1))</f>
        <v/>
      </c>
      <c r="U14" s="88" t="str">
        <f t="shared" si="3"/>
        <v/>
      </c>
      <c r="V14" s="42" t="str">
        <f t="shared" si="6"/>
        <v/>
      </c>
      <c r="AB14" s="39"/>
      <c r="AC14" s="39"/>
      <c r="AD14" s="39"/>
      <c r="AE14" s="39"/>
      <c r="AH14" s="19"/>
      <c r="AI14" s="19"/>
    </row>
    <row r="15" spans="1:35" x14ac:dyDescent="0.25">
      <c r="D15" s="26"/>
      <c r="E15" s="31"/>
      <c r="F15" s="31"/>
      <c r="G15" s="31"/>
      <c r="H15" s="1" t="str">
        <f t="shared" si="4"/>
        <v/>
      </c>
      <c r="I15" s="26" t="s">
        <v>468</v>
      </c>
      <c r="J15" s="31">
        <v>0.93740000000000001</v>
      </c>
      <c r="K15" s="31" t="s">
        <v>468</v>
      </c>
      <c r="L15" s="31">
        <v>1.194</v>
      </c>
      <c r="M15" s="1">
        <f t="shared" si="5"/>
        <v>0.25659999999999994</v>
      </c>
      <c r="O15" s="26" t="str">
        <f t="shared" si="0"/>
        <v/>
      </c>
      <c r="P15" s="31" t="e">
        <f t="shared" si="1"/>
        <v>#VALUE!</v>
      </c>
      <c r="Q15" s="39" t="e">
        <f t="shared" si="2"/>
        <v>#VALUE!</v>
      </c>
      <c r="R15" s="39" t="str">
        <f>IF(D15="","",INDEX('WINBUGS data'!$F$17:$AI$65,'Inconsistency Data'!O15,2))</f>
        <v/>
      </c>
      <c r="S15" s="117" t="e">
        <f>INDEX('WINBUGS data'!$F$17:$AI$65,(O15*1),MATCH(Q15,'WINBUGS data'!$F$16:$AI$16,0))</f>
        <v>#VALUE!</v>
      </c>
      <c r="T15" s="88" t="str">
        <f>IF(D15="","",INDEX('WINBUGS Data Inconsistency'!$B$4:$C$18,'Inconsistency Data'!S15,1))</f>
        <v/>
      </c>
      <c r="U15" s="88" t="str">
        <f t="shared" si="3"/>
        <v/>
      </c>
      <c r="V15" s="42" t="str">
        <f t="shared" si="6"/>
        <v/>
      </c>
      <c r="AB15" s="39"/>
      <c r="AC15" s="39"/>
      <c r="AD15" s="39"/>
      <c r="AE15" s="39"/>
      <c r="AH15" s="19"/>
      <c r="AI15" s="19"/>
    </row>
    <row r="16" spans="1:35" x14ac:dyDescent="0.25">
      <c r="D16" s="26"/>
      <c r="E16" s="31"/>
      <c r="F16" s="31"/>
      <c r="G16" s="31"/>
      <c r="H16" s="1" t="str">
        <f t="shared" si="4"/>
        <v/>
      </c>
      <c r="I16" s="26" t="s">
        <v>469</v>
      </c>
      <c r="J16" s="31">
        <v>0.66869999999999996</v>
      </c>
      <c r="K16" s="31" t="s">
        <v>469</v>
      </c>
      <c r="L16" s="31">
        <v>0.44650000000000001</v>
      </c>
      <c r="M16" s="1">
        <f t="shared" si="5"/>
        <v>-0.22219999999999995</v>
      </c>
      <c r="O16" s="26" t="str">
        <f t="shared" si="0"/>
        <v/>
      </c>
      <c r="P16" s="31" t="e">
        <f t="shared" si="1"/>
        <v>#VALUE!</v>
      </c>
      <c r="Q16" s="39" t="e">
        <f t="shared" si="2"/>
        <v>#VALUE!</v>
      </c>
      <c r="R16" s="39" t="str">
        <f>IF(D16="","",INDEX('WINBUGS data'!$F$17:$AI$65,'Inconsistency Data'!O16,2))</f>
        <v/>
      </c>
      <c r="S16" s="117" t="e">
        <f>INDEX('WINBUGS data'!$F$17:$AI$65,(O16*1),MATCH(Q16,'WINBUGS data'!$F$16:$AI$16,0))</f>
        <v>#VALUE!</v>
      </c>
      <c r="T16" s="88" t="str">
        <f>IF(D16="","",INDEX('WINBUGS Data Inconsistency'!$B$4:$C$18,'Inconsistency Data'!S16,1))</f>
        <v/>
      </c>
      <c r="U16" s="88" t="str">
        <f t="shared" si="3"/>
        <v/>
      </c>
      <c r="V16" s="42" t="str">
        <f t="shared" si="6"/>
        <v/>
      </c>
      <c r="AB16" s="39"/>
      <c r="AC16" s="39"/>
      <c r="AD16" s="39"/>
      <c r="AE16" s="39"/>
      <c r="AH16" s="19"/>
      <c r="AI16" s="19"/>
    </row>
    <row r="17" spans="4:35" x14ac:dyDescent="0.25">
      <c r="D17" s="26"/>
      <c r="E17" s="31"/>
      <c r="F17" s="31"/>
      <c r="G17" s="31"/>
      <c r="H17" s="1" t="str">
        <f t="shared" si="4"/>
        <v/>
      </c>
      <c r="I17" s="26" t="s">
        <v>470</v>
      </c>
      <c r="J17" s="31">
        <v>0.83499999999999996</v>
      </c>
      <c r="K17" s="31" t="s">
        <v>470</v>
      </c>
      <c r="L17" s="31">
        <v>0.80430000000000001</v>
      </c>
      <c r="M17" s="1">
        <f t="shared" si="5"/>
        <v>-3.069999999999995E-2</v>
      </c>
      <c r="O17" s="26" t="str">
        <f t="shared" si="0"/>
        <v/>
      </c>
      <c r="P17" s="31" t="e">
        <f t="shared" si="1"/>
        <v>#VALUE!</v>
      </c>
      <c r="Q17" s="39" t="e">
        <f t="shared" si="2"/>
        <v>#VALUE!</v>
      </c>
      <c r="R17" s="39" t="str">
        <f>IF(D17="","",INDEX('WINBUGS data'!$F$17:$AI$65,'Inconsistency Data'!O17,2))</f>
        <v/>
      </c>
      <c r="S17" s="117" t="e">
        <f>INDEX('WINBUGS data'!$F$17:$AI$65,(O17*1),MATCH(Q17,'WINBUGS data'!$F$16:$AI$16,0))</f>
        <v>#VALUE!</v>
      </c>
      <c r="T17" s="88" t="str">
        <f>IF(D17="","",INDEX('WINBUGS Data Inconsistency'!$B$4:$C$18,'Inconsistency Data'!S17,1))</f>
        <v/>
      </c>
      <c r="U17" s="88" t="str">
        <f t="shared" si="3"/>
        <v/>
      </c>
      <c r="V17" s="42" t="str">
        <f t="shared" si="6"/>
        <v/>
      </c>
      <c r="AB17" s="39"/>
      <c r="AC17" s="39"/>
      <c r="AD17" s="39"/>
      <c r="AE17" s="39"/>
      <c r="AH17" s="19"/>
      <c r="AI17" s="19"/>
    </row>
    <row r="18" spans="4:35" x14ac:dyDescent="0.25">
      <c r="D18" s="26"/>
      <c r="E18" s="31"/>
      <c r="F18" s="31"/>
      <c r="G18" s="31"/>
      <c r="H18" s="1" t="str">
        <f t="shared" si="4"/>
        <v/>
      </c>
      <c r="I18" s="26" t="s">
        <v>471</v>
      </c>
      <c r="J18" s="31">
        <v>0.89870000000000005</v>
      </c>
      <c r="K18" s="31" t="s">
        <v>471</v>
      </c>
      <c r="L18" s="31">
        <v>0.94089999999999996</v>
      </c>
      <c r="M18" s="1">
        <f t="shared" si="5"/>
        <v>4.2199999999999904E-2</v>
      </c>
      <c r="O18" s="26" t="str">
        <f t="shared" si="0"/>
        <v/>
      </c>
      <c r="P18" s="31" t="e">
        <f t="shared" si="1"/>
        <v>#VALUE!</v>
      </c>
      <c r="Q18" s="39" t="e">
        <f t="shared" si="2"/>
        <v>#VALUE!</v>
      </c>
      <c r="R18" s="39" t="str">
        <f>IF(D18="","",INDEX('WINBUGS data'!$F$17:$AI$65,'Inconsistency Data'!O18,2))</f>
        <v/>
      </c>
      <c r="S18" s="117" t="e">
        <f>INDEX('WINBUGS data'!$F$17:$AI$65,(O18*1),MATCH(Q18,'WINBUGS data'!$F$16:$AI$16,0))</f>
        <v>#VALUE!</v>
      </c>
      <c r="T18" s="88" t="str">
        <f>IF(D18="","",INDEX('WINBUGS Data Inconsistency'!$B$4:$C$18,'Inconsistency Data'!S18,1))</f>
        <v/>
      </c>
      <c r="U18" s="88" t="str">
        <f t="shared" si="3"/>
        <v/>
      </c>
      <c r="V18" s="42" t="str">
        <f t="shared" si="6"/>
        <v/>
      </c>
      <c r="AB18" s="39"/>
      <c r="AC18" s="39"/>
      <c r="AD18" s="39"/>
      <c r="AE18" s="39"/>
      <c r="AH18" s="19"/>
      <c r="AI18" s="19"/>
    </row>
    <row r="19" spans="4:35" x14ac:dyDescent="0.25">
      <c r="D19" s="26"/>
      <c r="E19" s="31"/>
      <c r="F19" s="31"/>
      <c r="G19" s="31"/>
      <c r="H19" s="1" t="str">
        <f t="shared" si="4"/>
        <v/>
      </c>
      <c r="I19" s="26" t="s">
        <v>472</v>
      </c>
      <c r="J19" s="31">
        <v>0.9284</v>
      </c>
      <c r="K19" s="31" t="s">
        <v>472</v>
      </c>
      <c r="L19" s="31">
        <v>0.96450000000000002</v>
      </c>
      <c r="M19" s="1">
        <f t="shared" si="5"/>
        <v>3.6100000000000021E-2</v>
      </c>
      <c r="O19" s="26" t="str">
        <f t="shared" si="0"/>
        <v/>
      </c>
      <c r="P19" s="31" t="e">
        <f t="shared" si="1"/>
        <v>#VALUE!</v>
      </c>
      <c r="Q19" s="39" t="e">
        <f t="shared" si="2"/>
        <v>#VALUE!</v>
      </c>
      <c r="R19" s="39" t="str">
        <f>IF(D19="","",INDEX('WINBUGS data'!$F$17:$AI$65,'Inconsistency Data'!O19,2))</f>
        <v/>
      </c>
      <c r="S19" s="117" t="e">
        <f>INDEX('WINBUGS data'!$F$17:$AI$65,(O19*1),MATCH(Q19,'WINBUGS data'!$F$16:$AI$16,0))</f>
        <v>#VALUE!</v>
      </c>
      <c r="T19" s="88" t="str">
        <f>IF(D19="","",INDEX('WINBUGS Data Inconsistency'!$B$4:$C$18,'Inconsistency Data'!S19,1))</f>
        <v/>
      </c>
      <c r="U19" s="88" t="str">
        <f t="shared" si="3"/>
        <v/>
      </c>
      <c r="V19" s="42" t="str">
        <f t="shared" si="6"/>
        <v/>
      </c>
      <c r="AB19" s="39"/>
      <c r="AC19" s="39"/>
      <c r="AD19" s="39"/>
      <c r="AE19" s="39"/>
      <c r="AH19" s="19"/>
      <c r="AI19" s="19"/>
    </row>
    <row r="20" spans="4:35" x14ac:dyDescent="0.25">
      <c r="D20" s="26"/>
      <c r="E20" s="31"/>
      <c r="F20" s="31"/>
      <c r="G20" s="31"/>
      <c r="H20" s="1" t="str">
        <f t="shared" si="4"/>
        <v/>
      </c>
      <c r="I20" s="26" t="s">
        <v>473</v>
      </c>
      <c r="J20" s="31">
        <v>0.87450000000000006</v>
      </c>
      <c r="K20" s="31" t="s">
        <v>473</v>
      </c>
      <c r="L20" s="31">
        <v>0.96679999999999999</v>
      </c>
      <c r="M20" s="1">
        <f t="shared" si="5"/>
        <v>9.2299999999999938E-2</v>
      </c>
      <c r="O20" s="26" t="str">
        <f t="shared" si="0"/>
        <v/>
      </c>
      <c r="P20" s="31" t="e">
        <f t="shared" si="1"/>
        <v>#VALUE!</v>
      </c>
      <c r="Q20" s="39" t="e">
        <f t="shared" si="2"/>
        <v>#VALUE!</v>
      </c>
      <c r="R20" s="39" t="str">
        <f>IF(D20="","",INDEX('WINBUGS data'!$F$17:$AI$65,'Inconsistency Data'!O20,2))</f>
        <v/>
      </c>
      <c r="S20" s="117" t="e">
        <f>INDEX('WINBUGS data'!$F$17:$AI$65,(O20*1),MATCH(Q20,'WINBUGS data'!$F$16:$AI$16,0))</f>
        <v>#VALUE!</v>
      </c>
      <c r="T20" s="88" t="str">
        <f>IF(D20="","",INDEX('WINBUGS Data Inconsistency'!$B$4:$C$18,'Inconsistency Data'!S20,1))</f>
        <v/>
      </c>
      <c r="U20" s="88" t="str">
        <f t="shared" si="3"/>
        <v/>
      </c>
      <c r="V20" s="42" t="str">
        <f t="shared" si="6"/>
        <v/>
      </c>
      <c r="AB20" s="39"/>
      <c r="AC20" s="39"/>
      <c r="AD20" s="39"/>
      <c r="AE20" s="39"/>
      <c r="AH20" s="19"/>
      <c r="AI20" s="19"/>
    </row>
    <row r="21" spans="4:35" x14ac:dyDescent="0.25">
      <c r="D21" s="26"/>
      <c r="E21" s="31"/>
      <c r="F21" s="31"/>
      <c r="G21" s="31"/>
      <c r="H21" s="1" t="str">
        <f t="shared" si="4"/>
        <v/>
      </c>
      <c r="I21" s="26" t="s">
        <v>474</v>
      </c>
      <c r="J21" s="31">
        <v>0.84809999999999997</v>
      </c>
      <c r="K21" s="31" t="s">
        <v>474</v>
      </c>
      <c r="L21" s="31">
        <v>0.9758</v>
      </c>
      <c r="M21" s="1">
        <f t="shared" si="5"/>
        <v>0.12770000000000004</v>
      </c>
      <c r="O21" s="26" t="str">
        <f t="shared" si="0"/>
        <v/>
      </c>
      <c r="P21" s="31" t="e">
        <f t="shared" si="1"/>
        <v>#VALUE!</v>
      </c>
      <c r="Q21" s="39" t="e">
        <f t="shared" si="2"/>
        <v>#VALUE!</v>
      </c>
      <c r="R21" s="39" t="str">
        <f>IF(D21="","",INDEX('WINBUGS data'!$F$17:$AI$65,'Inconsistency Data'!O21,2))</f>
        <v/>
      </c>
      <c r="S21" s="117" t="e">
        <f>INDEX('WINBUGS data'!$F$17:$AI$65,(O21*1),MATCH(Q21,'WINBUGS data'!$F$16:$AI$16,0))</f>
        <v>#VALUE!</v>
      </c>
      <c r="T21" s="88" t="str">
        <f>IF(D21="","",INDEX('WINBUGS Data Inconsistency'!$B$4:$C$18,'Inconsistency Data'!S21,1))</f>
        <v/>
      </c>
      <c r="U21" s="88" t="str">
        <f t="shared" si="3"/>
        <v/>
      </c>
      <c r="V21" s="42" t="str">
        <f t="shared" si="6"/>
        <v/>
      </c>
      <c r="AB21" s="39"/>
      <c r="AC21" s="39"/>
      <c r="AD21" s="39"/>
      <c r="AE21" s="39"/>
      <c r="AH21" s="19"/>
      <c r="AI21" s="19"/>
    </row>
    <row r="22" spans="4:35" x14ac:dyDescent="0.25">
      <c r="D22" s="26"/>
      <c r="E22" s="31"/>
      <c r="F22" s="31"/>
      <c r="G22" s="31"/>
      <c r="H22" s="1" t="str">
        <f t="shared" si="4"/>
        <v/>
      </c>
      <c r="I22" s="26" t="s">
        <v>475</v>
      </c>
      <c r="J22" s="31">
        <v>1.0089999999999999</v>
      </c>
      <c r="K22" s="31" t="s">
        <v>475</v>
      </c>
      <c r="L22" s="31">
        <v>0.76459999999999995</v>
      </c>
      <c r="M22" s="1">
        <f t="shared" si="5"/>
        <v>-0.24439999999999995</v>
      </c>
      <c r="O22" s="26" t="str">
        <f t="shared" si="0"/>
        <v/>
      </c>
      <c r="P22" s="31" t="e">
        <f t="shared" si="1"/>
        <v>#VALUE!</v>
      </c>
      <c r="Q22" s="39" t="e">
        <f t="shared" si="2"/>
        <v>#VALUE!</v>
      </c>
      <c r="R22" s="39" t="str">
        <f>IF(D22="","",INDEX('WINBUGS data'!$F$17:$AI$65,'Inconsistency Data'!O22,2))</f>
        <v/>
      </c>
      <c r="S22" s="117" t="e">
        <f>INDEX('WINBUGS data'!$F$17:$AI$65,(O22*1),MATCH(Q22,'WINBUGS data'!$F$16:$AI$16,0))</f>
        <v>#VALUE!</v>
      </c>
      <c r="T22" s="88" t="str">
        <f>IF(D22="","",INDEX('WINBUGS Data Inconsistency'!$B$4:$C$18,'Inconsistency Data'!S22,1))</f>
        <v/>
      </c>
      <c r="U22" s="88" t="str">
        <f t="shared" si="3"/>
        <v/>
      </c>
      <c r="V22" s="42" t="str">
        <f t="shared" si="6"/>
        <v/>
      </c>
      <c r="AB22" s="39"/>
      <c r="AC22" s="39"/>
      <c r="AD22" s="39"/>
      <c r="AE22" s="39"/>
      <c r="AH22" s="19"/>
      <c r="AI22" s="19"/>
    </row>
    <row r="23" spans="4:35" x14ac:dyDescent="0.25">
      <c r="D23" s="26"/>
      <c r="E23" s="31"/>
      <c r="F23" s="31"/>
      <c r="G23" s="31"/>
      <c r="H23" s="1" t="str">
        <f t="shared" si="4"/>
        <v/>
      </c>
      <c r="I23" s="26" t="s">
        <v>476</v>
      </c>
      <c r="J23" s="31">
        <v>1.353</v>
      </c>
      <c r="K23" s="31" t="s">
        <v>476</v>
      </c>
      <c r="L23" s="31">
        <v>1.1859999999999999</v>
      </c>
      <c r="M23" s="1">
        <f t="shared" si="5"/>
        <v>-0.16700000000000004</v>
      </c>
      <c r="O23" s="26" t="str">
        <f t="shared" si="0"/>
        <v/>
      </c>
      <c r="P23" s="31" t="e">
        <f t="shared" si="1"/>
        <v>#VALUE!</v>
      </c>
      <c r="Q23" s="39" t="e">
        <f t="shared" si="2"/>
        <v>#VALUE!</v>
      </c>
      <c r="R23" s="39" t="str">
        <f>IF(D23="","",INDEX('WINBUGS data'!$F$17:$AI$65,'Inconsistency Data'!O23,2))</f>
        <v/>
      </c>
      <c r="S23" s="117" t="e">
        <f>INDEX('WINBUGS data'!$F$17:$AI$65,(O23*1),MATCH(Q23,'WINBUGS data'!$F$16:$AI$16,0))</f>
        <v>#VALUE!</v>
      </c>
      <c r="T23" s="88" t="str">
        <f>IF(D23="","",INDEX('WINBUGS Data Inconsistency'!$B$4:$C$18,'Inconsistency Data'!S23,1))</f>
        <v/>
      </c>
      <c r="U23" s="88" t="str">
        <f t="shared" si="3"/>
        <v/>
      </c>
      <c r="V23" s="42" t="str">
        <f t="shared" si="6"/>
        <v/>
      </c>
      <c r="AB23" s="39"/>
      <c r="AC23" s="39"/>
      <c r="AD23" s="39"/>
      <c r="AE23" s="39"/>
      <c r="AH23" s="19"/>
      <c r="AI23" s="19"/>
    </row>
    <row r="24" spans="4:35" x14ac:dyDescent="0.25">
      <c r="D24" s="26"/>
      <c r="E24" s="31"/>
      <c r="F24" s="31"/>
      <c r="G24" s="31"/>
      <c r="H24" s="1" t="str">
        <f t="shared" si="4"/>
        <v/>
      </c>
      <c r="I24" s="26" t="s">
        <v>477</v>
      </c>
      <c r="J24" s="31">
        <v>0.68679999999999997</v>
      </c>
      <c r="K24" s="31" t="s">
        <v>477</v>
      </c>
      <c r="L24" s="31">
        <v>0.67510000000000003</v>
      </c>
      <c r="M24" s="1">
        <f t="shared" si="5"/>
        <v>-1.1699999999999933E-2</v>
      </c>
      <c r="O24" s="26" t="str">
        <f t="shared" si="0"/>
        <v/>
      </c>
      <c r="P24" s="31" t="e">
        <f t="shared" si="1"/>
        <v>#VALUE!</v>
      </c>
      <c r="Q24" s="39" t="e">
        <f t="shared" si="2"/>
        <v>#VALUE!</v>
      </c>
      <c r="R24" s="39" t="str">
        <f>IF(D24="","",INDEX('WINBUGS data'!$F$17:$AI$65,'Inconsistency Data'!O24,2))</f>
        <v/>
      </c>
      <c r="S24" s="117" t="e">
        <f>INDEX('WINBUGS data'!$F$17:$AI$65,(O24*1),MATCH(Q24,'WINBUGS data'!$F$16:$AI$16,0))</f>
        <v>#VALUE!</v>
      </c>
      <c r="T24" s="88" t="str">
        <f>IF(D24="","",INDEX('WINBUGS Data Inconsistency'!$B$4:$C$18,'Inconsistency Data'!S24,1))</f>
        <v/>
      </c>
      <c r="U24" s="88" t="str">
        <f t="shared" si="3"/>
        <v/>
      </c>
      <c r="V24" s="42" t="str">
        <f t="shared" si="6"/>
        <v/>
      </c>
      <c r="AB24" s="39"/>
      <c r="AC24" s="39"/>
      <c r="AD24" s="39"/>
      <c r="AE24" s="39"/>
      <c r="AH24" s="19"/>
      <c r="AI24" s="19"/>
    </row>
    <row r="25" spans="4:35" x14ac:dyDescent="0.25">
      <c r="D25" s="26"/>
      <c r="E25" s="31"/>
      <c r="F25" s="31"/>
      <c r="G25" s="31"/>
      <c r="H25" s="1" t="str">
        <f t="shared" si="4"/>
        <v/>
      </c>
      <c r="I25" s="26" t="s">
        <v>478</v>
      </c>
      <c r="J25" s="31">
        <v>0.65329999999999999</v>
      </c>
      <c r="K25" s="31" t="s">
        <v>478</v>
      </c>
      <c r="L25" s="31">
        <v>0.64870000000000005</v>
      </c>
      <c r="M25" s="1">
        <f t="shared" si="5"/>
        <v>-4.5999999999999375E-3</v>
      </c>
      <c r="O25" s="26" t="str">
        <f t="shared" si="0"/>
        <v/>
      </c>
      <c r="P25" s="31" t="e">
        <f t="shared" si="1"/>
        <v>#VALUE!</v>
      </c>
      <c r="Q25" s="39" t="e">
        <f t="shared" si="2"/>
        <v>#VALUE!</v>
      </c>
      <c r="R25" s="39" t="str">
        <f>IF(D25="","",INDEX('WINBUGS data'!$F$17:$AI$65,'Inconsistency Data'!O25,2))</f>
        <v/>
      </c>
      <c r="S25" s="117" t="e">
        <f>INDEX('WINBUGS data'!$F$17:$AI$65,(O25*1),MATCH(Q25,'WINBUGS data'!$F$16:$AI$16,0))</f>
        <v>#VALUE!</v>
      </c>
      <c r="T25" s="88" t="str">
        <f>IF(D25="","",INDEX('WINBUGS Data Inconsistency'!$B$4:$C$18,'Inconsistency Data'!S25,1))</f>
        <v/>
      </c>
      <c r="U25" s="88" t="str">
        <f t="shared" si="3"/>
        <v/>
      </c>
      <c r="V25" s="42" t="str">
        <f t="shared" si="6"/>
        <v/>
      </c>
      <c r="AB25" s="39"/>
      <c r="AC25" s="39"/>
      <c r="AD25" s="39"/>
      <c r="AE25" s="39"/>
      <c r="AH25" s="19"/>
      <c r="AI25" s="19"/>
    </row>
    <row r="26" spans="4:35" x14ac:dyDescent="0.25">
      <c r="D26" s="41"/>
      <c r="E26" s="39"/>
      <c r="F26" s="39"/>
      <c r="G26" s="39"/>
      <c r="H26" s="52" t="str">
        <f t="shared" si="4"/>
        <v/>
      </c>
      <c r="I26" s="41" t="s">
        <v>479</v>
      </c>
      <c r="J26" s="39">
        <v>1.4370000000000001</v>
      </c>
      <c r="K26" s="39" t="s">
        <v>479</v>
      </c>
      <c r="L26" s="39">
        <v>1.526</v>
      </c>
      <c r="M26" s="52">
        <f t="shared" si="5"/>
        <v>8.8999999999999968E-2</v>
      </c>
      <c r="O26" s="26" t="str">
        <f t="shared" si="0"/>
        <v/>
      </c>
      <c r="P26" s="31" t="e">
        <f t="shared" si="1"/>
        <v>#VALUE!</v>
      </c>
      <c r="Q26" s="39" t="e">
        <f t="shared" si="2"/>
        <v>#VALUE!</v>
      </c>
      <c r="R26" s="39" t="str">
        <f>IF(D26="","",INDEX('WINBUGS data'!$F$17:$AI$65,'Inconsistency Data'!O26,2))</f>
        <v/>
      </c>
      <c r="S26" s="117" t="e">
        <f>INDEX('WINBUGS data'!$F$17:$AI$65,(O26*1),MATCH(Q26,'WINBUGS data'!$F$16:$AI$16,0))</f>
        <v>#VALUE!</v>
      </c>
      <c r="T26" s="88" t="str">
        <f>IF(D26="","",INDEX('WINBUGS Data Inconsistency'!$B$4:$C$18,'Inconsistency Data'!S26,1))</f>
        <v/>
      </c>
      <c r="U26" s="88" t="str">
        <f t="shared" si="3"/>
        <v/>
      </c>
      <c r="V26" s="42" t="str">
        <f t="shared" si="6"/>
        <v/>
      </c>
    </row>
    <row r="27" spans="4:35" x14ac:dyDescent="0.25">
      <c r="D27" s="41"/>
      <c r="E27" s="39"/>
      <c r="F27" s="39"/>
      <c r="G27" s="39"/>
      <c r="H27" s="52" t="str">
        <f t="shared" si="4"/>
        <v/>
      </c>
      <c r="I27" s="41" t="s">
        <v>480</v>
      </c>
      <c r="J27" s="39">
        <v>1.2809999999999999</v>
      </c>
      <c r="K27" s="39" t="s">
        <v>480</v>
      </c>
      <c r="L27" s="39">
        <v>1.2889999999999999</v>
      </c>
      <c r="M27" s="52">
        <f t="shared" si="5"/>
        <v>8.0000000000000071E-3</v>
      </c>
      <c r="O27" s="26" t="str">
        <f t="shared" si="0"/>
        <v/>
      </c>
      <c r="P27" s="31" t="e">
        <f t="shared" si="1"/>
        <v>#VALUE!</v>
      </c>
      <c r="Q27" s="39" t="e">
        <f t="shared" si="2"/>
        <v>#VALUE!</v>
      </c>
      <c r="R27" s="39" t="str">
        <f>IF(D27="","",INDEX('WINBUGS data'!$F$17:$AI$65,'Inconsistency Data'!O27,2))</f>
        <v/>
      </c>
      <c r="S27" s="117" t="e">
        <f>INDEX('WINBUGS data'!$F$17:$AI$65,(O27*1),MATCH(Q27,'WINBUGS data'!$F$16:$AI$16,0))</f>
        <v>#VALUE!</v>
      </c>
      <c r="T27" s="88" t="str">
        <f>IF(D27="","",INDEX('WINBUGS Data Inconsistency'!$B$4:$C$18,'Inconsistency Data'!S27,1))</f>
        <v/>
      </c>
      <c r="U27" s="88" t="str">
        <f t="shared" si="3"/>
        <v/>
      </c>
      <c r="V27" s="42" t="str">
        <f t="shared" si="6"/>
        <v/>
      </c>
    </row>
    <row r="28" spans="4:35" x14ac:dyDescent="0.25">
      <c r="D28" s="41"/>
      <c r="E28" s="39"/>
      <c r="F28" s="39"/>
      <c r="G28" s="39"/>
      <c r="H28" s="52" t="str">
        <f t="shared" si="4"/>
        <v/>
      </c>
      <c r="I28" s="41" t="s">
        <v>481</v>
      </c>
      <c r="J28" s="39">
        <v>0.78059999999999996</v>
      </c>
      <c r="K28" s="39" t="s">
        <v>481</v>
      </c>
      <c r="L28" s="39">
        <v>0.73009999999999997</v>
      </c>
      <c r="M28" s="52">
        <f t="shared" si="5"/>
        <v>-5.0499999999999989E-2</v>
      </c>
      <c r="O28" s="26" t="str">
        <f t="shared" si="0"/>
        <v/>
      </c>
      <c r="P28" s="31" t="e">
        <f t="shared" si="1"/>
        <v>#VALUE!</v>
      </c>
      <c r="Q28" s="39" t="e">
        <f t="shared" si="2"/>
        <v>#VALUE!</v>
      </c>
      <c r="R28" s="39" t="str">
        <f>IF(D28="","",INDEX('WINBUGS data'!$F$17:$AI$65,'Inconsistency Data'!O28,2))</f>
        <v/>
      </c>
      <c r="S28" s="117" t="e">
        <f>INDEX('WINBUGS data'!$F$17:$AI$65,(O28*1),MATCH(Q28,'WINBUGS data'!$F$16:$AI$16,0))</f>
        <v>#VALUE!</v>
      </c>
      <c r="T28" s="88" t="str">
        <f>IF(D28="","",INDEX('WINBUGS Data Inconsistency'!$B$4:$C$18,'Inconsistency Data'!S28,1))</f>
        <v/>
      </c>
      <c r="U28" s="88" t="str">
        <f t="shared" si="3"/>
        <v/>
      </c>
      <c r="V28" s="42" t="str">
        <f t="shared" si="6"/>
        <v/>
      </c>
    </row>
    <row r="29" spans="4:35" x14ac:dyDescent="0.25">
      <c r="D29" s="41"/>
      <c r="E29" s="39"/>
      <c r="F29" s="39"/>
      <c r="G29" s="39"/>
      <c r="H29" s="52" t="str">
        <f t="shared" si="4"/>
        <v/>
      </c>
      <c r="I29" s="41" t="s">
        <v>482</v>
      </c>
      <c r="J29" s="39">
        <v>0.79369999999999996</v>
      </c>
      <c r="K29" s="39" t="s">
        <v>482</v>
      </c>
      <c r="L29" s="39">
        <v>0.76990000000000003</v>
      </c>
      <c r="M29" s="52">
        <f t="shared" si="5"/>
        <v>-2.3799999999999932E-2</v>
      </c>
      <c r="O29" s="26" t="str">
        <f t="shared" si="0"/>
        <v/>
      </c>
      <c r="P29" s="31" t="e">
        <f t="shared" si="1"/>
        <v>#VALUE!</v>
      </c>
      <c r="Q29" s="39" t="e">
        <f t="shared" si="2"/>
        <v>#VALUE!</v>
      </c>
      <c r="R29" s="39" t="str">
        <f>IF(D29="","",INDEX('WINBUGS data'!$F$17:$AI$65,'Inconsistency Data'!O29,2))</f>
        <v/>
      </c>
      <c r="S29" s="117" t="e">
        <f>INDEX('WINBUGS data'!$F$17:$AI$65,(O29*1),MATCH(Q29,'WINBUGS data'!$F$16:$AI$16,0))</f>
        <v>#VALUE!</v>
      </c>
      <c r="T29" s="88" t="str">
        <f>IF(D29="","",INDEX('WINBUGS Data Inconsistency'!$B$4:$C$18,'Inconsistency Data'!S29,1))</f>
        <v/>
      </c>
      <c r="U29" s="88" t="str">
        <f t="shared" si="3"/>
        <v/>
      </c>
      <c r="V29" s="42" t="str">
        <f t="shared" si="6"/>
        <v/>
      </c>
    </row>
    <row r="30" spans="4:35" x14ac:dyDescent="0.25">
      <c r="D30" s="41"/>
      <c r="E30" s="39"/>
      <c r="F30" s="39"/>
      <c r="G30" s="39"/>
      <c r="H30" s="52" t="str">
        <f t="shared" si="4"/>
        <v/>
      </c>
      <c r="I30" s="41" t="s">
        <v>555</v>
      </c>
      <c r="J30" s="39">
        <v>0.77170000000000005</v>
      </c>
      <c r="K30" s="39" t="s">
        <v>555</v>
      </c>
      <c r="L30" s="39">
        <v>0.86419999999999997</v>
      </c>
      <c r="M30" s="52">
        <f t="shared" si="5"/>
        <v>9.2499999999999916E-2</v>
      </c>
      <c r="O30" s="26" t="str">
        <f t="shared" si="0"/>
        <v/>
      </c>
      <c r="P30" s="31" t="e">
        <f t="shared" si="1"/>
        <v>#VALUE!</v>
      </c>
      <c r="Q30" s="39" t="e">
        <f t="shared" si="2"/>
        <v>#VALUE!</v>
      </c>
      <c r="R30" s="39" t="str">
        <f>IF(D30="","",INDEX('WINBUGS data'!$F$17:$AI$65,'Inconsistency Data'!O30,2))</f>
        <v/>
      </c>
      <c r="S30" s="117" t="e">
        <f>INDEX('WINBUGS data'!$F$17:$AI$65,(O30*1),MATCH(Q30,'WINBUGS data'!$F$16:$AI$16,0))</f>
        <v>#VALUE!</v>
      </c>
      <c r="T30" s="88" t="str">
        <f>IF(D30="","",INDEX('WINBUGS Data Inconsistency'!$B$4:$C$18,'Inconsistency Data'!S30,1))</f>
        <v/>
      </c>
      <c r="U30" s="88" t="str">
        <f t="shared" si="3"/>
        <v/>
      </c>
      <c r="V30" s="42" t="str">
        <f t="shared" si="6"/>
        <v/>
      </c>
    </row>
    <row r="31" spans="4:35" x14ac:dyDescent="0.25">
      <c r="D31" s="41"/>
      <c r="E31" s="39"/>
      <c r="F31" s="39"/>
      <c r="G31" s="39"/>
      <c r="H31" s="52" t="str">
        <f t="shared" si="4"/>
        <v/>
      </c>
      <c r="I31" s="41" t="s">
        <v>556</v>
      </c>
      <c r="J31" s="39">
        <v>0.69899999999999995</v>
      </c>
      <c r="K31" s="39" t="s">
        <v>556</v>
      </c>
      <c r="L31" s="39">
        <v>0.79720000000000002</v>
      </c>
      <c r="M31" s="52">
        <f t="shared" si="5"/>
        <v>9.8200000000000065E-2</v>
      </c>
      <c r="O31" s="26" t="str">
        <f t="shared" si="0"/>
        <v/>
      </c>
      <c r="P31" s="31" t="e">
        <f t="shared" si="1"/>
        <v>#VALUE!</v>
      </c>
      <c r="Q31" s="39" t="e">
        <f t="shared" si="2"/>
        <v>#VALUE!</v>
      </c>
      <c r="R31" s="39" t="str">
        <f>IF(D31="","",INDEX('WINBUGS data'!$F$17:$AI$65,'Inconsistency Data'!O31,2))</f>
        <v/>
      </c>
      <c r="S31" s="117" t="e">
        <f>INDEX('WINBUGS data'!$F$17:$AI$65,(O31*1),MATCH(Q31,'WINBUGS data'!$F$16:$AI$16,0))</f>
        <v>#VALUE!</v>
      </c>
      <c r="T31" s="88" t="str">
        <f>IF(D31="","",INDEX('WINBUGS Data Inconsistency'!$B$4:$C$18,'Inconsistency Data'!S31,1))</f>
        <v/>
      </c>
      <c r="U31" s="88" t="str">
        <f t="shared" si="3"/>
        <v/>
      </c>
      <c r="V31" s="42" t="str">
        <f t="shared" si="6"/>
        <v/>
      </c>
    </row>
    <row r="32" spans="4:35" hidden="1" x14ac:dyDescent="0.25">
      <c r="D32" s="41"/>
      <c r="E32" s="39"/>
      <c r="F32" s="39"/>
      <c r="G32" s="39"/>
      <c r="H32" s="52" t="str">
        <f t="shared" si="4"/>
        <v/>
      </c>
      <c r="I32" s="41" t="s">
        <v>557</v>
      </c>
      <c r="J32" s="39">
        <v>0.5393</v>
      </c>
      <c r="K32" s="39" t="s">
        <v>557</v>
      </c>
      <c r="L32" s="39">
        <v>0.52829999999999999</v>
      </c>
      <c r="M32" s="52">
        <f t="shared" si="5"/>
        <v>-1.100000000000001E-2</v>
      </c>
      <c r="O32" s="26" t="str">
        <f t="shared" si="0"/>
        <v/>
      </c>
      <c r="P32" s="31" t="e">
        <f t="shared" si="1"/>
        <v>#VALUE!</v>
      </c>
      <c r="Q32" s="39" t="e">
        <f t="shared" si="2"/>
        <v>#VALUE!</v>
      </c>
      <c r="R32" s="39" t="str">
        <f>IF(D32="","",INDEX('WINBUGS data'!$F$17:$AI$65,'Inconsistency Data'!O32,2))</f>
        <v/>
      </c>
      <c r="S32" s="117" t="e">
        <f>INDEX('WINBUGS data'!$F$17:$AI$65,(O32*1),MATCH(Q32,'WINBUGS data'!$F$16:$AI$16,0))</f>
        <v>#VALUE!</v>
      </c>
      <c r="T32" s="88" t="str">
        <f>IF(D32="","",INDEX('WINBUGS Data Inconsistency'!$B$4:$C$18,'Inconsistency Data'!S32,1))</f>
        <v/>
      </c>
      <c r="U32" s="88" t="str">
        <f t="shared" si="3"/>
        <v/>
      </c>
      <c r="V32" s="42" t="str">
        <f t="shared" si="6"/>
        <v/>
      </c>
    </row>
    <row r="33" spans="4:22" hidden="1" x14ac:dyDescent="0.25">
      <c r="D33" s="41"/>
      <c r="E33" s="39"/>
      <c r="F33" s="39"/>
      <c r="G33" s="39"/>
      <c r="H33" s="52" t="str">
        <f t="shared" si="4"/>
        <v/>
      </c>
      <c r="I33" s="41" t="s">
        <v>558</v>
      </c>
      <c r="J33" s="39">
        <v>0.64049999999999996</v>
      </c>
      <c r="K33" s="39" t="s">
        <v>558</v>
      </c>
      <c r="L33" s="39">
        <v>0.64680000000000004</v>
      </c>
      <c r="M33" s="52">
        <f t="shared" si="5"/>
        <v>6.3000000000000833E-3</v>
      </c>
      <c r="O33" s="26" t="str">
        <f t="shared" si="0"/>
        <v/>
      </c>
      <c r="P33" s="31" t="e">
        <f t="shared" si="1"/>
        <v>#VALUE!</v>
      </c>
      <c r="Q33" s="39" t="e">
        <f t="shared" si="2"/>
        <v>#VALUE!</v>
      </c>
      <c r="R33" s="39" t="str">
        <f>IF(D33="","",INDEX('WINBUGS data'!$F$17:$AI$65,'Inconsistency Data'!O33,2))</f>
        <v/>
      </c>
      <c r="S33" s="117" t="e">
        <f>INDEX('WINBUGS data'!$F$17:$AI$65,(O33*1),MATCH(Q33,'WINBUGS data'!$F$16:$AI$16,0))</f>
        <v>#VALUE!</v>
      </c>
      <c r="T33" s="88" t="str">
        <f>IF(D33="","",INDEX('WINBUGS Data Inconsistency'!$B$4:$C$18,'Inconsistency Data'!S33,1))</f>
        <v/>
      </c>
      <c r="U33" s="88" t="str">
        <f t="shared" si="3"/>
        <v/>
      </c>
      <c r="V33" s="42" t="str">
        <f t="shared" si="6"/>
        <v/>
      </c>
    </row>
    <row r="34" spans="4:22" hidden="1" x14ac:dyDescent="0.25">
      <c r="D34" s="41"/>
      <c r="E34" s="39"/>
      <c r="F34" s="39"/>
      <c r="G34" s="39"/>
      <c r="H34" s="52" t="str">
        <f t="shared" si="4"/>
        <v/>
      </c>
      <c r="I34" s="41" t="s">
        <v>559</v>
      </c>
      <c r="J34" s="39">
        <v>0.88390000000000002</v>
      </c>
      <c r="K34" s="39" t="s">
        <v>559</v>
      </c>
      <c r="L34" s="39">
        <v>1.4450000000000001</v>
      </c>
      <c r="M34" s="52">
        <f t="shared" si="5"/>
        <v>0.56110000000000004</v>
      </c>
      <c r="O34" s="26" t="str">
        <f t="shared" si="0"/>
        <v/>
      </c>
      <c r="P34" s="31" t="e">
        <f t="shared" si="1"/>
        <v>#VALUE!</v>
      </c>
      <c r="Q34" s="39" t="e">
        <f t="shared" si="2"/>
        <v>#VALUE!</v>
      </c>
      <c r="R34" s="39" t="str">
        <f>IF(D34="","",INDEX('WINBUGS data'!$F$17:$AI$65,'Inconsistency Data'!O34,2))</f>
        <v/>
      </c>
      <c r="S34" s="117" t="e">
        <f>INDEX('WINBUGS data'!$F$17:$AI$65,(O34*1),MATCH(Q34,'WINBUGS data'!$F$16:$AI$16,0))</f>
        <v>#VALUE!</v>
      </c>
      <c r="T34" s="88" t="str">
        <f>IF(D34="","",INDEX('WINBUGS Data Inconsistency'!$B$4:$C$18,'Inconsistency Data'!S34,1))</f>
        <v/>
      </c>
      <c r="U34" s="88" t="str">
        <f t="shared" si="3"/>
        <v/>
      </c>
      <c r="V34" s="42" t="str">
        <f t="shared" si="6"/>
        <v/>
      </c>
    </row>
    <row r="35" spans="4:22" hidden="1" x14ac:dyDescent="0.25">
      <c r="D35" s="41"/>
      <c r="E35" s="39"/>
      <c r="F35" s="39"/>
      <c r="G35" s="39"/>
      <c r="H35" s="52" t="str">
        <f t="shared" si="4"/>
        <v/>
      </c>
      <c r="I35" s="41" t="s">
        <v>560</v>
      </c>
      <c r="J35" s="39">
        <v>0.89129999999999998</v>
      </c>
      <c r="K35" s="39" t="s">
        <v>560</v>
      </c>
      <c r="L35" s="39">
        <v>1.1160000000000001</v>
      </c>
      <c r="M35" s="52">
        <f t="shared" si="5"/>
        <v>0.22470000000000012</v>
      </c>
      <c r="O35" s="26" t="str">
        <f t="shared" si="0"/>
        <v/>
      </c>
      <c r="P35" s="31" t="e">
        <f t="shared" si="1"/>
        <v>#VALUE!</v>
      </c>
      <c r="Q35" s="39" t="e">
        <f t="shared" si="2"/>
        <v>#VALUE!</v>
      </c>
      <c r="R35" s="39" t="str">
        <f>IF(D35="","",INDEX('WINBUGS data'!$F$17:$AI$65,'Inconsistency Data'!O35,2))</f>
        <v/>
      </c>
      <c r="S35" s="117" t="e">
        <f>INDEX('WINBUGS data'!$F$17:$AI$65,(O35*1),MATCH(Q35,'WINBUGS data'!$F$16:$AI$16,0))</f>
        <v>#VALUE!</v>
      </c>
      <c r="T35" s="88" t="str">
        <f>IF(D35="","",INDEX('WINBUGS Data Inconsistency'!$B$4:$C$18,'Inconsistency Data'!S35,1))</f>
        <v/>
      </c>
      <c r="U35" s="88" t="str">
        <f t="shared" si="3"/>
        <v/>
      </c>
      <c r="V35" s="42" t="str">
        <f t="shared" si="6"/>
        <v/>
      </c>
    </row>
    <row r="36" spans="4:22" hidden="1" x14ac:dyDescent="0.25">
      <c r="D36" s="41"/>
      <c r="E36" s="39"/>
      <c r="F36" s="39"/>
      <c r="G36" s="39"/>
      <c r="H36" s="52" t="str">
        <f t="shared" si="4"/>
        <v/>
      </c>
      <c r="I36" s="41" t="s">
        <v>561</v>
      </c>
      <c r="J36" s="39">
        <v>0.84660000000000002</v>
      </c>
      <c r="K36" s="39" t="s">
        <v>561</v>
      </c>
      <c r="L36" s="39">
        <v>0.98460000000000003</v>
      </c>
      <c r="M36" s="52">
        <f t="shared" si="5"/>
        <v>0.13800000000000001</v>
      </c>
      <c r="O36" s="26" t="str">
        <f t="shared" si="0"/>
        <v/>
      </c>
      <c r="P36" s="31" t="e">
        <f t="shared" si="1"/>
        <v>#VALUE!</v>
      </c>
      <c r="Q36" s="39" t="e">
        <f t="shared" si="2"/>
        <v>#VALUE!</v>
      </c>
      <c r="R36" s="39" t="str">
        <f>IF(D36="","",INDEX('WINBUGS data'!$F$17:$AI$65,'Inconsistency Data'!O36,2))</f>
        <v/>
      </c>
      <c r="S36" s="117" t="e">
        <f>INDEX('WINBUGS data'!$F$17:$AI$65,(O36*1),MATCH(Q36,'WINBUGS data'!$F$16:$AI$16,0))</f>
        <v>#VALUE!</v>
      </c>
      <c r="T36" s="88" t="str">
        <f>IF(D36="","",INDEX('WINBUGS Data Inconsistency'!$B$4:$C$18,'Inconsistency Data'!S36,1))</f>
        <v/>
      </c>
      <c r="U36" s="88" t="str">
        <f t="shared" si="3"/>
        <v/>
      </c>
      <c r="V36" s="42" t="str">
        <f t="shared" si="6"/>
        <v/>
      </c>
    </row>
    <row r="37" spans="4:22" hidden="1" x14ac:dyDescent="0.25">
      <c r="D37" s="41"/>
      <c r="E37" s="39"/>
      <c r="F37" s="39"/>
      <c r="G37" s="39"/>
      <c r="H37" s="52" t="str">
        <f t="shared" si="4"/>
        <v/>
      </c>
      <c r="I37" s="41" t="s">
        <v>562</v>
      </c>
      <c r="J37" s="39">
        <v>0.9022</v>
      </c>
      <c r="K37" s="39" t="s">
        <v>562</v>
      </c>
      <c r="L37" s="39">
        <v>1.1319999999999999</v>
      </c>
      <c r="M37" s="52">
        <f t="shared" si="5"/>
        <v>0.22979999999999989</v>
      </c>
      <c r="O37" s="26" t="str">
        <f t="shared" si="0"/>
        <v/>
      </c>
      <c r="P37" s="31" t="e">
        <f t="shared" si="1"/>
        <v>#VALUE!</v>
      </c>
      <c r="Q37" s="39" t="e">
        <f t="shared" si="2"/>
        <v>#VALUE!</v>
      </c>
      <c r="R37" s="39" t="str">
        <f>IF(D37="","",INDEX('WINBUGS data'!$F$17:$AI$65,'Inconsistency Data'!O37,2))</f>
        <v/>
      </c>
      <c r="S37" s="117" t="e">
        <f>INDEX('WINBUGS data'!$F$17:$AI$65,(O37*1),MATCH(Q37,'WINBUGS data'!$F$16:$AI$16,0))</f>
        <v>#VALUE!</v>
      </c>
      <c r="T37" s="88" t="str">
        <f>IF(D37="","",INDEX('WINBUGS Data Inconsistency'!$B$4:$C$18,'Inconsistency Data'!S37,1))</f>
        <v/>
      </c>
      <c r="U37" s="88" t="str">
        <f t="shared" si="3"/>
        <v/>
      </c>
      <c r="V37" s="42" t="str">
        <f t="shared" si="6"/>
        <v/>
      </c>
    </row>
    <row r="38" spans="4:22" hidden="1" x14ac:dyDescent="0.25">
      <c r="D38" s="41"/>
      <c r="E38" s="39"/>
      <c r="F38" s="39"/>
      <c r="G38" s="39"/>
      <c r="H38" s="52" t="str">
        <f t="shared" si="4"/>
        <v/>
      </c>
      <c r="I38" s="41" t="s">
        <v>563</v>
      </c>
      <c r="J38" s="39">
        <v>0.51800000000000002</v>
      </c>
      <c r="K38" s="39" t="s">
        <v>563</v>
      </c>
      <c r="L38" s="39">
        <v>0.51149999999999995</v>
      </c>
      <c r="M38" s="52">
        <f t="shared" si="5"/>
        <v>-6.5000000000000613E-3</v>
      </c>
      <c r="O38" s="26" t="str">
        <f t="shared" si="0"/>
        <v/>
      </c>
      <c r="P38" s="31" t="e">
        <f t="shared" si="1"/>
        <v>#VALUE!</v>
      </c>
      <c r="Q38" s="39" t="e">
        <f t="shared" si="2"/>
        <v>#VALUE!</v>
      </c>
      <c r="R38" s="39" t="str">
        <f>IF(D38="","",INDEX('WINBUGS data'!$F$17:$AI$65,'Inconsistency Data'!O38,2))</f>
        <v/>
      </c>
      <c r="S38" s="117" t="e">
        <f>INDEX('WINBUGS data'!$F$17:$AI$65,(O38*1),MATCH(Q38,'WINBUGS data'!$F$16:$AI$16,0))</f>
        <v>#VALUE!</v>
      </c>
      <c r="T38" s="88" t="str">
        <f>IF(D38="","",INDEX('WINBUGS Data Inconsistency'!$B$4:$C$18,'Inconsistency Data'!S38,1))</f>
        <v/>
      </c>
      <c r="U38" s="88" t="str">
        <f t="shared" si="3"/>
        <v/>
      </c>
      <c r="V38" s="42" t="str">
        <f t="shared" si="6"/>
        <v/>
      </c>
    </row>
    <row r="39" spans="4:22" hidden="1" x14ac:dyDescent="0.25">
      <c r="D39" s="41"/>
      <c r="E39" s="39"/>
      <c r="F39" s="39"/>
      <c r="G39" s="39"/>
      <c r="H39" s="52" t="str">
        <f t="shared" si="4"/>
        <v/>
      </c>
      <c r="I39" s="41" t="s">
        <v>564</v>
      </c>
      <c r="J39" s="39">
        <v>0.63639999999999997</v>
      </c>
      <c r="K39" s="39" t="s">
        <v>564</v>
      </c>
      <c r="L39" s="39">
        <v>0.61980000000000002</v>
      </c>
      <c r="M39" s="52">
        <f t="shared" si="5"/>
        <v>-1.6599999999999948E-2</v>
      </c>
      <c r="O39" s="26" t="str">
        <f t="shared" si="0"/>
        <v/>
      </c>
      <c r="P39" s="31" t="e">
        <f t="shared" si="1"/>
        <v>#VALUE!</v>
      </c>
      <c r="Q39" s="39" t="e">
        <f t="shared" si="2"/>
        <v>#VALUE!</v>
      </c>
      <c r="R39" s="39" t="str">
        <f>IF(D39="","",INDEX('WINBUGS data'!$F$17:$AI$65,'Inconsistency Data'!O39,2))</f>
        <v/>
      </c>
      <c r="S39" s="117" t="e">
        <f>INDEX('WINBUGS data'!$F$17:$AI$65,(O39*1),MATCH(Q39,'WINBUGS data'!$F$16:$AI$16,0))</f>
        <v>#VALUE!</v>
      </c>
      <c r="T39" s="88" t="str">
        <f>IF(D39="","",INDEX('WINBUGS Data Inconsistency'!$B$4:$C$18,'Inconsistency Data'!S39,1))</f>
        <v/>
      </c>
      <c r="U39" s="88" t="str">
        <f t="shared" si="3"/>
        <v/>
      </c>
      <c r="V39" s="42" t="str">
        <f t="shared" si="6"/>
        <v/>
      </c>
    </row>
    <row r="40" spans="4:22" hidden="1" x14ac:dyDescent="0.25">
      <c r="D40" s="41"/>
      <c r="E40" s="39"/>
      <c r="F40" s="39"/>
      <c r="G40" s="39"/>
      <c r="H40" s="52" t="str">
        <f t="shared" si="4"/>
        <v/>
      </c>
      <c r="I40" s="41" t="s">
        <v>565</v>
      </c>
      <c r="J40" s="39">
        <v>0.88009999999999999</v>
      </c>
      <c r="K40" s="39" t="s">
        <v>565</v>
      </c>
      <c r="L40" s="39">
        <v>0.85309999999999997</v>
      </c>
      <c r="M40" s="52">
        <f t="shared" si="5"/>
        <v>-2.7000000000000024E-2</v>
      </c>
      <c r="O40" s="26" t="str">
        <f t="shared" si="0"/>
        <v/>
      </c>
      <c r="P40" s="31" t="e">
        <f t="shared" si="1"/>
        <v>#VALUE!</v>
      </c>
      <c r="Q40" s="39" t="e">
        <f t="shared" si="2"/>
        <v>#VALUE!</v>
      </c>
      <c r="R40" s="39" t="str">
        <f>IF(D40="","",INDEX('WINBUGS data'!$F$17:$AI$65,'Inconsistency Data'!O40,2))</f>
        <v/>
      </c>
      <c r="S40" s="117" t="e">
        <f>INDEX('WINBUGS data'!$F$17:$AI$65,(O40*1),MATCH(Q40,'WINBUGS data'!$F$16:$AI$16,0))</f>
        <v>#VALUE!</v>
      </c>
      <c r="T40" s="88" t="str">
        <f>IF(D40="","",INDEX('WINBUGS Data Inconsistency'!$B$4:$C$18,'Inconsistency Data'!S40,1))</f>
        <v/>
      </c>
      <c r="U40" s="88" t="str">
        <f t="shared" si="3"/>
        <v/>
      </c>
      <c r="V40" s="42" t="str">
        <f t="shared" si="6"/>
        <v/>
      </c>
    </row>
    <row r="41" spans="4:22" hidden="1" x14ac:dyDescent="0.25">
      <c r="D41" s="41"/>
      <c r="E41" s="39"/>
      <c r="F41" s="39"/>
      <c r="G41" s="39"/>
      <c r="H41" s="52" t="str">
        <f t="shared" si="4"/>
        <v/>
      </c>
      <c r="I41" s="41" t="s">
        <v>566</v>
      </c>
      <c r="J41" s="39">
        <v>1.173</v>
      </c>
      <c r="K41" s="39" t="s">
        <v>566</v>
      </c>
      <c r="L41" s="39">
        <v>1.0649999999999999</v>
      </c>
      <c r="M41" s="52">
        <f t="shared" si="5"/>
        <v>-0.1080000000000001</v>
      </c>
      <c r="O41" s="26" t="str">
        <f t="shared" si="0"/>
        <v/>
      </c>
      <c r="P41" s="31" t="e">
        <f t="shared" si="1"/>
        <v>#VALUE!</v>
      </c>
      <c r="Q41" s="39" t="e">
        <f t="shared" si="2"/>
        <v>#VALUE!</v>
      </c>
      <c r="R41" s="39" t="str">
        <f>IF(D41="","",INDEX('WINBUGS data'!$F$17:$AI$65,'Inconsistency Data'!O41,2))</f>
        <v/>
      </c>
      <c r="S41" s="117" t="e">
        <f>INDEX('WINBUGS data'!$F$17:$AI$65,(O41*1),MATCH(Q41,'WINBUGS data'!$F$16:$AI$16,0))</f>
        <v>#VALUE!</v>
      </c>
      <c r="T41" s="88" t="str">
        <f>IF(D41="","",INDEX('WINBUGS Data Inconsistency'!$B$4:$C$18,'Inconsistency Data'!S41,1))</f>
        <v/>
      </c>
      <c r="U41" s="88" t="str">
        <f t="shared" si="3"/>
        <v/>
      </c>
      <c r="V41" s="42" t="str">
        <f t="shared" si="6"/>
        <v/>
      </c>
    </row>
    <row r="42" spans="4:22" hidden="1" x14ac:dyDescent="0.25">
      <c r="D42" s="41"/>
      <c r="E42" s="39"/>
      <c r="F42" s="39"/>
      <c r="G42" s="39"/>
      <c r="H42" s="52" t="str">
        <f t="shared" si="4"/>
        <v/>
      </c>
      <c r="I42" s="41" t="s">
        <v>567</v>
      </c>
      <c r="J42" s="39">
        <v>0.87080000000000002</v>
      </c>
      <c r="K42" s="39" t="s">
        <v>567</v>
      </c>
      <c r="L42" s="39">
        <v>0.72729999999999995</v>
      </c>
      <c r="M42" s="52">
        <f t="shared" si="5"/>
        <v>-0.14350000000000007</v>
      </c>
      <c r="O42" s="26" t="str">
        <f t="shared" si="0"/>
        <v/>
      </c>
      <c r="P42" s="31" t="e">
        <f t="shared" si="1"/>
        <v>#VALUE!</v>
      </c>
      <c r="Q42" s="39" t="e">
        <f t="shared" si="2"/>
        <v>#VALUE!</v>
      </c>
      <c r="R42" s="39" t="str">
        <f>IF(D42="","",INDEX('WINBUGS data'!$F$17:$AI$65,'Inconsistency Data'!O42,2))</f>
        <v/>
      </c>
      <c r="S42" s="117" t="e">
        <f>INDEX('WINBUGS data'!$F$17:$AI$65,(O42*1),MATCH(Q42,'WINBUGS data'!$F$16:$AI$16,0))</f>
        <v>#VALUE!</v>
      </c>
      <c r="T42" s="88" t="str">
        <f>IF(D42="","",INDEX('WINBUGS Data Inconsistency'!$B$4:$C$18,'Inconsistency Data'!S42,1))</f>
        <v/>
      </c>
      <c r="U42" s="88" t="str">
        <f t="shared" si="3"/>
        <v/>
      </c>
      <c r="V42" s="42" t="str">
        <f t="shared" si="6"/>
        <v/>
      </c>
    </row>
    <row r="43" spans="4:22" hidden="1" x14ac:dyDescent="0.25">
      <c r="D43" s="41"/>
      <c r="E43" s="39"/>
      <c r="F43" s="39"/>
      <c r="G43" s="39"/>
      <c r="H43" s="52" t="str">
        <f t="shared" si="4"/>
        <v/>
      </c>
      <c r="I43" s="41" t="s">
        <v>568</v>
      </c>
      <c r="J43" s="39">
        <v>0.93189999999999995</v>
      </c>
      <c r="K43" s="39" t="s">
        <v>568</v>
      </c>
      <c r="L43" s="39">
        <v>0.72699999999999998</v>
      </c>
      <c r="M43" s="52">
        <f t="shared" si="5"/>
        <v>-0.20489999999999997</v>
      </c>
      <c r="O43" s="26" t="str">
        <f t="shared" si="0"/>
        <v/>
      </c>
      <c r="P43" s="31" t="e">
        <f t="shared" si="1"/>
        <v>#VALUE!</v>
      </c>
      <c r="Q43" s="39" t="e">
        <f t="shared" si="2"/>
        <v>#VALUE!</v>
      </c>
      <c r="R43" s="39" t="str">
        <f>IF(D43="","",INDEX('WINBUGS data'!$F$17:$AI$65,'Inconsistency Data'!O43,2))</f>
        <v/>
      </c>
      <c r="S43" s="117" t="e">
        <f>INDEX('WINBUGS data'!$F$17:$AI$65,(O43*1),MATCH(Q43,'WINBUGS data'!$F$16:$AI$16,0))</f>
        <v>#VALUE!</v>
      </c>
      <c r="T43" s="88" t="str">
        <f>IF(D43="","",INDEX('WINBUGS Data Inconsistency'!$B$4:$C$18,'Inconsistency Data'!S43,1))</f>
        <v/>
      </c>
      <c r="U43" s="88" t="str">
        <f t="shared" si="3"/>
        <v/>
      </c>
      <c r="V43" s="42" t="str">
        <f t="shared" si="6"/>
        <v/>
      </c>
    </row>
    <row r="44" spans="4:22" hidden="1" x14ac:dyDescent="0.25">
      <c r="D44" s="41"/>
      <c r="E44" s="39"/>
      <c r="F44" s="39"/>
      <c r="G44" s="39"/>
      <c r="H44" s="52" t="str">
        <f t="shared" si="4"/>
        <v/>
      </c>
      <c r="I44" s="41" t="s">
        <v>569</v>
      </c>
      <c r="J44" s="39">
        <v>0.78190000000000004</v>
      </c>
      <c r="K44" s="39" t="s">
        <v>569</v>
      </c>
      <c r="L44" s="39">
        <v>0.75460000000000005</v>
      </c>
      <c r="M44" s="52">
        <f t="shared" si="5"/>
        <v>-2.7299999999999991E-2</v>
      </c>
      <c r="O44" s="26" t="str">
        <f t="shared" si="0"/>
        <v/>
      </c>
      <c r="P44" s="31" t="e">
        <f t="shared" si="1"/>
        <v>#VALUE!</v>
      </c>
      <c r="Q44" s="39" t="e">
        <f t="shared" si="2"/>
        <v>#VALUE!</v>
      </c>
      <c r="R44" s="39" t="str">
        <f>IF(D44="","",INDEX('WINBUGS data'!$F$17:$AI$65,'Inconsistency Data'!O44,2))</f>
        <v/>
      </c>
      <c r="S44" s="117" t="e">
        <f>INDEX('WINBUGS data'!$F$17:$AI$65,(O44*1),MATCH(Q44,'WINBUGS data'!$F$16:$AI$16,0))</f>
        <v>#VALUE!</v>
      </c>
      <c r="T44" s="88" t="str">
        <f>IF(D44="","",INDEX('WINBUGS Data Inconsistency'!$B$4:$C$18,'Inconsistency Data'!S44,1))</f>
        <v/>
      </c>
      <c r="U44" s="88" t="str">
        <f t="shared" si="3"/>
        <v/>
      </c>
      <c r="V44" s="42" t="str">
        <f t="shared" si="6"/>
        <v/>
      </c>
    </row>
    <row r="45" spans="4:22" hidden="1" x14ac:dyDescent="0.25">
      <c r="D45" s="41"/>
      <c r="E45" s="39"/>
      <c r="F45" s="39"/>
      <c r="G45" s="39"/>
      <c r="H45" s="52" t="str">
        <f t="shared" si="4"/>
        <v/>
      </c>
      <c r="I45" s="41" t="s">
        <v>570</v>
      </c>
      <c r="J45" s="39">
        <v>0.76639999999999997</v>
      </c>
      <c r="K45" s="39" t="s">
        <v>570</v>
      </c>
      <c r="L45" s="39">
        <v>0.69640000000000002</v>
      </c>
      <c r="M45" s="52">
        <f t="shared" si="5"/>
        <v>-6.9999999999999951E-2</v>
      </c>
      <c r="O45" s="26" t="str">
        <f t="shared" si="0"/>
        <v/>
      </c>
      <c r="P45" s="31" t="e">
        <f t="shared" si="1"/>
        <v>#VALUE!</v>
      </c>
      <c r="Q45" s="39" t="e">
        <f t="shared" si="2"/>
        <v>#VALUE!</v>
      </c>
      <c r="R45" s="39" t="str">
        <f>IF(D45="","",INDEX('WINBUGS data'!$F$17:$AI$65,'Inconsistency Data'!O45,2))</f>
        <v/>
      </c>
      <c r="S45" s="117" t="e">
        <f>INDEX('WINBUGS data'!$F$17:$AI$65,(O45*1),MATCH(Q45,'WINBUGS data'!$F$16:$AI$16,0))</f>
        <v>#VALUE!</v>
      </c>
      <c r="T45" s="88" t="str">
        <f>IF(D45="","",INDEX('WINBUGS Data Inconsistency'!$B$4:$C$18,'Inconsistency Data'!S45,1))</f>
        <v/>
      </c>
      <c r="U45" s="88" t="str">
        <f t="shared" si="3"/>
        <v/>
      </c>
      <c r="V45" s="42" t="str">
        <f t="shared" si="6"/>
        <v/>
      </c>
    </row>
    <row r="46" spans="4:22" hidden="1" x14ac:dyDescent="0.25">
      <c r="D46" s="41"/>
      <c r="E46" s="39"/>
      <c r="F46" s="39"/>
      <c r="G46" s="39"/>
      <c r="H46" s="52" t="str">
        <f t="shared" si="4"/>
        <v/>
      </c>
      <c r="I46" s="41" t="s">
        <v>571</v>
      </c>
      <c r="J46" s="39">
        <v>2.0710000000000002</v>
      </c>
      <c r="K46" s="39" t="s">
        <v>571</v>
      </c>
      <c r="L46" s="39">
        <v>2.1110000000000002</v>
      </c>
      <c r="M46" s="52">
        <f t="shared" si="5"/>
        <v>4.0000000000000036E-2</v>
      </c>
      <c r="O46" s="26" t="str">
        <f t="shared" si="0"/>
        <v/>
      </c>
      <c r="P46" s="31" t="e">
        <f t="shared" si="1"/>
        <v>#VALUE!</v>
      </c>
      <c r="Q46" s="39" t="e">
        <f t="shared" si="2"/>
        <v>#VALUE!</v>
      </c>
      <c r="R46" s="39" t="str">
        <f>IF(D46="","",INDEX('WINBUGS data'!$F$17:$AI$65,'Inconsistency Data'!O46,2))</f>
        <v/>
      </c>
      <c r="S46" s="117" t="e">
        <f>INDEX('WINBUGS data'!$F$17:$AI$65,(O46*1),MATCH(Q46,'WINBUGS data'!$F$16:$AI$16,0))</f>
        <v>#VALUE!</v>
      </c>
      <c r="T46" s="88" t="str">
        <f>IF(D46="","",INDEX('WINBUGS Data Inconsistency'!$B$4:$C$18,'Inconsistency Data'!S46,1))</f>
        <v/>
      </c>
      <c r="U46" s="88" t="str">
        <f t="shared" si="3"/>
        <v/>
      </c>
      <c r="V46" s="42" t="str">
        <f t="shared" si="6"/>
        <v/>
      </c>
    </row>
    <row r="47" spans="4:22" hidden="1" x14ac:dyDescent="0.25">
      <c r="D47" s="41"/>
      <c r="E47" s="39"/>
      <c r="F47" s="39"/>
      <c r="G47" s="39"/>
      <c r="H47" s="52" t="str">
        <f t="shared" si="4"/>
        <v/>
      </c>
      <c r="I47" s="41" t="s">
        <v>572</v>
      </c>
      <c r="J47" s="39">
        <v>3.8410000000000002</v>
      </c>
      <c r="K47" s="39" t="s">
        <v>572</v>
      </c>
      <c r="L47" s="39">
        <v>3.754</v>
      </c>
      <c r="M47" s="52">
        <f t="shared" si="5"/>
        <v>-8.7000000000000188E-2</v>
      </c>
      <c r="O47" s="26" t="str">
        <f t="shared" si="0"/>
        <v/>
      </c>
      <c r="P47" s="31" t="e">
        <f t="shared" si="1"/>
        <v>#VALUE!</v>
      </c>
      <c r="Q47" s="39" t="e">
        <f t="shared" si="2"/>
        <v>#VALUE!</v>
      </c>
      <c r="R47" s="39" t="str">
        <f>IF(D47="","",INDEX('WINBUGS data'!$F$17:$AI$65,'Inconsistency Data'!O47,2))</f>
        <v/>
      </c>
      <c r="S47" s="117" t="e">
        <f>INDEX('WINBUGS data'!$F$17:$AI$65,(O47*1),MATCH(Q47,'WINBUGS data'!$F$16:$AI$16,0))</f>
        <v>#VALUE!</v>
      </c>
      <c r="T47" s="88" t="str">
        <f>IF(D47="","",INDEX('WINBUGS Data Inconsistency'!$B$4:$C$18,'Inconsistency Data'!S47,1))</f>
        <v/>
      </c>
      <c r="U47" s="88" t="str">
        <f t="shared" si="3"/>
        <v/>
      </c>
      <c r="V47" s="42" t="str">
        <f t="shared" si="6"/>
        <v/>
      </c>
    </row>
    <row r="48" spans="4:22" hidden="1" x14ac:dyDescent="0.25">
      <c r="D48" s="41"/>
      <c r="E48" s="39"/>
      <c r="F48" s="39"/>
      <c r="G48" s="39"/>
      <c r="H48" s="52" t="str">
        <f t="shared" si="4"/>
        <v/>
      </c>
      <c r="I48" s="41" t="s">
        <v>573</v>
      </c>
      <c r="J48" s="39">
        <v>0.65569999999999995</v>
      </c>
      <c r="K48" s="39" t="s">
        <v>573</v>
      </c>
      <c r="L48" s="39">
        <v>0.64190000000000003</v>
      </c>
      <c r="M48" s="52">
        <f t="shared" si="5"/>
        <v>-1.3799999999999923E-2</v>
      </c>
      <c r="O48" s="26" t="str">
        <f t="shared" si="0"/>
        <v/>
      </c>
      <c r="P48" s="31" t="e">
        <f t="shared" si="1"/>
        <v>#VALUE!</v>
      </c>
      <c r="Q48" s="39" t="e">
        <f t="shared" si="2"/>
        <v>#VALUE!</v>
      </c>
      <c r="R48" s="39" t="str">
        <f>IF(D48="","",INDEX('WINBUGS data'!$F$17:$AI$65,'Inconsistency Data'!O48,2))</f>
        <v/>
      </c>
      <c r="S48" s="117" t="e">
        <f>INDEX('WINBUGS data'!$F$17:$AI$65,(O48*1),MATCH(Q48,'WINBUGS data'!$F$16:$AI$16,0))</f>
        <v>#VALUE!</v>
      </c>
      <c r="T48" s="88" t="str">
        <f>IF(D48="","",INDEX('WINBUGS Data Inconsistency'!$B$4:$C$18,'Inconsistency Data'!S48,1))</f>
        <v/>
      </c>
      <c r="U48" s="88" t="str">
        <f t="shared" si="3"/>
        <v/>
      </c>
      <c r="V48" s="42" t="str">
        <f t="shared" si="6"/>
        <v/>
      </c>
    </row>
    <row r="49" spans="4:22" hidden="1" x14ac:dyDescent="0.25">
      <c r="D49" s="41"/>
      <c r="E49" s="39"/>
      <c r="F49" s="39"/>
      <c r="G49" s="39"/>
      <c r="H49" s="52" t="str">
        <f t="shared" si="4"/>
        <v/>
      </c>
      <c r="I49" s="41" t="s">
        <v>574</v>
      </c>
      <c r="J49" s="39">
        <v>0.59840000000000004</v>
      </c>
      <c r="K49" s="39" t="s">
        <v>574</v>
      </c>
      <c r="L49" s="39">
        <v>0.5887</v>
      </c>
      <c r="M49" s="52">
        <f t="shared" si="5"/>
        <v>-9.7000000000000419E-3</v>
      </c>
      <c r="O49" s="26" t="str">
        <f t="shared" si="0"/>
        <v/>
      </c>
      <c r="P49" s="31" t="e">
        <f t="shared" si="1"/>
        <v>#VALUE!</v>
      </c>
      <c r="Q49" s="39" t="e">
        <f t="shared" si="2"/>
        <v>#VALUE!</v>
      </c>
      <c r="R49" s="39" t="str">
        <f>IF(D49="","",INDEX('WINBUGS data'!$F$17:$AI$65,'Inconsistency Data'!O49,2))</f>
        <v/>
      </c>
      <c r="S49" s="117" t="e">
        <f>INDEX('WINBUGS data'!$F$17:$AI$65,(O49*1),MATCH(Q49,'WINBUGS data'!$F$16:$AI$16,0))</f>
        <v>#VALUE!</v>
      </c>
      <c r="T49" s="88" t="str">
        <f>IF(D49="","",INDEX('WINBUGS Data Inconsistency'!$B$4:$C$18,'Inconsistency Data'!S49,1))</f>
        <v/>
      </c>
      <c r="U49" s="88" t="str">
        <f t="shared" si="3"/>
        <v/>
      </c>
      <c r="V49" s="42" t="str">
        <f t="shared" si="6"/>
        <v/>
      </c>
    </row>
    <row r="50" spans="4:22" hidden="1" x14ac:dyDescent="0.25">
      <c r="D50" s="41"/>
      <c r="E50" s="39"/>
      <c r="F50" s="39"/>
      <c r="G50" s="39"/>
      <c r="H50" s="52" t="str">
        <f t="shared" si="4"/>
        <v/>
      </c>
      <c r="I50" s="41" t="s">
        <v>575</v>
      </c>
      <c r="J50" s="39">
        <v>0.89670000000000005</v>
      </c>
      <c r="K50" s="39" t="s">
        <v>575</v>
      </c>
      <c r="L50" s="39">
        <v>0.72050000000000003</v>
      </c>
      <c r="M50" s="52">
        <f t="shared" si="5"/>
        <v>-0.17620000000000002</v>
      </c>
      <c r="O50" s="26" t="str">
        <f t="shared" si="0"/>
        <v/>
      </c>
      <c r="P50" s="31" t="e">
        <f t="shared" si="1"/>
        <v>#VALUE!</v>
      </c>
      <c r="Q50" s="39" t="e">
        <f t="shared" si="2"/>
        <v>#VALUE!</v>
      </c>
      <c r="R50" s="39" t="str">
        <f>IF(D50="","",INDEX('WINBUGS data'!$F$17:$AI$65,'Inconsistency Data'!O50,2))</f>
        <v/>
      </c>
      <c r="S50" s="117" t="e">
        <f>INDEX('WINBUGS data'!$F$17:$AI$65,(O50*1),MATCH(Q50,'WINBUGS data'!$F$16:$AI$16,0))</f>
        <v>#VALUE!</v>
      </c>
      <c r="T50" s="88" t="str">
        <f>IF(D50="","",INDEX('WINBUGS Data Inconsistency'!$B$4:$C$18,'Inconsistency Data'!S50,1))</f>
        <v/>
      </c>
      <c r="U50" s="88" t="str">
        <f t="shared" si="3"/>
        <v/>
      </c>
      <c r="V50" s="42" t="str">
        <f t="shared" si="6"/>
        <v/>
      </c>
    </row>
    <row r="51" spans="4:22" hidden="1" x14ac:dyDescent="0.25">
      <c r="D51" s="41"/>
      <c r="E51" s="39"/>
      <c r="F51" s="39"/>
      <c r="G51" s="39"/>
      <c r="H51" s="52" t="str">
        <f t="shared" si="4"/>
        <v/>
      </c>
      <c r="I51" s="41" t="s">
        <v>576</v>
      </c>
      <c r="J51" s="39">
        <v>0.89100000000000001</v>
      </c>
      <c r="K51" s="39" t="s">
        <v>576</v>
      </c>
      <c r="L51" s="39">
        <v>0.73699999999999999</v>
      </c>
      <c r="M51" s="52">
        <f t="shared" si="5"/>
        <v>-0.15400000000000003</v>
      </c>
      <c r="O51" s="26" t="str">
        <f t="shared" si="0"/>
        <v/>
      </c>
      <c r="P51" s="31" t="e">
        <f t="shared" si="1"/>
        <v>#VALUE!</v>
      </c>
      <c r="Q51" s="39" t="e">
        <f t="shared" si="2"/>
        <v>#VALUE!</v>
      </c>
      <c r="R51" s="39" t="str">
        <f>IF(D51="","",INDEX('WINBUGS data'!$F$17:$AI$65,'Inconsistency Data'!O51,2))</f>
        <v/>
      </c>
      <c r="S51" s="117" t="e">
        <f>INDEX('WINBUGS data'!$F$17:$AI$65,(O51*1),MATCH(Q51,'WINBUGS data'!$F$16:$AI$16,0))</f>
        <v>#VALUE!</v>
      </c>
      <c r="T51" s="88" t="str">
        <f>IF(D51="","",INDEX('WINBUGS Data Inconsistency'!$B$4:$C$18,'Inconsistency Data'!S51,1))</f>
        <v/>
      </c>
      <c r="U51" s="88" t="str">
        <f t="shared" si="3"/>
        <v/>
      </c>
      <c r="V51" s="42" t="str">
        <f t="shared" si="6"/>
        <v/>
      </c>
    </row>
    <row r="52" spans="4:22" hidden="1" x14ac:dyDescent="0.25">
      <c r="D52" s="41"/>
      <c r="E52" s="39"/>
      <c r="F52" s="39"/>
      <c r="G52" s="39"/>
      <c r="H52" s="52" t="str">
        <f t="shared" si="4"/>
        <v/>
      </c>
      <c r="I52" s="41" t="s">
        <v>577</v>
      </c>
      <c r="J52" s="39">
        <v>1.083</v>
      </c>
      <c r="K52" s="39" t="s">
        <v>577</v>
      </c>
      <c r="L52" s="39">
        <v>0.74470000000000003</v>
      </c>
      <c r="M52" s="52">
        <f t="shared" si="5"/>
        <v>-0.33829999999999993</v>
      </c>
      <c r="O52" s="26" t="str">
        <f t="shared" si="0"/>
        <v/>
      </c>
      <c r="P52" s="31" t="e">
        <f t="shared" si="1"/>
        <v>#VALUE!</v>
      </c>
      <c r="Q52" s="39" t="e">
        <f t="shared" si="2"/>
        <v>#VALUE!</v>
      </c>
      <c r="R52" s="39" t="str">
        <f>IF(D52="","",INDEX('WINBUGS data'!$F$17:$AI$65,'Inconsistency Data'!O52,2))</f>
        <v/>
      </c>
      <c r="S52" s="117" t="e">
        <f>INDEX('WINBUGS data'!$F$17:$AI$65,(O52*1),MATCH(Q52,'WINBUGS data'!$F$16:$AI$16,0))</f>
        <v>#VALUE!</v>
      </c>
      <c r="T52" s="88" t="str">
        <f>IF(D52="","",INDEX('WINBUGS Data Inconsistency'!$B$4:$C$18,'Inconsistency Data'!S52,1))</f>
        <v/>
      </c>
      <c r="U52" s="88" t="str">
        <f t="shared" si="3"/>
        <v/>
      </c>
      <c r="V52" s="42" t="str">
        <f t="shared" si="6"/>
        <v/>
      </c>
    </row>
    <row r="53" spans="4:22" hidden="1" x14ac:dyDescent="0.25">
      <c r="D53" s="41"/>
      <c r="E53" s="39"/>
      <c r="F53" s="39"/>
      <c r="G53" s="39"/>
      <c r="H53" s="52" t="str">
        <f t="shared" si="4"/>
        <v/>
      </c>
      <c r="I53" s="41" t="s">
        <v>578</v>
      </c>
      <c r="J53" s="39">
        <v>1.0149999999999999</v>
      </c>
      <c r="K53" s="39" t="s">
        <v>578</v>
      </c>
      <c r="L53" s="39">
        <v>0.83420000000000005</v>
      </c>
      <c r="M53" s="52">
        <f t="shared" si="5"/>
        <v>-0.18079999999999985</v>
      </c>
      <c r="O53" s="26" t="str">
        <f t="shared" si="0"/>
        <v/>
      </c>
      <c r="P53" s="31" t="e">
        <f t="shared" si="1"/>
        <v>#VALUE!</v>
      </c>
      <c r="Q53" s="39" t="e">
        <f t="shared" si="2"/>
        <v>#VALUE!</v>
      </c>
      <c r="R53" s="39" t="str">
        <f>IF(D53="","",INDEX('WINBUGS data'!$F$17:$AI$65,'Inconsistency Data'!O53,2))</f>
        <v/>
      </c>
      <c r="S53" s="117" t="e">
        <f>INDEX('WINBUGS data'!$F$17:$AI$65,(O53*1),MATCH(Q53,'WINBUGS data'!$F$16:$AI$16,0))</f>
        <v>#VALUE!</v>
      </c>
      <c r="T53" s="88" t="str">
        <f>IF(D53="","",INDEX('WINBUGS Data Inconsistency'!$B$4:$C$18,'Inconsistency Data'!S53,1))</f>
        <v/>
      </c>
      <c r="U53" s="88" t="str">
        <f t="shared" si="3"/>
        <v/>
      </c>
      <c r="V53" s="42" t="str">
        <f t="shared" si="6"/>
        <v/>
      </c>
    </row>
    <row r="54" spans="4:22" hidden="1" x14ac:dyDescent="0.25">
      <c r="D54" s="41"/>
      <c r="E54" s="39"/>
      <c r="F54" s="39"/>
      <c r="G54" s="39"/>
      <c r="H54" s="52" t="str">
        <f t="shared" si="4"/>
        <v/>
      </c>
      <c r="I54" s="41" t="s">
        <v>579</v>
      </c>
      <c r="J54" s="39">
        <v>0.66169999999999995</v>
      </c>
      <c r="K54" s="39" t="s">
        <v>579</v>
      </c>
      <c r="L54" s="39">
        <v>0.67469999999999997</v>
      </c>
      <c r="M54" s="52">
        <f t="shared" si="5"/>
        <v>1.3000000000000012E-2</v>
      </c>
      <c r="O54" s="26" t="str">
        <f t="shared" si="0"/>
        <v/>
      </c>
      <c r="P54" s="31" t="e">
        <f t="shared" si="1"/>
        <v>#VALUE!</v>
      </c>
      <c r="Q54" s="39" t="e">
        <f t="shared" si="2"/>
        <v>#VALUE!</v>
      </c>
      <c r="R54" s="39" t="str">
        <f>IF(D54="","",INDEX('WINBUGS data'!$F$17:$AI$65,'Inconsistency Data'!O54,2))</f>
        <v/>
      </c>
      <c r="S54" s="117" t="e">
        <f>INDEX('WINBUGS data'!$F$17:$AI$65,(O54*1),MATCH(Q54,'WINBUGS data'!$F$16:$AI$16,0))</f>
        <v>#VALUE!</v>
      </c>
      <c r="T54" s="88" t="str">
        <f>IF(D54="","",INDEX('WINBUGS Data Inconsistency'!$B$4:$C$18,'Inconsistency Data'!S54,1))</f>
        <v/>
      </c>
      <c r="U54" s="88" t="str">
        <f t="shared" si="3"/>
        <v/>
      </c>
      <c r="V54" s="42" t="str">
        <f t="shared" si="6"/>
        <v/>
      </c>
    </row>
    <row r="55" spans="4:22" hidden="1" x14ac:dyDescent="0.25">
      <c r="D55" s="41"/>
      <c r="E55" s="39"/>
      <c r="F55" s="39"/>
      <c r="G55" s="39"/>
      <c r="H55" s="52" t="str">
        <f t="shared" si="4"/>
        <v/>
      </c>
      <c r="I55" s="41" t="s">
        <v>580</v>
      </c>
      <c r="J55" s="39">
        <v>0.66969999999999996</v>
      </c>
      <c r="K55" s="39" t="s">
        <v>580</v>
      </c>
      <c r="L55" s="39">
        <v>0.69320000000000004</v>
      </c>
      <c r="M55" s="52">
        <f t="shared" si="5"/>
        <v>2.3500000000000076E-2</v>
      </c>
      <c r="O55" s="26" t="str">
        <f t="shared" si="0"/>
        <v/>
      </c>
      <c r="P55" s="31" t="e">
        <f t="shared" si="1"/>
        <v>#VALUE!</v>
      </c>
      <c r="Q55" s="39" t="e">
        <f t="shared" si="2"/>
        <v>#VALUE!</v>
      </c>
      <c r="R55" s="39" t="str">
        <f>IF(D55="","",INDEX('WINBUGS data'!$F$17:$AI$65,'Inconsistency Data'!O55,2))</f>
        <v/>
      </c>
      <c r="S55" s="117" t="e">
        <f>INDEX('WINBUGS data'!$F$17:$AI$65,(O55*1),MATCH(Q55,'WINBUGS data'!$F$16:$AI$16,0))</f>
        <v>#VALUE!</v>
      </c>
      <c r="T55" s="88" t="str">
        <f>IF(D55="","",INDEX('WINBUGS Data Inconsistency'!$B$4:$C$18,'Inconsistency Data'!S55,1))</f>
        <v/>
      </c>
      <c r="U55" s="88" t="str">
        <f t="shared" si="3"/>
        <v/>
      </c>
      <c r="V55" s="42" t="str">
        <f t="shared" si="6"/>
        <v/>
      </c>
    </row>
    <row r="56" spans="4:22" hidden="1" x14ac:dyDescent="0.25">
      <c r="D56" s="41"/>
      <c r="E56" s="39"/>
      <c r="F56" s="39"/>
      <c r="G56" s="39"/>
      <c r="H56" s="52" t="str">
        <f t="shared" si="4"/>
        <v/>
      </c>
      <c r="I56" s="41" t="s">
        <v>581</v>
      </c>
      <c r="J56" s="39">
        <v>0.63</v>
      </c>
      <c r="K56" s="39" t="s">
        <v>581</v>
      </c>
      <c r="L56" s="39">
        <v>0.62549999999999994</v>
      </c>
      <c r="M56" s="52">
        <f t="shared" si="5"/>
        <v>-4.5000000000000595E-3</v>
      </c>
      <c r="O56" s="26" t="str">
        <f t="shared" si="0"/>
        <v/>
      </c>
      <c r="P56" s="31" t="e">
        <f t="shared" si="1"/>
        <v>#VALUE!</v>
      </c>
      <c r="Q56" s="39" t="e">
        <f t="shared" si="2"/>
        <v>#VALUE!</v>
      </c>
      <c r="R56" s="39" t="str">
        <f>IF(D56="","",INDEX('WINBUGS data'!$F$17:$AI$65,'Inconsistency Data'!O56,2))</f>
        <v/>
      </c>
      <c r="S56" s="117" t="e">
        <f>INDEX('WINBUGS data'!$F$17:$AI$65,(O56*1),MATCH(Q56,'WINBUGS data'!$F$16:$AI$16,0))</f>
        <v>#VALUE!</v>
      </c>
      <c r="T56" s="88" t="str">
        <f>IF(D56="","",INDEX('WINBUGS Data Inconsistency'!$B$4:$C$18,'Inconsistency Data'!S56,1))</f>
        <v/>
      </c>
      <c r="U56" s="88" t="str">
        <f t="shared" si="3"/>
        <v/>
      </c>
      <c r="V56" s="42" t="str">
        <f t="shared" si="6"/>
        <v/>
      </c>
    </row>
    <row r="57" spans="4:22" hidden="1" x14ac:dyDescent="0.25">
      <c r="D57" s="41"/>
      <c r="E57" s="39"/>
      <c r="F57" s="39"/>
      <c r="G57" s="39"/>
      <c r="H57" s="52" t="str">
        <f t="shared" si="4"/>
        <v/>
      </c>
      <c r="I57" s="41" t="s">
        <v>582</v>
      </c>
      <c r="J57" s="39">
        <v>0.73399999999999999</v>
      </c>
      <c r="K57" s="39" t="s">
        <v>582</v>
      </c>
      <c r="L57" s="39">
        <v>0.70799999999999996</v>
      </c>
      <c r="M57" s="52">
        <f t="shared" si="5"/>
        <v>-2.6000000000000023E-2</v>
      </c>
      <c r="O57" s="26" t="str">
        <f t="shared" si="0"/>
        <v/>
      </c>
      <c r="P57" s="31" t="e">
        <f t="shared" si="1"/>
        <v>#VALUE!</v>
      </c>
      <c r="Q57" s="39" t="e">
        <f t="shared" si="2"/>
        <v>#VALUE!</v>
      </c>
      <c r="R57" s="39" t="str">
        <f>IF(D57="","",INDEX('WINBUGS data'!$F$17:$AI$65,'Inconsistency Data'!O57,2))</f>
        <v/>
      </c>
      <c r="S57" s="117" t="e">
        <f>INDEX('WINBUGS data'!$F$17:$AI$65,(O57*1),MATCH(Q57,'WINBUGS data'!$F$16:$AI$16,0))</f>
        <v>#VALUE!</v>
      </c>
      <c r="T57" s="88" t="str">
        <f>IF(D57="","",INDEX('WINBUGS Data Inconsistency'!$B$4:$C$18,'Inconsistency Data'!S57,1))</f>
        <v/>
      </c>
      <c r="U57" s="88" t="str">
        <f t="shared" si="3"/>
        <v/>
      </c>
      <c r="V57" s="42" t="str">
        <f t="shared" si="6"/>
        <v/>
      </c>
    </row>
    <row r="58" spans="4:22" hidden="1" x14ac:dyDescent="0.25">
      <c r="D58" s="41"/>
      <c r="E58" s="39"/>
      <c r="F58" s="39"/>
      <c r="G58" s="39"/>
      <c r="H58" s="52" t="str">
        <f t="shared" si="4"/>
        <v/>
      </c>
      <c r="I58" s="41" t="s">
        <v>583</v>
      </c>
      <c r="J58" s="39">
        <v>0.98899999999999999</v>
      </c>
      <c r="K58" s="39" t="s">
        <v>583</v>
      </c>
      <c r="L58" s="39">
        <v>1.2170000000000001</v>
      </c>
      <c r="M58" s="52">
        <f t="shared" si="5"/>
        <v>0.22800000000000009</v>
      </c>
      <c r="O58" s="26" t="str">
        <f t="shared" si="0"/>
        <v/>
      </c>
      <c r="P58" s="31" t="e">
        <f t="shared" si="1"/>
        <v>#VALUE!</v>
      </c>
      <c r="Q58" s="39" t="e">
        <f t="shared" si="2"/>
        <v>#VALUE!</v>
      </c>
      <c r="R58" s="39" t="str">
        <f>IF(D58="","",INDEX('WINBUGS data'!$F$17:$AI$65,'Inconsistency Data'!O58,2))</f>
        <v/>
      </c>
      <c r="S58" s="117" t="e">
        <f>INDEX('WINBUGS data'!$F$17:$AI$65,(O58*1),MATCH(Q58,'WINBUGS data'!$F$16:$AI$16,0))</f>
        <v>#VALUE!</v>
      </c>
      <c r="T58" s="88" t="str">
        <f>IF(D58="","",INDEX('WINBUGS Data Inconsistency'!$B$4:$C$18,'Inconsistency Data'!S58,1))</f>
        <v/>
      </c>
      <c r="U58" s="88" t="str">
        <f t="shared" si="3"/>
        <v/>
      </c>
      <c r="V58" s="42" t="str">
        <f t="shared" si="6"/>
        <v/>
      </c>
    </row>
    <row r="59" spans="4:22" hidden="1" x14ac:dyDescent="0.25">
      <c r="D59" s="41"/>
      <c r="E59" s="39"/>
      <c r="F59" s="39"/>
      <c r="G59" s="39"/>
      <c r="H59" s="52" t="str">
        <f t="shared" si="4"/>
        <v/>
      </c>
      <c r="I59" s="41" t="s">
        <v>584</v>
      </c>
      <c r="J59" s="39">
        <v>1.091</v>
      </c>
      <c r="K59" s="39" t="s">
        <v>584</v>
      </c>
      <c r="L59" s="39">
        <v>1.294</v>
      </c>
      <c r="M59" s="52">
        <f t="shared" si="5"/>
        <v>0.20300000000000007</v>
      </c>
      <c r="O59" s="26" t="str">
        <f t="shared" si="0"/>
        <v/>
      </c>
      <c r="P59" s="31" t="e">
        <f t="shared" si="1"/>
        <v>#VALUE!</v>
      </c>
      <c r="Q59" s="39" t="e">
        <f t="shared" si="2"/>
        <v>#VALUE!</v>
      </c>
      <c r="R59" s="39" t="str">
        <f>IF(D59="","",INDEX('WINBUGS data'!$F$17:$AI$65,'Inconsistency Data'!O59,2))</f>
        <v/>
      </c>
      <c r="S59" s="117" t="e">
        <f>INDEX('WINBUGS data'!$F$17:$AI$65,(O59*1),MATCH(Q59,'WINBUGS data'!$F$16:$AI$16,0))</f>
        <v>#VALUE!</v>
      </c>
      <c r="T59" s="88" t="str">
        <f>IF(D59="","",INDEX('WINBUGS Data Inconsistency'!$B$4:$C$18,'Inconsistency Data'!S59,1))</f>
        <v/>
      </c>
      <c r="U59" s="88" t="str">
        <f t="shared" si="3"/>
        <v/>
      </c>
      <c r="V59" s="42" t="str">
        <f t="shared" si="6"/>
        <v/>
      </c>
    </row>
    <row r="60" spans="4:22" hidden="1" x14ac:dyDescent="0.25">
      <c r="D60" s="41"/>
      <c r="E60" s="39"/>
      <c r="F60" s="39"/>
      <c r="G60" s="39"/>
      <c r="H60" s="52" t="str">
        <f t="shared" si="4"/>
        <v/>
      </c>
      <c r="I60" s="41" t="s">
        <v>585</v>
      </c>
      <c r="J60" s="39">
        <v>1.069</v>
      </c>
      <c r="K60" s="39" t="s">
        <v>585</v>
      </c>
      <c r="L60" s="39">
        <v>1.1459999999999999</v>
      </c>
      <c r="M60" s="52">
        <f t="shared" si="5"/>
        <v>7.6999999999999957E-2</v>
      </c>
      <c r="O60" s="26" t="str">
        <f t="shared" si="0"/>
        <v/>
      </c>
      <c r="P60" s="31" t="e">
        <f t="shared" si="1"/>
        <v>#VALUE!</v>
      </c>
      <c r="Q60" s="39" t="e">
        <f t="shared" si="2"/>
        <v>#VALUE!</v>
      </c>
      <c r="R60" s="39" t="str">
        <f>IF(D60="","",INDEX('WINBUGS data'!$F$17:$AI$65,'Inconsistency Data'!O60,2))</f>
        <v/>
      </c>
      <c r="S60" s="117" t="e">
        <f>INDEX('WINBUGS data'!$F$17:$AI$65,(O60*1),MATCH(Q60,'WINBUGS data'!$F$16:$AI$16,0))</f>
        <v>#VALUE!</v>
      </c>
      <c r="T60" s="88" t="str">
        <f>IF(D60="","",INDEX('WINBUGS Data Inconsistency'!$B$4:$C$18,'Inconsistency Data'!S60,1))</f>
        <v/>
      </c>
      <c r="U60" s="88" t="str">
        <f t="shared" si="3"/>
        <v/>
      </c>
      <c r="V60" s="42" t="str">
        <f t="shared" si="6"/>
        <v/>
      </c>
    </row>
    <row r="61" spans="4:22" hidden="1" x14ac:dyDescent="0.25">
      <c r="D61" s="41"/>
      <c r="E61" s="39"/>
      <c r="F61" s="39"/>
      <c r="G61" s="39"/>
      <c r="H61" s="52" t="str">
        <f t="shared" si="4"/>
        <v/>
      </c>
      <c r="I61" s="41" t="s">
        <v>586</v>
      </c>
      <c r="J61" s="39">
        <v>1.1080000000000001</v>
      </c>
      <c r="K61" s="39" t="s">
        <v>586</v>
      </c>
      <c r="L61" s="39">
        <v>1.1100000000000001</v>
      </c>
      <c r="M61" s="52">
        <f t="shared" si="5"/>
        <v>2.0000000000000018E-3</v>
      </c>
      <c r="O61" s="26" t="str">
        <f t="shared" si="0"/>
        <v/>
      </c>
      <c r="P61" s="31" t="e">
        <f t="shared" si="1"/>
        <v>#VALUE!</v>
      </c>
      <c r="Q61" s="39" t="e">
        <f t="shared" si="2"/>
        <v>#VALUE!</v>
      </c>
      <c r="R61" s="39" t="str">
        <f>IF(D61="","",INDEX('WINBUGS data'!$F$17:$AI$65,'Inconsistency Data'!O61,2))</f>
        <v/>
      </c>
      <c r="S61" s="117" t="e">
        <f>INDEX('WINBUGS data'!$F$17:$AI$65,(O61*1),MATCH(Q61,'WINBUGS data'!$F$16:$AI$16,0))</f>
        <v>#VALUE!</v>
      </c>
      <c r="T61" s="88" t="str">
        <f>IF(D61="","",INDEX('WINBUGS Data Inconsistency'!$B$4:$C$18,'Inconsistency Data'!S61,1))</f>
        <v/>
      </c>
      <c r="U61" s="88" t="str">
        <f t="shared" si="3"/>
        <v/>
      </c>
      <c r="V61" s="42" t="str">
        <f t="shared" si="6"/>
        <v/>
      </c>
    </row>
    <row r="62" spans="4:22" hidden="1" x14ac:dyDescent="0.25">
      <c r="D62" s="41"/>
      <c r="E62" s="39"/>
      <c r="F62" s="39"/>
      <c r="G62" s="39"/>
      <c r="H62" s="52" t="str">
        <f t="shared" si="4"/>
        <v/>
      </c>
      <c r="I62" s="41" t="s">
        <v>587</v>
      </c>
      <c r="J62" s="39">
        <v>0.7752</v>
      </c>
      <c r="K62" s="39" t="s">
        <v>587</v>
      </c>
      <c r="L62" s="39">
        <v>0.74490000000000001</v>
      </c>
      <c r="M62" s="52">
        <f t="shared" si="5"/>
        <v>-3.0299999999999994E-2</v>
      </c>
      <c r="O62" s="26" t="str">
        <f t="shared" si="0"/>
        <v/>
      </c>
      <c r="P62" s="31" t="e">
        <f t="shared" si="1"/>
        <v>#VALUE!</v>
      </c>
      <c r="Q62" s="39" t="e">
        <f t="shared" si="2"/>
        <v>#VALUE!</v>
      </c>
      <c r="R62" s="39" t="str">
        <f>IF(D62="","",INDEX('WINBUGS data'!$F$17:$AI$65,'Inconsistency Data'!O62,2))</f>
        <v/>
      </c>
      <c r="S62" s="117" t="e">
        <f>INDEX('WINBUGS data'!$F$17:$AI$65,(O62*1),MATCH(Q62,'WINBUGS data'!$F$16:$AI$16,0))</f>
        <v>#VALUE!</v>
      </c>
      <c r="T62" s="88" t="str">
        <f>IF(D62="","",INDEX('WINBUGS Data Inconsistency'!$B$4:$C$18,'Inconsistency Data'!S62,1))</f>
        <v/>
      </c>
      <c r="U62" s="88" t="str">
        <f t="shared" si="3"/>
        <v/>
      </c>
      <c r="V62" s="42" t="str">
        <f t="shared" si="6"/>
        <v/>
      </c>
    </row>
    <row r="63" spans="4:22" hidden="1" x14ac:dyDescent="0.25">
      <c r="D63" s="41"/>
      <c r="E63" s="39"/>
      <c r="F63" s="39"/>
      <c r="G63" s="39"/>
      <c r="H63" s="52" t="str">
        <f t="shared" si="4"/>
        <v/>
      </c>
      <c r="I63" s="41" t="s">
        <v>588</v>
      </c>
      <c r="J63" s="39">
        <v>0.60540000000000005</v>
      </c>
      <c r="K63" s="39" t="s">
        <v>588</v>
      </c>
      <c r="L63" s="39">
        <v>0.5746</v>
      </c>
      <c r="M63" s="52">
        <f t="shared" si="5"/>
        <v>-3.080000000000005E-2</v>
      </c>
      <c r="O63" s="26" t="str">
        <f t="shared" si="0"/>
        <v/>
      </c>
      <c r="P63" s="31" t="e">
        <f t="shared" si="1"/>
        <v>#VALUE!</v>
      </c>
      <c r="Q63" s="39" t="e">
        <f t="shared" si="2"/>
        <v>#VALUE!</v>
      </c>
      <c r="R63" s="39" t="str">
        <f>IF(D63="","",INDEX('WINBUGS data'!$F$17:$AI$65,'Inconsistency Data'!O63,2))</f>
        <v/>
      </c>
      <c r="S63" s="117" t="e">
        <f>INDEX('WINBUGS data'!$F$17:$AI$65,(O63*1),MATCH(Q63,'WINBUGS data'!$F$16:$AI$16,0))</f>
        <v>#VALUE!</v>
      </c>
      <c r="T63" s="88" t="str">
        <f>IF(D63="","",INDEX('WINBUGS Data Inconsistency'!$B$4:$C$18,'Inconsistency Data'!S63,1))</f>
        <v/>
      </c>
      <c r="U63" s="88" t="str">
        <f t="shared" si="3"/>
        <v/>
      </c>
      <c r="V63" s="42" t="str">
        <f t="shared" si="6"/>
        <v/>
      </c>
    </row>
    <row r="64" spans="4:22" hidden="1" x14ac:dyDescent="0.25">
      <c r="D64" s="41"/>
      <c r="E64" s="39"/>
      <c r="F64" s="39"/>
      <c r="G64" s="39"/>
      <c r="H64" s="52" t="str">
        <f t="shared" si="4"/>
        <v/>
      </c>
      <c r="I64" s="41" t="s">
        <v>589</v>
      </c>
      <c r="J64" s="39">
        <v>1.0509999999999999</v>
      </c>
      <c r="K64" s="39" t="s">
        <v>589</v>
      </c>
      <c r="L64" s="39">
        <v>0.90439999999999998</v>
      </c>
      <c r="M64" s="52">
        <f t="shared" si="5"/>
        <v>-0.14659999999999995</v>
      </c>
      <c r="O64" s="26" t="str">
        <f t="shared" si="0"/>
        <v/>
      </c>
      <c r="P64" s="31" t="e">
        <f t="shared" si="1"/>
        <v>#VALUE!</v>
      </c>
      <c r="Q64" s="39" t="e">
        <f t="shared" si="2"/>
        <v>#VALUE!</v>
      </c>
      <c r="R64" s="39" t="str">
        <f>IF(D64="","",INDEX('WINBUGS data'!$F$17:$AI$65,'Inconsistency Data'!O64,2))</f>
        <v/>
      </c>
      <c r="S64" s="117" t="e">
        <f>INDEX('WINBUGS data'!$F$17:$AI$65,(O64*1),MATCH(Q64,'WINBUGS data'!$F$16:$AI$16,0))</f>
        <v>#VALUE!</v>
      </c>
      <c r="T64" s="88" t="str">
        <f>IF(D64="","",INDEX('WINBUGS Data Inconsistency'!$B$4:$C$18,'Inconsistency Data'!S64,1))</f>
        <v/>
      </c>
      <c r="U64" s="88" t="str">
        <f t="shared" si="3"/>
        <v/>
      </c>
      <c r="V64" s="42" t="str">
        <f t="shared" si="6"/>
        <v/>
      </c>
    </row>
    <row r="65" spans="4:22" hidden="1" x14ac:dyDescent="0.25">
      <c r="D65" s="41"/>
      <c r="E65" s="39"/>
      <c r="F65" s="39"/>
      <c r="G65" s="39"/>
      <c r="H65" s="52" t="str">
        <f t="shared" si="4"/>
        <v/>
      </c>
      <c r="I65" s="41" t="s">
        <v>590</v>
      </c>
      <c r="J65" s="39">
        <v>1.1439999999999999</v>
      </c>
      <c r="K65" s="39" t="s">
        <v>590</v>
      </c>
      <c r="L65" s="39">
        <v>1.119</v>
      </c>
      <c r="M65" s="52">
        <f t="shared" si="5"/>
        <v>-2.4999999999999911E-2</v>
      </c>
      <c r="O65" s="26" t="str">
        <f t="shared" si="0"/>
        <v/>
      </c>
      <c r="P65" s="31" t="e">
        <f t="shared" si="1"/>
        <v>#VALUE!</v>
      </c>
      <c r="Q65" s="39" t="e">
        <f t="shared" si="2"/>
        <v>#VALUE!</v>
      </c>
      <c r="R65" s="39" t="str">
        <f>IF(D65="","",INDEX('WINBUGS data'!$F$17:$AI$65,'Inconsistency Data'!O65,2))</f>
        <v/>
      </c>
      <c r="S65" s="117" t="e">
        <f>INDEX('WINBUGS data'!$F$17:$AI$65,(O65*1),MATCH(Q65,'WINBUGS data'!$F$16:$AI$16,0))</f>
        <v>#VALUE!</v>
      </c>
      <c r="T65" s="88" t="str">
        <f>IF(D65="","",INDEX('WINBUGS Data Inconsistency'!$B$4:$C$18,'Inconsistency Data'!S65,1))</f>
        <v/>
      </c>
      <c r="U65" s="88" t="str">
        <f t="shared" si="3"/>
        <v/>
      </c>
      <c r="V65" s="42" t="str">
        <f t="shared" si="6"/>
        <v/>
      </c>
    </row>
    <row r="66" spans="4:22" hidden="1" x14ac:dyDescent="0.25">
      <c r="D66" s="41"/>
      <c r="E66" s="39"/>
      <c r="F66" s="39"/>
      <c r="G66" s="39"/>
      <c r="H66" s="52" t="str">
        <f t="shared" si="4"/>
        <v/>
      </c>
      <c r="I66" s="41" t="s">
        <v>591</v>
      </c>
      <c r="J66" s="39">
        <v>0.7389</v>
      </c>
      <c r="K66" s="39" t="s">
        <v>591</v>
      </c>
      <c r="L66" s="39">
        <v>0.62549999999999994</v>
      </c>
      <c r="M66" s="52">
        <f t="shared" si="5"/>
        <v>-0.11340000000000006</v>
      </c>
      <c r="O66" s="26" t="str">
        <f t="shared" si="0"/>
        <v/>
      </c>
      <c r="P66" s="31" t="e">
        <f t="shared" si="1"/>
        <v>#VALUE!</v>
      </c>
      <c r="Q66" s="39" t="e">
        <f t="shared" si="2"/>
        <v>#VALUE!</v>
      </c>
      <c r="R66" s="39" t="str">
        <f>IF(D66="","",INDEX('WINBUGS data'!$F$17:$AI$65,'Inconsistency Data'!O66,2))</f>
        <v/>
      </c>
      <c r="S66" s="117" t="e">
        <f>INDEX('WINBUGS data'!$F$17:$AI$65,(O66*1),MATCH(Q66,'WINBUGS data'!$F$16:$AI$16,0))</f>
        <v>#VALUE!</v>
      </c>
      <c r="T66" s="88" t="str">
        <f>IF(D66="","",INDEX('WINBUGS Data Inconsistency'!$B$4:$C$18,'Inconsistency Data'!S66,1))</f>
        <v/>
      </c>
      <c r="U66" s="88" t="str">
        <f t="shared" si="3"/>
        <v/>
      </c>
      <c r="V66" s="42" t="str">
        <f t="shared" si="6"/>
        <v/>
      </c>
    </row>
    <row r="67" spans="4:22" hidden="1" x14ac:dyDescent="0.25">
      <c r="D67" s="41"/>
      <c r="E67" s="39"/>
      <c r="F67" s="39"/>
      <c r="G67" s="39"/>
      <c r="H67" s="52" t="str">
        <f t="shared" si="4"/>
        <v/>
      </c>
      <c r="I67" s="41" t="s">
        <v>592</v>
      </c>
      <c r="J67" s="39">
        <v>0.93059999999999998</v>
      </c>
      <c r="K67" s="39" t="s">
        <v>592</v>
      </c>
      <c r="L67" s="39">
        <v>0.7702</v>
      </c>
      <c r="M67" s="52">
        <f t="shared" si="5"/>
        <v>-0.16039999999999999</v>
      </c>
      <c r="O67" s="26" t="str">
        <f t="shared" si="0"/>
        <v/>
      </c>
      <c r="P67" s="31" t="e">
        <f t="shared" si="1"/>
        <v>#VALUE!</v>
      </c>
      <c r="Q67" s="39" t="e">
        <f t="shared" si="2"/>
        <v>#VALUE!</v>
      </c>
      <c r="R67" s="39" t="str">
        <f>IF(D67="","",INDEX('WINBUGS data'!$F$17:$AI$65,'Inconsistency Data'!O67,2))</f>
        <v/>
      </c>
      <c r="S67" s="117" t="e">
        <f>INDEX('WINBUGS data'!$F$17:$AI$65,(O67*1),MATCH(Q67,'WINBUGS data'!$F$16:$AI$16,0))</f>
        <v>#VALUE!</v>
      </c>
      <c r="T67" s="88" t="str">
        <f>IF(D67="","",INDEX('WINBUGS Data Inconsistency'!$B$4:$C$18,'Inconsistency Data'!S67,1))</f>
        <v/>
      </c>
      <c r="U67" s="88" t="str">
        <f t="shared" si="3"/>
        <v/>
      </c>
      <c r="V67" s="42" t="str">
        <f t="shared" si="6"/>
        <v/>
      </c>
    </row>
    <row r="68" spans="4:22" hidden="1" x14ac:dyDescent="0.25">
      <c r="D68" s="41"/>
      <c r="E68" s="39"/>
      <c r="F68" s="39"/>
      <c r="G68" s="39"/>
      <c r="H68" s="52" t="str">
        <f t="shared" si="4"/>
        <v/>
      </c>
      <c r="I68" s="41" t="s">
        <v>593</v>
      </c>
      <c r="J68" s="39">
        <v>0.98819999999999997</v>
      </c>
      <c r="K68" s="39" t="s">
        <v>593</v>
      </c>
      <c r="L68" s="39">
        <v>0.72870000000000001</v>
      </c>
      <c r="M68" s="52">
        <f t="shared" si="5"/>
        <v>-0.25949999999999995</v>
      </c>
      <c r="O68" s="26" t="str">
        <f t="shared" si="0"/>
        <v/>
      </c>
      <c r="P68" s="31" t="e">
        <f t="shared" si="1"/>
        <v>#VALUE!</v>
      </c>
      <c r="Q68" s="39" t="e">
        <f t="shared" si="2"/>
        <v>#VALUE!</v>
      </c>
      <c r="R68" s="39" t="str">
        <f>IF(D68="","",INDEX('WINBUGS data'!$F$17:$AI$65,'Inconsistency Data'!O68,2))</f>
        <v/>
      </c>
      <c r="S68" s="117" t="e">
        <f>INDEX('WINBUGS data'!$F$17:$AI$65,(O68*1),MATCH(Q68,'WINBUGS data'!$F$16:$AI$16,0))</f>
        <v>#VALUE!</v>
      </c>
      <c r="T68" s="88" t="str">
        <f>IF(D68="","",INDEX('WINBUGS Data Inconsistency'!$B$4:$C$18,'Inconsistency Data'!S68,1))</f>
        <v/>
      </c>
      <c r="U68" s="88" t="str">
        <f t="shared" si="3"/>
        <v/>
      </c>
      <c r="V68" s="42" t="str">
        <f t="shared" si="6"/>
        <v/>
      </c>
    </row>
    <row r="69" spans="4:22" hidden="1" x14ac:dyDescent="0.25">
      <c r="D69" s="41"/>
      <c r="E69" s="39"/>
      <c r="F69" s="39"/>
      <c r="G69" s="39"/>
      <c r="H69" s="52" t="str">
        <f t="shared" si="4"/>
        <v/>
      </c>
      <c r="I69" s="41" t="s">
        <v>594</v>
      </c>
      <c r="J69" s="39">
        <v>0.64510000000000001</v>
      </c>
      <c r="K69" s="39" t="s">
        <v>594</v>
      </c>
      <c r="L69" s="39">
        <v>0.4042</v>
      </c>
      <c r="M69" s="52">
        <f t="shared" si="5"/>
        <v>-0.2409</v>
      </c>
      <c r="O69" s="26" t="str">
        <f t="shared" si="0"/>
        <v/>
      </c>
      <c r="P69" s="31" t="e">
        <f t="shared" si="1"/>
        <v>#VALUE!</v>
      </c>
      <c r="Q69" s="39" t="e">
        <f t="shared" si="2"/>
        <v>#VALUE!</v>
      </c>
      <c r="R69" s="39" t="str">
        <f>IF(D69="","",INDEX('WINBUGS data'!$F$17:$AI$65,'Inconsistency Data'!O69,2))</f>
        <v/>
      </c>
      <c r="S69" s="117" t="e">
        <f>INDEX('WINBUGS data'!$F$17:$AI$65,(O69*1),MATCH(Q69,'WINBUGS data'!$F$16:$AI$16,0))</f>
        <v>#VALUE!</v>
      </c>
      <c r="T69" s="88" t="str">
        <f>IF(D69="","",INDEX('WINBUGS Data Inconsistency'!$B$4:$C$18,'Inconsistency Data'!S69,1))</f>
        <v/>
      </c>
      <c r="U69" s="88" t="str">
        <f t="shared" si="3"/>
        <v/>
      </c>
      <c r="V69" s="42" t="str">
        <f t="shared" si="6"/>
        <v/>
      </c>
    </row>
    <row r="70" spans="4:22" hidden="1" x14ac:dyDescent="0.25">
      <c r="D70" s="41"/>
      <c r="E70" s="39"/>
      <c r="F70" s="39"/>
      <c r="G70" s="39"/>
      <c r="H70" s="52" t="str">
        <f t="shared" si="4"/>
        <v/>
      </c>
      <c r="I70" s="41" t="s">
        <v>595</v>
      </c>
      <c r="J70" s="39">
        <v>1.097</v>
      </c>
      <c r="K70" s="39" t="s">
        <v>595</v>
      </c>
      <c r="L70" s="39">
        <v>1.1479999999999999</v>
      </c>
      <c r="M70" s="52">
        <f t="shared" si="5"/>
        <v>5.0999999999999934E-2</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7" t="e">
        <f>INDEX('WINBUGS data'!$F$17:$AI$65,(O70*1),MATCH(Q70,'WINBUGS data'!$F$16:$AI$16,0))</f>
        <v>#VALUE!</v>
      </c>
      <c r="T70" s="88" t="str">
        <f>IF(D70="","",INDEX('WINBUGS Data Inconsistency'!$B$4:$C$18,'Inconsistency Data'!S70,1))</f>
        <v/>
      </c>
      <c r="U70" s="88" t="str">
        <f t="shared" ref="U70:U105" si="10">IF(D70="","",R70&amp; ", "&amp;T70)</f>
        <v/>
      </c>
      <c r="V70" s="42" t="str">
        <f t="shared" si="6"/>
        <v/>
      </c>
    </row>
    <row r="71" spans="4:22" hidden="1" x14ac:dyDescent="0.25">
      <c r="D71" s="41"/>
      <c r="E71" s="39"/>
      <c r="F71" s="39"/>
      <c r="G71" s="39"/>
      <c r="H71" s="52" t="str">
        <f t="shared" ref="H71:H105" si="11">IF(D71="","",G71-E71)</f>
        <v/>
      </c>
      <c r="I71" s="41" t="s">
        <v>596</v>
      </c>
      <c r="J71" s="39">
        <v>1.0069999999999999</v>
      </c>
      <c r="K71" s="39" t="s">
        <v>596</v>
      </c>
      <c r="L71" s="39">
        <v>1.2330000000000001</v>
      </c>
      <c r="M71" s="52">
        <f t="shared" ref="M71:M105" si="12">IF(I71="","",L71-J71)</f>
        <v>0.2260000000000002</v>
      </c>
      <c r="O71" s="26" t="str">
        <f t="shared" si="7"/>
        <v/>
      </c>
      <c r="P71" s="31" t="e">
        <f t="shared" si="8"/>
        <v>#VALUE!</v>
      </c>
      <c r="Q71" s="39" t="e">
        <f t="shared" si="9"/>
        <v>#VALUE!</v>
      </c>
      <c r="R71" s="39" t="str">
        <f>IF(D71="","",INDEX('WINBUGS data'!$F$17:$AI$65,'Inconsistency Data'!O71,2))</f>
        <v/>
      </c>
      <c r="S71" s="117" t="e">
        <f>INDEX('WINBUGS data'!$F$17:$AI$65,(O71*1),MATCH(Q71,'WINBUGS data'!$F$16:$AI$16,0))</f>
        <v>#VALUE!</v>
      </c>
      <c r="T71" s="88" t="str">
        <f>IF(D71="","",INDEX('WINBUGS Data Inconsistency'!$B$4:$C$18,'Inconsistency Data'!S71,1))</f>
        <v/>
      </c>
      <c r="U71" s="88"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7" t="e">
        <f>INDEX('WINBUGS data'!$F$17:$AI$65,(O72*1),MATCH(Q72,'WINBUGS data'!$F$16:$AI$16,0))</f>
        <v>#VALUE!</v>
      </c>
      <c r="T72" s="88" t="str">
        <f>IF(D72="","",INDEX('WINBUGS Data Inconsistency'!$B$4:$C$18,'Inconsistency Data'!S72,1))</f>
        <v/>
      </c>
      <c r="U72" s="88"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7" t="e">
        <f>INDEX('WINBUGS data'!$F$17:$AI$65,(O73*1),MATCH(Q73,'WINBUGS data'!$F$16:$AI$16,0))</f>
        <v>#VALUE!</v>
      </c>
      <c r="T73" s="88" t="str">
        <f>IF(D73="","",INDEX('WINBUGS Data Inconsistency'!$B$4:$C$18,'Inconsistency Data'!S73,1))</f>
        <v/>
      </c>
      <c r="U73" s="88"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7" t="e">
        <f>INDEX('WINBUGS data'!$F$17:$AI$65,(O74*1),MATCH(Q74,'WINBUGS data'!$F$16:$AI$16,0))</f>
        <v>#VALUE!</v>
      </c>
      <c r="T74" s="88" t="str">
        <f>IF(D74="","",INDEX('WINBUGS Data Inconsistency'!$B$4:$C$18,'Inconsistency Data'!S74,1))</f>
        <v/>
      </c>
      <c r="U74" s="88"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7" t="e">
        <f>INDEX('WINBUGS data'!$F$17:$AI$65,(O75*1),MATCH(Q75,'WINBUGS data'!$F$16:$AI$16,0))</f>
        <v>#VALUE!</v>
      </c>
      <c r="T75" s="88" t="str">
        <f>IF(D75="","",INDEX('WINBUGS Data Inconsistency'!$B$4:$C$18,'Inconsistency Data'!S75,1))</f>
        <v/>
      </c>
      <c r="U75" s="88"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7" t="e">
        <f>INDEX('WINBUGS data'!$F$17:$AI$65,(O76*1),MATCH(Q76,'WINBUGS data'!$F$16:$AI$16,0))</f>
        <v>#VALUE!</v>
      </c>
      <c r="T76" s="88" t="str">
        <f>IF(D76="","",INDEX('WINBUGS Data Inconsistency'!$B$4:$C$18,'Inconsistency Data'!S76,1))</f>
        <v/>
      </c>
      <c r="U76" s="88"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7" t="e">
        <f>INDEX('WINBUGS data'!$F$17:$AI$65,(O77*1),MATCH(Q77,'WINBUGS data'!$F$16:$AI$16,0))</f>
        <v>#VALUE!</v>
      </c>
      <c r="T77" s="88" t="str">
        <f>IF(D77="","",INDEX('WINBUGS Data Inconsistency'!$B$4:$C$18,'Inconsistency Data'!S77,1))</f>
        <v/>
      </c>
      <c r="U77" s="88"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7" t="e">
        <f>INDEX('WINBUGS data'!$F$17:$AI$65,(O78*1),MATCH(Q78,'WINBUGS data'!$F$16:$AI$16,0))</f>
        <v>#VALUE!</v>
      </c>
      <c r="T78" s="88" t="str">
        <f>IF(D78="","",INDEX('WINBUGS Data Inconsistency'!$B$4:$C$18,'Inconsistency Data'!S78,1))</f>
        <v/>
      </c>
      <c r="U78" s="88"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7" t="e">
        <f>INDEX('WINBUGS data'!$F$17:$AI$65,(O79*1),MATCH(Q79,'WINBUGS data'!$F$16:$AI$16,0))</f>
        <v>#VALUE!</v>
      </c>
      <c r="T79" s="88" t="str">
        <f>IF(D79="","",INDEX('WINBUGS Data Inconsistency'!$B$4:$C$18,'Inconsistency Data'!S79,1))</f>
        <v/>
      </c>
      <c r="U79" s="88"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7" t="e">
        <f>INDEX('WINBUGS data'!$F$17:$AI$65,(O80*1),MATCH(Q80,'WINBUGS data'!$F$16:$AI$16,0))</f>
        <v>#VALUE!</v>
      </c>
      <c r="T80" s="88" t="str">
        <f>IF(D80="","",INDEX('WINBUGS Data Inconsistency'!$B$4:$C$18,'Inconsistency Data'!S80,1))</f>
        <v/>
      </c>
      <c r="U80" s="88"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7" t="e">
        <f>INDEX('WINBUGS data'!$F$17:$AI$65,(O81*1),MATCH(Q81,'WINBUGS data'!$F$16:$AI$16,0))</f>
        <v>#VALUE!</v>
      </c>
      <c r="T81" s="88" t="str">
        <f>IF(D81="","",INDEX('WINBUGS Data Inconsistency'!$B$4:$C$18,'Inconsistency Data'!S81,1))</f>
        <v/>
      </c>
      <c r="U81" s="88"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7" t="e">
        <f>INDEX('WINBUGS data'!$F$17:$AI$65,(O82*1),MATCH(Q82,'WINBUGS data'!$F$16:$AI$16,0))</f>
        <v>#VALUE!</v>
      </c>
      <c r="T82" s="88" t="str">
        <f>IF(D82="","",INDEX('WINBUGS Data Inconsistency'!$B$4:$C$18,'Inconsistency Data'!S82,1))</f>
        <v/>
      </c>
      <c r="U82" s="88"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7" t="e">
        <f>INDEX('WINBUGS data'!$F$17:$AI$65,(O83*1),MATCH(Q83,'WINBUGS data'!$F$16:$AI$16,0))</f>
        <v>#VALUE!</v>
      </c>
      <c r="T83" s="88" t="str">
        <f>IF(D83="","",INDEX('WINBUGS Data Inconsistency'!$B$4:$C$18,'Inconsistency Data'!S83,1))</f>
        <v/>
      </c>
      <c r="U83" s="88"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7" t="e">
        <f>INDEX('WINBUGS data'!$F$17:$AI$65,(O84*1),MATCH(Q84,'WINBUGS data'!$F$16:$AI$16,0))</f>
        <v>#VALUE!</v>
      </c>
      <c r="T84" s="88" t="str">
        <f>IF(D84="","",INDEX('WINBUGS Data Inconsistency'!$B$4:$C$18,'Inconsistency Data'!S84,1))</f>
        <v/>
      </c>
      <c r="U84" s="88"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7" t="e">
        <f>INDEX('WINBUGS data'!$F$17:$AI$65,(O85*1),MATCH(Q85,'WINBUGS data'!$F$16:$AI$16,0))</f>
        <v>#VALUE!</v>
      </c>
      <c r="T85" s="88" t="str">
        <f>IF(D85="","",INDEX('WINBUGS Data Inconsistency'!$B$4:$C$18,'Inconsistency Data'!S85,1))</f>
        <v/>
      </c>
      <c r="U85" s="88"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7" t="e">
        <f>INDEX('WINBUGS data'!$F$17:$AI$65,(O86*1),MATCH(Q86,'WINBUGS data'!$F$16:$AI$16,0))</f>
        <v>#VALUE!</v>
      </c>
      <c r="T86" s="88" t="str">
        <f>IF(D86="","",INDEX('WINBUGS Data Inconsistency'!$B$4:$C$18,'Inconsistency Data'!S86,1))</f>
        <v/>
      </c>
      <c r="U86" s="88"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7" t="e">
        <f>INDEX('WINBUGS data'!$F$17:$AI$65,(O87*1),MATCH(Q87,'WINBUGS data'!$F$16:$AI$16,0))</f>
        <v>#VALUE!</v>
      </c>
      <c r="T87" s="88" t="str">
        <f>IF(D87="","",INDEX('WINBUGS Data Inconsistency'!$B$4:$C$18,'Inconsistency Data'!S87,1))</f>
        <v/>
      </c>
      <c r="U87" s="88"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7" t="e">
        <f>INDEX('WINBUGS data'!$F$17:$AI$65,(O88*1),MATCH(Q88,'WINBUGS data'!$F$16:$AI$16,0))</f>
        <v>#VALUE!</v>
      </c>
      <c r="T88" s="88" t="str">
        <f>IF(D88="","",INDEX('WINBUGS Data Inconsistency'!$B$4:$C$18,'Inconsistency Data'!S88,1))</f>
        <v/>
      </c>
      <c r="U88" s="88"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7" t="e">
        <f>INDEX('WINBUGS data'!$F$17:$AI$65,(O89*1),MATCH(Q89,'WINBUGS data'!$F$16:$AI$16,0))</f>
        <v>#VALUE!</v>
      </c>
      <c r="T89" s="88" t="str">
        <f>IF(D89="","",INDEX('WINBUGS Data Inconsistency'!$B$4:$C$18,'Inconsistency Data'!S89,1))</f>
        <v/>
      </c>
      <c r="U89" s="88"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7" t="e">
        <f>INDEX('WINBUGS data'!$F$17:$AI$65,(O90*1),MATCH(Q90,'WINBUGS data'!$F$16:$AI$16,0))</f>
        <v>#VALUE!</v>
      </c>
      <c r="T90" s="88" t="str">
        <f>IF(D90="","",INDEX('WINBUGS Data Inconsistency'!$B$4:$C$18,'Inconsistency Data'!S90,1))</f>
        <v/>
      </c>
      <c r="U90" s="88"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7" t="e">
        <f>INDEX('WINBUGS data'!$F$17:$AI$65,(O91*1),MATCH(Q91,'WINBUGS data'!$F$16:$AI$16,0))</f>
        <v>#VALUE!</v>
      </c>
      <c r="T91" s="88" t="str">
        <f>IF(D91="","",INDEX('WINBUGS Data Inconsistency'!$B$4:$C$18,'Inconsistency Data'!S91,1))</f>
        <v/>
      </c>
      <c r="U91" s="88"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7" t="e">
        <f>INDEX('WINBUGS data'!$F$17:$AI$65,(O92*1),MATCH(Q92,'WINBUGS data'!$F$16:$AI$16,0))</f>
        <v>#VALUE!</v>
      </c>
      <c r="T92" s="88" t="str">
        <f>IF(D92="","",INDEX('WINBUGS Data Inconsistency'!$B$4:$C$18,'Inconsistency Data'!S92,1))</f>
        <v/>
      </c>
      <c r="U92" s="88"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7" t="e">
        <f>INDEX('WINBUGS data'!$F$17:$AI$65,(O93*1),MATCH(Q93,'WINBUGS data'!$F$16:$AI$16,0))</f>
        <v>#VALUE!</v>
      </c>
      <c r="T93" s="88" t="str">
        <f>IF(D93="","",INDEX('WINBUGS Data Inconsistency'!$B$4:$C$18,'Inconsistency Data'!S93,1))</f>
        <v/>
      </c>
      <c r="U93" s="88"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7" t="e">
        <f>INDEX('WINBUGS data'!$F$17:$AI$65,(O94*1),MATCH(Q94,'WINBUGS data'!$F$16:$AI$16,0))</f>
        <v>#VALUE!</v>
      </c>
      <c r="T94" s="88" t="str">
        <f>IF(D94="","",INDEX('WINBUGS Data Inconsistency'!$B$4:$C$18,'Inconsistency Data'!S94,1))</f>
        <v/>
      </c>
      <c r="U94" s="88"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7" t="e">
        <f>INDEX('WINBUGS data'!$F$17:$AI$65,(O95*1),MATCH(Q95,'WINBUGS data'!$F$16:$AI$16,0))</f>
        <v>#VALUE!</v>
      </c>
      <c r="T95" s="88" t="str">
        <f>IF(D95="","",INDEX('WINBUGS Data Inconsistency'!$B$4:$C$18,'Inconsistency Data'!S95,1))</f>
        <v/>
      </c>
      <c r="U95" s="88"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7" t="e">
        <f>INDEX('WINBUGS data'!$F$17:$AI$65,(O96*1),MATCH(Q96,'WINBUGS data'!$F$16:$AI$16,0))</f>
        <v>#VALUE!</v>
      </c>
      <c r="T96" s="88" t="str">
        <f>IF(D96="","",INDEX('WINBUGS Data Inconsistency'!$B$4:$C$18,'Inconsistency Data'!S96,1))</f>
        <v/>
      </c>
      <c r="U96" s="88"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7" t="e">
        <f>INDEX('WINBUGS data'!$F$17:$AI$65,(O97*1),MATCH(Q97,'WINBUGS data'!$F$16:$AI$16,0))</f>
        <v>#VALUE!</v>
      </c>
      <c r="T97" s="88" t="str">
        <f>IF(D97="","",INDEX('WINBUGS Data Inconsistency'!$B$4:$C$18,'Inconsistency Data'!S97,1))</f>
        <v/>
      </c>
      <c r="U97" s="88"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7" t="e">
        <f>INDEX('WINBUGS data'!$F$17:$AI$65,(O98*1),MATCH(Q98,'WINBUGS data'!$F$16:$AI$16,0))</f>
        <v>#VALUE!</v>
      </c>
      <c r="T98" s="88" t="str">
        <f>IF(D98="","",INDEX('WINBUGS Data Inconsistency'!$B$4:$C$18,'Inconsistency Data'!S98,1))</f>
        <v/>
      </c>
      <c r="U98" s="88"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7" t="e">
        <f>INDEX('WINBUGS data'!$F$17:$AI$65,(O99*1),MATCH(Q99,'WINBUGS data'!$F$16:$AI$16,0))</f>
        <v>#VALUE!</v>
      </c>
      <c r="T99" s="88" t="str">
        <f>IF(D99="","",INDEX('WINBUGS Data Inconsistency'!$B$4:$C$18,'Inconsistency Data'!S99,1))</f>
        <v/>
      </c>
      <c r="U99" s="88"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7" t="e">
        <f>INDEX('WINBUGS data'!$F$17:$AI$65,(O100*1),MATCH(Q100,'WINBUGS data'!$F$16:$AI$16,0))</f>
        <v>#VALUE!</v>
      </c>
      <c r="T100" s="88" t="str">
        <f>IF(D100="","",INDEX('WINBUGS Data Inconsistency'!$B$4:$C$18,'Inconsistency Data'!S100,1))</f>
        <v/>
      </c>
      <c r="U100" s="88"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7" t="e">
        <f>INDEX('WINBUGS data'!$F$17:$AI$65,(O101*1),MATCH(Q101,'WINBUGS data'!$F$16:$AI$16,0))</f>
        <v>#VALUE!</v>
      </c>
      <c r="T101" s="88" t="str">
        <f>IF(D101="","",INDEX('WINBUGS Data Inconsistency'!$B$4:$C$18,'Inconsistency Data'!S101,1))</f>
        <v/>
      </c>
      <c r="U101" s="88"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7" t="e">
        <f>INDEX('WINBUGS data'!$F$17:$AI$65,(O102*1),MATCH(Q102,'WINBUGS data'!$F$16:$AI$16,0))</f>
        <v>#VALUE!</v>
      </c>
      <c r="T102" s="88" t="str">
        <f>IF(D102="","",INDEX('WINBUGS Data Inconsistency'!$B$4:$C$18,'Inconsistency Data'!S102,1))</f>
        <v/>
      </c>
      <c r="U102" s="88"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7" t="e">
        <f>INDEX('WINBUGS data'!$F$17:$AI$65,(O103*1),MATCH(Q103,'WINBUGS data'!$F$16:$AI$16,0))</f>
        <v>#VALUE!</v>
      </c>
      <c r="T103" s="88" t="str">
        <f>IF(D103="","",INDEX('WINBUGS Data Inconsistency'!$B$4:$C$18,'Inconsistency Data'!S103,1))</f>
        <v/>
      </c>
      <c r="U103" s="88"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7" t="e">
        <f>INDEX('WINBUGS data'!$F$17:$AI$65,(O104*1),MATCH(Q104,'WINBUGS data'!$F$16:$AI$16,0))</f>
        <v>#VALUE!</v>
      </c>
      <c r="T104" s="88" t="str">
        <f>IF(D104="","",INDEX('WINBUGS Data Inconsistency'!$B$4:$C$18,'Inconsistency Data'!S104,1))</f>
        <v/>
      </c>
      <c r="U104" s="88"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5" t="str">
        <f t="shared" si="7"/>
        <v/>
      </c>
      <c r="P105" s="116" t="e">
        <f t="shared" si="8"/>
        <v>#VALUE!</v>
      </c>
      <c r="Q105" s="44" t="e">
        <f t="shared" si="9"/>
        <v>#VALUE!</v>
      </c>
      <c r="R105" s="44" t="str">
        <f>IF(D105="","",INDEX('WINBUGS data'!$F$17:$AI$65,'Inconsistency Data'!O105,2))</f>
        <v/>
      </c>
      <c r="S105" s="86" t="e">
        <f>INDEX('WINBUGS data'!$F$17:$AI$65,(O105*1),MATCH(Q105,'WINBUGS data'!$F$16:$AI$16,0))</f>
        <v>#VALUE!</v>
      </c>
      <c r="T105" s="89" t="str">
        <f>IF(D105="","",INDEX('WINBUGS Data Inconsistency'!$B$4:$C$18,'Inconsistency Data'!S105,1))</f>
        <v/>
      </c>
      <c r="U105" s="89"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249</v>
      </c>
      <c r="F3" s="273"/>
      <c r="G3" s="274"/>
      <c r="J3" s="272" t="s">
        <v>250</v>
      </c>
      <c r="K3" s="273"/>
      <c r="L3" s="274"/>
    </row>
    <row r="4" spans="4:22" s="39" customFormat="1" ht="45.75" customHeight="1" thickBot="1" x14ac:dyDescent="0.3">
      <c r="D4" s="31"/>
      <c r="E4" s="134" t="s">
        <v>111</v>
      </c>
      <c r="F4" s="135" t="s">
        <v>212</v>
      </c>
      <c r="G4" s="136" t="s">
        <v>248</v>
      </c>
      <c r="H4" s="122"/>
      <c r="I4" s="31"/>
      <c r="J4" s="134" t="s">
        <v>111</v>
      </c>
      <c r="K4" s="135" t="s">
        <v>212</v>
      </c>
      <c r="L4" s="136" t="s">
        <v>248</v>
      </c>
      <c r="M4" s="122"/>
      <c r="N4" s="121"/>
      <c r="O4" s="121"/>
      <c r="P4" s="121"/>
      <c r="Q4" s="121"/>
      <c r="R4" s="121"/>
      <c r="S4" s="121"/>
      <c r="T4" s="121"/>
      <c r="U4" s="121"/>
      <c r="V4" s="121"/>
    </row>
    <row r="5" spans="4:22" x14ac:dyDescent="0.25">
      <c r="D5" s="137" t="str">
        <f>IF('Fixed Effects'!N5="","",'Fixed Effects'!N5)</f>
        <v/>
      </c>
      <c r="E5" s="123" t="str">
        <f>IF('Fixed Effects'!O5="","",'Fixed Effects'!O5)</f>
        <v/>
      </c>
      <c r="F5" s="124" t="str">
        <f>IF('Fixed Effects'!Q5="","",'Fixed Effects'!Q5)</f>
        <v/>
      </c>
      <c r="G5" s="125"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8" t="str">
        <f ca="1">IF(INDIRECT(CONCATENATE("'",'Inconsistency Data'!$I$4,"'!N5"))="","",INDIRECT(CONCATENATE("'",'Inconsistency Data'!$I$4,"'!N5")))</f>
        <v>OR[1,2]</v>
      </c>
      <c r="J5" s="123" t="str">
        <f ca="1">IF(INDIRECT(CONCATENATE("'",'Inconsistency Data'!$I$4,"'!O5"))="","",INDIRECT(CONCATENATE("'",'Inconsistency Data'!$I$4,"'!O5")))</f>
        <v>IBUIV versus INDOIV</v>
      </c>
      <c r="K5" s="124">
        <f ca="1">IF(INDIRECT(CONCATENATE("'",'Inconsistency Data'!$I$4,"'!Q5"))="","",INDIRECT(CONCATENATE("'",'Inconsistency Data'!$I$4,"'!Q5")))</f>
        <v>1.431</v>
      </c>
      <c r="L5" s="125"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6" t="str">
        <f>IF('Fixed Effects'!N6="","",'Fixed Effects'!N6)</f>
        <v/>
      </c>
      <c r="E6" s="127" t="str">
        <f>IF('Fixed Effects'!O6="","",'Fixed Effects'!O6)</f>
        <v/>
      </c>
      <c r="F6" s="128" t="str">
        <f>IF('Fixed Effects'!Q6="","",'Fixed Effects'!Q6)</f>
        <v/>
      </c>
      <c r="G6" s="129"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9" t="str">
        <f ca="1">IF(INDIRECT(CONCATENATE("'",'Inconsistency Data'!$I$4,"'!N6"))="","",INDIRECT(CONCATENATE("'",'Inconsistency Data'!$I$4,"'!N6")))</f>
        <v>OR[1,3]</v>
      </c>
      <c r="J6" s="127" t="str">
        <f ca="1">IF(INDIRECT(CONCATENATE("'",'Inconsistency Data'!$I$4,"'!O6"))="","",INDIRECT(CONCATENATE("'",'Inconsistency Data'!$I$4,"'!O6")))</f>
        <v>IBUPO versus INDOIV</v>
      </c>
      <c r="K6" s="128">
        <f ca="1">IF(INDIRECT(CONCATENATE("'",'Inconsistency Data'!$I$4,"'!Q6"))="","",INDIRECT(CONCATENATE("'",'Inconsistency Data'!$I$4,"'!Q6")))</f>
        <v>0.55700000000000005</v>
      </c>
      <c r="L6" s="129"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6" t="str">
        <f>IF('Fixed Effects'!N7="","",'Fixed Effects'!N7)</f>
        <v/>
      </c>
      <c r="E7" s="127" t="str">
        <f>IF('Fixed Effects'!O7="","",'Fixed Effects'!O7)</f>
        <v/>
      </c>
      <c r="F7" s="128" t="str">
        <f>IF('Fixed Effects'!Q7="","",'Fixed Effects'!Q7)</f>
        <v/>
      </c>
      <c r="G7" s="129"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9" t="str">
        <f ca="1">IF(INDIRECT(CONCATENATE("'",'Inconsistency Data'!$I$4,"'!N7"))="","",INDIRECT(CONCATENATE("'",'Inconsistency Data'!$I$4,"'!N7")))</f>
        <v>OR[1,4]</v>
      </c>
      <c r="J7" s="127" t="str">
        <f ca="1">IF(INDIRECT(CONCATENATE("'",'Inconsistency Data'!$I$4,"'!O7"))="","",INDIRECT(CONCATENATE("'",'Inconsistency Data'!$I$4,"'!O7")))</f>
        <v>PARAPO versus INDOIV</v>
      </c>
      <c r="K7" s="128">
        <f ca="1">IF(INDIRECT(CONCATENATE("'",'Inconsistency Data'!$I$4,"'!Q7"))="","",INDIRECT(CONCATENATE("'",'Inconsistency Data'!$I$4,"'!Q7")))</f>
        <v>0.42959999999999998</v>
      </c>
      <c r="L7" s="129"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6" t="str">
        <f>IF('Fixed Effects'!N8="","",'Fixed Effects'!N8)</f>
        <v/>
      </c>
      <c r="E8" s="127" t="str">
        <f>IF('Fixed Effects'!O8="","",'Fixed Effects'!O8)</f>
        <v/>
      </c>
      <c r="F8" s="128" t="str">
        <f>IF('Fixed Effects'!Q8="","",'Fixed Effects'!Q8)</f>
        <v/>
      </c>
      <c r="G8" s="129"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9" t="str">
        <f ca="1">IF(INDIRECT(CONCATENATE("'",'Inconsistency Data'!$I$4,"'!N8"))="","",INDIRECT(CONCATENATE("'",'Inconsistency Data'!$I$4,"'!N8")))</f>
        <v>OR[1,5]</v>
      </c>
      <c r="J8" s="127" t="str">
        <f ca="1">IF(INDIRECT(CONCATENATE("'",'Inconsistency Data'!$I$4,"'!O8"))="","",INDIRECT(CONCATENATE("'",'Inconsistency Data'!$I$4,"'!O8")))</f>
        <v>IBUIVHIGHDOSE versus INDOIV</v>
      </c>
      <c r="K8" s="128">
        <f ca="1">IF(INDIRECT(CONCATENATE("'",'Inconsistency Data'!$I$4,"'!Q8"))="","",INDIRECT(CONCATENATE("'",'Inconsistency Data'!$I$4,"'!Q8")))</f>
        <v>0.35189999999999999</v>
      </c>
      <c r="L8" s="129"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6" t="str">
        <f>IF('Fixed Effects'!N9="","",'Fixed Effects'!N9)</f>
        <v/>
      </c>
      <c r="E9" s="127" t="str">
        <f>IF('Fixed Effects'!O9="","",'Fixed Effects'!O9)</f>
        <v/>
      </c>
      <c r="F9" s="128" t="str">
        <f>IF('Fixed Effects'!Q9="","",'Fixed Effects'!Q9)</f>
        <v/>
      </c>
      <c r="G9" s="129"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9" t="str">
        <f ca="1">IF(INDIRECT(CONCATENATE("'",'Inconsistency Data'!$I$4,"'!N9"))="","",INDIRECT(CONCATENATE("'",'Inconsistency Data'!$I$4,"'!N9")))</f>
        <v>OR[1,6]</v>
      </c>
      <c r="J9" s="127" t="str">
        <f ca="1">IF(INDIRECT(CONCATENATE("'",'Inconsistency Data'!$I$4,"'!O9"))="","",INDIRECT(CONCATENATE("'",'Inconsistency Data'!$I$4,"'!O9")))</f>
        <v>IBUPOHIGHDOSE versus INDOIV</v>
      </c>
      <c r="K9" s="128">
        <f ca="1">IF(INDIRECT(CONCATENATE("'",'Inconsistency Data'!$I$4,"'!Q9"))="","",INDIRECT(CONCATENATE("'",'Inconsistency Data'!$I$4,"'!Q9")))</f>
        <v>0.48949999999999999</v>
      </c>
      <c r="L9" s="129"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6" t="str">
        <f>IF('Fixed Effects'!N10="","",'Fixed Effects'!N10)</f>
        <v/>
      </c>
      <c r="E10" s="127" t="str">
        <f>IF('Fixed Effects'!O10="","",'Fixed Effects'!O10)</f>
        <v/>
      </c>
      <c r="F10" s="128" t="str">
        <f>IF('Fixed Effects'!Q10="","",'Fixed Effects'!Q10)</f>
        <v/>
      </c>
      <c r="G10" s="129"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9" t="str">
        <f ca="1">IF(INDIRECT(CONCATENATE("'",'Inconsistency Data'!$I$4,"'!N10"))="","",INDIRECT(CONCATENATE("'",'Inconsistency Data'!$I$4,"'!N10")))</f>
        <v>OR[1,7]</v>
      </c>
      <c r="J10" s="127" t="str">
        <f ca="1">IF(INDIRECT(CONCATENATE("'",'Inconsistency Data'!$I$4,"'!O10"))="","",INDIRECT(CONCATENATE("'",'Inconsistency Data'!$I$4,"'!O10")))</f>
        <v>INDOIVCONT versus INDOIV</v>
      </c>
      <c r="K10" s="128">
        <f ca="1">IF(INDIRECT(CONCATENATE("'",'Inconsistency Data'!$I$4,"'!Q10"))="","",INDIRECT(CONCATENATE("'",'Inconsistency Data'!$I$4,"'!Q10")))</f>
        <v>0.99119999999999997</v>
      </c>
      <c r="L10" s="129"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5"/>
    </row>
    <row r="11" spans="4:22" x14ac:dyDescent="0.25">
      <c r="D11" s="126" t="str">
        <f>IF('Fixed Effects'!N11="","",'Fixed Effects'!N11)</f>
        <v/>
      </c>
      <c r="E11" s="127" t="str">
        <f>IF('Fixed Effects'!O11="","",'Fixed Effects'!O11)</f>
        <v/>
      </c>
      <c r="F11" s="128" t="str">
        <f>IF('Fixed Effects'!Q11="","",'Fixed Effects'!Q11)</f>
        <v/>
      </c>
      <c r="G11" s="129"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9" t="str">
        <f ca="1">IF(INDIRECT(CONCATENATE("'",'Inconsistency Data'!$I$4,"'!N11"))="","",INDIRECT(CONCATENATE("'",'Inconsistency Data'!$I$4,"'!N11")))</f>
        <v>OR[1,8]</v>
      </c>
      <c r="J11" s="127" t="str">
        <f ca="1">IF(INDIRECT(CONCATENATE("'",'Inconsistency Data'!$I$4,"'!O11"))="","",INDIRECT(CONCATENATE("'",'Inconsistency Data'!$I$4,"'!O11")))</f>
        <v>INDOTHERS versus INDOIV</v>
      </c>
      <c r="K11" s="128">
        <f ca="1">IF(INDIRECT(CONCATENATE("'",'Inconsistency Data'!$I$4,"'!Q11"))="","",INDIRECT(CONCATENATE("'",'Inconsistency Data'!$I$4,"'!Q11")))</f>
        <v>0.66959999999999997</v>
      </c>
      <c r="L11" s="129"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5"/>
    </row>
    <row r="12" spans="4:22" x14ac:dyDescent="0.25">
      <c r="D12" s="126" t="str">
        <f>IF('Fixed Effects'!N12="","",'Fixed Effects'!N12)</f>
        <v/>
      </c>
      <c r="E12" s="127" t="str">
        <f>IF('Fixed Effects'!O12="","",'Fixed Effects'!O12)</f>
        <v/>
      </c>
      <c r="F12" s="128" t="str">
        <f>IF('Fixed Effects'!Q12="","",'Fixed Effects'!Q12)</f>
        <v/>
      </c>
      <c r="G12" s="129"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9" t="str">
        <f ca="1">IF(INDIRECT(CONCATENATE("'",'Inconsistency Data'!$I$4,"'!N12"))="","",INDIRECT(CONCATENATE("'",'Inconsistency Data'!$I$4,"'!N12")))</f>
        <v>OR[1,9]</v>
      </c>
      <c r="J12" s="127" t="str">
        <f ca="1">IF(INDIRECT(CONCATENATE("'",'Inconsistency Data'!$I$4,"'!O12"))="","",INDIRECT(CONCATENATE("'",'Inconsistency Data'!$I$4,"'!O12")))</f>
        <v>PLAC_NORX versus INDOIV</v>
      </c>
      <c r="K12" s="128">
        <f ca="1">IF(INDIRECT(CONCATENATE("'",'Inconsistency Data'!$I$4,"'!Q12"))="","",INDIRECT(CONCATENATE("'",'Inconsistency Data'!$I$4,"'!Q12")))</f>
        <v>6.8650000000000002</v>
      </c>
      <c r="L12" s="129"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6" t="str">
        <f>IF('Fixed Effects'!N13="","",'Fixed Effects'!N13)</f>
        <v/>
      </c>
      <c r="E13" s="127" t="str">
        <f>IF('Fixed Effects'!O13="","",'Fixed Effects'!O13)</f>
        <v/>
      </c>
      <c r="F13" s="128" t="str">
        <f>IF('Fixed Effects'!Q13="","",'Fixed Effects'!Q13)</f>
        <v/>
      </c>
      <c r="G13" s="129"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9" t="str">
        <f ca="1">IF(INDIRECT(CONCATENATE("'",'Inconsistency Data'!$I$4,"'!N13"))="","",INDIRECT(CONCATENATE("'",'Inconsistency Data'!$I$4,"'!N13")))</f>
        <v>OR[2,3]</v>
      </c>
      <c r="J13" s="127" t="str">
        <f ca="1">IF(INDIRECT(CONCATENATE("'",'Inconsistency Data'!$I$4,"'!O13"))="","",INDIRECT(CONCATENATE("'",'Inconsistency Data'!$I$4,"'!O13")))</f>
        <v>IBUPO versus IBUIV</v>
      </c>
      <c r="K13" s="128">
        <f ca="1">IF(INDIRECT(CONCATENATE("'",'Inconsistency Data'!$I$4,"'!Q13"))="","",INDIRECT(CONCATENATE("'",'Inconsistency Data'!$I$4,"'!Q13")))</f>
        <v>0.38919999999999999</v>
      </c>
      <c r="L13" s="129"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6" t="str">
        <f>IF('Fixed Effects'!N14="","",'Fixed Effects'!N14)</f>
        <v/>
      </c>
      <c r="E14" s="127" t="str">
        <f>IF('Fixed Effects'!O14="","",'Fixed Effects'!O14)</f>
        <v/>
      </c>
      <c r="F14" s="128" t="str">
        <f>IF('Fixed Effects'!Q14="","",'Fixed Effects'!Q14)</f>
        <v/>
      </c>
      <c r="G14" s="129"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9" t="str">
        <f ca="1">IF(INDIRECT(CONCATENATE("'",'Inconsistency Data'!$I$4,"'!N14"))="","",INDIRECT(CONCATENATE("'",'Inconsistency Data'!$I$4,"'!N14")))</f>
        <v>OR[2,4]</v>
      </c>
      <c r="J14" s="127" t="str">
        <f ca="1">IF(INDIRECT(CONCATENATE("'",'Inconsistency Data'!$I$4,"'!O14"))="","",INDIRECT(CONCATENATE("'",'Inconsistency Data'!$I$4,"'!O14")))</f>
        <v>PARAPO versus IBUIV</v>
      </c>
      <c r="K14" s="128">
        <f ca="1">IF(INDIRECT(CONCATENATE("'",'Inconsistency Data'!$I$4,"'!Q14"))="","",INDIRECT(CONCATENATE("'",'Inconsistency Data'!$I$4,"'!Q14")))</f>
        <v>0.30099999999999999</v>
      </c>
      <c r="L14" s="129"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6" t="str">
        <f>IF('Fixed Effects'!N15="","",'Fixed Effects'!N15)</f>
        <v/>
      </c>
      <c r="E15" s="127" t="str">
        <f>IF('Fixed Effects'!O15="","",'Fixed Effects'!O15)</f>
        <v/>
      </c>
      <c r="F15" s="128" t="str">
        <f>IF('Fixed Effects'!Q15="","",'Fixed Effects'!Q15)</f>
        <v/>
      </c>
      <c r="G15" s="129"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9" t="str">
        <f ca="1">IF(INDIRECT(CONCATENATE("'",'Inconsistency Data'!$I$4,"'!N15"))="","",INDIRECT(CONCATENATE("'",'Inconsistency Data'!$I$4,"'!N15")))</f>
        <v>OR[2,5]</v>
      </c>
      <c r="J15" s="127" t="str">
        <f ca="1">IF(INDIRECT(CONCATENATE("'",'Inconsistency Data'!$I$4,"'!O15"))="","",INDIRECT(CONCATENATE("'",'Inconsistency Data'!$I$4,"'!O15")))</f>
        <v>IBUIVHIGHDOSE versus IBUIV</v>
      </c>
      <c r="K15" s="128">
        <f ca="1">IF(INDIRECT(CONCATENATE("'",'Inconsistency Data'!$I$4,"'!Q15"))="","",INDIRECT(CONCATENATE("'",'Inconsistency Data'!$I$4,"'!Q15")))</f>
        <v>0.25290000000000001</v>
      </c>
      <c r="L15" s="129"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6" t="str">
        <f>IF('Fixed Effects'!N16="","",'Fixed Effects'!N16)</f>
        <v/>
      </c>
      <c r="E16" s="127" t="str">
        <f>IF('Fixed Effects'!O16="","",'Fixed Effects'!O16)</f>
        <v/>
      </c>
      <c r="F16" s="128" t="str">
        <f>IF('Fixed Effects'!Q16="","",'Fixed Effects'!Q16)</f>
        <v/>
      </c>
      <c r="G16" s="129"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9" t="str">
        <f ca="1">IF(INDIRECT(CONCATENATE("'",'Inconsistency Data'!$I$4,"'!N16"))="","",INDIRECT(CONCATENATE("'",'Inconsistency Data'!$I$4,"'!N16")))</f>
        <v>OR[2,6]</v>
      </c>
      <c r="J16" s="127" t="str">
        <f ca="1">IF(INDIRECT(CONCATENATE("'",'Inconsistency Data'!$I$4,"'!O16"))="","",INDIRECT(CONCATENATE("'",'Inconsistency Data'!$I$4,"'!O16")))</f>
        <v>IBUPOHIGHDOSE versus IBUIV</v>
      </c>
      <c r="K16" s="128">
        <f ca="1">IF(INDIRECT(CONCATENATE("'",'Inconsistency Data'!$I$4,"'!Q16"))="","",INDIRECT(CONCATENATE("'",'Inconsistency Data'!$I$4,"'!Q16")))</f>
        <v>0.35270000000000001</v>
      </c>
      <c r="L16" s="129"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6" t="str">
        <f>IF('Fixed Effects'!N17="","",'Fixed Effects'!N17)</f>
        <v/>
      </c>
      <c r="E17" s="127" t="str">
        <f>IF('Fixed Effects'!O17="","",'Fixed Effects'!O17)</f>
        <v/>
      </c>
      <c r="F17" s="128" t="str">
        <f>IF('Fixed Effects'!Q17="","",'Fixed Effects'!Q17)</f>
        <v/>
      </c>
      <c r="G17" s="129"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9" t="str">
        <f ca="1">IF(INDIRECT(CONCATENATE("'",'Inconsistency Data'!$I$4,"'!N17"))="","",INDIRECT(CONCATENATE("'",'Inconsistency Data'!$I$4,"'!N17")))</f>
        <v>OR[2,7]</v>
      </c>
      <c r="J17" s="127" t="str">
        <f ca="1">IF(INDIRECT(CONCATENATE("'",'Inconsistency Data'!$I$4,"'!O17"))="","",INDIRECT(CONCATENATE("'",'Inconsistency Data'!$I$4,"'!O17")))</f>
        <v>INDOIVCONT versus IBUIV</v>
      </c>
      <c r="K17" s="128">
        <f ca="1">IF(INDIRECT(CONCATENATE("'",'Inconsistency Data'!$I$4,"'!Q17"))="","",INDIRECT(CONCATENATE("'",'Inconsistency Data'!$I$4,"'!Q17")))</f>
        <v>0.71479999999999999</v>
      </c>
      <c r="L17" s="129"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6" t="str">
        <f>IF('Fixed Effects'!N18="","",'Fixed Effects'!N18)</f>
        <v/>
      </c>
      <c r="E18" s="127" t="str">
        <f>IF('Fixed Effects'!O18="","",'Fixed Effects'!O18)</f>
        <v/>
      </c>
      <c r="F18" s="128" t="str">
        <f>IF('Fixed Effects'!Q18="","",'Fixed Effects'!Q18)</f>
        <v/>
      </c>
      <c r="G18" s="129"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9" t="str">
        <f ca="1">IF(INDIRECT(CONCATENATE("'",'Inconsistency Data'!$I$4,"'!N18"))="","",INDIRECT(CONCATENATE("'",'Inconsistency Data'!$I$4,"'!N18")))</f>
        <v>OR[2,8]</v>
      </c>
      <c r="J18" s="127" t="str">
        <f ca="1">IF(INDIRECT(CONCATENATE("'",'Inconsistency Data'!$I$4,"'!O18"))="","",INDIRECT(CONCATENATE("'",'Inconsistency Data'!$I$4,"'!O18")))</f>
        <v>INDOTHERS versus IBUIV</v>
      </c>
      <c r="K18" s="128">
        <f ca="1">IF(INDIRECT(CONCATENATE("'",'Inconsistency Data'!$I$4,"'!Q18"))="","",INDIRECT(CONCATENATE("'",'Inconsistency Data'!$I$4,"'!Q18")))</f>
        <v>0.46960000000000002</v>
      </c>
      <c r="L18" s="129"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6" t="str">
        <f>IF('Fixed Effects'!N19="","",'Fixed Effects'!N19)</f>
        <v/>
      </c>
      <c r="E19" s="127" t="str">
        <f>IF('Fixed Effects'!O19="","",'Fixed Effects'!O19)</f>
        <v/>
      </c>
      <c r="F19" s="128" t="str">
        <f>IF('Fixed Effects'!Q19="","",'Fixed Effects'!Q19)</f>
        <v/>
      </c>
      <c r="G19" s="129"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9" t="str">
        <f ca="1">IF(INDIRECT(CONCATENATE("'",'Inconsistency Data'!$I$4,"'!N19"))="","",INDIRECT(CONCATENATE("'",'Inconsistency Data'!$I$4,"'!N19")))</f>
        <v>OR[2,9]</v>
      </c>
      <c r="J19" s="127" t="str">
        <f ca="1">IF(INDIRECT(CONCATENATE("'",'Inconsistency Data'!$I$4,"'!O19"))="","",INDIRECT(CONCATENATE("'",'Inconsistency Data'!$I$4,"'!O19")))</f>
        <v>PLAC_NORX versus IBUIV</v>
      </c>
      <c r="K19" s="128">
        <f ca="1">IF(INDIRECT(CONCATENATE("'",'Inconsistency Data'!$I$4,"'!Q19"))="","",INDIRECT(CONCATENATE("'",'Inconsistency Data'!$I$4,"'!Q19")))</f>
        <v>4.8600000000000003</v>
      </c>
      <c r="L19" s="129"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6" t="str">
        <f>IF('Fixed Effects'!N20="","",'Fixed Effects'!N20)</f>
        <v/>
      </c>
      <c r="E20" s="127" t="str">
        <f>IF('Fixed Effects'!O20="","",'Fixed Effects'!O20)</f>
        <v/>
      </c>
      <c r="F20" s="128" t="str">
        <f>IF('Fixed Effects'!Q20="","",'Fixed Effects'!Q20)</f>
        <v/>
      </c>
      <c r="G20" s="129"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9" t="str">
        <f ca="1">IF(INDIRECT(CONCATENATE("'",'Inconsistency Data'!$I$4,"'!N20"))="","",INDIRECT(CONCATENATE("'",'Inconsistency Data'!$I$4,"'!N20")))</f>
        <v>OR[3,4]</v>
      </c>
      <c r="J20" s="127" t="str">
        <f ca="1">IF(INDIRECT(CONCATENATE("'",'Inconsistency Data'!$I$4,"'!O20"))="","",INDIRECT(CONCATENATE("'",'Inconsistency Data'!$I$4,"'!O20")))</f>
        <v>PARAPO versus IBUPO</v>
      </c>
      <c r="K20" s="128">
        <f ca="1">IF(INDIRECT(CONCATENATE("'",'Inconsistency Data'!$I$4,"'!Q20"))="","",INDIRECT(CONCATENATE("'",'Inconsistency Data'!$I$4,"'!Q20")))</f>
        <v>0.77300000000000002</v>
      </c>
      <c r="L20" s="129"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6" t="str">
        <f>IF('Fixed Effects'!N21="","",'Fixed Effects'!N21)</f>
        <v/>
      </c>
      <c r="E21" s="127" t="str">
        <f>IF('Fixed Effects'!O21="","",'Fixed Effects'!O21)</f>
        <v/>
      </c>
      <c r="F21" s="128" t="str">
        <f>IF('Fixed Effects'!Q21="","",'Fixed Effects'!Q21)</f>
        <v/>
      </c>
      <c r="G21" s="129"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9" t="str">
        <f ca="1">IF(INDIRECT(CONCATENATE("'",'Inconsistency Data'!$I$4,"'!N21"))="","",INDIRECT(CONCATENATE("'",'Inconsistency Data'!$I$4,"'!N21")))</f>
        <v>OR[3,5]</v>
      </c>
      <c r="J21" s="127" t="str">
        <f ca="1">IF(INDIRECT(CONCATENATE("'",'Inconsistency Data'!$I$4,"'!O21"))="","",INDIRECT(CONCATENATE("'",'Inconsistency Data'!$I$4,"'!O21")))</f>
        <v>IBUIVHIGHDOSE versus IBUPO</v>
      </c>
      <c r="K21" s="128">
        <f ca="1">IF(INDIRECT(CONCATENATE("'",'Inconsistency Data'!$I$4,"'!Q21"))="","",INDIRECT(CONCATENATE("'",'Inconsistency Data'!$I$4,"'!Q21")))</f>
        <v>0.61599999999999999</v>
      </c>
      <c r="L21" s="129"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6" t="str">
        <f>IF('Fixed Effects'!N22="","",'Fixed Effects'!N22)</f>
        <v/>
      </c>
      <c r="E22" s="127" t="str">
        <f>IF('Fixed Effects'!O22="","",'Fixed Effects'!O22)</f>
        <v/>
      </c>
      <c r="F22" s="128" t="str">
        <f>IF('Fixed Effects'!Q22="","",'Fixed Effects'!Q22)</f>
        <v/>
      </c>
      <c r="G22" s="129"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9" t="str">
        <f ca="1">IF(INDIRECT(CONCATENATE("'",'Inconsistency Data'!$I$4,"'!N22"))="","",INDIRECT(CONCATENATE("'",'Inconsistency Data'!$I$4,"'!N22")))</f>
        <v>OR[3,6]</v>
      </c>
      <c r="J22" s="127" t="str">
        <f ca="1">IF(INDIRECT(CONCATENATE("'",'Inconsistency Data'!$I$4,"'!O22"))="","",INDIRECT(CONCATENATE("'",'Inconsistency Data'!$I$4,"'!O22")))</f>
        <v>IBUPOHIGHDOSE versus IBUPO</v>
      </c>
      <c r="K22" s="128">
        <f ca="1">IF(INDIRECT(CONCATENATE("'",'Inconsistency Data'!$I$4,"'!Q22"))="","",INDIRECT(CONCATENATE("'",'Inconsistency Data'!$I$4,"'!Q22")))</f>
        <v>0.89080000000000004</v>
      </c>
      <c r="L22" s="129"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6" t="str">
        <f>IF('Fixed Effects'!N23="","",'Fixed Effects'!N23)</f>
        <v/>
      </c>
      <c r="E23" s="127" t="str">
        <f>IF('Fixed Effects'!O23="","",'Fixed Effects'!O23)</f>
        <v/>
      </c>
      <c r="F23" s="128" t="str">
        <f>IF('Fixed Effects'!Q23="","",'Fixed Effects'!Q23)</f>
        <v/>
      </c>
      <c r="G23" s="129"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9" t="str">
        <f ca="1">IF(INDIRECT(CONCATENATE("'",'Inconsistency Data'!$I$4,"'!N23"))="","",INDIRECT(CONCATENATE("'",'Inconsistency Data'!$I$4,"'!N23")))</f>
        <v>OR[3,7]</v>
      </c>
      <c r="J23" s="127" t="str">
        <f ca="1">IF(INDIRECT(CONCATENATE("'",'Inconsistency Data'!$I$4,"'!O23"))="","",INDIRECT(CONCATENATE("'",'Inconsistency Data'!$I$4,"'!O23")))</f>
        <v>INDOIVCONT versus IBUPO</v>
      </c>
      <c r="K23" s="128">
        <f ca="1">IF(INDIRECT(CONCATENATE("'",'Inconsistency Data'!$I$4,"'!Q23"))="","",INDIRECT(CONCATENATE("'",'Inconsistency Data'!$I$4,"'!Q23")))</f>
        <v>1.7929999999999999</v>
      </c>
      <c r="L23" s="129"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6" t="str">
        <f>IF('Fixed Effects'!N24="","",'Fixed Effects'!N24)</f>
        <v/>
      </c>
      <c r="E24" s="127" t="str">
        <f>IF('Fixed Effects'!O24="","",'Fixed Effects'!O24)</f>
        <v/>
      </c>
      <c r="F24" s="128" t="str">
        <f>IF('Fixed Effects'!Q24="","",'Fixed Effects'!Q24)</f>
        <v/>
      </c>
      <c r="G24" s="129"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9" t="str">
        <f ca="1">IF(INDIRECT(CONCATENATE("'",'Inconsistency Data'!$I$4,"'!N24"))="","",INDIRECT(CONCATENATE("'",'Inconsistency Data'!$I$4,"'!N24")))</f>
        <v>OR[3,8]</v>
      </c>
      <c r="J24" s="127" t="str">
        <f ca="1">IF(INDIRECT(CONCATENATE("'",'Inconsistency Data'!$I$4,"'!O24"))="","",INDIRECT(CONCATENATE("'",'Inconsistency Data'!$I$4,"'!O24")))</f>
        <v>INDOTHERS versus IBUPO</v>
      </c>
      <c r="K24" s="128">
        <f ca="1">IF(INDIRECT(CONCATENATE("'",'Inconsistency Data'!$I$4,"'!Q24"))="","",INDIRECT(CONCATENATE("'",'Inconsistency Data'!$I$4,"'!Q24")))</f>
        <v>1.179</v>
      </c>
      <c r="L24" s="129"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6" t="str">
        <f>IF('Fixed Effects'!N25="","",'Fixed Effects'!N25)</f>
        <v/>
      </c>
      <c r="E25" s="127" t="str">
        <f>IF('Fixed Effects'!O25="","",'Fixed Effects'!O25)</f>
        <v/>
      </c>
      <c r="F25" s="128" t="str">
        <f>IF('Fixed Effects'!Q25="","",'Fixed Effects'!Q25)</f>
        <v/>
      </c>
      <c r="G25" s="129"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9" t="str">
        <f ca="1">IF(INDIRECT(CONCATENATE("'",'Inconsistency Data'!$I$4,"'!N25"))="","",INDIRECT(CONCATENATE("'",'Inconsistency Data'!$I$4,"'!N25")))</f>
        <v>OR[3,9]</v>
      </c>
      <c r="J25" s="127" t="str">
        <f ca="1">IF(INDIRECT(CONCATENATE("'",'Inconsistency Data'!$I$4,"'!O25"))="","",INDIRECT(CONCATENATE("'",'Inconsistency Data'!$I$4,"'!O25")))</f>
        <v>PLAC_NORX versus IBUPO</v>
      </c>
      <c r="K25" s="128">
        <f ca="1">IF(INDIRECT(CONCATENATE("'",'Inconsistency Data'!$I$4,"'!Q25"))="","",INDIRECT(CONCATENATE("'",'Inconsistency Data'!$I$4,"'!Q25")))</f>
        <v>12.24</v>
      </c>
      <c r="L25" s="129"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6" t="str">
        <f>IF('Fixed Effects'!N26="","",'Fixed Effects'!N26)</f>
        <v/>
      </c>
      <c r="E26" s="127" t="str">
        <f>IF('Fixed Effects'!O26="","",'Fixed Effects'!O26)</f>
        <v/>
      </c>
      <c r="F26" s="128" t="str">
        <f>IF('Fixed Effects'!Q26="","",'Fixed Effects'!Q26)</f>
        <v/>
      </c>
      <c r="G26" s="129"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9" t="str">
        <f ca="1">IF(INDIRECT(CONCATENATE("'",'Inconsistency Data'!$I$4,"'!N26"))="","",INDIRECT(CONCATENATE("'",'Inconsistency Data'!$I$4,"'!N26")))</f>
        <v>OR[4,5]</v>
      </c>
      <c r="J26" s="127" t="str">
        <f ca="1">IF(INDIRECT(CONCATENATE("'",'Inconsistency Data'!$I$4,"'!O26"))="","",INDIRECT(CONCATENATE("'",'Inconsistency Data'!$I$4,"'!O26")))</f>
        <v>IBUIVHIGHDOSE versus PARAPO</v>
      </c>
      <c r="K26" s="128">
        <f ca="1">IF(INDIRECT(CONCATENATE("'",'Inconsistency Data'!$I$4,"'!Q26"))="","",INDIRECT(CONCATENATE("'",'Inconsistency Data'!$I$4,"'!Q26")))</f>
        <v>0.81769999999999998</v>
      </c>
      <c r="L26" s="129"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6" t="str">
        <f>IF('Fixed Effects'!N27="","",'Fixed Effects'!N27)</f>
        <v/>
      </c>
      <c r="E27" s="127" t="str">
        <f>IF('Fixed Effects'!O27="","",'Fixed Effects'!O27)</f>
        <v/>
      </c>
      <c r="F27" s="128" t="str">
        <f>IF('Fixed Effects'!Q27="","",'Fixed Effects'!Q27)</f>
        <v/>
      </c>
      <c r="G27" s="129"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9" t="str">
        <f ca="1">IF(INDIRECT(CONCATENATE("'",'Inconsistency Data'!$I$4,"'!N27"))="","",INDIRECT(CONCATENATE("'",'Inconsistency Data'!$I$4,"'!N27")))</f>
        <v>OR[4,6]</v>
      </c>
      <c r="J27" s="127" t="str">
        <f ca="1">IF(INDIRECT(CONCATENATE("'",'Inconsistency Data'!$I$4,"'!O27"))="","",INDIRECT(CONCATENATE("'",'Inconsistency Data'!$I$4,"'!O27")))</f>
        <v>IBUPOHIGHDOSE versus PARAPO</v>
      </c>
      <c r="K27" s="128">
        <f ca="1">IF(INDIRECT(CONCATENATE("'",'Inconsistency Data'!$I$4,"'!Q27"))="","",INDIRECT(CONCATENATE("'",'Inconsistency Data'!$I$4,"'!Q27")))</f>
        <v>1.1599999999999999</v>
      </c>
      <c r="L27" s="129"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6" t="str">
        <f>IF('Fixed Effects'!N28="","",'Fixed Effects'!N28)</f>
        <v/>
      </c>
      <c r="E28" s="127" t="str">
        <f>IF('Fixed Effects'!O28="","",'Fixed Effects'!O28)</f>
        <v/>
      </c>
      <c r="F28" s="128" t="str">
        <f>IF('Fixed Effects'!Q28="","",'Fixed Effects'!Q28)</f>
        <v/>
      </c>
      <c r="G28" s="129"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9" t="str">
        <f ca="1">IF(INDIRECT(CONCATENATE("'",'Inconsistency Data'!$I$4,"'!N28"))="","",INDIRECT(CONCATENATE("'",'Inconsistency Data'!$I$4,"'!N28")))</f>
        <v>OR[4,7]</v>
      </c>
      <c r="J28" s="127" t="str">
        <f ca="1">IF(INDIRECT(CONCATENATE("'",'Inconsistency Data'!$I$4,"'!O28"))="","",INDIRECT(CONCATENATE("'",'Inconsistency Data'!$I$4,"'!O28")))</f>
        <v>INDOIVCONT versus PARAPO</v>
      </c>
      <c r="K28" s="128">
        <f ca="1">IF(INDIRECT(CONCATENATE("'",'Inconsistency Data'!$I$4,"'!Q28"))="","",INDIRECT(CONCATENATE("'",'Inconsistency Data'!$I$4,"'!Q28")))</f>
        <v>2.2949999999999999</v>
      </c>
      <c r="L28" s="129"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6" t="str">
        <f>IF('Fixed Effects'!N29="","",'Fixed Effects'!N29)</f>
        <v/>
      </c>
      <c r="E29" s="127" t="str">
        <f>IF('Fixed Effects'!O29="","",'Fixed Effects'!O29)</f>
        <v/>
      </c>
      <c r="F29" s="128" t="str">
        <f>IF('Fixed Effects'!Q29="","",'Fixed Effects'!Q29)</f>
        <v/>
      </c>
      <c r="G29" s="129"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9" t="str">
        <f ca="1">IF(INDIRECT(CONCATENATE("'",'Inconsistency Data'!$I$4,"'!N29"))="","",INDIRECT(CONCATENATE("'",'Inconsistency Data'!$I$4,"'!N29")))</f>
        <v>OR[4,8]</v>
      </c>
      <c r="J29" s="127" t="str">
        <f ca="1">IF(INDIRECT(CONCATENATE("'",'Inconsistency Data'!$I$4,"'!O29"))="","",INDIRECT(CONCATENATE("'",'Inconsistency Data'!$I$4,"'!O29")))</f>
        <v>INDOTHERS versus PARAPO</v>
      </c>
      <c r="K29" s="128">
        <f ca="1">IF(INDIRECT(CONCATENATE("'",'Inconsistency Data'!$I$4,"'!Q29"))="","",INDIRECT(CONCATENATE("'",'Inconsistency Data'!$I$4,"'!Q29")))</f>
        <v>1.53</v>
      </c>
      <c r="L29" s="129"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6" t="str">
        <f>IF('Fixed Effects'!N30="","",'Fixed Effects'!N30)</f>
        <v/>
      </c>
      <c r="E30" s="127" t="str">
        <f>IF('Fixed Effects'!O30="","",'Fixed Effects'!O30)</f>
        <v/>
      </c>
      <c r="F30" s="128" t="str">
        <f>IF('Fixed Effects'!Q30="","",'Fixed Effects'!Q30)</f>
        <v/>
      </c>
      <c r="G30" s="129"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9" t="str">
        <f ca="1">IF(INDIRECT(CONCATENATE("'",'Inconsistency Data'!$I$4,"'!N30"))="","",INDIRECT(CONCATENATE("'",'Inconsistency Data'!$I$4,"'!N30")))</f>
        <v>OR[4,9]</v>
      </c>
      <c r="J30" s="127" t="str">
        <f ca="1">IF(INDIRECT(CONCATENATE("'",'Inconsistency Data'!$I$4,"'!O30"))="","",INDIRECT(CONCATENATE("'",'Inconsistency Data'!$I$4,"'!O30")))</f>
        <v>PLAC_NORX versus PARAPO</v>
      </c>
      <c r="K30" s="128">
        <f ca="1">IF(INDIRECT(CONCATENATE("'",'Inconsistency Data'!$I$4,"'!Q30"))="","",INDIRECT(CONCATENATE("'",'Inconsistency Data'!$I$4,"'!Q30")))</f>
        <v>16.579999999999998</v>
      </c>
      <c r="L30" s="129"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6" t="str">
        <f>IF('Fixed Effects'!N31="","",'Fixed Effects'!N31)</f>
        <v/>
      </c>
      <c r="E31" s="127" t="str">
        <f>IF('Fixed Effects'!O31="","",'Fixed Effects'!O31)</f>
        <v/>
      </c>
      <c r="F31" s="128" t="str">
        <f>IF('Fixed Effects'!Q31="","",'Fixed Effects'!Q31)</f>
        <v/>
      </c>
      <c r="G31" s="129"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9" t="str">
        <f ca="1">IF(INDIRECT(CONCATENATE("'",'Inconsistency Data'!$I$4,"'!N31"))="","",INDIRECT(CONCATENATE("'",'Inconsistency Data'!$I$4,"'!N31")))</f>
        <v>OR[5,6]</v>
      </c>
      <c r="J31" s="127" t="str">
        <f ca="1">IF(INDIRECT(CONCATENATE("'",'Inconsistency Data'!$I$4,"'!O31"))="","",INDIRECT(CONCATENATE("'",'Inconsistency Data'!$I$4,"'!O31")))</f>
        <v>IBUPOHIGHDOSE versus IBUIVHIGHDOSE</v>
      </c>
      <c r="K31" s="128">
        <f ca="1">IF(INDIRECT(CONCATENATE("'",'Inconsistency Data'!$I$4,"'!Q31"))="","",INDIRECT(CONCATENATE("'",'Inconsistency Data'!$I$4,"'!Q31")))</f>
        <v>1.389</v>
      </c>
      <c r="L31" s="129"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6" t="str">
        <f>IF('Fixed Effects'!N32="","",'Fixed Effects'!N32)</f>
        <v/>
      </c>
      <c r="E32" s="127" t="str">
        <f>IF('Fixed Effects'!O32="","",'Fixed Effects'!O32)</f>
        <v/>
      </c>
      <c r="F32" s="128" t="str">
        <f>IF('Fixed Effects'!Q32="","",'Fixed Effects'!Q32)</f>
        <v/>
      </c>
      <c r="G32" s="129"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9" t="str">
        <f ca="1">IF(INDIRECT(CONCATENATE("'",'Inconsistency Data'!$I$4,"'!N32"))="","",INDIRECT(CONCATENATE("'",'Inconsistency Data'!$I$4,"'!N32")))</f>
        <v>OR[5,7]</v>
      </c>
      <c r="J32" s="127" t="str">
        <f ca="1">IF(INDIRECT(CONCATENATE("'",'Inconsistency Data'!$I$4,"'!O32"))="","",INDIRECT(CONCATENATE("'",'Inconsistency Data'!$I$4,"'!O32")))</f>
        <v>INDOIVCONT versus IBUIVHIGHDOSE</v>
      </c>
      <c r="K32" s="128">
        <f ca="1">IF(INDIRECT(CONCATENATE("'",'Inconsistency Data'!$I$4,"'!Q32"))="","",INDIRECT(CONCATENATE("'",'Inconsistency Data'!$I$4,"'!Q32")))</f>
        <v>2.8039999999999998</v>
      </c>
      <c r="L32" s="129"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6" t="str">
        <f>IF('Fixed Effects'!N33="","",'Fixed Effects'!N33)</f>
        <v/>
      </c>
      <c r="E33" s="127" t="str">
        <f>IF('Fixed Effects'!O33="","",'Fixed Effects'!O33)</f>
        <v/>
      </c>
      <c r="F33" s="128" t="str">
        <f>IF('Fixed Effects'!Q33="","",'Fixed Effects'!Q33)</f>
        <v/>
      </c>
      <c r="G33" s="129"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9" t="str">
        <f ca="1">IF(INDIRECT(CONCATENATE("'",'Inconsistency Data'!$I$4,"'!N33"))="","",INDIRECT(CONCATENATE("'",'Inconsistency Data'!$I$4,"'!N33")))</f>
        <v>OR[5,8]</v>
      </c>
      <c r="J33" s="127" t="str">
        <f ca="1">IF(INDIRECT(CONCATENATE("'",'Inconsistency Data'!$I$4,"'!O33"))="","",INDIRECT(CONCATENATE("'",'Inconsistency Data'!$I$4,"'!O33")))</f>
        <v>INDOTHERS versus IBUIVHIGHDOSE</v>
      </c>
      <c r="K33" s="128">
        <f ca="1">IF(INDIRECT(CONCATENATE("'",'Inconsistency Data'!$I$4,"'!Q33"))="","",INDIRECT(CONCATENATE("'",'Inconsistency Data'!$I$4,"'!Q33")))</f>
        <v>1.903</v>
      </c>
      <c r="L33" s="129"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6" t="str">
        <f>IF('Fixed Effects'!N34="","",'Fixed Effects'!N34)</f>
        <v/>
      </c>
      <c r="E34" s="127" t="str">
        <f>IF('Fixed Effects'!O34="","",'Fixed Effects'!O34)</f>
        <v/>
      </c>
      <c r="F34" s="128" t="str">
        <f>IF('Fixed Effects'!Q34="","",'Fixed Effects'!Q34)</f>
        <v/>
      </c>
      <c r="G34" s="129"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9" t="str">
        <f ca="1">IF(INDIRECT(CONCATENATE("'",'Inconsistency Data'!$I$4,"'!N34"))="","",INDIRECT(CONCATENATE("'",'Inconsistency Data'!$I$4,"'!N34")))</f>
        <v>OR[5,9]</v>
      </c>
      <c r="J34" s="127" t="str">
        <f ca="1">IF(INDIRECT(CONCATENATE("'",'Inconsistency Data'!$I$4,"'!O34"))="","",INDIRECT(CONCATENATE("'",'Inconsistency Data'!$I$4,"'!O34")))</f>
        <v>PLAC_NORX versus IBUIVHIGHDOSE</v>
      </c>
      <c r="K34" s="128">
        <f ca="1">IF(INDIRECT(CONCATENATE("'",'Inconsistency Data'!$I$4,"'!Q34"))="","",INDIRECT(CONCATENATE("'",'Inconsistency Data'!$I$4,"'!Q34")))</f>
        <v>18.97</v>
      </c>
      <c r="L34" s="129"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6" t="str">
        <f>IF('Fixed Effects'!N35="","",'Fixed Effects'!N35)</f>
        <v/>
      </c>
      <c r="E35" s="127" t="str">
        <f>IF('Fixed Effects'!O35="","",'Fixed Effects'!O35)</f>
        <v/>
      </c>
      <c r="F35" s="128" t="str">
        <f>IF('Fixed Effects'!Q35="","",'Fixed Effects'!Q35)</f>
        <v/>
      </c>
      <c r="G35" s="129"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9" t="str">
        <f ca="1">IF(INDIRECT(CONCATENATE("'",'Inconsistency Data'!$I$4,"'!N35"))="","",INDIRECT(CONCATENATE("'",'Inconsistency Data'!$I$4,"'!N35")))</f>
        <v>OR[6,7]</v>
      </c>
      <c r="J35" s="127" t="str">
        <f ca="1">IF(INDIRECT(CONCATENATE("'",'Inconsistency Data'!$I$4,"'!O35"))="","",INDIRECT(CONCATENATE("'",'Inconsistency Data'!$I$4,"'!O35")))</f>
        <v>INDOIVCONT versus IBUPOHIGHDOSE</v>
      </c>
      <c r="K35" s="128">
        <f ca="1">IF(INDIRECT(CONCATENATE("'",'Inconsistency Data'!$I$4,"'!Q35"))="","",INDIRECT(CONCATENATE("'",'Inconsistency Data'!$I$4,"'!Q35")))</f>
        <v>1.9790000000000001</v>
      </c>
      <c r="L35" s="129"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6" t="str">
        <f>IF('Fixed Effects'!N36="","",'Fixed Effects'!N36)</f>
        <v/>
      </c>
      <c r="E36" s="127" t="str">
        <f>IF('Fixed Effects'!O36="","",'Fixed Effects'!O36)</f>
        <v/>
      </c>
      <c r="F36" s="128" t="str">
        <f>IF('Fixed Effects'!Q36="","",'Fixed Effects'!Q36)</f>
        <v/>
      </c>
      <c r="G36" s="129"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9" t="str">
        <f ca="1">IF(INDIRECT(CONCATENATE("'",'Inconsistency Data'!$I$4,"'!N36"))="","",INDIRECT(CONCATENATE("'",'Inconsistency Data'!$I$4,"'!N36")))</f>
        <v>OR[6,8]</v>
      </c>
      <c r="J36" s="127" t="str">
        <f ca="1">IF(INDIRECT(CONCATENATE("'",'Inconsistency Data'!$I$4,"'!O36"))="","",INDIRECT(CONCATENATE("'",'Inconsistency Data'!$I$4,"'!O36")))</f>
        <v>INDOTHERS versus IBUPOHIGHDOSE</v>
      </c>
      <c r="K36" s="128">
        <f ca="1">IF(INDIRECT(CONCATENATE("'",'Inconsistency Data'!$I$4,"'!Q36"))="","",INDIRECT(CONCATENATE("'",'Inconsistency Data'!$I$4,"'!Q36")))</f>
        <v>1.3280000000000001</v>
      </c>
      <c r="L36" s="129"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6" t="str">
        <f>IF('Fixed Effects'!N37="","",'Fixed Effects'!N37)</f>
        <v/>
      </c>
      <c r="E37" s="127" t="str">
        <f>IF('Fixed Effects'!O37="","",'Fixed Effects'!O37)</f>
        <v/>
      </c>
      <c r="F37" s="128" t="str">
        <f>IF('Fixed Effects'!Q37="","",'Fixed Effects'!Q37)</f>
        <v/>
      </c>
      <c r="G37" s="129"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9" t="str">
        <f ca="1">IF(INDIRECT(CONCATENATE("'",'Inconsistency Data'!$I$4,"'!N37"))="","",INDIRECT(CONCATENATE("'",'Inconsistency Data'!$I$4,"'!N37")))</f>
        <v>OR[6,9]</v>
      </c>
      <c r="J37" s="127" t="str">
        <f ca="1">IF(INDIRECT(CONCATENATE("'",'Inconsistency Data'!$I$4,"'!O37"))="","",INDIRECT(CONCATENATE("'",'Inconsistency Data'!$I$4,"'!O37")))</f>
        <v>PLAC_NORX versus IBUPOHIGHDOSE</v>
      </c>
      <c r="K37" s="128">
        <f ca="1">IF(INDIRECT(CONCATENATE("'",'Inconsistency Data'!$I$4,"'!Q37"))="","",INDIRECT(CONCATENATE("'",'Inconsistency Data'!$I$4,"'!Q37")))</f>
        <v>14.17</v>
      </c>
      <c r="L37" s="129"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6" t="str">
        <f>IF('Fixed Effects'!N38="","",'Fixed Effects'!N38)</f>
        <v/>
      </c>
      <c r="E38" s="127" t="str">
        <f>IF('Fixed Effects'!O38="","",'Fixed Effects'!O38)</f>
        <v/>
      </c>
      <c r="F38" s="128" t="str">
        <f>IF('Fixed Effects'!Q38="","",'Fixed Effects'!Q38)</f>
        <v/>
      </c>
      <c r="G38" s="129"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9" t="str">
        <f ca="1">IF(INDIRECT(CONCATENATE("'",'Inconsistency Data'!$I$4,"'!N38"))="","",INDIRECT(CONCATENATE("'",'Inconsistency Data'!$I$4,"'!N38")))</f>
        <v>OR[7,8]</v>
      </c>
      <c r="J38" s="127" t="str">
        <f ca="1">IF(INDIRECT(CONCATENATE("'",'Inconsistency Data'!$I$4,"'!O38"))="","",INDIRECT(CONCATENATE("'",'Inconsistency Data'!$I$4,"'!O38")))</f>
        <v>INDOTHERS versus INDOIVCONT</v>
      </c>
      <c r="K38" s="128">
        <f ca="1">IF(INDIRECT(CONCATENATE("'",'Inconsistency Data'!$I$4,"'!Q38"))="","",INDIRECT(CONCATENATE("'",'Inconsistency Data'!$I$4,"'!Q38")))</f>
        <v>0.65490000000000004</v>
      </c>
      <c r="L38" s="129"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6" t="str">
        <f>IF('Fixed Effects'!N39="","",'Fixed Effects'!N39)</f>
        <v/>
      </c>
      <c r="E39" s="127" t="str">
        <f>IF('Fixed Effects'!O39="","",'Fixed Effects'!O39)</f>
        <v/>
      </c>
      <c r="F39" s="128" t="str">
        <f>IF('Fixed Effects'!Q39="","",'Fixed Effects'!Q39)</f>
        <v/>
      </c>
      <c r="G39" s="129"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9" t="str">
        <f ca="1">IF(INDIRECT(CONCATENATE("'",'Inconsistency Data'!$I$4,"'!N39"))="","",INDIRECT(CONCATENATE("'",'Inconsistency Data'!$I$4,"'!N39")))</f>
        <v>OR[7,9]</v>
      </c>
      <c r="J39" s="127" t="str">
        <f ca="1">IF(INDIRECT(CONCATENATE("'",'Inconsistency Data'!$I$4,"'!O39"))="","",INDIRECT(CONCATENATE("'",'Inconsistency Data'!$I$4,"'!O39")))</f>
        <v>PLAC_NORX versus INDOIVCONT</v>
      </c>
      <c r="K39" s="128">
        <f ca="1">IF(INDIRECT(CONCATENATE("'",'Inconsistency Data'!$I$4,"'!Q39"))="","",INDIRECT(CONCATENATE("'",'Inconsistency Data'!$I$4,"'!Q39")))</f>
        <v>6.9779999999999998</v>
      </c>
      <c r="L39" s="129"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6" t="str">
        <f>IF('Fixed Effects'!N40="","",'Fixed Effects'!N40)</f>
        <v/>
      </c>
      <c r="E40" s="127" t="str">
        <f>IF('Fixed Effects'!O40="","",'Fixed Effects'!O40)</f>
        <v/>
      </c>
      <c r="F40" s="128" t="str">
        <f>IF('Fixed Effects'!Q40="","",'Fixed Effects'!Q40)</f>
        <v/>
      </c>
      <c r="G40" s="129"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9" t="str">
        <f ca="1">IF(INDIRECT(CONCATENATE("'",'Inconsistency Data'!$I$4,"'!N40"))="","",INDIRECT(CONCATENATE("'",'Inconsistency Data'!$I$4,"'!N40")))</f>
        <v>OR[8,9]</v>
      </c>
      <c r="J40" s="127" t="str">
        <f ca="1">IF(INDIRECT(CONCATENATE("'",'Inconsistency Data'!$I$4,"'!O40"))="","",INDIRECT(CONCATENATE("'",'Inconsistency Data'!$I$4,"'!O40")))</f>
        <v>PLAC_NORX versus INDOTHERS</v>
      </c>
      <c r="K40" s="128">
        <f ca="1">IF(INDIRECT(CONCATENATE("'",'Inconsistency Data'!$I$4,"'!Q40"))="","",INDIRECT(CONCATENATE("'",'Inconsistency Data'!$I$4,"'!Q40")))</f>
        <v>10.52</v>
      </c>
      <c r="L40" s="129"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6" t="str">
        <f>IF('Fixed Effects'!N41="","",'Fixed Effects'!N41)</f>
        <v/>
      </c>
      <c r="E41" s="127" t="str">
        <f>IF('Fixed Effects'!O41="","",'Fixed Effects'!O41)</f>
        <v/>
      </c>
      <c r="F41" s="128" t="str">
        <f>IF('Fixed Effects'!Q41="","",'Fixed Effects'!Q41)</f>
        <v/>
      </c>
      <c r="G41" s="129"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9" t="str">
        <f ca="1">IF(INDIRECT(CONCATENATE("'",'Inconsistency Data'!$I$4,"'!N41"))="","",INDIRECT(CONCATENATE("'",'Inconsistency Data'!$I$4,"'!N41")))</f>
        <v/>
      </c>
      <c r="J41" s="127" t="str">
        <f ca="1">IF(INDIRECT(CONCATENATE("'",'Inconsistency Data'!$I$4,"'!O41"))="","",INDIRECT(CONCATENATE("'",'Inconsistency Data'!$I$4,"'!O41")))</f>
        <v/>
      </c>
      <c r="K41" s="128" t="str">
        <f ca="1">IF(INDIRECT(CONCATENATE("'",'Inconsistency Data'!$I$4,"'!Q41"))="","",INDIRECT(CONCATENATE("'",'Inconsistency Data'!$I$4,"'!Q41")))</f>
        <v/>
      </c>
      <c r="L41" s="129"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6" t="str">
        <f>IF('Fixed Effects'!N42="","",'Fixed Effects'!N42)</f>
        <v/>
      </c>
      <c r="E42" s="127" t="str">
        <f>IF('Fixed Effects'!O42="","",'Fixed Effects'!O42)</f>
        <v/>
      </c>
      <c r="F42" s="128" t="str">
        <f>IF('Fixed Effects'!Q42="","",'Fixed Effects'!Q42)</f>
        <v/>
      </c>
      <c r="G42" s="129"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9" t="str">
        <f ca="1">IF(INDIRECT(CONCATENATE("'",'Inconsistency Data'!$I$4,"'!N42"))="","",INDIRECT(CONCATENATE("'",'Inconsistency Data'!$I$4,"'!N42")))</f>
        <v/>
      </c>
      <c r="J42" s="127" t="str">
        <f ca="1">IF(INDIRECT(CONCATENATE("'",'Inconsistency Data'!$I$4,"'!O42"))="","",INDIRECT(CONCATENATE("'",'Inconsistency Data'!$I$4,"'!O42")))</f>
        <v/>
      </c>
      <c r="K42" s="128" t="str">
        <f ca="1">IF(INDIRECT(CONCATENATE("'",'Inconsistency Data'!$I$4,"'!Q42"))="","",INDIRECT(CONCATENATE("'",'Inconsistency Data'!$I$4,"'!Q42")))</f>
        <v/>
      </c>
      <c r="L42" s="129"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6" t="str">
        <f>IF('Fixed Effects'!N43="","",'Fixed Effects'!N43)</f>
        <v/>
      </c>
      <c r="E43" s="127" t="str">
        <f>IF('Fixed Effects'!O43="","",'Fixed Effects'!O43)</f>
        <v/>
      </c>
      <c r="F43" s="128" t="str">
        <f>IF('Fixed Effects'!Q43="","",'Fixed Effects'!Q43)</f>
        <v/>
      </c>
      <c r="G43" s="129"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9" t="str">
        <f ca="1">IF(INDIRECT(CONCATENATE("'",'Inconsistency Data'!$I$4,"'!N43"))="","",INDIRECT(CONCATENATE("'",'Inconsistency Data'!$I$4,"'!N43")))</f>
        <v/>
      </c>
      <c r="J43" s="127" t="str">
        <f ca="1">IF(INDIRECT(CONCATENATE("'",'Inconsistency Data'!$I$4,"'!O43"))="","",INDIRECT(CONCATENATE("'",'Inconsistency Data'!$I$4,"'!O43")))</f>
        <v/>
      </c>
      <c r="K43" s="128" t="str">
        <f ca="1">IF(INDIRECT(CONCATENATE("'",'Inconsistency Data'!$I$4,"'!Q43"))="","",INDIRECT(CONCATENATE("'",'Inconsistency Data'!$I$4,"'!Q43")))</f>
        <v/>
      </c>
      <c r="L43" s="129"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6" t="str">
        <f>IF('Fixed Effects'!N44="","",'Fixed Effects'!N44)</f>
        <v/>
      </c>
      <c r="E44" s="127" t="str">
        <f>IF('Fixed Effects'!O44="","",'Fixed Effects'!O44)</f>
        <v/>
      </c>
      <c r="F44" s="128" t="str">
        <f>IF('Fixed Effects'!Q44="","",'Fixed Effects'!Q44)</f>
        <v/>
      </c>
      <c r="G44" s="129"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9" t="str">
        <f ca="1">IF(INDIRECT(CONCATENATE("'",'Inconsistency Data'!$I$4,"'!N44"))="","",INDIRECT(CONCATENATE("'",'Inconsistency Data'!$I$4,"'!N44")))</f>
        <v/>
      </c>
      <c r="J44" s="127" t="str">
        <f ca="1">IF(INDIRECT(CONCATENATE("'",'Inconsistency Data'!$I$4,"'!O44"))="","",INDIRECT(CONCATENATE("'",'Inconsistency Data'!$I$4,"'!O44")))</f>
        <v/>
      </c>
      <c r="K44" s="128" t="str">
        <f ca="1">IF(INDIRECT(CONCATENATE("'",'Inconsistency Data'!$I$4,"'!Q44"))="","",INDIRECT(CONCATENATE("'",'Inconsistency Data'!$I$4,"'!Q44")))</f>
        <v/>
      </c>
      <c r="L44" s="129"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6" t="str">
        <f>IF('Fixed Effects'!N45="","",'Fixed Effects'!N45)</f>
        <v/>
      </c>
      <c r="E45" s="127" t="str">
        <f>IF('Fixed Effects'!O45="","",'Fixed Effects'!O45)</f>
        <v/>
      </c>
      <c r="F45" s="128" t="str">
        <f>IF('Fixed Effects'!Q45="","",'Fixed Effects'!Q45)</f>
        <v/>
      </c>
      <c r="G45" s="129"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9" t="str">
        <f ca="1">IF(INDIRECT(CONCATENATE("'",'Inconsistency Data'!$I$4,"'!N45"))="","",INDIRECT(CONCATENATE("'",'Inconsistency Data'!$I$4,"'!N45")))</f>
        <v/>
      </c>
      <c r="J45" s="127" t="str">
        <f ca="1">IF(INDIRECT(CONCATENATE("'",'Inconsistency Data'!$I$4,"'!O45"))="","",INDIRECT(CONCATENATE("'",'Inconsistency Data'!$I$4,"'!O45")))</f>
        <v/>
      </c>
      <c r="K45" s="128" t="str">
        <f ca="1">IF(INDIRECT(CONCATENATE("'",'Inconsistency Data'!$I$4,"'!Q45"))="","",INDIRECT(CONCATENATE("'",'Inconsistency Data'!$I$4,"'!Q45")))</f>
        <v/>
      </c>
      <c r="L45" s="129"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6" t="str">
        <f>IF('Fixed Effects'!N46="","",'Fixed Effects'!N46)</f>
        <v/>
      </c>
      <c r="E46" s="127" t="str">
        <f>IF('Fixed Effects'!O46="","",'Fixed Effects'!O46)</f>
        <v/>
      </c>
      <c r="F46" s="128" t="str">
        <f>IF('Fixed Effects'!Q46="","",'Fixed Effects'!Q46)</f>
        <v/>
      </c>
      <c r="G46" s="129"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9" t="str">
        <f ca="1">IF(INDIRECT(CONCATENATE("'",'Inconsistency Data'!$I$4,"'!N46"))="","",INDIRECT(CONCATENATE("'",'Inconsistency Data'!$I$4,"'!N46")))</f>
        <v/>
      </c>
      <c r="J46" s="127" t="str">
        <f ca="1">IF(INDIRECT(CONCATENATE("'",'Inconsistency Data'!$I$4,"'!O46"))="","",INDIRECT(CONCATENATE("'",'Inconsistency Data'!$I$4,"'!O46")))</f>
        <v/>
      </c>
      <c r="K46" s="128" t="str">
        <f ca="1">IF(INDIRECT(CONCATENATE("'",'Inconsistency Data'!$I$4,"'!Q46"))="","",INDIRECT(CONCATENATE("'",'Inconsistency Data'!$I$4,"'!Q46")))</f>
        <v/>
      </c>
      <c r="L46" s="129"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6" t="str">
        <f>IF('Fixed Effects'!N47="","",'Fixed Effects'!N47)</f>
        <v/>
      </c>
      <c r="E47" s="127" t="str">
        <f>IF('Fixed Effects'!O47="","",'Fixed Effects'!O47)</f>
        <v/>
      </c>
      <c r="F47" s="128" t="str">
        <f>IF('Fixed Effects'!Q47="","",'Fixed Effects'!Q47)</f>
        <v/>
      </c>
      <c r="G47" s="129"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9" t="str">
        <f ca="1">IF(INDIRECT(CONCATENATE("'",'Inconsistency Data'!$I$4,"'!N47"))="","",INDIRECT(CONCATENATE("'",'Inconsistency Data'!$I$4,"'!N47")))</f>
        <v/>
      </c>
      <c r="J47" s="127" t="str">
        <f ca="1">IF(INDIRECT(CONCATENATE("'",'Inconsistency Data'!$I$4,"'!O47"))="","",INDIRECT(CONCATENATE("'",'Inconsistency Data'!$I$4,"'!O47")))</f>
        <v/>
      </c>
      <c r="K47" s="128" t="str">
        <f ca="1">IF(INDIRECT(CONCATENATE("'",'Inconsistency Data'!$I$4,"'!Q47"))="","",INDIRECT(CONCATENATE("'",'Inconsistency Data'!$I$4,"'!Q47")))</f>
        <v/>
      </c>
      <c r="L47" s="129"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6" t="str">
        <f>IF('Fixed Effects'!N48="","",'Fixed Effects'!N48)</f>
        <v/>
      </c>
      <c r="E48" s="127" t="str">
        <f>IF('Fixed Effects'!O48="","",'Fixed Effects'!O48)</f>
        <v/>
      </c>
      <c r="F48" s="128" t="str">
        <f>IF('Fixed Effects'!Q48="","",'Fixed Effects'!Q48)</f>
        <v/>
      </c>
      <c r="G48" s="129"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9" t="str">
        <f ca="1">IF(INDIRECT(CONCATENATE("'",'Inconsistency Data'!$I$4,"'!N48"))="","",INDIRECT(CONCATENATE("'",'Inconsistency Data'!$I$4,"'!N48")))</f>
        <v/>
      </c>
      <c r="J48" s="127" t="str">
        <f ca="1">IF(INDIRECT(CONCATENATE("'",'Inconsistency Data'!$I$4,"'!O48"))="","",INDIRECT(CONCATENATE("'",'Inconsistency Data'!$I$4,"'!O48")))</f>
        <v/>
      </c>
      <c r="K48" s="128" t="str">
        <f ca="1">IF(INDIRECT(CONCATENATE("'",'Inconsistency Data'!$I$4,"'!Q48"))="","",INDIRECT(CONCATENATE("'",'Inconsistency Data'!$I$4,"'!Q48")))</f>
        <v/>
      </c>
      <c r="L48" s="129"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6" t="str">
        <f>IF('Fixed Effects'!N49="","",'Fixed Effects'!N49)</f>
        <v/>
      </c>
      <c r="E49" s="127" t="str">
        <f>IF('Fixed Effects'!O49="","",'Fixed Effects'!O49)</f>
        <v/>
      </c>
      <c r="F49" s="128" t="str">
        <f>IF('Fixed Effects'!Q49="","",'Fixed Effects'!Q49)</f>
        <v/>
      </c>
      <c r="G49" s="129"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9" t="str">
        <f ca="1">IF(INDIRECT(CONCATENATE("'",'Inconsistency Data'!$I$4,"'!N49"))="","",INDIRECT(CONCATENATE("'",'Inconsistency Data'!$I$4,"'!N49")))</f>
        <v/>
      </c>
      <c r="J49" s="127" t="str">
        <f ca="1">IF(INDIRECT(CONCATENATE("'",'Inconsistency Data'!$I$4,"'!O49"))="","",INDIRECT(CONCATENATE("'",'Inconsistency Data'!$I$4,"'!O49")))</f>
        <v/>
      </c>
      <c r="K49" s="128" t="str">
        <f ca="1">IF(INDIRECT(CONCATENATE("'",'Inconsistency Data'!$I$4,"'!Q49"))="","",INDIRECT(CONCATENATE("'",'Inconsistency Data'!$I$4,"'!Q49")))</f>
        <v/>
      </c>
      <c r="L49" s="129"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6" t="str">
        <f>IF('Fixed Effects'!N50="","",'Fixed Effects'!N50)</f>
        <v/>
      </c>
      <c r="E50" s="127" t="str">
        <f>IF('Fixed Effects'!O50="","",'Fixed Effects'!O50)</f>
        <v/>
      </c>
      <c r="F50" s="128" t="str">
        <f>IF('Fixed Effects'!Q50="","",'Fixed Effects'!Q50)</f>
        <v/>
      </c>
      <c r="G50" s="129"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9" t="str">
        <f ca="1">IF(INDIRECT(CONCATENATE("'",'Inconsistency Data'!$I$4,"'!N50"))="","",INDIRECT(CONCATENATE("'",'Inconsistency Data'!$I$4,"'!N50")))</f>
        <v/>
      </c>
      <c r="J50" s="127" t="str">
        <f ca="1">IF(INDIRECT(CONCATENATE("'",'Inconsistency Data'!$I$4,"'!O50"))="","",INDIRECT(CONCATENATE("'",'Inconsistency Data'!$I$4,"'!O50")))</f>
        <v/>
      </c>
      <c r="K50" s="128" t="str">
        <f ca="1">IF(INDIRECT(CONCATENATE("'",'Inconsistency Data'!$I$4,"'!Q50"))="","",INDIRECT(CONCATENATE("'",'Inconsistency Data'!$I$4,"'!Q50")))</f>
        <v/>
      </c>
      <c r="L50" s="129"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6" t="str">
        <f>IF('Fixed Effects'!N51="","",'Fixed Effects'!N51)</f>
        <v/>
      </c>
      <c r="E51" s="127" t="str">
        <f>IF('Fixed Effects'!O51="","",'Fixed Effects'!O51)</f>
        <v/>
      </c>
      <c r="F51" s="128" t="str">
        <f>IF('Fixed Effects'!Q51="","",'Fixed Effects'!Q51)</f>
        <v/>
      </c>
      <c r="G51" s="129"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9" t="str">
        <f ca="1">IF(INDIRECT(CONCATENATE("'",'Inconsistency Data'!$I$4,"'!N51"))="","",INDIRECT(CONCATENATE("'",'Inconsistency Data'!$I$4,"'!N51")))</f>
        <v/>
      </c>
      <c r="J51" s="127" t="str">
        <f ca="1">IF(INDIRECT(CONCATENATE("'",'Inconsistency Data'!$I$4,"'!O51"))="","",INDIRECT(CONCATENATE("'",'Inconsistency Data'!$I$4,"'!O51")))</f>
        <v/>
      </c>
      <c r="K51" s="128" t="str">
        <f ca="1">IF(INDIRECT(CONCATENATE("'",'Inconsistency Data'!$I$4,"'!Q51"))="","",INDIRECT(CONCATENATE("'",'Inconsistency Data'!$I$4,"'!Q51")))</f>
        <v/>
      </c>
      <c r="L51" s="129"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6" t="str">
        <f>IF('Fixed Effects'!N52="","",'Fixed Effects'!N52)</f>
        <v/>
      </c>
      <c r="E52" s="127" t="str">
        <f>IF('Fixed Effects'!O52="","",'Fixed Effects'!O52)</f>
        <v/>
      </c>
      <c r="F52" s="128" t="str">
        <f>IF('Fixed Effects'!Q52="","",'Fixed Effects'!Q52)</f>
        <v/>
      </c>
      <c r="G52" s="129"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9" t="str">
        <f ca="1">IF(INDIRECT(CONCATENATE("'",'Inconsistency Data'!$I$4,"'!N52"))="","",INDIRECT(CONCATENATE("'",'Inconsistency Data'!$I$4,"'!N52")))</f>
        <v/>
      </c>
      <c r="J52" s="127" t="str">
        <f ca="1">IF(INDIRECT(CONCATENATE("'",'Inconsistency Data'!$I$4,"'!O52"))="","",INDIRECT(CONCATENATE("'",'Inconsistency Data'!$I$4,"'!O52")))</f>
        <v/>
      </c>
      <c r="K52" s="128" t="str">
        <f ca="1">IF(INDIRECT(CONCATENATE("'",'Inconsistency Data'!$I$4,"'!Q52"))="","",INDIRECT(CONCATENATE("'",'Inconsistency Data'!$I$4,"'!Q52")))</f>
        <v/>
      </c>
      <c r="L52" s="129"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6" t="str">
        <f>IF('Fixed Effects'!N53="","",'Fixed Effects'!N53)</f>
        <v/>
      </c>
      <c r="E53" s="127" t="str">
        <f>IF('Fixed Effects'!O53="","",'Fixed Effects'!O53)</f>
        <v/>
      </c>
      <c r="F53" s="128" t="str">
        <f>IF('Fixed Effects'!Q53="","",'Fixed Effects'!Q53)</f>
        <v/>
      </c>
      <c r="G53" s="129"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9" t="str">
        <f ca="1">IF(INDIRECT(CONCATENATE("'",'Inconsistency Data'!$I$4,"'!N53"))="","",INDIRECT(CONCATENATE("'",'Inconsistency Data'!$I$4,"'!N53")))</f>
        <v/>
      </c>
      <c r="J53" s="127" t="str">
        <f ca="1">IF(INDIRECT(CONCATENATE("'",'Inconsistency Data'!$I$4,"'!O53"))="","",INDIRECT(CONCATENATE("'",'Inconsistency Data'!$I$4,"'!O53")))</f>
        <v/>
      </c>
      <c r="K53" s="128" t="str">
        <f ca="1">IF(INDIRECT(CONCATENATE("'",'Inconsistency Data'!$I$4,"'!Q53"))="","",INDIRECT(CONCATENATE("'",'Inconsistency Data'!$I$4,"'!Q53")))</f>
        <v/>
      </c>
      <c r="L53" s="129"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6" t="str">
        <f>IF('Fixed Effects'!N54="","",'Fixed Effects'!N54)</f>
        <v/>
      </c>
      <c r="E54" s="127" t="str">
        <f>IF('Fixed Effects'!O54="","",'Fixed Effects'!O54)</f>
        <v/>
      </c>
      <c r="F54" s="128" t="str">
        <f>IF('Fixed Effects'!Q54="","",'Fixed Effects'!Q54)</f>
        <v/>
      </c>
      <c r="G54" s="129"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9" t="str">
        <f ca="1">IF(INDIRECT(CONCATENATE("'",'Inconsistency Data'!$I$4,"'!N54"))="","",INDIRECT(CONCATENATE("'",'Inconsistency Data'!$I$4,"'!N54")))</f>
        <v/>
      </c>
      <c r="J54" s="127" t="str">
        <f ca="1">IF(INDIRECT(CONCATENATE("'",'Inconsistency Data'!$I$4,"'!O54"))="","",INDIRECT(CONCATENATE("'",'Inconsistency Data'!$I$4,"'!O54")))</f>
        <v/>
      </c>
      <c r="K54" s="128" t="str">
        <f ca="1">IF(INDIRECT(CONCATENATE("'",'Inconsistency Data'!$I$4,"'!Q54"))="","",INDIRECT(CONCATENATE("'",'Inconsistency Data'!$I$4,"'!Q54")))</f>
        <v/>
      </c>
      <c r="L54" s="129"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6" t="str">
        <f>IF('Fixed Effects'!N55="","",'Fixed Effects'!N55)</f>
        <v/>
      </c>
      <c r="E55" s="127" t="str">
        <f>IF('Fixed Effects'!O55="","",'Fixed Effects'!O55)</f>
        <v/>
      </c>
      <c r="F55" s="128" t="str">
        <f>IF('Fixed Effects'!Q55="","",'Fixed Effects'!Q55)</f>
        <v/>
      </c>
      <c r="G55" s="129"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9" t="str">
        <f ca="1">IF(INDIRECT(CONCATENATE("'",'Inconsistency Data'!$I$4,"'!N55"))="","",INDIRECT(CONCATENATE("'",'Inconsistency Data'!$I$4,"'!N55")))</f>
        <v/>
      </c>
      <c r="J55" s="127" t="str">
        <f ca="1">IF(INDIRECT(CONCATENATE("'",'Inconsistency Data'!$I$4,"'!O55"))="","",INDIRECT(CONCATENATE("'",'Inconsistency Data'!$I$4,"'!O55")))</f>
        <v/>
      </c>
      <c r="K55" s="128" t="str">
        <f ca="1">IF(INDIRECT(CONCATENATE("'",'Inconsistency Data'!$I$4,"'!Q55"))="","",INDIRECT(CONCATENATE("'",'Inconsistency Data'!$I$4,"'!Q55")))</f>
        <v/>
      </c>
      <c r="L55" s="129"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6" t="str">
        <f>IF('Fixed Effects'!N56="","",'Fixed Effects'!N56)</f>
        <v/>
      </c>
      <c r="E56" s="127" t="str">
        <f>IF('Fixed Effects'!O56="","",'Fixed Effects'!O56)</f>
        <v/>
      </c>
      <c r="F56" s="128" t="str">
        <f>IF('Fixed Effects'!Q56="","",'Fixed Effects'!Q56)</f>
        <v/>
      </c>
      <c r="G56" s="129"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9" t="str">
        <f ca="1">IF(INDIRECT(CONCATENATE("'",'Inconsistency Data'!$I$4,"'!N56"))="","",INDIRECT(CONCATENATE("'",'Inconsistency Data'!$I$4,"'!N56")))</f>
        <v/>
      </c>
      <c r="J56" s="127" t="str">
        <f ca="1">IF(INDIRECT(CONCATENATE("'",'Inconsistency Data'!$I$4,"'!O56"))="","",INDIRECT(CONCATENATE("'",'Inconsistency Data'!$I$4,"'!O56")))</f>
        <v/>
      </c>
      <c r="K56" s="128" t="str">
        <f ca="1">IF(INDIRECT(CONCATENATE("'",'Inconsistency Data'!$I$4,"'!Q56"))="","",INDIRECT(CONCATENATE("'",'Inconsistency Data'!$I$4,"'!Q56")))</f>
        <v/>
      </c>
      <c r="L56" s="129"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6" t="str">
        <f>IF('Fixed Effects'!N57="","",'Fixed Effects'!N57)</f>
        <v/>
      </c>
      <c r="E57" s="127" t="str">
        <f>IF('Fixed Effects'!O57="","",'Fixed Effects'!O57)</f>
        <v/>
      </c>
      <c r="F57" s="128" t="str">
        <f>IF('Fixed Effects'!Q57="","",'Fixed Effects'!Q57)</f>
        <v/>
      </c>
      <c r="G57" s="129"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9" t="str">
        <f ca="1">IF(INDIRECT(CONCATENATE("'",'Inconsistency Data'!$I$4,"'!N57"))="","",INDIRECT(CONCATENATE("'",'Inconsistency Data'!$I$4,"'!N57")))</f>
        <v/>
      </c>
      <c r="J57" s="127" t="str">
        <f ca="1">IF(INDIRECT(CONCATENATE("'",'Inconsistency Data'!$I$4,"'!O57"))="","",INDIRECT(CONCATENATE("'",'Inconsistency Data'!$I$4,"'!O57")))</f>
        <v/>
      </c>
      <c r="K57" s="128" t="str">
        <f ca="1">IF(INDIRECT(CONCATENATE("'",'Inconsistency Data'!$I$4,"'!Q57"))="","",INDIRECT(CONCATENATE("'",'Inconsistency Data'!$I$4,"'!Q57")))</f>
        <v/>
      </c>
      <c r="L57" s="129"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6" t="str">
        <f>IF('Fixed Effects'!N58="","",'Fixed Effects'!N58)</f>
        <v/>
      </c>
      <c r="E58" s="127" t="str">
        <f>IF('Fixed Effects'!O58="","",'Fixed Effects'!O58)</f>
        <v/>
      </c>
      <c r="F58" s="128" t="str">
        <f>IF('Fixed Effects'!Q58="","",'Fixed Effects'!Q58)</f>
        <v/>
      </c>
      <c r="G58" s="129"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9" t="str">
        <f ca="1">IF(INDIRECT(CONCATENATE("'",'Inconsistency Data'!$I$4,"'!N58"))="","",INDIRECT(CONCATENATE("'",'Inconsistency Data'!$I$4,"'!N58")))</f>
        <v/>
      </c>
      <c r="J58" s="127" t="str">
        <f ca="1">IF(INDIRECT(CONCATENATE("'",'Inconsistency Data'!$I$4,"'!O58"))="","",INDIRECT(CONCATENATE("'",'Inconsistency Data'!$I$4,"'!O58")))</f>
        <v/>
      </c>
      <c r="K58" s="128" t="str">
        <f ca="1">IF(INDIRECT(CONCATENATE("'",'Inconsistency Data'!$I$4,"'!Q58"))="","",INDIRECT(CONCATENATE("'",'Inconsistency Data'!$I$4,"'!Q58")))</f>
        <v/>
      </c>
      <c r="L58" s="129"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6" t="str">
        <f>IF('Fixed Effects'!N59="","",'Fixed Effects'!N59)</f>
        <v/>
      </c>
      <c r="E59" s="127" t="str">
        <f>IF('Fixed Effects'!O59="","",'Fixed Effects'!O59)</f>
        <v/>
      </c>
      <c r="F59" s="128" t="str">
        <f>IF('Fixed Effects'!Q59="","",'Fixed Effects'!Q59)</f>
        <v/>
      </c>
      <c r="G59" s="129"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9" t="str">
        <f ca="1">IF(INDIRECT(CONCATENATE("'",'Inconsistency Data'!$I$4,"'!N59"))="","",INDIRECT(CONCATENATE("'",'Inconsistency Data'!$I$4,"'!N59")))</f>
        <v/>
      </c>
      <c r="J59" s="127" t="str">
        <f ca="1">IF(INDIRECT(CONCATENATE("'",'Inconsistency Data'!$I$4,"'!O59"))="","",INDIRECT(CONCATENATE("'",'Inconsistency Data'!$I$4,"'!O59")))</f>
        <v/>
      </c>
      <c r="K59" s="128" t="str">
        <f ca="1">IF(INDIRECT(CONCATENATE("'",'Inconsistency Data'!$I$4,"'!Q59"))="","",INDIRECT(CONCATENATE("'",'Inconsistency Data'!$I$4,"'!Q59")))</f>
        <v/>
      </c>
      <c r="L59" s="129"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6" t="str">
        <f>IF('Fixed Effects'!N60="","",'Fixed Effects'!N60)</f>
        <v/>
      </c>
      <c r="E60" s="127" t="str">
        <f>IF('Fixed Effects'!O60="","",'Fixed Effects'!O60)</f>
        <v/>
      </c>
      <c r="F60" s="128" t="str">
        <f>IF('Fixed Effects'!Q60="","",'Fixed Effects'!Q60)</f>
        <v/>
      </c>
      <c r="G60" s="129"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9" t="str">
        <f ca="1">IF(INDIRECT(CONCATENATE("'",'Inconsistency Data'!$I$4,"'!N60"))="","",INDIRECT(CONCATENATE("'",'Inconsistency Data'!$I$4,"'!N60")))</f>
        <v/>
      </c>
      <c r="J60" s="127" t="str">
        <f ca="1">IF(INDIRECT(CONCATENATE("'",'Inconsistency Data'!$I$4,"'!O60"))="","",INDIRECT(CONCATENATE("'",'Inconsistency Data'!$I$4,"'!O60")))</f>
        <v/>
      </c>
      <c r="K60" s="128" t="str">
        <f ca="1">IF(INDIRECT(CONCATENATE("'",'Inconsistency Data'!$I$4,"'!Q60"))="","",INDIRECT(CONCATENATE("'",'Inconsistency Data'!$I$4,"'!Q60")))</f>
        <v/>
      </c>
      <c r="L60" s="129"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6" t="str">
        <f>IF('Fixed Effects'!N61="","",'Fixed Effects'!N61)</f>
        <v/>
      </c>
      <c r="E61" s="127" t="str">
        <f>IF('Fixed Effects'!O61="","",'Fixed Effects'!O61)</f>
        <v/>
      </c>
      <c r="F61" s="128" t="str">
        <f>IF('Fixed Effects'!Q61="","",'Fixed Effects'!Q61)</f>
        <v/>
      </c>
      <c r="G61" s="129"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9" t="str">
        <f ca="1">IF(INDIRECT(CONCATENATE("'",'Inconsistency Data'!$I$4,"'!N61"))="","",INDIRECT(CONCATENATE("'",'Inconsistency Data'!$I$4,"'!N61")))</f>
        <v/>
      </c>
      <c r="J61" s="127" t="str">
        <f ca="1">IF(INDIRECT(CONCATENATE("'",'Inconsistency Data'!$I$4,"'!O61"))="","",INDIRECT(CONCATENATE("'",'Inconsistency Data'!$I$4,"'!O61")))</f>
        <v/>
      </c>
      <c r="K61" s="128" t="str">
        <f ca="1">IF(INDIRECT(CONCATENATE("'",'Inconsistency Data'!$I$4,"'!Q61"))="","",INDIRECT(CONCATENATE("'",'Inconsistency Data'!$I$4,"'!Q61")))</f>
        <v/>
      </c>
      <c r="L61" s="129"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6" t="str">
        <f>IF('Fixed Effects'!N62="","",'Fixed Effects'!N62)</f>
        <v/>
      </c>
      <c r="E62" s="127" t="str">
        <f>IF('Fixed Effects'!O62="","",'Fixed Effects'!O62)</f>
        <v/>
      </c>
      <c r="F62" s="128" t="str">
        <f>IF('Fixed Effects'!Q62="","",'Fixed Effects'!Q62)</f>
        <v/>
      </c>
      <c r="G62" s="129"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9" t="str">
        <f ca="1">IF(INDIRECT(CONCATENATE("'",'Inconsistency Data'!$I$4,"'!N62"))="","",INDIRECT(CONCATENATE("'",'Inconsistency Data'!$I$4,"'!N62")))</f>
        <v/>
      </c>
      <c r="J62" s="127" t="str">
        <f ca="1">IF(INDIRECT(CONCATENATE("'",'Inconsistency Data'!$I$4,"'!O62"))="","",INDIRECT(CONCATENATE("'",'Inconsistency Data'!$I$4,"'!O62")))</f>
        <v/>
      </c>
      <c r="K62" s="128" t="str">
        <f ca="1">IF(INDIRECT(CONCATENATE("'",'Inconsistency Data'!$I$4,"'!Q62"))="","",INDIRECT(CONCATENATE("'",'Inconsistency Data'!$I$4,"'!Q62")))</f>
        <v/>
      </c>
      <c r="L62" s="129"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6" t="str">
        <f>IF('Fixed Effects'!N63="","",'Fixed Effects'!N63)</f>
        <v/>
      </c>
      <c r="E63" s="127" t="str">
        <f>IF('Fixed Effects'!O63="","",'Fixed Effects'!O63)</f>
        <v/>
      </c>
      <c r="F63" s="128" t="str">
        <f>IF('Fixed Effects'!Q63="","",'Fixed Effects'!Q63)</f>
        <v/>
      </c>
      <c r="G63" s="129"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9" t="str">
        <f ca="1">IF(INDIRECT(CONCATENATE("'",'Inconsistency Data'!$I$4,"'!N63"))="","",INDIRECT(CONCATENATE("'",'Inconsistency Data'!$I$4,"'!N63")))</f>
        <v/>
      </c>
      <c r="J63" s="127" t="str">
        <f ca="1">IF(INDIRECT(CONCATENATE("'",'Inconsistency Data'!$I$4,"'!O63"))="","",INDIRECT(CONCATENATE("'",'Inconsistency Data'!$I$4,"'!O63")))</f>
        <v/>
      </c>
      <c r="K63" s="128" t="str">
        <f ca="1">IF(INDIRECT(CONCATENATE("'",'Inconsistency Data'!$I$4,"'!Q63"))="","",INDIRECT(CONCATENATE("'",'Inconsistency Data'!$I$4,"'!Q63")))</f>
        <v/>
      </c>
      <c r="L63" s="129"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6" t="str">
        <f>IF('Fixed Effects'!N64="","",'Fixed Effects'!N64)</f>
        <v/>
      </c>
      <c r="E64" s="127" t="str">
        <f>IF('Fixed Effects'!O64="","",'Fixed Effects'!O64)</f>
        <v/>
      </c>
      <c r="F64" s="128" t="str">
        <f>IF('Fixed Effects'!Q64="","",'Fixed Effects'!Q64)</f>
        <v/>
      </c>
      <c r="G64" s="129"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9" t="str">
        <f ca="1">IF(INDIRECT(CONCATENATE("'",'Inconsistency Data'!$I$4,"'!N64"))="","",INDIRECT(CONCATENATE("'",'Inconsistency Data'!$I$4,"'!N64")))</f>
        <v/>
      </c>
      <c r="J64" s="127" t="str">
        <f ca="1">IF(INDIRECT(CONCATENATE("'",'Inconsistency Data'!$I$4,"'!O64"))="","",INDIRECT(CONCATENATE("'",'Inconsistency Data'!$I$4,"'!O64")))</f>
        <v/>
      </c>
      <c r="K64" s="128" t="str">
        <f ca="1">IF(INDIRECT(CONCATENATE("'",'Inconsistency Data'!$I$4,"'!Q64"))="","",INDIRECT(CONCATENATE("'",'Inconsistency Data'!$I$4,"'!Q64")))</f>
        <v/>
      </c>
      <c r="L64" s="129"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6" t="str">
        <f>IF('Fixed Effects'!N65="","",'Fixed Effects'!N65)</f>
        <v/>
      </c>
      <c r="E65" s="127" t="str">
        <f>IF('Fixed Effects'!O65="","",'Fixed Effects'!O65)</f>
        <v/>
      </c>
      <c r="F65" s="128" t="str">
        <f>IF('Fixed Effects'!Q65="","",'Fixed Effects'!Q65)</f>
        <v/>
      </c>
      <c r="G65" s="129"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9" t="str">
        <f ca="1">IF(INDIRECT(CONCATENATE("'",'Inconsistency Data'!$I$4,"'!N65"))="","",INDIRECT(CONCATENATE("'",'Inconsistency Data'!$I$4,"'!N65")))</f>
        <v/>
      </c>
      <c r="J65" s="127" t="str">
        <f ca="1">IF(INDIRECT(CONCATENATE("'",'Inconsistency Data'!$I$4,"'!O65"))="","",INDIRECT(CONCATENATE("'",'Inconsistency Data'!$I$4,"'!O65")))</f>
        <v/>
      </c>
      <c r="K65" s="128" t="str">
        <f ca="1">IF(INDIRECT(CONCATENATE("'",'Inconsistency Data'!$I$4,"'!Q65"))="","",INDIRECT(CONCATENATE("'",'Inconsistency Data'!$I$4,"'!Q65")))</f>
        <v/>
      </c>
      <c r="L65" s="129"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6" t="str">
        <f>IF('Fixed Effects'!N66="","",'Fixed Effects'!N66)</f>
        <v/>
      </c>
      <c r="E66" s="127" t="str">
        <f>IF('Fixed Effects'!O66="","",'Fixed Effects'!O66)</f>
        <v/>
      </c>
      <c r="F66" s="128" t="str">
        <f>IF('Fixed Effects'!Q66="","",'Fixed Effects'!Q66)</f>
        <v/>
      </c>
      <c r="G66" s="129"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9" t="str">
        <f ca="1">IF(INDIRECT(CONCATENATE("'",'Inconsistency Data'!$I$4,"'!N66"))="","",INDIRECT(CONCATENATE("'",'Inconsistency Data'!$I$4,"'!N66")))</f>
        <v/>
      </c>
      <c r="J66" s="127" t="str">
        <f ca="1">IF(INDIRECT(CONCATENATE("'",'Inconsistency Data'!$I$4,"'!O66"))="","",INDIRECT(CONCATENATE("'",'Inconsistency Data'!$I$4,"'!O66")))</f>
        <v/>
      </c>
      <c r="K66" s="128" t="str">
        <f ca="1">IF(INDIRECT(CONCATENATE("'",'Inconsistency Data'!$I$4,"'!Q66"))="","",INDIRECT(CONCATENATE("'",'Inconsistency Data'!$I$4,"'!Q66")))</f>
        <v/>
      </c>
      <c r="L66" s="129"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6" t="str">
        <f>IF('Fixed Effects'!N67="","",'Fixed Effects'!N67)</f>
        <v/>
      </c>
      <c r="E67" s="127" t="str">
        <f>IF('Fixed Effects'!O67="","",'Fixed Effects'!O67)</f>
        <v/>
      </c>
      <c r="F67" s="128" t="str">
        <f>IF('Fixed Effects'!Q67="","",'Fixed Effects'!Q67)</f>
        <v/>
      </c>
      <c r="G67" s="129"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9" t="str">
        <f ca="1">IF(INDIRECT(CONCATENATE("'",'Inconsistency Data'!$I$4,"'!N67"))="","",INDIRECT(CONCATENATE("'",'Inconsistency Data'!$I$4,"'!N67")))</f>
        <v/>
      </c>
      <c r="J67" s="127" t="str">
        <f ca="1">IF(INDIRECT(CONCATENATE("'",'Inconsistency Data'!$I$4,"'!O67"))="","",INDIRECT(CONCATENATE("'",'Inconsistency Data'!$I$4,"'!O67")))</f>
        <v/>
      </c>
      <c r="K67" s="128" t="str">
        <f ca="1">IF(INDIRECT(CONCATENATE("'",'Inconsistency Data'!$I$4,"'!Q67"))="","",INDIRECT(CONCATENATE("'",'Inconsistency Data'!$I$4,"'!Q67")))</f>
        <v/>
      </c>
      <c r="L67" s="129"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6" t="str">
        <f>IF('Fixed Effects'!N68="","",'Fixed Effects'!N68)</f>
        <v/>
      </c>
      <c r="E68" s="127" t="str">
        <f>IF('Fixed Effects'!O68="","",'Fixed Effects'!O68)</f>
        <v/>
      </c>
      <c r="F68" s="128" t="str">
        <f>IF('Fixed Effects'!Q68="","",'Fixed Effects'!Q68)</f>
        <v/>
      </c>
      <c r="G68" s="129"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9" t="str">
        <f ca="1">IF(INDIRECT(CONCATENATE("'",'Inconsistency Data'!$I$4,"'!N68"))="","",INDIRECT(CONCATENATE("'",'Inconsistency Data'!$I$4,"'!N68")))</f>
        <v/>
      </c>
      <c r="J68" s="127" t="str">
        <f ca="1">IF(INDIRECT(CONCATENATE("'",'Inconsistency Data'!$I$4,"'!O68"))="","",INDIRECT(CONCATENATE("'",'Inconsistency Data'!$I$4,"'!O68")))</f>
        <v/>
      </c>
      <c r="K68" s="128" t="str">
        <f ca="1">IF(INDIRECT(CONCATENATE("'",'Inconsistency Data'!$I$4,"'!Q68"))="","",INDIRECT(CONCATENATE("'",'Inconsistency Data'!$I$4,"'!Q68")))</f>
        <v/>
      </c>
      <c r="L68" s="129"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6" t="str">
        <f>IF('Fixed Effects'!N69="","",'Fixed Effects'!N69)</f>
        <v/>
      </c>
      <c r="E69" s="127" t="str">
        <f>IF('Fixed Effects'!O69="","",'Fixed Effects'!O69)</f>
        <v/>
      </c>
      <c r="F69" s="128" t="str">
        <f>IF('Fixed Effects'!Q69="","",'Fixed Effects'!Q69)</f>
        <v/>
      </c>
      <c r="G69" s="129"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9" t="str">
        <f ca="1">IF(INDIRECT(CONCATENATE("'",'Inconsistency Data'!$I$4,"'!N69"))="","",INDIRECT(CONCATENATE("'",'Inconsistency Data'!$I$4,"'!N69")))</f>
        <v/>
      </c>
      <c r="J69" s="127" t="str">
        <f ca="1">IF(INDIRECT(CONCATENATE("'",'Inconsistency Data'!$I$4,"'!O69"))="","",INDIRECT(CONCATENATE("'",'Inconsistency Data'!$I$4,"'!O69")))</f>
        <v/>
      </c>
      <c r="K69" s="128" t="str">
        <f ca="1">IF(INDIRECT(CONCATENATE("'",'Inconsistency Data'!$I$4,"'!Q69"))="","",INDIRECT(CONCATENATE("'",'Inconsistency Data'!$I$4,"'!Q69")))</f>
        <v/>
      </c>
      <c r="L69" s="129"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6" t="str">
        <f>IF('Fixed Effects'!N70="","",'Fixed Effects'!N70)</f>
        <v/>
      </c>
      <c r="E70" s="127" t="str">
        <f>IF('Fixed Effects'!O70="","",'Fixed Effects'!O70)</f>
        <v/>
      </c>
      <c r="F70" s="128" t="str">
        <f>IF('Fixed Effects'!Q70="","",'Fixed Effects'!Q70)</f>
        <v/>
      </c>
      <c r="G70" s="129"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9" t="str">
        <f ca="1">IF(INDIRECT(CONCATENATE("'",'Inconsistency Data'!$I$4,"'!N70"))="","",INDIRECT(CONCATENATE("'",'Inconsistency Data'!$I$4,"'!N70")))</f>
        <v/>
      </c>
      <c r="J70" s="127" t="str">
        <f ca="1">IF(INDIRECT(CONCATENATE("'",'Inconsistency Data'!$I$4,"'!O70"))="","",INDIRECT(CONCATENATE("'",'Inconsistency Data'!$I$4,"'!O70")))</f>
        <v/>
      </c>
      <c r="K70" s="128" t="str">
        <f ca="1">IF(INDIRECT(CONCATENATE("'",'Inconsistency Data'!$I$4,"'!Q70"))="","",INDIRECT(CONCATENATE("'",'Inconsistency Data'!$I$4,"'!Q70")))</f>
        <v/>
      </c>
      <c r="L70" s="129"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6" t="str">
        <f>IF('Fixed Effects'!N71="","",'Fixed Effects'!N71)</f>
        <v/>
      </c>
      <c r="E71" s="127" t="str">
        <f>IF('Fixed Effects'!O71="","",'Fixed Effects'!O71)</f>
        <v/>
      </c>
      <c r="F71" s="128" t="str">
        <f>IF('Fixed Effects'!Q71="","",'Fixed Effects'!Q71)</f>
        <v/>
      </c>
      <c r="G71" s="129"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9" t="str">
        <f ca="1">IF(INDIRECT(CONCATENATE("'",'Inconsistency Data'!$I$4,"'!N71"))="","",INDIRECT(CONCATENATE("'",'Inconsistency Data'!$I$4,"'!N71")))</f>
        <v/>
      </c>
      <c r="J71" s="127" t="str">
        <f ca="1">IF(INDIRECT(CONCATENATE("'",'Inconsistency Data'!$I$4,"'!O71"))="","",INDIRECT(CONCATENATE("'",'Inconsistency Data'!$I$4,"'!O71")))</f>
        <v/>
      </c>
      <c r="K71" s="128" t="str">
        <f ca="1">IF(INDIRECT(CONCATENATE("'",'Inconsistency Data'!$I$4,"'!Q71"))="","",INDIRECT(CONCATENATE("'",'Inconsistency Data'!$I$4,"'!Q71")))</f>
        <v/>
      </c>
      <c r="L71" s="129"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6" t="str">
        <f>IF('Fixed Effects'!N72="","",'Fixed Effects'!N72)</f>
        <v/>
      </c>
      <c r="E72" s="127" t="str">
        <f>IF('Fixed Effects'!O72="","",'Fixed Effects'!O72)</f>
        <v/>
      </c>
      <c r="F72" s="128" t="str">
        <f>IF('Fixed Effects'!Q72="","",'Fixed Effects'!Q72)</f>
        <v/>
      </c>
      <c r="G72" s="129"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9" t="str">
        <f ca="1">IF(INDIRECT(CONCATENATE("'",'Inconsistency Data'!$I$4,"'!N72"))="","",INDIRECT(CONCATENATE("'",'Inconsistency Data'!$I$4,"'!N72")))</f>
        <v/>
      </c>
      <c r="J72" s="127" t="str">
        <f ca="1">IF(INDIRECT(CONCATENATE("'",'Inconsistency Data'!$I$4,"'!O72"))="","",INDIRECT(CONCATENATE("'",'Inconsistency Data'!$I$4,"'!O72")))</f>
        <v/>
      </c>
      <c r="K72" s="128" t="str">
        <f ca="1">IF(INDIRECT(CONCATENATE("'",'Inconsistency Data'!$I$4,"'!Q72"))="","",INDIRECT(CONCATENATE("'",'Inconsistency Data'!$I$4,"'!Q72")))</f>
        <v/>
      </c>
      <c r="L72" s="129"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6" t="str">
        <f>IF('Fixed Effects'!N73="","",'Fixed Effects'!N73)</f>
        <v/>
      </c>
      <c r="E73" s="127" t="str">
        <f>IF('Fixed Effects'!O73="","",'Fixed Effects'!O73)</f>
        <v/>
      </c>
      <c r="F73" s="128" t="str">
        <f>IF('Fixed Effects'!Q73="","",'Fixed Effects'!Q73)</f>
        <v/>
      </c>
      <c r="G73" s="129"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9" t="str">
        <f ca="1">IF(INDIRECT(CONCATENATE("'",'Inconsistency Data'!$I$4,"'!N73"))="","",INDIRECT(CONCATENATE("'",'Inconsistency Data'!$I$4,"'!N73")))</f>
        <v/>
      </c>
      <c r="J73" s="127" t="str">
        <f ca="1">IF(INDIRECT(CONCATENATE("'",'Inconsistency Data'!$I$4,"'!O73"))="","",INDIRECT(CONCATENATE("'",'Inconsistency Data'!$I$4,"'!O73")))</f>
        <v/>
      </c>
      <c r="K73" s="128" t="str">
        <f ca="1">IF(INDIRECT(CONCATENATE("'",'Inconsistency Data'!$I$4,"'!Q73"))="","",INDIRECT(CONCATENATE("'",'Inconsistency Data'!$I$4,"'!Q73")))</f>
        <v/>
      </c>
      <c r="L73" s="129"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6" t="str">
        <f>IF('Fixed Effects'!N74="","",'Fixed Effects'!N74)</f>
        <v/>
      </c>
      <c r="E74" s="127" t="str">
        <f>IF('Fixed Effects'!O74="","",'Fixed Effects'!O74)</f>
        <v/>
      </c>
      <c r="F74" s="128" t="str">
        <f>IF('Fixed Effects'!Q74="","",'Fixed Effects'!Q74)</f>
        <v/>
      </c>
      <c r="G74" s="129"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9" t="str">
        <f ca="1">IF(INDIRECT(CONCATENATE("'",'Inconsistency Data'!$I$4,"'!N74"))="","",INDIRECT(CONCATENATE("'",'Inconsistency Data'!$I$4,"'!N74")))</f>
        <v/>
      </c>
      <c r="J74" s="127" t="str">
        <f ca="1">IF(INDIRECT(CONCATENATE("'",'Inconsistency Data'!$I$4,"'!O74"))="","",INDIRECT(CONCATENATE("'",'Inconsistency Data'!$I$4,"'!O74")))</f>
        <v/>
      </c>
      <c r="K74" s="128" t="str">
        <f ca="1">IF(INDIRECT(CONCATENATE("'",'Inconsistency Data'!$I$4,"'!Q74"))="","",INDIRECT(CONCATENATE("'",'Inconsistency Data'!$I$4,"'!Q74")))</f>
        <v/>
      </c>
      <c r="L74" s="129"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6" t="str">
        <f>IF('Fixed Effects'!N75="","",'Fixed Effects'!N75)</f>
        <v/>
      </c>
      <c r="E75" s="127" t="str">
        <f>IF('Fixed Effects'!O75="","",'Fixed Effects'!O75)</f>
        <v/>
      </c>
      <c r="F75" s="128" t="str">
        <f>IF('Fixed Effects'!Q75="","",'Fixed Effects'!Q75)</f>
        <v/>
      </c>
      <c r="G75" s="129"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9" t="str">
        <f ca="1">IF(INDIRECT(CONCATENATE("'",'Inconsistency Data'!$I$4,"'!N75"))="","",INDIRECT(CONCATENATE("'",'Inconsistency Data'!$I$4,"'!N75")))</f>
        <v/>
      </c>
      <c r="J75" s="127" t="str">
        <f ca="1">IF(INDIRECT(CONCATENATE("'",'Inconsistency Data'!$I$4,"'!O75"))="","",INDIRECT(CONCATENATE("'",'Inconsistency Data'!$I$4,"'!O75")))</f>
        <v/>
      </c>
      <c r="K75" s="128" t="str">
        <f ca="1">IF(INDIRECT(CONCATENATE("'",'Inconsistency Data'!$I$4,"'!Q75"))="","",INDIRECT(CONCATENATE("'",'Inconsistency Data'!$I$4,"'!Q75")))</f>
        <v/>
      </c>
      <c r="L75" s="129"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6" t="str">
        <f>IF('Fixed Effects'!N76="","",'Fixed Effects'!N76)</f>
        <v/>
      </c>
      <c r="E76" s="127" t="str">
        <f>IF('Fixed Effects'!O76="","",'Fixed Effects'!O76)</f>
        <v/>
      </c>
      <c r="F76" s="128" t="str">
        <f>IF('Fixed Effects'!Q76="","",'Fixed Effects'!Q76)</f>
        <v/>
      </c>
      <c r="G76" s="129"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9" t="str">
        <f ca="1">IF(INDIRECT(CONCATENATE("'",'Inconsistency Data'!$I$4,"'!N76"))="","",INDIRECT(CONCATENATE("'",'Inconsistency Data'!$I$4,"'!N76")))</f>
        <v/>
      </c>
      <c r="J76" s="127" t="str">
        <f ca="1">IF(INDIRECT(CONCATENATE("'",'Inconsistency Data'!$I$4,"'!O76"))="","",INDIRECT(CONCATENATE("'",'Inconsistency Data'!$I$4,"'!O76")))</f>
        <v/>
      </c>
      <c r="K76" s="128" t="str">
        <f ca="1">IF(INDIRECT(CONCATENATE("'",'Inconsistency Data'!$I$4,"'!Q76"))="","",INDIRECT(CONCATENATE("'",'Inconsistency Data'!$I$4,"'!Q76")))</f>
        <v/>
      </c>
      <c r="L76" s="129"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6" t="str">
        <f>IF('Fixed Effects'!N77="","",'Fixed Effects'!N77)</f>
        <v/>
      </c>
      <c r="E77" s="127" t="str">
        <f>IF('Fixed Effects'!O77="","",'Fixed Effects'!O77)</f>
        <v/>
      </c>
      <c r="F77" s="128" t="str">
        <f>IF('Fixed Effects'!Q77="","",'Fixed Effects'!Q77)</f>
        <v/>
      </c>
      <c r="G77" s="129"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9" t="str">
        <f ca="1">IF(INDIRECT(CONCATENATE("'",'Inconsistency Data'!$I$4,"'!N77"))="","",INDIRECT(CONCATENATE("'",'Inconsistency Data'!$I$4,"'!N77")))</f>
        <v/>
      </c>
      <c r="J77" s="127" t="str">
        <f ca="1">IF(INDIRECT(CONCATENATE("'",'Inconsistency Data'!$I$4,"'!O77"))="","",INDIRECT(CONCATENATE("'",'Inconsistency Data'!$I$4,"'!O77")))</f>
        <v/>
      </c>
      <c r="K77" s="128" t="str">
        <f ca="1">IF(INDIRECT(CONCATENATE("'",'Inconsistency Data'!$I$4,"'!Q77"))="","",INDIRECT(CONCATENATE("'",'Inconsistency Data'!$I$4,"'!Q77")))</f>
        <v/>
      </c>
      <c r="L77" s="129"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6" t="str">
        <f>IF('Fixed Effects'!N78="","",'Fixed Effects'!N78)</f>
        <v/>
      </c>
      <c r="E78" s="127" t="str">
        <f>IF('Fixed Effects'!O78="","",'Fixed Effects'!O78)</f>
        <v/>
      </c>
      <c r="F78" s="128" t="str">
        <f>IF('Fixed Effects'!Q78="","",'Fixed Effects'!Q78)</f>
        <v/>
      </c>
      <c r="G78" s="129"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9" t="str">
        <f ca="1">IF(INDIRECT(CONCATENATE("'",'Inconsistency Data'!$I$4,"'!N78"))="","",INDIRECT(CONCATENATE("'",'Inconsistency Data'!$I$4,"'!N78")))</f>
        <v/>
      </c>
      <c r="J78" s="127" t="str">
        <f ca="1">IF(INDIRECT(CONCATENATE("'",'Inconsistency Data'!$I$4,"'!O78"))="","",INDIRECT(CONCATENATE("'",'Inconsistency Data'!$I$4,"'!O78")))</f>
        <v/>
      </c>
      <c r="K78" s="128" t="str">
        <f ca="1">IF(INDIRECT(CONCATENATE("'",'Inconsistency Data'!$I$4,"'!Q78"))="","",INDIRECT(CONCATENATE("'",'Inconsistency Data'!$I$4,"'!Q78")))</f>
        <v/>
      </c>
      <c r="L78" s="129"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6" t="str">
        <f>IF('Fixed Effects'!N79="","",'Fixed Effects'!N79)</f>
        <v/>
      </c>
      <c r="E79" s="127" t="str">
        <f>IF('Fixed Effects'!O79="","",'Fixed Effects'!O79)</f>
        <v/>
      </c>
      <c r="F79" s="128" t="str">
        <f>IF('Fixed Effects'!Q79="","",'Fixed Effects'!Q79)</f>
        <v/>
      </c>
      <c r="G79" s="129"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9" t="str">
        <f ca="1">IF(INDIRECT(CONCATENATE("'",'Inconsistency Data'!$I$4,"'!N79"))="","",INDIRECT(CONCATENATE("'",'Inconsistency Data'!$I$4,"'!N79")))</f>
        <v/>
      </c>
      <c r="J79" s="127" t="str">
        <f ca="1">IF(INDIRECT(CONCATENATE("'",'Inconsistency Data'!$I$4,"'!O79"))="","",INDIRECT(CONCATENATE("'",'Inconsistency Data'!$I$4,"'!O79")))</f>
        <v/>
      </c>
      <c r="K79" s="128" t="str">
        <f ca="1">IF(INDIRECT(CONCATENATE("'",'Inconsistency Data'!$I$4,"'!Q79"))="","",INDIRECT(CONCATENATE("'",'Inconsistency Data'!$I$4,"'!Q79")))</f>
        <v/>
      </c>
      <c r="L79" s="129"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6" t="str">
        <f>IF('Fixed Effects'!N80="","",'Fixed Effects'!N80)</f>
        <v/>
      </c>
      <c r="E80" s="127" t="str">
        <f>IF('Fixed Effects'!O80="","",'Fixed Effects'!O80)</f>
        <v/>
      </c>
      <c r="F80" s="128" t="str">
        <f>IF('Fixed Effects'!Q80="","",'Fixed Effects'!Q80)</f>
        <v/>
      </c>
      <c r="G80" s="129"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9" t="str">
        <f ca="1">IF(INDIRECT(CONCATENATE("'",'Inconsistency Data'!$I$4,"'!N80"))="","",INDIRECT(CONCATENATE("'",'Inconsistency Data'!$I$4,"'!N80")))</f>
        <v/>
      </c>
      <c r="J80" s="127" t="str">
        <f ca="1">IF(INDIRECT(CONCATENATE("'",'Inconsistency Data'!$I$4,"'!O80"))="","",INDIRECT(CONCATENATE("'",'Inconsistency Data'!$I$4,"'!O80")))</f>
        <v/>
      </c>
      <c r="K80" s="128" t="str">
        <f ca="1">IF(INDIRECT(CONCATENATE("'",'Inconsistency Data'!$I$4,"'!Q80"))="","",INDIRECT(CONCATENATE("'",'Inconsistency Data'!$I$4,"'!Q80")))</f>
        <v/>
      </c>
      <c r="L80" s="129"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6" t="str">
        <f>IF('Fixed Effects'!N81="","",'Fixed Effects'!N81)</f>
        <v/>
      </c>
      <c r="E81" s="127" t="str">
        <f>IF('Fixed Effects'!O81="","",'Fixed Effects'!O81)</f>
        <v/>
      </c>
      <c r="F81" s="128" t="str">
        <f>IF('Fixed Effects'!Q81="","",'Fixed Effects'!Q81)</f>
        <v/>
      </c>
      <c r="G81" s="129"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9" t="str">
        <f ca="1">IF(INDIRECT(CONCATENATE("'",'Inconsistency Data'!$I$4,"'!N81"))="","",INDIRECT(CONCATENATE("'",'Inconsistency Data'!$I$4,"'!N81")))</f>
        <v/>
      </c>
      <c r="J81" s="127" t="str">
        <f ca="1">IF(INDIRECT(CONCATENATE("'",'Inconsistency Data'!$I$4,"'!O81"))="","",INDIRECT(CONCATENATE("'",'Inconsistency Data'!$I$4,"'!O81")))</f>
        <v/>
      </c>
      <c r="K81" s="128" t="str">
        <f ca="1">IF(INDIRECT(CONCATENATE("'",'Inconsistency Data'!$I$4,"'!Q81"))="","",INDIRECT(CONCATENATE("'",'Inconsistency Data'!$I$4,"'!Q81")))</f>
        <v/>
      </c>
      <c r="L81" s="129"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6" t="str">
        <f>IF('Fixed Effects'!N82="","",'Fixed Effects'!N82)</f>
        <v/>
      </c>
      <c r="E82" s="127" t="str">
        <f>IF('Fixed Effects'!O82="","",'Fixed Effects'!O82)</f>
        <v/>
      </c>
      <c r="F82" s="128" t="str">
        <f>IF('Fixed Effects'!Q82="","",'Fixed Effects'!Q82)</f>
        <v/>
      </c>
      <c r="G82" s="129"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9" t="str">
        <f ca="1">IF(INDIRECT(CONCATENATE("'",'Inconsistency Data'!$I$4,"'!N82"))="","",INDIRECT(CONCATENATE("'",'Inconsistency Data'!$I$4,"'!N82")))</f>
        <v/>
      </c>
      <c r="J82" s="127" t="str">
        <f ca="1">IF(INDIRECT(CONCATENATE("'",'Inconsistency Data'!$I$4,"'!O82"))="","",INDIRECT(CONCATENATE("'",'Inconsistency Data'!$I$4,"'!O82")))</f>
        <v/>
      </c>
      <c r="K82" s="128" t="str">
        <f ca="1">IF(INDIRECT(CONCATENATE("'",'Inconsistency Data'!$I$4,"'!Q82"))="","",INDIRECT(CONCATENATE("'",'Inconsistency Data'!$I$4,"'!Q82")))</f>
        <v/>
      </c>
      <c r="L82" s="129"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6" t="str">
        <f>IF('Fixed Effects'!N83="","",'Fixed Effects'!N83)</f>
        <v/>
      </c>
      <c r="E83" s="127" t="str">
        <f>IF('Fixed Effects'!O83="","",'Fixed Effects'!O83)</f>
        <v/>
      </c>
      <c r="F83" s="128" t="str">
        <f>IF('Fixed Effects'!Q83="","",'Fixed Effects'!Q83)</f>
        <v/>
      </c>
      <c r="G83" s="129"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9" t="str">
        <f ca="1">IF(INDIRECT(CONCATENATE("'",'Inconsistency Data'!$I$4,"'!N83"))="","",INDIRECT(CONCATENATE("'",'Inconsistency Data'!$I$4,"'!N83")))</f>
        <v/>
      </c>
      <c r="J83" s="127" t="str">
        <f ca="1">IF(INDIRECT(CONCATENATE("'",'Inconsistency Data'!$I$4,"'!O83"))="","",INDIRECT(CONCATENATE("'",'Inconsistency Data'!$I$4,"'!O83")))</f>
        <v/>
      </c>
      <c r="K83" s="128" t="str">
        <f ca="1">IF(INDIRECT(CONCATENATE("'",'Inconsistency Data'!$I$4,"'!Q83"))="","",INDIRECT(CONCATENATE("'",'Inconsistency Data'!$I$4,"'!Q83")))</f>
        <v/>
      </c>
      <c r="L83" s="129"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6" t="str">
        <f>IF('Fixed Effects'!N84="","",'Fixed Effects'!N84)</f>
        <v/>
      </c>
      <c r="E84" s="127" t="str">
        <f>IF('Fixed Effects'!O84="","",'Fixed Effects'!O84)</f>
        <v/>
      </c>
      <c r="F84" s="128" t="str">
        <f>IF('Fixed Effects'!Q84="","",'Fixed Effects'!Q84)</f>
        <v/>
      </c>
      <c r="G84" s="129"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9" t="str">
        <f ca="1">IF(INDIRECT(CONCATENATE("'",'Inconsistency Data'!$I$4,"'!N84"))="","",INDIRECT(CONCATENATE("'",'Inconsistency Data'!$I$4,"'!N84")))</f>
        <v/>
      </c>
      <c r="J84" s="127" t="str">
        <f ca="1">IF(INDIRECT(CONCATENATE("'",'Inconsistency Data'!$I$4,"'!O84"))="","",INDIRECT(CONCATENATE("'",'Inconsistency Data'!$I$4,"'!O84")))</f>
        <v/>
      </c>
      <c r="K84" s="128" t="str">
        <f ca="1">IF(INDIRECT(CONCATENATE("'",'Inconsistency Data'!$I$4,"'!Q84"))="","",INDIRECT(CONCATENATE("'",'Inconsistency Data'!$I$4,"'!Q84")))</f>
        <v/>
      </c>
      <c r="L84" s="129"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6" t="str">
        <f>IF('Fixed Effects'!N85="","",'Fixed Effects'!N85)</f>
        <v/>
      </c>
      <c r="E85" s="127" t="str">
        <f>IF('Fixed Effects'!O85="","",'Fixed Effects'!O85)</f>
        <v/>
      </c>
      <c r="F85" s="128" t="str">
        <f>IF('Fixed Effects'!Q85="","",'Fixed Effects'!Q85)</f>
        <v/>
      </c>
      <c r="G85" s="129"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9" t="str">
        <f ca="1">IF(INDIRECT(CONCATENATE("'",'Inconsistency Data'!$I$4,"'!N85"))="","",INDIRECT(CONCATENATE("'",'Inconsistency Data'!$I$4,"'!N85")))</f>
        <v/>
      </c>
      <c r="J85" s="127" t="str">
        <f ca="1">IF(INDIRECT(CONCATENATE("'",'Inconsistency Data'!$I$4,"'!O85"))="","",INDIRECT(CONCATENATE("'",'Inconsistency Data'!$I$4,"'!O85")))</f>
        <v/>
      </c>
      <c r="K85" s="128" t="str">
        <f ca="1">IF(INDIRECT(CONCATENATE("'",'Inconsistency Data'!$I$4,"'!Q85"))="","",INDIRECT(CONCATENATE("'",'Inconsistency Data'!$I$4,"'!Q85")))</f>
        <v/>
      </c>
      <c r="L85" s="129"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6" t="str">
        <f>IF('Fixed Effects'!N86="","",'Fixed Effects'!N86)</f>
        <v/>
      </c>
      <c r="E86" s="127" t="str">
        <f>IF('Fixed Effects'!O86="","",'Fixed Effects'!O86)</f>
        <v/>
      </c>
      <c r="F86" s="128" t="str">
        <f>IF('Fixed Effects'!Q86="","",'Fixed Effects'!Q86)</f>
        <v/>
      </c>
      <c r="G86" s="129"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9" t="str">
        <f ca="1">IF(INDIRECT(CONCATENATE("'",'Inconsistency Data'!$I$4,"'!N86"))="","",INDIRECT(CONCATENATE("'",'Inconsistency Data'!$I$4,"'!N86")))</f>
        <v/>
      </c>
      <c r="J86" s="127" t="str">
        <f ca="1">IF(INDIRECT(CONCATENATE("'",'Inconsistency Data'!$I$4,"'!O86"))="","",INDIRECT(CONCATENATE("'",'Inconsistency Data'!$I$4,"'!O86")))</f>
        <v/>
      </c>
      <c r="K86" s="128" t="str">
        <f ca="1">IF(INDIRECT(CONCATENATE("'",'Inconsistency Data'!$I$4,"'!Q86"))="","",INDIRECT(CONCATENATE("'",'Inconsistency Data'!$I$4,"'!Q86")))</f>
        <v/>
      </c>
      <c r="L86" s="129"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6" t="str">
        <f>IF('Fixed Effects'!N87="","",'Fixed Effects'!N87)</f>
        <v/>
      </c>
      <c r="E87" s="127" t="str">
        <f>IF('Fixed Effects'!O87="","",'Fixed Effects'!O87)</f>
        <v/>
      </c>
      <c r="F87" s="128" t="str">
        <f>IF('Fixed Effects'!Q87="","",'Fixed Effects'!Q87)</f>
        <v/>
      </c>
      <c r="G87" s="129"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9" t="str">
        <f ca="1">IF(INDIRECT(CONCATENATE("'",'Inconsistency Data'!$I$4,"'!N87"))="","",INDIRECT(CONCATENATE("'",'Inconsistency Data'!$I$4,"'!N87")))</f>
        <v/>
      </c>
      <c r="J87" s="127" t="str">
        <f ca="1">IF(INDIRECT(CONCATENATE("'",'Inconsistency Data'!$I$4,"'!O87"))="","",INDIRECT(CONCATENATE("'",'Inconsistency Data'!$I$4,"'!O87")))</f>
        <v/>
      </c>
      <c r="K87" s="128" t="str">
        <f ca="1">IF(INDIRECT(CONCATENATE("'",'Inconsistency Data'!$I$4,"'!Q87"))="","",INDIRECT(CONCATENATE("'",'Inconsistency Data'!$I$4,"'!Q87")))</f>
        <v/>
      </c>
      <c r="L87" s="129"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6" t="str">
        <f>IF('Fixed Effects'!N88="","",'Fixed Effects'!N88)</f>
        <v/>
      </c>
      <c r="E88" s="127" t="str">
        <f>IF('Fixed Effects'!O88="","",'Fixed Effects'!O88)</f>
        <v/>
      </c>
      <c r="F88" s="128" t="str">
        <f>IF('Fixed Effects'!Q88="","",'Fixed Effects'!Q88)</f>
        <v/>
      </c>
      <c r="G88" s="129"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9" t="str">
        <f ca="1">IF(INDIRECT(CONCATENATE("'",'Inconsistency Data'!$I$4,"'!N88"))="","",INDIRECT(CONCATENATE("'",'Inconsistency Data'!$I$4,"'!N88")))</f>
        <v/>
      </c>
      <c r="J88" s="127" t="str">
        <f ca="1">IF(INDIRECT(CONCATENATE("'",'Inconsistency Data'!$I$4,"'!O88"))="","",INDIRECT(CONCATENATE("'",'Inconsistency Data'!$I$4,"'!O88")))</f>
        <v/>
      </c>
      <c r="K88" s="128" t="str">
        <f ca="1">IF(INDIRECT(CONCATENATE("'",'Inconsistency Data'!$I$4,"'!Q88"))="","",INDIRECT(CONCATENATE("'",'Inconsistency Data'!$I$4,"'!Q88")))</f>
        <v/>
      </c>
      <c r="L88" s="129"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6" t="str">
        <f>IF('Fixed Effects'!N89="","",'Fixed Effects'!N89)</f>
        <v/>
      </c>
      <c r="E89" s="127" t="str">
        <f>IF('Fixed Effects'!O89="","",'Fixed Effects'!O89)</f>
        <v/>
      </c>
      <c r="F89" s="128" t="str">
        <f>IF('Fixed Effects'!Q89="","",'Fixed Effects'!Q89)</f>
        <v/>
      </c>
      <c r="G89" s="129"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9" t="str">
        <f ca="1">IF(INDIRECT(CONCATENATE("'",'Inconsistency Data'!$I$4,"'!N89"))="","",INDIRECT(CONCATENATE("'",'Inconsistency Data'!$I$4,"'!N89")))</f>
        <v/>
      </c>
      <c r="J89" s="127" t="str">
        <f ca="1">IF(INDIRECT(CONCATENATE("'",'Inconsistency Data'!$I$4,"'!O89"))="","",INDIRECT(CONCATENATE("'",'Inconsistency Data'!$I$4,"'!O89")))</f>
        <v/>
      </c>
      <c r="K89" s="128" t="str">
        <f ca="1">IF(INDIRECT(CONCATENATE("'",'Inconsistency Data'!$I$4,"'!Q89"))="","",INDIRECT(CONCATENATE("'",'Inconsistency Data'!$I$4,"'!Q89")))</f>
        <v/>
      </c>
      <c r="L89" s="129"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6" t="str">
        <f>IF('Fixed Effects'!N90="","",'Fixed Effects'!N90)</f>
        <v/>
      </c>
      <c r="E90" s="127" t="str">
        <f>IF('Fixed Effects'!O90="","",'Fixed Effects'!O90)</f>
        <v/>
      </c>
      <c r="F90" s="128" t="str">
        <f>IF('Fixed Effects'!Q90="","",'Fixed Effects'!Q90)</f>
        <v/>
      </c>
      <c r="G90" s="129"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9" t="str">
        <f ca="1">IF(INDIRECT(CONCATENATE("'",'Inconsistency Data'!$I$4,"'!N90"))="","",INDIRECT(CONCATENATE("'",'Inconsistency Data'!$I$4,"'!N90")))</f>
        <v/>
      </c>
      <c r="J90" s="127" t="str">
        <f ca="1">IF(INDIRECT(CONCATENATE("'",'Inconsistency Data'!$I$4,"'!O90"))="","",INDIRECT(CONCATENATE("'",'Inconsistency Data'!$I$4,"'!O90")))</f>
        <v/>
      </c>
      <c r="K90" s="128" t="str">
        <f ca="1">IF(INDIRECT(CONCATENATE("'",'Inconsistency Data'!$I$4,"'!Q90"))="","",INDIRECT(CONCATENATE("'",'Inconsistency Data'!$I$4,"'!Q90")))</f>
        <v/>
      </c>
      <c r="L90" s="129"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6" t="str">
        <f>IF('Fixed Effects'!N91="","",'Fixed Effects'!N91)</f>
        <v/>
      </c>
      <c r="E91" s="127" t="str">
        <f>IF('Fixed Effects'!O91="","",'Fixed Effects'!O91)</f>
        <v/>
      </c>
      <c r="F91" s="128" t="str">
        <f>IF('Fixed Effects'!Q91="","",'Fixed Effects'!Q91)</f>
        <v/>
      </c>
      <c r="G91" s="129"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9" t="str">
        <f ca="1">IF(INDIRECT(CONCATENATE("'",'Inconsistency Data'!$I$4,"'!N91"))="","",INDIRECT(CONCATENATE("'",'Inconsistency Data'!$I$4,"'!N91")))</f>
        <v/>
      </c>
      <c r="J91" s="127" t="str">
        <f ca="1">IF(INDIRECT(CONCATENATE("'",'Inconsistency Data'!$I$4,"'!O91"))="","",INDIRECT(CONCATENATE("'",'Inconsistency Data'!$I$4,"'!O91")))</f>
        <v/>
      </c>
      <c r="K91" s="128" t="str">
        <f ca="1">IF(INDIRECT(CONCATENATE("'",'Inconsistency Data'!$I$4,"'!Q91"))="","",INDIRECT(CONCATENATE("'",'Inconsistency Data'!$I$4,"'!Q91")))</f>
        <v/>
      </c>
      <c r="L91" s="129"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6" t="str">
        <f>IF('Fixed Effects'!N92="","",'Fixed Effects'!N92)</f>
        <v/>
      </c>
      <c r="E92" s="127" t="str">
        <f>IF('Fixed Effects'!O92="","",'Fixed Effects'!O92)</f>
        <v/>
      </c>
      <c r="F92" s="128" t="str">
        <f>IF('Fixed Effects'!Q92="","",'Fixed Effects'!Q92)</f>
        <v/>
      </c>
      <c r="G92" s="129"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9" t="str">
        <f ca="1">IF(INDIRECT(CONCATENATE("'",'Inconsistency Data'!$I$4,"'!N92"))="","",INDIRECT(CONCATENATE("'",'Inconsistency Data'!$I$4,"'!N92")))</f>
        <v/>
      </c>
      <c r="J92" s="127" t="str">
        <f ca="1">IF(INDIRECT(CONCATENATE("'",'Inconsistency Data'!$I$4,"'!O92"))="","",INDIRECT(CONCATENATE("'",'Inconsistency Data'!$I$4,"'!O92")))</f>
        <v/>
      </c>
      <c r="K92" s="128" t="str">
        <f ca="1">IF(INDIRECT(CONCATENATE("'",'Inconsistency Data'!$I$4,"'!Q92"))="","",INDIRECT(CONCATENATE("'",'Inconsistency Data'!$I$4,"'!Q92")))</f>
        <v/>
      </c>
      <c r="L92" s="129"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6" t="str">
        <f>IF('Fixed Effects'!N93="","",'Fixed Effects'!N93)</f>
        <v/>
      </c>
      <c r="E93" s="127" t="str">
        <f>IF('Fixed Effects'!O93="","",'Fixed Effects'!O93)</f>
        <v/>
      </c>
      <c r="F93" s="128" t="str">
        <f>IF('Fixed Effects'!Q93="","",'Fixed Effects'!Q93)</f>
        <v/>
      </c>
      <c r="G93" s="129"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9" t="str">
        <f ca="1">IF(INDIRECT(CONCATENATE("'",'Inconsistency Data'!$I$4,"'!N93"))="","",INDIRECT(CONCATENATE("'",'Inconsistency Data'!$I$4,"'!N93")))</f>
        <v/>
      </c>
      <c r="J93" s="127" t="str">
        <f ca="1">IF(INDIRECT(CONCATENATE("'",'Inconsistency Data'!$I$4,"'!O93"))="","",INDIRECT(CONCATENATE("'",'Inconsistency Data'!$I$4,"'!O93")))</f>
        <v/>
      </c>
      <c r="K93" s="128" t="str">
        <f ca="1">IF(INDIRECT(CONCATENATE("'",'Inconsistency Data'!$I$4,"'!Q93"))="","",INDIRECT(CONCATENATE("'",'Inconsistency Data'!$I$4,"'!Q93")))</f>
        <v/>
      </c>
      <c r="L93" s="129"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6" t="str">
        <f>IF('Fixed Effects'!N94="","",'Fixed Effects'!N94)</f>
        <v/>
      </c>
      <c r="E94" s="127" t="str">
        <f>IF('Fixed Effects'!O94="","",'Fixed Effects'!O94)</f>
        <v/>
      </c>
      <c r="F94" s="128" t="str">
        <f>IF('Fixed Effects'!Q94="","",'Fixed Effects'!Q94)</f>
        <v/>
      </c>
      <c r="G94" s="129"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9" t="str">
        <f ca="1">IF(INDIRECT(CONCATENATE("'",'Inconsistency Data'!$I$4,"'!N94"))="","",INDIRECT(CONCATENATE("'",'Inconsistency Data'!$I$4,"'!N94")))</f>
        <v/>
      </c>
      <c r="J94" s="127" t="str">
        <f ca="1">IF(INDIRECT(CONCATENATE("'",'Inconsistency Data'!$I$4,"'!O94"))="","",INDIRECT(CONCATENATE("'",'Inconsistency Data'!$I$4,"'!O94")))</f>
        <v/>
      </c>
      <c r="K94" s="128" t="str">
        <f ca="1">IF(INDIRECT(CONCATENATE("'",'Inconsistency Data'!$I$4,"'!Q94"))="","",INDIRECT(CONCATENATE("'",'Inconsistency Data'!$I$4,"'!Q94")))</f>
        <v/>
      </c>
      <c r="L94" s="129"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6" t="str">
        <f>IF('Fixed Effects'!N95="","",'Fixed Effects'!N95)</f>
        <v/>
      </c>
      <c r="E95" s="127" t="str">
        <f>IF('Fixed Effects'!O95="","",'Fixed Effects'!O95)</f>
        <v/>
      </c>
      <c r="F95" s="128" t="str">
        <f>IF('Fixed Effects'!Q95="","",'Fixed Effects'!Q95)</f>
        <v/>
      </c>
      <c r="G95" s="129"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9" t="str">
        <f ca="1">IF(INDIRECT(CONCATENATE("'",'Inconsistency Data'!$I$4,"'!N95"))="","",INDIRECT(CONCATENATE("'",'Inconsistency Data'!$I$4,"'!N95")))</f>
        <v/>
      </c>
      <c r="J95" s="127" t="str">
        <f ca="1">IF(INDIRECT(CONCATENATE("'",'Inconsistency Data'!$I$4,"'!O95"))="","",INDIRECT(CONCATENATE("'",'Inconsistency Data'!$I$4,"'!O95")))</f>
        <v/>
      </c>
      <c r="K95" s="128" t="str">
        <f ca="1">IF(INDIRECT(CONCATENATE("'",'Inconsistency Data'!$I$4,"'!Q95"))="","",INDIRECT(CONCATENATE("'",'Inconsistency Data'!$I$4,"'!Q95")))</f>
        <v/>
      </c>
      <c r="L95" s="129"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6" t="str">
        <f>IF('Fixed Effects'!N96="","",'Fixed Effects'!N96)</f>
        <v/>
      </c>
      <c r="E96" s="127" t="str">
        <f>IF('Fixed Effects'!O96="","",'Fixed Effects'!O96)</f>
        <v/>
      </c>
      <c r="F96" s="128" t="str">
        <f>IF('Fixed Effects'!Q96="","",'Fixed Effects'!Q96)</f>
        <v/>
      </c>
      <c r="G96" s="129"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9" t="str">
        <f ca="1">IF(INDIRECT(CONCATENATE("'",'Inconsistency Data'!$I$4,"'!N96"))="","",INDIRECT(CONCATENATE("'",'Inconsistency Data'!$I$4,"'!N96")))</f>
        <v/>
      </c>
      <c r="J96" s="127" t="str">
        <f ca="1">IF(INDIRECT(CONCATENATE("'",'Inconsistency Data'!$I$4,"'!O96"))="","",INDIRECT(CONCATENATE("'",'Inconsistency Data'!$I$4,"'!O96")))</f>
        <v/>
      </c>
      <c r="K96" s="128" t="str">
        <f ca="1">IF(INDIRECT(CONCATENATE("'",'Inconsistency Data'!$I$4,"'!Q96"))="","",INDIRECT(CONCATENATE("'",'Inconsistency Data'!$I$4,"'!Q96")))</f>
        <v/>
      </c>
      <c r="L96" s="129"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6" t="str">
        <f>IF('Fixed Effects'!N97="","",'Fixed Effects'!N97)</f>
        <v/>
      </c>
      <c r="E97" s="127" t="str">
        <f>IF('Fixed Effects'!O97="","",'Fixed Effects'!O97)</f>
        <v/>
      </c>
      <c r="F97" s="128" t="str">
        <f>IF('Fixed Effects'!Q97="","",'Fixed Effects'!Q97)</f>
        <v/>
      </c>
      <c r="G97" s="129"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9" t="str">
        <f ca="1">IF(INDIRECT(CONCATENATE("'",'Inconsistency Data'!$I$4,"'!N97"))="","",INDIRECT(CONCATENATE("'",'Inconsistency Data'!$I$4,"'!N97")))</f>
        <v/>
      </c>
      <c r="J97" s="127" t="str">
        <f ca="1">IF(INDIRECT(CONCATENATE("'",'Inconsistency Data'!$I$4,"'!O97"))="","",INDIRECT(CONCATENATE("'",'Inconsistency Data'!$I$4,"'!O97")))</f>
        <v/>
      </c>
      <c r="K97" s="128" t="str">
        <f ca="1">IF(INDIRECT(CONCATENATE("'",'Inconsistency Data'!$I$4,"'!Q97"))="","",INDIRECT(CONCATENATE("'",'Inconsistency Data'!$I$4,"'!Q97")))</f>
        <v/>
      </c>
      <c r="L97" s="129"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6" t="str">
        <f>IF('Fixed Effects'!N98="","",'Fixed Effects'!N98)</f>
        <v/>
      </c>
      <c r="E98" s="127" t="str">
        <f>IF('Fixed Effects'!O98="","",'Fixed Effects'!O98)</f>
        <v/>
      </c>
      <c r="F98" s="128" t="str">
        <f>IF('Fixed Effects'!Q98="","",'Fixed Effects'!Q98)</f>
        <v/>
      </c>
      <c r="G98" s="129"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9" t="str">
        <f ca="1">IF(INDIRECT(CONCATENATE("'",'Inconsistency Data'!$I$4,"'!N98"))="","",INDIRECT(CONCATENATE("'",'Inconsistency Data'!$I$4,"'!N98")))</f>
        <v/>
      </c>
      <c r="J98" s="127" t="str">
        <f ca="1">IF(INDIRECT(CONCATENATE("'",'Inconsistency Data'!$I$4,"'!O98"))="","",INDIRECT(CONCATENATE("'",'Inconsistency Data'!$I$4,"'!O98")))</f>
        <v/>
      </c>
      <c r="K98" s="128" t="str">
        <f ca="1">IF(INDIRECT(CONCATENATE("'",'Inconsistency Data'!$I$4,"'!Q98"))="","",INDIRECT(CONCATENATE("'",'Inconsistency Data'!$I$4,"'!Q98")))</f>
        <v/>
      </c>
      <c r="L98" s="129"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6" t="str">
        <f>IF('Fixed Effects'!N99="","",'Fixed Effects'!N99)</f>
        <v/>
      </c>
      <c r="E99" s="127" t="str">
        <f>IF('Fixed Effects'!O99="","",'Fixed Effects'!O99)</f>
        <v/>
      </c>
      <c r="F99" s="128" t="str">
        <f>IF('Fixed Effects'!Q99="","",'Fixed Effects'!Q99)</f>
        <v/>
      </c>
      <c r="G99" s="129"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9" t="str">
        <f ca="1">IF(INDIRECT(CONCATENATE("'",'Inconsistency Data'!$I$4,"'!N99"))="","",INDIRECT(CONCATENATE("'",'Inconsistency Data'!$I$4,"'!N99")))</f>
        <v/>
      </c>
      <c r="J99" s="127" t="str">
        <f ca="1">IF(INDIRECT(CONCATENATE("'",'Inconsistency Data'!$I$4,"'!O99"))="","",INDIRECT(CONCATENATE("'",'Inconsistency Data'!$I$4,"'!O99")))</f>
        <v/>
      </c>
      <c r="K99" s="128" t="str">
        <f ca="1">IF(INDIRECT(CONCATENATE("'",'Inconsistency Data'!$I$4,"'!Q99"))="","",INDIRECT(CONCATENATE("'",'Inconsistency Data'!$I$4,"'!Q99")))</f>
        <v/>
      </c>
      <c r="L99" s="129"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6" t="str">
        <f>IF('Fixed Effects'!N100="","",'Fixed Effects'!N100)</f>
        <v/>
      </c>
      <c r="E100" s="127" t="str">
        <f>IF('Fixed Effects'!O100="","",'Fixed Effects'!O100)</f>
        <v/>
      </c>
      <c r="F100" s="128" t="str">
        <f>IF('Fixed Effects'!Q100="","",'Fixed Effects'!Q100)</f>
        <v/>
      </c>
      <c r="G100" s="129"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9" t="str">
        <f ca="1">IF(INDIRECT(CONCATENATE("'",'Inconsistency Data'!$I$4,"'!N100"))="","",INDIRECT(CONCATENATE("'",'Inconsistency Data'!$I$4,"'!N100")))</f>
        <v/>
      </c>
      <c r="J100" s="127" t="str">
        <f ca="1">IF(INDIRECT(CONCATENATE("'",'Inconsistency Data'!$I$4,"'!O100"))="","",INDIRECT(CONCATENATE("'",'Inconsistency Data'!$I$4,"'!O100")))</f>
        <v/>
      </c>
      <c r="K100" s="128" t="str">
        <f ca="1">IF(INDIRECT(CONCATENATE("'",'Inconsistency Data'!$I$4,"'!Q100"))="","",INDIRECT(CONCATENATE("'",'Inconsistency Data'!$I$4,"'!Q100")))</f>
        <v/>
      </c>
      <c r="L100" s="129"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6" t="str">
        <f>IF('Fixed Effects'!N101="","",'Fixed Effects'!N101)</f>
        <v/>
      </c>
      <c r="E101" s="127" t="str">
        <f>IF('Fixed Effects'!O101="","",'Fixed Effects'!O101)</f>
        <v/>
      </c>
      <c r="F101" s="128" t="str">
        <f>IF('Fixed Effects'!Q101="","",'Fixed Effects'!Q101)</f>
        <v/>
      </c>
      <c r="G101" s="129"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9" t="str">
        <f ca="1">IF(INDIRECT(CONCATENATE("'",'Inconsistency Data'!$I$4,"'!N101"))="","",INDIRECT(CONCATENATE("'",'Inconsistency Data'!$I$4,"'!N101")))</f>
        <v/>
      </c>
      <c r="J101" s="127" t="str">
        <f ca="1">IF(INDIRECT(CONCATENATE("'",'Inconsistency Data'!$I$4,"'!O101"))="","",INDIRECT(CONCATENATE("'",'Inconsistency Data'!$I$4,"'!O101")))</f>
        <v/>
      </c>
      <c r="K101" s="128" t="str">
        <f ca="1">IF(INDIRECT(CONCATENATE("'",'Inconsistency Data'!$I$4,"'!Q101"))="","",INDIRECT(CONCATENATE("'",'Inconsistency Data'!$I$4,"'!Q101")))</f>
        <v/>
      </c>
      <c r="L101" s="129"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6" t="str">
        <f>IF('Fixed Effects'!N102="","",'Fixed Effects'!N102)</f>
        <v/>
      </c>
      <c r="E102" s="127" t="str">
        <f>IF('Fixed Effects'!O102="","",'Fixed Effects'!O102)</f>
        <v/>
      </c>
      <c r="F102" s="128" t="str">
        <f>IF('Fixed Effects'!Q102="","",'Fixed Effects'!Q102)</f>
        <v/>
      </c>
      <c r="G102" s="129"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9" t="str">
        <f ca="1">IF(INDIRECT(CONCATENATE("'",'Inconsistency Data'!$I$4,"'!N102"))="","",INDIRECT(CONCATENATE("'",'Inconsistency Data'!$I$4,"'!N102")))</f>
        <v/>
      </c>
      <c r="J102" s="127" t="str">
        <f ca="1">IF(INDIRECT(CONCATENATE("'",'Inconsistency Data'!$I$4,"'!O102"))="","",INDIRECT(CONCATENATE("'",'Inconsistency Data'!$I$4,"'!O102")))</f>
        <v/>
      </c>
      <c r="K102" s="128" t="str">
        <f ca="1">IF(INDIRECT(CONCATENATE("'",'Inconsistency Data'!$I$4,"'!Q102"))="","",INDIRECT(CONCATENATE("'",'Inconsistency Data'!$I$4,"'!Q102")))</f>
        <v/>
      </c>
      <c r="L102" s="129"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6" t="str">
        <f>IF('Fixed Effects'!N103="","",'Fixed Effects'!N103)</f>
        <v/>
      </c>
      <c r="E103" s="127" t="str">
        <f>IF('Fixed Effects'!O103="","",'Fixed Effects'!O103)</f>
        <v/>
      </c>
      <c r="F103" s="128" t="str">
        <f>IF('Fixed Effects'!Q103="","",'Fixed Effects'!Q103)</f>
        <v/>
      </c>
      <c r="G103" s="129"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9" t="str">
        <f ca="1">IF(INDIRECT(CONCATENATE("'",'Inconsistency Data'!$I$4,"'!N103"))="","",INDIRECT(CONCATENATE("'",'Inconsistency Data'!$I$4,"'!N103")))</f>
        <v/>
      </c>
      <c r="J103" s="127" t="str">
        <f ca="1">IF(INDIRECT(CONCATENATE("'",'Inconsistency Data'!$I$4,"'!O103"))="","",INDIRECT(CONCATENATE("'",'Inconsistency Data'!$I$4,"'!O103")))</f>
        <v/>
      </c>
      <c r="K103" s="128" t="str">
        <f ca="1">IF(INDIRECT(CONCATENATE("'",'Inconsistency Data'!$I$4,"'!Q103"))="","",INDIRECT(CONCATENATE("'",'Inconsistency Data'!$I$4,"'!Q103")))</f>
        <v/>
      </c>
      <c r="L103" s="129"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6" t="str">
        <f>IF('Fixed Effects'!N104="","",'Fixed Effects'!N104)</f>
        <v/>
      </c>
      <c r="E104" s="127" t="str">
        <f>IF('Fixed Effects'!O104="","",'Fixed Effects'!O104)</f>
        <v/>
      </c>
      <c r="F104" s="128" t="str">
        <f>IF('Fixed Effects'!Q104="","",'Fixed Effects'!Q104)</f>
        <v/>
      </c>
      <c r="G104" s="129"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9" t="str">
        <f ca="1">IF(INDIRECT(CONCATENATE("'",'Inconsistency Data'!$I$4,"'!N104"))="","",INDIRECT(CONCATENATE("'",'Inconsistency Data'!$I$4,"'!N104")))</f>
        <v/>
      </c>
      <c r="J104" s="127" t="str">
        <f ca="1">IF(INDIRECT(CONCATENATE("'",'Inconsistency Data'!$I$4,"'!O104"))="","",INDIRECT(CONCATENATE("'",'Inconsistency Data'!$I$4,"'!O104")))</f>
        <v/>
      </c>
      <c r="K104" s="128" t="str">
        <f ca="1">IF(INDIRECT(CONCATENATE("'",'Inconsistency Data'!$I$4,"'!Q104"))="","",INDIRECT(CONCATENATE("'",'Inconsistency Data'!$I$4,"'!Q104")))</f>
        <v/>
      </c>
      <c r="L104" s="129"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6" t="str">
        <f>IF('Fixed Effects'!N105="","",'Fixed Effects'!N105)</f>
        <v/>
      </c>
      <c r="E105" s="127" t="str">
        <f>IF('Fixed Effects'!O105="","",'Fixed Effects'!O105)</f>
        <v/>
      </c>
      <c r="F105" s="128" t="str">
        <f>IF('Fixed Effects'!Q105="","",'Fixed Effects'!Q105)</f>
        <v/>
      </c>
      <c r="G105" s="129"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9" t="str">
        <f ca="1">IF(INDIRECT(CONCATENATE("'",'Inconsistency Data'!$I$4,"'!N105"))="","",INDIRECT(CONCATENATE("'",'Inconsistency Data'!$I$4,"'!N105")))</f>
        <v/>
      </c>
      <c r="J105" s="127" t="str">
        <f ca="1">IF(INDIRECT(CONCATENATE("'",'Inconsistency Data'!$I$4,"'!O105"))="","",INDIRECT(CONCATENATE("'",'Inconsistency Data'!$I$4,"'!O105")))</f>
        <v/>
      </c>
      <c r="K105" s="128" t="str">
        <f ca="1">IF(INDIRECT(CONCATENATE("'",'Inconsistency Data'!$I$4,"'!Q105"))="","",INDIRECT(CONCATENATE("'",'Inconsistency Data'!$I$4,"'!Q105")))</f>
        <v/>
      </c>
      <c r="L105" s="129"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6" t="str">
        <f>IF('Fixed Effects'!N106="","",'Fixed Effects'!N106)</f>
        <v/>
      </c>
      <c r="E106" s="127" t="str">
        <f>IF('Fixed Effects'!O106="","",'Fixed Effects'!O106)</f>
        <v/>
      </c>
      <c r="F106" s="128" t="str">
        <f>IF('Fixed Effects'!Q106="","",'Fixed Effects'!Q106)</f>
        <v/>
      </c>
      <c r="G106" s="129"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9" t="str">
        <f ca="1">IF(INDIRECT(CONCATENATE("'",'Inconsistency Data'!$I$4,"'!N106"))="","",INDIRECT(CONCATENATE("'",'Inconsistency Data'!$I$4,"'!N106")))</f>
        <v/>
      </c>
      <c r="J106" s="127" t="str">
        <f ca="1">IF(INDIRECT(CONCATENATE("'",'Inconsistency Data'!$I$4,"'!O106"))="","",INDIRECT(CONCATENATE("'",'Inconsistency Data'!$I$4,"'!O106")))</f>
        <v/>
      </c>
      <c r="K106" s="128" t="str">
        <f ca="1">IF(INDIRECT(CONCATENATE("'",'Inconsistency Data'!$I$4,"'!Q106"))="","",INDIRECT(CONCATENATE("'",'Inconsistency Data'!$I$4,"'!Q106")))</f>
        <v/>
      </c>
      <c r="L106" s="129"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6" t="str">
        <f>IF('Fixed Effects'!N107="","",'Fixed Effects'!N107)</f>
        <v/>
      </c>
      <c r="E107" s="127" t="str">
        <f>IF('Fixed Effects'!O107="","",'Fixed Effects'!O107)</f>
        <v/>
      </c>
      <c r="F107" s="128" t="str">
        <f>IF('Fixed Effects'!Q107="","",'Fixed Effects'!Q107)</f>
        <v/>
      </c>
      <c r="G107" s="129"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9" t="str">
        <f ca="1">IF(INDIRECT(CONCATENATE("'",'Inconsistency Data'!$I$4,"'!N107"))="","",INDIRECT(CONCATENATE("'",'Inconsistency Data'!$I$4,"'!N107")))</f>
        <v/>
      </c>
      <c r="J107" s="127" t="str">
        <f ca="1">IF(INDIRECT(CONCATENATE("'",'Inconsistency Data'!$I$4,"'!O107"))="","",INDIRECT(CONCATENATE("'",'Inconsistency Data'!$I$4,"'!O107")))</f>
        <v/>
      </c>
      <c r="K107" s="128" t="str">
        <f ca="1">IF(INDIRECT(CONCATENATE("'",'Inconsistency Data'!$I$4,"'!Q107"))="","",INDIRECT(CONCATENATE("'",'Inconsistency Data'!$I$4,"'!Q107")))</f>
        <v/>
      </c>
      <c r="L107" s="129"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6" t="str">
        <f>IF('Fixed Effects'!N108="","",'Fixed Effects'!N108)</f>
        <v/>
      </c>
      <c r="E108" s="127" t="str">
        <f>IF('Fixed Effects'!O108="","",'Fixed Effects'!O108)</f>
        <v/>
      </c>
      <c r="F108" s="128" t="str">
        <f>IF('Fixed Effects'!Q108="","",'Fixed Effects'!Q108)</f>
        <v/>
      </c>
      <c r="G108" s="129"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9" t="str">
        <f ca="1">IF(INDIRECT(CONCATENATE("'",'Inconsistency Data'!$I$4,"'!N108"))="","",INDIRECT(CONCATENATE("'",'Inconsistency Data'!$I$4,"'!N108")))</f>
        <v/>
      </c>
      <c r="J108" s="127" t="str">
        <f ca="1">IF(INDIRECT(CONCATENATE("'",'Inconsistency Data'!$I$4,"'!O108"))="","",INDIRECT(CONCATENATE("'",'Inconsistency Data'!$I$4,"'!O108")))</f>
        <v/>
      </c>
      <c r="K108" s="128" t="str">
        <f ca="1">IF(INDIRECT(CONCATENATE("'",'Inconsistency Data'!$I$4,"'!Q108"))="","",INDIRECT(CONCATENATE("'",'Inconsistency Data'!$I$4,"'!Q108")))</f>
        <v/>
      </c>
      <c r="L108" s="129"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6" t="str">
        <f>IF('Fixed Effects'!N109="","",'Fixed Effects'!N109)</f>
        <v/>
      </c>
      <c r="E109" s="127" t="str">
        <f>IF('Fixed Effects'!O109="","",'Fixed Effects'!O109)</f>
        <v/>
      </c>
      <c r="F109" s="128" t="str">
        <f>IF('Fixed Effects'!Q109="","",'Fixed Effects'!Q109)</f>
        <v/>
      </c>
      <c r="G109" s="129"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9" t="str">
        <f ca="1">IF(INDIRECT(CONCATENATE("'",'Inconsistency Data'!$I$4,"'!N109"))="","",INDIRECT(CONCATENATE("'",'Inconsistency Data'!$I$4,"'!N109")))</f>
        <v/>
      </c>
      <c r="J109" s="127" t="str">
        <f ca="1">IF(INDIRECT(CONCATENATE("'",'Inconsistency Data'!$I$4,"'!O109"))="","",INDIRECT(CONCATENATE("'",'Inconsistency Data'!$I$4,"'!O109")))</f>
        <v/>
      </c>
      <c r="K109" s="128" t="str">
        <f ca="1">IF(INDIRECT(CONCATENATE("'",'Inconsistency Data'!$I$4,"'!Q109"))="","",INDIRECT(CONCATENATE("'",'Inconsistency Data'!$I$4,"'!Q109")))</f>
        <v/>
      </c>
      <c r="L109" s="129"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6" t="str">
        <f>IF('Fixed Effects'!N110="","",'Fixed Effects'!N110)</f>
        <v/>
      </c>
      <c r="E110" s="127" t="str">
        <f>IF('Fixed Effects'!O110="","",'Fixed Effects'!O110)</f>
        <v/>
      </c>
      <c r="F110" s="128" t="str">
        <f>IF('Fixed Effects'!Q110="","",'Fixed Effects'!Q110)</f>
        <v/>
      </c>
      <c r="G110" s="129"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9" t="str">
        <f ca="1">IF(INDIRECT(CONCATENATE("'",'Inconsistency Data'!$I$4,"'!N110"))="","",INDIRECT(CONCATENATE("'",'Inconsistency Data'!$I$4,"'!N110")))</f>
        <v/>
      </c>
      <c r="J110" s="127" t="str">
        <f ca="1">IF(INDIRECT(CONCATENATE("'",'Inconsistency Data'!$I$4,"'!O110"))="","",INDIRECT(CONCATENATE("'",'Inconsistency Data'!$I$4,"'!O110")))</f>
        <v/>
      </c>
      <c r="K110" s="128" t="str">
        <f ca="1">IF(INDIRECT(CONCATENATE("'",'Inconsistency Data'!$I$4,"'!Q110"))="","",INDIRECT(CONCATENATE("'",'Inconsistency Data'!$I$4,"'!Q110")))</f>
        <v/>
      </c>
      <c r="L110" s="129"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6" t="str">
        <f>IF('Fixed Effects'!N111="","",'Fixed Effects'!N111)</f>
        <v/>
      </c>
      <c r="E111" s="127" t="str">
        <f>IF('Fixed Effects'!O111="","",'Fixed Effects'!O111)</f>
        <v/>
      </c>
      <c r="F111" s="128" t="str">
        <f>IF('Fixed Effects'!Q111="","",'Fixed Effects'!Q111)</f>
        <v/>
      </c>
      <c r="G111" s="129"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9" t="str">
        <f ca="1">IF(INDIRECT(CONCATENATE("'",'Inconsistency Data'!$I$4,"'!N111"))="","",INDIRECT(CONCATENATE("'",'Inconsistency Data'!$I$4,"'!N111")))</f>
        <v/>
      </c>
      <c r="J111" s="127" t="str">
        <f ca="1">IF(INDIRECT(CONCATENATE("'",'Inconsistency Data'!$I$4,"'!O111"))="","",INDIRECT(CONCATENATE("'",'Inconsistency Data'!$I$4,"'!O111")))</f>
        <v/>
      </c>
      <c r="K111" s="128" t="str">
        <f ca="1">IF(INDIRECT(CONCATENATE("'",'Inconsistency Data'!$I$4,"'!Q111"))="","",INDIRECT(CONCATENATE("'",'Inconsistency Data'!$I$4,"'!Q111")))</f>
        <v/>
      </c>
      <c r="L111" s="129"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6" t="str">
        <f>IF('Fixed Effects'!N112="","",'Fixed Effects'!N112)</f>
        <v/>
      </c>
      <c r="E112" s="127" t="str">
        <f>IF('Fixed Effects'!O112="","",'Fixed Effects'!O112)</f>
        <v/>
      </c>
      <c r="F112" s="128" t="str">
        <f>IF('Fixed Effects'!Q112="","",'Fixed Effects'!Q112)</f>
        <v/>
      </c>
      <c r="G112" s="129"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9" t="str">
        <f ca="1">IF(INDIRECT(CONCATENATE("'",'Inconsistency Data'!$I$4,"'!N112"))="","",INDIRECT(CONCATENATE("'",'Inconsistency Data'!$I$4,"'!N112")))</f>
        <v/>
      </c>
      <c r="J112" s="127" t="str">
        <f ca="1">IF(INDIRECT(CONCATENATE("'",'Inconsistency Data'!$I$4,"'!O112"))="","",INDIRECT(CONCATENATE("'",'Inconsistency Data'!$I$4,"'!O112")))</f>
        <v/>
      </c>
      <c r="K112" s="128" t="str">
        <f ca="1">IF(INDIRECT(CONCATENATE("'",'Inconsistency Data'!$I$4,"'!Q112"))="","",INDIRECT(CONCATENATE("'",'Inconsistency Data'!$I$4,"'!Q112")))</f>
        <v/>
      </c>
      <c r="L112" s="129"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6" t="str">
        <f>IF('Fixed Effects'!N113="","",'Fixed Effects'!N113)</f>
        <v/>
      </c>
      <c r="E113" s="127" t="str">
        <f>IF('Fixed Effects'!O113="","",'Fixed Effects'!O113)</f>
        <v/>
      </c>
      <c r="F113" s="128" t="str">
        <f>IF('Fixed Effects'!Q113="","",'Fixed Effects'!Q113)</f>
        <v/>
      </c>
      <c r="G113" s="129"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9" t="str">
        <f ca="1">IF(INDIRECT(CONCATENATE("'",'Inconsistency Data'!$I$4,"'!N113"))="","",INDIRECT(CONCATENATE("'",'Inconsistency Data'!$I$4,"'!N113")))</f>
        <v/>
      </c>
      <c r="J113" s="127" t="str">
        <f ca="1">IF(INDIRECT(CONCATENATE("'",'Inconsistency Data'!$I$4,"'!O113"))="","",INDIRECT(CONCATENATE("'",'Inconsistency Data'!$I$4,"'!O113")))</f>
        <v/>
      </c>
      <c r="K113" s="128" t="str">
        <f ca="1">IF(INDIRECT(CONCATENATE("'",'Inconsistency Data'!$I$4,"'!Q113"))="","",INDIRECT(CONCATENATE("'",'Inconsistency Data'!$I$4,"'!Q113")))</f>
        <v/>
      </c>
      <c r="L113" s="129"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6" t="str">
        <f>IF('Fixed Effects'!N114="","",'Fixed Effects'!N114)</f>
        <v/>
      </c>
      <c r="E114" s="127" t="str">
        <f>IF('Fixed Effects'!O114="","",'Fixed Effects'!O114)</f>
        <v/>
      </c>
      <c r="F114" s="128" t="str">
        <f>IF('Fixed Effects'!Q114="","",'Fixed Effects'!Q114)</f>
        <v/>
      </c>
      <c r="G114" s="129"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9" t="str">
        <f ca="1">IF(INDIRECT(CONCATENATE("'",'Inconsistency Data'!$I$4,"'!N114"))="","",INDIRECT(CONCATENATE("'",'Inconsistency Data'!$I$4,"'!N114")))</f>
        <v/>
      </c>
      <c r="J114" s="127" t="str">
        <f ca="1">IF(INDIRECT(CONCATENATE("'",'Inconsistency Data'!$I$4,"'!O114"))="","",INDIRECT(CONCATENATE("'",'Inconsistency Data'!$I$4,"'!O114")))</f>
        <v/>
      </c>
      <c r="K114" s="128" t="str">
        <f ca="1">IF(INDIRECT(CONCATENATE("'",'Inconsistency Data'!$I$4,"'!Q114"))="","",INDIRECT(CONCATENATE("'",'Inconsistency Data'!$I$4,"'!Q114")))</f>
        <v/>
      </c>
      <c r="L114" s="129"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6" t="str">
        <f>IF('Fixed Effects'!N115="","",'Fixed Effects'!N115)</f>
        <v/>
      </c>
      <c r="E115" s="127" t="str">
        <f>IF('Fixed Effects'!O115="","",'Fixed Effects'!O115)</f>
        <v/>
      </c>
      <c r="F115" s="128" t="str">
        <f>IF('Fixed Effects'!Q115="","",'Fixed Effects'!Q115)</f>
        <v/>
      </c>
      <c r="G115" s="129"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9" t="str">
        <f ca="1">IF(INDIRECT(CONCATENATE("'",'Inconsistency Data'!$I$4,"'!N115"))="","",INDIRECT(CONCATENATE("'",'Inconsistency Data'!$I$4,"'!N115")))</f>
        <v/>
      </c>
      <c r="J115" s="127" t="str">
        <f ca="1">IF(INDIRECT(CONCATENATE("'",'Inconsistency Data'!$I$4,"'!O115"))="","",INDIRECT(CONCATENATE("'",'Inconsistency Data'!$I$4,"'!O115")))</f>
        <v/>
      </c>
      <c r="K115" s="128" t="str">
        <f ca="1">IF(INDIRECT(CONCATENATE("'",'Inconsistency Data'!$I$4,"'!Q115"))="","",INDIRECT(CONCATENATE("'",'Inconsistency Data'!$I$4,"'!Q115")))</f>
        <v/>
      </c>
      <c r="L115" s="129"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6" t="str">
        <f>IF('Fixed Effects'!N116="","",'Fixed Effects'!N116)</f>
        <v/>
      </c>
      <c r="E116" s="127" t="str">
        <f>IF('Fixed Effects'!O116="","",'Fixed Effects'!O116)</f>
        <v/>
      </c>
      <c r="F116" s="128" t="str">
        <f>IF('Fixed Effects'!Q116="","",'Fixed Effects'!Q116)</f>
        <v/>
      </c>
      <c r="G116" s="129"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9" t="str">
        <f ca="1">IF(INDIRECT(CONCATENATE("'",'Inconsistency Data'!$I$4,"'!N116"))="","",INDIRECT(CONCATENATE("'",'Inconsistency Data'!$I$4,"'!N116")))</f>
        <v/>
      </c>
      <c r="J116" s="127" t="str">
        <f ca="1">IF(INDIRECT(CONCATENATE("'",'Inconsistency Data'!$I$4,"'!O116"))="","",INDIRECT(CONCATENATE("'",'Inconsistency Data'!$I$4,"'!O116")))</f>
        <v/>
      </c>
      <c r="K116" s="128" t="str">
        <f ca="1">IF(INDIRECT(CONCATENATE("'",'Inconsistency Data'!$I$4,"'!Q116"))="","",INDIRECT(CONCATENATE("'",'Inconsistency Data'!$I$4,"'!Q116")))</f>
        <v/>
      </c>
      <c r="L116" s="129"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6" t="str">
        <f>IF('Fixed Effects'!N117="","",'Fixed Effects'!N117)</f>
        <v/>
      </c>
      <c r="E117" s="127" t="str">
        <f>IF('Fixed Effects'!O117="","",'Fixed Effects'!O117)</f>
        <v/>
      </c>
      <c r="F117" s="128" t="str">
        <f>IF('Fixed Effects'!Q117="","",'Fixed Effects'!Q117)</f>
        <v/>
      </c>
      <c r="G117" s="129"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9" t="str">
        <f ca="1">IF(INDIRECT(CONCATENATE("'",'Inconsistency Data'!$I$4,"'!N117"))="","",INDIRECT(CONCATENATE("'",'Inconsistency Data'!$I$4,"'!N117")))</f>
        <v/>
      </c>
      <c r="J117" s="127" t="str">
        <f ca="1">IF(INDIRECT(CONCATENATE("'",'Inconsistency Data'!$I$4,"'!O117"))="","",INDIRECT(CONCATENATE("'",'Inconsistency Data'!$I$4,"'!O117")))</f>
        <v/>
      </c>
      <c r="K117" s="128" t="str">
        <f ca="1">IF(INDIRECT(CONCATENATE("'",'Inconsistency Data'!$I$4,"'!Q117"))="","",INDIRECT(CONCATENATE("'",'Inconsistency Data'!$I$4,"'!Q117")))</f>
        <v/>
      </c>
      <c r="L117" s="129"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6" t="str">
        <f>IF('Fixed Effects'!N118="","",'Fixed Effects'!N118)</f>
        <v/>
      </c>
      <c r="E118" s="127" t="str">
        <f>IF('Fixed Effects'!O118="","",'Fixed Effects'!O118)</f>
        <v/>
      </c>
      <c r="F118" s="128" t="str">
        <f>IF('Fixed Effects'!Q118="","",'Fixed Effects'!Q118)</f>
        <v/>
      </c>
      <c r="G118" s="129"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9" t="str">
        <f ca="1">IF(INDIRECT(CONCATENATE("'",'Inconsistency Data'!$I$4,"'!N118"))="","",INDIRECT(CONCATENATE("'",'Inconsistency Data'!$I$4,"'!N118")))</f>
        <v/>
      </c>
      <c r="J118" s="127" t="str">
        <f ca="1">IF(INDIRECT(CONCATENATE("'",'Inconsistency Data'!$I$4,"'!O118"))="","",INDIRECT(CONCATENATE("'",'Inconsistency Data'!$I$4,"'!O118")))</f>
        <v/>
      </c>
      <c r="K118" s="128" t="str">
        <f ca="1">IF(INDIRECT(CONCATENATE("'",'Inconsistency Data'!$I$4,"'!Q118"))="","",INDIRECT(CONCATENATE("'",'Inconsistency Data'!$I$4,"'!Q118")))</f>
        <v/>
      </c>
      <c r="L118" s="129"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6" t="str">
        <f>IF('Fixed Effects'!N119="","",'Fixed Effects'!N119)</f>
        <v/>
      </c>
      <c r="E119" s="127" t="str">
        <f>IF('Fixed Effects'!O119="","",'Fixed Effects'!O119)</f>
        <v/>
      </c>
      <c r="F119" s="128" t="str">
        <f>IF('Fixed Effects'!Q119="","",'Fixed Effects'!Q119)</f>
        <v/>
      </c>
      <c r="G119" s="129"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9" t="str">
        <f ca="1">IF(INDIRECT(CONCATENATE("'",'Inconsistency Data'!$I$4,"'!N119"))="","",INDIRECT(CONCATENATE("'",'Inconsistency Data'!$I$4,"'!N119")))</f>
        <v/>
      </c>
      <c r="J119" s="127" t="str">
        <f ca="1">IF(INDIRECT(CONCATENATE("'",'Inconsistency Data'!$I$4,"'!O119"))="","",INDIRECT(CONCATENATE("'",'Inconsistency Data'!$I$4,"'!O119")))</f>
        <v/>
      </c>
      <c r="K119" s="128" t="str">
        <f ca="1">IF(INDIRECT(CONCATENATE("'",'Inconsistency Data'!$I$4,"'!Q119"))="","",INDIRECT(CONCATENATE("'",'Inconsistency Data'!$I$4,"'!Q119")))</f>
        <v/>
      </c>
      <c r="L119" s="129"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6" t="str">
        <f>IF('Fixed Effects'!N120="","",'Fixed Effects'!N120)</f>
        <v/>
      </c>
      <c r="E120" s="127" t="str">
        <f>IF('Fixed Effects'!O120="","",'Fixed Effects'!O120)</f>
        <v/>
      </c>
      <c r="F120" s="128" t="str">
        <f>IF('Fixed Effects'!Q120="","",'Fixed Effects'!Q120)</f>
        <v/>
      </c>
      <c r="G120" s="129"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9" t="str">
        <f ca="1">IF(INDIRECT(CONCATENATE("'",'Inconsistency Data'!$I$4,"'!N120"))="","",INDIRECT(CONCATENATE("'",'Inconsistency Data'!$I$4,"'!N120")))</f>
        <v/>
      </c>
      <c r="J120" s="127" t="str">
        <f ca="1">IF(INDIRECT(CONCATENATE("'",'Inconsistency Data'!$I$4,"'!O120"))="","",INDIRECT(CONCATENATE("'",'Inconsistency Data'!$I$4,"'!O120")))</f>
        <v/>
      </c>
      <c r="K120" s="128" t="str">
        <f ca="1">IF(INDIRECT(CONCATENATE("'",'Inconsistency Data'!$I$4,"'!Q120"))="","",INDIRECT(CONCATENATE("'",'Inconsistency Data'!$I$4,"'!Q120")))</f>
        <v/>
      </c>
      <c r="L120" s="129"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6" t="str">
        <f>IF('Fixed Effects'!N121="","",'Fixed Effects'!N121)</f>
        <v/>
      </c>
      <c r="E121" s="127" t="str">
        <f>IF('Fixed Effects'!O121="","",'Fixed Effects'!O121)</f>
        <v/>
      </c>
      <c r="F121" s="128" t="str">
        <f>IF('Fixed Effects'!Q121="","",'Fixed Effects'!Q121)</f>
        <v/>
      </c>
      <c r="G121" s="129"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9" t="str">
        <f ca="1">IF(INDIRECT(CONCATENATE("'",'Inconsistency Data'!$I$4,"'!N121"))="","",INDIRECT(CONCATENATE("'",'Inconsistency Data'!$I$4,"'!N121")))</f>
        <v/>
      </c>
      <c r="J121" s="127" t="str">
        <f ca="1">IF(INDIRECT(CONCATENATE("'",'Inconsistency Data'!$I$4,"'!O121"))="","",INDIRECT(CONCATENATE("'",'Inconsistency Data'!$I$4,"'!O121")))</f>
        <v/>
      </c>
      <c r="K121" s="128" t="str">
        <f ca="1">IF(INDIRECT(CONCATENATE("'",'Inconsistency Data'!$I$4,"'!Q121"))="","",INDIRECT(CONCATENATE("'",'Inconsistency Data'!$I$4,"'!Q121")))</f>
        <v/>
      </c>
      <c r="L121" s="129"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6" t="str">
        <f>IF('Fixed Effects'!N122="","",'Fixed Effects'!N122)</f>
        <v/>
      </c>
      <c r="E122" s="127" t="str">
        <f>IF('Fixed Effects'!O122="","",'Fixed Effects'!O122)</f>
        <v/>
      </c>
      <c r="F122" s="128" t="str">
        <f>IF('Fixed Effects'!Q122="","",'Fixed Effects'!Q122)</f>
        <v/>
      </c>
      <c r="G122" s="129"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9" t="str">
        <f ca="1">IF(INDIRECT(CONCATENATE("'",'Inconsistency Data'!$I$4,"'!N122"))="","",INDIRECT(CONCATENATE("'",'Inconsistency Data'!$I$4,"'!N122")))</f>
        <v/>
      </c>
      <c r="J122" s="127" t="str">
        <f ca="1">IF(INDIRECT(CONCATENATE("'",'Inconsistency Data'!$I$4,"'!O122"))="","",INDIRECT(CONCATENATE("'",'Inconsistency Data'!$I$4,"'!O122")))</f>
        <v/>
      </c>
      <c r="K122" s="128" t="str">
        <f ca="1">IF(INDIRECT(CONCATENATE("'",'Inconsistency Data'!$I$4,"'!Q122"))="","",INDIRECT(CONCATENATE("'",'Inconsistency Data'!$I$4,"'!Q122")))</f>
        <v/>
      </c>
      <c r="L122" s="129"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6" t="str">
        <f>IF('Fixed Effects'!N123="","",'Fixed Effects'!N123)</f>
        <v/>
      </c>
      <c r="E123" s="127" t="str">
        <f>IF('Fixed Effects'!O123="","",'Fixed Effects'!O123)</f>
        <v/>
      </c>
      <c r="F123" s="128" t="str">
        <f>IF('Fixed Effects'!Q123="","",'Fixed Effects'!Q123)</f>
        <v/>
      </c>
      <c r="G123" s="129"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9" t="str">
        <f ca="1">IF(INDIRECT(CONCATENATE("'",'Inconsistency Data'!$I$4,"'!N123"))="","",INDIRECT(CONCATENATE("'",'Inconsistency Data'!$I$4,"'!N123")))</f>
        <v/>
      </c>
      <c r="J123" s="127" t="str">
        <f ca="1">IF(INDIRECT(CONCATENATE("'",'Inconsistency Data'!$I$4,"'!O123"))="","",INDIRECT(CONCATENATE("'",'Inconsistency Data'!$I$4,"'!O123")))</f>
        <v/>
      </c>
      <c r="K123" s="128" t="str">
        <f ca="1">IF(INDIRECT(CONCATENATE("'",'Inconsistency Data'!$I$4,"'!Q123"))="","",INDIRECT(CONCATENATE("'",'Inconsistency Data'!$I$4,"'!Q123")))</f>
        <v/>
      </c>
      <c r="L123" s="129"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6" t="str">
        <f>IF('Fixed Effects'!N124="","",'Fixed Effects'!N124)</f>
        <v/>
      </c>
      <c r="E124" s="127" t="str">
        <f>IF('Fixed Effects'!O124="","",'Fixed Effects'!O124)</f>
        <v/>
      </c>
      <c r="F124" s="128" t="str">
        <f>IF('Fixed Effects'!Q124="","",'Fixed Effects'!Q124)</f>
        <v/>
      </c>
      <c r="G124" s="129"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9" t="str">
        <f ca="1">IF(INDIRECT(CONCATENATE("'",'Inconsistency Data'!$I$4,"'!N124"))="","",INDIRECT(CONCATENATE("'",'Inconsistency Data'!$I$4,"'!N124")))</f>
        <v/>
      </c>
      <c r="J124" s="127" t="str">
        <f ca="1">IF(INDIRECT(CONCATENATE("'",'Inconsistency Data'!$I$4,"'!O124"))="","",INDIRECT(CONCATENATE("'",'Inconsistency Data'!$I$4,"'!O124")))</f>
        <v/>
      </c>
      <c r="K124" s="128" t="str">
        <f ca="1">IF(INDIRECT(CONCATENATE("'",'Inconsistency Data'!$I$4,"'!Q124"))="","",INDIRECT(CONCATENATE("'",'Inconsistency Data'!$I$4,"'!Q124")))</f>
        <v/>
      </c>
      <c r="L124" s="129"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6" t="str">
        <f>IF('Fixed Effects'!N125="","",'Fixed Effects'!N125)</f>
        <v/>
      </c>
      <c r="E125" s="127" t="str">
        <f>IF('Fixed Effects'!O125="","",'Fixed Effects'!O125)</f>
        <v/>
      </c>
      <c r="F125" s="128" t="str">
        <f>IF('Fixed Effects'!Q125="","",'Fixed Effects'!Q125)</f>
        <v/>
      </c>
      <c r="G125" s="129"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9" t="str">
        <f ca="1">IF(INDIRECT(CONCATENATE("'",'Inconsistency Data'!$I$4,"'!N125"))="","",INDIRECT(CONCATENATE("'",'Inconsistency Data'!$I$4,"'!N125")))</f>
        <v/>
      </c>
      <c r="J125" s="127" t="str">
        <f ca="1">IF(INDIRECT(CONCATENATE("'",'Inconsistency Data'!$I$4,"'!O125"))="","",INDIRECT(CONCATENATE("'",'Inconsistency Data'!$I$4,"'!O125")))</f>
        <v/>
      </c>
      <c r="K125" s="128" t="str">
        <f ca="1">IF(INDIRECT(CONCATENATE("'",'Inconsistency Data'!$I$4,"'!Q125"))="","",INDIRECT(CONCATENATE("'",'Inconsistency Data'!$I$4,"'!Q125")))</f>
        <v/>
      </c>
      <c r="L125" s="129"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6" t="str">
        <f>IF('Fixed Effects'!N126="","",'Fixed Effects'!N126)</f>
        <v/>
      </c>
      <c r="E126" s="127" t="str">
        <f>IF('Fixed Effects'!O126="","",'Fixed Effects'!O126)</f>
        <v/>
      </c>
      <c r="F126" s="128" t="str">
        <f>IF('Fixed Effects'!Q126="","",'Fixed Effects'!Q126)</f>
        <v/>
      </c>
      <c r="G126" s="129"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9" t="str">
        <f ca="1">IF(INDIRECT(CONCATENATE("'",'Inconsistency Data'!$I$4,"'!N126"))="","",INDIRECT(CONCATENATE("'",'Inconsistency Data'!$I$4,"'!N126")))</f>
        <v/>
      </c>
      <c r="J126" s="127" t="str">
        <f ca="1">IF(INDIRECT(CONCATENATE("'",'Inconsistency Data'!$I$4,"'!O126"))="","",INDIRECT(CONCATENATE("'",'Inconsistency Data'!$I$4,"'!O126")))</f>
        <v/>
      </c>
      <c r="K126" s="128" t="str">
        <f ca="1">IF(INDIRECT(CONCATENATE("'",'Inconsistency Data'!$I$4,"'!Q126"))="","",INDIRECT(CONCATENATE("'",'Inconsistency Data'!$I$4,"'!Q126")))</f>
        <v/>
      </c>
      <c r="L126" s="129"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6" t="str">
        <f>IF('Fixed Effects'!N127="","",'Fixed Effects'!N127)</f>
        <v/>
      </c>
      <c r="E127" s="127" t="str">
        <f>IF('Fixed Effects'!O127="","",'Fixed Effects'!O127)</f>
        <v/>
      </c>
      <c r="F127" s="128" t="str">
        <f>IF('Fixed Effects'!Q127="","",'Fixed Effects'!Q127)</f>
        <v/>
      </c>
      <c r="G127" s="129"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9" t="str">
        <f ca="1">IF(INDIRECT(CONCATENATE("'",'Inconsistency Data'!$I$4,"'!N127"))="","",INDIRECT(CONCATENATE("'",'Inconsistency Data'!$I$4,"'!N127")))</f>
        <v/>
      </c>
      <c r="J127" s="127" t="str">
        <f ca="1">IF(INDIRECT(CONCATENATE("'",'Inconsistency Data'!$I$4,"'!O127"))="","",INDIRECT(CONCATENATE("'",'Inconsistency Data'!$I$4,"'!O127")))</f>
        <v/>
      </c>
      <c r="K127" s="128" t="str">
        <f ca="1">IF(INDIRECT(CONCATENATE("'",'Inconsistency Data'!$I$4,"'!Q127"))="","",INDIRECT(CONCATENATE("'",'Inconsistency Data'!$I$4,"'!Q127")))</f>
        <v/>
      </c>
      <c r="L127" s="129"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6" t="str">
        <f>IF('Fixed Effects'!N128="","",'Fixed Effects'!N128)</f>
        <v/>
      </c>
      <c r="E128" s="127" t="str">
        <f>IF('Fixed Effects'!O128="","",'Fixed Effects'!O128)</f>
        <v/>
      </c>
      <c r="F128" s="128" t="str">
        <f>IF('Fixed Effects'!Q128="","",'Fixed Effects'!Q128)</f>
        <v/>
      </c>
      <c r="G128" s="129"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9" t="str">
        <f ca="1">IF(INDIRECT(CONCATENATE("'",'Inconsistency Data'!$I$4,"'!N128"))="","",INDIRECT(CONCATENATE("'",'Inconsistency Data'!$I$4,"'!N128")))</f>
        <v/>
      </c>
      <c r="J128" s="127" t="str">
        <f ca="1">IF(INDIRECT(CONCATENATE("'",'Inconsistency Data'!$I$4,"'!O128"))="","",INDIRECT(CONCATENATE("'",'Inconsistency Data'!$I$4,"'!O128")))</f>
        <v/>
      </c>
      <c r="K128" s="128" t="str">
        <f ca="1">IF(INDIRECT(CONCATENATE("'",'Inconsistency Data'!$I$4,"'!Q128"))="","",INDIRECT(CONCATENATE("'",'Inconsistency Data'!$I$4,"'!Q128")))</f>
        <v/>
      </c>
      <c r="L128" s="129"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6" t="str">
        <f>IF('Fixed Effects'!N129="","",'Fixed Effects'!N129)</f>
        <v/>
      </c>
      <c r="E129" s="127" t="str">
        <f>IF('Fixed Effects'!O129="","",'Fixed Effects'!O129)</f>
        <v/>
      </c>
      <c r="F129" s="128" t="str">
        <f>IF('Fixed Effects'!Q129="","",'Fixed Effects'!Q129)</f>
        <v/>
      </c>
      <c r="G129" s="129"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9" t="str">
        <f ca="1">IF(INDIRECT(CONCATENATE("'",'Inconsistency Data'!$I$4,"'!N129"))="","",INDIRECT(CONCATENATE("'",'Inconsistency Data'!$I$4,"'!N129")))</f>
        <v/>
      </c>
      <c r="J129" s="127" t="str">
        <f ca="1">IF(INDIRECT(CONCATENATE("'",'Inconsistency Data'!$I$4,"'!O129"))="","",INDIRECT(CONCATENATE("'",'Inconsistency Data'!$I$4,"'!O129")))</f>
        <v/>
      </c>
      <c r="K129" s="128" t="str">
        <f ca="1">IF(INDIRECT(CONCATENATE("'",'Inconsistency Data'!$I$4,"'!Q129"))="","",INDIRECT(CONCATENATE("'",'Inconsistency Data'!$I$4,"'!Q129")))</f>
        <v/>
      </c>
      <c r="L129" s="129"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6" t="str">
        <f>IF('Fixed Effects'!N130="","",'Fixed Effects'!N130)</f>
        <v/>
      </c>
      <c r="E130" s="127" t="str">
        <f>IF('Fixed Effects'!O130="","",'Fixed Effects'!O130)</f>
        <v/>
      </c>
      <c r="F130" s="128" t="str">
        <f>IF('Fixed Effects'!Q130="","",'Fixed Effects'!Q130)</f>
        <v/>
      </c>
      <c r="G130" s="129"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9" t="str">
        <f ca="1">IF(INDIRECT(CONCATENATE("'",'Inconsistency Data'!$I$4,"'!N130"))="","",INDIRECT(CONCATENATE("'",'Inconsistency Data'!$I$4,"'!N130")))</f>
        <v/>
      </c>
      <c r="J130" s="127" t="str">
        <f ca="1">IF(INDIRECT(CONCATENATE("'",'Inconsistency Data'!$I$4,"'!O130"))="","",INDIRECT(CONCATENATE("'",'Inconsistency Data'!$I$4,"'!O130")))</f>
        <v/>
      </c>
      <c r="K130" s="128" t="str">
        <f ca="1">IF(INDIRECT(CONCATENATE("'",'Inconsistency Data'!$I$4,"'!Q130"))="","",INDIRECT(CONCATENATE("'",'Inconsistency Data'!$I$4,"'!Q130")))</f>
        <v/>
      </c>
      <c r="L130" s="129"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6" t="str">
        <f>IF('Fixed Effects'!N131="","",'Fixed Effects'!N131)</f>
        <v/>
      </c>
      <c r="E131" s="127" t="str">
        <f>IF('Fixed Effects'!O131="","",'Fixed Effects'!O131)</f>
        <v/>
      </c>
      <c r="F131" s="128" t="str">
        <f>IF('Fixed Effects'!Q131="","",'Fixed Effects'!Q131)</f>
        <v/>
      </c>
      <c r="G131" s="129"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9" t="str">
        <f ca="1">IF(INDIRECT(CONCATENATE("'",'Inconsistency Data'!$I$4,"'!N131"))="","",INDIRECT(CONCATENATE("'",'Inconsistency Data'!$I$4,"'!N131")))</f>
        <v/>
      </c>
      <c r="J131" s="127" t="str">
        <f ca="1">IF(INDIRECT(CONCATENATE("'",'Inconsistency Data'!$I$4,"'!O131"))="","",INDIRECT(CONCATENATE("'",'Inconsistency Data'!$I$4,"'!O131")))</f>
        <v/>
      </c>
      <c r="K131" s="128" t="str">
        <f ca="1">IF(INDIRECT(CONCATENATE("'",'Inconsistency Data'!$I$4,"'!Q131"))="","",INDIRECT(CONCATENATE("'",'Inconsistency Data'!$I$4,"'!Q131")))</f>
        <v/>
      </c>
      <c r="L131" s="129"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6" t="str">
        <f>IF('Fixed Effects'!N132="","",'Fixed Effects'!N132)</f>
        <v/>
      </c>
      <c r="E132" s="127" t="str">
        <f>IF('Fixed Effects'!O132="","",'Fixed Effects'!O132)</f>
        <v/>
      </c>
      <c r="F132" s="128" t="str">
        <f>IF('Fixed Effects'!Q132="","",'Fixed Effects'!Q132)</f>
        <v/>
      </c>
      <c r="G132" s="129"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9" t="str">
        <f ca="1">IF(INDIRECT(CONCATENATE("'",'Inconsistency Data'!$I$4,"'!N132"))="","",INDIRECT(CONCATENATE("'",'Inconsistency Data'!$I$4,"'!N132")))</f>
        <v/>
      </c>
      <c r="J132" s="127" t="str">
        <f ca="1">IF(INDIRECT(CONCATENATE("'",'Inconsistency Data'!$I$4,"'!O132"))="","",INDIRECT(CONCATENATE("'",'Inconsistency Data'!$I$4,"'!O132")))</f>
        <v/>
      </c>
      <c r="K132" s="128" t="str">
        <f ca="1">IF(INDIRECT(CONCATENATE("'",'Inconsistency Data'!$I$4,"'!Q132"))="","",INDIRECT(CONCATENATE("'",'Inconsistency Data'!$I$4,"'!Q132")))</f>
        <v/>
      </c>
      <c r="L132" s="129"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6" t="str">
        <f>IF('Fixed Effects'!N133="","",'Fixed Effects'!N133)</f>
        <v/>
      </c>
      <c r="E133" s="127" t="str">
        <f>IF('Fixed Effects'!O133="","",'Fixed Effects'!O133)</f>
        <v/>
      </c>
      <c r="F133" s="128" t="str">
        <f>IF('Fixed Effects'!Q133="","",'Fixed Effects'!Q133)</f>
        <v/>
      </c>
      <c r="G133" s="129"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9" t="str">
        <f ca="1">IF(INDIRECT(CONCATENATE("'",'Inconsistency Data'!$I$4,"'!N133"))="","",INDIRECT(CONCATENATE("'",'Inconsistency Data'!$I$4,"'!N133")))</f>
        <v/>
      </c>
      <c r="J133" s="127" t="str">
        <f ca="1">IF(INDIRECT(CONCATENATE("'",'Inconsistency Data'!$I$4,"'!O133"))="","",INDIRECT(CONCATENATE("'",'Inconsistency Data'!$I$4,"'!O133")))</f>
        <v/>
      </c>
      <c r="K133" s="128" t="str">
        <f ca="1">IF(INDIRECT(CONCATENATE("'",'Inconsistency Data'!$I$4,"'!Q133"))="","",INDIRECT(CONCATENATE("'",'Inconsistency Data'!$I$4,"'!Q133")))</f>
        <v/>
      </c>
      <c r="L133" s="129"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6" t="str">
        <f>IF('Fixed Effects'!N134="","",'Fixed Effects'!N134)</f>
        <v/>
      </c>
      <c r="E134" s="127" t="str">
        <f>IF('Fixed Effects'!O134="","",'Fixed Effects'!O134)</f>
        <v/>
      </c>
      <c r="F134" s="128" t="str">
        <f>IF('Fixed Effects'!Q134="","",'Fixed Effects'!Q134)</f>
        <v/>
      </c>
      <c r="G134" s="129"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9" t="str">
        <f ca="1">IF(INDIRECT(CONCATENATE("'",'Inconsistency Data'!$I$4,"'!N134"))="","",INDIRECT(CONCATENATE("'",'Inconsistency Data'!$I$4,"'!N134")))</f>
        <v/>
      </c>
      <c r="J134" s="127" t="str">
        <f ca="1">IF(INDIRECT(CONCATENATE("'",'Inconsistency Data'!$I$4,"'!O134"))="","",INDIRECT(CONCATENATE("'",'Inconsistency Data'!$I$4,"'!O134")))</f>
        <v/>
      </c>
      <c r="K134" s="128" t="str">
        <f ca="1">IF(INDIRECT(CONCATENATE("'",'Inconsistency Data'!$I$4,"'!Q134"))="","",INDIRECT(CONCATENATE("'",'Inconsistency Data'!$I$4,"'!Q134")))</f>
        <v/>
      </c>
      <c r="L134" s="129"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6" t="str">
        <f>IF('Fixed Effects'!N135="","",'Fixed Effects'!N135)</f>
        <v/>
      </c>
      <c r="E135" s="127" t="str">
        <f>IF('Fixed Effects'!O135="","",'Fixed Effects'!O135)</f>
        <v/>
      </c>
      <c r="F135" s="128" t="str">
        <f>IF('Fixed Effects'!Q135="","",'Fixed Effects'!Q135)</f>
        <v/>
      </c>
      <c r="G135" s="129"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9" t="str">
        <f ca="1">IF(INDIRECT(CONCATENATE("'",'Inconsistency Data'!$I$4,"'!N135"))="","",INDIRECT(CONCATENATE("'",'Inconsistency Data'!$I$4,"'!N135")))</f>
        <v/>
      </c>
      <c r="J135" s="127" t="str">
        <f ca="1">IF(INDIRECT(CONCATENATE("'",'Inconsistency Data'!$I$4,"'!O135"))="","",INDIRECT(CONCATENATE("'",'Inconsistency Data'!$I$4,"'!O135")))</f>
        <v/>
      </c>
      <c r="K135" s="128" t="str">
        <f ca="1">IF(INDIRECT(CONCATENATE("'",'Inconsistency Data'!$I$4,"'!Q135"))="","",INDIRECT(CONCATENATE("'",'Inconsistency Data'!$I$4,"'!Q135")))</f>
        <v/>
      </c>
      <c r="L135" s="129"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6" t="str">
        <f>IF('Fixed Effects'!N136="","",'Fixed Effects'!N136)</f>
        <v/>
      </c>
      <c r="E136" s="127" t="str">
        <f>IF('Fixed Effects'!O136="","",'Fixed Effects'!O136)</f>
        <v/>
      </c>
      <c r="F136" s="128" t="str">
        <f>IF('Fixed Effects'!Q136="","",'Fixed Effects'!Q136)</f>
        <v/>
      </c>
      <c r="G136" s="129"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9" t="str">
        <f ca="1">IF(INDIRECT(CONCATENATE("'",'Inconsistency Data'!$I$4,"'!N136"))="","",INDIRECT(CONCATENATE("'",'Inconsistency Data'!$I$4,"'!N136")))</f>
        <v/>
      </c>
      <c r="J136" s="127" t="str">
        <f ca="1">IF(INDIRECT(CONCATENATE("'",'Inconsistency Data'!$I$4,"'!O136"))="","",INDIRECT(CONCATENATE("'",'Inconsistency Data'!$I$4,"'!O136")))</f>
        <v/>
      </c>
      <c r="K136" s="128" t="str">
        <f ca="1">IF(INDIRECT(CONCATENATE("'",'Inconsistency Data'!$I$4,"'!Q136"))="","",INDIRECT(CONCATENATE("'",'Inconsistency Data'!$I$4,"'!Q136")))</f>
        <v/>
      </c>
      <c r="L136" s="129"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6" t="str">
        <f>IF('Fixed Effects'!N137="","",'Fixed Effects'!N137)</f>
        <v/>
      </c>
      <c r="E137" s="127" t="str">
        <f>IF('Fixed Effects'!O137="","",'Fixed Effects'!O137)</f>
        <v/>
      </c>
      <c r="F137" s="128" t="str">
        <f>IF('Fixed Effects'!Q137="","",'Fixed Effects'!Q137)</f>
        <v/>
      </c>
      <c r="G137" s="129"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9" t="str">
        <f ca="1">IF(INDIRECT(CONCATENATE("'",'Inconsistency Data'!$I$4,"'!N137"))="","",INDIRECT(CONCATENATE("'",'Inconsistency Data'!$I$4,"'!N137")))</f>
        <v/>
      </c>
      <c r="J137" s="127" t="str">
        <f ca="1">IF(INDIRECT(CONCATENATE("'",'Inconsistency Data'!$I$4,"'!O137"))="","",INDIRECT(CONCATENATE("'",'Inconsistency Data'!$I$4,"'!O137")))</f>
        <v/>
      </c>
      <c r="K137" s="128" t="str">
        <f ca="1">IF(INDIRECT(CONCATENATE("'",'Inconsistency Data'!$I$4,"'!Q137"))="","",INDIRECT(CONCATENATE("'",'Inconsistency Data'!$I$4,"'!Q137")))</f>
        <v/>
      </c>
      <c r="L137" s="129"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6" t="str">
        <f>IF('Fixed Effects'!N138="","",'Fixed Effects'!N138)</f>
        <v/>
      </c>
      <c r="E138" s="127" t="str">
        <f>IF('Fixed Effects'!O138="","",'Fixed Effects'!O138)</f>
        <v/>
      </c>
      <c r="F138" s="128" t="str">
        <f>IF('Fixed Effects'!Q138="","",'Fixed Effects'!Q138)</f>
        <v/>
      </c>
      <c r="G138" s="129"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9" t="str">
        <f ca="1">IF(INDIRECT(CONCATENATE("'",'Inconsistency Data'!$I$4,"'!N138"))="","",INDIRECT(CONCATENATE("'",'Inconsistency Data'!$I$4,"'!N138")))</f>
        <v/>
      </c>
      <c r="J138" s="127" t="str">
        <f ca="1">IF(INDIRECT(CONCATENATE("'",'Inconsistency Data'!$I$4,"'!O138"))="","",INDIRECT(CONCATENATE("'",'Inconsistency Data'!$I$4,"'!O138")))</f>
        <v/>
      </c>
      <c r="K138" s="128" t="str">
        <f ca="1">IF(INDIRECT(CONCATENATE("'",'Inconsistency Data'!$I$4,"'!Q138"))="","",INDIRECT(CONCATENATE("'",'Inconsistency Data'!$I$4,"'!Q138")))</f>
        <v/>
      </c>
      <c r="L138" s="129"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6" t="str">
        <f>IF('Fixed Effects'!N139="","",'Fixed Effects'!N139)</f>
        <v/>
      </c>
      <c r="E139" s="127" t="str">
        <f>IF('Fixed Effects'!O139="","",'Fixed Effects'!O139)</f>
        <v/>
      </c>
      <c r="F139" s="128" t="str">
        <f>IF('Fixed Effects'!Q139="","",'Fixed Effects'!Q139)</f>
        <v/>
      </c>
      <c r="G139" s="129"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9" t="str">
        <f ca="1">IF(INDIRECT(CONCATENATE("'",'Inconsistency Data'!$I$4,"'!N139"))="","",INDIRECT(CONCATENATE("'",'Inconsistency Data'!$I$4,"'!N139")))</f>
        <v/>
      </c>
      <c r="J139" s="127" t="str">
        <f ca="1">IF(INDIRECT(CONCATENATE("'",'Inconsistency Data'!$I$4,"'!O139"))="","",INDIRECT(CONCATENATE("'",'Inconsistency Data'!$I$4,"'!O139")))</f>
        <v/>
      </c>
      <c r="K139" s="128" t="str">
        <f ca="1">IF(INDIRECT(CONCATENATE("'",'Inconsistency Data'!$I$4,"'!Q139"))="","",INDIRECT(CONCATENATE("'",'Inconsistency Data'!$I$4,"'!Q139")))</f>
        <v/>
      </c>
      <c r="L139" s="129"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6" t="str">
        <f>IF('Fixed Effects'!N140="","",'Fixed Effects'!N140)</f>
        <v/>
      </c>
      <c r="E140" s="127" t="str">
        <f>IF('Fixed Effects'!O140="","",'Fixed Effects'!O140)</f>
        <v/>
      </c>
      <c r="F140" s="128" t="str">
        <f>IF('Fixed Effects'!Q140="","",'Fixed Effects'!Q140)</f>
        <v/>
      </c>
      <c r="G140" s="129"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9" t="str">
        <f ca="1">IF(INDIRECT(CONCATENATE("'",'Inconsistency Data'!$I$4,"'!N140"))="","",INDIRECT(CONCATENATE("'",'Inconsistency Data'!$I$4,"'!N140")))</f>
        <v/>
      </c>
      <c r="J140" s="127" t="str">
        <f ca="1">IF(INDIRECT(CONCATENATE("'",'Inconsistency Data'!$I$4,"'!O140"))="","",INDIRECT(CONCATENATE("'",'Inconsistency Data'!$I$4,"'!O140")))</f>
        <v/>
      </c>
      <c r="K140" s="128" t="str">
        <f ca="1">IF(INDIRECT(CONCATENATE("'",'Inconsistency Data'!$I$4,"'!Q140"))="","",INDIRECT(CONCATENATE("'",'Inconsistency Data'!$I$4,"'!Q140")))</f>
        <v/>
      </c>
      <c r="L140" s="129"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6" t="str">
        <f>IF('Fixed Effects'!N141="","",'Fixed Effects'!N141)</f>
        <v/>
      </c>
      <c r="E141" s="127" t="str">
        <f>IF('Fixed Effects'!O141="","",'Fixed Effects'!O141)</f>
        <v/>
      </c>
      <c r="F141" s="128" t="str">
        <f>IF('Fixed Effects'!Q141="","",'Fixed Effects'!Q141)</f>
        <v/>
      </c>
      <c r="G141" s="129"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9" t="str">
        <f ca="1">IF(INDIRECT(CONCATENATE("'",'Inconsistency Data'!$I$4,"'!N141"))="","",INDIRECT(CONCATENATE("'",'Inconsistency Data'!$I$4,"'!N141")))</f>
        <v/>
      </c>
      <c r="J141" s="127" t="str">
        <f ca="1">IF(INDIRECT(CONCATENATE("'",'Inconsistency Data'!$I$4,"'!O141"))="","",INDIRECT(CONCATENATE("'",'Inconsistency Data'!$I$4,"'!O141")))</f>
        <v/>
      </c>
      <c r="K141" s="128" t="str">
        <f ca="1">IF(INDIRECT(CONCATENATE("'",'Inconsistency Data'!$I$4,"'!Q141"))="","",INDIRECT(CONCATENATE("'",'Inconsistency Data'!$I$4,"'!Q141")))</f>
        <v/>
      </c>
      <c r="L141" s="129"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6" t="str">
        <f>IF('Fixed Effects'!N142="","",'Fixed Effects'!N142)</f>
        <v/>
      </c>
      <c r="E142" s="127" t="str">
        <f>IF('Fixed Effects'!O142="","",'Fixed Effects'!O142)</f>
        <v/>
      </c>
      <c r="F142" s="128" t="str">
        <f>IF('Fixed Effects'!Q142="","",'Fixed Effects'!Q142)</f>
        <v/>
      </c>
      <c r="G142" s="129"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9" t="str">
        <f ca="1">IF(INDIRECT(CONCATENATE("'",'Inconsistency Data'!$I$4,"'!N142"))="","",INDIRECT(CONCATENATE("'",'Inconsistency Data'!$I$4,"'!N142")))</f>
        <v/>
      </c>
      <c r="J142" s="127" t="str">
        <f ca="1">IF(INDIRECT(CONCATENATE("'",'Inconsistency Data'!$I$4,"'!O142"))="","",INDIRECT(CONCATENATE("'",'Inconsistency Data'!$I$4,"'!O142")))</f>
        <v/>
      </c>
      <c r="K142" s="128" t="str">
        <f ca="1">IF(INDIRECT(CONCATENATE("'",'Inconsistency Data'!$I$4,"'!Q142"))="","",INDIRECT(CONCATENATE("'",'Inconsistency Data'!$I$4,"'!Q142")))</f>
        <v/>
      </c>
      <c r="L142" s="129"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6" t="str">
        <f>IF('Fixed Effects'!N143="","",'Fixed Effects'!N143)</f>
        <v/>
      </c>
      <c r="E143" s="127" t="str">
        <f>IF('Fixed Effects'!O143="","",'Fixed Effects'!O143)</f>
        <v/>
      </c>
      <c r="F143" s="128" t="str">
        <f>IF('Fixed Effects'!Q143="","",'Fixed Effects'!Q143)</f>
        <v/>
      </c>
      <c r="G143" s="129"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9" t="str">
        <f ca="1">IF(INDIRECT(CONCATENATE("'",'Inconsistency Data'!$I$4,"'!N143"))="","",INDIRECT(CONCATENATE("'",'Inconsistency Data'!$I$4,"'!N143")))</f>
        <v/>
      </c>
      <c r="J143" s="127" t="str">
        <f ca="1">IF(INDIRECT(CONCATENATE("'",'Inconsistency Data'!$I$4,"'!O143"))="","",INDIRECT(CONCATENATE("'",'Inconsistency Data'!$I$4,"'!O143")))</f>
        <v/>
      </c>
      <c r="K143" s="128" t="str">
        <f ca="1">IF(INDIRECT(CONCATENATE("'",'Inconsistency Data'!$I$4,"'!Q143"))="","",INDIRECT(CONCATENATE("'",'Inconsistency Data'!$I$4,"'!Q143")))</f>
        <v/>
      </c>
      <c r="L143" s="129"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6" t="str">
        <f>IF('Fixed Effects'!N144="","",'Fixed Effects'!N144)</f>
        <v/>
      </c>
      <c r="E144" s="127" t="str">
        <f>IF('Fixed Effects'!O144="","",'Fixed Effects'!O144)</f>
        <v/>
      </c>
      <c r="F144" s="128" t="str">
        <f>IF('Fixed Effects'!Q144="","",'Fixed Effects'!Q144)</f>
        <v/>
      </c>
      <c r="G144" s="129"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9" t="str">
        <f ca="1">IF(INDIRECT(CONCATENATE("'",'Inconsistency Data'!$I$4,"'!N144"))="","",INDIRECT(CONCATENATE("'",'Inconsistency Data'!$I$4,"'!N144")))</f>
        <v/>
      </c>
      <c r="J144" s="127" t="str">
        <f ca="1">IF(INDIRECT(CONCATENATE("'",'Inconsistency Data'!$I$4,"'!O144"))="","",INDIRECT(CONCATENATE("'",'Inconsistency Data'!$I$4,"'!O144")))</f>
        <v/>
      </c>
      <c r="K144" s="128" t="str">
        <f ca="1">IF(INDIRECT(CONCATENATE("'",'Inconsistency Data'!$I$4,"'!Q144"))="","",INDIRECT(CONCATENATE("'",'Inconsistency Data'!$I$4,"'!Q144")))</f>
        <v/>
      </c>
      <c r="L144" s="129"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6" t="str">
        <f>IF('Fixed Effects'!N145="","",'Fixed Effects'!N145)</f>
        <v/>
      </c>
      <c r="E145" s="127" t="str">
        <f>IF('Fixed Effects'!O145="","",'Fixed Effects'!O145)</f>
        <v/>
      </c>
      <c r="F145" s="128" t="str">
        <f>IF('Fixed Effects'!Q145="","",'Fixed Effects'!Q145)</f>
        <v/>
      </c>
      <c r="G145" s="129"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9" t="str">
        <f ca="1">IF(INDIRECT(CONCATENATE("'",'Inconsistency Data'!$I$4,"'!N145"))="","",INDIRECT(CONCATENATE("'",'Inconsistency Data'!$I$4,"'!N145")))</f>
        <v/>
      </c>
      <c r="J145" s="127" t="str">
        <f ca="1">IF(INDIRECT(CONCATENATE("'",'Inconsistency Data'!$I$4,"'!O145"))="","",INDIRECT(CONCATENATE("'",'Inconsistency Data'!$I$4,"'!O145")))</f>
        <v/>
      </c>
      <c r="K145" s="128" t="str">
        <f ca="1">IF(INDIRECT(CONCATENATE("'",'Inconsistency Data'!$I$4,"'!Q145"))="","",INDIRECT(CONCATENATE("'",'Inconsistency Data'!$I$4,"'!Q145")))</f>
        <v/>
      </c>
      <c r="L145" s="129"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6" t="str">
        <f>IF('Fixed Effects'!N146="","",'Fixed Effects'!N146)</f>
        <v/>
      </c>
      <c r="E146" s="127" t="str">
        <f>IF('Fixed Effects'!O146="","",'Fixed Effects'!O146)</f>
        <v/>
      </c>
      <c r="F146" s="128" t="str">
        <f>IF('Fixed Effects'!Q146="","",'Fixed Effects'!Q146)</f>
        <v/>
      </c>
      <c r="G146" s="129"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9" t="str">
        <f ca="1">IF(INDIRECT(CONCATENATE("'",'Inconsistency Data'!$I$4,"'!N146"))="","",INDIRECT(CONCATENATE("'",'Inconsistency Data'!$I$4,"'!N146")))</f>
        <v/>
      </c>
      <c r="J146" s="127" t="str">
        <f ca="1">IF(INDIRECT(CONCATENATE("'",'Inconsistency Data'!$I$4,"'!O146"))="","",INDIRECT(CONCATENATE("'",'Inconsistency Data'!$I$4,"'!O146")))</f>
        <v/>
      </c>
      <c r="K146" s="128" t="str">
        <f ca="1">IF(INDIRECT(CONCATENATE("'",'Inconsistency Data'!$I$4,"'!Q146"))="","",INDIRECT(CONCATENATE("'",'Inconsistency Data'!$I$4,"'!Q146")))</f>
        <v/>
      </c>
      <c r="L146" s="129"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6" t="str">
        <f>IF('Fixed Effects'!N147="","",'Fixed Effects'!N147)</f>
        <v/>
      </c>
      <c r="E147" s="127" t="str">
        <f>IF('Fixed Effects'!O147="","",'Fixed Effects'!O147)</f>
        <v/>
      </c>
      <c r="F147" s="128" t="str">
        <f>IF('Fixed Effects'!Q147="","",'Fixed Effects'!Q147)</f>
        <v/>
      </c>
      <c r="G147" s="129"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9" t="str">
        <f ca="1">IF(INDIRECT(CONCATENATE("'",'Inconsistency Data'!$I$4,"'!N147"))="","",INDIRECT(CONCATENATE("'",'Inconsistency Data'!$I$4,"'!N147")))</f>
        <v/>
      </c>
      <c r="J147" s="127" t="str">
        <f ca="1">IF(INDIRECT(CONCATENATE("'",'Inconsistency Data'!$I$4,"'!O147"))="","",INDIRECT(CONCATENATE("'",'Inconsistency Data'!$I$4,"'!O147")))</f>
        <v/>
      </c>
      <c r="K147" s="128" t="str">
        <f ca="1">IF(INDIRECT(CONCATENATE("'",'Inconsistency Data'!$I$4,"'!Q147"))="","",INDIRECT(CONCATENATE("'",'Inconsistency Data'!$I$4,"'!Q147")))</f>
        <v/>
      </c>
      <c r="L147" s="129"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6" t="str">
        <f>IF('Fixed Effects'!N148="","",'Fixed Effects'!N148)</f>
        <v/>
      </c>
      <c r="E148" s="127" t="str">
        <f>IF('Fixed Effects'!O148="","",'Fixed Effects'!O148)</f>
        <v/>
      </c>
      <c r="F148" s="128" t="str">
        <f>IF('Fixed Effects'!Q148="","",'Fixed Effects'!Q148)</f>
        <v/>
      </c>
      <c r="G148" s="129"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9" t="str">
        <f ca="1">IF(INDIRECT(CONCATENATE("'",'Inconsistency Data'!$I$4,"'!N148"))="","",INDIRECT(CONCATENATE("'",'Inconsistency Data'!$I$4,"'!N148")))</f>
        <v/>
      </c>
      <c r="J148" s="127" t="str">
        <f ca="1">IF(INDIRECT(CONCATENATE("'",'Inconsistency Data'!$I$4,"'!O148"))="","",INDIRECT(CONCATENATE("'",'Inconsistency Data'!$I$4,"'!O148")))</f>
        <v/>
      </c>
      <c r="K148" s="128" t="str">
        <f ca="1">IF(INDIRECT(CONCATENATE("'",'Inconsistency Data'!$I$4,"'!Q148"))="","",INDIRECT(CONCATENATE("'",'Inconsistency Data'!$I$4,"'!Q148")))</f>
        <v/>
      </c>
      <c r="L148" s="129"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6" t="str">
        <f>IF('Fixed Effects'!N149="","",'Fixed Effects'!N149)</f>
        <v/>
      </c>
      <c r="E149" s="127" t="str">
        <f>IF('Fixed Effects'!O149="","",'Fixed Effects'!O149)</f>
        <v/>
      </c>
      <c r="F149" s="128" t="str">
        <f>IF('Fixed Effects'!Q149="","",'Fixed Effects'!Q149)</f>
        <v/>
      </c>
      <c r="G149" s="129"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9" t="str">
        <f ca="1">IF(INDIRECT(CONCATENATE("'",'Inconsistency Data'!$I$4,"'!N149"))="","",INDIRECT(CONCATENATE("'",'Inconsistency Data'!$I$4,"'!N149")))</f>
        <v/>
      </c>
      <c r="J149" s="127" t="str">
        <f ca="1">IF(INDIRECT(CONCATENATE("'",'Inconsistency Data'!$I$4,"'!O149"))="","",INDIRECT(CONCATENATE("'",'Inconsistency Data'!$I$4,"'!O149")))</f>
        <v/>
      </c>
      <c r="K149" s="128" t="str">
        <f ca="1">IF(INDIRECT(CONCATENATE("'",'Inconsistency Data'!$I$4,"'!Q149"))="","",INDIRECT(CONCATENATE("'",'Inconsistency Data'!$I$4,"'!Q149")))</f>
        <v/>
      </c>
      <c r="L149" s="129"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30" t="str">
        <f>IF('Fixed Effects'!N150="","",'Fixed Effects'!N150)</f>
        <v/>
      </c>
      <c r="E150" s="131" t="str">
        <f>IF('Fixed Effects'!O150="","",'Fixed Effects'!O150)</f>
        <v/>
      </c>
      <c r="F150" s="132" t="str">
        <f>IF('Fixed Effects'!Q150="","",'Fixed Effects'!Q150)</f>
        <v/>
      </c>
      <c r="G150" s="133"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40" t="str">
        <f ca="1">IF(INDIRECT(CONCATENATE("'",'Inconsistency Data'!$I$4,"'!N150"))="","",INDIRECT(CONCATENATE("'",'Inconsistency Data'!$I$4,"'!N150")))</f>
        <v/>
      </c>
      <c r="J150" s="131" t="str">
        <f ca="1">IF(INDIRECT(CONCATENATE("'",'Inconsistency Data'!$I$4,"'!O150"))="","",INDIRECT(CONCATENATE("'",'Inconsistency Data'!$I$4,"'!O150")))</f>
        <v/>
      </c>
      <c r="K150" s="132" t="str">
        <f ca="1">IF(INDIRECT(CONCATENATE("'",'Inconsistency Data'!$I$4,"'!Q150"))="","",INDIRECT(CONCATENATE("'",'Inconsistency Data'!$I$4,"'!Q150")))</f>
        <v/>
      </c>
      <c r="L150" s="133"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275"/>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77" spans="3:5" x14ac:dyDescent="0.25">
      <c r="C77" s="13"/>
      <c r="E77" s="13"/>
    </row>
    <row r="78" spans="3:5" x14ac:dyDescent="0.25">
      <c r="E78" s="13"/>
    </row>
    <row r="79" spans="3:5" x14ac:dyDescent="0.25">
      <c r="E79" s="13"/>
    </row>
    <row r="80" spans="3:5" x14ac:dyDescent="0.25">
      <c r="E80" s="13"/>
    </row>
    <row r="86" spans="5:6" x14ac:dyDescent="0.25">
      <c r="E86" s="13"/>
    </row>
    <row r="87" spans="5:6" x14ac:dyDescent="0.25">
      <c r="F87" s="13"/>
    </row>
    <row r="88" spans="5:6" x14ac:dyDescent="0.25">
      <c r="F88" s="13"/>
    </row>
    <row r="89" spans="5:6" x14ac:dyDescent="0.25">
      <c r="F89" s="13"/>
    </row>
    <row r="90" spans="5:6" x14ac:dyDescent="0.25">
      <c r="F90" s="13"/>
    </row>
    <row r="91" spans="5:6" x14ac:dyDescent="0.25">
      <c r="F91" s="13"/>
    </row>
    <row r="92" spans="5:6" x14ac:dyDescent="0.25">
      <c r="F92" s="13"/>
    </row>
    <row r="97" spans="6:6" x14ac:dyDescent="0.25">
      <c r="F97" s="13"/>
    </row>
    <row r="98" spans="6:6" x14ac:dyDescent="0.25">
      <c r="F98" s="13"/>
    </row>
    <row r="100" spans="6:6" x14ac:dyDescent="0.25">
      <c r="F100" s="13"/>
    </row>
    <row r="101" spans="6:6" x14ac:dyDescent="0.25">
      <c r="F101" s="13"/>
    </row>
    <row r="103" spans="6:6" x14ac:dyDescent="0.25">
      <c r="F103" s="13"/>
    </row>
    <row r="105" spans="6:6" x14ac:dyDescent="0.25">
      <c r="F105" s="13"/>
    </row>
    <row r="106" spans="6:6" x14ac:dyDescent="0.25">
      <c r="F106" s="13"/>
    </row>
    <row r="109" spans="6:6" x14ac:dyDescent="0.25">
      <c r="F109" s="13"/>
    </row>
    <row r="110" spans="6:6" x14ac:dyDescent="0.25">
      <c r="F110" s="13"/>
    </row>
    <row r="113" spans="6:6" x14ac:dyDescent="0.25">
      <c r="F113" s="13"/>
    </row>
    <row r="114" spans="6:6" x14ac:dyDescent="0.25">
      <c r="F114"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6" spans="6:6" x14ac:dyDescent="0.25">
      <c r="F126" s="13"/>
    </row>
    <row r="129" spans="6:6" x14ac:dyDescent="0.25">
      <c r="F129" s="13"/>
    </row>
    <row r="130" spans="6:6" x14ac:dyDescent="0.25">
      <c r="F130" s="13"/>
    </row>
    <row r="131" spans="6:6" x14ac:dyDescent="0.25">
      <c r="F131" s="13"/>
    </row>
    <row r="132" spans="6:6" x14ac:dyDescent="0.25">
      <c r="F132"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1" spans="6:6" x14ac:dyDescent="0.25">
      <c r="F141" s="13"/>
    </row>
    <row r="143" spans="6:6" x14ac:dyDescent="0.25">
      <c r="F143" s="13"/>
    </row>
    <row r="144" spans="6:6" x14ac:dyDescent="0.25">
      <c r="F144" s="13"/>
    </row>
    <row r="147" spans="3:6" x14ac:dyDescent="0.25">
      <c r="F147" s="13"/>
    </row>
    <row r="149" spans="3:6" x14ac:dyDescent="0.25">
      <c r="F149" s="13"/>
    </row>
    <row r="150" spans="3:6" x14ac:dyDescent="0.25">
      <c r="F150" s="13"/>
    </row>
    <row r="152" spans="3:6" x14ac:dyDescent="0.25">
      <c r="F152" s="13"/>
    </row>
    <row r="153" spans="3:6" x14ac:dyDescent="0.25">
      <c r="E153" s="13"/>
    </row>
    <row r="154" spans="3:6" x14ac:dyDescent="0.25">
      <c r="E154" s="13"/>
    </row>
    <row r="155" spans="3:6" x14ac:dyDescent="0.25">
      <c r="C155" s="13"/>
      <c r="E155" s="13"/>
    </row>
    <row r="161" spans="3:5" x14ac:dyDescent="0.25">
      <c r="E161" s="13"/>
    </row>
    <row r="162" spans="3:5" x14ac:dyDescent="0.25">
      <c r="E162" s="13"/>
    </row>
    <row r="163" spans="3:5" x14ac:dyDescent="0.25">
      <c r="E163" s="13"/>
    </row>
    <row r="164" spans="3:5" x14ac:dyDescent="0.25">
      <c r="E164" s="13"/>
    </row>
    <row r="165" spans="3:5" x14ac:dyDescent="0.25">
      <c r="E165" s="13"/>
    </row>
    <row r="166" spans="3:5" x14ac:dyDescent="0.25">
      <c r="C166" s="13"/>
      <c r="E166" s="13"/>
    </row>
    <row r="170" spans="3:5" x14ac:dyDescent="0.25">
      <c r="E170" s="13"/>
    </row>
    <row r="171" spans="3:5" x14ac:dyDescent="0.25">
      <c r="E171" s="13"/>
    </row>
    <row r="178" spans="3:5" x14ac:dyDescent="0.25">
      <c r="E178" s="13"/>
    </row>
    <row r="179" spans="3:5" x14ac:dyDescent="0.25">
      <c r="E179" s="13"/>
    </row>
    <row r="187" spans="3:5" x14ac:dyDescent="0.25">
      <c r="C187" s="13"/>
      <c r="E187" s="13"/>
    </row>
    <row r="188" spans="3:5" x14ac:dyDescent="0.25">
      <c r="E188" s="13"/>
    </row>
    <row r="197" spans="5:5" x14ac:dyDescent="0.25">
      <c r="E197" s="13"/>
    </row>
    <row r="206" spans="5:5" x14ac:dyDescent="0.25">
      <c r="E206" s="13"/>
    </row>
    <row r="215" spans="5:5" x14ac:dyDescent="0.25">
      <c r="E215" s="13"/>
    </row>
    <row r="223" spans="5:5" x14ac:dyDescent="0.25">
      <c r="E223" s="13"/>
    </row>
    <row r="224" spans="5:5" x14ac:dyDescent="0.25">
      <c r="E224" s="13"/>
    </row>
    <row r="225" spans="5:5" x14ac:dyDescent="0.25">
      <c r="E225" s="13"/>
    </row>
    <row r="226" spans="5:5" x14ac:dyDescent="0.25">
      <c r="E226" s="13"/>
    </row>
    <row r="227" spans="5:5" x14ac:dyDescent="0.25">
      <c r="E227" s="13"/>
    </row>
    <row r="228" spans="5:5" x14ac:dyDescent="0.25">
      <c r="E228" s="13"/>
    </row>
    <row r="229" spans="5:5" x14ac:dyDescent="0.25">
      <c r="E229" s="13"/>
    </row>
    <row r="230" spans="5:5" x14ac:dyDescent="0.25">
      <c r="E230" s="13"/>
    </row>
    <row r="231" spans="5:5" x14ac:dyDescent="0.25">
      <c r="E231" s="13"/>
    </row>
    <row r="232" spans="5:5" x14ac:dyDescent="0.25">
      <c r="E232" s="13"/>
    </row>
    <row r="233" spans="5:5" x14ac:dyDescent="0.25">
      <c r="E233" s="13"/>
    </row>
    <row r="275" spans="5:5" x14ac:dyDescent="0.25">
      <c r="E275"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294"/>
  <sheetViews>
    <sheetView showGridLines="0" topLeftCell="A46" workbookViewId="0">
      <selection activeCell="Q53" sqref="Q53"/>
    </sheetView>
  </sheetViews>
  <sheetFormatPr defaultRowHeight="15" x14ac:dyDescent="0.25"/>
  <sheetData>
    <row r="1" spans="1:1" hidden="1" x14ac:dyDescent="0.25">
      <c r="A1" t="s">
        <v>325</v>
      </c>
    </row>
    <row r="2" spans="1:1" hidden="1" x14ac:dyDescent="0.25">
      <c r="A2" t="s">
        <v>453</v>
      </c>
    </row>
    <row r="3" spans="1:1" hidden="1" x14ac:dyDescent="0.25">
      <c r="A3" t="s">
        <v>326</v>
      </c>
    </row>
    <row r="4" spans="1:1" hidden="1" x14ac:dyDescent="0.25">
      <c r="A4" t="s">
        <v>327</v>
      </c>
    </row>
    <row r="5" spans="1:1" hidden="1" x14ac:dyDescent="0.25">
      <c r="A5" t="s">
        <v>342</v>
      </c>
    </row>
    <row r="6" spans="1:1" hidden="1" x14ac:dyDescent="0.25">
      <c r="A6" t="s">
        <v>328</v>
      </c>
    </row>
    <row r="7" spans="1:1" hidden="1" x14ac:dyDescent="0.25">
      <c r="A7" t="s">
        <v>342</v>
      </c>
    </row>
    <row r="8" spans="1:1" hidden="1" x14ac:dyDescent="0.25">
      <c r="A8" t="s">
        <v>23</v>
      </c>
    </row>
    <row r="9" spans="1:1" hidden="1" x14ac:dyDescent="0.25">
      <c r="A9" t="s">
        <v>343</v>
      </c>
    </row>
    <row r="10" spans="1:1" hidden="1" x14ac:dyDescent="0.25">
      <c r="A10" t="s">
        <v>454</v>
      </c>
    </row>
    <row r="11" spans="1:1" hidden="1" x14ac:dyDescent="0.25">
      <c r="A11" t="s">
        <v>455</v>
      </c>
    </row>
    <row r="12" spans="1:1" hidden="1" x14ac:dyDescent="0.25">
      <c r="A12" t="s">
        <v>456</v>
      </c>
    </row>
    <row r="13" spans="1:1" hidden="1" x14ac:dyDescent="0.25">
      <c r="A13" t="s">
        <v>455</v>
      </c>
    </row>
    <row r="14" spans="1:1" hidden="1" x14ac:dyDescent="0.25">
      <c r="A14" t="s">
        <v>457</v>
      </c>
    </row>
    <row r="15" spans="1:1" hidden="1" x14ac:dyDescent="0.25">
      <c r="A15" t="s">
        <v>455</v>
      </c>
    </row>
    <row r="16" spans="1:1" hidden="1" x14ac:dyDescent="0.25">
      <c r="A16" t="s">
        <v>25</v>
      </c>
    </row>
    <row r="17" spans="1:1" hidden="1" x14ac:dyDescent="0.25">
      <c r="A17" t="s">
        <v>458</v>
      </c>
    </row>
    <row r="18" spans="1:1" hidden="1" x14ac:dyDescent="0.25">
      <c r="A18" t="s">
        <v>329</v>
      </c>
    </row>
    <row r="19" spans="1:1" hidden="1" x14ac:dyDescent="0.25">
      <c r="A19" t="s">
        <v>330</v>
      </c>
    </row>
    <row r="20" spans="1:1" hidden="1" x14ac:dyDescent="0.25">
      <c r="A20" t="s">
        <v>331</v>
      </c>
    </row>
    <row r="21" spans="1:1" hidden="1" x14ac:dyDescent="0.25">
      <c r="A21" t="s">
        <v>332</v>
      </c>
    </row>
    <row r="22" spans="1:1" hidden="1" x14ac:dyDescent="0.25">
      <c r="A22" t="s">
        <v>333</v>
      </c>
    </row>
    <row r="23" spans="1:1" hidden="1" x14ac:dyDescent="0.25">
      <c r="A23" t="s">
        <v>334</v>
      </c>
    </row>
    <row r="24" spans="1:1" hidden="1" x14ac:dyDescent="0.25">
      <c r="A24" t="s">
        <v>335</v>
      </c>
    </row>
    <row r="25" spans="1:1" hidden="1" x14ac:dyDescent="0.25">
      <c r="A25" t="s">
        <v>336</v>
      </c>
    </row>
    <row r="26" spans="1:1" hidden="1" x14ac:dyDescent="0.25">
      <c r="A26" t="s">
        <v>199</v>
      </c>
    </row>
    <row r="27" spans="1:1" hidden="1" x14ac:dyDescent="0.25">
      <c r="A27" t="s">
        <v>201</v>
      </c>
    </row>
    <row r="28" spans="1:1" hidden="1" x14ac:dyDescent="0.25">
      <c r="A28" t="s">
        <v>265</v>
      </c>
    </row>
    <row r="29" spans="1:1" hidden="1" x14ac:dyDescent="0.25">
      <c r="A29" t="s">
        <v>329</v>
      </c>
    </row>
    <row r="30" spans="1:1" hidden="1" x14ac:dyDescent="0.25">
      <c r="A30" t="s">
        <v>337</v>
      </c>
    </row>
    <row r="32" spans="1:1" x14ac:dyDescent="0.25">
      <c r="A32" t="s">
        <v>344</v>
      </c>
    </row>
    <row r="33" spans="2:10" x14ac:dyDescent="0.25">
      <c r="B33" t="s">
        <v>345</v>
      </c>
      <c r="C33" t="s">
        <v>346</v>
      </c>
      <c r="D33" t="s">
        <v>347</v>
      </c>
      <c r="E33" t="s">
        <v>348</v>
      </c>
      <c r="F33" s="12">
        <v>2.5000000000000001E-2</v>
      </c>
      <c r="G33" t="s">
        <v>349</v>
      </c>
      <c r="H33" s="12">
        <v>0.97499999999999998</v>
      </c>
      <c r="I33" t="s">
        <v>350</v>
      </c>
      <c r="J33" t="s">
        <v>351</v>
      </c>
    </row>
    <row r="34" spans="2:10" x14ac:dyDescent="0.25">
      <c r="B34" t="s">
        <v>352</v>
      </c>
      <c r="C34">
        <v>1.4630000000000001</v>
      </c>
      <c r="D34">
        <v>0.31609999999999999</v>
      </c>
      <c r="E34">
        <v>2.2239999999999999E-2</v>
      </c>
      <c r="F34">
        <v>0.92449999999999999</v>
      </c>
      <c r="G34">
        <v>1.431</v>
      </c>
      <c r="H34">
        <v>2.1760000000000002</v>
      </c>
      <c r="I34">
        <v>1001</v>
      </c>
      <c r="J34">
        <v>3000</v>
      </c>
    </row>
    <row r="35" spans="2:10" x14ac:dyDescent="0.25">
      <c r="B35" t="s">
        <v>353</v>
      </c>
      <c r="C35">
        <v>0.58689999999999998</v>
      </c>
      <c r="D35">
        <v>0.17530000000000001</v>
      </c>
      <c r="E35">
        <v>1.315E-2</v>
      </c>
      <c r="F35">
        <v>0.32140000000000002</v>
      </c>
      <c r="G35">
        <v>0.55700000000000005</v>
      </c>
      <c r="H35">
        <v>0.995</v>
      </c>
      <c r="I35">
        <v>1001</v>
      </c>
      <c r="J35">
        <v>3000</v>
      </c>
    </row>
    <row r="36" spans="2:10" x14ac:dyDescent="0.25">
      <c r="B36" t="s">
        <v>354</v>
      </c>
      <c r="C36">
        <v>0.4698</v>
      </c>
      <c r="D36">
        <v>0.2114</v>
      </c>
      <c r="E36">
        <v>1.34E-2</v>
      </c>
      <c r="F36">
        <v>0.18459999999999999</v>
      </c>
      <c r="G36">
        <v>0.42959999999999998</v>
      </c>
      <c r="H36">
        <v>0.96389999999999998</v>
      </c>
      <c r="I36">
        <v>1001</v>
      </c>
      <c r="J36">
        <v>3000</v>
      </c>
    </row>
    <row r="37" spans="2:10" x14ac:dyDescent="0.25">
      <c r="B37" t="s">
        <v>355</v>
      </c>
      <c r="C37">
        <v>0.45019999999999999</v>
      </c>
      <c r="D37">
        <v>0.36940000000000001</v>
      </c>
      <c r="E37">
        <v>2.0219999999999998E-2</v>
      </c>
      <c r="F37">
        <v>9.5070000000000002E-2</v>
      </c>
      <c r="G37">
        <v>0.35189999999999999</v>
      </c>
      <c r="H37">
        <v>1.4239999999999999</v>
      </c>
      <c r="I37">
        <v>1001</v>
      </c>
      <c r="J37">
        <v>3000</v>
      </c>
    </row>
    <row r="38" spans="2:10" x14ac:dyDescent="0.25">
      <c r="B38" t="s">
        <v>521</v>
      </c>
      <c r="C38">
        <v>0.57940000000000003</v>
      </c>
      <c r="D38">
        <v>0.36120000000000002</v>
      </c>
      <c r="E38">
        <v>2.027E-2</v>
      </c>
      <c r="F38">
        <v>0.20549999999999999</v>
      </c>
      <c r="G38">
        <v>0.48949999999999999</v>
      </c>
      <c r="H38">
        <v>1.419</v>
      </c>
      <c r="I38">
        <v>1001</v>
      </c>
      <c r="J38">
        <v>3000</v>
      </c>
    </row>
    <row r="39" spans="2:10" x14ac:dyDescent="0.25">
      <c r="B39" t="s">
        <v>522</v>
      </c>
      <c r="C39">
        <v>1.22</v>
      </c>
      <c r="D39">
        <v>0.90190000000000003</v>
      </c>
      <c r="E39">
        <v>4.8840000000000001E-2</v>
      </c>
      <c r="F39">
        <v>0.32350000000000001</v>
      </c>
      <c r="G39">
        <v>0.99119999999999997</v>
      </c>
      <c r="H39">
        <v>3.5779999999999998</v>
      </c>
      <c r="I39">
        <v>1001</v>
      </c>
      <c r="J39">
        <v>3000</v>
      </c>
    </row>
    <row r="40" spans="2:10" x14ac:dyDescent="0.25">
      <c r="B40" t="s">
        <v>523</v>
      </c>
      <c r="C40">
        <v>0.68169999999999997</v>
      </c>
      <c r="D40">
        <v>0.17430000000000001</v>
      </c>
      <c r="E40">
        <v>1.1679999999999999E-2</v>
      </c>
      <c r="F40">
        <v>0.38379999999999997</v>
      </c>
      <c r="G40">
        <v>0.66959999999999997</v>
      </c>
      <c r="H40">
        <v>1.0620000000000001</v>
      </c>
      <c r="I40">
        <v>1001</v>
      </c>
      <c r="J40">
        <v>3000</v>
      </c>
    </row>
    <row r="41" spans="2:10" x14ac:dyDescent="0.25">
      <c r="B41" t="s">
        <v>524</v>
      </c>
      <c r="C41">
        <v>7.5369999999999999</v>
      </c>
      <c r="D41">
        <v>3.137</v>
      </c>
      <c r="E41">
        <v>0.2331</v>
      </c>
      <c r="F41">
        <v>3.6640000000000001</v>
      </c>
      <c r="G41">
        <v>6.8650000000000002</v>
      </c>
      <c r="H41">
        <v>16.03</v>
      </c>
      <c r="I41">
        <v>1001</v>
      </c>
      <c r="J41">
        <v>3000</v>
      </c>
    </row>
    <row r="42" spans="2:10" x14ac:dyDescent="0.25">
      <c r="B42" t="s">
        <v>356</v>
      </c>
      <c r="C42">
        <v>0.41099999999999998</v>
      </c>
      <c r="D42">
        <v>0.12470000000000001</v>
      </c>
      <c r="E42">
        <v>9.5659999999999999E-3</v>
      </c>
      <c r="F42">
        <v>0.2114</v>
      </c>
      <c r="G42">
        <v>0.38919999999999999</v>
      </c>
      <c r="H42">
        <v>0.71860000000000002</v>
      </c>
      <c r="I42">
        <v>1001</v>
      </c>
      <c r="J42">
        <v>3000</v>
      </c>
    </row>
    <row r="43" spans="2:10" x14ac:dyDescent="0.25">
      <c r="B43" t="s">
        <v>357</v>
      </c>
      <c r="C43">
        <v>0.32829999999999998</v>
      </c>
      <c r="D43">
        <v>0.14369999999999999</v>
      </c>
      <c r="E43">
        <v>9.0910000000000001E-3</v>
      </c>
      <c r="F43">
        <v>0.1229</v>
      </c>
      <c r="G43">
        <v>0.30099999999999999</v>
      </c>
      <c r="H43">
        <v>0.67169999999999996</v>
      </c>
      <c r="I43">
        <v>1001</v>
      </c>
      <c r="J43">
        <v>3000</v>
      </c>
    </row>
    <row r="44" spans="2:10" x14ac:dyDescent="0.25">
      <c r="B44" t="s">
        <v>358</v>
      </c>
      <c r="C44">
        <v>0.30790000000000001</v>
      </c>
      <c r="D44">
        <v>0.2271</v>
      </c>
      <c r="E44">
        <v>1.269E-2</v>
      </c>
      <c r="F44">
        <v>6.7830000000000001E-2</v>
      </c>
      <c r="G44">
        <v>0.25290000000000001</v>
      </c>
      <c r="H44">
        <v>0.90759999999999996</v>
      </c>
      <c r="I44">
        <v>1001</v>
      </c>
      <c r="J44">
        <v>3000</v>
      </c>
    </row>
    <row r="45" spans="2:10" x14ac:dyDescent="0.25">
      <c r="B45" t="s">
        <v>525</v>
      </c>
      <c r="C45">
        <v>0.40110000000000001</v>
      </c>
      <c r="D45">
        <v>0.2271</v>
      </c>
      <c r="E45">
        <v>1.2529999999999999E-2</v>
      </c>
      <c r="F45">
        <v>0.1384</v>
      </c>
      <c r="G45">
        <v>0.35270000000000001</v>
      </c>
      <c r="H45">
        <v>0.95269999999999999</v>
      </c>
      <c r="I45">
        <v>1001</v>
      </c>
      <c r="J45">
        <v>3000</v>
      </c>
    </row>
    <row r="46" spans="2:10" x14ac:dyDescent="0.25">
      <c r="B46" t="s">
        <v>526</v>
      </c>
      <c r="C46">
        <v>0.83940000000000003</v>
      </c>
      <c r="D46">
        <v>0.5635</v>
      </c>
      <c r="E46">
        <v>3.1390000000000001E-2</v>
      </c>
      <c r="F46">
        <v>0.21379999999999999</v>
      </c>
      <c r="G46">
        <v>0.71479999999999999</v>
      </c>
      <c r="H46">
        <v>2.4289999999999998</v>
      </c>
      <c r="I46">
        <v>1001</v>
      </c>
      <c r="J46">
        <v>3000</v>
      </c>
    </row>
    <row r="47" spans="2:10" x14ac:dyDescent="0.25">
      <c r="B47" t="s">
        <v>527</v>
      </c>
      <c r="C47">
        <v>0.48010000000000003</v>
      </c>
      <c r="D47">
        <v>0.13439999999999999</v>
      </c>
      <c r="E47">
        <v>8.5179999999999995E-3</v>
      </c>
      <c r="F47">
        <v>0.24579999999999999</v>
      </c>
      <c r="G47">
        <v>0.46960000000000002</v>
      </c>
      <c r="H47">
        <v>0.79090000000000005</v>
      </c>
      <c r="I47">
        <v>1001</v>
      </c>
      <c r="J47">
        <v>3000</v>
      </c>
    </row>
    <row r="48" spans="2:10" x14ac:dyDescent="0.25">
      <c r="B48" t="s">
        <v>528</v>
      </c>
      <c r="C48">
        <v>5.26</v>
      </c>
      <c r="D48">
        <v>2.0649999999999999</v>
      </c>
      <c r="E48">
        <v>0.14949999999999999</v>
      </c>
      <c r="F48">
        <v>2.496</v>
      </c>
      <c r="G48">
        <v>4.8600000000000003</v>
      </c>
      <c r="H48">
        <v>10.52</v>
      </c>
      <c r="I48">
        <v>1001</v>
      </c>
      <c r="J48">
        <v>3000</v>
      </c>
    </row>
    <row r="49" spans="2:10" x14ac:dyDescent="0.25">
      <c r="B49" t="s">
        <v>359</v>
      </c>
      <c r="C49">
        <v>0.79930000000000001</v>
      </c>
      <c r="D49">
        <v>0.2505</v>
      </c>
      <c r="E49">
        <v>1.261E-2</v>
      </c>
      <c r="F49">
        <v>0.4037</v>
      </c>
      <c r="G49">
        <v>0.77300000000000002</v>
      </c>
      <c r="H49">
        <v>1.3859999999999999</v>
      </c>
      <c r="I49">
        <v>1001</v>
      </c>
      <c r="J49">
        <v>3000</v>
      </c>
    </row>
    <row r="50" spans="2:10" x14ac:dyDescent="0.25">
      <c r="B50" t="s">
        <v>360</v>
      </c>
      <c r="C50">
        <v>0.82340000000000002</v>
      </c>
      <c r="D50">
        <v>0.68030000000000002</v>
      </c>
      <c r="E50">
        <v>3.9210000000000002E-2</v>
      </c>
      <c r="F50">
        <v>0.1545</v>
      </c>
      <c r="G50">
        <v>0.61599999999999999</v>
      </c>
      <c r="H50">
        <v>2.601</v>
      </c>
      <c r="I50">
        <v>1001</v>
      </c>
      <c r="J50">
        <v>3000</v>
      </c>
    </row>
    <row r="51" spans="2:10" x14ac:dyDescent="0.25">
      <c r="B51" t="s">
        <v>529</v>
      </c>
      <c r="C51">
        <v>0.99460000000000004</v>
      </c>
      <c r="D51">
        <v>0.49299999999999999</v>
      </c>
      <c r="E51">
        <v>2.7060000000000001E-2</v>
      </c>
      <c r="F51">
        <v>0.40339999999999998</v>
      </c>
      <c r="G51">
        <v>0.89080000000000004</v>
      </c>
      <c r="H51">
        <v>2.1760000000000002</v>
      </c>
      <c r="I51">
        <v>1001</v>
      </c>
      <c r="J51">
        <v>3000</v>
      </c>
    </row>
    <row r="52" spans="2:10" x14ac:dyDescent="0.25">
      <c r="B52" t="s">
        <v>530</v>
      </c>
      <c r="C52">
        <v>2.2410000000000001</v>
      </c>
      <c r="D52">
        <v>1.8149999999999999</v>
      </c>
      <c r="E52">
        <v>0.1024</v>
      </c>
      <c r="F52">
        <v>0.47770000000000001</v>
      </c>
      <c r="G52">
        <v>1.7929999999999999</v>
      </c>
      <c r="H52">
        <v>7.0019999999999998</v>
      </c>
      <c r="I52">
        <v>1001</v>
      </c>
      <c r="J52">
        <v>3000</v>
      </c>
    </row>
    <row r="53" spans="2:10" x14ac:dyDescent="0.25">
      <c r="B53" t="s">
        <v>531</v>
      </c>
      <c r="C53">
        <v>1.226</v>
      </c>
      <c r="D53">
        <v>0.36830000000000002</v>
      </c>
      <c r="E53">
        <v>2.5600000000000001E-2</v>
      </c>
      <c r="F53">
        <v>0.63129999999999997</v>
      </c>
      <c r="G53">
        <v>1.179</v>
      </c>
      <c r="H53">
        <v>2.08</v>
      </c>
      <c r="I53">
        <v>1001</v>
      </c>
      <c r="J53">
        <v>3000</v>
      </c>
    </row>
    <row r="54" spans="2:10" x14ac:dyDescent="0.25">
      <c r="B54" t="s">
        <v>532</v>
      </c>
      <c r="C54">
        <v>13.82</v>
      </c>
      <c r="D54">
        <v>6.55</v>
      </c>
      <c r="E54">
        <v>0.50429999999999997</v>
      </c>
      <c r="F54">
        <v>5.2460000000000004</v>
      </c>
      <c r="G54">
        <v>12.24</v>
      </c>
      <c r="H54">
        <v>30.54</v>
      </c>
      <c r="I54">
        <v>1001</v>
      </c>
      <c r="J54">
        <v>3000</v>
      </c>
    </row>
    <row r="55" spans="2:10" x14ac:dyDescent="0.25">
      <c r="B55" t="s">
        <v>361</v>
      </c>
      <c r="C55">
        <v>1.1180000000000001</v>
      </c>
      <c r="D55">
        <v>0.98970000000000002</v>
      </c>
      <c r="E55">
        <v>5.459E-2</v>
      </c>
      <c r="F55">
        <v>0.17519999999999999</v>
      </c>
      <c r="G55">
        <v>0.81769999999999998</v>
      </c>
      <c r="H55">
        <v>3.64</v>
      </c>
      <c r="I55">
        <v>1001</v>
      </c>
      <c r="J55">
        <v>3000</v>
      </c>
    </row>
    <row r="56" spans="2:10" x14ac:dyDescent="0.25">
      <c r="B56" t="s">
        <v>533</v>
      </c>
      <c r="C56">
        <v>1.2969999999999999</v>
      </c>
      <c r="D56">
        <v>0.61399999999999999</v>
      </c>
      <c r="E56">
        <v>3.2489999999999998E-2</v>
      </c>
      <c r="F56">
        <v>0.53120000000000001</v>
      </c>
      <c r="G56">
        <v>1.1599999999999999</v>
      </c>
      <c r="H56">
        <v>2.762</v>
      </c>
      <c r="I56">
        <v>1001</v>
      </c>
      <c r="J56">
        <v>3000</v>
      </c>
    </row>
    <row r="57" spans="2:10" x14ac:dyDescent="0.25">
      <c r="B57" t="s">
        <v>534</v>
      </c>
      <c r="C57">
        <v>3.0779999999999998</v>
      </c>
      <c r="D57">
        <v>2.9470000000000001</v>
      </c>
      <c r="E57">
        <v>0.15720000000000001</v>
      </c>
      <c r="F57">
        <v>0.58040000000000003</v>
      </c>
      <c r="G57">
        <v>2.2949999999999999</v>
      </c>
      <c r="H57">
        <v>10.14</v>
      </c>
      <c r="I57">
        <v>1001</v>
      </c>
      <c r="J57">
        <v>3000</v>
      </c>
    </row>
    <row r="58" spans="2:10" x14ac:dyDescent="0.25">
      <c r="B58" t="s">
        <v>535</v>
      </c>
      <c r="C58">
        <v>1.6779999999999999</v>
      </c>
      <c r="D58">
        <v>0.73429999999999995</v>
      </c>
      <c r="E58">
        <v>4.5080000000000002E-2</v>
      </c>
      <c r="F58">
        <v>0.64439999999999997</v>
      </c>
      <c r="G58">
        <v>1.53</v>
      </c>
      <c r="H58">
        <v>3.548</v>
      </c>
      <c r="I58">
        <v>1001</v>
      </c>
      <c r="J58">
        <v>3000</v>
      </c>
    </row>
    <row r="59" spans="2:10" x14ac:dyDescent="0.25">
      <c r="B59" t="s">
        <v>536</v>
      </c>
      <c r="C59">
        <v>18.920000000000002</v>
      </c>
      <c r="D59">
        <v>11.03</v>
      </c>
      <c r="E59">
        <v>0.75839999999999996</v>
      </c>
      <c r="F59">
        <v>5.72</v>
      </c>
      <c r="G59">
        <v>16.579999999999998</v>
      </c>
      <c r="H59">
        <v>48.36</v>
      </c>
      <c r="I59">
        <v>1001</v>
      </c>
      <c r="J59">
        <v>3000</v>
      </c>
    </row>
    <row r="60" spans="2:10" x14ac:dyDescent="0.25">
      <c r="B60" t="s">
        <v>537</v>
      </c>
      <c r="C60">
        <v>2.0099999999999998</v>
      </c>
      <c r="D60">
        <v>2.08</v>
      </c>
      <c r="E60">
        <v>0.1115</v>
      </c>
      <c r="F60">
        <v>0.28760000000000002</v>
      </c>
      <c r="G60">
        <v>1.389</v>
      </c>
      <c r="H60">
        <v>7.609</v>
      </c>
      <c r="I60">
        <v>1001</v>
      </c>
      <c r="J60">
        <v>3000</v>
      </c>
    </row>
    <row r="61" spans="2:10" x14ac:dyDescent="0.25">
      <c r="B61" t="s">
        <v>538</v>
      </c>
      <c r="C61">
        <v>4.3499999999999996</v>
      </c>
      <c r="D61">
        <v>5.375</v>
      </c>
      <c r="E61">
        <v>0.27679999999999999</v>
      </c>
      <c r="F61">
        <v>0.45860000000000001</v>
      </c>
      <c r="G61">
        <v>2.8039999999999998</v>
      </c>
      <c r="H61">
        <v>18.149999999999999</v>
      </c>
      <c r="I61">
        <v>1001</v>
      </c>
      <c r="J61">
        <v>3000</v>
      </c>
    </row>
    <row r="62" spans="2:10" x14ac:dyDescent="0.25">
      <c r="B62" t="s">
        <v>539</v>
      </c>
      <c r="C62">
        <v>2.3570000000000002</v>
      </c>
      <c r="D62">
        <v>1.948</v>
      </c>
      <c r="E62">
        <v>9.9769999999999998E-2</v>
      </c>
      <c r="F62">
        <v>0.44180000000000003</v>
      </c>
      <c r="G62">
        <v>1.903</v>
      </c>
      <c r="H62">
        <v>7.0810000000000004</v>
      </c>
      <c r="I62">
        <v>1001</v>
      </c>
      <c r="J62">
        <v>3000</v>
      </c>
    </row>
    <row r="63" spans="2:10" x14ac:dyDescent="0.25">
      <c r="B63" t="s">
        <v>540</v>
      </c>
      <c r="C63">
        <v>26.06</v>
      </c>
      <c r="D63">
        <v>26.54</v>
      </c>
      <c r="E63">
        <v>1.391</v>
      </c>
      <c r="F63">
        <v>4.6859999999999999</v>
      </c>
      <c r="G63">
        <v>18.97</v>
      </c>
      <c r="H63">
        <v>92.05</v>
      </c>
      <c r="I63">
        <v>1001</v>
      </c>
      <c r="J63">
        <v>3000</v>
      </c>
    </row>
    <row r="64" spans="2:10" x14ac:dyDescent="0.25">
      <c r="B64" t="s">
        <v>541</v>
      </c>
      <c r="C64">
        <v>2.71</v>
      </c>
      <c r="D64">
        <v>2.9750000000000001</v>
      </c>
      <c r="E64">
        <v>0.1452</v>
      </c>
      <c r="F64">
        <v>0.41860000000000003</v>
      </c>
      <c r="G64">
        <v>1.9790000000000001</v>
      </c>
      <c r="H64">
        <v>9.3789999999999996</v>
      </c>
      <c r="I64">
        <v>1001</v>
      </c>
      <c r="J64">
        <v>3000</v>
      </c>
    </row>
    <row r="65" spans="2:10" x14ac:dyDescent="0.25">
      <c r="B65" t="s">
        <v>542</v>
      </c>
      <c r="C65">
        <v>1.478</v>
      </c>
      <c r="D65">
        <v>0.77880000000000005</v>
      </c>
      <c r="E65">
        <v>4.6510000000000003E-2</v>
      </c>
      <c r="F65">
        <v>0.45810000000000001</v>
      </c>
      <c r="G65">
        <v>1.3280000000000001</v>
      </c>
      <c r="H65">
        <v>3.339</v>
      </c>
      <c r="I65">
        <v>1001</v>
      </c>
      <c r="J65">
        <v>3000</v>
      </c>
    </row>
    <row r="66" spans="2:10" x14ac:dyDescent="0.25">
      <c r="B66" t="s">
        <v>543</v>
      </c>
      <c r="C66">
        <v>16.84</v>
      </c>
      <c r="D66">
        <v>11.27</v>
      </c>
      <c r="E66">
        <v>0.71689999999999998</v>
      </c>
      <c r="F66">
        <v>4.1580000000000004</v>
      </c>
      <c r="G66">
        <v>14.17</v>
      </c>
      <c r="H66">
        <v>46.11</v>
      </c>
      <c r="I66">
        <v>1001</v>
      </c>
      <c r="J66">
        <v>3000</v>
      </c>
    </row>
    <row r="67" spans="2:10" x14ac:dyDescent="0.25">
      <c r="B67" t="s">
        <v>544</v>
      </c>
      <c r="C67">
        <v>0.8095</v>
      </c>
      <c r="D67">
        <v>0.59460000000000002</v>
      </c>
      <c r="E67">
        <v>3.6929999999999998E-2</v>
      </c>
      <c r="F67">
        <v>0.16750000000000001</v>
      </c>
      <c r="G67">
        <v>0.65490000000000004</v>
      </c>
      <c r="H67">
        <v>2.3940000000000001</v>
      </c>
      <c r="I67">
        <v>1001</v>
      </c>
      <c r="J67">
        <v>3000</v>
      </c>
    </row>
    <row r="68" spans="2:10" x14ac:dyDescent="0.25">
      <c r="B68" t="s">
        <v>545</v>
      </c>
      <c r="C68">
        <v>8.968</v>
      </c>
      <c r="D68">
        <v>7.8710000000000004</v>
      </c>
      <c r="E68">
        <v>0.49080000000000001</v>
      </c>
      <c r="F68">
        <v>1.7709999999999999</v>
      </c>
      <c r="G68">
        <v>6.9779999999999998</v>
      </c>
      <c r="H68">
        <v>29.85</v>
      </c>
      <c r="I68">
        <v>1001</v>
      </c>
      <c r="J68">
        <v>3000</v>
      </c>
    </row>
    <row r="69" spans="2:10" x14ac:dyDescent="0.25">
      <c r="B69" t="s">
        <v>546</v>
      </c>
      <c r="C69">
        <v>11.55</v>
      </c>
      <c r="D69">
        <v>4.9619999999999997</v>
      </c>
      <c r="E69">
        <v>0.3695</v>
      </c>
      <c r="F69">
        <v>4.8609999999999998</v>
      </c>
      <c r="G69">
        <v>10.52</v>
      </c>
      <c r="H69">
        <v>25.32</v>
      </c>
      <c r="I69">
        <v>1001</v>
      </c>
      <c r="J69">
        <v>3000</v>
      </c>
    </row>
    <row r="70" spans="2:10" x14ac:dyDescent="0.25">
      <c r="B70" t="s">
        <v>362</v>
      </c>
      <c r="C70">
        <v>0.33450000000000002</v>
      </c>
      <c r="D70">
        <v>0.1074</v>
      </c>
      <c r="E70">
        <v>6.4060000000000002E-3</v>
      </c>
      <c r="F70">
        <v>0.125</v>
      </c>
      <c r="G70">
        <v>0.375</v>
      </c>
      <c r="H70">
        <v>0.625</v>
      </c>
      <c r="I70">
        <v>1001</v>
      </c>
      <c r="J70">
        <v>3000</v>
      </c>
    </row>
    <row r="71" spans="2:10" x14ac:dyDescent="0.25">
      <c r="B71" t="s">
        <v>363</v>
      </c>
      <c r="C71">
        <v>0.16900000000000001</v>
      </c>
      <c r="D71">
        <v>6.8019999999999997E-2</v>
      </c>
      <c r="E71">
        <v>3.6700000000000001E-3</v>
      </c>
      <c r="F71">
        <v>0.125</v>
      </c>
      <c r="G71">
        <v>0.125</v>
      </c>
      <c r="H71">
        <v>0.375</v>
      </c>
      <c r="I71">
        <v>1001</v>
      </c>
      <c r="J71">
        <v>3000</v>
      </c>
    </row>
    <row r="72" spans="2:10" x14ac:dyDescent="0.25">
      <c r="B72" t="s">
        <v>364</v>
      </c>
      <c r="C72">
        <v>0.66749999999999998</v>
      </c>
      <c r="D72">
        <v>0.14069999999999999</v>
      </c>
      <c r="E72">
        <v>9.0259999999999993E-3</v>
      </c>
      <c r="F72">
        <v>0.375</v>
      </c>
      <c r="G72">
        <v>0.625</v>
      </c>
      <c r="H72">
        <v>0.875</v>
      </c>
      <c r="I72">
        <v>1001</v>
      </c>
      <c r="J72">
        <v>3000</v>
      </c>
    </row>
    <row r="73" spans="2:10" x14ac:dyDescent="0.25">
      <c r="B73" t="s">
        <v>365</v>
      </c>
      <c r="C73">
        <v>0.82320000000000004</v>
      </c>
      <c r="D73">
        <v>0.1492</v>
      </c>
      <c r="E73">
        <v>7.5589999999999997E-3</v>
      </c>
      <c r="F73">
        <v>0.5</v>
      </c>
      <c r="G73">
        <v>0.875</v>
      </c>
      <c r="H73">
        <v>1</v>
      </c>
      <c r="I73">
        <v>1001</v>
      </c>
      <c r="J73">
        <v>3000</v>
      </c>
    </row>
    <row r="74" spans="2:10" x14ac:dyDescent="0.25">
      <c r="B74" t="s">
        <v>366</v>
      </c>
      <c r="C74">
        <v>0.82669999999999999</v>
      </c>
      <c r="D74">
        <v>0.23499999999999999</v>
      </c>
      <c r="E74">
        <v>1.4449999999999999E-2</v>
      </c>
      <c r="F74">
        <v>0.25</v>
      </c>
      <c r="G74">
        <v>1</v>
      </c>
      <c r="H74">
        <v>1</v>
      </c>
      <c r="I74">
        <v>1001</v>
      </c>
      <c r="J74">
        <v>3000</v>
      </c>
    </row>
    <row r="75" spans="2:10" x14ac:dyDescent="0.25">
      <c r="B75" t="s">
        <v>547</v>
      </c>
      <c r="C75">
        <v>0.71940000000000004</v>
      </c>
      <c r="D75">
        <v>0.2198</v>
      </c>
      <c r="E75">
        <v>1.255E-2</v>
      </c>
      <c r="F75">
        <v>0.25</v>
      </c>
      <c r="G75">
        <v>0.75</v>
      </c>
      <c r="H75">
        <v>1</v>
      </c>
      <c r="I75">
        <v>1001</v>
      </c>
      <c r="J75">
        <v>3000</v>
      </c>
    </row>
    <row r="76" spans="2:10" x14ac:dyDescent="0.25">
      <c r="B76" t="s">
        <v>548</v>
      </c>
      <c r="C76">
        <v>0.38400000000000001</v>
      </c>
      <c r="D76">
        <v>0.24129999999999999</v>
      </c>
      <c r="E76">
        <v>1.4829999999999999E-2</v>
      </c>
      <c r="F76">
        <v>0.125</v>
      </c>
      <c r="G76">
        <v>0.375</v>
      </c>
      <c r="H76">
        <v>1</v>
      </c>
      <c r="I76">
        <v>1001</v>
      </c>
      <c r="J76">
        <v>3000</v>
      </c>
    </row>
    <row r="77" spans="2:10" x14ac:dyDescent="0.25">
      <c r="B77" t="s">
        <v>549</v>
      </c>
      <c r="C77">
        <v>0.57540000000000002</v>
      </c>
      <c r="D77">
        <v>0.15579999999999999</v>
      </c>
      <c r="E77">
        <v>8.7860000000000004E-3</v>
      </c>
      <c r="F77">
        <v>0.375</v>
      </c>
      <c r="G77">
        <v>0.5</v>
      </c>
      <c r="H77">
        <v>0.875</v>
      </c>
      <c r="I77">
        <v>1001</v>
      </c>
      <c r="J77">
        <v>3000</v>
      </c>
    </row>
    <row r="78" spans="2:10" x14ac:dyDescent="0.25">
      <c r="B78" t="s">
        <v>550</v>
      </c>
      <c r="C78" s="13">
        <v>2.5000000000000001E-4</v>
      </c>
      <c r="D78">
        <v>5.5849999999999997E-3</v>
      </c>
      <c r="E78" s="13">
        <v>1.155E-4</v>
      </c>
      <c r="F78">
        <v>0</v>
      </c>
      <c r="G78">
        <v>0</v>
      </c>
      <c r="H78">
        <v>0</v>
      </c>
      <c r="I78">
        <v>1001</v>
      </c>
      <c r="J78">
        <v>3000</v>
      </c>
    </row>
    <row r="79" spans="2:10" x14ac:dyDescent="0.25">
      <c r="B79" t="s">
        <v>367</v>
      </c>
      <c r="C79">
        <v>0</v>
      </c>
      <c r="D79">
        <v>0</v>
      </c>
      <c r="E79" s="13">
        <v>1.054E-12</v>
      </c>
      <c r="F79">
        <v>0</v>
      </c>
      <c r="G79">
        <v>0</v>
      </c>
      <c r="H79">
        <v>0</v>
      </c>
      <c r="I79">
        <v>1001</v>
      </c>
      <c r="J79">
        <v>3000</v>
      </c>
    </row>
    <row r="80" spans="2:10" x14ac:dyDescent="0.25">
      <c r="B80" t="s">
        <v>368</v>
      </c>
      <c r="C80">
        <v>0</v>
      </c>
      <c r="D80">
        <v>0</v>
      </c>
      <c r="E80" s="13">
        <v>1.054E-12</v>
      </c>
      <c r="F80">
        <v>0</v>
      </c>
      <c r="G80">
        <v>0</v>
      </c>
      <c r="H80">
        <v>0</v>
      </c>
      <c r="I80">
        <v>1001</v>
      </c>
      <c r="J80">
        <v>3000</v>
      </c>
    </row>
    <row r="81" spans="2:10" x14ac:dyDescent="0.25">
      <c r="B81" t="s">
        <v>369</v>
      </c>
      <c r="C81">
        <v>1.933E-2</v>
      </c>
      <c r="D81">
        <v>0.13769999999999999</v>
      </c>
      <c r="E81">
        <v>4.7470000000000004E-3</v>
      </c>
      <c r="F81">
        <v>0</v>
      </c>
      <c r="G81">
        <v>0</v>
      </c>
      <c r="H81">
        <v>0</v>
      </c>
      <c r="I81">
        <v>1001</v>
      </c>
      <c r="J81">
        <v>3000</v>
      </c>
    </row>
    <row r="82" spans="2:10" x14ac:dyDescent="0.25">
      <c r="B82" t="s">
        <v>370</v>
      </c>
      <c r="C82">
        <v>0.22900000000000001</v>
      </c>
      <c r="D82">
        <v>0.42020000000000002</v>
      </c>
      <c r="E82">
        <v>2.0840000000000001E-2</v>
      </c>
      <c r="F82">
        <v>0</v>
      </c>
      <c r="G82">
        <v>0</v>
      </c>
      <c r="H82">
        <v>1</v>
      </c>
      <c r="I82">
        <v>1001</v>
      </c>
      <c r="J82">
        <v>3000</v>
      </c>
    </row>
    <row r="83" spans="2:10" x14ac:dyDescent="0.25">
      <c r="B83" t="s">
        <v>371</v>
      </c>
      <c r="C83">
        <v>0.5323</v>
      </c>
      <c r="D83">
        <v>0.499</v>
      </c>
      <c r="E83">
        <v>2.903E-2</v>
      </c>
      <c r="F83">
        <v>0</v>
      </c>
      <c r="G83">
        <v>1</v>
      </c>
      <c r="H83">
        <v>1</v>
      </c>
      <c r="I83">
        <v>1001</v>
      </c>
      <c r="J83">
        <v>3000</v>
      </c>
    </row>
    <row r="84" spans="2:10" x14ac:dyDescent="0.25">
      <c r="B84" t="s">
        <v>551</v>
      </c>
      <c r="C84">
        <v>0.16669999999999999</v>
      </c>
      <c r="D84">
        <v>0.37269999999999998</v>
      </c>
      <c r="E84">
        <v>1.771E-2</v>
      </c>
      <c r="F84">
        <v>0</v>
      </c>
      <c r="G84">
        <v>0</v>
      </c>
      <c r="H84">
        <v>1</v>
      </c>
      <c r="I84">
        <v>1001</v>
      </c>
      <c r="J84">
        <v>3000</v>
      </c>
    </row>
    <row r="85" spans="2:10" x14ac:dyDescent="0.25">
      <c r="B85" t="s">
        <v>552</v>
      </c>
      <c r="C85">
        <v>3.567E-2</v>
      </c>
      <c r="D85">
        <v>0.1855</v>
      </c>
      <c r="E85">
        <v>1.069E-2</v>
      </c>
      <c r="F85">
        <v>0</v>
      </c>
      <c r="G85">
        <v>0</v>
      </c>
      <c r="H85">
        <v>1</v>
      </c>
      <c r="I85">
        <v>1001</v>
      </c>
      <c r="J85">
        <v>3000</v>
      </c>
    </row>
    <row r="86" spans="2:10" x14ac:dyDescent="0.25">
      <c r="B86" t="s">
        <v>553</v>
      </c>
      <c r="C86">
        <v>1.7000000000000001E-2</v>
      </c>
      <c r="D86">
        <v>0.1293</v>
      </c>
      <c r="E86">
        <v>4.1279999999999997E-3</v>
      </c>
      <c r="F86">
        <v>0</v>
      </c>
      <c r="G86">
        <v>0</v>
      </c>
      <c r="H86">
        <v>0</v>
      </c>
      <c r="I86">
        <v>1001</v>
      </c>
      <c r="J86">
        <v>3000</v>
      </c>
    </row>
    <row r="87" spans="2:10" x14ac:dyDescent="0.25">
      <c r="B87" t="s">
        <v>554</v>
      </c>
      <c r="C87">
        <v>0</v>
      </c>
      <c r="D87">
        <v>0</v>
      </c>
      <c r="E87" s="13">
        <v>1.054E-12</v>
      </c>
      <c r="F87">
        <v>0</v>
      </c>
      <c r="G87">
        <v>0</v>
      </c>
      <c r="H87">
        <v>0</v>
      </c>
      <c r="I87">
        <v>1001</v>
      </c>
      <c r="J87">
        <v>3000</v>
      </c>
    </row>
    <row r="88" spans="2:10" x14ac:dyDescent="0.25">
      <c r="B88" t="s">
        <v>459</v>
      </c>
      <c r="C88">
        <v>0.54859999999999998</v>
      </c>
      <c r="D88">
        <v>0.7621</v>
      </c>
      <c r="E88">
        <v>1.3259999999999999E-2</v>
      </c>
      <c r="F88" s="13">
        <v>6.5760000000000005E-4</v>
      </c>
      <c r="G88">
        <v>0.25769999999999998</v>
      </c>
      <c r="H88">
        <v>2.7469999999999999</v>
      </c>
      <c r="I88">
        <v>1001</v>
      </c>
      <c r="J88">
        <v>3000</v>
      </c>
    </row>
    <row r="89" spans="2:10" x14ac:dyDescent="0.25">
      <c r="B89" t="s">
        <v>460</v>
      </c>
      <c r="C89">
        <v>0.73850000000000005</v>
      </c>
      <c r="D89">
        <v>0.9879</v>
      </c>
      <c r="E89">
        <v>1.8499999999999999E-2</v>
      </c>
      <c r="F89" s="13">
        <v>7.1199999999999996E-4</v>
      </c>
      <c r="G89">
        <v>0.36159999999999998</v>
      </c>
      <c r="H89">
        <v>3.6440000000000001</v>
      </c>
      <c r="I89">
        <v>1001</v>
      </c>
      <c r="J89">
        <v>3000</v>
      </c>
    </row>
    <row r="90" spans="2:10" x14ac:dyDescent="0.25">
      <c r="B90" t="s">
        <v>461</v>
      </c>
      <c r="C90">
        <v>0.84060000000000001</v>
      </c>
      <c r="D90">
        <v>1.1439999999999999</v>
      </c>
      <c r="E90">
        <v>2.5190000000000001E-2</v>
      </c>
      <c r="F90" s="13">
        <v>8.6790000000000001E-4</v>
      </c>
      <c r="G90">
        <v>0.39739999999999998</v>
      </c>
      <c r="H90">
        <v>3.9780000000000002</v>
      </c>
      <c r="I90">
        <v>1001</v>
      </c>
      <c r="J90">
        <v>3000</v>
      </c>
    </row>
    <row r="91" spans="2:10" x14ac:dyDescent="0.25">
      <c r="B91" t="s">
        <v>462</v>
      </c>
      <c r="C91">
        <v>0.79879999999999995</v>
      </c>
      <c r="D91">
        <v>1.167</v>
      </c>
      <c r="E91">
        <v>2.5819999999999999E-2</v>
      </c>
      <c r="F91" s="13">
        <v>9.3070000000000002E-4</v>
      </c>
      <c r="G91">
        <v>0.35809999999999997</v>
      </c>
      <c r="H91">
        <v>4.1340000000000003</v>
      </c>
      <c r="I91">
        <v>1001</v>
      </c>
      <c r="J91">
        <v>3000</v>
      </c>
    </row>
    <row r="92" spans="2:10" x14ac:dyDescent="0.25">
      <c r="B92" t="s">
        <v>463</v>
      </c>
      <c r="C92">
        <v>0.82689999999999997</v>
      </c>
      <c r="D92">
        <v>1.1379999999999999</v>
      </c>
      <c r="E92">
        <v>2.7609999999999999E-2</v>
      </c>
      <c r="F92" s="13">
        <v>6.0979999999999997E-4</v>
      </c>
      <c r="G92">
        <v>0.37659999999999999</v>
      </c>
      <c r="H92">
        <v>4.0709999999999997</v>
      </c>
      <c r="I92">
        <v>1001</v>
      </c>
      <c r="J92">
        <v>3000</v>
      </c>
    </row>
    <row r="93" spans="2:10" x14ac:dyDescent="0.25">
      <c r="B93" t="s">
        <v>464</v>
      </c>
      <c r="C93">
        <v>0.66720000000000002</v>
      </c>
      <c r="D93">
        <v>0.92830000000000001</v>
      </c>
      <c r="E93">
        <v>2.8899999999999999E-2</v>
      </c>
      <c r="F93" s="13">
        <v>5.5999999999999995E-4</v>
      </c>
      <c r="G93">
        <v>0.29799999999999999</v>
      </c>
      <c r="H93">
        <v>3.3519999999999999</v>
      </c>
      <c r="I93">
        <v>1001</v>
      </c>
      <c r="J93">
        <v>3000</v>
      </c>
    </row>
    <row r="94" spans="2:10" x14ac:dyDescent="0.25">
      <c r="B94" t="s">
        <v>465</v>
      </c>
      <c r="C94">
        <v>1.2290000000000001</v>
      </c>
      <c r="D94">
        <v>1.681</v>
      </c>
      <c r="E94">
        <v>5.4480000000000001E-2</v>
      </c>
      <c r="F94">
        <v>1.3569999999999999E-3</v>
      </c>
      <c r="G94">
        <v>0.58850000000000002</v>
      </c>
      <c r="H94">
        <v>6.1710000000000003</v>
      </c>
      <c r="I94">
        <v>1001</v>
      </c>
      <c r="J94">
        <v>3000</v>
      </c>
    </row>
    <row r="95" spans="2:10" x14ac:dyDescent="0.25">
      <c r="B95" t="s">
        <v>466</v>
      </c>
      <c r="C95">
        <v>1.2430000000000001</v>
      </c>
      <c r="D95">
        <v>1.575</v>
      </c>
      <c r="E95">
        <v>6.2619999999999995E-2</v>
      </c>
      <c r="F95">
        <v>1.4630000000000001E-3</v>
      </c>
      <c r="G95">
        <v>0.67530000000000001</v>
      </c>
      <c r="H95">
        <v>5.5069999999999997</v>
      </c>
      <c r="I95">
        <v>1001</v>
      </c>
      <c r="J95">
        <v>3000</v>
      </c>
    </row>
    <row r="96" spans="2:10" x14ac:dyDescent="0.25">
      <c r="B96" t="s">
        <v>467</v>
      </c>
      <c r="C96">
        <v>1.077</v>
      </c>
      <c r="D96">
        <v>1.371</v>
      </c>
      <c r="E96">
        <v>3.7499999999999999E-2</v>
      </c>
      <c r="F96">
        <v>1.8990000000000001E-3</v>
      </c>
      <c r="G96">
        <v>0.53239999999999998</v>
      </c>
      <c r="H96">
        <v>5.1710000000000003</v>
      </c>
      <c r="I96">
        <v>1001</v>
      </c>
      <c r="J96">
        <v>3000</v>
      </c>
    </row>
    <row r="97" spans="2:10" x14ac:dyDescent="0.25">
      <c r="B97" t="s">
        <v>468</v>
      </c>
      <c r="C97">
        <v>1.194</v>
      </c>
      <c r="D97">
        <v>1.403</v>
      </c>
      <c r="E97">
        <v>3.7960000000000001E-2</v>
      </c>
      <c r="F97">
        <v>1.5150000000000001E-3</v>
      </c>
      <c r="G97">
        <v>0.69130000000000003</v>
      </c>
      <c r="H97">
        <v>4.9749999999999996</v>
      </c>
      <c r="I97">
        <v>1001</v>
      </c>
      <c r="J97">
        <v>3000</v>
      </c>
    </row>
    <row r="98" spans="2:10" x14ac:dyDescent="0.25">
      <c r="B98" t="s">
        <v>469</v>
      </c>
      <c r="C98">
        <v>0.44650000000000001</v>
      </c>
      <c r="D98">
        <v>0.67159999999999997</v>
      </c>
      <c r="E98">
        <v>1.806E-2</v>
      </c>
      <c r="F98" s="13">
        <v>3.5980000000000002E-4</v>
      </c>
      <c r="G98">
        <v>0.18940000000000001</v>
      </c>
      <c r="H98">
        <v>2.3170000000000002</v>
      </c>
      <c r="I98">
        <v>1001</v>
      </c>
      <c r="J98">
        <v>3000</v>
      </c>
    </row>
    <row r="99" spans="2:10" x14ac:dyDescent="0.25">
      <c r="B99" t="s">
        <v>470</v>
      </c>
      <c r="C99">
        <v>0.80430000000000001</v>
      </c>
      <c r="D99">
        <v>1.1259999999999999</v>
      </c>
      <c r="E99">
        <v>2.2270000000000002E-2</v>
      </c>
      <c r="F99" s="13">
        <v>5.4520000000000002E-4</v>
      </c>
      <c r="G99">
        <v>0.378</v>
      </c>
      <c r="H99">
        <v>4.1210000000000004</v>
      </c>
      <c r="I99">
        <v>1001</v>
      </c>
      <c r="J99">
        <v>3000</v>
      </c>
    </row>
    <row r="100" spans="2:10" x14ac:dyDescent="0.25">
      <c r="B100" t="s">
        <v>471</v>
      </c>
      <c r="C100">
        <v>0.94089999999999996</v>
      </c>
      <c r="D100">
        <v>1.413</v>
      </c>
      <c r="E100">
        <v>4.453E-2</v>
      </c>
      <c r="F100" s="13">
        <v>9.2170000000000001E-4</v>
      </c>
      <c r="G100">
        <v>0.41270000000000001</v>
      </c>
      <c r="H100">
        <v>5.1219999999999999</v>
      </c>
      <c r="I100">
        <v>1001</v>
      </c>
      <c r="J100">
        <v>3000</v>
      </c>
    </row>
    <row r="101" spans="2:10" x14ac:dyDescent="0.25">
      <c r="B101" t="s">
        <v>472</v>
      </c>
      <c r="C101">
        <v>0.96450000000000002</v>
      </c>
      <c r="D101">
        <v>1.4379999999999999</v>
      </c>
      <c r="E101">
        <v>5.9089999999999997E-2</v>
      </c>
      <c r="F101">
        <v>1.4989999999999999E-3</v>
      </c>
      <c r="G101">
        <v>0.42780000000000001</v>
      </c>
      <c r="H101">
        <v>5.0229999999999997</v>
      </c>
      <c r="I101">
        <v>1001</v>
      </c>
      <c r="J101">
        <v>3000</v>
      </c>
    </row>
    <row r="102" spans="2:10" x14ac:dyDescent="0.25">
      <c r="B102" t="s">
        <v>473</v>
      </c>
      <c r="C102">
        <v>0.96679999999999999</v>
      </c>
      <c r="D102">
        <v>1.361</v>
      </c>
      <c r="E102">
        <v>3.3369999999999997E-2</v>
      </c>
      <c r="F102" s="13">
        <v>8.1220000000000001E-4</v>
      </c>
      <c r="G102">
        <v>0.41959999999999997</v>
      </c>
      <c r="H102">
        <v>4.8449999999999998</v>
      </c>
      <c r="I102">
        <v>1001</v>
      </c>
      <c r="J102">
        <v>3000</v>
      </c>
    </row>
    <row r="103" spans="2:10" x14ac:dyDescent="0.25">
      <c r="B103" t="s">
        <v>474</v>
      </c>
      <c r="C103">
        <v>0.9758</v>
      </c>
      <c r="D103">
        <v>1.3819999999999999</v>
      </c>
      <c r="E103">
        <v>5.398E-2</v>
      </c>
      <c r="F103" s="13">
        <v>7.5029999999999997E-4</v>
      </c>
      <c r="G103">
        <v>0.44750000000000001</v>
      </c>
      <c r="H103">
        <v>5.0039999999999996</v>
      </c>
      <c r="I103">
        <v>1001</v>
      </c>
      <c r="J103">
        <v>3000</v>
      </c>
    </row>
    <row r="104" spans="2:10" x14ac:dyDescent="0.25">
      <c r="B104" t="s">
        <v>475</v>
      </c>
      <c r="C104">
        <v>0.76459999999999995</v>
      </c>
      <c r="D104">
        <v>1.0349999999999999</v>
      </c>
      <c r="E104">
        <v>2.5749999999999999E-2</v>
      </c>
      <c r="F104">
        <v>1.0759999999999999E-3</v>
      </c>
      <c r="G104">
        <v>0.38940000000000002</v>
      </c>
      <c r="H104">
        <v>3.6970000000000001</v>
      </c>
      <c r="I104">
        <v>1001</v>
      </c>
      <c r="J104">
        <v>3000</v>
      </c>
    </row>
    <row r="105" spans="2:10" x14ac:dyDescent="0.25">
      <c r="B105" t="s">
        <v>476</v>
      </c>
      <c r="C105">
        <v>1.1859999999999999</v>
      </c>
      <c r="D105">
        <v>1.498</v>
      </c>
      <c r="E105">
        <v>3.3320000000000002E-2</v>
      </c>
      <c r="F105">
        <v>1.2099999999999999E-3</v>
      </c>
      <c r="G105">
        <v>0.59179999999999999</v>
      </c>
      <c r="H105">
        <v>5.6059999999999999</v>
      </c>
      <c r="I105">
        <v>1001</v>
      </c>
      <c r="J105">
        <v>3000</v>
      </c>
    </row>
    <row r="106" spans="2:10" x14ac:dyDescent="0.25">
      <c r="B106" t="s">
        <v>477</v>
      </c>
      <c r="C106">
        <v>0.67510000000000003</v>
      </c>
      <c r="D106">
        <v>0.96840000000000004</v>
      </c>
      <c r="E106">
        <v>2.1219999999999999E-2</v>
      </c>
      <c r="F106" s="13">
        <v>5.5659999999999998E-4</v>
      </c>
      <c r="G106">
        <v>0.30109999999999998</v>
      </c>
      <c r="H106">
        <v>3.419</v>
      </c>
      <c r="I106">
        <v>1001</v>
      </c>
      <c r="J106">
        <v>3000</v>
      </c>
    </row>
    <row r="107" spans="2:10" x14ac:dyDescent="0.25">
      <c r="B107" t="s">
        <v>478</v>
      </c>
      <c r="C107">
        <v>0.64870000000000005</v>
      </c>
      <c r="D107">
        <v>0.92589999999999995</v>
      </c>
      <c r="E107">
        <v>1.755E-2</v>
      </c>
      <c r="F107" s="13">
        <v>7.8240000000000004E-4</v>
      </c>
      <c r="G107">
        <v>0.28349999999999997</v>
      </c>
      <c r="H107">
        <v>3.2709999999999999</v>
      </c>
      <c r="I107">
        <v>1001</v>
      </c>
      <c r="J107">
        <v>3000</v>
      </c>
    </row>
    <row r="108" spans="2:10" x14ac:dyDescent="0.25">
      <c r="B108" t="s">
        <v>479</v>
      </c>
      <c r="C108">
        <v>1.526</v>
      </c>
      <c r="D108">
        <v>1.853</v>
      </c>
      <c r="E108">
        <v>6.6680000000000003E-2</v>
      </c>
      <c r="F108">
        <v>1.4790000000000001E-3</v>
      </c>
      <c r="G108">
        <v>0.82450000000000001</v>
      </c>
      <c r="H108">
        <v>6.7859999999999996</v>
      </c>
      <c r="I108">
        <v>1001</v>
      </c>
      <c r="J108">
        <v>3000</v>
      </c>
    </row>
    <row r="109" spans="2:10" x14ac:dyDescent="0.25">
      <c r="B109" t="s">
        <v>480</v>
      </c>
      <c r="C109">
        <v>1.2889999999999999</v>
      </c>
      <c r="D109">
        <v>1.659</v>
      </c>
      <c r="E109">
        <v>4.3159999999999997E-2</v>
      </c>
      <c r="F109">
        <v>1.621E-3</v>
      </c>
      <c r="G109">
        <v>0.64749999999999996</v>
      </c>
      <c r="H109">
        <v>5.8559999999999999</v>
      </c>
      <c r="I109">
        <v>1001</v>
      </c>
      <c r="J109">
        <v>3000</v>
      </c>
    </row>
    <row r="110" spans="2:10" x14ac:dyDescent="0.25">
      <c r="B110" t="s">
        <v>481</v>
      </c>
      <c r="C110">
        <v>0.73009999999999997</v>
      </c>
      <c r="D110">
        <v>1.048</v>
      </c>
      <c r="E110">
        <v>2.546E-2</v>
      </c>
      <c r="F110" s="13">
        <v>6.2319999999999997E-4</v>
      </c>
      <c r="G110">
        <v>0.33660000000000001</v>
      </c>
      <c r="H110">
        <v>3.806</v>
      </c>
      <c r="I110">
        <v>1001</v>
      </c>
      <c r="J110">
        <v>3000</v>
      </c>
    </row>
    <row r="111" spans="2:10" x14ac:dyDescent="0.25">
      <c r="B111" t="s">
        <v>482</v>
      </c>
      <c r="C111">
        <v>0.76990000000000003</v>
      </c>
      <c r="D111">
        <v>1.0820000000000001</v>
      </c>
      <c r="E111">
        <v>2.7459999999999998E-2</v>
      </c>
      <c r="F111">
        <v>1.1050000000000001E-3</v>
      </c>
      <c r="G111">
        <v>0.3498</v>
      </c>
      <c r="H111">
        <v>3.992</v>
      </c>
      <c r="I111">
        <v>1001</v>
      </c>
      <c r="J111">
        <v>3000</v>
      </c>
    </row>
    <row r="112" spans="2:10" x14ac:dyDescent="0.25">
      <c r="B112" t="s">
        <v>555</v>
      </c>
      <c r="C112">
        <v>0.86419999999999997</v>
      </c>
      <c r="D112">
        <v>1.2130000000000001</v>
      </c>
      <c r="E112">
        <v>2.819E-2</v>
      </c>
      <c r="F112">
        <v>1.147E-3</v>
      </c>
      <c r="G112">
        <v>0.39019999999999999</v>
      </c>
      <c r="H112">
        <v>4.343</v>
      </c>
      <c r="I112">
        <v>1001</v>
      </c>
      <c r="J112">
        <v>3000</v>
      </c>
    </row>
    <row r="113" spans="2:10" x14ac:dyDescent="0.25">
      <c r="B113" t="s">
        <v>556</v>
      </c>
      <c r="C113">
        <v>0.79720000000000002</v>
      </c>
      <c r="D113">
        <v>1.121</v>
      </c>
      <c r="E113">
        <v>2.9610000000000001E-2</v>
      </c>
      <c r="F113" s="13">
        <v>9.0379999999999996E-4</v>
      </c>
      <c r="G113">
        <v>0.36919999999999997</v>
      </c>
      <c r="H113">
        <v>4.0640000000000001</v>
      </c>
      <c r="I113">
        <v>1001</v>
      </c>
      <c r="J113">
        <v>3000</v>
      </c>
    </row>
    <row r="114" spans="2:10" x14ac:dyDescent="0.25">
      <c r="B114" t="s">
        <v>557</v>
      </c>
      <c r="C114">
        <v>0.52829999999999999</v>
      </c>
      <c r="D114">
        <v>0.72760000000000002</v>
      </c>
      <c r="E114">
        <v>1.426E-2</v>
      </c>
      <c r="F114" s="13">
        <v>6.6580000000000003E-4</v>
      </c>
      <c r="G114">
        <v>0.2452</v>
      </c>
      <c r="H114">
        <v>2.649</v>
      </c>
      <c r="I114">
        <v>1001</v>
      </c>
      <c r="J114">
        <v>3000</v>
      </c>
    </row>
    <row r="115" spans="2:10" x14ac:dyDescent="0.25">
      <c r="B115" t="s">
        <v>558</v>
      </c>
      <c r="C115">
        <v>0.64680000000000004</v>
      </c>
      <c r="D115">
        <v>0.9052</v>
      </c>
      <c r="E115">
        <v>1.762E-2</v>
      </c>
      <c r="F115" s="13">
        <v>6.3409999999999996E-4</v>
      </c>
      <c r="G115">
        <v>0.28820000000000001</v>
      </c>
      <c r="H115">
        <v>3.2730000000000001</v>
      </c>
      <c r="I115">
        <v>1001</v>
      </c>
      <c r="J115">
        <v>3000</v>
      </c>
    </row>
    <row r="116" spans="2:10" x14ac:dyDescent="0.25">
      <c r="B116" t="s">
        <v>559</v>
      </c>
      <c r="C116">
        <v>1.4450000000000001</v>
      </c>
      <c r="D116">
        <v>1.36</v>
      </c>
      <c r="E116">
        <v>5.0500000000000003E-2</v>
      </c>
      <c r="F116">
        <v>3.2139999999999998E-3</v>
      </c>
      <c r="G116">
        <v>1.0580000000000001</v>
      </c>
      <c r="H116">
        <v>4.8650000000000002</v>
      </c>
      <c r="I116">
        <v>1001</v>
      </c>
      <c r="J116">
        <v>3000</v>
      </c>
    </row>
    <row r="117" spans="2:10" x14ac:dyDescent="0.25">
      <c r="B117" t="s">
        <v>560</v>
      </c>
      <c r="C117">
        <v>1.1160000000000001</v>
      </c>
      <c r="D117">
        <v>1.4430000000000001</v>
      </c>
      <c r="E117">
        <v>2.596E-2</v>
      </c>
      <c r="F117">
        <v>1.0499999999999999E-3</v>
      </c>
      <c r="G117">
        <v>0.53920000000000001</v>
      </c>
      <c r="H117">
        <v>5.101</v>
      </c>
      <c r="I117">
        <v>1001</v>
      </c>
      <c r="J117">
        <v>3000</v>
      </c>
    </row>
    <row r="118" spans="2:10" x14ac:dyDescent="0.25">
      <c r="B118" t="s">
        <v>561</v>
      </c>
      <c r="C118">
        <v>0.98460000000000003</v>
      </c>
      <c r="D118">
        <v>1.3660000000000001</v>
      </c>
      <c r="E118">
        <v>3.8519999999999999E-2</v>
      </c>
      <c r="F118">
        <v>1.4809999999999999E-3</v>
      </c>
      <c r="G118">
        <v>0.47660000000000002</v>
      </c>
      <c r="H118">
        <v>4.9009999999999998</v>
      </c>
      <c r="I118">
        <v>1001</v>
      </c>
      <c r="J118">
        <v>3000</v>
      </c>
    </row>
    <row r="119" spans="2:10" x14ac:dyDescent="0.25">
      <c r="B119" t="s">
        <v>562</v>
      </c>
      <c r="C119">
        <v>1.1319999999999999</v>
      </c>
      <c r="D119">
        <v>1.456</v>
      </c>
      <c r="E119">
        <v>3.7420000000000002E-2</v>
      </c>
      <c r="F119">
        <v>1.305E-3</v>
      </c>
      <c r="G119">
        <v>0.5706</v>
      </c>
      <c r="H119">
        <v>5.1890000000000001</v>
      </c>
      <c r="I119">
        <v>1001</v>
      </c>
      <c r="J119">
        <v>3000</v>
      </c>
    </row>
    <row r="120" spans="2:10" x14ac:dyDescent="0.25">
      <c r="B120" t="s">
        <v>563</v>
      </c>
      <c r="C120">
        <v>0.51149999999999995</v>
      </c>
      <c r="D120">
        <v>0.7157</v>
      </c>
      <c r="E120">
        <v>1.418E-2</v>
      </c>
      <c r="F120" s="13">
        <v>7.4689999999999999E-4</v>
      </c>
      <c r="G120">
        <v>0.23380000000000001</v>
      </c>
      <c r="H120">
        <v>2.5409999999999999</v>
      </c>
      <c r="I120">
        <v>1001</v>
      </c>
      <c r="J120">
        <v>3000</v>
      </c>
    </row>
    <row r="121" spans="2:10" x14ac:dyDescent="0.25">
      <c r="B121" t="s">
        <v>564</v>
      </c>
      <c r="C121">
        <v>0.61980000000000002</v>
      </c>
      <c r="D121">
        <v>0.87519999999999998</v>
      </c>
      <c r="E121">
        <v>1.6930000000000001E-2</v>
      </c>
      <c r="F121" s="13">
        <v>9.0229999999999998E-4</v>
      </c>
      <c r="G121">
        <v>0.2833</v>
      </c>
      <c r="H121">
        <v>3.222</v>
      </c>
      <c r="I121">
        <v>1001</v>
      </c>
      <c r="J121">
        <v>3000</v>
      </c>
    </row>
    <row r="122" spans="2:10" x14ac:dyDescent="0.25">
      <c r="B122" t="s">
        <v>565</v>
      </c>
      <c r="C122">
        <v>0.85309999999999997</v>
      </c>
      <c r="D122">
        <v>1.0669999999999999</v>
      </c>
      <c r="E122">
        <v>2.8400000000000002E-2</v>
      </c>
      <c r="F122">
        <v>1.212E-3</v>
      </c>
      <c r="G122">
        <v>0.46450000000000002</v>
      </c>
      <c r="H122">
        <v>3.786</v>
      </c>
      <c r="I122">
        <v>1001</v>
      </c>
      <c r="J122">
        <v>3000</v>
      </c>
    </row>
    <row r="123" spans="2:10" x14ac:dyDescent="0.25">
      <c r="B123" t="s">
        <v>566</v>
      </c>
      <c r="C123">
        <v>1.0649999999999999</v>
      </c>
      <c r="D123">
        <v>1.41</v>
      </c>
      <c r="E123">
        <v>2.383E-2</v>
      </c>
      <c r="F123" s="13">
        <v>8.053E-4</v>
      </c>
      <c r="G123">
        <v>0.51249999999999996</v>
      </c>
      <c r="H123">
        <v>4.9710000000000001</v>
      </c>
      <c r="I123">
        <v>1001</v>
      </c>
      <c r="J123">
        <v>3000</v>
      </c>
    </row>
    <row r="124" spans="2:10" x14ac:dyDescent="0.25">
      <c r="B124" t="s">
        <v>567</v>
      </c>
      <c r="C124">
        <v>0.72729999999999995</v>
      </c>
      <c r="D124">
        <v>1.032</v>
      </c>
      <c r="E124">
        <v>2.3349999999999999E-2</v>
      </c>
      <c r="F124" s="13">
        <v>6.7480000000000003E-4</v>
      </c>
      <c r="G124">
        <v>0.32190000000000002</v>
      </c>
      <c r="H124">
        <v>3.9129999999999998</v>
      </c>
      <c r="I124">
        <v>1001</v>
      </c>
      <c r="J124">
        <v>3000</v>
      </c>
    </row>
    <row r="125" spans="2:10" x14ac:dyDescent="0.25">
      <c r="B125" t="s">
        <v>568</v>
      </c>
      <c r="C125">
        <v>0.72699999999999998</v>
      </c>
      <c r="D125">
        <v>1.02</v>
      </c>
      <c r="E125">
        <v>2.81E-2</v>
      </c>
      <c r="F125" s="13">
        <v>9.8290000000000009E-4</v>
      </c>
      <c r="G125">
        <v>0.33339999999999997</v>
      </c>
      <c r="H125">
        <v>3.6589999999999998</v>
      </c>
      <c r="I125">
        <v>1001</v>
      </c>
      <c r="J125">
        <v>3000</v>
      </c>
    </row>
    <row r="126" spans="2:10" x14ac:dyDescent="0.25">
      <c r="B126" t="s">
        <v>569</v>
      </c>
      <c r="C126">
        <v>0.75460000000000005</v>
      </c>
      <c r="D126">
        <v>1.1140000000000001</v>
      </c>
      <c r="E126">
        <v>2.6589999999999999E-2</v>
      </c>
      <c r="F126" s="13">
        <v>7.9009999999999996E-4</v>
      </c>
      <c r="G126">
        <v>0.31990000000000002</v>
      </c>
      <c r="H126">
        <v>3.911</v>
      </c>
      <c r="I126">
        <v>1001</v>
      </c>
      <c r="J126">
        <v>3000</v>
      </c>
    </row>
    <row r="127" spans="2:10" x14ac:dyDescent="0.25">
      <c r="B127" t="s">
        <v>570</v>
      </c>
      <c r="C127">
        <v>0.69640000000000002</v>
      </c>
      <c r="D127">
        <v>0.96419999999999995</v>
      </c>
      <c r="E127">
        <v>2.4129999999999999E-2</v>
      </c>
      <c r="F127" s="13">
        <v>6.1079999999999999E-4</v>
      </c>
      <c r="G127">
        <v>0.314</v>
      </c>
      <c r="H127">
        <v>3.5369999999999999</v>
      </c>
      <c r="I127">
        <v>1001</v>
      </c>
      <c r="J127">
        <v>3000</v>
      </c>
    </row>
    <row r="128" spans="2:10" x14ac:dyDescent="0.25">
      <c r="B128" t="s">
        <v>571</v>
      </c>
      <c r="C128">
        <v>2.1110000000000002</v>
      </c>
      <c r="D128">
        <v>2.3439999999999999</v>
      </c>
      <c r="E128">
        <v>5.3809999999999997E-2</v>
      </c>
      <c r="F128">
        <v>3.2959999999999999E-3</v>
      </c>
      <c r="G128">
        <v>1.296</v>
      </c>
      <c r="H128">
        <v>8.4819999999999993</v>
      </c>
      <c r="I128">
        <v>1001</v>
      </c>
      <c r="J128">
        <v>3000</v>
      </c>
    </row>
    <row r="129" spans="2:10" x14ac:dyDescent="0.25">
      <c r="B129" t="s">
        <v>572</v>
      </c>
      <c r="C129">
        <v>3.754</v>
      </c>
      <c r="D129">
        <v>1.8959999999999999</v>
      </c>
      <c r="E129">
        <v>5.2200000000000003E-2</v>
      </c>
      <c r="F129">
        <v>1.0780000000000001</v>
      </c>
      <c r="G129">
        <v>3.452</v>
      </c>
      <c r="H129">
        <v>8.3539999999999992</v>
      </c>
      <c r="I129">
        <v>1001</v>
      </c>
      <c r="J129">
        <v>3000</v>
      </c>
    </row>
    <row r="130" spans="2:10" x14ac:dyDescent="0.25">
      <c r="B130" t="s">
        <v>573</v>
      </c>
      <c r="C130">
        <v>0.64190000000000003</v>
      </c>
      <c r="D130">
        <v>0.91620000000000001</v>
      </c>
      <c r="E130">
        <v>1.728E-2</v>
      </c>
      <c r="F130" s="13">
        <v>7.0609999999999998E-4</v>
      </c>
      <c r="G130">
        <v>0.2843</v>
      </c>
      <c r="H130">
        <v>3.347</v>
      </c>
      <c r="I130">
        <v>1001</v>
      </c>
      <c r="J130">
        <v>3000</v>
      </c>
    </row>
    <row r="131" spans="2:10" x14ac:dyDescent="0.25">
      <c r="B131" t="s">
        <v>574</v>
      </c>
      <c r="C131">
        <v>0.5887</v>
      </c>
      <c r="D131">
        <v>0.81299999999999994</v>
      </c>
      <c r="E131">
        <v>1.536E-2</v>
      </c>
      <c r="F131" s="13">
        <v>6.5050000000000004E-4</v>
      </c>
      <c r="G131">
        <v>0.28339999999999999</v>
      </c>
      <c r="H131">
        <v>2.899</v>
      </c>
      <c r="I131">
        <v>1001</v>
      </c>
      <c r="J131">
        <v>3000</v>
      </c>
    </row>
    <row r="132" spans="2:10" x14ac:dyDescent="0.25">
      <c r="B132" t="s">
        <v>575</v>
      </c>
      <c r="C132">
        <v>0.72050000000000003</v>
      </c>
      <c r="D132">
        <v>1.0229999999999999</v>
      </c>
      <c r="E132">
        <v>2.5510000000000001E-2</v>
      </c>
      <c r="F132" s="13">
        <v>5.6309999999999997E-4</v>
      </c>
      <c r="G132">
        <v>0.32540000000000002</v>
      </c>
      <c r="H132">
        <v>3.63</v>
      </c>
      <c r="I132">
        <v>1001</v>
      </c>
      <c r="J132">
        <v>3000</v>
      </c>
    </row>
    <row r="133" spans="2:10" x14ac:dyDescent="0.25">
      <c r="B133" t="s">
        <v>576</v>
      </c>
      <c r="C133">
        <v>0.73699999999999999</v>
      </c>
      <c r="D133">
        <v>1.0229999999999999</v>
      </c>
      <c r="E133">
        <v>2.1420000000000002E-2</v>
      </c>
      <c r="F133" s="13">
        <v>9.0439999999999997E-4</v>
      </c>
      <c r="G133">
        <v>0.3362</v>
      </c>
      <c r="H133">
        <v>3.6219999999999999</v>
      </c>
      <c r="I133">
        <v>1001</v>
      </c>
      <c r="J133">
        <v>3000</v>
      </c>
    </row>
    <row r="134" spans="2:10" x14ac:dyDescent="0.25">
      <c r="B134" t="s">
        <v>577</v>
      </c>
      <c r="C134">
        <v>0.74470000000000003</v>
      </c>
      <c r="D134">
        <v>1.069</v>
      </c>
      <c r="E134">
        <v>4.1689999999999998E-2</v>
      </c>
      <c r="F134" s="13">
        <v>6.9910000000000003E-4</v>
      </c>
      <c r="G134">
        <v>0.32590000000000002</v>
      </c>
      <c r="H134">
        <v>3.984</v>
      </c>
      <c r="I134">
        <v>1001</v>
      </c>
      <c r="J134">
        <v>3000</v>
      </c>
    </row>
    <row r="135" spans="2:10" x14ac:dyDescent="0.25">
      <c r="B135" t="s">
        <v>578</v>
      </c>
      <c r="C135">
        <v>0.83420000000000005</v>
      </c>
      <c r="D135">
        <v>1.1859999999999999</v>
      </c>
      <c r="E135">
        <v>2.7439999999999999E-2</v>
      </c>
      <c r="F135" s="13">
        <v>9.0479999999999998E-4</v>
      </c>
      <c r="G135">
        <v>0.37909999999999999</v>
      </c>
      <c r="H135">
        <v>4.2610000000000001</v>
      </c>
      <c r="I135">
        <v>1001</v>
      </c>
      <c r="J135">
        <v>3000</v>
      </c>
    </row>
    <row r="136" spans="2:10" x14ac:dyDescent="0.25">
      <c r="B136" t="s">
        <v>579</v>
      </c>
      <c r="C136">
        <v>0.67469999999999997</v>
      </c>
      <c r="D136">
        <v>0.92730000000000001</v>
      </c>
      <c r="E136">
        <v>2.1149999999999999E-2</v>
      </c>
      <c r="F136" s="13">
        <v>6.8800000000000003E-4</v>
      </c>
      <c r="G136">
        <v>0.30420000000000003</v>
      </c>
      <c r="H136">
        <v>3.3519999999999999</v>
      </c>
      <c r="I136">
        <v>1001</v>
      </c>
      <c r="J136">
        <v>3000</v>
      </c>
    </row>
    <row r="137" spans="2:10" x14ac:dyDescent="0.25">
      <c r="B137" t="s">
        <v>580</v>
      </c>
      <c r="C137">
        <v>0.69320000000000004</v>
      </c>
      <c r="D137">
        <v>0.98970000000000002</v>
      </c>
      <c r="E137">
        <v>2.0959999999999999E-2</v>
      </c>
      <c r="F137" s="13">
        <v>7.7899999999999996E-4</v>
      </c>
      <c r="G137">
        <v>0.31030000000000002</v>
      </c>
      <c r="H137">
        <v>3.6459999999999999</v>
      </c>
      <c r="I137">
        <v>1001</v>
      </c>
      <c r="J137">
        <v>3000</v>
      </c>
    </row>
    <row r="138" spans="2:10" x14ac:dyDescent="0.25">
      <c r="B138" t="s">
        <v>581</v>
      </c>
      <c r="C138">
        <v>0.62549999999999994</v>
      </c>
      <c r="D138">
        <v>0.87280000000000002</v>
      </c>
      <c r="E138">
        <v>2.2550000000000001E-2</v>
      </c>
      <c r="F138" s="13">
        <v>6.5620000000000001E-4</v>
      </c>
      <c r="G138">
        <v>0.29160000000000003</v>
      </c>
      <c r="H138">
        <v>3.1949999999999998</v>
      </c>
      <c r="I138">
        <v>1001</v>
      </c>
      <c r="J138">
        <v>3000</v>
      </c>
    </row>
    <row r="139" spans="2:10" x14ac:dyDescent="0.25">
      <c r="B139" t="s">
        <v>582</v>
      </c>
      <c r="C139">
        <v>0.70799999999999996</v>
      </c>
      <c r="D139">
        <v>1.01</v>
      </c>
      <c r="E139">
        <v>2.1389999999999999E-2</v>
      </c>
      <c r="F139" s="13">
        <v>5.777E-4</v>
      </c>
      <c r="G139">
        <v>0.318</v>
      </c>
      <c r="H139">
        <v>3.5840000000000001</v>
      </c>
      <c r="I139">
        <v>1001</v>
      </c>
      <c r="J139">
        <v>3000</v>
      </c>
    </row>
    <row r="140" spans="2:10" x14ac:dyDescent="0.25">
      <c r="B140" t="s">
        <v>583</v>
      </c>
      <c r="C140">
        <v>1.2170000000000001</v>
      </c>
      <c r="D140">
        <v>1.6120000000000001</v>
      </c>
      <c r="E140">
        <v>4.9570000000000003E-2</v>
      </c>
      <c r="F140">
        <v>1.4450000000000001E-3</v>
      </c>
      <c r="G140">
        <v>0.57279999999999998</v>
      </c>
      <c r="H140">
        <v>5.6289999999999996</v>
      </c>
      <c r="I140">
        <v>1001</v>
      </c>
      <c r="J140">
        <v>3000</v>
      </c>
    </row>
    <row r="141" spans="2:10" x14ac:dyDescent="0.25">
      <c r="B141" t="s">
        <v>584</v>
      </c>
      <c r="C141">
        <v>1.294</v>
      </c>
      <c r="D141">
        <v>1.601</v>
      </c>
      <c r="E141">
        <v>5.6640000000000003E-2</v>
      </c>
      <c r="F141">
        <v>1.725E-3</v>
      </c>
      <c r="G141">
        <v>0.69889999999999997</v>
      </c>
      <c r="H141">
        <v>5.6859999999999999</v>
      </c>
      <c r="I141">
        <v>1001</v>
      </c>
      <c r="J141">
        <v>3000</v>
      </c>
    </row>
    <row r="142" spans="2:10" x14ac:dyDescent="0.25">
      <c r="B142" t="s">
        <v>585</v>
      </c>
      <c r="C142">
        <v>1.1459999999999999</v>
      </c>
      <c r="D142">
        <v>1.502</v>
      </c>
      <c r="E142">
        <v>4.6870000000000002E-2</v>
      </c>
      <c r="F142">
        <v>1.204E-3</v>
      </c>
      <c r="G142">
        <v>0.56299999999999994</v>
      </c>
      <c r="H142">
        <v>5.4580000000000002</v>
      </c>
      <c r="I142">
        <v>1001</v>
      </c>
      <c r="J142">
        <v>3000</v>
      </c>
    </row>
    <row r="143" spans="2:10" x14ac:dyDescent="0.25">
      <c r="B143" t="s">
        <v>586</v>
      </c>
      <c r="C143">
        <v>1.1100000000000001</v>
      </c>
      <c r="D143">
        <v>1.508</v>
      </c>
      <c r="E143">
        <v>4.6649999999999997E-2</v>
      </c>
      <c r="F143">
        <v>1.5709999999999999E-3</v>
      </c>
      <c r="G143">
        <v>0.51900000000000002</v>
      </c>
      <c r="H143">
        <v>5.2359999999999998</v>
      </c>
      <c r="I143">
        <v>1001</v>
      </c>
      <c r="J143">
        <v>3000</v>
      </c>
    </row>
    <row r="144" spans="2:10" x14ac:dyDescent="0.25">
      <c r="B144" t="s">
        <v>587</v>
      </c>
      <c r="C144">
        <v>0.74490000000000001</v>
      </c>
      <c r="D144">
        <v>1.0609999999999999</v>
      </c>
      <c r="E144">
        <v>2.2669999999999999E-2</v>
      </c>
      <c r="F144" s="13">
        <v>8.2240000000000004E-4</v>
      </c>
      <c r="G144">
        <v>0.3397</v>
      </c>
      <c r="H144">
        <v>3.8860000000000001</v>
      </c>
      <c r="I144">
        <v>1001</v>
      </c>
      <c r="J144">
        <v>3000</v>
      </c>
    </row>
    <row r="145" spans="2:10" x14ac:dyDescent="0.25">
      <c r="B145" t="s">
        <v>588</v>
      </c>
      <c r="C145">
        <v>0.5746</v>
      </c>
      <c r="D145">
        <v>0.8609</v>
      </c>
      <c r="E145">
        <v>1.8290000000000001E-2</v>
      </c>
      <c r="F145" s="13">
        <v>5.1139999999999996E-4</v>
      </c>
      <c r="G145">
        <v>0.25619999999999998</v>
      </c>
      <c r="H145">
        <v>2.927</v>
      </c>
      <c r="I145">
        <v>1001</v>
      </c>
      <c r="J145">
        <v>3000</v>
      </c>
    </row>
    <row r="146" spans="2:10" x14ac:dyDescent="0.25">
      <c r="B146" t="s">
        <v>589</v>
      </c>
      <c r="C146">
        <v>0.90439999999999998</v>
      </c>
      <c r="D146">
        <v>1.1659999999999999</v>
      </c>
      <c r="E146">
        <v>3.406E-2</v>
      </c>
      <c r="F146" s="13">
        <v>7.1869999999999996E-4</v>
      </c>
      <c r="G146">
        <v>0.45100000000000001</v>
      </c>
      <c r="H146">
        <v>4.2549999999999999</v>
      </c>
      <c r="I146">
        <v>1001</v>
      </c>
      <c r="J146">
        <v>3000</v>
      </c>
    </row>
    <row r="147" spans="2:10" x14ac:dyDescent="0.25">
      <c r="B147" t="s">
        <v>590</v>
      </c>
      <c r="C147">
        <v>1.119</v>
      </c>
      <c r="D147">
        <v>1.452</v>
      </c>
      <c r="E147">
        <v>3.6360000000000003E-2</v>
      </c>
      <c r="F147">
        <v>1.0839999999999999E-3</v>
      </c>
      <c r="G147">
        <v>0.58140000000000003</v>
      </c>
      <c r="H147">
        <v>5.19</v>
      </c>
      <c r="I147">
        <v>1001</v>
      </c>
      <c r="J147">
        <v>3000</v>
      </c>
    </row>
    <row r="148" spans="2:10" x14ac:dyDescent="0.25">
      <c r="B148" t="s">
        <v>591</v>
      </c>
      <c r="C148">
        <v>0.62549999999999994</v>
      </c>
      <c r="D148">
        <v>0.89019999999999999</v>
      </c>
      <c r="E148">
        <v>1.8620000000000001E-2</v>
      </c>
      <c r="F148" s="13">
        <v>7.7139999999999999E-4</v>
      </c>
      <c r="G148">
        <v>0.28810000000000002</v>
      </c>
      <c r="H148">
        <v>3.1030000000000002</v>
      </c>
      <c r="I148">
        <v>1001</v>
      </c>
      <c r="J148">
        <v>3000</v>
      </c>
    </row>
    <row r="149" spans="2:10" x14ac:dyDescent="0.25">
      <c r="B149" t="s">
        <v>592</v>
      </c>
      <c r="C149">
        <v>0.7702</v>
      </c>
      <c r="D149">
        <v>1.0469999999999999</v>
      </c>
      <c r="E149">
        <v>2.1909999999999999E-2</v>
      </c>
      <c r="F149" s="13">
        <v>5.2749999999999997E-4</v>
      </c>
      <c r="G149">
        <v>0.3957</v>
      </c>
      <c r="H149">
        <v>3.8370000000000002</v>
      </c>
      <c r="I149">
        <v>1001</v>
      </c>
      <c r="J149">
        <v>3000</v>
      </c>
    </row>
    <row r="150" spans="2:10" x14ac:dyDescent="0.25">
      <c r="B150" t="s">
        <v>593</v>
      </c>
      <c r="C150">
        <v>0.72870000000000001</v>
      </c>
      <c r="D150">
        <v>1.0469999999999999</v>
      </c>
      <c r="E150">
        <v>1.8069999999999999E-2</v>
      </c>
      <c r="F150" s="13">
        <v>7.8010000000000004E-4</v>
      </c>
      <c r="G150">
        <v>0.31709999999999999</v>
      </c>
      <c r="H150">
        <v>3.7610000000000001</v>
      </c>
      <c r="I150">
        <v>1001</v>
      </c>
      <c r="J150">
        <v>3000</v>
      </c>
    </row>
    <row r="151" spans="2:10" x14ac:dyDescent="0.25">
      <c r="B151" t="s">
        <v>594</v>
      </c>
      <c r="C151">
        <v>0.4042</v>
      </c>
      <c r="D151">
        <v>0.5615</v>
      </c>
      <c r="E151">
        <v>1.0619999999999999E-2</v>
      </c>
      <c r="F151" s="13">
        <v>2.4030000000000001E-4</v>
      </c>
      <c r="G151">
        <v>0.18970000000000001</v>
      </c>
      <c r="H151">
        <v>2.0289999999999999</v>
      </c>
      <c r="I151">
        <v>1001</v>
      </c>
      <c r="J151">
        <v>3000</v>
      </c>
    </row>
    <row r="152" spans="2:10" x14ac:dyDescent="0.25">
      <c r="B152" t="s">
        <v>595</v>
      </c>
      <c r="C152">
        <v>1.1479999999999999</v>
      </c>
      <c r="D152">
        <v>1.6060000000000001</v>
      </c>
      <c r="E152">
        <v>5.178E-2</v>
      </c>
      <c r="F152" s="13">
        <v>9.8440000000000008E-4</v>
      </c>
      <c r="G152">
        <v>0.53559999999999997</v>
      </c>
      <c r="H152">
        <v>5.6760000000000002</v>
      </c>
      <c r="I152">
        <v>1001</v>
      </c>
      <c r="J152">
        <v>3000</v>
      </c>
    </row>
    <row r="153" spans="2:10" x14ac:dyDescent="0.25">
      <c r="B153" t="s">
        <v>596</v>
      </c>
      <c r="C153">
        <v>1.2330000000000001</v>
      </c>
      <c r="D153">
        <v>1.63</v>
      </c>
      <c r="E153">
        <v>5.1830000000000001E-2</v>
      </c>
      <c r="F153">
        <v>1.846E-3</v>
      </c>
      <c r="G153">
        <v>0.57069999999999999</v>
      </c>
      <c r="H153">
        <v>5.8250000000000002</v>
      </c>
      <c r="I153">
        <v>1001</v>
      </c>
      <c r="J153">
        <v>3000</v>
      </c>
    </row>
    <row r="154" spans="2:10" x14ac:dyDescent="0.25">
      <c r="B154" t="s">
        <v>372</v>
      </c>
      <c r="C154">
        <v>0</v>
      </c>
      <c r="D154">
        <v>0</v>
      </c>
      <c r="E154" s="13">
        <v>1.054E-12</v>
      </c>
      <c r="F154">
        <v>0</v>
      </c>
      <c r="G154">
        <v>0</v>
      </c>
      <c r="H154">
        <v>0</v>
      </c>
      <c r="I154">
        <v>1001</v>
      </c>
      <c r="J154">
        <v>3000</v>
      </c>
    </row>
    <row r="155" spans="2:10" x14ac:dyDescent="0.25">
      <c r="B155" t="s">
        <v>373</v>
      </c>
      <c r="C155">
        <v>1.333E-3</v>
      </c>
      <c r="D155">
        <v>3.6490000000000002E-2</v>
      </c>
      <c r="E155" s="13">
        <v>8.1709999999999997E-4</v>
      </c>
      <c r="F155">
        <v>0</v>
      </c>
      <c r="G155">
        <v>0</v>
      </c>
      <c r="H155">
        <v>0</v>
      </c>
      <c r="I155">
        <v>1001</v>
      </c>
      <c r="J155">
        <v>3000</v>
      </c>
    </row>
    <row r="156" spans="2:10" x14ac:dyDescent="0.25">
      <c r="B156" t="s">
        <v>374</v>
      </c>
      <c r="C156">
        <v>5.3330000000000001E-3</v>
      </c>
      <c r="D156">
        <v>7.2830000000000006E-2</v>
      </c>
      <c r="E156">
        <v>2.1310000000000001E-3</v>
      </c>
      <c r="F156">
        <v>0</v>
      </c>
      <c r="G156">
        <v>0</v>
      </c>
      <c r="H156">
        <v>0</v>
      </c>
      <c r="I156">
        <v>1001</v>
      </c>
      <c r="J156">
        <v>3000</v>
      </c>
    </row>
    <row r="157" spans="2:10" x14ac:dyDescent="0.25">
      <c r="B157" t="s">
        <v>375</v>
      </c>
      <c r="C157">
        <v>2.1329999999999998E-2</v>
      </c>
      <c r="D157">
        <v>0.14449999999999999</v>
      </c>
      <c r="E157">
        <v>4.7099999999999998E-3</v>
      </c>
      <c r="F157">
        <v>0</v>
      </c>
      <c r="G157">
        <v>0</v>
      </c>
      <c r="H157">
        <v>0</v>
      </c>
      <c r="I157">
        <v>1001</v>
      </c>
      <c r="J157">
        <v>3000</v>
      </c>
    </row>
    <row r="158" spans="2:10" x14ac:dyDescent="0.25">
      <c r="B158" t="s">
        <v>376</v>
      </c>
      <c r="C158">
        <v>9.733E-2</v>
      </c>
      <c r="D158">
        <v>0.2964</v>
      </c>
      <c r="E158">
        <v>1.112E-2</v>
      </c>
      <c r="F158">
        <v>0</v>
      </c>
      <c r="G158">
        <v>0</v>
      </c>
      <c r="H158">
        <v>1</v>
      </c>
      <c r="I158">
        <v>1001</v>
      </c>
      <c r="J158">
        <v>3000</v>
      </c>
    </row>
    <row r="159" spans="2:10" x14ac:dyDescent="0.25">
      <c r="B159" t="s">
        <v>597</v>
      </c>
      <c r="C159">
        <v>0.442</v>
      </c>
      <c r="D159">
        <v>0.49659999999999999</v>
      </c>
      <c r="E159">
        <v>2.4320000000000001E-2</v>
      </c>
      <c r="F159">
        <v>0</v>
      </c>
      <c r="G159">
        <v>0</v>
      </c>
      <c r="H159">
        <v>1</v>
      </c>
      <c r="I159">
        <v>1001</v>
      </c>
      <c r="J159">
        <v>3000</v>
      </c>
    </row>
    <row r="160" spans="2:10" x14ac:dyDescent="0.25">
      <c r="B160" t="s">
        <v>598</v>
      </c>
      <c r="C160">
        <v>0.38</v>
      </c>
      <c r="D160">
        <v>0.4854</v>
      </c>
      <c r="E160">
        <v>2.495E-2</v>
      </c>
      <c r="F160">
        <v>0</v>
      </c>
      <c r="G160">
        <v>0</v>
      </c>
      <c r="H160">
        <v>1</v>
      </c>
      <c r="I160">
        <v>1001</v>
      </c>
      <c r="J160">
        <v>3000</v>
      </c>
    </row>
    <row r="161" spans="2:10" x14ac:dyDescent="0.25">
      <c r="B161" t="s">
        <v>599</v>
      </c>
      <c r="C161">
        <v>5.2670000000000002E-2</v>
      </c>
      <c r="D161">
        <v>0.22339999999999999</v>
      </c>
      <c r="E161">
        <v>1.7729999999999999E-2</v>
      </c>
      <c r="F161">
        <v>0</v>
      </c>
      <c r="G161">
        <v>0</v>
      </c>
      <c r="H161">
        <v>1</v>
      </c>
      <c r="I161">
        <v>1001</v>
      </c>
      <c r="J161">
        <v>3000</v>
      </c>
    </row>
    <row r="162" spans="2:10" x14ac:dyDescent="0.25">
      <c r="B162" t="s">
        <v>600</v>
      </c>
      <c r="C162">
        <v>0</v>
      </c>
      <c r="D162">
        <v>0</v>
      </c>
      <c r="E162" s="13">
        <v>1.054E-12</v>
      </c>
      <c r="F162">
        <v>0</v>
      </c>
      <c r="G162">
        <v>0</v>
      </c>
      <c r="H162">
        <v>0</v>
      </c>
      <c r="I162">
        <v>1001</v>
      </c>
      <c r="J162">
        <v>3000</v>
      </c>
    </row>
    <row r="163" spans="2:10" x14ac:dyDescent="0.25">
      <c r="B163" t="s">
        <v>377</v>
      </c>
      <c r="C163">
        <v>0</v>
      </c>
      <c r="D163">
        <v>0</v>
      </c>
      <c r="E163" s="13">
        <v>1.054E-12</v>
      </c>
      <c r="F163">
        <v>0</v>
      </c>
      <c r="G163">
        <v>0</v>
      </c>
      <c r="H163">
        <v>0</v>
      </c>
      <c r="I163">
        <v>1001</v>
      </c>
      <c r="J163">
        <v>3000</v>
      </c>
    </row>
    <row r="164" spans="2:10" x14ac:dyDescent="0.25">
      <c r="B164" t="s">
        <v>378</v>
      </c>
      <c r="C164">
        <v>0</v>
      </c>
      <c r="D164">
        <v>0</v>
      </c>
      <c r="E164" s="13">
        <v>1.054E-12</v>
      </c>
      <c r="F164">
        <v>0</v>
      </c>
      <c r="G164">
        <v>0</v>
      </c>
      <c r="H164">
        <v>0</v>
      </c>
      <c r="I164">
        <v>1001</v>
      </c>
      <c r="J164">
        <v>3000</v>
      </c>
    </row>
    <row r="165" spans="2:10" x14ac:dyDescent="0.25">
      <c r="B165" t="s">
        <v>379</v>
      </c>
      <c r="C165">
        <v>0</v>
      </c>
      <c r="D165">
        <v>0</v>
      </c>
      <c r="E165" s="13">
        <v>1.054E-12</v>
      </c>
      <c r="F165">
        <v>0</v>
      </c>
      <c r="G165">
        <v>0</v>
      </c>
      <c r="H165">
        <v>0</v>
      </c>
      <c r="I165">
        <v>1001</v>
      </c>
      <c r="J165">
        <v>3000</v>
      </c>
    </row>
    <row r="166" spans="2:10" x14ac:dyDescent="0.25">
      <c r="B166" t="s">
        <v>380</v>
      </c>
      <c r="C166" s="13">
        <v>3.3330000000000002E-4</v>
      </c>
      <c r="D166">
        <v>1.8249999999999999E-2</v>
      </c>
      <c r="E166" s="13">
        <v>3.3829999999999998E-4</v>
      </c>
      <c r="F166">
        <v>0</v>
      </c>
      <c r="G166">
        <v>0</v>
      </c>
      <c r="H166">
        <v>0</v>
      </c>
      <c r="I166">
        <v>1001</v>
      </c>
      <c r="J166">
        <v>3000</v>
      </c>
    </row>
    <row r="167" spans="2:10" x14ac:dyDescent="0.25">
      <c r="B167" t="s">
        <v>381</v>
      </c>
      <c r="C167">
        <v>3.0000000000000001E-3</v>
      </c>
      <c r="D167">
        <v>5.4690000000000003E-2</v>
      </c>
      <c r="E167">
        <v>1.524E-3</v>
      </c>
      <c r="F167">
        <v>0</v>
      </c>
      <c r="G167">
        <v>0</v>
      </c>
      <c r="H167">
        <v>0</v>
      </c>
      <c r="I167">
        <v>1001</v>
      </c>
      <c r="J167">
        <v>3000</v>
      </c>
    </row>
    <row r="168" spans="2:10" x14ac:dyDescent="0.25">
      <c r="B168" t="s">
        <v>601</v>
      </c>
      <c r="C168">
        <v>2.3E-2</v>
      </c>
      <c r="D168">
        <v>0.14990000000000001</v>
      </c>
      <c r="E168">
        <v>4.764E-3</v>
      </c>
      <c r="F168">
        <v>0</v>
      </c>
      <c r="G168">
        <v>0</v>
      </c>
      <c r="H168">
        <v>0</v>
      </c>
      <c r="I168">
        <v>1001</v>
      </c>
      <c r="J168">
        <v>3000</v>
      </c>
    </row>
    <row r="169" spans="2:10" x14ac:dyDescent="0.25">
      <c r="B169" t="s">
        <v>602</v>
      </c>
      <c r="C169">
        <v>0.29570000000000002</v>
      </c>
      <c r="D169">
        <v>0.45629999999999998</v>
      </c>
      <c r="E169">
        <v>2.4289999999999999E-2</v>
      </c>
      <c r="F169">
        <v>0</v>
      </c>
      <c r="G169">
        <v>0</v>
      </c>
      <c r="H169">
        <v>1</v>
      </c>
      <c r="I169">
        <v>1001</v>
      </c>
      <c r="J169">
        <v>3000</v>
      </c>
    </row>
    <row r="170" spans="2:10" x14ac:dyDescent="0.25">
      <c r="B170" t="s">
        <v>603</v>
      </c>
      <c r="C170">
        <v>0.67800000000000005</v>
      </c>
      <c r="D170">
        <v>0.4672</v>
      </c>
      <c r="E170">
        <v>2.6210000000000001E-2</v>
      </c>
      <c r="F170">
        <v>0</v>
      </c>
      <c r="G170">
        <v>1</v>
      </c>
      <c r="H170">
        <v>1</v>
      </c>
      <c r="I170">
        <v>1001</v>
      </c>
      <c r="J170">
        <v>3000</v>
      </c>
    </row>
    <row r="171" spans="2:10" x14ac:dyDescent="0.25">
      <c r="B171" t="s">
        <v>604</v>
      </c>
      <c r="C171">
        <v>0</v>
      </c>
      <c r="D171">
        <v>0</v>
      </c>
      <c r="E171" s="13">
        <v>1.054E-12</v>
      </c>
      <c r="F171">
        <v>0</v>
      </c>
      <c r="G171">
        <v>0</v>
      </c>
      <c r="H171">
        <v>0</v>
      </c>
      <c r="I171">
        <v>1001</v>
      </c>
      <c r="J171">
        <v>3000</v>
      </c>
    </row>
    <row r="172" spans="2:10" x14ac:dyDescent="0.25">
      <c r="B172" t="s">
        <v>382</v>
      </c>
      <c r="C172">
        <v>1.933E-2</v>
      </c>
      <c r="D172">
        <v>0.13769999999999999</v>
      </c>
      <c r="E172">
        <v>4.7470000000000004E-3</v>
      </c>
      <c r="F172">
        <v>0</v>
      </c>
      <c r="G172">
        <v>0</v>
      </c>
      <c r="H172">
        <v>0</v>
      </c>
      <c r="I172">
        <v>1001</v>
      </c>
      <c r="J172">
        <v>3000</v>
      </c>
    </row>
    <row r="173" spans="2:10" x14ac:dyDescent="0.25">
      <c r="B173" t="s">
        <v>383</v>
      </c>
      <c r="C173">
        <v>0.125</v>
      </c>
      <c r="D173">
        <v>0.33069999999999999</v>
      </c>
      <c r="E173">
        <v>1.5800000000000002E-2</v>
      </c>
      <c r="F173">
        <v>0</v>
      </c>
      <c r="G173">
        <v>0</v>
      </c>
      <c r="H173">
        <v>1</v>
      </c>
      <c r="I173">
        <v>1001</v>
      </c>
      <c r="J173">
        <v>3000</v>
      </c>
    </row>
    <row r="174" spans="2:10" x14ac:dyDescent="0.25">
      <c r="B174" t="s">
        <v>384</v>
      </c>
      <c r="C174">
        <v>0.31</v>
      </c>
      <c r="D174">
        <v>0.46250000000000002</v>
      </c>
      <c r="E174">
        <v>2.147E-2</v>
      </c>
      <c r="F174">
        <v>0</v>
      </c>
      <c r="G174">
        <v>0</v>
      </c>
      <c r="H174">
        <v>1</v>
      </c>
      <c r="I174">
        <v>1001</v>
      </c>
      <c r="J174">
        <v>3000</v>
      </c>
    </row>
    <row r="175" spans="2:10" x14ac:dyDescent="0.25">
      <c r="B175" t="s">
        <v>385</v>
      </c>
      <c r="C175">
        <v>0.32529999999999998</v>
      </c>
      <c r="D175">
        <v>0.46850000000000003</v>
      </c>
      <c r="E175">
        <v>1.958E-2</v>
      </c>
      <c r="F175">
        <v>0</v>
      </c>
      <c r="G175">
        <v>0</v>
      </c>
      <c r="H175">
        <v>1</v>
      </c>
      <c r="I175">
        <v>1001</v>
      </c>
      <c r="J175">
        <v>3000</v>
      </c>
    </row>
    <row r="176" spans="2:10" x14ac:dyDescent="0.25">
      <c r="B176" t="s">
        <v>386</v>
      </c>
      <c r="C176">
        <v>0.16470000000000001</v>
      </c>
      <c r="D176">
        <v>0.37090000000000001</v>
      </c>
      <c r="E176">
        <v>2.095E-2</v>
      </c>
      <c r="F176">
        <v>0</v>
      </c>
      <c r="G176">
        <v>0</v>
      </c>
      <c r="H176">
        <v>1</v>
      </c>
      <c r="I176">
        <v>1001</v>
      </c>
      <c r="J176">
        <v>3000</v>
      </c>
    </row>
    <row r="177" spans="2:10" x14ac:dyDescent="0.25">
      <c r="B177" t="s">
        <v>605</v>
      </c>
      <c r="C177">
        <v>5.3330000000000002E-2</v>
      </c>
      <c r="D177">
        <v>0.22470000000000001</v>
      </c>
      <c r="E177">
        <v>1.163E-2</v>
      </c>
      <c r="F177">
        <v>0</v>
      </c>
      <c r="G177">
        <v>0</v>
      </c>
      <c r="H177">
        <v>1</v>
      </c>
      <c r="I177">
        <v>1001</v>
      </c>
      <c r="J177">
        <v>3000</v>
      </c>
    </row>
    <row r="178" spans="2:10" x14ac:dyDescent="0.25">
      <c r="B178" t="s">
        <v>606</v>
      </c>
      <c r="C178">
        <v>2.333E-3</v>
      </c>
      <c r="D178">
        <v>4.8250000000000001E-2</v>
      </c>
      <c r="E178">
        <v>1.199E-3</v>
      </c>
      <c r="F178">
        <v>0</v>
      </c>
      <c r="G178">
        <v>0</v>
      </c>
      <c r="H178">
        <v>0</v>
      </c>
      <c r="I178">
        <v>1001</v>
      </c>
      <c r="J178">
        <v>3000</v>
      </c>
    </row>
    <row r="179" spans="2:10" x14ac:dyDescent="0.25">
      <c r="B179" t="s">
        <v>607</v>
      </c>
      <c r="C179">
        <v>0</v>
      </c>
      <c r="D179">
        <v>0</v>
      </c>
      <c r="E179" s="13">
        <v>1.054E-12</v>
      </c>
      <c r="F179">
        <v>0</v>
      </c>
      <c r="G179">
        <v>0</v>
      </c>
      <c r="H179">
        <v>0</v>
      </c>
      <c r="I179">
        <v>1001</v>
      </c>
      <c r="J179">
        <v>3000</v>
      </c>
    </row>
    <row r="180" spans="2:10" x14ac:dyDescent="0.25">
      <c r="B180" t="s">
        <v>608</v>
      </c>
      <c r="C180">
        <v>0</v>
      </c>
      <c r="D180">
        <v>0</v>
      </c>
      <c r="E180" s="13">
        <v>1.054E-12</v>
      </c>
      <c r="F180">
        <v>0</v>
      </c>
      <c r="G180">
        <v>0</v>
      </c>
      <c r="H180">
        <v>0</v>
      </c>
      <c r="I180">
        <v>1001</v>
      </c>
      <c r="J180">
        <v>3000</v>
      </c>
    </row>
    <row r="181" spans="2:10" x14ac:dyDescent="0.25">
      <c r="B181" t="s">
        <v>387</v>
      </c>
      <c r="C181">
        <v>0.22900000000000001</v>
      </c>
      <c r="D181">
        <v>0.42020000000000002</v>
      </c>
      <c r="E181">
        <v>2.0840000000000001E-2</v>
      </c>
      <c r="F181">
        <v>0</v>
      </c>
      <c r="G181">
        <v>0</v>
      </c>
      <c r="H181">
        <v>1</v>
      </c>
      <c r="I181">
        <v>1001</v>
      </c>
      <c r="J181">
        <v>3000</v>
      </c>
    </row>
    <row r="182" spans="2:10" x14ac:dyDescent="0.25">
      <c r="B182" t="s">
        <v>388</v>
      </c>
      <c r="C182">
        <v>0.37230000000000002</v>
      </c>
      <c r="D182">
        <v>0.4834</v>
      </c>
      <c r="E182">
        <v>2.0459999999999999E-2</v>
      </c>
      <c r="F182">
        <v>0</v>
      </c>
      <c r="G182">
        <v>0</v>
      </c>
      <c r="H182">
        <v>1</v>
      </c>
      <c r="I182">
        <v>1001</v>
      </c>
      <c r="J182">
        <v>3000</v>
      </c>
    </row>
    <row r="183" spans="2:10" x14ac:dyDescent="0.25">
      <c r="B183" t="s">
        <v>389</v>
      </c>
      <c r="C183">
        <v>0.24</v>
      </c>
      <c r="D183">
        <v>0.42709999999999998</v>
      </c>
      <c r="E183">
        <v>1.669E-2</v>
      </c>
      <c r="F183">
        <v>0</v>
      </c>
      <c r="G183">
        <v>0</v>
      </c>
      <c r="H183">
        <v>1</v>
      </c>
      <c r="I183">
        <v>1001</v>
      </c>
      <c r="J183">
        <v>3000</v>
      </c>
    </row>
    <row r="184" spans="2:10" x14ac:dyDescent="0.25">
      <c r="B184" t="s">
        <v>390</v>
      </c>
      <c r="C184">
        <v>9.7670000000000007E-2</v>
      </c>
      <c r="D184">
        <v>0.2969</v>
      </c>
      <c r="E184">
        <v>1.0540000000000001E-2</v>
      </c>
      <c r="F184">
        <v>0</v>
      </c>
      <c r="G184">
        <v>0</v>
      </c>
      <c r="H184">
        <v>1</v>
      </c>
      <c r="I184">
        <v>1001</v>
      </c>
      <c r="J184">
        <v>3000</v>
      </c>
    </row>
    <row r="185" spans="2:10" x14ac:dyDescent="0.25">
      <c r="B185" t="s">
        <v>391</v>
      </c>
      <c r="C185">
        <v>4.1669999999999999E-2</v>
      </c>
      <c r="D185">
        <v>0.19980000000000001</v>
      </c>
      <c r="E185">
        <v>5.8149999999999999E-3</v>
      </c>
      <c r="F185">
        <v>0</v>
      </c>
      <c r="G185">
        <v>0</v>
      </c>
      <c r="H185">
        <v>1</v>
      </c>
      <c r="I185">
        <v>1001</v>
      </c>
      <c r="J185">
        <v>3000</v>
      </c>
    </row>
    <row r="186" spans="2:10" x14ac:dyDescent="0.25">
      <c r="B186" t="s">
        <v>609</v>
      </c>
      <c r="C186">
        <v>1.4E-2</v>
      </c>
      <c r="D186">
        <v>0.11749999999999999</v>
      </c>
      <c r="E186">
        <v>3.4329999999999999E-3</v>
      </c>
      <c r="F186">
        <v>0</v>
      </c>
      <c r="G186">
        <v>0</v>
      </c>
      <c r="H186">
        <v>0</v>
      </c>
      <c r="I186">
        <v>1001</v>
      </c>
      <c r="J186">
        <v>3000</v>
      </c>
    </row>
    <row r="187" spans="2:10" x14ac:dyDescent="0.25">
      <c r="B187" t="s">
        <v>610</v>
      </c>
      <c r="C187">
        <v>5.0000000000000001E-3</v>
      </c>
      <c r="D187">
        <v>7.0529999999999995E-2</v>
      </c>
      <c r="E187">
        <v>1.6789999999999999E-3</v>
      </c>
      <c r="F187">
        <v>0</v>
      </c>
      <c r="G187">
        <v>0</v>
      </c>
      <c r="H187">
        <v>0</v>
      </c>
      <c r="I187">
        <v>1001</v>
      </c>
      <c r="J187">
        <v>3000</v>
      </c>
    </row>
    <row r="188" spans="2:10" x14ac:dyDescent="0.25">
      <c r="B188" t="s">
        <v>611</v>
      </c>
      <c r="C188" s="13">
        <v>3.3330000000000002E-4</v>
      </c>
      <c r="D188">
        <v>1.8249999999999999E-2</v>
      </c>
      <c r="E188" s="13">
        <v>3.3829999999999998E-4</v>
      </c>
      <c r="F188">
        <v>0</v>
      </c>
      <c r="G188">
        <v>0</v>
      </c>
      <c r="H188">
        <v>0</v>
      </c>
      <c r="I188">
        <v>1001</v>
      </c>
      <c r="J188">
        <v>3000</v>
      </c>
    </row>
    <row r="189" spans="2:10" x14ac:dyDescent="0.25">
      <c r="B189" t="s">
        <v>612</v>
      </c>
      <c r="C189">
        <v>0</v>
      </c>
      <c r="D189">
        <v>0</v>
      </c>
      <c r="E189" s="13">
        <v>1.054E-12</v>
      </c>
      <c r="F189">
        <v>0</v>
      </c>
      <c r="G189">
        <v>0</v>
      </c>
      <c r="H189">
        <v>0</v>
      </c>
      <c r="I189">
        <v>1001</v>
      </c>
      <c r="J189">
        <v>3000</v>
      </c>
    </row>
    <row r="190" spans="2:10" x14ac:dyDescent="0.25">
      <c r="B190" t="s">
        <v>392</v>
      </c>
      <c r="C190">
        <v>0.5323</v>
      </c>
      <c r="D190">
        <v>0.499</v>
      </c>
      <c r="E190">
        <v>2.903E-2</v>
      </c>
      <c r="F190">
        <v>0</v>
      </c>
      <c r="G190">
        <v>1</v>
      </c>
      <c r="H190">
        <v>1</v>
      </c>
      <c r="I190">
        <v>1001</v>
      </c>
      <c r="J190">
        <v>3000</v>
      </c>
    </row>
    <row r="191" spans="2:10" x14ac:dyDescent="0.25">
      <c r="B191" t="s">
        <v>393</v>
      </c>
      <c r="C191">
        <v>0.12330000000000001</v>
      </c>
      <c r="D191">
        <v>0.32879999999999998</v>
      </c>
      <c r="E191">
        <v>9.6559999999999997E-3</v>
      </c>
      <c r="F191">
        <v>0</v>
      </c>
      <c r="G191">
        <v>0</v>
      </c>
      <c r="H191">
        <v>1</v>
      </c>
      <c r="I191">
        <v>1001</v>
      </c>
      <c r="J191">
        <v>3000</v>
      </c>
    </row>
    <row r="192" spans="2:10" x14ac:dyDescent="0.25">
      <c r="B192" t="s">
        <v>394</v>
      </c>
      <c r="C192">
        <v>9.4670000000000004E-2</v>
      </c>
      <c r="D192">
        <v>0.2928</v>
      </c>
      <c r="E192">
        <v>9.3650000000000001E-3</v>
      </c>
      <c r="F192">
        <v>0</v>
      </c>
      <c r="G192">
        <v>0</v>
      </c>
      <c r="H192">
        <v>1</v>
      </c>
      <c r="I192">
        <v>1001</v>
      </c>
      <c r="J192">
        <v>3000</v>
      </c>
    </row>
    <row r="193" spans="2:10" x14ac:dyDescent="0.25">
      <c r="B193" t="s">
        <v>395</v>
      </c>
      <c r="C193">
        <v>7.2669999999999998E-2</v>
      </c>
      <c r="D193">
        <v>0.2596</v>
      </c>
      <c r="E193">
        <v>1.252E-2</v>
      </c>
      <c r="F193">
        <v>0</v>
      </c>
      <c r="G193">
        <v>0</v>
      </c>
      <c r="H193">
        <v>1</v>
      </c>
      <c r="I193">
        <v>1001</v>
      </c>
      <c r="J193">
        <v>3000</v>
      </c>
    </row>
    <row r="194" spans="2:10" x14ac:dyDescent="0.25">
      <c r="B194" t="s">
        <v>396</v>
      </c>
      <c r="C194">
        <v>8.7330000000000005E-2</v>
      </c>
      <c r="D194">
        <v>0.2823</v>
      </c>
      <c r="E194">
        <v>1.341E-2</v>
      </c>
      <c r="F194">
        <v>0</v>
      </c>
      <c r="G194">
        <v>0</v>
      </c>
      <c r="H194">
        <v>1</v>
      </c>
      <c r="I194">
        <v>1001</v>
      </c>
      <c r="J194">
        <v>3000</v>
      </c>
    </row>
    <row r="195" spans="2:10" x14ac:dyDescent="0.25">
      <c r="B195" t="s">
        <v>613</v>
      </c>
      <c r="C195">
        <v>4.4670000000000001E-2</v>
      </c>
      <c r="D195">
        <v>0.20660000000000001</v>
      </c>
      <c r="E195">
        <v>6.1409999999999998E-3</v>
      </c>
      <c r="F195">
        <v>0</v>
      </c>
      <c r="G195">
        <v>0</v>
      </c>
      <c r="H195">
        <v>1</v>
      </c>
      <c r="I195">
        <v>1001</v>
      </c>
      <c r="J195">
        <v>3000</v>
      </c>
    </row>
    <row r="196" spans="2:10" x14ac:dyDescent="0.25">
      <c r="B196" t="s">
        <v>614</v>
      </c>
      <c r="C196">
        <v>3.2329999999999998E-2</v>
      </c>
      <c r="D196">
        <v>0.1769</v>
      </c>
      <c r="E196">
        <v>7.3220000000000004E-3</v>
      </c>
      <c r="F196">
        <v>0</v>
      </c>
      <c r="G196">
        <v>0</v>
      </c>
      <c r="H196">
        <v>1</v>
      </c>
      <c r="I196">
        <v>1001</v>
      </c>
      <c r="J196">
        <v>3000</v>
      </c>
    </row>
    <row r="197" spans="2:10" x14ac:dyDescent="0.25">
      <c r="B197" t="s">
        <v>615</v>
      </c>
      <c r="C197">
        <v>1.2670000000000001E-2</v>
      </c>
      <c r="D197">
        <v>0.1118</v>
      </c>
      <c r="E197">
        <v>3.4499999999999999E-3</v>
      </c>
      <c r="F197">
        <v>0</v>
      </c>
      <c r="G197">
        <v>0</v>
      </c>
      <c r="H197">
        <v>0</v>
      </c>
      <c r="I197">
        <v>1001</v>
      </c>
      <c r="J197">
        <v>3000</v>
      </c>
    </row>
    <row r="198" spans="2:10" x14ac:dyDescent="0.25">
      <c r="B198" t="s">
        <v>616</v>
      </c>
      <c r="C198">
        <v>0</v>
      </c>
      <c r="D198">
        <v>0</v>
      </c>
      <c r="E198" s="13">
        <v>1.054E-12</v>
      </c>
      <c r="F198">
        <v>0</v>
      </c>
      <c r="G198">
        <v>0</v>
      </c>
      <c r="H198">
        <v>0</v>
      </c>
      <c r="I198">
        <v>1001</v>
      </c>
      <c r="J198">
        <v>3000</v>
      </c>
    </row>
    <row r="199" spans="2:10" x14ac:dyDescent="0.25">
      <c r="B199" t="s">
        <v>617</v>
      </c>
      <c r="C199">
        <v>0.16669999999999999</v>
      </c>
      <c r="D199">
        <v>0.37269999999999998</v>
      </c>
      <c r="E199">
        <v>1.771E-2</v>
      </c>
      <c r="F199">
        <v>0</v>
      </c>
      <c r="G199">
        <v>0</v>
      </c>
      <c r="H199">
        <v>1</v>
      </c>
      <c r="I199">
        <v>1001</v>
      </c>
      <c r="J199">
        <v>3000</v>
      </c>
    </row>
    <row r="200" spans="2:10" x14ac:dyDescent="0.25">
      <c r="B200" t="s">
        <v>618</v>
      </c>
      <c r="C200">
        <v>0.25800000000000001</v>
      </c>
      <c r="D200">
        <v>0.4375</v>
      </c>
      <c r="E200">
        <v>1.9630000000000002E-2</v>
      </c>
      <c r="F200">
        <v>0</v>
      </c>
      <c r="G200">
        <v>0</v>
      </c>
      <c r="H200">
        <v>1</v>
      </c>
      <c r="I200">
        <v>1001</v>
      </c>
      <c r="J200">
        <v>3000</v>
      </c>
    </row>
    <row r="201" spans="2:10" x14ac:dyDescent="0.25">
      <c r="B201" t="s">
        <v>619</v>
      </c>
      <c r="C201">
        <v>0.1663</v>
      </c>
      <c r="D201">
        <v>0.37240000000000001</v>
      </c>
      <c r="E201">
        <v>1.1900000000000001E-2</v>
      </c>
      <c r="F201">
        <v>0</v>
      </c>
      <c r="G201">
        <v>0</v>
      </c>
      <c r="H201">
        <v>1</v>
      </c>
      <c r="I201">
        <v>1001</v>
      </c>
      <c r="J201">
        <v>3000</v>
      </c>
    </row>
    <row r="202" spans="2:10" x14ac:dyDescent="0.25">
      <c r="B202" t="s">
        <v>620</v>
      </c>
      <c r="C202">
        <v>0.16969999999999999</v>
      </c>
      <c r="D202">
        <v>0.37530000000000002</v>
      </c>
      <c r="E202">
        <v>1.5219999999999999E-2</v>
      </c>
      <c r="F202">
        <v>0</v>
      </c>
      <c r="G202">
        <v>0</v>
      </c>
      <c r="H202">
        <v>1</v>
      </c>
      <c r="I202">
        <v>1001</v>
      </c>
      <c r="J202">
        <v>3000</v>
      </c>
    </row>
    <row r="203" spans="2:10" x14ac:dyDescent="0.25">
      <c r="B203" t="s">
        <v>621</v>
      </c>
      <c r="C203">
        <v>0.1187</v>
      </c>
      <c r="D203">
        <v>0.32340000000000002</v>
      </c>
      <c r="E203">
        <v>1.14E-2</v>
      </c>
      <c r="F203">
        <v>0</v>
      </c>
      <c r="G203">
        <v>0</v>
      </c>
      <c r="H203">
        <v>1</v>
      </c>
      <c r="I203">
        <v>1001</v>
      </c>
      <c r="J203">
        <v>3000</v>
      </c>
    </row>
    <row r="204" spans="2:10" x14ac:dyDescent="0.25">
      <c r="B204" t="s">
        <v>622</v>
      </c>
      <c r="C204">
        <v>6.7669999999999994E-2</v>
      </c>
      <c r="D204">
        <v>0.25119999999999998</v>
      </c>
      <c r="E204">
        <v>8.8500000000000002E-3</v>
      </c>
      <c r="F204">
        <v>0</v>
      </c>
      <c r="G204">
        <v>0</v>
      </c>
      <c r="H204">
        <v>1</v>
      </c>
      <c r="I204">
        <v>1001</v>
      </c>
      <c r="J204">
        <v>3000</v>
      </c>
    </row>
    <row r="205" spans="2:10" x14ac:dyDescent="0.25">
      <c r="B205" t="s">
        <v>623</v>
      </c>
      <c r="C205">
        <v>3.9E-2</v>
      </c>
      <c r="D205">
        <v>0.19359999999999999</v>
      </c>
      <c r="E205">
        <v>7.8779999999999996E-3</v>
      </c>
      <c r="F205">
        <v>0</v>
      </c>
      <c r="G205">
        <v>0</v>
      </c>
      <c r="H205">
        <v>1</v>
      </c>
      <c r="I205">
        <v>1001</v>
      </c>
      <c r="J205">
        <v>3000</v>
      </c>
    </row>
    <row r="206" spans="2:10" x14ac:dyDescent="0.25">
      <c r="B206" t="s">
        <v>624</v>
      </c>
      <c r="C206">
        <v>1.4E-2</v>
      </c>
      <c r="D206">
        <v>0.11749999999999999</v>
      </c>
      <c r="E206">
        <v>3.8080000000000002E-3</v>
      </c>
      <c r="F206">
        <v>0</v>
      </c>
      <c r="G206">
        <v>0</v>
      </c>
      <c r="H206">
        <v>0</v>
      </c>
      <c r="I206">
        <v>1001</v>
      </c>
      <c r="J206">
        <v>3000</v>
      </c>
    </row>
    <row r="207" spans="2:10" x14ac:dyDescent="0.25">
      <c r="B207" t="s">
        <v>625</v>
      </c>
      <c r="C207">
        <v>0</v>
      </c>
      <c r="D207">
        <v>0</v>
      </c>
      <c r="E207" s="13">
        <v>1.054E-12</v>
      </c>
      <c r="F207">
        <v>0</v>
      </c>
      <c r="G207">
        <v>0</v>
      </c>
      <c r="H207">
        <v>0</v>
      </c>
      <c r="I207">
        <v>1001</v>
      </c>
      <c r="J207">
        <v>3000</v>
      </c>
    </row>
    <row r="208" spans="2:10" x14ac:dyDescent="0.25">
      <c r="B208" t="s">
        <v>626</v>
      </c>
      <c r="C208">
        <v>3.567E-2</v>
      </c>
      <c r="D208">
        <v>0.1855</v>
      </c>
      <c r="E208">
        <v>1.069E-2</v>
      </c>
      <c r="F208">
        <v>0</v>
      </c>
      <c r="G208">
        <v>0</v>
      </c>
      <c r="H208">
        <v>1</v>
      </c>
      <c r="I208">
        <v>1001</v>
      </c>
      <c r="J208">
        <v>3000</v>
      </c>
    </row>
    <row r="209" spans="2:10" x14ac:dyDescent="0.25">
      <c r="B209" t="s">
        <v>627</v>
      </c>
      <c r="C209">
        <v>4.7E-2</v>
      </c>
      <c r="D209">
        <v>0.21160000000000001</v>
      </c>
      <c r="E209">
        <v>8.0839999999999992E-3</v>
      </c>
      <c r="F209">
        <v>0</v>
      </c>
      <c r="G209">
        <v>0</v>
      </c>
      <c r="H209">
        <v>1</v>
      </c>
      <c r="I209">
        <v>1001</v>
      </c>
      <c r="J209">
        <v>3000</v>
      </c>
    </row>
    <row r="210" spans="2:10" x14ac:dyDescent="0.25">
      <c r="B210" t="s">
        <v>628</v>
      </c>
      <c r="C210">
        <v>5.3670000000000002E-2</v>
      </c>
      <c r="D210">
        <v>0.22539999999999999</v>
      </c>
      <c r="E210">
        <v>7.3299999999999997E-3</v>
      </c>
      <c r="F210">
        <v>0</v>
      </c>
      <c r="G210">
        <v>0</v>
      </c>
      <c r="H210">
        <v>1</v>
      </c>
      <c r="I210">
        <v>1001</v>
      </c>
      <c r="J210">
        <v>3000</v>
      </c>
    </row>
    <row r="211" spans="2:10" x14ac:dyDescent="0.25">
      <c r="B211" t="s">
        <v>629</v>
      </c>
      <c r="C211">
        <v>7.2669999999999998E-2</v>
      </c>
      <c r="D211">
        <v>0.2596</v>
      </c>
      <c r="E211">
        <v>1.099E-2</v>
      </c>
      <c r="F211">
        <v>0</v>
      </c>
      <c r="G211">
        <v>0</v>
      </c>
      <c r="H211">
        <v>1</v>
      </c>
      <c r="I211">
        <v>1001</v>
      </c>
      <c r="J211">
        <v>3000</v>
      </c>
    </row>
    <row r="212" spans="2:10" x14ac:dyDescent="0.25">
      <c r="B212" t="s">
        <v>630</v>
      </c>
      <c r="C212">
        <v>0.11070000000000001</v>
      </c>
      <c r="D212">
        <v>0.31369999999999998</v>
      </c>
      <c r="E212">
        <v>1.068E-2</v>
      </c>
      <c r="F212">
        <v>0</v>
      </c>
      <c r="G212">
        <v>0</v>
      </c>
      <c r="H212">
        <v>1</v>
      </c>
      <c r="I212">
        <v>1001</v>
      </c>
      <c r="J212">
        <v>3000</v>
      </c>
    </row>
    <row r="213" spans="2:10" x14ac:dyDescent="0.25">
      <c r="B213" t="s">
        <v>631</v>
      </c>
      <c r="C213">
        <v>0.2127</v>
      </c>
      <c r="D213">
        <v>0.40920000000000001</v>
      </c>
      <c r="E213">
        <v>1.8960000000000001E-2</v>
      </c>
      <c r="F213">
        <v>0</v>
      </c>
      <c r="G213">
        <v>0</v>
      </c>
      <c r="H213">
        <v>1</v>
      </c>
      <c r="I213">
        <v>1001</v>
      </c>
      <c r="J213">
        <v>3000</v>
      </c>
    </row>
    <row r="214" spans="2:10" x14ac:dyDescent="0.25">
      <c r="B214" t="s">
        <v>632</v>
      </c>
      <c r="C214">
        <v>0.22600000000000001</v>
      </c>
      <c r="D214">
        <v>0.41820000000000002</v>
      </c>
      <c r="E214">
        <v>1.6500000000000001E-2</v>
      </c>
      <c r="F214">
        <v>0</v>
      </c>
      <c r="G214">
        <v>0</v>
      </c>
      <c r="H214">
        <v>1</v>
      </c>
      <c r="I214">
        <v>1001</v>
      </c>
      <c r="J214">
        <v>3000</v>
      </c>
    </row>
    <row r="215" spans="2:10" x14ac:dyDescent="0.25">
      <c r="B215" t="s">
        <v>633</v>
      </c>
      <c r="C215">
        <v>0.2397</v>
      </c>
      <c r="D215">
        <v>0.4269</v>
      </c>
      <c r="E215">
        <v>2.163E-2</v>
      </c>
      <c r="F215">
        <v>0</v>
      </c>
      <c r="G215">
        <v>0</v>
      </c>
      <c r="H215">
        <v>1</v>
      </c>
      <c r="I215">
        <v>1001</v>
      </c>
      <c r="J215">
        <v>3000</v>
      </c>
    </row>
    <row r="216" spans="2:10" x14ac:dyDescent="0.25">
      <c r="B216" t="s">
        <v>634</v>
      </c>
      <c r="C216">
        <v>2E-3</v>
      </c>
      <c r="D216">
        <v>4.4679999999999997E-2</v>
      </c>
      <c r="E216" s="13">
        <v>9.2409999999999996E-4</v>
      </c>
      <c r="F216">
        <v>0</v>
      </c>
      <c r="G216">
        <v>0</v>
      </c>
      <c r="H216">
        <v>0</v>
      </c>
      <c r="I216">
        <v>1001</v>
      </c>
      <c r="J216">
        <v>3000</v>
      </c>
    </row>
    <row r="217" spans="2:10" x14ac:dyDescent="0.25">
      <c r="B217" t="s">
        <v>635</v>
      </c>
      <c r="C217">
        <v>1.7000000000000001E-2</v>
      </c>
      <c r="D217">
        <v>0.1293</v>
      </c>
      <c r="E217">
        <v>4.1279999999999997E-3</v>
      </c>
      <c r="F217">
        <v>0</v>
      </c>
      <c r="G217">
        <v>0</v>
      </c>
      <c r="H217">
        <v>0</v>
      </c>
      <c r="I217">
        <v>1001</v>
      </c>
      <c r="J217">
        <v>3000</v>
      </c>
    </row>
    <row r="218" spans="2:10" x14ac:dyDescent="0.25">
      <c r="B218" t="s">
        <v>636</v>
      </c>
      <c r="C218">
        <v>7.2999999999999995E-2</v>
      </c>
      <c r="D218">
        <v>0.2601</v>
      </c>
      <c r="E218">
        <v>1.0030000000000001E-2</v>
      </c>
      <c r="F218">
        <v>0</v>
      </c>
      <c r="G218">
        <v>0</v>
      </c>
      <c r="H218">
        <v>1</v>
      </c>
      <c r="I218">
        <v>1001</v>
      </c>
      <c r="J218">
        <v>3000</v>
      </c>
    </row>
    <row r="219" spans="2:10" x14ac:dyDescent="0.25">
      <c r="B219" t="s">
        <v>637</v>
      </c>
      <c r="C219">
        <v>0.13</v>
      </c>
      <c r="D219">
        <v>0.33629999999999999</v>
      </c>
      <c r="E219">
        <v>1.4619999999999999E-2</v>
      </c>
      <c r="F219">
        <v>0</v>
      </c>
      <c r="G219">
        <v>0</v>
      </c>
      <c r="H219">
        <v>1</v>
      </c>
      <c r="I219">
        <v>1001</v>
      </c>
      <c r="J219">
        <v>3000</v>
      </c>
    </row>
    <row r="220" spans="2:10" x14ac:dyDescent="0.25">
      <c r="B220" t="s">
        <v>638</v>
      </c>
      <c r="C220">
        <v>0.24030000000000001</v>
      </c>
      <c r="D220">
        <v>0.42730000000000001</v>
      </c>
      <c r="E220">
        <v>1.6469999999999999E-2</v>
      </c>
      <c r="F220">
        <v>0</v>
      </c>
      <c r="G220">
        <v>0</v>
      </c>
      <c r="H220">
        <v>1</v>
      </c>
      <c r="I220">
        <v>1001</v>
      </c>
      <c r="J220">
        <v>3000</v>
      </c>
    </row>
    <row r="221" spans="2:10" x14ac:dyDescent="0.25">
      <c r="B221" t="s">
        <v>639</v>
      </c>
      <c r="C221">
        <v>0.37669999999999998</v>
      </c>
      <c r="D221">
        <v>0.48459999999999998</v>
      </c>
      <c r="E221">
        <v>2.3449999999999999E-2</v>
      </c>
      <c r="F221">
        <v>0</v>
      </c>
      <c r="G221">
        <v>0</v>
      </c>
      <c r="H221">
        <v>1</v>
      </c>
      <c r="I221">
        <v>1001</v>
      </c>
      <c r="J221">
        <v>3000</v>
      </c>
    </row>
    <row r="222" spans="2:10" x14ac:dyDescent="0.25">
      <c r="B222" t="s">
        <v>640</v>
      </c>
      <c r="C222">
        <v>0.14269999999999999</v>
      </c>
      <c r="D222">
        <v>0.34970000000000001</v>
      </c>
      <c r="E222">
        <v>1.6990000000000002E-2</v>
      </c>
      <c r="F222">
        <v>0</v>
      </c>
      <c r="G222">
        <v>0</v>
      </c>
      <c r="H222">
        <v>1</v>
      </c>
      <c r="I222">
        <v>1001</v>
      </c>
      <c r="J222">
        <v>3000</v>
      </c>
    </row>
    <row r="223" spans="2:10" x14ac:dyDescent="0.25">
      <c r="B223" t="s">
        <v>641</v>
      </c>
      <c r="C223">
        <v>1.967E-2</v>
      </c>
      <c r="D223">
        <v>0.1389</v>
      </c>
      <c r="E223">
        <v>4.6189999999999998E-3</v>
      </c>
      <c r="F223">
        <v>0</v>
      </c>
      <c r="G223">
        <v>0</v>
      </c>
      <c r="H223">
        <v>0</v>
      </c>
      <c r="I223">
        <v>1001</v>
      </c>
      <c r="J223">
        <v>3000</v>
      </c>
    </row>
    <row r="224" spans="2:10" x14ac:dyDescent="0.25">
      <c r="B224" t="s">
        <v>642</v>
      </c>
      <c r="C224" s="13">
        <v>6.667E-4</v>
      </c>
      <c r="D224">
        <v>2.581E-2</v>
      </c>
      <c r="E224" s="13">
        <v>4.7580000000000002E-4</v>
      </c>
      <c r="F224">
        <v>0</v>
      </c>
      <c r="G224">
        <v>0</v>
      </c>
      <c r="H224">
        <v>0</v>
      </c>
      <c r="I224">
        <v>1001</v>
      </c>
      <c r="J224">
        <v>3000</v>
      </c>
    </row>
    <row r="225" spans="2:10" x14ac:dyDescent="0.25">
      <c r="B225" t="s">
        <v>643</v>
      </c>
      <c r="C225">
        <v>0</v>
      </c>
      <c r="D225">
        <v>0</v>
      </c>
      <c r="E225" s="13">
        <v>1.054E-12</v>
      </c>
      <c r="F225">
        <v>0</v>
      </c>
      <c r="G225">
        <v>0</v>
      </c>
      <c r="H225">
        <v>0</v>
      </c>
      <c r="I225">
        <v>1001</v>
      </c>
      <c r="J225">
        <v>3000</v>
      </c>
    </row>
    <row r="226" spans="2:10" x14ac:dyDescent="0.25">
      <c r="B226" t="s">
        <v>644</v>
      </c>
      <c r="C226">
        <v>0</v>
      </c>
      <c r="D226">
        <v>0</v>
      </c>
      <c r="E226" s="13">
        <v>1.054E-12</v>
      </c>
      <c r="F226">
        <v>0</v>
      </c>
      <c r="G226">
        <v>0</v>
      </c>
      <c r="H226">
        <v>0</v>
      </c>
      <c r="I226">
        <v>1001</v>
      </c>
      <c r="J226">
        <v>3000</v>
      </c>
    </row>
    <row r="227" spans="2:10" x14ac:dyDescent="0.25">
      <c r="B227" t="s">
        <v>645</v>
      </c>
      <c r="C227">
        <v>0</v>
      </c>
      <c r="D227">
        <v>0</v>
      </c>
      <c r="E227" s="13">
        <v>1.054E-12</v>
      </c>
      <c r="F227">
        <v>0</v>
      </c>
      <c r="G227">
        <v>0</v>
      </c>
      <c r="H227">
        <v>0</v>
      </c>
      <c r="I227">
        <v>1001</v>
      </c>
      <c r="J227">
        <v>3000</v>
      </c>
    </row>
    <row r="228" spans="2:10" x14ac:dyDescent="0.25">
      <c r="B228" t="s">
        <v>646</v>
      </c>
      <c r="C228">
        <v>0</v>
      </c>
      <c r="D228">
        <v>0</v>
      </c>
      <c r="E228" s="13">
        <v>1.054E-12</v>
      </c>
      <c r="F228">
        <v>0</v>
      </c>
      <c r="G228">
        <v>0</v>
      </c>
      <c r="H228">
        <v>0</v>
      </c>
      <c r="I228">
        <v>1001</v>
      </c>
      <c r="J228">
        <v>3000</v>
      </c>
    </row>
    <row r="229" spans="2:10" x14ac:dyDescent="0.25">
      <c r="B229" t="s">
        <v>647</v>
      </c>
      <c r="C229">
        <v>0</v>
      </c>
      <c r="D229">
        <v>0</v>
      </c>
      <c r="E229" s="13">
        <v>1.054E-12</v>
      </c>
      <c r="F229">
        <v>0</v>
      </c>
      <c r="G229">
        <v>0</v>
      </c>
      <c r="H229">
        <v>0</v>
      </c>
      <c r="I229">
        <v>1001</v>
      </c>
      <c r="J229">
        <v>3000</v>
      </c>
    </row>
    <row r="230" spans="2:10" x14ac:dyDescent="0.25">
      <c r="B230" t="s">
        <v>648</v>
      </c>
      <c r="C230">
        <v>0</v>
      </c>
      <c r="D230">
        <v>0</v>
      </c>
      <c r="E230" s="13">
        <v>1.054E-12</v>
      </c>
      <c r="F230">
        <v>0</v>
      </c>
      <c r="G230">
        <v>0</v>
      </c>
      <c r="H230">
        <v>0</v>
      </c>
      <c r="I230">
        <v>1001</v>
      </c>
      <c r="J230">
        <v>3000</v>
      </c>
    </row>
    <row r="231" spans="2:10" x14ac:dyDescent="0.25">
      <c r="B231" t="s">
        <v>649</v>
      </c>
      <c r="C231">
        <v>0</v>
      </c>
      <c r="D231">
        <v>0</v>
      </c>
      <c r="E231" s="13">
        <v>1.054E-12</v>
      </c>
      <c r="F231">
        <v>0</v>
      </c>
      <c r="G231">
        <v>0</v>
      </c>
      <c r="H231">
        <v>0</v>
      </c>
      <c r="I231">
        <v>1001</v>
      </c>
      <c r="J231">
        <v>3000</v>
      </c>
    </row>
    <row r="232" spans="2:10" x14ac:dyDescent="0.25">
      <c r="B232" t="s">
        <v>650</v>
      </c>
      <c r="C232">
        <v>0</v>
      </c>
      <c r="D232">
        <v>0</v>
      </c>
      <c r="E232" s="13">
        <v>1.054E-12</v>
      </c>
      <c r="F232">
        <v>0</v>
      </c>
      <c r="G232">
        <v>0</v>
      </c>
      <c r="H232">
        <v>0</v>
      </c>
      <c r="I232">
        <v>1001</v>
      </c>
      <c r="J232">
        <v>3000</v>
      </c>
    </row>
    <row r="233" spans="2:10" x14ac:dyDescent="0.25">
      <c r="B233" t="s">
        <v>651</v>
      </c>
      <c r="C233">
        <v>2E-3</v>
      </c>
      <c r="D233">
        <v>4.4679999999999997E-2</v>
      </c>
      <c r="E233" s="13">
        <v>9.2409999999999996E-4</v>
      </c>
      <c r="F233">
        <v>0</v>
      </c>
      <c r="G233">
        <v>0</v>
      </c>
      <c r="H233">
        <v>0</v>
      </c>
      <c r="I233">
        <v>1001</v>
      </c>
      <c r="J233">
        <v>3000</v>
      </c>
    </row>
    <row r="234" spans="2:10" x14ac:dyDescent="0.25">
      <c r="B234" t="s">
        <v>652</v>
      </c>
      <c r="C234">
        <v>0.998</v>
      </c>
      <c r="D234">
        <v>4.4679999999999997E-2</v>
      </c>
      <c r="E234" s="13">
        <v>9.2409999999999996E-4</v>
      </c>
      <c r="F234">
        <v>1</v>
      </c>
      <c r="G234">
        <v>1</v>
      </c>
      <c r="H234">
        <v>1</v>
      </c>
      <c r="I234">
        <v>1001</v>
      </c>
      <c r="J234">
        <v>3000</v>
      </c>
    </row>
    <row r="235" spans="2:10" x14ac:dyDescent="0.25">
      <c r="B235" t="s">
        <v>418</v>
      </c>
      <c r="C235">
        <v>1.2869999999999999</v>
      </c>
      <c r="D235">
        <v>1.6220000000000001</v>
      </c>
      <c r="E235">
        <v>2.9590000000000002E-2</v>
      </c>
      <c r="F235">
        <v>2.836E-2</v>
      </c>
      <c r="G235">
        <v>0.69230000000000003</v>
      </c>
      <c r="H235">
        <v>5.9989999999999997</v>
      </c>
      <c r="I235">
        <v>1001</v>
      </c>
      <c r="J235">
        <v>3000</v>
      </c>
    </row>
    <row r="236" spans="2:10" x14ac:dyDescent="0.25">
      <c r="B236" t="s">
        <v>419</v>
      </c>
      <c r="C236">
        <v>1.639</v>
      </c>
      <c r="D236">
        <v>1.72</v>
      </c>
      <c r="E236">
        <v>4.3270000000000003E-2</v>
      </c>
      <c r="F236">
        <v>3.9530000000000003E-2</v>
      </c>
      <c r="G236">
        <v>1.097</v>
      </c>
      <c r="H236">
        <v>6.4530000000000003</v>
      </c>
      <c r="I236">
        <v>1001</v>
      </c>
      <c r="J236">
        <v>3000</v>
      </c>
    </row>
    <row r="237" spans="2:10" x14ac:dyDescent="0.25">
      <c r="B237" t="s">
        <v>420</v>
      </c>
      <c r="C237">
        <v>1.494</v>
      </c>
      <c r="D237">
        <v>1.5389999999999999</v>
      </c>
      <c r="E237">
        <v>4.87E-2</v>
      </c>
      <c r="F237">
        <v>3.517E-2</v>
      </c>
      <c r="G237">
        <v>1.002</v>
      </c>
      <c r="H237">
        <v>5.5190000000000001</v>
      </c>
      <c r="I237">
        <v>1001</v>
      </c>
      <c r="J237">
        <v>3000</v>
      </c>
    </row>
    <row r="238" spans="2:10" x14ac:dyDescent="0.25">
      <c r="B238" t="s">
        <v>421</v>
      </c>
      <c r="C238">
        <v>2.472</v>
      </c>
      <c r="D238">
        <v>2.0859999999999999</v>
      </c>
      <c r="E238">
        <v>0.1085</v>
      </c>
      <c r="F238">
        <v>8.1869999999999998E-2</v>
      </c>
      <c r="G238">
        <v>1.921</v>
      </c>
      <c r="H238">
        <v>7.6239999999999997</v>
      </c>
      <c r="I238">
        <v>1001</v>
      </c>
      <c r="J238">
        <v>3000</v>
      </c>
    </row>
    <row r="239" spans="2:10" x14ac:dyDescent="0.25">
      <c r="B239" t="s">
        <v>422</v>
      </c>
      <c r="C239">
        <v>2.27</v>
      </c>
      <c r="D239">
        <v>1.6519999999999999</v>
      </c>
      <c r="E239">
        <v>6.139E-2</v>
      </c>
      <c r="F239">
        <v>0.21060000000000001</v>
      </c>
      <c r="G239">
        <v>1.9019999999999999</v>
      </c>
      <c r="H239">
        <v>6.4740000000000002</v>
      </c>
      <c r="I239">
        <v>1001</v>
      </c>
      <c r="J239">
        <v>3000</v>
      </c>
    </row>
    <row r="240" spans="2:10" x14ac:dyDescent="0.25">
      <c r="B240" t="s">
        <v>423</v>
      </c>
      <c r="C240">
        <v>1.2509999999999999</v>
      </c>
      <c r="D240">
        <v>1.4770000000000001</v>
      </c>
      <c r="E240">
        <v>3.3590000000000002E-2</v>
      </c>
      <c r="F240">
        <v>2.0830000000000001E-2</v>
      </c>
      <c r="G240">
        <v>0.74939999999999996</v>
      </c>
      <c r="H240">
        <v>5.5410000000000004</v>
      </c>
      <c r="I240">
        <v>1001</v>
      </c>
      <c r="J240">
        <v>3000</v>
      </c>
    </row>
    <row r="241" spans="2:10" x14ac:dyDescent="0.25">
      <c r="B241" t="s">
        <v>424</v>
      </c>
      <c r="C241">
        <v>1.905</v>
      </c>
      <c r="D241">
        <v>2.0379999999999998</v>
      </c>
      <c r="E241">
        <v>9.2259999999999995E-2</v>
      </c>
      <c r="F241">
        <v>4.5409999999999999E-2</v>
      </c>
      <c r="G241">
        <v>1.26</v>
      </c>
      <c r="H241">
        <v>7.3689999999999998</v>
      </c>
      <c r="I241">
        <v>1001</v>
      </c>
      <c r="J241">
        <v>3000</v>
      </c>
    </row>
    <row r="242" spans="2:10" x14ac:dyDescent="0.25">
      <c r="B242" t="s">
        <v>425</v>
      </c>
      <c r="C242">
        <v>1.9430000000000001</v>
      </c>
      <c r="D242">
        <v>1.9510000000000001</v>
      </c>
      <c r="E242">
        <v>7.7640000000000001E-2</v>
      </c>
      <c r="F242">
        <v>5.0200000000000002E-2</v>
      </c>
      <c r="G242">
        <v>1.341</v>
      </c>
      <c r="H242">
        <v>7.319</v>
      </c>
      <c r="I242">
        <v>1001</v>
      </c>
      <c r="J242">
        <v>3000</v>
      </c>
    </row>
    <row r="243" spans="2:10" x14ac:dyDescent="0.25">
      <c r="B243" t="s">
        <v>426</v>
      </c>
      <c r="C243">
        <v>1.95</v>
      </c>
      <c r="D243">
        <v>1.613</v>
      </c>
      <c r="E243">
        <v>4.5740000000000003E-2</v>
      </c>
      <c r="F243">
        <v>0.21529999999999999</v>
      </c>
      <c r="G243">
        <v>1.4830000000000001</v>
      </c>
      <c r="H243">
        <v>6.524</v>
      </c>
      <c r="I243">
        <v>1001</v>
      </c>
      <c r="J243">
        <v>3000</v>
      </c>
    </row>
    <row r="244" spans="2:10" x14ac:dyDescent="0.25">
      <c r="B244" t="s">
        <v>427</v>
      </c>
      <c r="C244">
        <v>1.3240000000000001</v>
      </c>
      <c r="D244">
        <v>1.54</v>
      </c>
      <c r="E244">
        <v>3.3050000000000003E-2</v>
      </c>
      <c r="F244">
        <v>2.589E-2</v>
      </c>
      <c r="G244">
        <v>0.80910000000000004</v>
      </c>
      <c r="H244">
        <v>5.641</v>
      </c>
      <c r="I244">
        <v>1001</v>
      </c>
      <c r="J244">
        <v>3000</v>
      </c>
    </row>
    <row r="245" spans="2:10" x14ac:dyDescent="0.25">
      <c r="B245" t="s">
        <v>428</v>
      </c>
      <c r="C245">
        <v>2.8149999999999999</v>
      </c>
      <c r="D245">
        <v>2.2370000000000001</v>
      </c>
      <c r="E245">
        <v>0.1021</v>
      </c>
      <c r="F245">
        <v>0.1203</v>
      </c>
      <c r="G245">
        <v>2.3620000000000001</v>
      </c>
      <c r="H245">
        <v>8.6750000000000007</v>
      </c>
      <c r="I245">
        <v>1001</v>
      </c>
      <c r="J245">
        <v>3000</v>
      </c>
    </row>
    <row r="246" spans="2:10" x14ac:dyDescent="0.25">
      <c r="B246" t="s">
        <v>429</v>
      </c>
      <c r="C246">
        <v>1.5</v>
      </c>
      <c r="D246">
        <v>1.6220000000000001</v>
      </c>
      <c r="E246">
        <v>4.5569999999999999E-2</v>
      </c>
      <c r="F246">
        <v>3.0710000000000001E-2</v>
      </c>
      <c r="G246">
        <v>0.9738</v>
      </c>
      <c r="H246">
        <v>5.8380000000000001</v>
      </c>
      <c r="I246">
        <v>1001</v>
      </c>
      <c r="J246">
        <v>3000</v>
      </c>
    </row>
    <row r="247" spans="2:10" x14ac:dyDescent="0.25">
      <c r="B247" t="s">
        <v>653</v>
      </c>
      <c r="C247">
        <v>1.661</v>
      </c>
      <c r="D247">
        <v>1.5549999999999999</v>
      </c>
      <c r="E247">
        <v>4.9079999999999999E-2</v>
      </c>
      <c r="F247">
        <v>8.3269999999999997E-2</v>
      </c>
      <c r="G247">
        <v>1.2110000000000001</v>
      </c>
      <c r="H247">
        <v>5.9550000000000001</v>
      </c>
      <c r="I247">
        <v>1001</v>
      </c>
      <c r="J247">
        <v>3000</v>
      </c>
    </row>
    <row r="248" spans="2:10" x14ac:dyDescent="0.25">
      <c r="B248" t="s">
        <v>654</v>
      </c>
      <c r="C248">
        <v>1.175</v>
      </c>
      <c r="D248">
        <v>1.46</v>
      </c>
      <c r="E248">
        <v>2.8840000000000001E-2</v>
      </c>
      <c r="F248">
        <v>2.367E-2</v>
      </c>
      <c r="G248">
        <v>0.62619999999999998</v>
      </c>
      <c r="H248">
        <v>5.3769999999999998</v>
      </c>
      <c r="I248">
        <v>1001</v>
      </c>
      <c r="J248">
        <v>3000</v>
      </c>
    </row>
    <row r="249" spans="2:10" x14ac:dyDescent="0.25">
      <c r="B249" t="s">
        <v>655</v>
      </c>
      <c r="C249">
        <v>2.5609999999999999</v>
      </c>
      <c r="D249">
        <v>1.6559999999999999</v>
      </c>
      <c r="E249">
        <v>6.3750000000000001E-2</v>
      </c>
      <c r="F249">
        <v>0.33539999999999998</v>
      </c>
      <c r="G249">
        <v>2.1819999999999999</v>
      </c>
      <c r="H249">
        <v>6.8230000000000004</v>
      </c>
      <c r="I249">
        <v>1001</v>
      </c>
      <c r="J249">
        <v>3000</v>
      </c>
    </row>
    <row r="250" spans="2:10" x14ac:dyDescent="0.25">
      <c r="B250" t="s">
        <v>656</v>
      </c>
      <c r="C250">
        <v>2.117</v>
      </c>
      <c r="D250">
        <v>1.867</v>
      </c>
      <c r="E250">
        <v>6.5360000000000001E-2</v>
      </c>
      <c r="F250">
        <v>0.1053</v>
      </c>
      <c r="G250">
        <v>1.633</v>
      </c>
      <c r="H250">
        <v>6.8289999999999997</v>
      </c>
      <c r="I250">
        <v>1001</v>
      </c>
      <c r="J250">
        <v>3000</v>
      </c>
    </row>
    <row r="251" spans="2:10" x14ac:dyDescent="0.25">
      <c r="B251" t="s">
        <v>657</v>
      </c>
      <c r="C251">
        <v>1.131</v>
      </c>
      <c r="D251">
        <v>1.417</v>
      </c>
      <c r="E251">
        <v>2.6849999999999999E-2</v>
      </c>
      <c r="F251">
        <v>1.5740000000000001E-2</v>
      </c>
      <c r="G251">
        <v>0.6119</v>
      </c>
      <c r="H251">
        <v>5.3330000000000002</v>
      </c>
      <c r="I251">
        <v>1001</v>
      </c>
      <c r="J251">
        <v>3000</v>
      </c>
    </row>
    <row r="252" spans="2:10" x14ac:dyDescent="0.25">
      <c r="B252" t="s">
        <v>658</v>
      </c>
      <c r="C252">
        <v>1.9179999999999999</v>
      </c>
      <c r="D252">
        <v>1.54</v>
      </c>
      <c r="E252">
        <v>3.6889999999999999E-2</v>
      </c>
      <c r="F252">
        <v>0.23269999999999999</v>
      </c>
      <c r="G252">
        <v>1.4910000000000001</v>
      </c>
      <c r="H252">
        <v>6.1340000000000003</v>
      </c>
      <c r="I252">
        <v>1001</v>
      </c>
      <c r="J252">
        <v>3000</v>
      </c>
    </row>
    <row r="253" spans="2:10" x14ac:dyDescent="0.25">
      <c r="B253" t="s">
        <v>659</v>
      </c>
      <c r="C253">
        <v>1.454</v>
      </c>
      <c r="D253">
        <v>1.54</v>
      </c>
      <c r="E253">
        <v>4.2860000000000002E-2</v>
      </c>
      <c r="F253">
        <v>3.2489999999999998E-2</v>
      </c>
      <c r="G253">
        <v>0.94820000000000004</v>
      </c>
      <c r="H253">
        <v>5.6239999999999997</v>
      </c>
      <c r="I253">
        <v>1001</v>
      </c>
      <c r="J253">
        <v>3000</v>
      </c>
    </row>
    <row r="254" spans="2:10" x14ac:dyDescent="0.25">
      <c r="B254" t="s">
        <v>660</v>
      </c>
      <c r="C254">
        <v>1.4510000000000001</v>
      </c>
      <c r="D254">
        <v>1.609</v>
      </c>
      <c r="E254">
        <v>4.292E-2</v>
      </c>
      <c r="F254">
        <v>3.3950000000000001E-2</v>
      </c>
      <c r="G254">
        <v>0.9032</v>
      </c>
      <c r="H254">
        <v>6.0049999999999999</v>
      </c>
      <c r="I254">
        <v>1001</v>
      </c>
      <c r="J254">
        <v>3000</v>
      </c>
    </row>
    <row r="255" spans="2:10" x14ac:dyDescent="0.25">
      <c r="B255" t="s">
        <v>661</v>
      </c>
      <c r="C255">
        <v>5.8650000000000002</v>
      </c>
      <c r="D255">
        <v>1.952</v>
      </c>
      <c r="E255">
        <v>7.9159999999999994E-2</v>
      </c>
      <c r="F255">
        <v>2.766</v>
      </c>
      <c r="G255">
        <v>5.6539999999999999</v>
      </c>
      <c r="H255">
        <v>10.76</v>
      </c>
      <c r="I255">
        <v>1001</v>
      </c>
      <c r="J255">
        <v>3000</v>
      </c>
    </row>
    <row r="256" spans="2:10" x14ac:dyDescent="0.25">
      <c r="B256" t="s">
        <v>662</v>
      </c>
      <c r="C256">
        <v>1.2310000000000001</v>
      </c>
      <c r="D256">
        <v>1.653</v>
      </c>
      <c r="E256">
        <v>3.1289999999999998E-2</v>
      </c>
      <c r="F256">
        <v>2.0299999999999999E-2</v>
      </c>
      <c r="G256">
        <v>0.59640000000000004</v>
      </c>
      <c r="H256">
        <v>5.952</v>
      </c>
      <c r="I256">
        <v>1001</v>
      </c>
      <c r="J256">
        <v>3000</v>
      </c>
    </row>
    <row r="257" spans="2:10" x14ac:dyDescent="0.25">
      <c r="B257" t="s">
        <v>663</v>
      </c>
      <c r="C257">
        <v>1.458</v>
      </c>
      <c r="D257">
        <v>1.6479999999999999</v>
      </c>
      <c r="E257">
        <v>4.2430000000000002E-2</v>
      </c>
      <c r="F257">
        <v>3.7359999999999997E-2</v>
      </c>
      <c r="G257">
        <v>0.90859999999999996</v>
      </c>
      <c r="H257">
        <v>6.0419999999999998</v>
      </c>
      <c r="I257">
        <v>1001</v>
      </c>
      <c r="J257">
        <v>3000</v>
      </c>
    </row>
    <row r="258" spans="2:10" x14ac:dyDescent="0.25">
      <c r="B258" t="s">
        <v>664</v>
      </c>
      <c r="C258">
        <v>1.579</v>
      </c>
      <c r="D258">
        <v>1.6579999999999999</v>
      </c>
      <c r="E258">
        <v>6.2740000000000004E-2</v>
      </c>
      <c r="F258">
        <v>3.8870000000000002E-2</v>
      </c>
      <c r="G258">
        <v>1.0469999999999999</v>
      </c>
      <c r="H258">
        <v>6.11</v>
      </c>
      <c r="I258">
        <v>1001</v>
      </c>
      <c r="J258">
        <v>3000</v>
      </c>
    </row>
    <row r="259" spans="2:10" x14ac:dyDescent="0.25">
      <c r="B259" t="s">
        <v>665</v>
      </c>
      <c r="C259">
        <v>1.3680000000000001</v>
      </c>
      <c r="D259">
        <v>1.4830000000000001</v>
      </c>
      <c r="E259">
        <v>3.5249999999999997E-2</v>
      </c>
      <c r="F259">
        <v>3.1609999999999999E-2</v>
      </c>
      <c r="G259">
        <v>0.89270000000000005</v>
      </c>
      <c r="H259">
        <v>5.3810000000000002</v>
      </c>
      <c r="I259">
        <v>1001</v>
      </c>
      <c r="J259">
        <v>3000</v>
      </c>
    </row>
    <row r="260" spans="2:10" x14ac:dyDescent="0.25">
      <c r="B260" t="s">
        <v>666</v>
      </c>
      <c r="C260">
        <v>1.333</v>
      </c>
      <c r="D260">
        <v>1.484</v>
      </c>
      <c r="E260">
        <v>3.9620000000000002E-2</v>
      </c>
      <c r="F260">
        <v>2.5829999999999999E-2</v>
      </c>
      <c r="G260">
        <v>0.83879999999999999</v>
      </c>
      <c r="H260">
        <v>5.359</v>
      </c>
      <c r="I260">
        <v>1001</v>
      </c>
      <c r="J260">
        <v>3000</v>
      </c>
    </row>
    <row r="261" spans="2:10" x14ac:dyDescent="0.25">
      <c r="B261" t="s">
        <v>667</v>
      </c>
      <c r="C261">
        <v>2.5110000000000001</v>
      </c>
      <c r="D261">
        <v>2.085</v>
      </c>
      <c r="E261">
        <v>9.6689999999999998E-2</v>
      </c>
      <c r="F261">
        <v>0.12709999999999999</v>
      </c>
      <c r="G261">
        <v>2.0379999999999998</v>
      </c>
      <c r="H261">
        <v>7.7080000000000002</v>
      </c>
      <c r="I261">
        <v>1001</v>
      </c>
      <c r="J261">
        <v>3000</v>
      </c>
    </row>
    <row r="262" spans="2:10" x14ac:dyDescent="0.25">
      <c r="B262" t="s">
        <v>668</v>
      </c>
      <c r="C262">
        <v>2.2559999999999998</v>
      </c>
      <c r="D262">
        <v>2.0049999999999999</v>
      </c>
      <c r="E262">
        <v>8.2710000000000006E-2</v>
      </c>
      <c r="F262">
        <v>7.5270000000000004E-2</v>
      </c>
      <c r="G262">
        <v>1.724</v>
      </c>
      <c r="H262">
        <v>7.4480000000000004</v>
      </c>
      <c r="I262">
        <v>1001</v>
      </c>
      <c r="J262">
        <v>3000</v>
      </c>
    </row>
    <row r="263" spans="2:10" x14ac:dyDescent="0.25">
      <c r="B263" t="s">
        <v>669</v>
      </c>
      <c r="C263">
        <v>1.319</v>
      </c>
      <c r="D263">
        <v>1.5069999999999999</v>
      </c>
      <c r="E263">
        <v>3.338E-2</v>
      </c>
      <c r="F263">
        <v>3.517E-2</v>
      </c>
      <c r="G263">
        <v>0.82989999999999997</v>
      </c>
      <c r="H263">
        <v>5.282</v>
      </c>
      <c r="I263">
        <v>1001</v>
      </c>
      <c r="J263">
        <v>3000</v>
      </c>
    </row>
    <row r="264" spans="2:10" x14ac:dyDescent="0.25">
      <c r="B264" t="s">
        <v>670</v>
      </c>
      <c r="C264">
        <v>2.024</v>
      </c>
      <c r="D264">
        <v>1.651</v>
      </c>
      <c r="E264">
        <v>5.6550000000000003E-2</v>
      </c>
      <c r="F264">
        <v>0.1656</v>
      </c>
      <c r="G264">
        <v>1.6120000000000001</v>
      </c>
      <c r="H264">
        <v>6.4340000000000002</v>
      </c>
      <c r="I264">
        <v>1001</v>
      </c>
      <c r="J264">
        <v>3000</v>
      </c>
    </row>
    <row r="265" spans="2:10" x14ac:dyDescent="0.25">
      <c r="B265" t="s">
        <v>671</v>
      </c>
      <c r="C265">
        <v>1.3959999999999999</v>
      </c>
      <c r="D265">
        <v>1.5509999999999999</v>
      </c>
      <c r="E265">
        <v>3.3579999999999999E-2</v>
      </c>
      <c r="F265">
        <v>4.5839999999999999E-2</v>
      </c>
      <c r="G265">
        <v>0.9012</v>
      </c>
      <c r="H265">
        <v>5.7430000000000003</v>
      </c>
      <c r="I265">
        <v>1001</v>
      </c>
      <c r="J265">
        <v>3000</v>
      </c>
    </row>
    <row r="266" spans="2:10" x14ac:dyDescent="0.25">
      <c r="B266" t="s">
        <v>672</v>
      </c>
      <c r="C266">
        <v>1.133</v>
      </c>
      <c r="D266">
        <v>1.5009999999999999</v>
      </c>
      <c r="E266">
        <v>2.6009999999999998E-2</v>
      </c>
      <c r="F266">
        <v>1.5980000000000001E-2</v>
      </c>
      <c r="G266">
        <v>0.57689999999999997</v>
      </c>
      <c r="H266">
        <v>5.4859999999999998</v>
      </c>
      <c r="I266">
        <v>1001</v>
      </c>
      <c r="J266">
        <v>3000</v>
      </c>
    </row>
    <row r="267" spans="2:10" x14ac:dyDescent="0.25">
      <c r="B267" t="s">
        <v>673</v>
      </c>
      <c r="C267">
        <v>2.3809999999999998</v>
      </c>
      <c r="D267">
        <v>2.226</v>
      </c>
      <c r="E267">
        <v>9.6869999999999998E-2</v>
      </c>
      <c r="F267">
        <v>6.9379999999999997E-2</v>
      </c>
      <c r="G267">
        <v>1.772</v>
      </c>
      <c r="H267">
        <v>8.407</v>
      </c>
      <c r="I267">
        <v>1001</v>
      </c>
      <c r="J267">
        <v>3000</v>
      </c>
    </row>
    <row r="268" spans="2:10" x14ac:dyDescent="0.25">
      <c r="B268" t="s">
        <v>397</v>
      </c>
      <c r="C268">
        <v>6.3239999999999998</v>
      </c>
      <c r="D268">
        <v>0.8589</v>
      </c>
      <c r="E268">
        <v>5.1249999999999997E-2</v>
      </c>
      <c r="F268">
        <v>4</v>
      </c>
      <c r="G268">
        <v>6</v>
      </c>
      <c r="H268">
        <v>8</v>
      </c>
      <c r="I268">
        <v>1001</v>
      </c>
      <c r="J268">
        <v>3000</v>
      </c>
    </row>
    <row r="269" spans="2:10" x14ac:dyDescent="0.25">
      <c r="B269" t="s">
        <v>398</v>
      </c>
      <c r="C269">
        <v>7.6479999999999997</v>
      </c>
      <c r="D269">
        <v>0.54410000000000003</v>
      </c>
      <c r="E269">
        <v>2.9360000000000001E-2</v>
      </c>
      <c r="F269">
        <v>6</v>
      </c>
      <c r="G269">
        <v>8</v>
      </c>
      <c r="H269">
        <v>8</v>
      </c>
      <c r="I269">
        <v>1001</v>
      </c>
      <c r="J269">
        <v>3000</v>
      </c>
    </row>
    <row r="270" spans="2:10" x14ac:dyDescent="0.25">
      <c r="B270" t="s">
        <v>399</v>
      </c>
      <c r="C270">
        <v>3.66</v>
      </c>
      <c r="D270">
        <v>1.1259999999999999</v>
      </c>
      <c r="E270">
        <v>7.2209999999999996E-2</v>
      </c>
      <c r="F270">
        <v>2</v>
      </c>
      <c r="G270">
        <v>4</v>
      </c>
      <c r="H270">
        <v>6</v>
      </c>
      <c r="I270">
        <v>1001</v>
      </c>
      <c r="J270">
        <v>3000</v>
      </c>
    </row>
    <row r="271" spans="2:10" x14ac:dyDescent="0.25">
      <c r="B271" t="s">
        <v>400</v>
      </c>
      <c r="C271">
        <v>2.4140000000000001</v>
      </c>
      <c r="D271">
        <v>1.1930000000000001</v>
      </c>
      <c r="E271">
        <v>6.0470000000000003E-2</v>
      </c>
      <c r="F271">
        <v>1</v>
      </c>
      <c r="G271">
        <v>2</v>
      </c>
      <c r="H271">
        <v>5</v>
      </c>
      <c r="I271">
        <v>1001</v>
      </c>
      <c r="J271">
        <v>3000</v>
      </c>
    </row>
    <row r="272" spans="2:10" x14ac:dyDescent="0.25">
      <c r="B272" t="s">
        <v>401</v>
      </c>
      <c r="C272">
        <v>2.3860000000000001</v>
      </c>
      <c r="D272">
        <v>1.88</v>
      </c>
      <c r="E272">
        <v>0.11559999999999999</v>
      </c>
      <c r="F272">
        <v>1</v>
      </c>
      <c r="G272">
        <v>1</v>
      </c>
      <c r="H272">
        <v>7</v>
      </c>
      <c r="I272">
        <v>1001</v>
      </c>
      <c r="J272">
        <v>3000</v>
      </c>
    </row>
    <row r="273" spans="1:10" x14ac:dyDescent="0.25">
      <c r="B273" t="s">
        <v>674</v>
      </c>
      <c r="C273">
        <v>3.2450000000000001</v>
      </c>
      <c r="D273">
        <v>1.758</v>
      </c>
      <c r="E273">
        <v>0.1004</v>
      </c>
      <c r="F273">
        <v>1</v>
      </c>
      <c r="G273">
        <v>3</v>
      </c>
      <c r="H273">
        <v>7</v>
      </c>
      <c r="I273">
        <v>1001</v>
      </c>
      <c r="J273">
        <v>3000</v>
      </c>
    </row>
    <row r="274" spans="1:10" x14ac:dyDescent="0.25">
      <c r="B274" t="s">
        <v>675</v>
      </c>
      <c r="C274">
        <v>5.9279999999999999</v>
      </c>
      <c r="D274">
        <v>1.93</v>
      </c>
      <c r="E274">
        <v>0.1186</v>
      </c>
      <c r="F274">
        <v>1</v>
      </c>
      <c r="G274">
        <v>6</v>
      </c>
      <c r="H274">
        <v>8</v>
      </c>
      <c r="I274">
        <v>1001</v>
      </c>
      <c r="J274">
        <v>3000</v>
      </c>
    </row>
    <row r="275" spans="1:10" x14ac:dyDescent="0.25">
      <c r="B275" t="s">
        <v>676</v>
      </c>
      <c r="C275">
        <v>4.3970000000000002</v>
      </c>
      <c r="D275">
        <v>1.246</v>
      </c>
      <c r="E275">
        <v>7.0290000000000005E-2</v>
      </c>
      <c r="F275">
        <v>2</v>
      </c>
      <c r="G275">
        <v>5</v>
      </c>
      <c r="H275">
        <v>6</v>
      </c>
      <c r="I275">
        <v>1001</v>
      </c>
      <c r="J275">
        <v>3000</v>
      </c>
    </row>
    <row r="276" spans="1:10" x14ac:dyDescent="0.25">
      <c r="B276" t="s">
        <v>677</v>
      </c>
      <c r="C276">
        <v>8.9979999999999993</v>
      </c>
      <c r="D276">
        <v>4.4679999999999997E-2</v>
      </c>
      <c r="E276" s="13">
        <v>9.2409999999999996E-4</v>
      </c>
      <c r="F276">
        <v>9</v>
      </c>
      <c r="G276">
        <v>9</v>
      </c>
      <c r="H276">
        <v>9</v>
      </c>
      <c r="I276">
        <v>1001</v>
      </c>
      <c r="J276">
        <v>3000</v>
      </c>
    </row>
    <row r="277" spans="1:10" x14ac:dyDescent="0.25">
      <c r="B277" t="s">
        <v>483</v>
      </c>
      <c r="C277">
        <v>0.2397</v>
      </c>
      <c r="D277">
        <v>0.13700000000000001</v>
      </c>
      <c r="E277">
        <v>1.1390000000000001E-2</v>
      </c>
      <c r="F277">
        <v>3.2829999999999998E-2</v>
      </c>
      <c r="G277">
        <v>0.22209999999999999</v>
      </c>
      <c r="H277">
        <v>0.54630000000000001</v>
      </c>
      <c r="I277">
        <v>1001</v>
      </c>
      <c r="J277">
        <v>3000</v>
      </c>
    </row>
    <row r="278" spans="1:10" x14ac:dyDescent="0.25">
      <c r="B278" t="s">
        <v>430</v>
      </c>
      <c r="C278">
        <v>61.17</v>
      </c>
      <c r="D278">
        <v>9.7080000000000002</v>
      </c>
      <c r="E278">
        <v>0.29809999999999998</v>
      </c>
      <c r="F278">
        <v>43.68</v>
      </c>
      <c r="G278">
        <v>60.79</v>
      </c>
      <c r="H278">
        <v>81.94</v>
      </c>
      <c r="I278">
        <v>1001</v>
      </c>
      <c r="J278">
        <v>3000</v>
      </c>
    </row>
    <row r="279" spans="1:10" x14ac:dyDescent="0.25">
      <c r="A279" t="s">
        <v>338</v>
      </c>
    </row>
    <row r="281" spans="1:10" x14ac:dyDescent="0.25">
      <c r="A281" t="s">
        <v>339</v>
      </c>
    </row>
    <row r="282" spans="1:10" x14ac:dyDescent="0.25">
      <c r="A282" t="s">
        <v>402</v>
      </c>
    </row>
    <row r="283" spans="1:10" x14ac:dyDescent="0.25">
      <c r="B283" t="s">
        <v>403</v>
      </c>
      <c r="C283" t="s">
        <v>404</v>
      </c>
      <c r="D283" t="s">
        <v>405</v>
      </c>
      <c r="E283" t="s">
        <v>339</v>
      </c>
    </row>
    <row r="284" spans="1:10" x14ac:dyDescent="0.25">
      <c r="A284" t="s">
        <v>406</v>
      </c>
      <c r="B284">
        <v>275.72699999999998</v>
      </c>
      <c r="C284">
        <v>231.886</v>
      </c>
      <c r="D284">
        <v>43.841000000000001</v>
      </c>
      <c r="E284">
        <v>319.56700000000001</v>
      </c>
    </row>
    <row r="285" spans="1:10" x14ac:dyDescent="0.25">
      <c r="A285" t="s">
        <v>407</v>
      </c>
      <c r="B285">
        <v>275.72699999999998</v>
      </c>
      <c r="C285">
        <v>231.886</v>
      </c>
      <c r="D285">
        <v>43.841000000000001</v>
      </c>
      <c r="E285">
        <v>319.56700000000001</v>
      </c>
    </row>
    <row r="286" spans="1:10" x14ac:dyDescent="0.25">
      <c r="A286" t="s">
        <v>340</v>
      </c>
    </row>
    <row r="288" spans="1:10" x14ac:dyDescent="0.25">
      <c r="A288" t="s">
        <v>408</v>
      </c>
    </row>
    <row r="290" spans="1:1" x14ac:dyDescent="0.25">
      <c r="A290" t="s">
        <v>341</v>
      </c>
    </row>
    <row r="292" spans="1:1" x14ac:dyDescent="0.25">
      <c r="A292" t="s">
        <v>409</v>
      </c>
    </row>
    <row r="294" spans="1:1" x14ac:dyDescent="0.25">
      <c r="A294" t="s">
        <v>745</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94"/>
  <sheetViews>
    <sheetView showGridLines="0" topLeftCell="A31" workbookViewId="0">
      <selection activeCell="L16" sqref="L16"/>
    </sheetView>
  </sheetViews>
  <sheetFormatPr defaultRowHeight="15" x14ac:dyDescent="0.25"/>
  <sheetData>
    <row r="1" spans="1:1" hidden="1" x14ac:dyDescent="0.25">
      <c r="A1" t="s">
        <v>325</v>
      </c>
    </row>
    <row r="2" spans="1:1" hidden="1" x14ac:dyDescent="0.25">
      <c r="A2" t="s">
        <v>748</v>
      </c>
    </row>
    <row r="3" spans="1:1" hidden="1" x14ac:dyDescent="0.25">
      <c r="A3" t="s">
        <v>326</v>
      </c>
    </row>
    <row r="4" spans="1:1" hidden="1" x14ac:dyDescent="0.25">
      <c r="A4" t="s">
        <v>327</v>
      </c>
    </row>
    <row r="5" spans="1:1" hidden="1" x14ac:dyDescent="0.25">
      <c r="A5" t="s">
        <v>342</v>
      </c>
    </row>
    <row r="6" spans="1:1" hidden="1" x14ac:dyDescent="0.25">
      <c r="A6" t="s">
        <v>328</v>
      </c>
    </row>
    <row r="7" spans="1:1" hidden="1" x14ac:dyDescent="0.25">
      <c r="A7" t="s">
        <v>342</v>
      </c>
    </row>
    <row r="8" spans="1:1" hidden="1" x14ac:dyDescent="0.25">
      <c r="A8" t="s">
        <v>23</v>
      </c>
    </row>
    <row r="9" spans="1:1" hidden="1" x14ac:dyDescent="0.25">
      <c r="A9" t="s">
        <v>343</v>
      </c>
    </row>
    <row r="10" spans="1:1" hidden="1" x14ac:dyDescent="0.25">
      <c r="A10" t="s">
        <v>749</v>
      </c>
    </row>
    <row r="11" spans="1:1" hidden="1" x14ac:dyDescent="0.25">
      <c r="A11" t="s">
        <v>455</v>
      </c>
    </row>
    <row r="12" spans="1:1" hidden="1" x14ac:dyDescent="0.25">
      <c r="A12" t="s">
        <v>750</v>
      </c>
    </row>
    <row r="13" spans="1:1" hidden="1" x14ac:dyDescent="0.25">
      <c r="A13" t="s">
        <v>455</v>
      </c>
    </row>
    <row r="14" spans="1:1" hidden="1" x14ac:dyDescent="0.25">
      <c r="A14" t="s">
        <v>751</v>
      </c>
    </row>
    <row r="15" spans="1:1" hidden="1" x14ac:dyDescent="0.25">
      <c r="A15" t="s">
        <v>455</v>
      </c>
    </row>
    <row r="16" spans="1:1" hidden="1" x14ac:dyDescent="0.25">
      <c r="A16" t="s">
        <v>25</v>
      </c>
    </row>
    <row r="17" spans="1:1" hidden="1" x14ac:dyDescent="0.25">
      <c r="A17" t="s">
        <v>458</v>
      </c>
    </row>
    <row r="18" spans="1:1" hidden="1" x14ac:dyDescent="0.25">
      <c r="A18" t="s">
        <v>329</v>
      </c>
    </row>
    <row r="19" spans="1:1" hidden="1" x14ac:dyDescent="0.25">
      <c r="A19" t="s">
        <v>330</v>
      </c>
    </row>
    <row r="20" spans="1:1" hidden="1" x14ac:dyDescent="0.25">
      <c r="A20" t="s">
        <v>331</v>
      </c>
    </row>
    <row r="21" spans="1:1" hidden="1" x14ac:dyDescent="0.25">
      <c r="A21" t="s">
        <v>332</v>
      </c>
    </row>
    <row r="22" spans="1:1" hidden="1" x14ac:dyDescent="0.25">
      <c r="A22" t="s">
        <v>333</v>
      </c>
    </row>
    <row r="23" spans="1:1" hidden="1" x14ac:dyDescent="0.25">
      <c r="A23" t="s">
        <v>334</v>
      </c>
    </row>
    <row r="24" spans="1:1" hidden="1" x14ac:dyDescent="0.25">
      <c r="A24" t="s">
        <v>335</v>
      </c>
    </row>
    <row r="25" spans="1:1" hidden="1" x14ac:dyDescent="0.25">
      <c r="A25" t="s">
        <v>336</v>
      </c>
    </row>
    <row r="26" spans="1:1" hidden="1" x14ac:dyDescent="0.25">
      <c r="A26" t="s">
        <v>199</v>
      </c>
    </row>
    <row r="27" spans="1:1" hidden="1" x14ac:dyDescent="0.25">
      <c r="A27" t="s">
        <v>201</v>
      </c>
    </row>
    <row r="28" spans="1:1" hidden="1" x14ac:dyDescent="0.25">
      <c r="A28" t="s">
        <v>265</v>
      </c>
    </row>
    <row r="29" spans="1:1" hidden="1" x14ac:dyDescent="0.25">
      <c r="A29" t="s">
        <v>329</v>
      </c>
    </row>
    <row r="30" spans="1:1" hidden="1" x14ac:dyDescent="0.25">
      <c r="A30" t="s">
        <v>337</v>
      </c>
    </row>
    <row r="32" spans="1:1" x14ac:dyDescent="0.25">
      <c r="A32" t="s">
        <v>344</v>
      </c>
    </row>
    <row r="33" spans="2:10" x14ac:dyDescent="0.25">
      <c r="B33" t="s">
        <v>345</v>
      </c>
      <c r="C33" t="s">
        <v>346</v>
      </c>
      <c r="D33" t="s">
        <v>347</v>
      </c>
      <c r="E33" t="s">
        <v>348</v>
      </c>
      <c r="F33" s="12">
        <v>2.5000000000000001E-2</v>
      </c>
      <c r="G33" t="s">
        <v>349</v>
      </c>
      <c r="H33" s="12">
        <v>0.97499999999999998</v>
      </c>
      <c r="I33" t="s">
        <v>350</v>
      </c>
      <c r="J33" t="s">
        <v>351</v>
      </c>
    </row>
    <row r="34" spans="2:10" x14ac:dyDescent="0.25">
      <c r="B34" t="s">
        <v>352</v>
      </c>
      <c r="C34">
        <v>1.5249999999999999</v>
      </c>
      <c r="D34">
        <v>0.27110000000000001</v>
      </c>
      <c r="E34">
        <v>2.1749999999999999E-2</v>
      </c>
      <c r="F34">
        <v>1.046</v>
      </c>
      <c r="G34">
        <v>1.518</v>
      </c>
      <c r="H34">
        <v>2.0760000000000001</v>
      </c>
      <c r="I34">
        <v>1001</v>
      </c>
      <c r="J34">
        <v>3000</v>
      </c>
    </row>
    <row r="35" spans="2:10" x14ac:dyDescent="0.25">
      <c r="B35" t="s">
        <v>353</v>
      </c>
      <c r="C35">
        <v>0.58889999999999998</v>
      </c>
      <c r="D35">
        <v>0.15809999999999999</v>
      </c>
      <c r="E35">
        <v>1.366E-2</v>
      </c>
      <c r="F35">
        <v>0.34689999999999999</v>
      </c>
      <c r="G35">
        <v>0.56710000000000005</v>
      </c>
      <c r="H35">
        <v>0.94430000000000003</v>
      </c>
      <c r="I35">
        <v>1001</v>
      </c>
      <c r="J35">
        <v>3000</v>
      </c>
    </row>
    <row r="36" spans="2:10" x14ac:dyDescent="0.25">
      <c r="B36" t="s">
        <v>354</v>
      </c>
      <c r="C36">
        <v>0.48480000000000001</v>
      </c>
      <c r="D36">
        <v>0.19009999999999999</v>
      </c>
      <c r="E36">
        <v>1.536E-2</v>
      </c>
      <c r="F36">
        <v>0.21149999999999999</v>
      </c>
      <c r="G36">
        <v>0.45579999999999998</v>
      </c>
      <c r="H36">
        <v>0.93610000000000004</v>
      </c>
      <c r="I36">
        <v>1001</v>
      </c>
      <c r="J36">
        <v>3000</v>
      </c>
    </row>
    <row r="37" spans="2:10" x14ac:dyDescent="0.25">
      <c r="B37" t="s">
        <v>355</v>
      </c>
      <c r="C37">
        <v>0.52049999999999996</v>
      </c>
      <c r="D37">
        <v>0.36020000000000002</v>
      </c>
      <c r="E37">
        <v>2.8809999999999999E-2</v>
      </c>
      <c r="F37">
        <v>0.1212</v>
      </c>
      <c r="G37">
        <v>0.42030000000000001</v>
      </c>
      <c r="H37">
        <v>1.5640000000000001</v>
      </c>
      <c r="I37">
        <v>1001</v>
      </c>
      <c r="J37">
        <v>3000</v>
      </c>
    </row>
    <row r="38" spans="2:10" x14ac:dyDescent="0.25">
      <c r="B38" t="s">
        <v>521</v>
      </c>
      <c r="C38">
        <v>0.66790000000000005</v>
      </c>
      <c r="D38">
        <v>0.43819999999999998</v>
      </c>
      <c r="E38">
        <v>3.8559999999999997E-2</v>
      </c>
      <c r="F38">
        <v>0.2079</v>
      </c>
      <c r="G38">
        <v>0.53410000000000002</v>
      </c>
      <c r="H38">
        <v>1.855</v>
      </c>
      <c r="I38">
        <v>1001</v>
      </c>
      <c r="J38">
        <v>3000</v>
      </c>
    </row>
    <row r="39" spans="2:10" x14ac:dyDescent="0.25">
      <c r="B39" t="s">
        <v>522</v>
      </c>
      <c r="C39">
        <v>1.208</v>
      </c>
      <c r="D39">
        <v>0.67459999999999998</v>
      </c>
      <c r="E39">
        <v>5.0689999999999999E-2</v>
      </c>
      <c r="F39">
        <v>0.313</v>
      </c>
      <c r="G39">
        <v>1.0680000000000001</v>
      </c>
      <c r="H39">
        <v>2.996</v>
      </c>
      <c r="I39">
        <v>1001</v>
      </c>
      <c r="J39">
        <v>3000</v>
      </c>
    </row>
    <row r="40" spans="2:10" x14ac:dyDescent="0.25">
      <c r="B40" t="s">
        <v>523</v>
      </c>
      <c r="C40">
        <v>0.70750000000000002</v>
      </c>
      <c r="D40">
        <v>0.16880000000000001</v>
      </c>
      <c r="E40">
        <v>1.3610000000000001E-2</v>
      </c>
      <c r="F40">
        <v>0.42970000000000003</v>
      </c>
      <c r="G40">
        <v>0.68969999999999998</v>
      </c>
      <c r="H40">
        <v>1.0660000000000001</v>
      </c>
      <c r="I40">
        <v>1001</v>
      </c>
      <c r="J40">
        <v>3000</v>
      </c>
    </row>
    <row r="41" spans="2:10" x14ac:dyDescent="0.25">
      <c r="B41" t="s">
        <v>524</v>
      </c>
      <c r="C41">
        <v>6.899</v>
      </c>
      <c r="D41">
        <v>2.36</v>
      </c>
      <c r="E41">
        <v>0.19939999999999999</v>
      </c>
      <c r="F41">
        <v>3.6</v>
      </c>
      <c r="G41">
        <v>6.4139999999999997</v>
      </c>
      <c r="H41">
        <v>12.78</v>
      </c>
      <c r="I41">
        <v>1001</v>
      </c>
      <c r="J41">
        <v>3000</v>
      </c>
    </row>
    <row r="42" spans="2:10" x14ac:dyDescent="0.25">
      <c r="B42" t="s">
        <v>356</v>
      </c>
      <c r="C42">
        <v>0.39069999999999999</v>
      </c>
      <c r="D42">
        <v>9.8530000000000006E-2</v>
      </c>
      <c r="E42">
        <v>7.8980000000000005E-3</v>
      </c>
      <c r="F42">
        <v>0.24660000000000001</v>
      </c>
      <c r="G42">
        <v>0.37930000000000003</v>
      </c>
      <c r="H42">
        <v>0.60629999999999995</v>
      </c>
      <c r="I42">
        <v>1001</v>
      </c>
      <c r="J42">
        <v>3000</v>
      </c>
    </row>
    <row r="43" spans="2:10" x14ac:dyDescent="0.25">
      <c r="B43" t="s">
        <v>357</v>
      </c>
      <c r="C43">
        <v>0.32279999999999998</v>
      </c>
      <c r="D43">
        <v>0.12770000000000001</v>
      </c>
      <c r="E43">
        <v>1.014E-2</v>
      </c>
      <c r="F43">
        <v>0.14630000000000001</v>
      </c>
      <c r="G43">
        <v>0.29499999999999998</v>
      </c>
      <c r="H43">
        <v>0.61799999999999999</v>
      </c>
      <c r="I43">
        <v>1001</v>
      </c>
      <c r="J43">
        <v>3000</v>
      </c>
    </row>
    <row r="44" spans="2:10" x14ac:dyDescent="0.25">
      <c r="B44" t="s">
        <v>358</v>
      </c>
      <c r="C44">
        <v>0.33860000000000001</v>
      </c>
      <c r="D44">
        <v>0.21010000000000001</v>
      </c>
      <c r="E44">
        <v>1.592E-2</v>
      </c>
      <c r="F44">
        <v>8.6099999999999996E-2</v>
      </c>
      <c r="G44">
        <v>0.27960000000000002</v>
      </c>
      <c r="H44">
        <v>0.89239999999999997</v>
      </c>
      <c r="I44">
        <v>1001</v>
      </c>
      <c r="J44">
        <v>3000</v>
      </c>
    </row>
    <row r="45" spans="2:10" x14ac:dyDescent="0.25">
      <c r="B45" t="s">
        <v>525</v>
      </c>
      <c r="C45">
        <v>0.44340000000000002</v>
      </c>
      <c r="D45">
        <v>0.28699999999999998</v>
      </c>
      <c r="E45">
        <v>2.4230000000000002E-2</v>
      </c>
      <c r="F45">
        <v>0.1386</v>
      </c>
      <c r="G45">
        <v>0.36509999999999998</v>
      </c>
      <c r="H45">
        <v>1.1950000000000001</v>
      </c>
      <c r="I45">
        <v>1001</v>
      </c>
      <c r="J45">
        <v>3000</v>
      </c>
    </row>
    <row r="46" spans="2:10" x14ac:dyDescent="0.25">
      <c r="B46" t="s">
        <v>526</v>
      </c>
      <c r="C46">
        <v>0.79249999999999998</v>
      </c>
      <c r="D46">
        <v>0.42409999999999998</v>
      </c>
      <c r="E46">
        <v>3.1210000000000002E-2</v>
      </c>
      <c r="F46">
        <v>0.23050000000000001</v>
      </c>
      <c r="G46">
        <v>0.7036</v>
      </c>
      <c r="H46">
        <v>1.865</v>
      </c>
      <c r="I46">
        <v>1001</v>
      </c>
      <c r="J46">
        <v>3000</v>
      </c>
    </row>
    <row r="47" spans="2:10" x14ac:dyDescent="0.25">
      <c r="B47" t="s">
        <v>527</v>
      </c>
      <c r="C47">
        <v>0.47510000000000002</v>
      </c>
      <c r="D47">
        <v>0.12720000000000001</v>
      </c>
      <c r="E47">
        <v>9.8890000000000002E-3</v>
      </c>
      <c r="F47">
        <v>0.25700000000000001</v>
      </c>
      <c r="G47">
        <v>0.45669999999999999</v>
      </c>
      <c r="H47">
        <v>0.7601</v>
      </c>
      <c r="I47">
        <v>1001</v>
      </c>
      <c r="J47">
        <v>3000</v>
      </c>
    </row>
    <row r="48" spans="2:10" x14ac:dyDescent="0.25">
      <c r="B48" t="s">
        <v>528</v>
      </c>
      <c r="C48">
        <v>4.6159999999999997</v>
      </c>
      <c r="D48">
        <v>1.6339999999999999</v>
      </c>
      <c r="E48">
        <v>0.1363</v>
      </c>
      <c r="F48">
        <v>2.335</v>
      </c>
      <c r="G48">
        <v>4.3280000000000003</v>
      </c>
      <c r="H48">
        <v>8.8719999999999999</v>
      </c>
      <c r="I48">
        <v>1001</v>
      </c>
      <c r="J48">
        <v>3000</v>
      </c>
    </row>
    <row r="49" spans="2:10" x14ac:dyDescent="0.25">
      <c r="B49" t="s">
        <v>359</v>
      </c>
      <c r="C49">
        <v>0.82950000000000002</v>
      </c>
      <c r="D49">
        <v>0.25969999999999999</v>
      </c>
      <c r="E49">
        <v>1.9689999999999999E-2</v>
      </c>
      <c r="F49">
        <v>0.44979999999999998</v>
      </c>
      <c r="G49">
        <v>0.78779999999999994</v>
      </c>
      <c r="H49">
        <v>1.4710000000000001</v>
      </c>
      <c r="I49">
        <v>1001</v>
      </c>
      <c r="J49">
        <v>3000</v>
      </c>
    </row>
    <row r="50" spans="2:10" x14ac:dyDescent="0.25">
      <c r="B50" t="s">
        <v>360</v>
      </c>
      <c r="C50">
        <v>0.93720000000000003</v>
      </c>
      <c r="D50">
        <v>0.69679999999999997</v>
      </c>
      <c r="E50">
        <v>5.6120000000000003E-2</v>
      </c>
      <c r="F50">
        <v>0.2069</v>
      </c>
      <c r="G50">
        <v>0.73829999999999996</v>
      </c>
      <c r="H50">
        <v>2.7549999999999999</v>
      </c>
      <c r="I50">
        <v>1001</v>
      </c>
      <c r="J50">
        <v>3000</v>
      </c>
    </row>
    <row r="51" spans="2:10" x14ac:dyDescent="0.25">
      <c r="B51" t="s">
        <v>529</v>
      </c>
      <c r="C51">
        <v>1.1279999999999999</v>
      </c>
      <c r="D51">
        <v>0.60829999999999995</v>
      </c>
      <c r="E51">
        <v>5.1249999999999997E-2</v>
      </c>
      <c r="F51">
        <v>0.3881</v>
      </c>
      <c r="G51">
        <v>0.96789999999999998</v>
      </c>
      <c r="H51">
        <v>2.847</v>
      </c>
      <c r="I51">
        <v>1001</v>
      </c>
      <c r="J51">
        <v>3000</v>
      </c>
    </row>
    <row r="52" spans="2:10" x14ac:dyDescent="0.25">
      <c r="B52" t="s">
        <v>530</v>
      </c>
      <c r="C52">
        <v>2.141</v>
      </c>
      <c r="D52">
        <v>1.262</v>
      </c>
      <c r="E52">
        <v>9.3189999999999995E-2</v>
      </c>
      <c r="F52">
        <v>0.56679999999999997</v>
      </c>
      <c r="G52">
        <v>1.8089999999999999</v>
      </c>
      <c r="H52">
        <v>5.415</v>
      </c>
      <c r="I52">
        <v>1001</v>
      </c>
      <c r="J52">
        <v>3000</v>
      </c>
    </row>
    <row r="53" spans="2:10" x14ac:dyDescent="0.25">
      <c r="B53" t="s">
        <v>531</v>
      </c>
      <c r="C53">
        <v>1.2569999999999999</v>
      </c>
      <c r="D53">
        <v>0.3478</v>
      </c>
      <c r="E53">
        <v>2.8580000000000001E-2</v>
      </c>
      <c r="F53">
        <v>0.70679999999999998</v>
      </c>
      <c r="G53">
        <v>1.218</v>
      </c>
      <c r="H53">
        <v>2.0299999999999998</v>
      </c>
      <c r="I53">
        <v>1001</v>
      </c>
      <c r="J53">
        <v>3000</v>
      </c>
    </row>
    <row r="54" spans="2:10" x14ac:dyDescent="0.25">
      <c r="B54" t="s">
        <v>532</v>
      </c>
      <c r="C54">
        <v>12.43</v>
      </c>
      <c r="D54">
        <v>5.117</v>
      </c>
      <c r="E54">
        <v>0.4239</v>
      </c>
      <c r="F54">
        <v>5.18</v>
      </c>
      <c r="G54">
        <v>11.6</v>
      </c>
      <c r="H54">
        <v>26.39</v>
      </c>
      <c r="I54">
        <v>1001</v>
      </c>
      <c r="J54">
        <v>3000</v>
      </c>
    </row>
    <row r="55" spans="2:10" x14ac:dyDescent="0.25">
      <c r="B55" t="s">
        <v>361</v>
      </c>
      <c r="C55">
        <v>1.2170000000000001</v>
      </c>
      <c r="D55">
        <v>0.95650000000000002</v>
      </c>
      <c r="E55">
        <v>7.6039999999999996E-2</v>
      </c>
      <c r="F55">
        <v>0.21529999999999999</v>
      </c>
      <c r="G55">
        <v>0.99909999999999999</v>
      </c>
      <c r="H55">
        <v>3.53</v>
      </c>
      <c r="I55">
        <v>1001</v>
      </c>
      <c r="J55">
        <v>3000</v>
      </c>
    </row>
    <row r="56" spans="2:10" x14ac:dyDescent="0.25">
      <c r="B56" t="s">
        <v>533</v>
      </c>
      <c r="C56">
        <v>1.375</v>
      </c>
      <c r="D56">
        <v>0.60040000000000004</v>
      </c>
      <c r="E56">
        <v>4.5170000000000002E-2</v>
      </c>
      <c r="F56">
        <v>0.57879999999999998</v>
      </c>
      <c r="G56">
        <v>1.2529999999999999</v>
      </c>
      <c r="H56">
        <v>2.8719999999999999</v>
      </c>
      <c r="I56">
        <v>1001</v>
      </c>
      <c r="J56">
        <v>3000</v>
      </c>
    </row>
    <row r="57" spans="2:10" x14ac:dyDescent="0.25">
      <c r="B57" t="s">
        <v>534</v>
      </c>
      <c r="C57">
        <v>2.7480000000000002</v>
      </c>
      <c r="D57">
        <v>1.68</v>
      </c>
      <c r="E57">
        <v>0.11940000000000001</v>
      </c>
      <c r="F57">
        <v>0.64270000000000005</v>
      </c>
      <c r="G57">
        <v>2.3069999999999999</v>
      </c>
      <c r="H57">
        <v>7.02</v>
      </c>
      <c r="I57">
        <v>1001</v>
      </c>
      <c r="J57">
        <v>3000</v>
      </c>
    </row>
    <row r="58" spans="2:10" x14ac:dyDescent="0.25">
      <c r="B58" t="s">
        <v>535</v>
      </c>
      <c r="C58">
        <v>1.6559999999999999</v>
      </c>
      <c r="D58">
        <v>0.68520000000000003</v>
      </c>
      <c r="E58">
        <v>5.4449999999999998E-2</v>
      </c>
      <c r="F58">
        <v>0.67479999999999996</v>
      </c>
      <c r="G58">
        <v>1.546</v>
      </c>
      <c r="H58">
        <v>3.3759999999999999</v>
      </c>
      <c r="I58">
        <v>1001</v>
      </c>
      <c r="J58">
        <v>3000</v>
      </c>
    </row>
    <row r="59" spans="2:10" x14ac:dyDescent="0.25">
      <c r="B59" t="s">
        <v>536</v>
      </c>
      <c r="C59">
        <v>16.12</v>
      </c>
      <c r="D59">
        <v>7.4749999999999996</v>
      </c>
      <c r="E59">
        <v>0.56710000000000005</v>
      </c>
      <c r="F59">
        <v>5.54</v>
      </c>
      <c r="G59">
        <v>14.7</v>
      </c>
      <c r="H59">
        <v>33.81</v>
      </c>
      <c r="I59">
        <v>1001</v>
      </c>
      <c r="J59">
        <v>3000</v>
      </c>
    </row>
    <row r="60" spans="2:10" x14ac:dyDescent="0.25">
      <c r="B60" t="s">
        <v>537</v>
      </c>
      <c r="C60">
        <v>1.931</v>
      </c>
      <c r="D60">
        <v>2.371</v>
      </c>
      <c r="E60">
        <v>0.193</v>
      </c>
      <c r="F60">
        <v>0.28339999999999999</v>
      </c>
      <c r="G60">
        <v>1.268</v>
      </c>
      <c r="H60">
        <v>7.12</v>
      </c>
      <c r="I60">
        <v>1001</v>
      </c>
      <c r="J60">
        <v>3000</v>
      </c>
    </row>
    <row r="61" spans="2:10" x14ac:dyDescent="0.25">
      <c r="B61" t="s">
        <v>538</v>
      </c>
      <c r="C61">
        <v>3.3660000000000001</v>
      </c>
      <c r="D61">
        <v>3.2989999999999999</v>
      </c>
      <c r="E61">
        <v>0.2203</v>
      </c>
      <c r="F61">
        <v>0.52210000000000001</v>
      </c>
      <c r="G61">
        <v>2.42</v>
      </c>
      <c r="H61">
        <v>11.1</v>
      </c>
      <c r="I61">
        <v>1001</v>
      </c>
      <c r="J61">
        <v>3000</v>
      </c>
    </row>
    <row r="62" spans="2:10" x14ac:dyDescent="0.25">
      <c r="B62" t="s">
        <v>539</v>
      </c>
      <c r="C62">
        <v>1.9790000000000001</v>
      </c>
      <c r="D62">
        <v>1.4330000000000001</v>
      </c>
      <c r="E62">
        <v>9.7960000000000005E-2</v>
      </c>
      <c r="F62">
        <v>0.43309999999999998</v>
      </c>
      <c r="G62">
        <v>1.6719999999999999</v>
      </c>
      <c r="H62">
        <v>5.4370000000000003</v>
      </c>
      <c r="I62">
        <v>1001</v>
      </c>
      <c r="J62">
        <v>3000</v>
      </c>
    </row>
    <row r="63" spans="2:10" x14ac:dyDescent="0.25">
      <c r="B63" t="s">
        <v>540</v>
      </c>
      <c r="C63">
        <v>18.96</v>
      </c>
      <c r="D63">
        <v>15.41</v>
      </c>
      <c r="E63">
        <v>0.96579999999999999</v>
      </c>
      <c r="F63">
        <v>4.05</v>
      </c>
      <c r="G63">
        <v>15.62</v>
      </c>
      <c r="H63">
        <v>54.66</v>
      </c>
      <c r="I63">
        <v>1001</v>
      </c>
      <c r="J63">
        <v>3000</v>
      </c>
    </row>
    <row r="64" spans="2:10" x14ac:dyDescent="0.25">
      <c r="B64" t="s">
        <v>541</v>
      </c>
      <c r="C64">
        <v>2.3780000000000001</v>
      </c>
      <c r="D64">
        <v>1.9059999999999999</v>
      </c>
      <c r="E64">
        <v>0.13850000000000001</v>
      </c>
      <c r="F64">
        <v>0.44990000000000002</v>
      </c>
      <c r="G64">
        <v>1.8120000000000001</v>
      </c>
      <c r="H64">
        <v>7.5839999999999996</v>
      </c>
      <c r="I64">
        <v>1001</v>
      </c>
      <c r="J64">
        <v>3000</v>
      </c>
    </row>
    <row r="65" spans="2:10" x14ac:dyDescent="0.25">
      <c r="B65" t="s">
        <v>542</v>
      </c>
      <c r="C65">
        <v>1.399</v>
      </c>
      <c r="D65">
        <v>0.79259999999999997</v>
      </c>
      <c r="E65">
        <v>6.4269999999999994E-2</v>
      </c>
      <c r="F65">
        <v>0.40500000000000003</v>
      </c>
      <c r="G65">
        <v>1.2649999999999999</v>
      </c>
      <c r="H65">
        <v>3.5910000000000002</v>
      </c>
      <c r="I65">
        <v>1001</v>
      </c>
      <c r="J65">
        <v>3000</v>
      </c>
    </row>
    <row r="66" spans="2:10" x14ac:dyDescent="0.25">
      <c r="B66" t="s">
        <v>543</v>
      </c>
      <c r="C66">
        <v>13.71</v>
      </c>
      <c r="D66">
        <v>8.673</v>
      </c>
      <c r="E66">
        <v>0.66139999999999999</v>
      </c>
      <c r="F66">
        <v>3.1619999999999999</v>
      </c>
      <c r="G66">
        <v>11.83</v>
      </c>
      <c r="H66">
        <v>35.049999999999997</v>
      </c>
      <c r="I66">
        <v>1001</v>
      </c>
      <c r="J66">
        <v>3000</v>
      </c>
    </row>
    <row r="67" spans="2:10" x14ac:dyDescent="0.25">
      <c r="B67" t="s">
        <v>544</v>
      </c>
      <c r="C67">
        <v>0.80159999999999998</v>
      </c>
      <c r="D67">
        <v>0.53949999999999998</v>
      </c>
      <c r="E67">
        <v>4.3040000000000002E-2</v>
      </c>
      <c r="F67">
        <v>0.20899999999999999</v>
      </c>
      <c r="G67">
        <v>0.64029999999999998</v>
      </c>
      <c r="H67">
        <v>2.2570000000000001</v>
      </c>
      <c r="I67">
        <v>1001</v>
      </c>
      <c r="J67">
        <v>3000</v>
      </c>
    </row>
    <row r="68" spans="2:10" x14ac:dyDescent="0.25">
      <c r="B68" t="s">
        <v>545</v>
      </c>
      <c r="C68">
        <v>7.6959999999999997</v>
      </c>
      <c r="D68">
        <v>5.62</v>
      </c>
      <c r="E68">
        <v>0.44590000000000002</v>
      </c>
      <c r="F68">
        <v>2.0979999999999999</v>
      </c>
      <c r="G68">
        <v>6.0640000000000001</v>
      </c>
      <c r="H68">
        <v>24.64</v>
      </c>
      <c r="I68">
        <v>1001</v>
      </c>
      <c r="J68">
        <v>3000</v>
      </c>
    </row>
    <row r="69" spans="2:10" x14ac:dyDescent="0.25">
      <c r="B69" t="s">
        <v>546</v>
      </c>
      <c r="C69">
        <v>10.18</v>
      </c>
      <c r="D69">
        <v>3.88</v>
      </c>
      <c r="E69">
        <v>0.32179999999999997</v>
      </c>
      <c r="F69">
        <v>4.7249999999999996</v>
      </c>
      <c r="G69">
        <v>9.5220000000000002</v>
      </c>
      <c r="H69">
        <v>19.809999999999999</v>
      </c>
      <c r="I69">
        <v>1001</v>
      </c>
      <c r="J69">
        <v>3000</v>
      </c>
    </row>
    <row r="70" spans="2:10" x14ac:dyDescent="0.25">
      <c r="B70" t="s">
        <v>362</v>
      </c>
      <c r="C70">
        <v>0.35899999999999999</v>
      </c>
      <c r="D70">
        <v>0.1041</v>
      </c>
      <c r="E70">
        <v>7.7609999999999997E-3</v>
      </c>
      <c r="F70">
        <v>0.25</v>
      </c>
      <c r="G70">
        <v>0.375</v>
      </c>
      <c r="H70">
        <v>0.625</v>
      </c>
      <c r="I70">
        <v>1001</v>
      </c>
      <c r="J70">
        <v>3000</v>
      </c>
    </row>
    <row r="71" spans="2:10" x14ac:dyDescent="0.25">
      <c r="B71" t="s">
        <v>363</v>
      </c>
      <c r="C71">
        <v>0.1658</v>
      </c>
      <c r="D71">
        <v>6.4600000000000005E-2</v>
      </c>
      <c r="E71">
        <v>4.1590000000000004E-3</v>
      </c>
      <c r="F71">
        <v>0.125</v>
      </c>
      <c r="G71">
        <v>0.125</v>
      </c>
      <c r="H71">
        <v>0.25</v>
      </c>
      <c r="I71">
        <v>1001</v>
      </c>
      <c r="J71">
        <v>3000</v>
      </c>
    </row>
    <row r="72" spans="2:10" x14ac:dyDescent="0.25">
      <c r="B72" t="s">
        <v>364</v>
      </c>
      <c r="C72">
        <v>0.70230000000000004</v>
      </c>
      <c r="D72">
        <v>0.13980000000000001</v>
      </c>
      <c r="E72">
        <v>1.03E-2</v>
      </c>
      <c r="F72">
        <v>0.5</v>
      </c>
      <c r="G72">
        <v>0.75</v>
      </c>
      <c r="H72">
        <v>1</v>
      </c>
      <c r="I72">
        <v>1001</v>
      </c>
      <c r="J72">
        <v>3000</v>
      </c>
    </row>
    <row r="73" spans="2:10" x14ac:dyDescent="0.25">
      <c r="B73" t="s">
        <v>365</v>
      </c>
      <c r="C73">
        <v>0.84099999999999997</v>
      </c>
      <c r="D73">
        <v>0.1489</v>
      </c>
      <c r="E73">
        <v>9.809E-3</v>
      </c>
      <c r="F73">
        <v>0.5</v>
      </c>
      <c r="G73">
        <v>0.875</v>
      </c>
      <c r="H73">
        <v>1</v>
      </c>
      <c r="I73">
        <v>1001</v>
      </c>
      <c r="J73">
        <v>3000</v>
      </c>
    </row>
    <row r="74" spans="2:10" x14ac:dyDescent="0.25">
      <c r="B74" t="s">
        <v>366</v>
      </c>
      <c r="C74">
        <v>0.78900000000000003</v>
      </c>
      <c r="D74">
        <v>0.2419</v>
      </c>
      <c r="E74">
        <v>1.7909999999999999E-2</v>
      </c>
      <c r="F74">
        <v>0.25</v>
      </c>
      <c r="G74">
        <v>0.875</v>
      </c>
      <c r="H74">
        <v>1</v>
      </c>
      <c r="I74">
        <v>1001</v>
      </c>
      <c r="J74">
        <v>3000</v>
      </c>
    </row>
    <row r="75" spans="2:10" x14ac:dyDescent="0.25">
      <c r="B75" t="s">
        <v>547</v>
      </c>
      <c r="C75">
        <v>0.67989999999999995</v>
      </c>
      <c r="D75">
        <v>0.2457</v>
      </c>
      <c r="E75">
        <v>1.9269999999999999E-2</v>
      </c>
      <c r="F75">
        <v>0.125</v>
      </c>
      <c r="G75">
        <v>0.75</v>
      </c>
      <c r="H75">
        <v>1</v>
      </c>
      <c r="I75">
        <v>1001</v>
      </c>
      <c r="J75">
        <v>3000</v>
      </c>
    </row>
    <row r="76" spans="2:10" x14ac:dyDescent="0.25">
      <c r="B76" t="s">
        <v>548</v>
      </c>
      <c r="C76">
        <v>0.38150000000000001</v>
      </c>
      <c r="D76">
        <v>0.24340000000000001</v>
      </c>
      <c r="E76">
        <v>1.839E-2</v>
      </c>
      <c r="F76">
        <v>0.125</v>
      </c>
      <c r="G76">
        <v>0.375</v>
      </c>
      <c r="H76">
        <v>1</v>
      </c>
      <c r="I76">
        <v>1001</v>
      </c>
      <c r="J76">
        <v>3000</v>
      </c>
    </row>
    <row r="77" spans="2:10" x14ac:dyDescent="0.25">
      <c r="B77" t="s">
        <v>549</v>
      </c>
      <c r="C77">
        <v>0.58160000000000001</v>
      </c>
      <c r="D77">
        <v>0.1653</v>
      </c>
      <c r="E77">
        <v>1.308E-2</v>
      </c>
      <c r="F77">
        <v>0.375</v>
      </c>
      <c r="G77">
        <v>0.5</v>
      </c>
      <c r="H77">
        <v>0.875</v>
      </c>
      <c r="I77">
        <v>1001</v>
      </c>
      <c r="J77">
        <v>3000</v>
      </c>
    </row>
    <row r="78" spans="2:10" x14ac:dyDescent="0.25">
      <c r="B78" t="s">
        <v>550</v>
      </c>
      <c r="C78">
        <v>0</v>
      </c>
      <c r="D78">
        <v>0</v>
      </c>
      <c r="E78" s="13">
        <v>1.054E-12</v>
      </c>
      <c r="F78">
        <v>0</v>
      </c>
      <c r="G78">
        <v>0</v>
      </c>
      <c r="H78">
        <v>0</v>
      </c>
      <c r="I78">
        <v>1001</v>
      </c>
      <c r="J78">
        <v>3000</v>
      </c>
    </row>
    <row r="79" spans="2:10" x14ac:dyDescent="0.25">
      <c r="B79" t="s">
        <v>367</v>
      </c>
      <c r="C79">
        <v>0</v>
      </c>
      <c r="D79">
        <v>0</v>
      </c>
      <c r="E79" s="13">
        <v>1.054E-12</v>
      </c>
      <c r="F79">
        <v>0</v>
      </c>
      <c r="G79">
        <v>0</v>
      </c>
      <c r="H79">
        <v>0</v>
      </c>
      <c r="I79">
        <v>1001</v>
      </c>
      <c r="J79">
        <v>3000</v>
      </c>
    </row>
    <row r="80" spans="2:10" x14ac:dyDescent="0.25">
      <c r="B80" t="s">
        <v>368</v>
      </c>
      <c r="C80">
        <v>0</v>
      </c>
      <c r="D80">
        <v>0</v>
      </c>
      <c r="E80" s="13">
        <v>1.054E-12</v>
      </c>
      <c r="F80">
        <v>0</v>
      </c>
      <c r="G80">
        <v>0</v>
      </c>
      <c r="H80">
        <v>0</v>
      </c>
      <c r="I80">
        <v>1001</v>
      </c>
      <c r="J80">
        <v>3000</v>
      </c>
    </row>
    <row r="81" spans="2:10" x14ac:dyDescent="0.25">
      <c r="B81" t="s">
        <v>369</v>
      </c>
      <c r="C81">
        <v>5.2999999999999999E-2</v>
      </c>
      <c r="D81">
        <v>0.224</v>
      </c>
      <c r="E81">
        <v>1.5180000000000001E-2</v>
      </c>
      <c r="F81">
        <v>0</v>
      </c>
      <c r="G81">
        <v>0</v>
      </c>
      <c r="H81">
        <v>1</v>
      </c>
      <c r="I81">
        <v>1001</v>
      </c>
      <c r="J81">
        <v>3000</v>
      </c>
    </row>
    <row r="82" spans="2:10" x14ac:dyDescent="0.25">
      <c r="B82" t="s">
        <v>370</v>
      </c>
      <c r="C82">
        <v>0.30130000000000001</v>
      </c>
      <c r="D82">
        <v>0.45879999999999999</v>
      </c>
      <c r="E82">
        <v>2.8209999999999999E-2</v>
      </c>
      <c r="F82">
        <v>0</v>
      </c>
      <c r="G82">
        <v>0</v>
      </c>
      <c r="H82">
        <v>1</v>
      </c>
      <c r="I82">
        <v>1001</v>
      </c>
      <c r="J82">
        <v>3000</v>
      </c>
    </row>
    <row r="83" spans="2:10" x14ac:dyDescent="0.25">
      <c r="B83" t="s">
        <v>371</v>
      </c>
      <c r="C83">
        <v>0.43230000000000002</v>
      </c>
      <c r="D83">
        <v>0.49540000000000001</v>
      </c>
      <c r="E83">
        <v>3.3509999999999998E-2</v>
      </c>
      <c r="F83">
        <v>0</v>
      </c>
      <c r="G83">
        <v>0</v>
      </c>
      <c r="H83">
        <v>1</v>
      </c>
      <c r="I83">
        <v>1001</v>
      </c>
      <c r="J83">
        <v>3000</v>
      </c>
    </row>
    <row r="84" spans="2:10" x14ac:dyDescent="0.25">
      <c r="B84" t="s">
        <v>551</v>
      </c>
      <c r="C84">
        <v>0.158</v>
      </c>
      <c r="D84">
        <v>0.36470000000000002</v>
      </c>
      <c r="E84">
        <v>2.0330000000000001E-2</v>
      </c>
      <c r="F84">
        <v>0</v>
      </c>
      <c r="G84">
        <v>0</v>
      </c>
      <c r="H84">
        <v>1</v>
      </c>
      <c r="I84">
        <v>1001</v>
      </c>
      <c r="J84">
        <v>3000</v>
      </c>
    </row>
    <row r="85" spans="2:10" x14ac:dyDescent="0.25">
      <c r="B85" t="s">
        <v>552</v>
      </c>
      <c r="C85">
        <v>4.1329999999999999E-2</v>
      </c>
      <c r="D85">
        <v>0.1991</v>
      </c>
      <c r="E85">
        <v>1.2869999999999999E-2</v>
      </c>
      <c r="F85">
        <v>0</v>
      </c>
      <c r="G85">
        <v>0</v>
      </c>
      <c r="H85">
        <v>1</v>
      </c>
      <c r="I85">
        <v>1001</v>
      </c>
      <c r="J85">
        <v>3000</v>
      </c>
    </row>
    <row r="86" spans="2:10" x14ac:dyDescent="0.25">
      <c r="B86" t="s">
        <v>553</v>
      </c>
      <c r="C86">
        <v>1.4E-2</v>
      </c>
      <c r="D86">
        <v>0.11749999999999999</v>
      </c>
      <c r="E86">
        <v>5.6480000000000002E-3</v>
      </c>
      <c r="F86">
        <v>0</v>
      </c>
      <c r="G86">
        <v>0</v>
      </c>
      <c r="H86">
        <v>0</v>
      </c>
      <c r="I86">
        <v>1001</v>
      </c>
      <c r="J86">
        <v>3000</v>
      </c>
    </row>
    <row r="87" spans="2:10" x14ac:dyDescent="0.25">
      <c r="B87" t="s">
        <v>554</v>
      </c>
      <c r="C87">
        <v>0</v>
      </c>
      <c r="D87">
        <v>0</v>
      </c>
      <c r="E87" s="13">
        <v>1.054E-12</v>
      </c>
      <c r="F87">
        <v>0</v>
      </c>
      <c r="G87">
        <v>0</v>
      </c>
      <c r="H87">
        <v>0</v>
      </c>
      <c r="I87">
        <v>1001</v>
      </c>
      <c r="J87">
        <v>3000</v>
      </c>
    </row>
    <row r="88" spans="2:10" x14ac:dyDescent="0.25">
      <c r="B88" t="s">
        <v>459</v>
      </c>
      <c r="C88">
        <v>0.52700000000000002</v>
      </c>
      <c r="D88">
        <v>0.73129999999999995</v>
      </c>
      <c r="E88">
        <v>1.455E-2</v>
      </c>
      <c r="F88" s="13">
        <v>3.5550000000000002E-4</v>
      </c>
      <c r="G88">
        <v>0.25369999999999998</v>
      </c>
      <c r="H88">
        <v>2.67</v>
      </c>
      <c r="I88">
        <v>1001</v>
      </c>
      <c r="J88">
        <v>3000</v>
      </c>
    </row>
    <row r="89" spans="2:10" x14ac:dyDescent="0.25">
      <c r="B89" t="s">
        <v>460</v>
      </c>
      <c r="C89">
        <v>0.70379999999999998</v>
      </c>
      <c r="D89">
        <v>0.96209999999999996</v>
      </c>
      <c r="E89">
        <v>1.7989999999999999E-2</v>
      </c>
      <c r="F89" s="13">
        <v>6.3020000000000003E-4</v>
      </c>
      <c r="G89">
        <v>0.34</v>
      </c>
      <c r="H89">
        <v>3.5379999999999998</v>
      </c>
      <c r="I89">
        <v>1001</v>
      </c>
      <c r="J89">
        <v>3000</v>
      </c>
    </row>
    <row r="90" spans="2:10" x14ac:dyDescent="0.25">
      <c r="B90" t="s">
        <v>461</v>
      </c>
      <c r="C90">
        <v>0.84519999999999995</v>
      </c>
      <c r="D90">
        <v>1.1890000000000001</v>
      </c>
      <c r="E90">
        <v>3.9539999999999999E-2</v>
      </c>
      <c r="F90">
        <v>1.0150000000000001E-3</v>
      </c>
      <c r="G90">
        <v>0.4007</v>
      </c>
      <c r="H90">
        <v>4.0389999999999997</v>
      </c>
      <c r="I90">
        <v>1001</v>
      </c>
      <c r="J90">
        <v>3000</v>
      </c>
    </row>
    <row r="91" spans="2:10" x14ac:dyDescent="0.25">
      <c r="B91" t="s">
        <v>462</v>
      </c>
      <c r="C91">
        <v>0.82389999999999997</v>
      </c>
      <c r="D91">
        <v>1.1299999999999999</v>
      </c>
      <c r="E91">
        <v>3.1600000000000003E-2</v>
      </c>
      <c r="F91" s="13">
        <v>7.1109999999999999E-4</v>
      </c>
      <c r="G91">
        <v>0.3962</v>
      </c>
      <c r="H91">
        <v>3.9470000000000001</v>
      </c>
      <c r="I91">
        <v>1001</v>
      </c>
      <c r="J91">
        <v>3000</v>
      </c>
    </row>
    <row r="92" spans="2:10" x14ac:dyDescent="0.25">
      <c r="B92" t="s">
        <v>463</v>
      </c>
      <c r="C92">
        <v>0.7702</v>
      </c>
      <c r="D92">
        <v>1.103</v>
      </c>
      <c r="E92">
        <v>2.1690000000000001E-2</v>
      </c>
      <c r="F92" s="13">
        <v>5.0060000000000002E-4</v>
      </c>
      <c r="G92">
        <v>0.35420000000000001</v>
      </c>
      <c r="H92">
        <v>3.8149999999999999</v>
      </c>
      <c r="I92">
        <v>1001</v>
      </c>
      <c r="J92">
        <v>3000</v>
      </c>
    </row>
    <row r="93" spans="2:10" x14ac:dyDescent="0.25">
      <c r="B93" t="s">
        <v>464</v>
      </c>
      <c r="C93">
        <v>0.59670000000000001</v>
      </c>
      <c r="D93">
        <v>0.86380000000000001</v>
      </c>
      <c r="E93">
        <v>2.2100000000000002E-2</v>
      </c>
      <c r="F93" s="13">
        <v>3.9510000000000001E-4</v>
      </c>
      <c r="G93">
        <v>0.26590000000000003</v>
      </c>
      <c r="H93">
        <v>3.0950000000000002</v>
      </c>
      <c r="I93">
        <v>1001</v>
      </c>
      <c r="J93">
        <v>3000</v>
      </c>
    </row>
    <row r="94" spans="2:10" x14ac:dyDescent="0.25">
      <c r="B94" t="s">
        <v>465</v>
      </c>
      <c r="C94">
        <v>1.202</v>
      </c>
      <c r="D94">
        <v>1.5609999999999999</v>
      </c>
      <c r="E94">
        <v>4.4409999999999998E-2</v>
      </c>
      <c r="F94">
        <v>1.769E-3</v>
      </c>
      <c r="G94">
        <v>0.59370000000000001</v>
      </c>
      <c r="H94">
        <v>5.6340000000000003</v>
      </c>
      <c r="I94">
        <v>1001</v>
      </c>
      <c r="J94">
        <v>3000</v>
      </c>
    </row>
    <row r="95" spans="2:10" x14ac:dyDescent="0.25">
      <c r="B95" t="s">
        <v>466</v>
      </c>
      <c r="C95">
        <v>1.1379999999999999</v>
      </c>
      <c r="D95">
        <v>1.3720000000000001</v>
      </c>
      <c r="E95">
        <v>5.1639999999999998E-2</v>
      </c>
      <c r="F95">
        <v>1.9269999999999999E-3</v>
      </c>
      <c r="G95">
        <v>0.66859999999999997</v>
      </c>
      <c r="H95">
        <v>4.8179999999999996</v>
      </c>
      <c r="I95">
        <v>1001</v>
      </c>
      <c r="J95">
        <v>3000</v>
      </c>
    </row>
    <row r="96" spans="2:10" x14ac:dyDescent="0.25">
      <c r="B96" t="s">
        <v>467</v>
      </c>
      <c r="C96">
        <v>1.1040000000000001</v>
      </c>
      <c r="D96">
        <v>1.385</v>
      </c>
      <c r="E96">
        <v>3.517E-2</v>
      </c>
      <c r="F96">
        <v>1.802E-3</v>
      </c>
      <c r="G96">
        <v>0.58750000000000002</v>
      </c>
      <c r="H96">
        <v>4.9749999999999996</v>
      </c>
      <c r="I96">
        <v>1001</v>
      </c>
      <c r="J96">
        <v>3000</v>
      </c>
    </row>
    <row r="97" spans="2:10" x14ac:dyDescent="0.25">
      <c r="B97" t="s">
        <v>468</v>
      </c>
      <c r="C97">
        <v>1.2330000000000001</v>
      </c>
      <c r="D97">
        <v>1.478</v>
      </c>
      <c r="E97">
        <v>4.446E-2</v>
      </c>
      <c r="F97">
        <v>1.714E-3</v>
      </c>
      <c r="G97">
        <v>0.69469999999999998</v>
      </c>
      <c r="H97">
        <v>5.3150000000000004</v>
      </c>
      <c r="I97">
        <v>1001</v>
      </c>
      <c r="J97">
        <v>3000</v>
      </c>
    </row>
    <row r="98" spans="2:10" x14ac:dyDescent="0.25">
      <c r="B98" t="s">
        <v>469</v>
      </c>
      <c r="C98">
        <v>0.45029999999999998</v>
      </c>
      <c r="D98">
        <v>0.66579999999999995</v>
      </c>
      <c r="E98">
        <v>1.9199999999999998E-2</v>
      </c>
      <c r="F98" s="13">
        <v>6.399E-4</v>
      </c>
      <c r="G98">
        <v>0.1993</v>
      </c>
      <c r="H98">
        <v>2.306</v>
      </c>
      <c r="I98">
        <v>1001</v>
      </c>
      <c r="J98">
        <v>3000</v>
      </c>
    </row>
    <row r="99" spans="2:10" x14ac:dyDescent="0.25">
      <c r="B99" t="s">
        <v>470</v>
      </c>
      <c r="C99">
        <v>0.81340000000000001</v>
      </c>
      <c r="D99">
        <v>1.1279999999999999</v>
      </c>
      <c r="E99">
        <v>2.2110000000000001E-2</v>
      </c>
      <c r="F99" s="13">
        <v>8.5530000000000003E-4</v>
      </c>
      <c r="G99">
        <v>0.37640000000000001</v>
      </c>
      <c r="H99">
        <v>4.101</v>
      </c>
      <c r="I99">
        <v>1001</v>
      </c>
      <c r="J99">
        <v>3000</v>
      </c>
    </row>
    <row r="100" spans="2:10" x14ac:dyDescent="0.25">
      <c r="B100" t="s">
        <v>471</v>
      </c>
      <c r="C100">
        <v>0.95250000000000001</v>
      </c>
      <c r="D100">
        <v>1.3720000000000001</v>
      </c>
      <c r="E100">
        <v>4.1320000000000003E-2</v>
      </c>
      <c r="F100">
        <v>1.1230000000000001E-3</v>
      </c>
      <c r="G100">
        <v>0.41249999999999998</v>
      </c>
      <c r="H100">
        <v>4.7309999999999999</v>
      </c>
      <c r="I100">
        <v>1001</v>
      </c>
      <c r="J100">
        <v>3000</v>
      </c>
    </row>
    <row r="101" spans="2:10" x14ac:dyDescent="0.25">
      <c r="B101" t="s">
        <v>472</v>
      </c>
      <c r="C101">
        <v>0.96719999999999995</v>
      </c>
      <c r="D101">
        <v>1.411</v>
      </c>
      <c r="E101">
        <v>5.3120000000000001E-2</v>
      </c>
      <c r="F101">
        <v>1.0280000000000001E-3</v>
      </c>
      <c r="G101">
        <v>0.4204</v>
      </c>
      <c r="H101">
        <v>5.0439999999999996</v>
      </c>
      <c r="I101">
        <v>1001</v>
      </c>
      <c r="J101">
        <v>3000</v>
      </c>
    </row>
    <row r="102" spans="2:10" x14ac:dyDescent="0.25">
      <c r="B102" t="s">
        <v>473</v>
      </c>
      <c r="C102">
        <v>0.99560000000000004</v>
      </c>
      <c r="D102">
        <v>1.363</v>
      </c>
      <c r="E102">
        <v>4.1180000000000001E-2</v>
      </c>
      <c r="F102" s="13">
        <v>9.2040000000000004E-4</v>
      </c>
      <c r="G102">
        <v>0.46929999999999999</v>
      </c>
      <c r="H102">
        <v>4.8579999999999997</v>
      </c>
      <c r="I102">
        <v>1001</v>
      </c>
      <c r="J102">
        <v>3000</v>
      </c>
    </row>
    <row r="103" spans="2:10" x14ac:dyDescent="0.25">
      <c r="B103" t="s">
        <v>474</v>
      </c>
      <c r="C103">
        <v>0.93740000000000001</v>
      </c>
      <c r="D103">
        <v>1.2849999999999999</v>
      </c>
      <c r="E103">
        <v>5.1639999999999998E-2</v>
      </c>
      <c r="F103">
        <v>1.122E-3</v>
      </c>
      <c r="G103">
        <v>0.4587</v>
      </c>
      <c r="H103">
        <v>4.694</v>
      </c>
      <c r="I103">
        <v>1001</v>
      </c>
      <c r="J103">
        <v>3000</v>
      </c>
    </row>
    <row r="104" spans="2:10" x14ac:dyDescent="0.25">
      <c r="B104" t="s">
        <v>475</v>
      </c>
      <c r="C104">
        <v>0.83289999999999997</v>
      </c>
      <c r="D104">
        <v>1.113</v>
      </c>
      <c r="E104">
        <v>3.015E-2</v>
      </c>
      <c r="F104" s="13">
        <v>8.053E-4</v>
      </c>
      <c r="G104">
        <v>0.4022</v>
      </c>
      <c r="H104">
        <v>3.95</v>
      </c>
      <c r="I104">
        <v>1001</v>
      </c>
      <c r="J104">
        <v>3000</v>
      </c>
    </row>
    <row r="105" spans="2:10" x14ac:dyDescent="0.25">
      <c r="B105" t="s">
        <v>476</v>
      </c>
      <c r="C105">
        <v>1.115</v>
      </c>
      <c r="D105">
        <v>1.446</v>
      </c>
      <c r="E105">
        <v>3.3450000000000001E-2</v>
      </c>
      <c r="F105">
        <v>1.049E-3</v>
      </c>
      <c r="G105">
        <v>0.56330000000000002</v>
      </c>
      <c r="H105">
        <v>5.08</v>
      </c>
      <c r="I105">
        <v>1001</v>
      </c>
      <c r="J105">
        <v>3000</v>
      </c>
    </row>
    <row r="106" spans="2:10" x14ac:dyDescent="0.25">
      <c r="B106" t="s">
        <v>477</v>
      </c>
      <c r="C106">
        <v>0.63149999999999995</v>
      </c>
      <c r="D106">
        <v>0.88790000000000002</v>
      </c>
      <c r="E106">
        <v>1.8169999999999999E-2</v>
      </c>
      <c r="F106" s="13">
        <v>6.399E-4</v>
      </c>
      <c r="G106">
        <v>0.30230000000000001</v>
      </c>
      <c r="H106">
        <v>3.125</v>
      </c>
      <c r="I106">
        <v>1001</v>
      </c>
      <c r="J106">
        <v>3000</v>
      </c>
    </row>
    <row r="107" spans="2:10" x14ac:dyDescent="0.25">
      <c r="B107" t="s">
        <v>478</v>
      </c>
      <c r="C107">
        <v>0.57889999999999997</v>
      </c>
      <c r="D107">
        <v>0.82550000000000001</v>
      </c>
      <c r="E107">
        <v>1.7639999999999999E-2</v>
      </c>
      <c r="F107" s="13">
        <v>6.9769999999999999E-4</v>
      </c>
      <c r="G107">
        <v>0.27050000000000002</v>
      </c>
      <c r="H107">
        <v>3.0379999999999998</v>
      </c>
      <c r="I107">
        <v>1001</v>
      </c>
      <c r="J107">
        <v>3000</v>
      </c>
    </row>
    <row r="108" spans="2:10" x14ac:dyDescent="0.25">
      <c r="B108" t="s">
        <v>479</v>
      </c>
      <c r="C108">
        <v>2.044</v>
      </c>
      <c r="D108">
        <v>2.1560000000000001</v>
      </c>
      <c r="E108">
        <v>0.1023</v>
      </c>
      <c r="F108">
        <v>3.0639999999999999E-3</v>
      </c>
      <c r="G108">
        <v>1.381</v>
      </c>
      <c r="H108">
        <v>7.8730000000000002</v>
      </c>
      <c r="I108">
        <v>1001</v>
      </c>
      <c r="J108">
        <v>3000</v>
      </c>
    </row>
    <row r="109" spans="2:10" x14ac:dyDescent="0.25">
      <c r="B109" t="s">
        <v>480</v>
      </c>
      <c r="C109">
        <v>1.7010000000000001</v>
      </c>
      <c r="D109">
        <v>1.9730000000000001</v>
      </c>
      <c r="E109">
        <v>5.8160000000000003E-2</v>
      </c>
      <c r="F109">
        <v>2.849E-3</v>
      </c>
      <c r="G109">
        <v>1.02</v>
      </c>
      <c r="H109">
        <v>7.0839999999999996</v>
      </c>
      <c r="I109">
        <v>1001</v>
      </c>
      <c r="J109">
        <v>3000</v>
      </c>
    </row>
    <row r="110" spans="2:10" x14ac:dyDescent="0.25">
      <c r="B110" t="s">
        <v>481</v>
      </c>
      <c r="C110">
        <v>0.70299999999999996</v>
      </c>
      <c r="D110">
        <v>0.9859</v>
      </c>
      <c r="E110">
        <v>2.4119999999999999E-2</v>
      </c>
      <c r="F110" s="13">
        <v>7.1199999999999996E-4</v>
      </c>
      <c r="G110">
        <v>0.32029999999999997</v>
      </c>
      <c r="H110">
        <v>3.7229999999999999</v>
      </c>
      <c r="I110">
        <v>1001</v>
      </c>
      <c r="J110">
        <v>3000</v>
      </c>
    </row>
    <row r="111" spans="2:10" x14ac:dyDescent="0.25">
      <c r="B111" t="s">
        <v>482</v>
      </c>
      <c r="C111">
        <v>0.69259999999999999</v>
      </c>
      <c r="D111">
        <v>0.98080000000000001</v>
      </c>
      <c r="E111">
        <v>2.6519999999999998E-2</v>
      </c>
      <c r="F111" s="13">
        <v>4.7889999999999999E-4</v>
      </c>
      <c r="G111">
        <v>0.33650000000000002</v>
      </c>
      <c r="H111">
        <v>3.44</v>
      </c>
      <c r="I111">
        <v>1001</v>
      </c>
      <c r="J111">
        <v>3000</v>
      </c>
    </row>
    <row r="112" spans="2:10" x14ac:dyDescent="0.25">
      <c r="B112" t="s">
        <v>555</v>
      </c>
      <c r="C112">
        <v>0.88629999999999998</v>
      </c>
      <c r="D112">
        <v>1.228</v>
      </c>
      <c r="E112">
        <v>3.381E-2</v>
      </c>
      <c r="F112" s="13">
        <v>7.4390000000000003E-4</v>
      </c>
      <c r="G112">
        <v>0.4027</v>
      </c>
      <c r="H112">
        <v>4.3339999999999996</v>
      </c>
      <c r="I112">
        <v>1001</v>
      </c>
      <c r="J112">
        <v>3000</v>
      </c>
    </row>
    <row r="113" spans="2:10" x14ac:dyDescent="0.25">
      <c r="B113" t="s">
        <v>556</v>
      </c>
      <c r="C113">
        <v>0.88680000000000003</v>
      </c>
      <c r="D113">
        <v>1.208</v>
      </c>
      <c r="E113">
        <v>3.4930000000000003E-2</v>
      </c>
      <c r="F113" s="13">
        <v>9.9419999999999999E-4</v>
      </c>
      <c r="G113">
        <v>0.44230000000000003</v>
      </c>
      <c r="H113">
        <v>4.3860000000000001</v>
      </c>
      <c r="I113">
        <v>1001</v>
      </c>
      <c r="J113">
        <v>3000</v>
      </c>
    </row>
    <row r="114" spans="2:10" x14ac:dyDescent="0.25">
      <c r="B114" t="s">
        <v>557</v>
      </c>
      <c r="C114">
        <v>0.47199999999999998</v>
      </c>
      <c r="D114">
        <v>0.66120000000000001</v>
      </c>
      <c r="E114">
        <v>1.108E-2</v>
      </c>
      <c r="F114" s="13">
        <v>3.9189999999999998E-4</v>
      </c>
      <c r="G114">
        <v>0.21379999999999999</v>
      </c>
      <c r="H114">
        <v>2.302</v>
      </c>
      <c r="I114">
        <v>1001</v>
      </c>
      <c r="J114">
        <v>3000</v>
      </c>
    </row>
    <row r="115" spans="2:10" x14ac:dyDescent="0.25">
      <c r="B115" t="s">
        <v>558</v>
      </c>
      <c r="C115">
        <v>0.58860000000000001</v>
      </c>
      <c r="D115">
        <v>0.81100000000000005</v>
      </c>
      <c r="E115">
        <v>1.3809999999999999E-2</v>
      </c>
      <c r="F115" s="13">
        <v>4.1080000000000001E-4</v>
      </c>
      <c r="G115">
        <v>0.26919999999999999</v>
      </c>
      <c r="H115">
        <v>2.8820000000000001</v>
      </c>
      <c r="I115">
        <v>1001</v>
      </c>
      <c r="J115">
        <v>3000</v>
      </c>
    </row>
    <row r="116" spans="2:10" x14ac:dyDescent="0.25">
      <c r="B116" t="s">
        <v>559</v>
      </c>
      <c r="C116">
        <v>1.3460000000000001</v>
      </c>
      <c r="D116">
        <v>1.298</v>
      </c>
      <c r="E116">
        <v>5.0459999999999998E-2</v>
      </c>
      <c r="F116">
        <v>5.5599999999999998E-3</v>
      </c>
      <c r="G116">
        <v>0.96850000000000003</v>
      </c>
      <c r="H116">
        <v>4.5860000000000003</v>
      </c>
      <c r="I116">
        <v>1001</v>
      </c>
      <c r="J116">
        <v>3000</v>
      </c>
    </row>
    <row r="117" spans="2:10" x14ac:dyDescent="0.25">
      <c r="B117" t="s">
        <v>560</v>
      </c>
      <c r="C117">
        <v>1.0649999999999999</v>
      </c>
      <c r="D117">
        <v>1.431</v>
      </c>
      <c r="E117">
        <v>2.8729999999999999E-2</v>
      </c>
      <c r="F117">
        <v>1.291E-3</v>
      </c>
      <c r="G117">
        <v>0.51459999999999995</v>
      </c>
      <c r="H117">
        <v>5.1879999999999997</v>
      </c>
      <c r="I117">
        <v>1001</v>
      </c>
      <c r="J117">
        <v>3000</v>
      </c>
    </row>
    <row r="118" spans="2:10" x14ac:dyDescent="0.25">
      <c r="B118" t="s">
        <v>561</v>
      </c>
      <c r="C118">
        <v>0.99629999999999996</v>
      </c>
      <c r="D118">
        <v>1.32</v>
      </c>
      <c r="E118">
        <v>4.3439999999999999E-2</v>
      </c>
      <c r="F118" s="13">
        <v>8.4449999999999998E-4</v>
      </c>
      <c r="G118">
        <v>0.48209999999999997</v>
      </c>
      <c r="H118">
        <v>4.7699999999999996</v>
      </c>
      <c r="I118">
        <v>1001</v>
      </c>
      <c r="J118">
        <v>3000</v>
      </c>
    </row>
    <row r="119" spans="2:10" x14ac:dyDescent="0.25">
      <c r="B119" t="s">
        <v>562</v>
      </c>
      <c r="C119">
        <v>1.127</v>
      </c>
      <c r="D119">
        <v>1.4179999999999999</v>
      </c>
      <c r="E119">
        <v>4.4729999999999999E-2</v>
      </c>
      <c r="F119">
        <v>1.2329999999999999E-3</v>
      </c>
      <c r="G119">
        <v>0.5726</v>
      </c>
      <c r="H119">
        <v>5.0640000000000001</v>
      </c>
      <c r="I119">
        <v>1001</v>
      </c>
      <c r="J119">
        <v>3000</v>
      </c>
    </row>
    <row r="120" spans="2:10" x14ac:dyDescent="0.25">
      <c r="B120" t="s">
        <v>563</v>
      </c>
      <c r="C120">
        <v>0.49280000000000002</v>
      </c>
      <c r="D120">
        <v>0.66910000000000003</v>
      </c>
      <c r="E120">
        <v>1.393E-2</v>
      </c>
      <c r="F120" s="13">
        <v>4.5090000000000001E-4</v>
      </c>
      <c r="G120">
        <v>0.22600000000000001</v>
      </c>
      <c r="H120">
        <v>2.3769999999999998</v>
      </c>
      <c r="I120">
        <v>1001</v>
      </c>
      <c r="J120">
        <v>3000</v>
      </c>
    </row>
    <row r="121" spans="2:10" x14ac:dyDescent="0.25">
      <c r="B121" t="s">
        <v>564</v>
      </c>
      <c r="C121">
        <v>0.61119999999999997</v>
      </c>
      <c r="D121">
        <v>0.84709999999999996</v>
      </c>
      <c r="E121">
        <v>1.6650000000000002E-2</v>
      </c>
      <c r="F121" s="13">
        <v>6.3049999999999998E-4</v>
      </c>
      <c r="G121">
        <v>0.28489999999999999</v>
      </c>
      <c r="H121">
        <v>3.0529999999999999</v>
      </c>
      <c r="I121">
        <v>1001</v>
      </c>
      <c r="J121">
        <v>3000</v>
      </c>
    </row>
    <row r="122" spans="2:10" x14ac:dyDescent="0.25">
      <c r="B122" t="s">
        <v>565</v>
      </c>
      <c r="C122">
        <v>0.7671</v>
      </c>
      <c r="D122">
        <v>0.92079999999999995</v>
      </c>
      <c r="E122">
        <v>2.0809999999999999E-2</v>
      </c>
      <c r="F122">
        <v>1.3940000000000001E-3</v>
      </c>
      <c r="G122">
        <v>0.43159999999999998</v>
      </c>
      <c r="H122">
        <v>3.4260000000000002</v>
      </c>
      <c r="I122">
        <v>1001</v>
      </c>
      <c r="J122">
        <v>3000</v>
      </c>
    </row>
    <row r="123" spans="2:10" x14ac:dyDescent="0.25">
      <c r="B123" t="s">
        <v>566</v>
      </c>
      <c r="C123">
        <v>1.0449999999999999</v>
      </c>
      <c r="D123">
        <v>1.43</v>
      </c>
      <c r="E123">
        <v>3.057E-2</v>
      </c>
      <c r="F123">
        <v>1.1850000000000001E-3</v>
      </c>
      <c r="G123">
        <v>0.50580000000000003</v>
      </c>
      <c r="H123">
        <v>4.9889999999999999</v>
      </c>
      <c r="I123">
        <v>1001</v>
      </c>
      <c r="J123">
        <v>3000</v>
      </c>
    </row>
    <row r="124" spans="2:10" x14ac:dyDescent="0.25">
      <c r="B124" t="s">
        <v>567</v>
      </c>
      <c r="C124">
        <v>0.73819999999999997</v>
      </c>
      <c r="D124">
        <v>0.98760000000000003</v>
      </c>
      <c r="E124">
        <v>2.2610000000000002E-2</v>
      </c>
      <c r="F124" s="13">
        <v>7.7399999999999995E-4</v>
      </c>
      <c r="G124">
        <v>0.35360000000000003</v>
      </c>
      <c r="H124">
        <v>3.573</v>
      </c>
      <c r="I124">
        <v>1001</v>
      </c>
      <c r="J124">
        <v>3000</v>
      </c>
    </row>
    <row r="125" spans="2:10" x14ac:dyDescent="0.25">
      <c r="B125" t="s">
        <v>568</v>
      </c>
      <c r="C125">
        <v>0.70350000000000001</v>
      </c>
      <c r="D125">
        <v>0.93159999999999998</v>
      </c>
      <c r="E125">
        <v>2.121E-2</v>
      </c>
      <c r="F125" s="13">
        <v>7.6900000000000004E-4</v>
      </c>
      <c r="G125">
        <v>0.3463</v>
      </c>
      <c r="H125">
        <v>3.4020000000000001</v>
      </c>
      <c r="I125">
        <v>1001</v>
      </c>
      <c r="J125">
        <v>3000</v>
      </c>
    </row>
    <row r="126" spans="2:10" x14ac:dyDescent="0.25">
      <c r="B126" t="s">
        <v>569</v>
      </c>
      <c r="C126">
        <v>0.67330000000000001</v>
      </c>
      <c r="D126">
        <v>0.95279999999999998</v>
      </c>
      <c r="E126">
        <v>1.874E-2</v>
      </c>
      <c r="F126" s="13">
        <v>8.3370000000000004E-4</v>
      </c>
      <c r="G126">
        <v>0.29380000000000001</v>
      </c>
      <c r="H126">
        <v>3.3130000000000002</v>
      </c>
      <c r="I126">
        <v>1001</v>
      </c>
      <c r="J126">
        <v>3000</v>
      </c>
    </row>
    <row r="127" spans="2:10" x14ac:dyDescent="0.25">
      <c r="B127" t="s">
        <v>570</v>
      </c>
      <c r="C127">
        <v>0.63990000000000002</v>
      </c>
      <c r="D127">
        <v>0.89749999999999996</v>
      </c>
      <c r="E127">
        <v>2.3720000000000001E-2</v>
      </c>
      <c r="F127" s="13">
        <v>5.6439999999999995E-4</v>
      </c>
      <c r="G127">
        <v>0.28510000000000002</v>
      </c>
      <c r="H127">
        <v>3.2269999999999999</v>
      </c>
      <c r="I127">
        <v>1001</v>
      </c>
      <c r="J127">
        <v>3000</v>
      </c>
    </row>
    <row r="128" spans="2:10" x14ac:dyDescent="0.25">
      <c r="B128" t="s">
        <v>571</v>
      </c>
      <c r="C128">
        <v>2.181</v>
      </c>
      <c r="D128">
        <v>2.3519999999999999</v>
      </c>
      <c r="E128">
        <v>5.5449999999999999E-2</v>
      </c>
      <c r="F128">
        <v>4.5729999999999998E-3</v>
      </c>
      <c r="G128">
        <v>1.4279999999999999</v>
      </c>
      <c r="H128">
        <v>8.4139999999999997</v>
      </c>
      <c r="I128">
        <v>1001</v>
      </c>
      <c r="J128">
        <v>3000</v>
      </c>
    </row>
    <row r="129" spans="2:10" x14ac:dyDescent="0.25">
      <c r="B129" t="s">
        <v>572</v>
      </c>
      <c r="C129">
        <v>4.0999999999999996</v>
      </c>
      <c r="D129">
        <v>2.0289999999999999</v>
      </c>
      <c r="E129">
        <v>6.3339999999999994E-2</v>
      </c>
      <c r="F129">
        <v>1.202</v>
      </c>
      <c r="G129">
        <v>3.7280000000000002</v>
      </c>
      <c r="H129">
        <v>9.077</v>
      </c>
      <c r="I129">
        <v>1001</v>
      </c>
      <c r="J129">
        <v>3000</v>
      </c>
    </row>
    <row r="130" spans="2:10" x14ac:dyDescent="0.25">
      <c r="B130" t="s">
        <v>573</v>
      </c>
      <c r="C130">
        <v>0.6391</v>
      </c>
      <c r="D130">
        <v>0.88349999999999995</v>
      </c>
      <c r="E130">
        <v>1.7069999999999998E-2</v>
      </c>
      <c r="F130" s="13">
        <v>5.2950000000000002E-4</v>
      </c>
      <c r="G130">
        <v>0.29749999999999999</v>
      </c>
      <c r="H130">
        <v>3.3130000000000002</v>
      </c>
      <c r="I130">
        <v>1001</v>
      </c>
      <c r="J130">
        <v>3000</v>
      </c>
    </row>
    <row r="131" spans="2:10" x14ac:dyDescent="0.25">
      <c r="B131" t="s">
        <v>574</v>
      </c>
      <c r="C131">
        <v>0.57589999999999997</v>
      </c>
      <c r="D131">
        <v>0.76029999999999998</v>
      </c>
      <c r="E131">
        <v>1.558E-2</v>
      </c>
      <c r="F131" s="13">
        <v>7.1560000000000005E-4</v>
      </c>
      <c r="G131">
        <v>0.28599999999999998</v>
      </c>
      <c r="H131">
        <v>2.7309999999999999</v>
      </c>
      <c r="I131">
        <v>1001</v>
      </c>
      <c r="J131">
        <v>3000</v>
      </c>
    </row>
    <row r="132" spans="2:10" x14ac:dyDescent="0.25">
      <c r="B132" t="s">
        <v>575</v>
      </c>
      <c r="C132">
        <v>0.63759999999999994</v>
      </c>
      <c r="D132">
        <v>0.86460000000000004</v>
      </c>
      <c r="E132">
        <v>1.9210000000000001E-2</v>
      </c>
      <c r="F132" s="13">
        <v>6.2279999999999996E-4</v>
      </c>
      <c r="G132">
        <v>0.29099999999999998</v>
      </c>
      <c r="H132">
        <v>3.08</v>
      </c>
      <c r="I132">
        <v>1001</v>
      </c>
      <c r="J132">
        <v>3000</v>
      </c>
    </row>
    <row r="133" spans="2:10" x14ac:dyDescent="0.25">
      <c r="B133" t="s">
        <v>576</v>
      </c>
      <c r="C133">
        <v>0.65090000000000003</v>
      </c>
      <c r="D133">
        <v>0.91490000000000005</v>
      </c>
      <c r="E133">
        <v>2.1829999999999999E-2</v>
      </c>
      <c r="F133" s="13">
        <v>7.1969999999999998E-4</v>
      </c>
      <c r="G133">
        <v>0.28789999999999999</v>
      </c>
      <c r="H133">
        <v>3.1720000000000002</v>
      </c>
      <c r="I133">
        <v>1001</v>
      </c>
      <c r="J133">
        <v>3000</v>
      </c>
    </row>
    <row r="134" spans="2:10" x14ac:dyDescent="0.25">
      <c r="B134" t="s">
        <v>577</v>
      </c>
      <c r="C134">
        <v>0.73550000000000004</v>
      </c>
      <c r="D134">
        <v>1.006</v>
      </c>
      <c r="E134">
        <v>3.8359999999999998E-2</v>
      </c>
      <c r="F134" s="13">
        <v>6.1470000000000003E-4</v>
      </c>
      <c r="G134">
        <v>0.33439999999999998</v>
      </c>
      <c r="H134">
        <v>3.5259999999999998</v>
      </c>
      <c r="I134">
        <v>1001</v>
      </c>
      <c r="J134">
        <v>3000</v>
      </c>
    </row>
    <row r="135" spans="2:10" x14ac:dyDescent="0.25">
      <c r="B135" t="s">
        <v>578</v>
      </c>
      <c r="C135">
        <v>0.80510000000000004</v>
      </c>
      <c r="D135">
        <v>1.177</v>
      </c>
      <c r="E135">
        <v>2.333E-2</v>
      </c>
      <c r="F135" s="13">
        <v>8.6260000000000004E-4</v>
      </c>
      <c r="G135">
        <v>0.35539999999999999</v>
      </c>
      <c r="H135">
        <v>4.0229999999999997</v>
      </c>
      <c r="I135">
        <v>1001</v>
      </c>
      <c r="J135">
        <v>3000</v>
      </c>
    </row>
    <row r="136" spans="2:10" x14ac:dyDescent="0.25">
      <c r="B136" t="s">
        <v>579</v>
      </c>
      <c r="C136">
        <v>0.74819999999999998</v>
      </c>
      <c r="D136">
        <v>1.0029999999999999</v>
      </c>
      <c r="E136">
        <v>2.4920000000000001E-2</v>
      </c>
      <c r="F136" s="13">
        <v>9.2029999999999998E-4</v>
      </c>
      <c r="G136">
        <v>0.34010000000000001</v>
      </c>
      <c r="H136">
        <v>3.6360000000000001</v>
      </c>
      <c r="I136">
        <v>1001</v>
      </c>
      <c r="J136">
        <v>3000</v>
      </c>
    </row>
    <row r="137" spans="2:10" x14ac:dyDescent="0.25">
      <c r="B137" t="s">
        <v>580</v>
      </c>
      <c r="C137">
        <v>0.69369999999999998</v>
      </c>
      <c r="D137">
        <v>0.95620000000000005</v>
      </c>
      <c r="E137">
        <v>1.8089999999999998E-2</v>
      </c>
      <c r="F137" s="13">
        <v>8.8999999999999995E-4</v>
      </c>
      <c r="G137">
        <v>0.32840000000000003</v>
      </c>
      <c r="H137">
        <v>3.3730000000000002</v>
      </c>
      <c r="I137">
        <v>1001</v>
      </c>
      <c r="J137">
        <v>3000</v>
      </c>
    </row>
    <row r="138" spans="2:10" x14ac:dyDescent="0.25">
      <c r="B138" t="s">
        <v>581</v>
      </c>
      <c r="C138">
        <v>0.59389999999999998</v>
      </c>
      <c r="D138">
        <v>0.86680000000000001</v>
      </c>
      <c r="E138">
        <v>1.7579999999999998E-2</v>
      </c>
      <c r="F138" s="13">
        <v>5.8980000000000002E-4</v>
      </c>
      <c r="G138">
        <v>0.2601</v>
      </c>
      <c r="H138">
        <v>2.988</v>
      </c>
      <c r="I138">
        <v>1001</v>
      </c>
      <c r="J138">
        <v>3000</v>
      </c>
    </row>
    <row r="139" spans="2:10" x14ac:dyDescent="0.25">
      <c r="B139" t="s">
        <v>582</v>
      </c>
      <c r="C139">
        <v>0.68310000000000004</v>
      </c>
      <c r="D139">
        <v>0.9597</v>
      </c>
      <c r="E139">
        <v>1.8460000000000001E-2</v>
      </c>
      <c r="F139" s="13">
        <v>8.2149999999999996E-4</v>
      </c>
      <c r="G139">
        <v>0.30399999999999999</v>
      </c>
      <c r="H139">
        <v>3.4510000000000001</v>
      </c>
      <c r="I139">
        <v>1001</v>
      </c>
      <c r="J139">
        <v>3000</v>
      </c>
    </row>
    <row r="140" spans="2:10" x14ac:dyDescent="0.25">
      <c r="B140" t="s">
        <v>583</v>
      </c>
      <c r="C140">
        <v>1.298</v>
      </c>
      <c r="D140">
        <v>1.631</v>
      </c>
      <c r="E140">
        <v>5.4440000000000002E-2</v>
      </c>
      <c r="F140">
        <v>1.647E-3</v>
      </c>
      <c r="G140">
        <v>0.68210000000000004</v>
      </c>
      <c r="H140">
        <v>5.9409999999999998</v>
      </c>
      <c r="I140">
        <v>1001</v>
      </c>
      <c r="J140">
        <v>3000</v>
      </c>
    </row>
    <row r="141" spans="2:10" x14ac:dyDescent="0.25">
      <c r="B141" t="s">
        <v>584</v>
      </c>
      <c r="C141">
        <v>1.498</v>
      </c>
      <c r="D141">
        <v>1.796</v>
      </c>
      <c r="E141">
        <v>7.3539999999999994E-2</v>
      </c>
      <c r="F141">
        <v>1.735E-3</v>
      </c>
      <c r="G141">
        <v>0.85199999999999998</v>
      </c>
      <c r="H141">
        <v>6.2229999999999999</v>
      </c>
      <c r="I141">
        <v>1001</v>
      </c>
      <c r="J141">
        <v>3000</v>
      </c>
    </row>
    <row r="142" spans="2:10" x14ac:dyDescent="0.25">
      <c r="B142" t="s">
        <v>585</v>
      </c>
      <c r="C142">
        <v>1.5269999999999999</v>
      </c>
      <c r="D142">
        <v>1.996</v>
      </c>
      <c r="E142">
        <v>0.1017</v>
      </c>
      <c r="F142">
        <v>1.4419999999999999E-3</v>
      </c>
      <c r="G142">
        <v>0.78390000000000004</v>
      </c>
      <c r="H142">
        <v>7.2480000000000002</v>
      </c>
      <c r="I142">
        <v>1001</v>
      </c>
      <c r="J142">
        <v>3000</v>
      </c>
    </row>
    <row r="143" spans="2:10" x14ac:dyDescent="0.25">
      <c r="B143" t="s">
        <v>586</v>
      </c>
      <c r="C143">
        <v>1.343</v>
      </c>
      <c r="D143">
        <v>1.8440000000000001</v>
      </c>
      <c r="E143">
        <v>9.085E-2</v>
      </c>
      <c r="F143">
        <v>1.1709999999999999E-3</v>
      </c>
      <c r="G143">
        <v>0.6381</v>
      </c>
      <c r="H143">
        <v>6.1589999999999998</v>
      </c>
      <c r="I143">
        <v>1001</v>
      </c>
      <c r="J143">
        <v>3000</v>
      </c>
    </row>
    <row r="144" spans="2:10" x14ac:dyDescent="0.25">
      <c r="B144" t="s">
        <v>587</v>
      </c>
      <c r="C144">
        <v>0.77929999999999999</v>
      </c>
      <c r="D144">
        <v>1.18</v>
      </c>
      <c r="E144">
        <v>2.5860000000000001E-2</v>
      </c>
      <c r="F144" s="13">
        <v>5.4000000000000001E-4</v>
      </c>
      <c r="G144">
        <v>0.33710000000000001</v>
      </c>
      <c r="H144">
        <v>4.18</v>
      </c>
      <c r="I144">
        <v>1001</v>
      </c>
      <c r="J144">
        <v>3000</v>
      </c>
    </row>
    <row r="145" spans="2:10" x14ac:dyDescent="0.25">
      <c r="B145" t="s">
        <v>588</v>
      </c>
      <c r="C145">
        <v>0.59930000000000005</v>
      </c>
      <c r="D145">
        <v>0.91490000000000005</v>
      </c>
      <c r="E145">
        <v>2.333E-2</v>
      </c>
      <c r="F145" s="13">
        <v>3.8620000000000001E-4</v>
      </c>
      <c r="G145">
        <v>0.25069999999999998</v>
      </c>
      <c r="H145">
        <v>3.254</v>
      </c>
      <c r="I145">
        <v>1001</v>
      </c>
      <c r="J145">
        <v>3000</v>
      </c>
    </row>
    <row r="146" spans="2:10" x14ac:dyDescent="0.25">
      <c r="B146" t="s">
        <v>589</v>
      </c>
      <c r="C146">
        <v>0.91169999999999995</v>
      </c>
      <c r="D146">
        <v>1.181</v>
      </c>
      <c r="E146">
        <v>3.2379999999999999E-2</v>
      </c>
      <c r="F146">
        <v>1.4710000000000001E-3</v>
      </c>
      <c r="G146">
        <v>0.45479999999999998</v>
      </c>
      <c r="H146">
        <v>4.3019999999999996</v>
      </c>
      <c r="I146">
        <v>1001</v>
      </c>
      <c r="J146">
        <v>3000</v>
      </c>
    </row>
    <row r="147" spans="2:10" x14ac:dyDescent="0.25">
      <c r="B147" t="s">
        <v>590</v>
      </c>
      <c r="C147">
        <v>1.034</v>
      </c>
      <c r="D147">
        <v>1.3160000000000001</v>
      </c>
      <c r="E147">
        <v>2.622E-2</v>
      </c>
      <c r="F147">
        <v>1.297E-3</v>
      </c>
      <c r="G147">
        <v>0.54010000000000002</v>
      </c>
      <c r="H147">
        <v>4.6859999999999999</v>
      </c>
      <c r="I147">
        <v>1001</v>
      </c>
      <c r="J147">
        <v>3000</v>
      </c>
    </row>
    <row r="148" spans="2:10" x14ac:dyDescent="0.25">
      <c r="B148" t="s">
        <v>591</v>
      </c>
      <c r="C148">
        <v>0.56989999999999996</v>
      </c>
      <c r="D148">
        <v>0.82540000000000002</v>
      </c>
      <c r="E148">
        <v>1.703E-2</v>
      </c>
      <c r="F148" s="13">
        <v>6.3630000000000002E-4</v>
      </c>
      <c r="G148">
        <v>0.25380000000000003</v>
      </c>
      <c r="H148">
        <v>3.0289999999999999</v>
      </c>
      <c r="I148">
        <v>1001</v>
      </c>
      <c r="J148">
        <v>3000</v>
      </c>
    </row>
    <row r="149" spans="2:10" x14ac:dyDescent="0.25">
      <c r="B149" t="s">
        <v>592</v>
      </c>
      <c r="C149">
        <v>0.72729999999999995</v>
      </c>
      <c r="D149">
        <v>0.98240000000000005</v>
      </c>
      <c r="E149">
        <v>1.958E-2</v>
      </c>
      <c r="F149" s="13">
        <v>6.1550000000000005E-4</v>
      </c>
      <c r="G149">
        <v>0.34970000000000001</v>
      </c>
      <c r="H149">
        <v>3.5289999999999999</v>
      </c>
      <c r="I149">
        <v>1001</v>
      </c>
      <c r="J149">
        <v>3000</v>
      </c>
    </row>
    <row r="150" spans="2:10" x14ac:dyDescent="0.25">
      <c r="B150" t="s">
        <v>593</v>
      </c>
      <c r="C150">
        <v>0.7056</v>
      </c>
      <c r="D150">
        <v>0.98660000000000003</v>
      </c>
      <c r="E150">
        <v>1.796E-2</v>
      </c>
      <c r="F150" s="13">
        <v>5.7260000000000004E-4</v>
      </c>
      <c r="G150">
        <v>0.31069999999999998</v>
      </c>
      <c r="H150">
        <v>3.488</v>
      </c>
      <c r="I150">
        <v>1001</v>
      </c>
      <c r="J150">
        <v>3000</v>
      </c>
    </row>
    <row r="151" spans="2:10" x14ac:dyDescent="0.25">
      <c r="B151" t="s">
        <v>594</v>
      </c>
      <c r="C151">
        <v>0.3987</v>
      </c>
      <c r="D151">
        <v>0.56640000000000001</v>
      </c>
      <c r="E151">
        <v>1.052E-2</v>
      </c>
      <c r="F151" s="13">
        <v>3.7589999999999998E-4</v>
      </c>
      <c r="G151">
        <v>0.17469999999999999</v>
      </c>
      <c r="H151">
        <v>2.0529999999999999</v>
      </c>
      <c r="I151">
        <v>1001</v>
      </c>
      <c r="J151">
        <v>3000</v>
      </c>
    </row>
    <row r="152" spans="2:10" x14ac:dyDescent="0.25">
      <c r="B152" t="s">
        <v>595</v>
      </c>
      <c r="C152">
        <v>1.0569999999999999</v>
      </c>
      <c r="D152">
        <v>1.462</v>
      </c>
      <c r="E152">
        <v>5.4460000000000001E-2</v>
      </c>
      <c r="F152">
        <v>1.0950000000000001E-3</v>
      </c>
      <c r="G152">
        <v>0.48670000000000002</v>
      </c>
      <c r="H152">
        <v>5.4489999999999998</v>
      </c>
      <c r="I152">
        <v>1001</v>
      </c>
      <c r="J152">
        <v>3000</v>
      </c>
    </row>
    <row r="153" spans="2:10" x14ac:dyDescent="0.25">
      <c r="B153" t="s">
        <v>596</v>
      </c>
      <c r="C153">
        <v>1.2030000000000001</v>
      </c>
      <c r="D153">
        <v>1.5669999999999999</v>
      </c>
      <c r="E153">
        <v>6.1940000000000002E-2</v>
      </c>
      <c r="F153">
        <v>1.1130000000000001E-3</v>
      </c>
      <c r="G153">
        <v>0.59989999999999999</v>
      </c>
      <c r="H153">
        <v>5.7050000000000001</v>
      </c>
      <c r="I153">
        <v>1001</v>
      </c>
      <c r="J153">
        <v>3000</v>
      </c>
    </row>
    <row r="154" spans="2:10" x14ac:dyDescent="0.25">
      <c r="B154" t="s">
        <v>372</v>
      </c>
      <c r="C154">
        <v>0</v>
      </c>
      <c r="D154">
        <v>0</v>
      </c>
      <c r="E154" s="13">
        <v>1.054E-12</v>
      </c>
      <c r="F154">
        <v>0</v>
      </c>
      <c r="G154">
        <v>0</v>
      </c>
      <c r="H154">
        <v>0</v>
      </c>
      <c r="I154">
        <v>1001</v>
      </c>
      <c r="J154">
        <v>3000</v>
      </c>
    </row>
    <row r="155" spans="2:10" x14ac:dyDescent="0.25">
      <c r="B155" t="s">
        <v>373</v>
      </c>
      <c r="C155">
        <v>0</v>
      </c>
      <c r="D155">
        <v>0</v>
      </c>
      <c r="E155" s="13">
        <v>1.054E-12</v>
      </c>
      <c r="F155">
        <v>0</v>
      </c>
      <c r="G155">
        <v>0</v>
      </c>
      <c r="H155">
        <v>0</v>
      </c>
      <c r="I155">
        <v>1001</v>
      </c>
      <c r="J155">
        <v>3000</v>
      </c>
    </row>
    <row r="156" spans="2:10" x14ac:dyDescent="0.25">
      <c r="B156" t="s">
        <v>374</v>
      </c>
      <c r="C156">
        <v>2E-3</v>
      </c>
      <c r="D156">
        <v>4.4679999999999997E-2</v>
      </c>
      <c r="E156">
        <v>1.1590000000000001E-3</v>
      </c>
      <c r="F156">
        <v>0</v>
      </c>
      <c r="G156">
        <v>0</v>
      </c>
      <c r="H156">
        <v>0</v>
      </c>
      <c r="I156">
        <v>1001</v>
      </c>
      <c r="J156">
        <v>3000</v>
      </c>
    </row>
    <row r="157" spans="2:10" x14ac:dyDescent="0.25">
      <c r="B157" t="s">
        <v>375</v>
      </c>
      <c r="C157">
        <v>3.2329999999999998E-2</v>
      </c>
      <c r="D157">
        <v>0.1769</v>
      </c>
      <c r="E157">
        <v>7.8259999999999996E-3</v>
      </c>
      <c r="F157">
        <v>0</v>
      </c>
      <c r="G157">
        <v>0</v>
      </c>
      <c r="H157">
        <v>1</v>
      </c>
      <c r="I157">
        <v>1001</v>
      </c>
      <c r="J157">
        <v>3000</v>
      </c>
    </row>
    <row r="158" spans="2:10" x14ac:dyDescent="0.25">
      <c r="B158" t="s">
        <v>376</v>
      </c>
      <c r="C158">
        <v>0.16969999999999999</v>
      </c>
      <c r="D158">
        <v>0.37530000000000002</v>
      </c>
      <c r="E158">
        <v>2.3720000000000001E-2</v>
      </c>
      <c r="F158">
        <v>0</v>
      </c>
      <c r="G158">
        <v>0</v>
      </c>
      <c r="H158">
        <v>1</v>
      </c>
      <c r="I158">
        <v>1001</v>
      </c>
      <c r="J158">
        <v>3000</v>
      </c>
    </row>
    <row r="159" spans="2:10" x14ac:dyDescent="0.25">
      <c r="B159" t="s">
        <v>597</v>
      </c>
      <c r="C159">
        <v>0.44030000000000002</v>
      </c>
      <c r="D159">
        <v>0.49640000000000001</v>
      </c>
      <c r="E159">
        <v>2.7539999999999999E-2</v>
      </c>
      <c r="F159">
        <v>0</v>
      </c>
      <c r="G159">
        <v>0</v>
      </c>
      <c r="H159">
        <v>1</v>
      </c>
      <c r="I159">
        <v>1001</v>
      </c>
      <c r="J159">
        <v>3000</v>
      </c>
    </row>
    <row r="160" spans="2:10" x14ac:dyDescent="0.25">
      <c r="B160" t="s">
        <v>598</v>
      </c>
      <c r="C160">
        <v>0.34329999999999999</v>
      </c>
      <c r="D160">
        <v>0.4748</v>
      </c>
      <c r="E160">
        <v>3.2250000000000001E-2</v>
      </c>
      <c r="F160">
        <v>0</v>
      </c>
      <c r="G160">
        <v>0</v>
      </c>
      <c r="H160">
        <v>1</v>
      </c>
      <c r="I160">
        <v>1001</v>
      </c>
      <c r="J160">
        <v>3000</v>
      </c>
    </row>
    <row r="161" spans="2:10" x14ac:dyDescent="0.25">
      <c r="B161" t="s">
        <v>599</v>
      </c>
      <c r="C161">
        <v>1.2330000000000001E-2</v>
      </c>
      <c r="D161">
        <v>0.1104</v>
      </c>
      <c r="E161">
        <v>6.032E-3</v>
      </c>
      <c r="F161">
        <v>0</v>
      </c>
      <c r="G161">
        <v>0</v>
      </c>
      <c r="H161">
        <v>0</v>
      </c>
      <c r="I161">
        <v>1001</v>
      </c>
      <c r="J161">
        <v>3000</v>
      </c>
    </row>
    <row r="162" spans="2:10" x14ac:dyDescent="0.25">
      <c r="B162" t="s">
        <v>600</v>
      </c>
      <c r="C162">
        <v>0</v>
      </c>
      <c r="D162">
        <v>0</v>
      </c>
      <c r="E162" s="13">
        <v>1.054E-12</v>
      </c>
      <c r="F162">
        <v>0</v>
      </c>
      <c r="G162">
        <v>0</v>
      </c>
      <c r="H162">
        <v>0</v>
      </c>
      <c r="I162">
        <v>1001</v>
      </c>
      <c r="J162">
        <v>3000</v>
      </c>
    </row>
    <row r="163" spans="2:10" x14ac:dyDescent="0.25">
      <c r="B163" t="s">
        <v>377</v>
      </c>
      <c r="C163">
        <v>0</v>
      </c>
      <c r="D163">
        <v>0</v>
      </c>
      <c r="E163" s="13">
        <v>1.054E-12</v>
      </c>
      <c r="F163">
        <v>0</v>
      </c>
      <c r="G163">
        <v>0</v>
      </c>
      <c r="H163">
        <v>0</v>
      </c>
      <c r="I163">
        <v>1001</v>
      </c>
      <c r="J163">
        <v>3000</v>
      </c>
    </row>
    <row r="164" spans="2:10" x14ac:dyDescent="0.25">
      <c r="B164" t="s">
        <v>378</v>
      </c>
      <c r="C164">
        <v>0</v>
      </c>
      <c r="D164">
        <v>0</v>
      </c>
      <c r="E164" s="13">
        <v>1.054E-12</v>
      </c>
      <c r="F164">
        <v>0</v>
      </c>
      <c r="G164">
        <v>0</v>
      </c>
      <c r="H164">
        <v>0</v>
      </c>
      <c r="I164">
        <v>1001</v>
      </c>
      <c r="J164">
        <v>3000</v>
      </c>
    </row>
    <row r="165" spans="2:10" x14ac:dyDescent="0.25">
      <c r="B165" t="s">
        <v>379</v>
      </c>
      <c r="C165">
        <v>0</v>
      </c>
      <c r="D165">
        <v>0</v>
      </c>
      <c r="E165" s="13">
        <v>1.054E-12</v>
      </c>
      <c r="F165">
        <v>0</v>
      </c>
      <c r="G165">
        <v>0</v>
      </c>
      <c r="H165">
        <v>0</v>
      </c>
      <c r="I165">
        <v>1001</v>
      </c>
      <c r="J165">
        <v>3000</v>
      </c>
    </row>
    <row r="166" spans="2:10" x14ac:dyDescent="0.25">
      <c r="B166" t="s">
        <v>380</v>
      </c>
      <c r="C166">
        <v>0</v>
      </c>
      <c r="D166">
        <v>0</v>
      </c>
      <c r="E166" s="13">
        <v>1.054E-12</v>
      </c>
      <c r="F166">
        <v>0</v>
      </c>
      <c r="G166">
        <v>0</v>
      </c>
      <c r="H166">
        <v>0</v>
      </c>
      <c r="I166">
        <v>1001</v>
      </c>
      <c r="J166">
        <v>3000</v>
      </c>
    </row>
    <row r="167" spans="2:10" x14ac:dyDescent="0.25">
      <c r="B167" t="s">
        <v>381</v>
      </c>
      <c r="C167">
        <v>0</v>
      </c>
      <c r="D167">
        <v>0</v>
      </c>
      <c r="E167" s="13">
        <v>1.054E-12</v>
      </c>
      <c r="F167">
        <v>0</v>
      </c>
      <c r="G167">
        <v>0</v>
      </c>
      <c r="H167">
        <v>0</v>
      </c>
      <c r="I167">
        <v>1001</v>
      </c>
      <c r="J167">
        <v>3000</v>
      </c>
    </row>
    <row r="168" spans="2:10" x14ac:dyDescent="0.25">
      <c r="B168" t="s">
        <v>601</v>
      </c>
      <c r="C168">
        <v>2.367E-2</v>
      </c>
      <c r="D168">
        <v>0.152</v>
      </c>
      <c r="E168">
        <v>8.2290000000000002E-3</v>
      </c>
      <c r="F168">
        <v>0</v>
      </c>
      <c r="G168">
        <v>0</v>
      </c>
      <c r="H168">
        <v>0</v>
      </c>
      <c r="I168">
        <v>1001</v>
      </c>
      <c r="J168">
        <v>3000</v>
      </c>
    </row>
    <row r="169" spans="2:10" x14ac:dyDescent="0.25">
      <c r="B169" t="s">
        <v>602</v>
      </c>
      <c r="C169">
        <v>0.2787</v>
      </c>
      <c r="D169">
        <v>0.44829999999999998</v>
      </c>
      <c r="E169">
        <v>2.622E-2</v>
      </c>
      <c r="F169">
        <v>0</v>
      </c>
      <c r="G169">
        <v>0</v>
      </c>
      <c r="H169">
        <v>1</v>
      </c>
      <c r="I169">
        <v>1001</v>
      </c>
      <c r="J169">
        <v>3000</v>
      </c>
    </row>
    <row r="170" spans="2:10" x14ac:dyDescent="0.25">
      <c r="B170" t="s">
        <v>603</v>
      </c>
      <c r="C170">
        <v>0.69769999999999999</v>
      </c>
      <c r="D170">
        <v>0.45929999999999999</v>
      </c>
      <c r="E170">
        <v>2.8799999999999999E-2</v>
      </c>
      <c r="F170">
        <v>0</v>
      </c>
      <c r="G170">
        <v>1</v>
      </c>
      <c r="H170">
        <v>1</v>
      </c>
      <c r="I170">
        <v>1001</v>
      </c>
      <c r="J170">
        <v>3000</v>
      </c>
    </row>
    <row r="171" spans="2:10" x14ac:dyDescent="0.25">
      <c r="B171" t="s">
        <v>604</v>
      </c>
      <c r="C171">
        <v>0</v>
      </c>
      <c r="D171">
        <v>0</v>
      </c>
      <c r="E171" s="13">
        <v>1.054E-12</v>
      </c>
      <c r="F171">
        <v>0</v>
      </c>
      <c r="G171">
        <v>0</v>
      </c>
      <c r="H171">
        <v>0</v>
      </c>
      <c r="I171">
        <v>1001</v>
      </c>
      <c r="J171">
        <v>3000</v>
      </c>
    </row>
    <row r="172" spans="2:10" x14ac:dyDescent="0.25">
      <c r="B172" t="s">
        <v>382</v>
      </c>
      <c r="C172">
        <v>5.2999999999999999E-2</v>
      </c>
      <c r="D172">
        <v>0.224</v>
      </c>
      <c r="E172">
        <v>1.5180000000000001E-2</v>
      </c>
      <c r="F172">
        <v>0</v>
      </c>
      <c r="G172">
        <v>0</v>
      </c>
      <c r="H172">
        <v>1</v>
      </c>
      <c r="I172">
        <v>1001</v>
      </c>
      <c r="J172">
        <v>3000</v>
      </c>
    </row>
    <row r="173" spans="2:10" x14ac:dyDescent="0.25">
      <c r="B173" t="s">
        <v>383</v>
      </c>
      <c r="C173">
        <v>0.15529999999999999</v>
      </c>
      <c r="D173">
        <v>0.36220000000000002</v>
      </c>
      <c r="E173">
        <v>2.0660000000000001E-2</v>
      </c>
      <c r="F173">
        <v>0</v>
      </c>
      <c r="G173">
        <v>0</v>
      </c>
      <c r="H173">
        <v>1</v>
      </c>
      <c r="I173">
        <v>1001</v>
      </c>
      <c r="J173">
        <v>3000</v>
      </c>
    </row>
    <row r="174" spans="2:10" x14ac:dyDescent="0.25">
      <c r="B174" t="s">
        <v>384</v>
      </c>
      <c r="C174">
        <v>0.31430000000000002</v>
      </c>
      <c r="D174">
        <v>0.4642</v>
      </c>
      <c r="E174">
        <v>2.3689999999999999E-2</v>
      </c>
      <c r="F174">
        <v>0</v>
      </c>
      <c r="G174">
        <v>0</v>
      </c>
      <c r="H174">
        <v>1</v>
      </c>
      <c r="I174">
        <v>1001</v>
      </c>
      <c r="J174">
        <v>3000</v>
      </c>
    </row>
    <row r="175" spans="2:10" x14ac:dyDescent="0.25">
      <c r="B175" t="s">
        <v>385</v>
      </c>
      <c r="C175">
        <v>0.33629999999999999</v>
      </c>
      <c r="D175">
        <v>0.47249999999999998</v>
      </c>
      <c r="E175">
        <v>2.409E-2</v>
      </c>
      <c r="F175">
        <v>0</v>
      </c>
      <c r="G175">
        <v>0</v>
      </c>
      <c r="H175">
        <v>1</v>
      </c>
      <c r="I175">
        <v>1001</v>
      </c>
      <c r="J175">
        <v>3000</v>
      </c>
    </row>
    <row r="176" spans="2:10" x14ac:dyDescent="0.25">
      <c r="B176" t="s">
        <v>386</v>
      </c>
      <c r="C176">
        <v>0.1183</v>
      </c>
      <c r="D176">
        <v>0.32300000000000001</v>
      </c>
      <c r="E176">
        <v>1.4919999999999999E-2</v>
      </c>
      <c r="F176">
        <v>0</v>
      </c>
      <c r="G176">
        <v>0</v>
      </c>
      <c r="H176">
        <v>1</v>
      </c>
      <c r="I176">
        <v>1001</v>
      </c>
      <c r="J176">
        <v>3000</v>
      </c>
    </row>
    <row r="177" spans="2:10" x14ac:dyDescent="0.25">
      <c r="B177" t="s">
        <v>605</v>
      </c>
      <c r="C177">
        <v>2.0330000000000001E-2</v>
      </c>
      <c r="D177">
        <v>0.1411</v>
      </c>
      <c r="E177">
        <v>5.4949999999999999E-3</v>
      </c>
      <c r="F177">
        <v>0</v>
      </c>
      <c r="G177">
        <v>0</v>
      </c>
      <c r="H177">
        <v>0</v>
      </c>
      <c r="I177">
        <v>1001</v>
      </c>
      <c r="J177">
        <v>3000</v>
      </c>
    </row>
    <row r="178" spans="2:10" x14ac:dyDescent="0.25">
      <c r="B178" t="s">
        <v>606</v>
      </c>
      <c r="C178">
        <v>2.333E-3</v>
      </c>
      <c r="D178">
        <v>4.8250000000000001E-2</v>
      </c>
      <c r="E178">
        <v>1.6969999999999999E-3</v>
      </c>
      <c r="F178">
        <v>0</v>
      </c>
      <c r="G178">
        <v>0</v>
      </c>
      <c r="H178">
        <v>0</v>
      </c>
      <c r="I178">
        <v>1001</v>
      </c>
      <c r="J178">
        <v>3000</v>
      </c>
    </row>
    <row r="179" spans="2:10" x14ac:dyDescent="0.25">
      <c r="B179" t="s">
        <v>607</v>
      </c>
      <c r="C179">
        <v>0</v>
      </c>
      <c r="D179">
        <v>0</v>
      </c>
      <c r="E179" s="13">
        <v>1.054E-12</v>
      </c>
      <c r="F179">
        <v>0</v>
      </c>
      <c r="G179">
        <v>0</v>
      </c>
      <c r="H179">
        <v>0</v>
      </c>
      <c r="I179">
        <v>1001</v>
      </c>
      <c r="J179">
        <v>3000</v>
      </c>
    </row>
    <row r="180" spans="2:10" x14ac:dyDescent="0.25">
      <c r="B180" t="s">
        <v>608</v>
      </c>
      <c r="C180">
        <v>0</v>
      </c>
      <c r="D180">
        <v>0</v>
      </c>
      <c r="E180" s="13">
        <v>1.054E-12</v>
      </c>
      <c r="F180">
        <v>0</v>
      </c>
      <c r="G180">
        <v>0</v>
      </c>
      <c r="H180">
        <v>0</v>
      </c>
      <c r="I180">
        <v>1001</v>
      </c>
      <c r="J180">
        <v>3000</v>
      </c>
    </row>
    <row r="181" spans="2:10" x14ac:dyDescent="0.25">
      <c r="B181" t="s">
        <v>387</v>
      </c>
      <c r="C181">
        <v>0.30130000000000001</v>
      </c>
      <c r="D181">
        <v>0.45879999999999999</v>
      </c>
      <c r="E181">
        <v>2.8209999999999999E-2</v>
      </c>
      <c r="F181">
        <v>0</v>
      </c>
      <c r="G181">
        <v>0</v>
      </c>
      <c r="H181">
        <v>1</v>
      </c>
      <c r="I181">
        <v>1001</v>
      </c>
      <c r="J181">
        <v>3000</v>
      </c>
    </row>
    <row r="182" spans="2:10" x14ac:dyDescent="0.25">
      <c r="B182" t="s">
        <v>388</v>
      </c>
      <c r="C182">
        <v>0.3377</v>
      </c>
      <c r="D182">
        <v>0.47289999999999999</v>
      </c>
      <c r="E182">
        <v>1.993E-2</v>
      </c>
      <c r="F182">
        <v>0</v>
      </c>
      <c r="G182">
        <v>0</v>
      </c>
      <c r="H182">
        <v>1</v>
      </c>
      <c r="I182">
        <v>1001</v>
      </c>
      <c r="J182">
        <v>3000</v>
      </c>
    </row>
    <row r="183" spans="2:10" x14ac:dyDescent="0.25">
      <c r="B183" t="s">
        <v>389</v>
      </c>
      <c r="C183">
        <v>0.22170000000000001</v>
      </c>
      <c r="D183">
        <v>0.41539999999999999</v>
      </c>
      <c r="E183">
        <v>1.711E-2</v>
      </c>
      <c r="F183">
        <v>0</v>
      </c>
      <c r="G183">
        <v>0</v>
      </c>
      <c r="H183">
        <v>1</v>
      </c>
      <c r="I183">
        <v>1001</v>
      </c>
      <c r="J183">
        <v>3000</v>
      </c>
    </row>
    <row r="184" spans="2:10" x14ac:dyDescent="0.25">
      <c r="B184" t="s">
        <v>390</v>
      </c>
      <c r="C184">
        <v>8.6669999999999997E-2</v>
      </c>
      <c r="D184">
        <v>0.28129999999999999</v>
      </c>
      <c r="E184">
        <v>1.366E-2</v>
      </c>
      <c r="F184">
        <v>0</v>
      </c>
      <c r="G184">
        <v>0</v>
      </c>
      <c r="H184">
        <v>1</v>
      </c>
      <c r="I184">
        <v>1001</v>
      </c>
      <c r="J184">
        <v>3000</v>
      </c>
    </row>
    <row r="185" spans="2:10" x14ac:dyDescent="0.25">
      <c r="B185" t="s">
        <v>391</v>
      </c>
      <c r="C185">
        <v>3.5999999999999997E-2</v>
      </c>
      <c r="D185">
        <v>0.18629999999999999</v>
      </c>
      <c r="E185">
        <v>6.9329999999999999E-3</v>
      </c>
      <c r="F185">
        <v>0</v>
      </c>
      <c r="G185">
        <v>0</v>
      </c>
      <c r="H185">
        <v>1</v>
      </c>
      <c r="I185">
        <v>1001</v>
      </c>
      <c r="J185">
        <v>3000</v>
      </c>
    </row>
    <row r="186" spans="2:10" x14ac:dyDescent="0.25">
      <c r="B186" t="s">
        <v>609</v>
      </c>
      <c r="C186">
        <v>1.2999999999999999E-2</v>
      </c>
      <c r="D186">
        <v>0.1133</v>
      </c>
      <c r="E186">
        <v>4.2700000000000004E-3</v>
      </c>
      <c r="F186">
        <v>0</v>
      </c>
      <c r="G186">
        <v>0</v>
      </c>
      <c r="H186">
        <v>0</v>
      </c>
      <c r="I186">
        <v>1001</v>
      </c>
      <c r="J186">
        <v>3000</v>
      </c>
    </row>
    <row r="187" spans="2:10" x14ac:dyDescent="0.25">
      <c r="B187" t="s">
        <v>610</v>
      </c>
      <c r="C187">
        <v>3.6670000000000001E-3</v>
      </c>
      <c r="D187">
        <v>6.0440000000000001E-2</v>
      </c>
      <c r="E187">
        <v>2.869E-3</v>
      </c>
      <c r="F187">
        <v>0</v>
      </c>
      <c r="G187">
        <v>0</v>
      </c>
      <c r="H187">
        <v>0</v>
      </c>
      <c r="I187">
        <v>1001</v>
      </c>
      <c r="J187">
        <v>3000</v>
      </c>
    </row>
    <row r="188" spans="2:10" x14ac:dyDescent="0.25">
      <c r="B188" t="s">
        <v>611</v>
      </c>
      <c r="C188">
        <v>0</v>
      </c>
      <c r="D188">
        <v>0</v>
      </c>
      <c r="E188" s="13">
        <v>1.054E-12</v>
      </c>
      <c r="F188">
        <v>0</v>
      </c>
      <c r="G188">
        <v>0</v>
      </c>
      <c r="H188">
        <v>0</v>
      </c>
      <c r="I188">
        <v>1001</v>
      </c>
      <c r="J188">
        <v>3000</v>
      </c>
    </row>
    <row r="189" spans="2:10" x14ac:dyDescent="0.25">
      <c r="B189" t="s">
        <v>612</v>
      </c>
      <c r="C189">
        <v>0</v>
      </c>
      <c r="D189">
        <v>0</v>
      </c>
      <c r="E189" s="13">
        <v>1.054E-12</v>
      </c>
      <c r="F189">
        <v>0</v>
      </c>
      <c r="G189">
        <v>0</v>
      </c>
      <c r="H189">
        <v>0</v>
      </c>
      <c r="I189">
        <v>1001</v>
      </c>
      <c r="J189">
        <v>3000</v>
      </c>
    </row>
    <row r="190" spans="2:10" x14ac:dyDescent="0.25">
      <c r="B190" t="s">
        <v>392</v>
      </c>
      <c r="C190">
        <v>0.43230000000000002</v>
      </c>
      <c r="D190">
        <v>0.49540000000000001</v>
      </c>
      <c r="E190">
        <v>3.3509999999999998E-2</v>
      </c>
      <c r="F190">
        <v>0</v>
      </c>
      <c r="G190">
        <v>0</v>
      </c>
      <c r="H190">
        <v>1</v>
      </c>
      <c r="I190">
        <v>1001</v>
      </c>
      <c r="J190">
        <v>3000</v>
      </c>
    </row>
    <row r="191" spans="2:10" x14ac:dyDescent="0.25">
      <c r="B191" t="s">
        <v>393</v>
      </c>
      <c r="C191">
        <v>0.14929999999999999</v>
      </c>
      <c r="D191">
        <v>0.35639999999999999</v>
      </c>
      <c r="E191">
        <v>1.4789999999999999E-2</v>
      </c>
      <c r="F191">
        <v>0</v>
      </c>
      <c r="G191">
        <v>0</v>
      </c>
      <c r="H191">
        <v>1</v>
      </c>
      <c r="I191">
        <v>1001</v>
      </c>
      <c r="J191">
        <v>3000</v>
      </c>
    </row>
    <row r="192" spans="2:10" x14ac:dyDescent="0.25">
      <c r="B192" t="s">
        <v>394</v>
      </c>
      <c r="C192">
        <v>0.105</v>
      </c>
      <c r="D192">
        <v>0.30659999999999998</v>
      </c>
      <c r="E192">
        <v>1.0200000000000001E-2</v>
      </c>
      <c r="F192">
        <v>0</v>
      </c>
      <c r="G192">
        <v>0</v>
      </c>
      <c r="H192">
        <v>1</v>
      </c>
      <c r="I192">
        <v>1001</v>
      </c>
      <c r="J192">
        <v>3000</v>
      </c>
    </row>
    <row r="193" spans="2:10" x14ac:dyDescent="0.25">
      <c r="B193" t="s">
        <v>395</v>
      </c>
      <c r="C193">
        <v>9.6329999999999999E-2</v>
      </c>
      <c r="D193">
        <v>0.29499999999999998</v>
      </c>
      <c r="E193">
        <v>1.218E-2</v>
      </c>
      <c r="F193">
        <v>0</v>
      </c>
      <c r="G193">
        <v>0</v>
      </c>
      <c r="H193">
        <v>1</v>
      </c>
      <c r="I193">
        <v>1001</v>
      </c>
      <c r="J193">
        <v>3000</v>
      </c>
    </row>
    <row r="194" spans="2:10" x14ac:dyDescent="0.25">
      <c r="B194" t="s">
        <v>396</v>
      </c>
      <c r="C194">
        <v>0.10630000000000001</v>
      </c>
      <c r="D194">
        <v>0.30830000000000002</v>
      </c>
      <c r="E194">
        <v>1.5219999999999999E-2</v>
      </c>
      <c r="F194">
        <v>0</v>
      </c>
      <c r="G194">
        <v>0</v>
      </c>
      <c r="H194">
        <v>1</v>
      </c>
      <c r="I194">
        <v>1001</v>
      </c>
      <c r="J194">
        <v>3000</v>
      </c>
    </row>
    <row r="195" spans="2:10" x14ac:dyDescent="0.25">
      <c r="B195" t="s">
        <v>613</v>
      </c>
      <c r="C195">
        <v>5.8000000000000003E-2</v>
      </c>
      <c r="D195">
        <v>0.23369999999999999</v>
      </c>
      <c r="E195">
        <v>1.068E-2</v>
      </c>
      <c r="F195">
        <v>0</v>
      </c>
      <c r="G195">
        <v>0</v>
      </c>
      <c r="H195">
        <v>1</v>
      </c>
      <c r="I195">
        <v>1001</v>
      </c>
      <c r="J195">
        <v>3000</v>
      </c>
    </row>
    <row r="196" spans="2:10" x14ac:dyDescent="0.25">
      <c r="B196" t="s">
        <v>614</v>
      </c>
      <c r="C196">
        <v>4.3999999999999997E-2</v>
      </c>
      <c r="D196">
        <v>0.2051</v>
      </c>
      <c r="E196">
        <v>1.064E-2</v>
      </c>
      <c r="F196">
        <v>0</v>
      </c>
      <c r="G196">
        <v>0</v>
      </c>
      <c r="H196">
        <v>1</v>
      </c>
      <c r="I196">
        <v>1001</v>
      </c>
      <c r="J196">
        <v>3000</v>
      </c>
    </row>
    <row r="197" spans="2:10" x14ac:dyDescent="0.25">
      <c r="B197" t="s">
        <v>615</v>
      </c>
      <c r="C197">
        <v>8.6669999999999994E-3</v>
      </c>
      <c r="D197">
        <v>9.2689999999999995E-2</v>
      </c>
      <c r="E197">
        <v>4.1079999999999997E-3</v>
      </c>
      <c r="F197">
        <v>0</v>
      </c>
      <c r="G197">
        <v>0</v>
      </c>
      <c r="H197">
        <v>0</v>
      </c>
      <c r="I197">
        <v>1001</v>
      </c>
      <c r="J197">
        <v>3000</v>
      </c>
    </row>
    <row r="198" spans="2:10" x14ac:dyDescent="0.25">
      <c r="B198" t="s">
        <v>616</v>
      </c>
      <c r="C198">
        <v>0</v>
      </c>
      <c r="D198">
        <v>0</v>
      </c>
      <c r="E198" s="13">
        <v>1.054E-12</v>
      </c>
      <c r="F198">
        <v>0</v>
      </c>
      <c r="G198">
        <v>0</v>
      </c>
      <c r="H198">
        <v>0</v>
      </c>
      <c r="I198">
        <v>1001</v>
      </c>
      <c r="J198">
        <v>3000</v>
      </c>
    </row>
    <row r="199" spans="2:10" x14ac:dyDescent="0.25">
      <c r="B199" t="s">
        <v>617</v>
      </c>
      <c r="C199">
        <v>0.158</v>
      </c>
      <c r="D199">
        <v>0.36470000000000002</v>
      </c>
      <c r="E199">
        <v>2.0330000000000001E-2</v>
      </c>
      <c r="F199">
        <v>0</v>
      </c>
      <c r="G199">
        <v>0</v>
      </c>
      <c r="H199">
        <v>1</v>
      </c>
      <c r="I199">
        <v>1001</v>
      </c>
      <c r="J199">
        <v>3000</v>
      </c>
    </row>
    <row r="200" spans="2:10" x14ac:dyDescent="0.25">
      <c r="B200" t="s">
        <v>618</v>
      </c>
      <c r="C200">
        <v>0.2137</v>
      </c>
      <c r="D200">
        <v>0.40989999999999999</v>
      </c>
      <c r="E200">
        <v>2.0969999999999999E-2</v>
      </c>
      <c r="F200">
        <v>0</v>
      </c>
      <c r="G200">
        <v>0</v>
      </c>
      <c r="H200">
        <v>1</v>
      </c>
      <c r="I200">
        <v>1001</v>
      </c>
      <c r="J200">
        <v>3000</v>
      </c>
    </row>
    <row r="201" spans="2:10" x14ac:dyDescent="0.25">
      <c r="B201" t="s">
        <v>619</v>
      </c>
      <c r="C201">
        <v>0.16769999999999999</v>
      </c>
      <c r="D201">
        <v>0.37359999999999999</v>
      </c>
      <c r="E201">
        <v>1.477E-2</v>
      </c>
      <c r="F201">
        <v>0</v>
      </c>
      <c r="G201">
        <v>0</v>
      </c>
      <c r="H201">
        <v>1</v>
      </c>
      <c r="I201">
        <v>1001</v>
      </c>
      <c r="J201">
        <v>3000</v>
      </c>
    </row>
    <row r="202" spans="2:10" x14ac:dyDescent="0.25">
      <c r="B202" t="s">
        <v>620</v>
      </c>
      <c r="C202">
        <v>0.14929999999999999</v>
      </c>
      <c r="D202">
        <v>0.35639999999999999</v>
      </c>
      <c r="E202">
        <v>1.546E-2</v>
      </c>
      <c r="F202">
        <v>0</v>
      </c>
      <c r="G202">
        <v>0</v>
      </c>
      <c r="H202">
        <v>1</v>
      </c>
      <c r="I202">
        <v>1001</v>
      </c>
      <c r="J202">
        <v>3000</v>
      </c>
    </row>
    <row r="203" spans="2:10" x14ac:dyDescent="0.25">
      <c r="B203" t="s">
        <v>621</v>
      </c>
      <c r="C203">
        <v>0.127</v>
      </c>
      <c r="D203">
        <v>0.33300000000000002</v>
      </c>
      <c r="E203">
        <v>1.498E-2</v>
      </c>
      <c r="F203">
        <v>0</v>
      </c>
      <c r="G203">
        <v>0</v>
      </c>
      <c r="H203">
        <v>1</v>
      </c>
      <c r="I203">
        <v>1001</v>
      </c>
      <c r="J203">
        <v>3000</v>
      </c>
    </row>
    <row r="204" spans="2:10" x14ac:dyDescent="0.25">
      <c r="B204" t="s">
        <v>622</v>
      </c>
      <c r="C204">
        <v>8.7330000000000005E-2</v>
      </c>
      <c r="D204">
        <v>0.2823</v>
      </c>
      <c r="E204">
        <v>1.175E-2</v>
      </c>
      <c r="F204">
        <v>0</v>
      </c>
      <c r="G204">
        <v>0</v>
      </c>
      <c r="H204">
        <v>1</v>
      </c>
      <c r="I204">
        <v>1001</v>
      </c>
      <c r="J204">
        <v>3000</v>
      </c>
    </row>
    <row r="205" spans="2:10" x14ac:dyDescent="0.25">
      <c r="B205" t="s">
        <v>623</v>
      </c>
      <c r="C205">
        <v>5.9670000000000001E-2</v>
      </c>
      <c r="D205">
        <v>0.2369</v>
      </c>
      <c r="E205">
        <v>1.3520000000000001E-2</v>
      </c>
      <c r="F205">
        <v>0</v>
      </c>
      <c r="G205">
        <v>0</v>
      </c>
      <c r="H205">
        <v>1</v>
      </c>
      <c r="I205">
        <v>1001</v>
      </c>
      <c r="J205">
        <v>3000</v>
      </c>
    </row>
    <row r="206" spans="2:10" x14ac:dyDescent="0.25">
      <c r="B206" t="s">
        <v>624</v>
      </c>
      <c r="C206">
        <v>3.7330000000000002E-2</v>
      </c>
      <c r="D206">
        <v>0.18959999999999999</v>
      </c>
      <c r="E206">
        <v>1.277E-2</v>
      </c>
      <c r="F206">
        <v>0</v>
      </c>
      <c r="G206">
        <v>0</v>
      </c>
      <c r="H206">
        <v>1</v>
      </c>
      <c r="I206">
        <v>1001</v>
      </c>
      <c r="J206">
        <v>3000</v>
      </c>
    </row>
    <row r="207" spans="2:10" x14ac:dyDescent="0.25">
      <c r="B207" t="s">
        <v>625</v>
      </c>
      <c r="C207">
        <v>0</v>
      </c>
      <c r="D207">
        <v>0</v>
      </c>
      <c r="E207" s="13">
        <v>1.054E-12</v>
      </c>
      <c r="F207">
        <v>0</v>
      </c>
      <c r="G207">
        <v>0</v>
      </c>
      <c r="H207">
        <v>0</v>
      </c>
      <c r="I207">
        <v>1001</v>
      </c>
      <c r="J207">
        <v>3000</v>
      </c>
    </row>
    <row r="208" spans="2:10" x14ac:dyDescent="0.25">
      <c r="B208" t="s">
        <v>626</v>
      </c>
      <c r="C208">
        <v>4.1329999999999999E-2</v>
      </c>
      <c r="D208">
        <v>0.1991</v>
      </c>
      <c r="E208">
        <v>1.2869999999999999E-2</v>
      </c>
      <c r="F208">
        <v>0</v>
      </c>
      <c r="G208">
        <v>0</v>
      </c>
      <c r="H208">
        <v>1</v>
      </c>
      <c r="I208">
        <v>1001</v>
      </c>
      <c r="J208">
        <v>3000</v>
      </c>
    </row>
    <row r="209" spans="2:10" x14ac:dyDescent="0.25">
      <c r="B209" t="s">
        <v>627</v>
      </c>
      <c r="C209">
        <v>4.4330000000000001E-2</v>
      </c>
      <c r="D209">
        <v>0.20580000000000001</v>
      </c>
      <c r="E209">
        <v>9.5259999999999997E-3</v>
      </c>
      <c r="F209">
        <v>0</v>
      </c>
      <c r="G209">
        <v>0</v>
      </c>
      <c r="H209">
        <v>1</v>
      </c>
      <c r="I209">
        <v>1001</v>
      </c>
      <c r="J209">
        <v>3000</v>
      </c>
    </row>
    <row r="210" spans="2:10" x14ac:dyDescent="0.25">
      <c r="B210" t="s">
        <v>628</v>
      </c>
      <c r="C210">
        <v>4.4330000000000001E-2</v>
      </c>
      <c r="D210">
        <v>0.20580000000000001</v>
      </c>
      <c r="E210">
        <v>7.424E-3</v>
      </c>
      <c r="F210">
        <v>0</v>
      </c>
      <c r="G210">
        <v>0</v>
      </c>
      <c r="H210">
        <v>1</v>
      </c>
      <c r="I210">
        <v>1001</v>
      </c>
      <c r="J210">
        <v>3000</v>
      </c>
    </row>
    <row r="211" spans="2:10" x14ac:dyDescent="0.25">
      <c r="B211" t="s">
        <v>629</v>
      </c>
      <c r="C211">
        <v>8.133E-2</v>
      </c>
      <c r="D211">
        <v>0.27329999999999999</v>
      </c>
      <c r="E211">
        <v>1.242E-2</v>
      </c>
      <c r="F211">
        <v>0</v>
      </c>
      <c r="G211">
        <v>0</v>
      </c>
      <c r="H211">
        <v>1</v>
      </c>
      <c r="I211">
        <v>1001</v>
      </c>
      <c r="J211">
        <v>3000</v>
      </c>
    </row>
    <row r="212" spans="2:10" x14ac:dyDescent="0.25">
      <c r="B212" t="s">
        <v>630</v>
      </c>
      <c r="C212">
        <v>0.1053</v>
      </c>
      <c r="D212">
        <v>0.307</v>
      </c>
      <c r="E212">
        <v>1.3180000000000001E-2</v>
      </c>
      <c r="F212">
        <v>0</v>
      </c>
      <c r="G212">
        <v>0</v>
      </c>
      <c r="H212">
        <v>1</v>
      </c>
      <c r="I212">
        <v>1001</v>
      </c>
      <c r="J212">
        <v>3000</v>
      </c>
    </row>
    <row r="213" spans="2:10" x14ac:dyDescent="0.25">
      <c r="B213" t="s">
        <v>631</v>
      </c>
      <c r="C213">
        <v>0.1943</v>
      </c>
      <c r="D213">
        <v>0.3957</v>
      </c>
      <c r="E213">
        <v>1.9109999999999999E-2</v>
      </c>
      <c r="F213">
        <v>0</v>
      </c>
      <c r="G213">
        <v>0</v>
      </c>
      <c r="H213">
        <v>1</v>
      </c>
      <c r="I213">
        <v>1001</v>
      </c>
      <c r="J213">
        <v>3000</v>
      </c>
    </row>
    <row r="214" spans="2:10" x14ac:dyDescent="0.25">
      <c r="B214" t="s">
        <v>632</v>
      </c>
      <c r="C214">
        <v>0.245</v>
      </c>
      <c r="D214">
        <v>0.43009999999999998</v>
      </c>
      <c r="E214">
        <v>1.968E-2</v>
      </c>
      <c r="F214">
        <v>0</v>
      </c>
      <c r="G214">
        <v>0</v>
      </c>
      <c r="H214">
        <v>1</v>
      </c>
      <c r="I214">
        <v>1001</v>
      </c>
      <c r="J214">
        <v>3000</v>
      </c>
    </row>
    <row r="215" spans="2:10" x14ac:dyDescent="0.25">
      <c r="B215" t="s">
        <v>633</v>
      </c>
      <c r="C215">
        <v>0.24399999999999999</v>
      </c>
      <c r="D215">
        <v>0.42949999999999999</v>
      </c>
      <c r="E215">
        <v>2.6870000000000002E-2</v>
      </c>
      <c r="F215">
        <v>0</v>
      </c>
      <c r="G215">
        <v>0</v>
      </c>
      <c r="H215">
        <v>1</v>
      </c>
      <c r="I215">
        <v>1001</v>
      </c>
      <c r="J215">
        <v>3000</v>
      </c>
    </row>
    <row r="216" spans="2:10" x14ac:dyDescent="0.25">
      <c r="B216" t="s">
        <v>634</v>
      </c>
      <c r="C216">
        <v>0</v>
      </c>
      <c r="D216">
        <v>0</v>
      </c>
      <c r="E216" s="13">
        <v>1.054E-12</v>
      </c>
      <c r="F216">
        <v>0</v>
      </c>
      <c r="G216">
        <v>0</v>
      </c>
      <c r="H216">
        <v>0</v>
      </c>
      <c r="I216">
        <v>1001</v>
      </c>
      <c r="J216">
        <v>3000</v>
      </c>
    </row>
    <row r="217" spans="2:10" x14ac:dyDescent="0.25">
      <c r="B217" t="s">
        <v>635</v>
      </c>
      <c r="C217">
        <v>1.4E-2</v>
      </c>
      <c r="D217">
        <v>0.11749999999999999</v>
      </c>
      <c r="E217">
        <v>5.6480000000000002E-3</v>
      </c>
      <c r="F217">
        <v>0</v>
      </c>
      <c r="G217">
        <v>0</v>
      </c>
      <c r="H217">
        <v>0</v>
      </c>
      <c r="I217">
        <v>1001</v>
      </c>
      <c r="J217">
        <v>3000</v>
      </c>
    </row>
    <row r="218" spans="2:10" x14ac:dyDescent="0.25">
      <c r="B218" t="s">
        <v>636</v>
      </c>
      <c r="C218">
        <v>9.9669999999999995E-2</v>
      </c>
      <c r="D218">
        <v>0.29959999999999998</v>
      </c>
      <c r="E218">
        <v>1.839E-2</v>
      </c>
      <c r="F218">
        <v>0</v>
      </c>
      <c r="G218">
        <v>0</v>
      </c>
      <c r="H218">
        <v>1</v>
      </c>
      <c r="I218">
        <v>1001</v>
      </c>
      <c r="J218">
        <v>3000</v>
      </c>
    </row>
    <row r="219" spans="2:10" x14ac:dyDescent="0.25">
      <c r="B219" t="s">
        <v>637</v>
      </c>
      <c r="C219">
        <v>0.14499999999999999</v>
      </c>
      <c r="D219">
        <v>0.35210000000000002</v>
      </c>
      <c r="E219">
        <v>1.856E-2</v>
      </c>
      <c r="F219">
        <v>0</v>
      </c>
      <c r="G219">
        <v>0</v>
      </c>
      <c r="H219">
        <v>1</v>
      </c>
      <c r="I219">
        <v>1001</v>
      </c>
      <c r="J219">
        <v>3000</v>
      </c>
    </row>
    <row r="220" spans="2:10" x14ac:dyDescent="0.25">
      <c r="B220" t="s">
        <v>638</v>
      </c>
      <c r="C220">
        <v>0.2177</v>
      </c>
      <c r="D220">
        <v>0.41270000000000001</v>
      </c>
      <c r="E220">
        <v>1.9740000000000001E-2</v>
      </c>
      <c r="F220">
        <v>0</v>
      </c>
      <c r="G220">
        <v>0</v>
      </c>
      <c r="H220">
        <v>1</v>
      </c>
      <c r="I220">
        <v>1001</v>
      </c>
      <c r="J220">
        <v>3000</v>
      </c>
    </row>
    <row r="221" spans="2:10" x14ac:dyDescent="0.25">
      <c r="B221" t="s">
        <v>639</v>
      </c>
      <c r="C221">
        <v>0.33729999999999999</v>
      </c>
      <c r="D221">
        <v>0.4728</v>
      </c>
      <c r="E221">
        <v>2.6710000000000001E-2</v>
      </c>
      <c r="F221">
        <v>0</v>
      </c>
      <c r="G221">
        <v>0</v>
      </c>
      <c r="H221">
        <v>1</v>
      </c>
      <c r="I221">
        <v>1001</v>
      </c>
      <c r="J221">
        <v>3000</v>
      </c>
    </row>
    <row r="222" spans="2:10" x14ac:dyDescent="0.25">
      <c r="B222" t="s">
        <v>640</v>
      </c>
      <c r="C222">
        <v>0.16300000000000001</v>
      </c>
      <c r="D222">
        <v>0.36940000000000001</v>
      </c>
      <c r="E222">
        <v>2.3640000000000001E-2</v>
      </c>
      <c r="F222">
        <v>0</v>
      </c>
      <c r="G222">
        <v>0</v>
      </c>
      <c r="H222">
        <v>1</v>
      </c>
      <c r="I222">
        <v>1001</v>
      </c>
      <c r="J222">
        <v>3000</v>
      </c>
    </row>
    <row r="223" spans="2:10" x14ac:dyDescent="0.25">
      <c r="B223" t="s">
        <v>641</v>
      </c>
      <c r="C223">
        <v>2.333E-2</v>
      </c>
      <c r="D223">
        <v>0.151</v>
      </c>
      <c r="E223">
        <v>8.4600000000000005E-3</v>
      </c>
      <c r="F223">
        <v>0</v>
      </c>
      <c r="G223">
        <v>0</v>
      </c>
      <c r="H223">
        <v>0</v>
      </c>
      <c r="I223">
        <v>1001</v>
      </c>
      <c r="J223">
        <v>3000</v>
      </c>
    </row>
    <row r="224" spans="2:10" x14ac:dyDescent="0.25">
      <c r="B224" t="s">
        <v>642</v>
      </c>
      <c r="C224">
        <v>0</v>
      </c>
      <c r="D224">
        <v>0</v>
      </c>
      <c r="E224" s="13">
        <v>1.054E-12</v>
      </c>
      <c r="F224">
        <v>0</v>
      </c>
      <c r="G224">
        <v>0</v>
      </c>
      <c r="H224">
        <v>0</v>
      </c>
      <c r="I224">
        <v>1001</v>
      </c>
      <c r="J224">
        <v>3000</v>
      </c>
    </row>
    <row r="225" spans="2:10" x14ac:dyDescent="0.25">
      <c r="B225" t="s">
        <v>643</v>
      </c>
      <c r="C225">
        <v>0</v>
      </c>
      <c r="D225">
        <v>0</v>
      </c>
      <c r="E225" s="13">
        <v>1.054E-12</v>
      </c>
      <c r="F225">
        <v>0</v>
      </c>
      <c r="G225">
        <v>0</v>
      </c>
      <c r="H225">
        <v>0</v>
      </c>
      <c r="I225">
        <v>1001</v>
      </c>
      <c r="J225">
        <v>3000</v>
      </c>
    </row>
    <row r="226" spans="2:10" x14ac:dyDescent="0.25">
      <c r="B226" t="s">
        <v>644</v>
      </c>
      <c r="C226">
        <v>0</v>
      </c>
      <c r="D226">
        <v>0</v>
      </c>
      <c r="E226" s="13">
        <v>1.054E-12</v>
      </c>
      <c r="F226">
        <v>0</v>
      </c>
      <c r="G226">
        <v>0</v>
      </c>
      <c r="H226">
        <v>0</v>
      </c>
      <c r="I226">
        <v>1001</v>
      </c>
      <c r="J226">
        <v>3000</v>
      </c>
    </row>
    <row r="227" spans="2:10" x14ac:dyDescent="0.25">
      <c r="B227" t="s">
        <v>645</v>
      </c>
      <c r="C227">
        <v>0</v>
      </c>
      <c r="D227">
        <v>0</v>
      </c>
      <c r="E227" s="13">
        <v>1.054E-12</v>
      </c>
      <c r="F227">
        <v>0</v>
      </c>
      <c r="G227">
        <v>0</v>
      </c>
      <c r="H227">
        <v>0</v>
      </c>
      <c r="I227">
        <v>1001</v>
      </c>
      <c r="J227">
        <v>3000</v>
      </c>
    </row>
    <row r="228" spans="2:10" x14ac:dyDescent="0.25">
      <c r="B228" t="s">
        <v>646</v>
      </c>
      <c r="C228">
        <v>0</v>
      </c>
      <c r="D228">
        <v>0</v>
      </c>
      <c r="E228" s="13">
        <v>1.054E-12</v>
      </c>
      <c r="F228">
        <v>0</v>
      </c>
      <c r="G228">
        <v>0</v>
      </c>
      <c r="H228">
        <v>0</v>
      </c>
      <c r="I228">
        <v>1001</v>
      </c>
      <c r="J228">
        <v>3000</v>
      </c>
    </row>
    <row r="229" spans="2:10" x14ac:dyDescent="0.25">
      <c r="B229" t="s">
        <v>647</v>
      </c>
      <c r="C229">
        <v>0</v>
      </c>
      <c r="D229">
        <v>0</v>
      </c>
      <c r="E229" s="13">
        <v>1.054E-12</v>
      </c>
      <c r="F229">
        <v>0</v>
      </c>
      <c r="G229">
        <v>0</v>
      </c>
      <c r="H229">
        <v>0</v>
      </c>
      <c r="I229">
        <v>1001</v>
      </c>
      <c r="J229">
        <v>3000</v>
      </c>
    </row>
    <row r="230" spans="2:10" x14ac:dyDescent="0.25">
      <c r="B230" t="s">
        <v>648</v>
      </c>
      <c r="C230">
        <v>0</v>
      </c>
      <c r="D230">
        <v>0</v>
      </c>
      <c r="E230" s="13">
        <v>1.054E-12</v>
      </c>
      <c r="F230">
        <v>0</v>
      </c>
      <c r="G230">
        <v>0</v>
      </c>
      <c r="H230">
        <v>0</v>
      </c>
      <c r="I230">
        <v>1001</v>
      </c>
      <c r="J230">
        <v>3000</v>
      </c>
    </row>
    <row r="231" spans="2:10" x14ac:dyDescent="0.25">
      <c r="B231" t="s">
        <v>649</v>
      </c>
      <c r="C231">
        <v>0</v>
      </c>
      <c r="D231">
        <v>0</v>
      </c>
      <c r="E231" s="13">
        <v>1.054E-12</v>
      </c>
      <c r="F231">
        <v>0</v>
      </c>
      <c r="G231">
        <v>0</v>
      </c>
      <c r="H231">
        <v>0</v>
      </c>
      <c r="I231">
        <v>1001</v>
      </c>
      <c r="J231">
        <v>3000</v>
      </c>
    </row>
    <row r="232" spans="2:10" x14ac:dyDescent="0.25">
      <c r="B232" t="s">
        <v>650</v>
      </c>
      <c r="C232">
        <v>0</v>
      </c>
      <c r="D232">
        <v>0</v>
      </c>
      <c r="E232" s="13">
        <v>1.054E-12</v>
      </c>
      <c r="F232">
        <v>0</v>
      </c>
      <c r="G232">
        <v>0</v>
      </c>
      <c r="H232">
        <v>0</v>
      </c>
      <c r="I232">
        <v>1001</v>
      </c>
      <c r="J232">
        <v>3000</v>
      </c>
    </row>
    <row r="233" spans="2:10" x14ac:dyDescent="0.25">
      <c r="B233" t="s">
        <v>651</v>
      </c>
      <c r="C233">
        <v>0</v>
      </c>
      <c r="D233">
        <v>0</v>
      </c>
      <c r="E233" s="13">
        <v>1.054E-12</v>
      </c>
      <c r="F233">
        <v>0</v>
      </c>
      <c r="G233">
        <v>0</v>
      </c>
      <c r="H233">
        <v>0</v>
      </c>
      <c r="I233">
        <v>1001</v>
      </c>
      <c r="J233">
        <v>3000</v>
      </c>
    </row>
    <row r="234" spans="2:10" x14ac:dyDescent="0.25">
      <c r="B234" t="s">
        <v>652</v>
      </c>
      <c r="C234">
        <v>1</v>
      </c>
      <c r="D234">
        <v>0</v>
      </c>
      <c r="E234" s="13">
        <v>1.054E-12</v>
      </c>
      <c r="F234">
        <v>1</v>
      </c>
      <c r="G234">
        <v>1</v>
      </c>
      <c r="H234">
        <v>1</v>
      </c>
      <c r="I234">
        <v>1001</v>
      </c>
      <c r="J234">
        <v>3000</v>
      </c>
    </row>
    <row r="235" spans="2:10" x14ac:dyDescent="0.25">
      <c r="B235" t="s">
        <v>418</v>
      </c>
      <c r="C235">
        <v>1.2310000000000001</v>
      </c>
      <c r="D235">
        <v>1.5880000000000001</v>
      </c>
      <c r="E235">
        <v>3.0200000000000001E-2</v>
      </c>
      <c r="F235">
        <v>3.2259999999999997E-2</v>
      </c>
      <c r="G235">
        <v>0.62129999999999996</v>
      </c>
      <c r="H235">
        <v>5.819</v>
      </c>
      <c r="I235">
        <v>1001</v>
      </c>
      <c r="J235">
        <v>3000</v>
      </c>
    </row>
    <row r="236" spans="2:10" x14ac:dyDescent="0.25">
      <c r="B236" t="s">
        <v>419</v>
      </c>
      <c r="C236">
        <v>1.669</v>
      </c>
      <c r="D236">
        <v>1.655</v>
      </c>
      <c r="E236">
        <v>6.4619999999999997E-2</v>
      </c>
      <c r="F236">
        <v>4.478E-2</v>
      </c>
      <c r="G236">
        <v>1.1759999999999999</v>
      </c>
      <c r="H236">
        <v>6.2629999999999999</v>
      </c>
      <c r="I236">
        <v>1001</v>
      </c>
      <c r="J236">
        <v>3000</v>
      </c>
    </row>
    <row r="237" spans="2:10" x14ac:dyDescent="0.25">
      <c r="B237" t="s">
        <v>420</v>
      </c>
      <c r="C237">
        <v>1.367</v>
      </c>
      <c r="D237">
        <v>1.585</v>
      </c>
      <c r="E237">
        <v>3.739E-2</v>
      </c>
      <c r="F237">
        <v>2.896E-2</v>
      </c>
      <c r="G237">
        <v>0.85519999999999996</v>
      </c>
      <c r="H237">
        <v>5.7869999999999999</v>
      </c>
      <c r="I237">
        <v>1001</v>
      </c>
      <c r="J237">
        <v>3000</v>
      </c>
    </row>
    <row r="238" spans="2:10" x14ac:dyDescent="0.25">
      <c r="B238" t="s">
        <v>421</v>
      </c>
      <c r="C238">
        <v>2.34</v>
      </c>
      <c r="D238">
        <v>1.827</v>
      </c>
      <c r="E238">
        <v>8.5540000000000005E-2</v>
      </c>
      <c r="F238">
        <v>0.18029999999999999</v>
      </c>
      <c r="G238">
        <v>1.915</v>
      </c>
      <c r="H238">
        <v>7.0839999999999996</v>
      </c>
      <c r="I238">
        <v>1001</v>
      </c>
      <c r="J238">
        <v>3000</v>
      </c>
    </row>
    <row r="239" spans="2:10" x14ac:dyDescent="0.25">
      <c r="B239" t="s">
        <v>422</v>
      </c>
      <c r="C239">
        <v>2.3370000000000002</v>
      </c>
      <c r="D239">
        <v>1.6990000000000001</v>
      </c>
      <c r="E239">
        <v>6.719E-2</v>
      </c>
      <c r="F239">
        <v>0.32969999999999999</v>
      </c>
      <c r="G239">
        <v>1.97</v>
      </c>
      <c r="H239">
        <v>6.5940000000000003</v>
      </c>
      <c r="I239">
        <v>1001</v>
      </c>
      <c r="J239">
        <v>3000</v>
      </c>
    </row>
    <row r="240" spans="2:10" x14ac:dyDescent="0.25">
      <c r="B240" t="s">
        <v>423</v>
      </c>
      <c r="C240">
        <v>1.264</v>
      </c>
      <c r="D240">
        <v>1.4690000000000001</v>
      </c>
      <c r="E240">
        <v>3.2489999999999998E-2</v>
      </c>
      <c r="F240">
        <v>2.7629999999999998E-2</v>
      </c>
      <c r="G240">
        <v>0.75490000000000002</v>
      </c>
      <c r="H240">
        <v>5.351</v>
      </c>
      <c r="I240">
        <v>1001</v>
      </c>
      <c r="J240">
        <v>3000</v>
      </c>
    </row>
    <row r="241" spans="2:10" x14ac:dyDescent="0.25">
      <c r="B241" t="s">
        <v>424</v>
      </c>
      <c r="C241">
        <v>1.92</v>
      </c>
      <c r="D241">
        <v>1.9279999999999999</v>
      </c>
      <c r="E241">
        <v>8.7040000000000006E-2</v>
      </c>
      <c r="F241">
        <v>3.916E-2</v>
      </c>
      <c r="G241">
        <v>1.3029999999999999</v>
      </c>
      <c r="H241">
        <v>6.8140000000000001</v>
      </c>
      <c r="I241">
        <v>1001</v>
      </c>
      <c r="J241">
        <v>3000</v>
      </c>
    </row>
    <row r="242" spans="2:10" x14ac:dyDescent="0.25">
      <c r="B242" t="s">
        <v>425</v>
      </c>
      <c r="C242">
        <v>1.9330000000000001</v>
      </c>
      <c r="D242">
        <v>1.841</v>
      </c>
      <c r="E242">
        <v>8.523E-2</v>
      </c>
      <c r="F242">
        <v>5.8639999999999998E-2</v>
      </c>
      <c r="G242">
        <v>1.37</v>
      </c>
      <c r="H242">
        <v>7.1790000000000003</v>
      </c>
      <c r="I242">
        <v>1001</v>
      </c>
      <c r="J242">
        <v>3000</v>
      </c>
    </row>
    <row r="243" spans="2:10" x14ac:dyDescent="0.25">
      <c r="B243" t="s">
        <v>426</v>
      </c>
      <c r="C243">
        <v>1.948</v>
      </c>
      <c r="D243">
        <v>1.6180000000000001</v>
      </c>
      <c r="E243">
        <v>5.1950000000000003E-2</v>
      </c>
      <c r="F243">
        <v>0.2868</v>
      </c>
      <c r="G243">
        <v>1.49</v>
      </c>
      <c r="H243">
        <v>6.3789999999999996</v>
      </c>
      <c r="I243">
        <v>1001</v>
      </c>
      <c r="J243">
        <v>3000</v>
      </c>
    </row>
    <row r="244" spans="2:10" x14ac:dyDescent="0.25">
      <c r="B244" t="s">
        <v>427</v>
      </c>
      <c r="C244">
        <v>1.21</v>
      </c>
      <c r="D244">
        <v>1.4570000000000001</v>
      </c>
      <c r="E244">
        <v>3.1E-2</v>
      </c>
      <c r="F244">
        <v>2.521E-2</v>
      </c>
      <c r="G244">
        <v>0.73150000000000004</v>
      </c>
      <c r="H244">
        <v>5.4509999999999996</v>
      </c>
      <c r="I244">
        <v>1001</v>
      </c>
      <c r="J244">
        <v>3000</v>
      </c>
    </row>
    <row r="245" spans="2:10" x14ac:dyDescent="0.25">
      <c r="B245" t="s">
        <v>428</v>
      </c>
      <c r="C245">
        <v>3.7440000000000002</v>
      </c>
      <c r="D245">
        <v>2.4460000000000002</v>
      </c>
      <c r="E245">
        <v>0.14499999999999999</v>
      </c>
      <c r="F245">
        <v>0.33479999999999999</v>
      </c>
      <c r="G245">
        <v>3.3180000000000001</v>
      </c>
      <c r="H245">
        <v>9.65</v>
      </c>
      <c r="I245">
        <v>1001</v>
      </c>
      <c r="J245">
        <v>3000</v>
      </c>
    </row>
    <row r="246" spans="2:10" x14ac:dyDescent="0.25">
      <c r="B246" t="s">
        <v>429</v>
      </c>
      <c r="C246">
        <v>1.3959999999999999</v>
      </c>
      <c r="D246">
        <v>1.5289999999999999</v>
      </c>
      <c r="E246">
        <v>4.3950000000000003E-2</v>
      </c>
      <c r="F246">
        <v>3.4479999999999997E-2</v>
      </c>
      <c r="G246">
        <v>0.90629999999999999</v>
      </c>
      <c r="H246">
        <v>5.5419999999999998</v>
      </c>
      <c r="I246">
        <v>1001</v>
      </c>
      <c r="J246">
        <v>3000</v>
      </c>
    </row>
    <row r="247" spans="2:10" x14ac:dyDescent="0.25">
      <c r="B247" t="s">
        <v>653</v>
      </c>
      <c r="C247">
        <v>1.7729999999999999</v>
      </c>
      <c r="D247">
        <v>1.5429999999999999</v>
      </c>
      <c r="E247">
        <v>5.638E-2</v>
      </c>
      <c r="F247">
        <v>0.12520000000000001</v>
      </c>
      <c r="G247">
        <v>1.3620000000000001</v>
      </c>
      <c r="H247">
        <v>6.0259999999999998</v>
      </c>
      <c r="I247">
        <v>1001</v>
      </c>
      <c r="J247">
        <v>3000</v>
      </c>
    </row>
    <row r="248" spans="2:10" x14ac:dyDescent="0.25">
      <c r="B248" t="s">
        <v>654</v>
      </c>
      <c r="C248">
        <v>1.0609999999999999</v>
      </c>
      <c r="D248">
        <v>1.3640000000000001</v>
      </c>
      <c r="E248">
        <v>2.3199999999999998E-2</v>
      </c>
      <c r="F248">
        <v>1.259E-2</v>
      </c>
      <c r="G248">
        <v>0.55769999999999997</v>
      </c>
      <c r="H248">
        <v>4.9059999999999997</v>
      </c>
      <c r="I248">
        <v>1001</v>
      </c>
      <c r="J248">
        <v>3000</v>
      </c>
    </row>
    <row r="249" spans="2:10" x14ac:dyDescent="0.25">
      <c r="B249" t="s">
        <v>655</v>
      </c>
      <c r="C249">
        <v>2.411</v>
      </c>
      <c r="D249">
        <v>1.6539999999999999</v>
      </c>
      <c r="E249">
        <v>6.5019999999999994E-2</v>
      </c>
      <c r="F249">
        <v>0.42859999999999998</v>
      </c>
      <c r="G249">
        <v>2.016</v>
      </c>
      <c r="H249">
        <v>6.7610000000000001</v>
      </c>
      <c r="I249">
        <v>1001</v>
      </c>
      <c r="J249">
        <v>3000</v>
      </c>
    </row>
    <row r="250" spans="2:10" x14ac:dyDescent="0.25">
      <c r="B250" t="s">
        <v>656</v>
      </c>
      <c r="C250">
        <v>2.1230000000000002</v>
      </c>
      <c r="D250">
        <v>1.8129999999999999</v>
      </c>
      <c r="E250">
        <v>7.6350000000000001E-2</v>
      </c>
      <c r="F250">
        <v>8.2960000000000006E-2</v>
      </c>
      <c r="G250">
        <v>1.706</v>
      </c>
      <c r="H250">
        <v>6.593</v>
      </c>
      <c r="I250">
        <v>1001</v>
      </c>
      <c r="J250">
        <v>3000</v>
      </c>
    </row>
    <row r="251" spans="2:10" x14ac:dyDescent="0.25">
      <c r="B251" t="s">
        <v>657</v>
      </c>
      <c r="C251">
        <v>1.1040000000000001</v>
      </c>
      <c r="D251">
        <v>1.4079999999999999</v>
      </c>
      <c r="E251">
        <v>2.9149999999999999E-2</v>
      </c>
      <c r="F251">
        <v>1.4E-2</v>
      </c>
      <c r="G251">
        <v>0.57789999999999997</v>
      </c>
      <c r="H251">
        <v>5.0830000000000002</v>
      </c>
      <c r="I251">
        <v>1001</v>
      </c>
      <c r="J251">
        <v>3000</v>
      </c>
    </row>
    <row r="252" spans="2:10" x14ac:dyDescent="0.25">
      <c r="B252" t="s">
        <v>658</v>
      </c>
      <c r="C252">
        <v>1.8120000000000001</v>
      </c>
      <c r="D252">
        <v>1.5049999999999999</v>
      </c>
      <c r="E252">
        <v>3.798E-2</v>
      </c>
      <c r="F252">
        <v>0.35570000000000002</v>
      </c>
      <c r="G252">
        <v>1.345</v>
      </c>
      <c r="H252">
        <v>5.9240000000000004</v>
      </c>
      <c r="I252">
        <v>1001</v>
      </c>
      <c r="J252">
        <v>3000</v>
      </c>
    </row>
    <row r="253" spans="2:10" x14ac:dyDescent="0.25">
      <c r="B253" t="s">
        <v>659</v>
      </c>
      <c r="C253">
        <v>1.4419999999999999</v>
      </c>
      <c r="D253">
        <v>1.4690000000000001</v>
      </c>
      <c r="E253">
        <v>3.653E-2</v>
      </c>
      <c r="F253">
        <v>4.3979999999999998E-2</v>
      </c>
      <c r="G253">
        <v>1.018</v>
      </c>
      <c r="H253">
        <v>5.6369999999999996</v>
      </c>
      <c r="I253">
        <v>1001</v>
      </c>
      <c r="J253">
        <v>3000</v>
      </c>
    </row>
    <row r="254" spans="2:10" x14ac:dyDescent="0.25">
      <c r="B254" t="s">
        <v>660</v>
      </c>
      <c r="C254">
        <v>1.3129999999999999</v>
      </c>
      <c r="D254">
        <v>1.4379999999999999</v>
      </c>
      <c r="E254">
        <v>3.671E-2</v>
      </c>
      <c r="F254">
        <v>2.7480000000000001E-2</v>
      </c>
      <c r="G254">
        <v>0.85140000000000005</v>
      </c>
      <c r="H254">
        <v>5.2430000000000003</v>
      </c>
      <c r="I254">
        <v>1001</v>
      </c>
      <c r="J254">
        <v>3000</v>
      </c>
    </row>
    <row r="255" spans="2:10" x14ac:dyDescent="0.25">
      <c r="B255" t="s">
        <v>661</v>
      </c>
      <c r="C255">
        <v>6.282</v>
      </c>
      <c r="D255">
        <v>1.839</v>
      </c>
      <c r="E255">
        <v>8.7480000000000002E-2</v>
      </c>
      <c r="F255">
        <v>3.49</v>
      </c>
      <c r="G255">
        <v>5.9690000000000003</v>
      </c>
      <c r="H255">
        <v>10.71</v>
      </c>
      <c r="I255">
        <v>1001</v>
      </c>
      <c r="J255">
        <v>3000</v>
      </c>
    </row>
    <row r="256" spans="2:10" x14ac:dyDescent="0.25">
      <c r="B256" t="s">
        <v>662</v>
      </c>
      <c r="C256">
        <v>1.2150000000000001</v>
      </c>
      <c r="D256">
        <v>1.5760000000000001</v>
      </c>
      <c r="E256">
        <v>3.1780000000000003E-2</v>
      </c>
      <c r="F256">
        <v>1.6E-2</v>
      </c>
      <c r="G256">
        <v>0.61339999999999995</v>
      </c>
      <c r="H256">
        <v>5.734</v>
      </c>
      <c r="I256">
        <v>1001</v>
      </c>
      <c r="J256">
        <v>3000</v>
      </c>
    </row>
    <row r="257" spans="2:10" x14ac:dyDescent="0.25">
      <c r="B257" t="s">
        <v>663</v>
      </c>
      <c r="C257">
        <v>1.2889999999999999</v>
      </c>
      <c r="D257">
        <v>1.48</v>
      </c>
      <c r="E257">
        <v>3.7659999999999999E-2</v>
      </c>
      <c r="F257">
        <v>2.4840000000000001E-2</v>
      </c>
      <c r="G257">
        <v>0.79379999999999995</v>
      </c>
      <c r="H257">
        <v>5.359</v>
      </c>
      <c r="I257">
        <v>1001</v>
      </c>
      <c r="J257">
        <v>3000</v>
      </c>
    </row>
    <row r="258" spans="2:10" x14ac:dyDescent="0.25">
      <c r="B258" t="s">
        <v>664</v>
      </c>
      <c r="C258">
        <v>1.5409999999999999</v>
      </c>
      <c r="D258">
        <v>1.623</v>
      </c>
      <c r="E258">
        <v>5.4379999999999998E-2</v>
      </c>
      <c r="F258">
        <v>3.209E-2</v>
      </c>
      <c r="G258">
        <v>1.0389999999999999</v>
      </c>
      <c r="H258">
        <v>6.0750000000000002</v>
      </c>
      <c r="I258">
        <v>1001</v>
      </c>
      <c r="J258">
        <v>3000</v>
      </c>
    </row>
    <row r="259" spans="2:10" x14ac:dyDescent="0.25">
      <c r="B259" t="s">
        <v>665</v>
      </c>
      <c r="C259">
        <v>1.4419999999999999</v>
      </c>
      <c r="D259">
        <v>1.54</v>
      </c>
      <c r="E259">
        <v>3.7109999999999997E-2</v>
      </c>
      <c r="F259">
        <v>4.8329999999999998E-2</v>
      </c>
      <c r="G259">
        <v>0.95050000000000001</v>
      </c>
      <c r="H259">
        <v>5.9660000000000002</v>
      </c>
      <c r="I259">
        <v>1001</v>
      </c>
      <c r="J259">
        <v>3000</v>
      </c>
    </row>
    <row r="260" spans="2:10" x14ac:dyDescent="0.25">
      <c r="B260" t="s">
        <v>666</v>
      </c>
      <c r="C260">
        <v>1.2769999999999999</v>
      </c>
      <c r="D260">
        <v>1.548</v>
      </c>
      <c r="E260">
        <v>3.1449999999999999E-2</v>
      </c>
      <c r="F260">
        <v>2.2700000000000001E-2</v>
      </c>
      <c r="G260">
        <v>0.75170000000000003</v>
      </c>
      <c r="H260">
        <v>5.5549999999999997</v>
      </c>
      <c r="I260">
        <v>1001</v>
      </c>
      <c r="J260">
        <v>3000</v>
      </c>
    </row>
    <row r="261" spans="2:10" x14ac:dyDescent="0.25">
      <c r="B261" t="s">
        <v>667</v>
      </c>
      <c r="C261">
        <v>2.7959999999999998</v>
      </c>
      <c r="D261">
        <v>2.1230000000000002</v>
      </c>
      <c r="E261">
        <v>0.1177</v>
      </c>
      <c r="F261">
        <v>0.16070000000000001</v>
      </c>
      <c r="G261">
        <v>2.3559999999999999</v>
      </c>
      <c r="H261">
        <v>8.1769999999999996</v>
      </c>
      <c r="I261">
        <v>1001</v>
      </c>
      <c r="J261">
        <v>3000</v>
      </c>
    </row>
    <row r="262" spans="2:10" x14ac:dyDescent="0.25">
      <c r="B262" t="s">
        <v>668</v>
      </c>
      <c r="C262">
        <v>2.8690000000000002</v>
      </c>
      <c r="D262">
        <v>2.6429999999999998</v>
      </c>
      <c r="E262">
        <v>0.1865</v>
      </c>
      <c r="F262">
        <v>0.11</v>
      </c>
      <c r="G262">
        <v>2.117</v>
      </c>
      <c r="H262">
        <v>10.24</v>
      </c>
      <c r="I262">
        <v>1001</v>
      </c>
      <c r="J262">
        <v>3000</v>
      </c>
    </row>
    <row r="263" spans="2:10" x14ac:dyDescent="0.25">
      <c r="B263" t="s">
        <v>669</v>
      </c>
      <c r="C263">
        <v>1.379</v>
      </c>
      <c r="D263">
        <v>1.6220000000000001</v>
      </c>
      <c r="E263">
        <v>4.0189999999999997E-2</v>
      </c>
      <c r="F263">
        <v>2.9600000000000001E-2</v>
      </c>
      <c r="G263">
        <v>0.84309999999999996</v>
      </c>
      <c r="H263">
        <v>5.77</v>
      </c>
      <c r="I263">
        <v>1001</v>
      </c>
      <c r="J263">
        <v>3000</v>
      </c>
    </row>
    <row r="264" spans="2:10" x14ac:dyDescent="0.25">
      <c r="B264" t="s">
        <v>670</v>
      </c>
      <c r="C264">
        <v>1.946</v>
      </c>
      <c r="D264">
        <v>1.53</v>
      </c>
      <c r="E264">
        <v>4.929E-2</v>
      </c>
      <c r="F264">
        <v>0.27310000000000001</v>
      </c>
      <c r="G264">
        <v>1.536</v>
      </c>
      <c r="H264">
        <v>6.0949999999999998</v>
      </c>
      <c r="I264">
        <v>1001</v>
      </c>
      <c r="J264">
        <v>3000</v>
      </c>
    </row>
    <row r="265" spans="2:10" x14ac:dyDescent="0.25">
      <c r="B265" t="s">
        <v>671</v>
      </c>
      <c r="C265">
        <v>1.2969999999999999</v>
      </c>
      <c r="D265">
        <v>1.4710000000000001</v>
      </c>
      <c r="E265">
        <v>3.0609999999999998E-2</v>
      </c>
      <c r="F265">
        <v>3.8929999999999999E-2</v>
      </c>
      <c r="G265">
        <v>0.79579999999999995</v>
      </c>
      <c r="H265">
        <v>5.4240000000000004</v>
      </c>
      <c r="I265">
        <v>1001</v>
      </c>
      <c r="J265">
        <v>3000</v>
      </c>
    </row>
    <row r="266" spans="2:10" x14ac:dyDescent="0.25">
      <c r="B266" t="s">
        <v>672</v>
      </c>
      <c r="C266">
        <v>1.1040000000000001</v>
      </c>
      <c r="D266">
        <v>1.4630000000000001</v>
      </c>
      <c r="E266">
        <v>2.6769999999999999E-2</v>
      </c>
      <c r="F266">
        <v>1.5630000000000002E-2</v>
      </c>
      <c r="G266">
        <v>0.52480000000000004</v>
      </c>
      <c r="H266">
        <v>5.2450000000000001</v>
      </c>
      <c r="I266">
        <v>1001</v>
      </c>
      <c r="J266">
        <v>3000</v>
      </c>
    </row>
    <row r="267" spans="2:10" x14ac:dyDescent="0.25">
      <c r="B267" t="s">
        <v>673</v>
      </c>
      <c r="C267">
        <v>2.2599999999999998</v>
      </c>
      <c r="D267">
        <v>2.0920000000000001</v>
      </c>
      <c r="E267">
        <v>0.1071</v>
      </c>
      <c r="F267">
        <v>5.713E-2</v>
      </c>
      <c r="G267">
        <v>1.635</v>
      </c>
      <c r="H267">
        <v>7.9930000000000003</v>
      </c>
      <c r="I267">
        <v>1001</v>
      </c>
      <c r="J267">
        <v>3000</v>
      </c>
    </row>
    <row r="268" spans="2:10" x14ac:dyDescent="0.25">
      <c r="B268" t="s">
        <v>397</v>
      </c>
      <c r="C268">
        <v>6.1280000000000001</v>
      </c>
      <c r="D268">
        <v>0.8327</v>
      </c>
      <c r="E268">
        <v>6.2089999999999999E-2</v>
      </c>
      <c r="F268">
        <v>4</v>
      </c>
      <c r="G268">
        <v>6</v>
      </c>
      <c r="H268">
        <v>7</v>
      </c>
      <c r="I268">
        <v>1001</v>
      </c>
      <c r="J268">
        <v>3000</v>
      </c>
    </row>
    <row r="269" spans="2:10" x14ac:dyDescent="0.25">
      <c r="B269" t="s">
        <v>398</v>
      </c>
      <c r="C269">
        <v>7.6740000000000004</v>
      </c>
      <c r="D269">
        <v>0.51680000000000004</v>
      </c>
      <c r="E269">
        <v>3.3270000000000001E-2</v>
      </c>
      <c r="F269">
        <v>7</v>
      </c>
      <c r="G269">
        <v>8</v>
      </c>
      <c r="H269">
        <v>8</v>
      </c>
      <c r="I269">
        <v>1001</v>
      </c>
      <c r="J269">
        <v>3000</v>
      </c>
    </row>
    <row r="270" spans="2:10" x14ac:dyDescent="0.25">
      <c r="B270" t="s">
        <v>399</v>
      </c>
      <c r="C270">
        <v>3.3820000000000001</v>
      </c>
      <c r="D270">
        <v>1.119</v>
      </c>
      <c r="E270">
        <v>8.2400000000000001E-2</v>
      </c>
      <c r="F270">
        <v>1</v>
      </c>
      <c r="G270">
        <v>3</v>
      </c>
      <c r="H270">
        <v>5</v>
      </c>
      <c r="I270">
        <v>1001</v>
      </c>
      <c r="J270">
        <v>3000</v>
      </c>
    </row>
    <row r="271" spans="2:10" x14ac:dyDescent="0.25">
      <c r="B271" t="s">
        <v>400</v>
      </c>
      <c r="C271">
        <v>2.2719999999999998</v>
      </c>
      <c r="D271">
        <v>1.1910000000000001</v>
      </c>
      <c r="E271">
        <v>7.8469999999999998E-2</v>
      </c>
      <c r="F271">
        <v>1</v>
      </c>
      <c r="G271">
        <v>2</v>
      </c>
      <c r="H271">
        <v>5</v>
      </c>
      <c r="I271">
        <v>1001</v>
      </c>
      <c r="J271">
        <v>3000</v>
      </c>
    </row>
    <row r="272" spans="2:10" x14ac:dyDescent="0.25">
      <c r="B272" t="s">
        <v>401</v>
      </c>
      <c r="C272">
        <v>2.6880000000000002</v>
      </c>
      <c r="D272">
        <v>1.9350000000000001</v>
      </c>
      <c r="E272">
        <v>0.14330000000000001</v>
      </c>
      <c r="F272">
        <v>1</v>
      </c>
      <c r="G272">
        <v>2</v>
      </c>
      <c r="H272">
        <v>7</v>
      </c>
      <c r="I272">
        <v>1001</v>
      </c>
      <c r="J272">
        <v>3000</v>
      </c>
    </row>
    <row r="273" spans="1:10" x14ac:dyDescent="0.25">
      <c r="B273" t="s">
        <v>674</v>
      </c>
      <c r="C273">
        <v>3.5609999999999999</v>
      </c>
      <c r="D273">
        <v>1.9650000000000001</v>
      </c>
      <c r="E273">
        <v>0.1542</v>
      </c>
      <c r="F273">
        <v>1</v>
      </c>
      <c r="G273">
        <v>3</v>
      </c>
      <c r="H273">
        <v>8</v>
      </c>
      <c r="I273">
        <v>1001</v>
      </c>
      <c r="J273">
        <v>3000</v>
      </c>
    </row>
    <row r="274" spans="1:10" x14ac:dyDescent="0.25">
      <c r="B274" t="s">
        <v>675</v>
      </c>
      <c r="C274">
        <v>5.9480000000000004</v>
      </c>
      <c r="D274">
        <v>1.9470000000000001</v>
      </c>
      <c r="E274">
        <v>0.14710000000000001</v>
      </c>
      <c r="F274">
        <v>1</v>
      </c>
      <c r="G274">
        <v>6</v>
      </c>
      <c r="H274">
        <v>8</v>
      </c>
      <c r="I274">
        <v>1001</v>
      </c>
      <c r="J274">
        <v>3000</v>
      </c>
    </row>
    <row r="275" spans="1:10" x14ac:dyDescent="0.25">
      <c r="B275" t="s">
        <v>676</v>
      </c>
      <c r="C275">
        <v>4.3470000000000004</v>
      </c>
      <c r="D275">
        <v>1.3220000000000001</v>
      </c>
      <c r="E275">
        <v>0.1046</v>
      </c>
      <c r="F275">
        <v>2</v>
      </c>
      <c r="G275">
        <v>5</v>
      </c>
      <c r="H275">
        <v>6</v>
      </c>
      <c r="I275">
        <v>1001</v>
      </c>
      <c r="J275">
        <v>3000</v>
      </c>
    </row>
    <row r="276" spans="1:10" x14ac:dyDescent="0.25">
      <c r="B276" t="s">
        <v>677</v>
      </c>
      <c r="C276">
        <v>9</v>
      </c>
      <c r="D276">
        <v>0</v>
      </c>
      <c r="E276" s="13">
        <v>1.054E-12</v>
      </c>
      <c r="F276">
        <v>9</v>
      </c>
      <c r="G276">
        <v>9</v>
      </c>
      <c r="H276">
        <v>9</v>
      </c>
      <c r="I276">
        <v>1001</v>
      </c>
      <c r="J276">
        <v>3000</v>
      </c>
    </row>
    <row r="277" spans="1:10" x14ac:dyDescent="0.25">
      <c r="B277" t="s">
        <v>483</v>
      </c>
      <c r="C277">
        <v>0.1502</v>
      </c>
      <c r="D277">
        <v>7.6219999999999996E-2</v>
      </c>
      <c r="E277">
        <v>6.2059999999999997E-3</v>
      </c>
      <c r="F277">
        <v>4.5969999999999997E-2</v>
      </c>
      <c r="G277">
        <v>0.13469999999999999</v>
      </c>
      <c r="H277">
        <v>0.32300000000000001</v>
      </c>
      <c r="I277">
        <v>1001</v>
      </c>
      <c r="J277">
        <v>3000</v>
      </c>
    </row>
    <row r="278" spans="1:10" x14ac:dyDescent="0.25">
      <c r="B278" t="s">
        <v>430</v>
      </c>
      <c r="C278">
        <v>62.09</v>
      </c>
      <c r="D278">
        <v>9.5540000000000003</v>
      </c>
      <c r="E278">
        <v>0.32629999999999998</v>
      </c>
      <c r="F278">
        <v>45.87</v>
      </c>
      <c r="G278">
        <v>61.22</v>
      </c>
      <c r="H278">
        <v>83.19</v>
      </c>
      <c r="I278">
        <v>1001</v>
      </c>
      <c r="J278">
        <v>3000</v>
      </c>
    </row>
    <row r="279" spans="1:10" x14ac:dyDescent="0.25">
      <c r="A279" t="s">
        <v>338</v>
      </c>
    </row>
    <row r="281" spans="1:10" x14ac:dyDescent="0.25">
      <c r="A281" t="s">
        <v>339</v>
      </c>
    </row>
    <row r="282" spans="1:10" x14ac:dyDescent="0.25">
      <c r="A282" t="s">
        <v>402</v>
      </c>
    </row>
    <row r="283" spans="1:10" x14ac:dyDescent="0.25">
      <c r="B283" t="s">
        <v>403</v>
      </c>
      <c r="C283" t="s">
        <v>404</v>
      </c>
      <c r="D283" t="s">
        <v>405</v>
      </c>
      <c r="E283" t="s">
        <v>339</v>
      </c>
    </row>
    <row r="284" spans="1:10" x14ac:dyDescent="0.25">
      <c r="A284" t="s">
        <v>406</v>
      </c>
      <c r="B284">
        <v>276.64499999999998</v>
      </c>
      <c r="C284">
        <v>234.404</v>
      </c>
      <c r="D284">
        <v>42.241</v>
      </c>
      <c r="E284">
        <v>318.88600000000002</v>
      </c>
    </row>
    <row r="285" spans="1:10" x14ac:dyDescent="0.25">
      <c r="A285" t="s">
        <v>407</v>
      </c>
      <c r="B285">
        <v>276.64499999999998</v>
      </c>
      <c r="C285">
        <v>234.404</v>
      </c>
      <c r="D285">
        <v>42.241</v>
      </c>
      <c r="E285">
        <v>318.88600000000002</v>
      </c>
    </row>
    <row r="286" spans="1:10" x14ac:dyDescent="0.25">
      <c r="A286" t="s">
        <v>340</v>
      </c>
    </row>
    <row r="288" spans="1:10" x14ac:dyDescent="0.25">
      <c r="A288" t="s">
        <v>408</v>
      </c>
    </row>
    <row r="290" spans="1:1" x14ac:dyDescent="0.25">
      <c r="A290" t="s">
        <v>341</v>
      </c>
    </row>
    <row r="292" spans="1:1" x14ac:dyDescent="0.25">
      <c r="A292" t="s">
        <v>409</v>
      </c>
    </row>
    <row r="294" spans="1:1" x14ac:dyDescent="0.25">
      <c r="A294" t="s">
        <v>752</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F1:H62"/>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7" spans="6:8" x14ac:dyDescent="0.25">
      <c r="F27" s="12"/>
      <c r="H27" s="12"/>
    </row>
    <row r="43" spans="6:6" x14ac:dyDescent="0.25">
      <c r="F43" s="13"/>
    </row>
    <row r="44" spans="6:6" x14ac:dyDescent="0.25">
      <c r="F44" s="13"/>
    </row>
    <row r="48" spans="6:6" x14ac:dyDescent="0.25">
      <c r="F48" s="13"/>
    </row>
    <row r="50" spans="6:6" x14ac:dyDescent="0.25">
      <c r="F50" s="13"/>
    </row>
    <row r="51" spans="6:6" x14ac:dyDescent="0.25">
      <c r="F51" s="13"/>
    </row>
    <row r="52" spans="6:6" x14ac:dyDescent="0.25">
      <c r="F52" s="13"/>
    </row>
    <row r="53" spans="6:6" x14ac:dyDescent="0.25">
      <c r="F53" s="13"/>
    </row>
    <row r="54" spans="6:6" x14ac:dyDescent="0.25">
      <c r="F54" s="13"/>
    </row>
    <row r="55" spans="6:6" x14ac:dyDescent="0.25">
      <c r="F55" s="13"/>
    </row>
    <row r="56" spans="6:6" x14ac:dyDescent="0.25">
      <c r="F56" s="13"/>
    </row>
    <row r="57" spans="6:6" x14ac:dyDescent="0.25">
      <c r="F57" s="13"/>
    </row>
    <row r="58" spans="6:6" x14ac:dyDescent="0.25">
      <c r="F58" s="13"/>
    </row>
    <row r="59" spans="6:6" x14ac:dyDescent="0.25">
      <c r="F59" s="13"/>
    </row>
    <row r="61" spans="6:6" x14ac:dyDescent="0.25">
      <c r="F61" s="13"/>
    </row>
    <row r="62" spans="6:6" x14ac:dyDescent="0.25">
      <c r="F62"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30"/>
  <sheetViews>
    <sheetView showGridLines="0" topLeftCell="A24" workbookViewId="0">
      <selection activeCell="H27" sqref="H27:H62"/>
    </sheetView>
  </sheetViews>
  <sheetFormatPr defaultRowHeight="15" x14ac:dyDescent="0.25"/>
  <sheetData>
    <row r="1" spans="1:1" hidden="1" x14ac:dyDescent="0.25">
      <c r="A1" t="s">
        <v>325</v>
      </c>
    </row>
    <row r="2" spans="1:1" hidden="1" x14ac:dyDescent="0.25">
      <c r="A2" t="s">
        <v>754</v>
      </c>
    </row>
    <row r="3" spans="1:1" hidden="1" x14ac:dyDescent="0.25">
      <c r="A3" t="s">
        <v>326</v>
      </c>
    </row>
    <row r="4" spans="1:1" hidden="1" x14ac:dyDescent="0.25">
      <c r="A4" t="s">
        <v>755</v>
      </c>
    </row>
    <row r="5" spans="1:1" hidden="1" x14ac:dyDescent="0.25">
      <c r="A5" t="s">
        <v>342</v>
      </c>
    </row>
    <row r="6" spans="1:1" hidden="1" x14ac:dyDescent="0.25">
      <c r="A6" t="s">
        <v>756</v>
      </c>
    </row>
    <row r="7" spans="1:1" hidden="1" x14ac:dyDescent="0.25">
      <c r="A7" t="s">
        <v>342</v>
      </c>
    </row>
    <row r="8" spans="1:1" hidden="1" x14ac:dyDescent="0.25">
      <c r="A8" t="s">
        <v>23</v>
      </c>
    </row>
    <row r="9" spans="1:1" hidden="1" x14ac:dyDescent="0.25">
      <c r="A9" t="s">
        <v>343</v>
      </c>
    </row>
    <row r="10" spans="1:1" hidden="1" x14ac:dyDescent="0.25">
      <c r="A10" t="s">
        <v>757</v>
      </c>
    </row>
    <row r="11" spans="1:1" hidden="1" x14ac:dyDescent="0.25">
      <c r="A11" t="s">
        <v>455</v>
      </c>
    </row>
    <row r="12" spans="1:1" hidden="1" x14ac:dyDescent="0.25">
      <c r="A12" t="s">
        <v>758</v>
      </c>
    </row>
    <row r="13" spans="1:1" hidden="1" x14ac:dyDescent="0.25">
      <c r="A13" t="s">
        <v>455</v>
      </c>
    </row>
    <row r="14" spans="1:1" hidden="1" x14ac:dyDescent="0.25">
      <c r="A14" t="s">
        <v>759</v>
      </c>
    </row>
    <row r="15" spans="1:1" hidden="1" x14ac:dyDescent="0.25">
      <c r="A15" t="s">
        <v>455</v>
      </c>
    </row>
    <row r="16" spans="1:1" hidden="1" x14ac:dyDescent="0.25">
      <c r="A16" t="s">
        <v>25</v>
      </c>
    </row>
    <row r="17" spans="1:10" hidden="1" x14ac:dyDescent="0.25">
      <c r="A17" t="s">
        <v>458</v>
      </c>
    </row>
    <row r="18" spans="1:10" hidden="1" x14ac:dyDescent="0.25">
      <c r="A18" t="s">
        <v>329</v>
      </c>
    </row>
    <row r="19" spans="1:10" hidden="1" x14ac:dyDescent="0.25">
      <c r="A19" t="s">
        <v>199</v>
      </c>
    </row>
    <row r="20" spans="1:10" hidden="1" x14ac:dyDescent="0.25">
      <c r="A20" t="s">
        <v>200</v>
      </c>
    </row>
    <row r="21" spans="1:10" hidden="1" x14ac:dyDescent="0.25">
      <c r="A21" t="s">
        <v>201</v>
      </c>
    </row>
    <row r="22" spans="1:10" hidden="1" x14ac:dyDescent="0.25">
      <c r="A22" t="s">
        <v>329</v>
      </c>
    </row>
    <row r="23" spans="1:10" hidden="1" x14ac:dyDescent="0.25">
      <c r="A23" t="s">
        <v>337</v>
      </c>
    </row>
    <row r="25" spans="1:10" x14ac:dyDescent="0.25">
      <c r="A25" t="s">
        <v>344</v>
      </c>
    </row>
    <row r="26" spans="1:10" x14ac:dyDescent="0.25">
      <c r="B26" t="s">
        <v>345</v>
      </c>
      <c r="C26" t="s">
        <v>346</v>
      </c>
      <c r="D26" t="s">
        <v>347</v>
      </c>
      <c r="E26" t="s">
        <v>348</v>
      </c>
      <c r="F26" s="12">
        <v>2.5000000000000001E-2</v>
      </c>
      <c r="G26" t="s">
        <v>349</v>
      </c>
      <c r="H26" s="12">
        <v>0.97499999999999998</v>
      </c>
      <c r="I26" t="s">
        <v>350</v>
      </c>
      <c r="J26" t="s">
        <v>351</v>
      </c>
    </row>
    <row r="27" spans="1:10" x14ac:dyDescent="0.25">
      <c r="B27" t="s">
        <v>760</v>
      </c>
      <c r="C27">
        <v>0.28670000000000001</v>
      </c>
      <c r="D27">
        <v>0.23499999999999999</v>
      </c>
      <c r="E27">
        <v>1.636E-2</v>
      </c>
      <c r="F27">
        <v>-0.217</v>
      </c>
      <c r="G27">
        <v>0.30859999999999999</v>
      </c>
      <c r="H27">
        <v>0.76470000000000005</v>
      </c>
      <c r="I27">
        <v>1001</v>
      </c>
      <c r="J27">
        <v>3000</v>
      </c>
    </row>
    <row r="28" spans="1:10" x14ac:dyDescent="0.25">
      <c r="B28" t="s">
        <v>761</v>
      </c>
      <c r="C28">
        <v>4.3790000000000003E-2</v>
      </c>
      <c r="D28">
        <v>0.65980000000000005</v>
      </c>
      <c r="E28">
        <v>5.8290000000000002E-2</v>
      </c>
      <c r="F28">
        <v>-1.0760000000000001</v>
      </c>
      <c r="G28">
        <v>-3.8640000000000001E-2</v>
      </c>
      <c r="H28">
        <v>1.2949999999999999</v>
      </c>
      <c r="I28">
        <v>1001</v>
      </c>
      <c r="J28">
        <v>3000</v>
      </c>
    </row>
    <row r="29" spans="1:10" x14ac:dyDescent="0.25">
      <c r="B29" t="s">
        <v>762</v>
      </c>
      <c r="C29">
        <v>0.25719999999999998</v>
      </c>
      <c r="D29">
        <v>99.52</v>
      </c>
      <c r="E29">
        <v>2.0859999999999999</v>
      </c>
      <c r="F29">
        <v>-196.4</v>
      </c>
      <c r="G29">
        <v>1.4970000000000001</v>
      </c>
      <c r="H29">
        <v>188.2</v>
      </c>
      <c r="I29">
        <v>1001</v>
      </c>
      <c r="J29">
        <v>3000</v>
      </c>
    </row>
    <row r="30" spans="1:10" x14ac:dyDescent="0.25">
      <c r="B30" t="s">
        <v>763</v>
      </c>
      <c r="C30">
        <v>-2.9060000000000001</v>
      </c>
      <c r="D30">
        <v>101</v>
      </c>
      <c r="E30">
        <v>1.643</v>
      </c>
      <c r="F30">
        <v>-201.8</v>
      </c>
      <c r="G30">
        <v>-1.3169999999999999</v>
      </c>
      <c r="H30">
        <v>199.9</v>
      </c>
      <c r="I30">
        <v>1001</v>
      </c>
      <c r="J30">
        <v>3000</v>
      </c>
    </row>
    <row r="31" spans="1:10" x14ac:dyDescent="0.25">
      <c r="B31" t="s">
        <v>764</v>
      </c>
      <c r="C31">
        <v>-0.85060000000000002</v>
      </c>
      <c r="D31">
        <v>100</v>
      </c>
      <c r="E31">
        <v>1.8580000000000001</v>
      </c>
      <c r="F31">
        <v>-195.7</v>
      </c>
      <c r="G31">
        <v>-0.91290000000000004</v>
      </c>
      <c r="H31">
        <v>200.6</v>
      </c>
      <c r="I31">
        <v>1001</v>
      </c>
      <c r="J31">
        <v>3000</v>
      </c>
    </row>
    <row r="32" spans="1:10" x14ac:dyDescent="0.25">
      <c r="B32" t="s">
        <v>765</v>
      </c>
      <c r="C32">
        <v>0.21629999999999999</v>
      </c>
      <c r="D32">
        <v>102</v>
      </c>
      <c r="E32">
        <v>1.762</v>
      </c>
      <c r="F32">
        <v>-195.7</v>
      </c>
      <c r="G32">
        <v>-0.50749999999999995</v>
      </c>
      <c r="H32">
        <v>193.9</v>
      </c>
      <c r="I32">
        <v>1001</v>
      </c>
      <c r="J32">
        <v>3000</v>
      </c>
    </row>
    <row r="33" spans="2:10" x14ac:dyDescent="0.25">
      <c r="B33" t="s">
        <v>766</v>
      </c>
      <c r="C33">
        <v>-0.43719999999999998</v>
      </c>
      <c r="D33">
        <v>0.31459999999999999</v>
      </c>
      <c r="E33">
        <v>2.3400000000000001E-2</v>
      </c>
      <c r="F33">
        <v>-1.1080000000000001</v>
      </c>
      <c r="G33">
        <v>-0.44790000000000002</v>
      </c>
      <c r="H33">
        <v>0.1817</v>
      </c>
      <c r="I33">
        <v>1001</v>
      </c>
      <c r="J33">
        <v>3000</v>
      </c>
    </row>
    <row r="34" spans="2:10" x14ac:dyDescent="0.25">
      <c r="B34" t="s">
        <v>767</v>
      </c>
      <c r="C34">
        <v>2.371</v>
      </c>
      <c r="D34">
        <v>0.60550000000000004</v>
      </c>
      <c r="E34">
        <v>5.0849999999999999E-2</v>
      </c>
      <c r="F34">
        <v>1.3169999999999999</v>
      </c>
      <c r="G34">
        <v>2.3050000000000002</v>
      </c>
      <c r="H34">
        <v>3.6440000000000001</v>
      </c>
      <c r="I34">
        <v>1001</v>
      </c>
      <c r="J34">
        <v>3000</v>
      </c>
    </row>
    <row r="35" spans="2:10" x14ac:dyDescent="0.25">
      <c r="B35" t="s">
        <v>768</v>
      </c>
      <c r="C35">
        <v>-1.113</v>
      </c>
      <c r="D35">
        <v>0.35899999999999999</v>
      </c>
      <c r="E35">
        <v>2.5190000000000001E-2</v>
      </c>
      <c r="F35">
        <v>-1.8580000000000001</v>
      </c>
      <c r="G35">
        <v>-1.071</v>
      </c>
      <c r="H35">
        <v>-0.48770000000000002</v>
      </c>
      <c r="I35">
        <v>1001</v>
      </c>
      <c r="J35">
        <v>3000</v>
      </c>
    </row>
    <row r="36" spans="2:10" x14ac:dyDescent="0.25">
      <c r="B36" t="s">
        <v>769</v>
      </c>
      <c r="C36">
        <v>0.16719999999999999</v>
      </c>
      <c r="D36">
        <v>100.5</v>
      </c>
      <c r="E36">
        <v>1.786</v>
      </c>
      <c r="F36">
        <v>-198.8</v>
      </c>
      <c r="G36">
        <v>1.1970000000000001</v>
      </c>
      <c r="H36">
        <v>202.8</v>
      </c>
      <c r="I36">
        <v>1001</v>
      </c>
      <c r="J36">
        <v>3000</v>
      </c>
    </row>
    <row r="37" spans="2:10" x14ac:dyDescent="0.25">
      <c r="B37" t="s">
        <v>770</v>
      </c>
      <c r="C37">
        <v>-1.3939999999999999</v>
      </c>
      <c r="D37">
        <v>0.57030000000000003</v>
      </c>
      <c r="E37">
        <v>3.5009999999999999E-2</v>
      </c>
      <c r="F37">
        <v>-2.62</v>
      </c>
      <c r="G37">
        <v>-1.4339999999999999</v>
      </c>
      <c r="H37">
        <v>-0.25309999999999999</v>
      </c>
      <c r="I37">
        <v>1001</v>
      </c>
      <c r="J37">
        <v>3000</v>
      </c>
    </row>
    <row r="38" spans="2:10" x14ac:dyDescent="0.25">
      <c r="B38" t="s">
        <v>771</v>
      </c>
      <c r="C38">
        <v>-1.681</v>
      </c>
      <c r="D38">
        <v>97.46</v>
      </c>
      <c r="E38">
        <v>2.0099999999999998</v>
      </c>
      <c r="F38">
        <v>-196.5</v>
      </c>
      <c r="G38">
        <v>-2.456</v>
      </c>
      <c r="H38">
        <v>184.4</v>
      </c>
      <c r="I38">
        <v>1001</v>
      </c>
      <c r="J38">
        <v>3000</v>
      </c>
    </row>
    <row r="39" spans="2:10" x14ac:dyDescent="0.25">
      <c r="B39" t="s">
        <v>772</v>
      </c>
      <c r="C39">
        <v>-0.3705</v>
      </c>
      <c r="D39">
        <v>0.56599999999999995</v>
      </c>
      <c r="E39">
        <v>3.6490000000000002E-2</v>
      </c>
      <c r="F39">
        <v>-1.56</v>
      </c>
      <c r="G39">
        <v>-0.29870000000000002</v>
      </c>
      <c r="H39">
        <v>0.71740000000000004</v>
      </c>
      <c r="I39">
        <v>1001</v>
      </c>
      <c r="J39">
        <v>3000</v>
      </c>
    </row>
    <row r="40" spans="2:10" x14ac:dyDescent="0.25">
      <c r="B40" t="s">
        <v>773</v>
      </c>
      <c r="C40">
        <v>-2.4750000000000001</v>
      </c>
      <c r="D40">
        <v>101.6</v>
      </c>
      <c r="E40">
        <v>1.907</v>
      </c>
      <c r="F40">
        <v>-203.6</v>
      </c>
      <c r="G40">
        <v>-4.2439999999999998</v>
      </c>
      <c r="H40">
        <v>200.8</v>
      </c>
      <c r="I40">
        <v>1001</v>
      </c>
      <c r="J40">
        <v>3000</v>
      </c>
    </row>
    <row r="41" spans="2:10" x14ac:dyDescent="0.25">
      <c r="B41" t="s">
        <v>774</v>
      </c>
      <c r="C41">
        <v>1.5569999999999999</v>
      </c>
      <c r="D41">
        <v>0.56169999999999998</v>
      </c>
      <c r="E41">
        <v>3.5290000000000002E-2</v>
      </c>
      <c r="F41">
        <v>0.45939999999999998</v>
      </c>
      <c r="G41">
        <v>1.6220000000000001</v>
      </c>
      <c r="H41">
        <v>2.6579999999999999</v>
      </c>
      <c r="I41">
        <v>1001</v>
      </c>
      <c r="J41">
        <v>3000</v>
      </c>
    </row>
    <row r="42" spans="2:10" x14ac:dyDescent="0.25">
      <c r="B42" t="s">
        <v>775</v>
      </c>
      <c r="C42">
        <v>-7.8210000000000002E-2</v>
      </c>
      <c r="D42">
        <v>0.3448</v>
      </c>
      <c r="E42">
        <v>2.189E-2</v>
      </c>
      <c r="F42">
        <v>-0.75390000000000001</v>
      </c>
      <c r="G42">
        <v>-8.8609999999999994E-2</v>
      </c>
      <c r="H42">
        <v>0.5645</v>
      </c>
      <c r="I42">
        <v>1001</v>
      </c>
      <c r="J42">
        <v>3000</v>
      </c>
    </row>
    <row r="43" spans="2:10" x14ac:dyDescent="0.25">
      <c r="B43" t="s">
        <v>776</v>
      </c>
      <c r="C43">
        <v>1.931</v>
      </c>
      <c r="D43">
        <v>98.99</v>
      </c>
      <c r="E43">
        <v>1.861</v>
      </c>
      <c r="F43">
        <v>-197.8</v>
      </c>
      <c r="G43">
        <v>1.778</v>
      </c>
      <c r="H43">
        <v>196.1</v>
      </c>
      <c r="I43">
        <v>1001</v>
      </c>
      <c r="J43">
        <v>3000</v>
      </c>
    </row>
    <row r="44" spans="2:10" x14ac:dyDescent="0.25">
      <c r="B44" t="s">
        <v>777</v>
      </c>
      <c r="C44">
        <v>-0.74490000000000001</v>
      </c>
      <c r="D44">
        <v>0.70840000000000003</v>
      </c>
      <c r="E44">
        <v>5.4210000000000001E-2</v>
      </c>
      <c r="F44">
        <v>-1.8620000000000001</v>
      </c>
      <c r="G44">
        <v>-0.76149999999999995</v>
      </c>
      <c r="H44">
        <v>0.65949999999999998</v>
      </c>
      <c r="I44">
        <v>1001</v>
      </c>
      <c r="J44">
        <v>3000</v>
      </c>
    </row>
    <row r="45" spans="2:10" x14ac:dyDescent="0.25">
      <c r="B45" t="s">
        <v>778</v>
      </c>
      <c r="C45">
        <v>-0.36959999999999998</v>
      </c>
      <c r="D45">
        <v>100.9</v>
      </c>
      <c r="E45">
        <v>1.93</v>
      </c>
      <c r="F45">
        <v>-197.4</v>
      </c>
      <c r="G45">
        <v>2.9329999999999998</v>
      </c>
      <c r="H45">
        <v>190.7</v>
      </c>
      <c r="I45">
        <v>1001</v>
      </c>
      <c r="J45">
        <v>3000</v>
      </c>
    </row>
    <row r="46" spans="2:10" x14ac:dyDescent="0.25">
      <c r="B46" t="s">
        <v>779</v>
      </c>
      <c r="C46">
        <v>-3.7670000000000002E-2</v>
      </c>
      <c r="D46">
        <v>0.44</v>
      </c>
      <c r="E46">
        <v>3.381E-2</v>
      </c>
      <c r="F46">
        <v>-0.80559999999999998</v>
      </c>
      <c r="G46">
        <v>-9.2160000000000006E-2</v>
      </c>
      <c r="H46">
        <v>0.93269999999999997</v>
      </c>
      <c r="I46">
        <v>1001</v>
      </c>
      <c r="J46">
        <v>3000</v>
      </c>
    </row>
    <row r="47" spans="2:10" x14ac:dyDescent="0.25">
      <c r="B47" t="s">
        <v>780</v>
      </c>
      <c r="C47">
        <v>-0.42549999999999999</v>
      </c>
      <c r="D47">
        <v>98.77</v>
      </c>
      <c r="E47">
        <v>1.8120000000000001</v>
      </c>
      <c r="F47">
        <v>-189.3</v>
      </c>
      <c r="G47">
        <v>-1.2969999999999999</v>
      </c>
      <c r="H47">
        <v>193.7</v>
      </c>
      <c r="I47">
        <v>1001</v>
      </c>
      <c r="J47">
        <v>3000</v>
      </c>
    </row>
    <row r="48" spans="2:10" x14ac:dyDescent="0.25">
      <c r="B48" t="s">
        <v>781</v>
      </c>
      <c r="C48">
        <v>1.66</v>
      </c>
      <c r="D48">
        <v>100.8</v>
      </c>
      <c r="E48">
        <v>1.605</v>
      </c>
      <c r="F48">
        <v>-188.1</v>
      </c>
      <c r="G48">
        <v>1.986</v>
      </c>
      <c r="H48">
        <v>201.5</v>
      </c>
      <c r="I48">
        <v>1001</v>
      </c>
      <c r="J48">
        <v>3000</v>
      </c>
    </row>
    <row r="49" spans="2:10" x14ac:dyDescent="0.25">
      <c r="B49" t="s">
        <v>782</v>
      </c>
      <c r="C49">
        <v>0.6492</v>
      </c>
      <c r="D49">
        <v>0.51770000000000005</v>
      </c>
      <c r="E49">
        <v>3.388E-2</v>
      </c>
      <c r="F49">
        <v>-0.37390000000000001</v>
      </c>
      <c r="G49">
        <v>0.66979999999999995</v>
      </c>
      <c r="H49">
        <v>1.5449999999999999</v>
      </c>
      <c r="I49">
        <v>1001</v>
      </c>
      <c r="J49">
        <v>3000</v>
      </c>
    </row>
    <row r="50" spans="2:10" x14ac:dyDescent="0.25">
      <c r="B50" t="s">
        <v>783</v>
      </c>
      <c r="C50">
        <v>2.29</v>
      </c>
      <c r="D50">
        <v>99.64</v>
      </c>
      <c r="E50">
        <v>1.831</v>
      </c>
      <c r="F50">
        <v>-198.1</v>
      </c>
      <c r="G50">
        <v>3.407</v>
      </c>
      <c r="H50">
        <v>201.8</v>
      </c>
      <c r="I50">
        <v>1001</v>
      </c>
      <c r="J50">
        <v>3000</v>
      </c>
    </row>
    <row r="51" spans="2:10" x14ac:dyDescent="0.25">
      <c r="B51" t="s">
        <v>784</v>
      </c>
      <c r="C51">
        <v>-2.4980000000000002</v>
      </c>
      <c r="D51">
        <v>98.52</v>
      </c>
      <c r="E51">
        <v>1.6910000000000001</v>
      </c>
      <c r="F51">
        <v>-194.7</v>
      </c>
      <c r="G51">
        <v>-1.992</v>
      </c>
      <c r="H51">
        <v>187.6</v>
      </c>
      <c r="I51">
        <v>1001</v>
      </c>
      <c r="J51">
        <v>3000</v>
      </c>
    </row>
    <row r="52" spans="2:10" x14ac:dyDescent="0.25">
      <c r="B52" t="s">
        <v>785</v>
      </c>
      <c r="C52">
        <v>-0.15709999999999999</v>
      </c>
      <c r="D52">
        <v>97.53</v>
      </c>
      <c r="E52">
        <v>1.7689999999999999</v>
      </c>
      <c r="F52">
        <v>-195.3</v>
      </c>
      <c r="G52">
        <v>-0.218</v>
      </c>
      <c r="H52">
        <v>185.6</v>
      </c>
      <c r="I52">
        <v>1001</v>
      </c>
      <c r="J52">
        <v>3000</v>
      </c>
    </row>
    <row r="53" spans="2:10" x14ac:dyDescent="0.25">
      <c r="B53" t="s">
        <v>786</v>
      </c>
      <c r="C53">
        <v>-1.244</v>
      </c>
      <c r="D53">
        <v>100.1</v>
      </c>
      <c r="E53">
        <v>1.98</v>
      </c>
      <c r="F53">
        <v>-196</v>
      </c>
      <c r="G53">
        <v>-1.9470000000000001</v>
      </c>
      <c r="H53">
        <v>192.4</v>
      </c>
      <c r="I53">
        <v>1001</v>
      </c>
      <c r="J53">
        <v>3000</v>
      </c>
    </row>
    <row r="54" spans="2:10" x14ac:dyDescent="0.25">
      <c r="B54" t="s">
        <v>787</v>
      </c>
      <c r="C54">
        <v>-6.4980000000000003E-3</v>
      </c>
      <c r="D54">
        <v>98.68</v>
      </c>
      <c r="E54">
        <v>1.89</v>
      </c>
      <c r="F54">
        <v>-191.9</v>
      </c>
      <c r="G54">
        <v>-0.1358</v>
      </c>
      <c r="H54">
        <v>187</v>
      </c>
      <c r="I54">
        <v>1001</v>
      </c>
      <c r="J54">
        <v>3000</v>
      </c>
    </row>
    <row r="55" spans="2:10" x14ac:dyDescent="0.25">
      <c r="B55" t="s">
        <v>788</v>
      </c>
      <c r="C55">
        <v>-1.32</v>
      </c>
      <c r="D55">
        <v>99.55</v>
      </c>
      <c r="E55">
        <v>2.012</v>
      </c>
      <c r="F55">
        <v>-190.4</v>
      </c>
      <c r="G55">
        <v>-3.105</v>
      </c>
      <c r="H55">
        <v>196.2</v>
      </c>
      <c r="I55">
        <v>1001</v>
      </c>
      <c r="J55">
        <v>3000</v>
      </c>
    </row>
    <row r="56" spans="2:10" x14ac:dyDescent="0.25">
      <c r="B56" t="s">
        <v>789</v>
      </c>
      <c r="C56">
        <v>-1.0009999999999999</v>
      </c>
      <c r="D56">
        <v>102.5</v>
      </c>
      <c r="E56">
        <v>1.7350000000000001</v>
      </c>
      <c r="F56">
        <v>-204.5</v>
      </c>
      <c r="G56">
        <v>-1.1599999999999999</v>
      </c>
      <c r="H56">
        <v>195.5</v>
      </c>
      <c r="I56">
        <v>1001</v>
      </c>
      <c r="J56">
        <v>3000</v>
      </c>
    </row>
    <row r="57" spans="2:10" x14ac:dyDescent="0.25">
      <c r="B57" t="s">
        <v>790</v>
      </c>
      <c r="C57">
        <v>3.952</v>
      </c>
      <c r="D57">
        <v>99.11</v>
      </c>
      <c r="E57">
        <v>1.8440000000000001</v>
      </c>
      <c r="F57">
        <v>-190.9</v>
      </c>
      <c r="G57">
        <v>4.3460000000000001</v>
      </c>
      <c r="H57">
        <v>194.4</v>
      </c>
      <c r="I57">
        <v>1001</v>
      </c>
      <c r="J57">
        <v>3000</v>
      </c>
    </row>
    <row r="58" spans="2:10" x14ac:dyDescent="0.25">
      <c r="B58" t="s">
        <v>791</v>
      </c>
      <c r="C58">
        <v>1.02</v>
      </c>
      <c r="D58">
        <v>99.47</v>
      </c>
      <c r="E58">
        <v>2.113</v>
      </c>
      <c r="F58">
        <v>-194.7</v>
      </c>
      <c r="G58">
        <v>-1.8360000000000001</v>
      </c>
      <c r="H58">
        <v>196.7</v>
      </c>
      <c r="I58">
        <v>1001</v>
      </c>
      <c r="J58">
        <v>3000</v>
      </c>
    </row>
    <row r="59" spans="2:10" x14ac:dyDescent="0.25">
      <c r="B59" t="s">
        <v>792</v>
      </c>
      <c r="C59">
        <v>-2.6269999999999998</v>
      </c>
      <c r="D59">
        <v>100.2</v>
      </c>
      <c r="E59">
        <v>1.611</v>
      </c>
      <c r="F59">
        <v>-194.3</v>
      </c>
      <c r="G59">
        <v>-3.573</v>
      </c>
      <c r="H59">
        <v>193.9</v>
      </c>
      <c r="I59">
        <v>1001</v>
      </c>
      <c r="J59">
        <v>3000</v>
      </c>
    </row>
    <row r="60" spans="2:10" x14ac:dyDescent="0.25">
      <c r="B60" t="s">
        <v>793</v>
      </c>
      <c r="C60">
        <v>-1.3440000000000001</v>
      </c>
      <c r="D60">
        <v>100.6</v>
      </c>
      <c r="E60">
        <v>2.0129999999999999</v>
      </c>
      <c r="F60">
        <v>-196.7</v>
      </c>
      <c r="G60">
        <v>-4.3550000000000004</v>
      </c>
      <c r="H60">
        <v>197</v>
      </c>
      <c r="I60">
        <v>1001</v>
      </c>
      <c r="J60">
        <v>3000</v>
      </c>
    </row>
    <row r="61" spans="2:10" x14ac:dyDescent="0.25">
      <c r="B61" t="s">
        <v>794</v>
      </c>
      <c r="C61">
        <v>1.532</v>
      </c>
      <c r="D61">
        <v>99.69</v>
      </c>
      <c r="E61">
        <v>1.7929999999999999</v>
      </c>
      <c r="F61">
        <v>-189.2</v>
      </c>
      <c r="G61">
        <v>1.171</v>
      </c>
      <c r="H61">
        <v>196.5</v>
      </c>
      <c r="I61">
        <v>1001</v>
      </c>
      <c r="J61">
        <v>3000</v>
      </c>
    </row>
    <row r="62" spans="2:10" x14ac:dyDescent="0.25">
      <c r="B62" t="s">
        <v>795</v>
      </c>
      <c r="C62">
        <v>1.69</v>
      </c>
      <c r="D62">
        <v>0.63880000000000003</v>
      </c>
      <c r="E62">
        <v>5.2179999999999997E-2</v>
      </c>
      <c r="F62">
        <v>0.52010000000000001</v>
      </c>
      <c r="G62">
        <v>1.5940000000000001</v>
      </c>
      <c r="H62">
        <v>3.0609999999999999</v>
      </c>
      <c r="I62">
        <v>1001</v>
      </c>
      <c r="J62">
        <v>3000</v>
      </c>
    </row>
    <row r="63" spans="2:10" x14ac:dyDescent="0.25">
      <c r="B63" t="s">
        <v>459</v>
      </c>
      <c r="C63">
        <v>0.54349999999999998</v>
      </c>
      <c r="D63">
        <v>0.74339999999999995</v>
      </c>
      <c r="E63">
        <v>1.559E-2</v>
      </c>
      <c r="F63" s="13">
        <v>6.4349999999999997E-4</v>
      </c>
      <c r="G63">
        <v>0.26029999999999998</v>
      </c>
      <c r="H63">
        <v>2.6030000000000002</v>
      </c>
      <c r="I63">
        <v>1001</v>
      </c>
      <c r="J63">
        <v>3000</v>
      </c>
    </row>
    <row r="64" spans="2:10" x14ac:dyDescent="0.25">
      <c r="B64" t="s">
        <v>460</v>
      </c>
      <c r="C64">
        <v>0.67120000000000002</v>
      </c>
      <c r="D64">
        <v>0.94350000000000001</v>
      </c>
      <c r="E64">
        <v>1.6559999999999998E-2</v>
      </c>
      <c r="F64" s="13">
        <v>7.9960000000000003E-4</v>
      </c>
      <c r="G64">
        <v>0.30809999999999998</v>
      </c>
      <c r="H64">
        <v>3.218</v>
      </c>
      <c r="I64">
        <v>1001</v>
      </c>
      <c r="J64">
        <v>3000</v>
      </c>
    </row>
    <row r="65" spans="2:10" x14ac:dyDescent="0.25">
      <c r="B65" t="s">
        <v>461</v>
      </c>
      <c r="C65">
        <v>1.0620000000000001</v>
      </c>
      <c r="D65">
        <v>1.4239999999999999</v>
      </c>
      <c r="E65">
        <v>5.262E-2</v>
      </c>
      <c r="F65" s="13">
        <v>8.8190000000000002E-4</v>
      </c>
      <c r="G65">
        <v>0.5181</v>
      </c>
      <c r="H65">
        <v>5.0469999999999997</v>
      </c>
      <c r="I65">
        <v>1001</v>
      </c>
      <c r="J65">
        <v>3000</v>
      </c>
    </row>
    <row r="66" spans="2:10" x14ac:dyDescent="0.25">
      <c r="B66" t="s">
        <v>462</v>
      </c>
      <c r="C66">
        <v>0.98550000000000004</v>
      </c>
      <c r="D66">
        <v>1.3260000000000001</v>
      </c>
      <c r="E66">
        <v>4.4490000000000002E-2</v>
      </c>
      <c r="F66" s="13">
        <v>7.3769999999999999E-4</v>
      </c>
      <c r="G66">
        <v>0.46079999999999999</v>
      </c>
      <c r="H66">
        <v>4.7859999999999996</v>
      </c>
      <c r="I66">
        <v>1001</v>
      </c>
      <c r="J66">
        <v>3000</v>
      </c>
    </row>
    <row r="67" spans="2:10" x14ac:dyDescent="0.25">
      <c r="B67" t="s">
        <v>463</v>
      </c>
      <c r="C67">
        <v>0.81230000000000002</v>
      </c>
      <c r="D67">
        <v>1.1539999999999999</v>
      </c>
      <c r="E67">
        <v>2.5219999999999999E-2</v>
      </c>
      <c r="F67">
        <v>1.1299999999999999E-3</v>
      </c>
      <c r="G67">
        <v>0.36809999999999998</v>
      </c>
      <c r="H67">
        <v>4.1379999999999999</v>
      </c>
      <c r="I67">
        <v>1001</v>
      </c>
      <c r="J67">
        <v>3000</v>
      </c>
    </row>
    <row r="68" spans="2:10" x14ac:dyDescent="0.25">
      <c r="B68" t="s">
        <v>464</v>
      </c>
      <c r="C68">
        <v>0.62009999999999998</v>
      </c>
      <c r="D68">
        <v>0.85589999999999999</v>
      </c>
      <c r="E68">
        <v>2.0039999999999999E-2</v>
      </c>
      <c r="F68" s="13">
        <v>5.8819999999999999E-4</v>
      </c>
      <c r="G68">
        <v>0.28949999999999998</v>
      </c>
      <c r="H68">
        <v>3.2149999999999999</v>
      </c>
      <c r="I68">
        <v>1001</v>
      </c>
      <c r="J68">
        <v>3000</v>
      </c>
    </row>
    <row r="69" spans="2:10" x14ac:dyDescent="0.25">
      <c r="B69" t="s">
        <v>465</v>
      </c>
      <c r="C69">
        <v>1.0840000000000001</v>
      </c>
      <c r="D69">
        <v>1.411</v>
      </c>
      <c r="E69">
        <v>4.3110000000000002E-2</v>
      </c>
      <c r="F69">
        <v>1.676E-3</v>
      </c>
      <c r="G69">
        <v>0.54500000000000004</v>
      </c>
      <c r="H69">
        <v>5.0270000000000001</v>
      </c>
      <c r="I69">
        <v>1001</v>
      </c>
      <c r="J69">
        <v>3000</v>
      </c>
    </row>
    <row r="70" spans="2:10" x14ac:dyDescent="0.25">
      <c r="B70" t="s">
        <v>466</v>
      </c>
      <c r="C70">
        <v>0.9677</v>
      </c>
      <c r="D70">
        <v>1.2629999999999999</v>
      </c>
      <c r="E70">
        <v>4.8689999999999997E-2</v>
      </c>
      <c r="F70">
        <v>1.07E-3</v>
      </c>
      <c r="G70">
        <v>0.47339999999999999</v>
      </c>
      <c r="H70">
        <v>4.5430000000000001</v>
      </c>
      <c r="I70">
        <v>1001</v>
      </c>
      <c r="J70">
        <v>3000</v>
      </c>
    </row>
    <row r="71" spans="2:10" x14ac:dyDescent="0.25">
      <c r="B71" t="s">
        <v>467</v>
      </c>
      <c r="C71">
        <v>0.8508</v>
      </c>
      <c r="D71">
        <v>1.133</v>
      </c>
      <c r="E71">
        <v>3.5680000000000003E-2</v>
      </c>
      <c r="F71">
        <v>1.0820000000000001E-3</v>
      </c>
      <c r="G71">
        <v>0.41449999999999998</v>
      </c>
      <c r="H71">
        <v>4.077</v>
      </c>
      <c r="I71">
        <v>1001</v>
      </c>
      <c r="J71">
        <v>3000</v>
      </c>
    </row>
    <row r="72" spans="2:10" x14ac:dyDescent="0.25">
      <c r="B72" t="s">
        <v>468</v>
      </c>
      <c r="C72">
        <v>0.93740000000000001</v>
      </c>
      <c r="D72">
        <v>1.248</v>
      </c>
      <c r="E72">
        <v>3.4669999999999999E-2</v>
      </c>
      <c r="F72">
        <v>1.103E-3</v>
      </c>
      <c r="G72">
        <v>0.44390000000000002</v>
      </c>
      <c r="H72">
        <v>4.5960000000000001</v>
      </c>
      <c r="I72">
        <v>1001</v>
      </c>
      <c r="J72">
        <v>3000</v>
      </c>
    </row>
    <row r="73" spans="2:10" x14ac:dyDescent="0.25">
      <c r="B73" t="s">
        <v>469</v>
      </c>
      <c r="C73">
        <v>0.66869999999999996</v>
      </c>
      <c r="D73">
        <v>0.86860000000000004</v>
      </c>
      <c r="E73">
        <v>4.0189999999999997E-2</v>
      </c>
      <c r="F73" s="13">
        <v>5.7359999999999996E-4</v>
      </c>
      <c r="G73">
        <v>0.3236</v>
      </c>
      <c r="H73">
        <v>3.274</v>
      </c>
      <c r="I73">
        <v>1001</v>
      </c>
      <c r="J73">
        <v>3000</v>
      </c>
    </row>
    <row r="74" spans="2:10" x14ac:dyDescent="0.25">
      <c r="B74" t="s">
        <v>470</v>
      </c>
      <c r="C74">
        <v>0.83499999999999996</v>
      </c>
      <c r="D74">
        <v>1.2130000000000001</v>
      </c>
      <c r="E74">
        <v>2.511E-2</v>
      </c>
      <c r="F74">
        <v>1.1739999999999999E-3</v>
      </c>
      <c r="G74">
        <v>0.38340000000000002</v>
      </c>
      <c r="H74">
        <v>4.4690000000000003</v>
      </c>
      <c r="I74">
        <v>1001</v>
      </c>
      <c r="J74">
        <v>3000</v>
      </c>
    </row>
    <row r="75" spans="2:10" x14ac:dyDescent="0.25">
      <c r="B75" t="s">
        <v>471</v>
      </c>
      <c r="C75">
        <v>0.89870000000000005</v>
      </c>
      <c r="D75">
        <v>1.3320000000000001</v>
      </c>
      <c r="E75">
        <v>4.727E-2</v>
      </c>
      <c r="F75" s="13">
        <v>7.3950000000000003E-4</v>
      </c>
      <c r="G75">
        <v>0.38790000000000002</v>
      </c>
      <c r="H75">
        <v>4.6589999999999998</v>
      </c>
      <c r="I75">
        <v>1001</v>
      </c>
      <c r="J75">
        <v>3000</v>
      </c>
    </row>
    <row r="76" spans="2:10" x14ac:dyDescent="0.25">
      <c r="B76" t="s">
        <v>472</v>
      </c>
      <c r="C76">
        <v>0.9284</v>
      </c>
      <c r="D76">
        <v>1.3620000000000001</v>
      </c>
      <c r="E76">
        <v>4.1660000000000003E-2</v>
      </c>
      <c r="F76">
        <v>1.0480000000000001E-3</v>
      </c>
      <c r="G76">
        <v>0.40179999999999999</v>
      </c>
      <c r="H76">
        <v>4.9420000000000002</v>
      </c>
      <c r="I76">
        <v>1001</v>
      </c>
      <c r="J76">
        <v>3000</v>
      </c>
    </row>
    <row r="77" spans="2:10" x14ac:dyDescent="0.25">
      <c r="B77" t="s">
        <v>473</v>
      </c>
      <c r="C77">
        <v>0.87450000000000006</v>
      </c>
      <c r="D77">
        <v>1.276</v>
      </c>
      <c r="E77">
        <v>2.802E-2</v>
      </c>
      <c r="F77" s="13">
        <v>6.9890000000000002E-4</v>
      </c>
      <c r="G77">
        <v>0.38019999999999998</v>
      </c>
      <c r="H77">
        <v>4.4489999999999998</v>
      </c>
      <c r="I77">
        <v>1001</v>
      </c>
      <c r="J77">
        <v>3000</v>
      </c>
    </row>
    <row r="78" spans="2:10" x14ac:dyDescent="0.25">
      <c r="B78" t="s">
        <v>474</v>
      </c>
      <c r="C78">
        <v>0.84809999999999997</v>
      </c>
      <c r="D78">
        <v>1.2310000000000001</v>
      </c>
      <c r="E78">
        <v>5.3719999999999997E-2</v>
      </c>
      <c r="F78" s="13">
        <v>9.4740000000000004E-4</v>
      </c>
      <c r="G78">
        <v>0.3785</v>
      </c>
      <c r="H78">
        <v>4.3689999999999998</v>
      </c>
      <c r="I78">
        <v>1001</v>
      </c>
      <c r="J78">
        <v>3000</v>
      </c>
    </row>
    <row r="79" spans="2:10" x14ac:dyDescent="0.25">
      <c r="B79" t="s">
        <v>475</v>
      </c>
      <c r="C79">
        <v>1.0089999999999999</v>
      </c>
      <c r="D79">
        <v>1.27</v>
      </c>
      <c r="E79">
        <v>4.0410000000000001E-2</v>
      </c>
      <c r="F79" s="13">
        <v>9.2440000000000003E-4</v>
      </c>
      <c r="G79">
        <v>0.53759999999999997</v>
      </c>
      <c r="H79">
        <v>4.4109999999999996</v>
      </c>
      <c r="I79">
        <v>1001</v>
      </c>
      <c r="J79">
        <v>3000</v>
      </c>
    </row>
    <row r="80" spans="2:10" x14ac:dyDescent="0.25">
      <c r="B80" t="s">
        <v>476</v>
      </c>
      <c r="C80">
        <v>1.353</v>
      </c>
      <c r="D80">
        <v>1.607</v>
      </c>
      <c r="E80">
        <v>3.8080000000000003E-2</v>
      </c>
      <c r="F80">
        <v>1.91E-3</v>
      </c>
      <c r="G80">
        <v>0.7681</v>
      </c>
      <c r="H80">
        <v>5.7930000000000001</v>
      </c>
      <c r="I80">
        <v>1001</v>
      </c>
      <c r="J80">
        <v>3000</v>
      </c>
    </row>
    <row r="81" spans="2:10" x14ac:dyDescent="0.25">
      <c r="B81" t="s">
        <v>477</v>
      </c>
      <c r="C81">
        <v>0.68679999999999997</v>
      </c>
      <c r="D81">
        <v>1.0149999999999999</v>
      </c>
      <c r="E81">
        <v>1.9939999999999999E-2</v>
      </c>
      <c r="F81" s="13">
        <v>4.5879999999999998E-4</v>
      </c>
      <c r="G81">
        <v>0.30070000000000002</v>
      </c>
      <c r="H81">
        <v>3.5609999999999999</v>
      </c>
      <c r="I81">
        <v>1001</v>
      </c>
      <c r="J81">
        <v>3000</v>
      </c>
    </row>
    <row r="82" spans="2:10" x14ac:dyDescent="0.25">
      <c r="B82" t="s">
        <v>478</v>
      </c>
      <c r="C82">
        <v>0.65329999999999999</v>
      </c>
      <c r="D82">
        <v>0.93710000000000004</v>
      </c>
      <c r="E82">
        <v>2.512E-2</v>
      </c>
      <c r="F82" s="13">
        <v>9.2420000000000002E-4</v>
      </c>
      <c r="G82">
        <v>0.30559999999999998</v>
      </c>
      <c r="H82">
        <v>3.2490000000000001</v>
      </c>
      <c r="I82">
        <v>1001</v>
      </c>
      <c r="J82">
        <v>3000</v>
      </c>
    </row>
    <row r="83" spans="2:10" x14ac:dyDescent="0.25">
      <c r="B83" t="s">
        <v>479</v>
      </c>
      <c r="C83">
        <v>1.4370000000000001</v>
      </c>
      <c r="D83">
        <v>1.7030000000000001</v>
      </c>
      <c r="E83">
        <v>6.4939999999999998E-2</v>
      </c>
      <c r="F83">
        <v>2.196E-3</v>
      </c>
      <c r="G83">
        <v>0.83919999999999995</v>
      </c>
      <c r="H83">
        <v>6.1130000000000004</v>
      </c>
      <c r="I83">
        <v>1001</v>
      </c>
      <c r="J83">
        <v>3000</v>
      </c>
    </row>
    <row r="84" spans="2:10" x14ac:dyDescent="0.25">
      <c r="B84" t="s">
        <v>480</v>
      </c>
      <c r="C84">
        <v>1.2809999999999999</v>
      </c>
      <c r="D84">
        <v>1.631</v>
      </c>
      <c r="E84">
        <v>5.1560000000000002E-2</v>
      </c>
      <c r="F84">
        <v>1.0169999999999999E-3</v>
      </c>
      <c r="G84">
        <v>0.67649999999999999</v>
      </c>
      <c r="H84">
        <v>5.8730000000000002</v>
      </c>
      <c r="I84">
        <v>1001</v>
      </c>
      <c r="J84">
        <v>3000</v>
      </c>
    </row>
    <row r="85" spans="2:10" x14ac:dyDescent="0.25">
      <c r="B85" t="s">
        <v>481</v>
      </c>
      <c r="C85">
        <v>0.78059999999999996</v>
      </c>
      <c r="D85">
        <v>1.115</v>
      </c>
      <c r="E85">
        <v>2.726E-2</v>
      </c>
      <c r="F85" s="13">
        <v>5.9650000000000002E-4</v>
      </c>
      <c r="G85">
        <v>0.33850000000000002</v>
      </c>
      <c r="H85">
        <v>4.0860000000000003</v>
      </c>
      <c r="I85">
        <v>1001</v>
      </c>
      <c r="J85">
        <v>3000</v>
      </c>
    </row>
    <row r="86" spans="2:10" x14ac:dyDescent="0.25">
      <c r="B86" t="s">
        <v>482</v>
      </c>
      <c r="C86">
        <v>0.79369999999999996</v>
      </c>
      <c r="D86">
        <v>1.101</v>
      </c>
      <c r="E86">
        <v>3.245E-2</v>
      </c>
      <c r="F86" s="13">
        <v>8.543E-4</v>
      </c>
      <c r="G86">
        <v>0.37419999999999998</v>
      </c>
      <c r="H86">
        <v>4.01</v>
      </c>
      <c r="I86">
        <v>1001</v>
      </c>
      <c r="J86">
        <v>3000</v>
      </c>
    </row>
    <row r="87" spans="2:10" x14ac:dyDescent="0.25">
      <c r="B87" t="s">
        <v>555</v>
      </c>
      <c r="C87">
        <v>0.77170000000000005</v>
      </c>
      <c r="D87">
        <v>1.125</v>
      </c>
      <c r="E87">
        <v>3.2070000000000001E-2</v>
      </c>
      <c r="F87" s="13">
        <v>7.7700000000000002E-4</v>
      </c>
      <c r="G87">
        <v>0.32519999999999999</v>
      </c>
      <c r="H87">
        <v>4.1139999999999999</v>
      </c>
      <c r="I87">
        <v>1001</v>
      </c>
      <c r="J87">
        <v>3000</v>
      </c>
    </row>
    <row r="88" spans="2:10" x14ac:dyDescent="0.25">
      <c r="B88" t="s">
        <v>556</v>
      </c>
      <c r="C88">
        <v>0.69899999999999995</v>
      </c>
      <c r="D88">
        <v>0.99209999999999998</v>
      </c>
      <c r="E88">
        <v>2.6270000000000002E-2</v>
      </c>
      <c r="F88" s="13">
        <v>9.2909999999999998E-4</v>
      </c>
      <c r="G88">
        <v>0.30580000000000002</v>
      </c>
      <c r="H88">
        <v>3.3660000000000001</v>
      </c>
      <c r="I88">
        <v>1001</v>
      </c>
      <c r="J88">
        <v>3000</v>
      </c>
    </row>
    <row r="89" spans="2:10" x14ac:dyDescent="0.25">
      <c r="B89" t="s">
        <v>557</v>
      </c>
      <c r="C89">
        <v>0.5393</v>
      </c>
      <c r="D89">
        <v>0.78920000000000001</v>
      </c>
      <c r="E89">
        <v>1.8749999999999999E-2</v>
      </c>
      <c r="F89" s="13">
        <v>4.2410000000000001E-4</v>
      </c>
      <c r="G89">
        <v>0.23880000000000001</v>
      </c>
      <c r="H89">
        <v>2.7389999999999999</v>
      </c>
      <c r="I89">
        <v>1001</v>
      </c>
      <c r="J89">
        <v>3000</v>
      </c>
    </row>
    <row r="90" spans="2:10" x14ac:dyDescent="0.25">
      <c r="B90" t="s">
        <v>558</v>
      </c>
      <c r="C90">
        <v>0.64049999999999996</v>
      </c>
      <c r="D90">
        <v>0.94289999999999996</v>
      </c>
      <c r="E90">
        <v>1.7229999999999999E-2</v>
      </c>
      <c r="F90" s="13">
        <v>6.3869999999999997E-4</v>
      </c>
      <c r="G90">
        <v>0.27439999999999998</v>
      </c>
      <c r="H90">
        <v>3.4169999999999998</v>
      </c>
      <c r="I90">
        <v>1001</v>
      </c>
      <c r="J90">
        <v>3000</v>
      </c>
    </row>
    <row r="91" spans="2:10" x14ac:dyDescent="0.25">
      <c r="B91" t="s">
        <v>559</v>
      </c>
      <c r="C91">
        <v>0.88390000000000002</v>
      </c>
      <c r="D91">
        <v>1.149</v>
      </c>
      <c r="E91">
        <v>5.2040000000000003E-2</v>
      </c>
      <c r="F91">
        <v>1.09E-3</v>
      </c>
      <c r="G91">
        <v>0.43759999999999999</v>
      </c>
      <c r="H91">
        <v>4.2779999999999996</v>
      </c>
      <c r="I91">
        <v>1001</v>
      </c>
      <c r="J91">
        <v>3000</v>
      </c>
    </row>
    <row r="92" spans="2:10" x14ac:dyDescent="0.25">
      <c r="B92" t="s">
        <v>560</v>
      </c>
      <c r="C92">
        <v>0.89129999999999998</v>
      </c>
      <c r="D92">
        <v>1.226</v>
      </c>
      <c r="E92">
        <v>2.8119999999999999E-2</v>
      </c>
      <c r="F92" s="13">
        <v>5.0969999999999998E-4</v>
      </c>
      <c r="G92">
        <v>0.43099999999999999</v>
      </c>
      <c r="H92">
        <v>4.2880000000000003</v>
      </c>
      <c r="I92">
        <v>1001</v>
      </c>
      <c r="J92">
        <v>3000</v>
      </c>
    </row>
    <row r="93" spans="2:10" x14ac:dyDescent="0.25">
      <c r="B93" t="s">
        <v>561</v>
      </c>
      <c r="C93">
        <v>0.84660000000000002</v>
      </c>
      <c r="D93">
        <v>1.2629999999999999</v>
      </c>
      <c r="E93">
        <v>3.8580000000000003E-2</v>
      </c>
      <c r="F93" s="13">
        <v>8.5499999999999997E-4</v>
      </c>
      <c r="G93">
        <v>0.37319999999999998</v>
      </c>
      <c r="H93">
        <v>4.2699999999999996</v>
      </c>
      <c r="I93">
        <v>1001</v>
      </c>
      <c r="J93">
        <v>3000</v>
      </c>
    </row>
    <row r="94" spans="2:10" x14ac:dyDescent="0.25">
      <c r="B94" t="s">
        <v>562</v>
      </c>
      <c r="C94">
        <v>0.9022</v>
      </c>
      <c r="D94">
        <v>1.24</v>
      </c>
      <c r="E94">
        <v>3.8339999999999999E-2</v>
      </c>
      <c r="F94" s="13">
        <v>9.8449999999999992E-4</v>
      </c>
      <c r="G94">
        <v>0.41370000000000001</v>
      </c>
      <c r="H94">
        <v>4.516</v>
      </c>
      <c r="I94">
        <v>1001</v>
      </c>
      <c r="J94">
        <v>3000</v>
      </c>
    </row>
    <row r="95" spans="2:10" x14ac:dyDescent="0.25">
      <c r="B95" t="s">
        <v>563</v>
      </c>
      <c r="C95">
        <v>0.51800000000000002</v>
      </c>
      <c r="D95">
        <v>0.7228</v>
      </c>
      <c r="E95">
        <v>1.457E-2</v>
      </c>
      <c r="F95" s="13">
        <v>3.5740000000000001E-4</v>
      </c>
      <c r="G95">
        <v>0.23980000000000001</v>
      </c>
      <c r="H95">
        <v>2.64</v>
      </c>
      <c r="I95">
        <v>1001</v>
      </c>
      <c r="J95">
        <v>3000</v>
      </c>
    </row>
    <row r="96" spans="2:10" x14ac:dyDescent="0.25">
      <c r="B96" t="s">
        <v>564</v>
      </c>
      <c r="C96">
        <v>0.63639999999999997</v>
      </c>
      <c r="D96">
        <v>0.9</v>
      </c>
      <c r="E96">
        <v>1.864E-2</v>
      </c>
      <c r="F96" s="13">
        <v>8.2560000000000001E-4</v>
      </c>
      <c r="G96">
        <v>0.28510000000000002</v>
      </c>
      <c r="H96">
        <v>3.2269999999999999</v>
      </c>
      <c r="I96">
        <v>1001</v>
      </c>
      <c r="J96">
        <v>3000</v>
      </c>
    </row>
    <row r="97" spans="2:10" x14ac:dyDescent="0.25">
      <c r="B97" t="s">
        <v>565</v>
      </c>
      <c r="C97">
        <v>0.88009999999999999</v>
      </c>
      <c r="D97">
        <v>1.044</v>
      </c>
      <c r="E97">
        <v>2.606E-2</v>
      </c>
      <c r="F97">
        <v>1.0950000000000001E-3</v>
      </c>
      <c r="G97">
        <v>0.51270000000000004</v>
      </c>
      <c r="H97">
        <v>3.746</v>
      </c>
      <c r="I97">
        <v>1001</v>
      </c>
      <c r="J97">
        <v>3000</v>
      </c>
    </row>
    <row r="98" spans="2:10" x14ac:dyDescent="0.25">
      <c r="B98" t="s">
        <v>566</v>
      </c>
      <c r="C98">
        <v>1.173</v>
      </c>
      <c r="D98">
        <v>1.55</v>
      </c>
      <c r="E98">
        <v>3.5490000000000001E-2</v>
      </c>
      <c r="F98">
        <v>1.341E-3</v>
      </c>
      <c r="G98">
        <v>0.58089999999999997</v>
      </c>
      <c r="H98">
        <v>5.5289999999999999</v>
      </c>
      <c r="I98">
        <v>1001</v>
      </c>
      <c r="J98">
        <v>3000</v>
      </c>
    </row>
    <row r="99" spans="2:10" x14ac:dyDescent="0.25">
      <c r="B99" t="s">
        <v>567</v>
      </c>
      <c r="C99">
        <v>0.87080000000000002</v>
      </c>
      <c r="D99">
        <v>1.2330000000000001</v>
      </c>
      <c r="E99">
        <v>3.1289999999999998E-2</v>
      </c>
      <c r="F99">
        <v>1.0349999999999999E-3</v>
      </c>
      <c r="G99">
        <v>0.40910000000000002</v>
      </c>
      <c r="H99">
        <v>4.4370000000000003</v>
      </c>
      <c r="I99">
        <v>1001</v>
      </c>
      <c r="J99">
        <v>3000</v>
      </c>
    </row>
    <row r="100" spans="2:10" x14ac:dyDescent="0.25">
      <c r="B100" t="s">
        <v>568</v>
      </c>
      <c r="C100">
        <v>0.93189999999999995</v>
      </c>
      <c r="D100">
        <v>1.2150000000000001</v>
      </c>
      <c r="E100">
        <v>4.4580000000000002E-2</v>
      </c>
      <c r="F100">
        <v>1.0679999999999999E-3</v>
      </c>
      <c r="G100">
        <v>0.45119999999999999</v>
      </c>
      <c r="H100">
        <v>4.4740000000000002</v>
      </c>
      <c r="I100">
        <v>1001</v>
      </c>
      <c r="J100">
        <v>3000</v>
      </c>
    </row>
    <row r="101" spans="2:10" x14ac:dyDescent="0.25">
      <c r="B101" t="s">
        <v>569</v>
      </c>
      <c r="C101">
        <v>0.78190000000000004</v>
      </c>
      <c r="D101">
        <v>1.1160000000000001</v>
      </c>
      <c r="E101">
        <v>2.827E-2</v>
      </c>
      <c r="F101" s="13">
        <v>6.0650000000000005E-4</v>
      </c>
      <c r="G101">
        <v>0.33450000000000002</v>
      </c>
      <c r="H101">
        <v>3.956</v>
      </c>
      <c r="I101">
        <v>1001</v>
      </c>
      <c r="J101">
        <v>3000</v>
      </c>
    </row>
    <row r="102" spans="2:10" x14ac:dyDescent="0.25">
      <c r="B102" t="s">
        <v>570</v>
      </c>
      <c r="C102">
        <v>0.76639999999999997</v>
      </c>
      <c r="D102">
        <v>1.119</v>
      </c>
      <c r="E102">
        <v>3.3450000000000001E-2</v>
      </c>
      <c r="F102" s="13">
        <v>5.4180000000000005E-4</v>
      </c>
      <c r="G102">
        <v>0.3342</v>
      </c>
      <c r="H102">
        <v>4.165</v>
      </c>
      <c r="I102">
        <v>1001</v>
      </c>
      <c r="J102">
        <v>3000</v>
      </c>
    </row>
    <row r="103" spans="2:10" x14ac:dyDescent="0.25">
      <c r="B103" t="s">
        <v>571</v>
      </c>
      <c r="C103">
        <v>2.0710000000000002</v>
      </c>
      <c r="D103">
        <v>2.3159999999999998</v>
      </c>
      <c r="E103">
        <v>6.148E-2</v>
      </c>
      <c r="F103">
        <v>4.9240000000000004E-3</v>
      </c>
      <c r="G103">
        <v>1.248</v>
      </c>
      <c r="H103">
        <v>8.4090000000000007</v>
      </c>
      <c r="I103">
        <v>1001</v>
      </c>
      <c r="J103">
        <v>3000</v>
      </c>
    </row>
    <row r="104" spans="2:10" x14ac:dyDescent="0.25">
      <c r="B104" t="s">
        <v>572</v>
      </c>
      <c r="C104">
        <v>3.8410000000000002</v>
      </c>
      <c r="D104">
        <v>1.9710000000000001</v>
      </c>
      <c r="E104">
        <v>6.7070000000000005E-2</v>
      </c>
      <c r="F104">
        <v>0.99019999999999997</v>
      </c>
      <c r="G104">
        <v>3.5449999999999999</v>
      </c>
      <c r="H104">
        <v>8.4990000000000006</v>
      </c>
      <c r="I104">
        <v>1001</v>
      </c>
      <c r="J104">
        <v>3000</v>
      </c>
    </row>
    <row r="105" spans="2:10" x14ac:dyDescent="0.25">
      <c r="B105" t="s">
        <v>573</v>
      </c>
      <c r="C105">
        <v>0.65569999999999995</v>
      </c>
      <c r="D105">
        <v>0.88339999999999996</v>
      </c>
      <c r="E105">
        <v>1.5339999999999999E-2</v>
      </c>
      <c r="F105" s="13">
        <v>8.0320000000000001E-4</v>
      </c>
      <c r="G105">
        <v>0.31879999999999997</v>
      </c>
      <c r="H105">
        <v>3.27</v>
      </c>
      <c r="I105">
        <v>1001</v>
      </c>
      <c r="J105">
        <v>3000</v>
      </c>
    </row>
    <row r="106" spans="2:10" x14ac:dyDescent="0.25">
      <c r="B106" t="s">
        <v>574</v>
      </c>
      <c r="C106">
        <v>0.59840000000000004</v>
      </c>
      <c r="D106">
        <v>0.79490000000000005</v>
      </c>
      <c r="E106">
        <v>1.519E-2</v>
      </c>
      <c r="F106" s="13">
        <v>5.2720000000000002E-4</v>
      </c>
      <c r="G106">
        <v>0.29089999999999999</v>
      </c>
      <c r="H106">
        <v>2.9209999999999998</v>
      </c>
      <c r="I106">
        <v>1001</v>
      </c>
      <c r="J106">
        <v>3000</v>
      </c>
    </row>
    <row r="107" spans="2:10" x14ac:dyDescent="0.25">
      <c r="B107" t="s">
        <v>575</v>
      </c>
      <c r="C107">
        <v>0.89670000000000005</v>
      </c>
      <c r="D107">
        <v>1.3169999999999999</v>
      </c>
      <c r="E107">
        <v>4.5850000000000002E-2</v>
      </c>
      <c r="F107" s="13">
        <v>7.3450000000000002E-4</v>
      </c>
      <c r="G107">
        <v>0.39200000000000002</v>
      </c>
      <c r="H107">
        <v>4.5149999999999997</v>
      </c>
      <c r="I107">
        <v>1001</v>
      </c>
      <c r="J107">
        <v>3000</v>
      </c>
    </row>
    <row r="108" spans="2:10" x14ac:dyDescent="0.25">
      <c r="B108" t="s">
        <v>576</v>
      </c>
      <c r="C108">
        <v>0.89100000000000001</v>
      </c>
      <c r="D108">
        <v>1.2290000000000001</v>
      </c>
      <c r="E108">
        <v>3.5209999999999998E-2</v>
      </c>
      <c r="F108" s="13">
        <v>8.899E-4</v>
      </c>
      <c r="G108">
        <v>0.40899999999999997</v>
      </c>
      <c r="H108">
        <v>4.43</v>
      </c>
      <c r="I108">
        <v>1001</v>
      </c>
      <c r="J108">
        <v>3000</v>
      </c>
    </row>
    <row r="109" spans="2:10" x14ac:dyDescent="0.25">
      <c r="B109" t="s">
        <v>577</v>
      </c>
      <c r="C109">
        <v>1.083</v>
      </c>
      <c r="D109">
        <v>1.5149999999999999</v>
      </c>
      <c r="E109">
        <v>6.5509999999999999E-2</v>
      </c>
      <c r="F109" s="13">
        <v>9.7389999999999998E-4</v>
      </c>
      <c r="G109">
        <v>0.5101</v>
      </c>
      <c r="H109">
        <v>5.31</v>
      </c>
      <c r="I109">
        <v>1001</v>
      </c>
      <c r="J109">
        <v>3000</v>
      </c>
    </row>
    <row r="110" spans="2:10" x14ac:dyDescent="0.25">
      <c r="B110" t="s">
        <v>578</v>
      </c>
      <c r="C110">
        <v>1.0149999999999999</v>
      </c>
      <c r="D110">
        <v>1.4630000000000001</v>
      </c>
      <c r="E110">
        <v>3.6749999999999998E-2</v>
      </c>
      <c r="F110" s="13">
        <v>7.8249999999999999E-4</v>
      </c>
      <c r="G110">
        <v>0.4536</v>
      </c>
      <c r="H110">
        <v>5.1769999999999996</v>
      </c>
      <c r="I110">
        <v>1001</v>
      </c>
      <c r="J110">
        <v>3000</v>
      </c>
    </row>
    <row r="111" spans="2:10" x14ac:dyDescent="0.25">
      <c r="B111" t="s">
        <v>579</v>
      </c>
      <c r="C111">
        <v>0.66169999999999995</v>
      </c>
      <c r="D111">
        <v>0.91920000000000002</v>
      </c>
      <c r="E111">
        <v>2.1930000000000002E-2</v>
      </c>
      <c r="F111" s="13">
        <v>4.9129999999999996E-4</v>
      </c>
      <c r="G111">
        <v>0.30080000000000001</v>
      </c>
      <c r="H111">
        <v>3.399</v>
      </c>
      <c r="I111">
        <v>1001</v>
      </c>
      <c r="J111">
        <v>3000</v>
      </c>
    </row>
    <row r="112" spans="2:10" x14ac:dyDescent="0.25">
      <c r="B112" t="s">
        <v>580</v>
      </c>
      <c r="C112">
        <v>0.66969999999999996</v>
      </c>
      <c r="D112">
        <v>0.96209999999999996</v>
      </c>
      <c r="E112">
        <v>2.001E-2</v>
      </c>
      <c r="F112" s="13">
        <v>4.1199999999999999E-4</v>
      </c>
      <c r="G112">
        <v>0.28770000000000001</v>
      </c>
      <c r="H112">
        <v>3.472</v>
      </c>
      <c r="I112">
        <v>1001</v>
      </c>
      <c r="J112">
        <v>3000</v>
      </c>
    </row>
    <row r="113" spans="2:10" x14ac:dyDescent="0.25">
      <c r="B113" t="s">
        <v>581</v>
      </c>
      <c r="C113">
        <v>0.63</v>
      </c>
      <c r="D113">
        <v>0.91500000000000004</v>
      </c>
      <c r="E113">
        <v>2.3720000000000001E-2</v>
      </c>
      <c r="F113" s="13">
        <v>7.3899999999999997E-4</v>
      </c>
      <c r="G113">
        <v>0.29099999999999998</v>
      </c>
      <c r="H113">
        <v>3.161</v>
      </c>
      <c r="I113">
        <v>1001</v>
      </c>
      <c r="J113">
        <v>3000</v>
      </c>
    </row>
    <row r="114" spans="2:10" x14ac:dyDescent="0.25">
      <c r="B114" t="s">
        <v>582</v>
      </c>
      <c r="C114">
        <v>0.73399999999999999</v>
      </c>
      <c r="D114">
        <v>1.08</v>
      </c>
      <c r="E114">
        <v>2.503E-2</v>
      </c>
      <c r="F114" s="13">
        <v>4.5209999999999998E-4</v>
      </c>
      <c r="G114">
        <v>0.31950000000000001</v>
      </c>
      <c r="H114">
        <v>3.76</v>
      </c>
      <c r="I114">
        <v>1001</v>
      </c>
      <c r="J114">
        <v>3000</v>
      </c>
    </row>
    <row r="115" spans="2:10" x14ac:dyDescent="0.25">
      <c r="B115" t="s">
        <v>583</v>
      </c>
      <c r="C115">
        <v>0.98899999999999999</v>
      </c>
      <c r="D115">
        <v>1.4379999999999999</v>
      </c>
      <c r="E115">
        <v>5.1650000000000001E-2</v>
      </c>
      <c r="F115" s="13">
        <v>7.4209999999999999E-4</v>
      </c>
      <c r="G115">
        <v>0.43809999999999999</v>
      </c>
      <c r="H115">
        <v>5.1440000000000001</v>
      </c>
      <c r="I115">
        <v>1001</v>
      </c>
      <c r="J115">
        <v>3000</v>
      </c>
    </row>
    <row r="116" spans="2:10" x14ac:dyDescent="0.25">
      <c r="B116" t="s">
        <v>584</v>
      </c>
      <c r="C116">
        <v>1.091</v>
      </c>
      <c r="D116">
        <v>1.5469999999999999</v>
      </c>
      <c r="E116">
        <v>7.0190000000000002E-2</v>
      </c>
      <c r="F116">
        <v>1.08E-3</v>
      </c>
      <c r="G116">
        <v>0.4793</v>
      </c>
      <c r="H116">
        <v>5.5830000000000002</v>
      </c>
      <c r="I116">
        <v>1001</v>
      </c>
      <c r="J116">
        <v>3000</v>
      </c>
    </row>
    <row r="117" spans="2:10" x14ac:dyDescent="0.25">
      <c r="B117" t="s">
        <v>585</v>
      </c>
      <c r="C117">
        <v>1.069</v>
      </c>
      <c r="D117">
        <v>1.4550000000000001</v>
      </c>
      <c r="E117">
        <v>4.3380000000000002E-2</v>
      </c>
      <c r="F117">
        <v>1.2700000000000001E-3</v>
      </c>
      <c r="G117">
        <v>0.5081</v>
      </c>
      <c r="H117">
        <v>5.383</v>
      </c>
      <c r="I117">
        <v>1001</v>
      </c>
      <c r="J117">
        <v>3000</v>
      </c>
    </row>
    <row r="118" spans="2:10" x14ac:dyDescent="0.25">
      <c r="B118" t="s">
        <v>586</v>
      </c>
      <c r="C118">
        <v>1.1080000000000001</v>
      </c>
      <c r="D118">
        <v>1.4139999999999999</v>
      </c>
      <c r="E118">
        <v>4.8770000000000001E-2</v>
      </c>
      <c r="F118" s="13">
        <v>9.5279999999999996E-4</v>
      </c>
      <c r="G118">
        <v>0.5907</v>
      </c>
      <c r="H118">
        <v>5.0819999999999999</v>
      </c>
      <c r="I118">
        <v>1001</v>
      </c>
      <c r="J118">
        <v>3000</v>
      </c>
    </row>
    <row r="119" spans="2:10" x14ac:dyDescent="0.25">
      <c r="B119" t="s">
        <v>587</v>
      </c>
      <c r="C119">
        <v>0.7752</v>
      </c>
      <c r="D119">
        <v>1.1180000000000001</v>
      </c>
      <c r="E119">
        <v>2.477E-2</v>
      </c>
      <c r="F119" s="13">
        <v>9.1350000000000003E-4</v>
      </c>
      <c r="G119">
        <v>0.3453</v>
      </c>
      <c r="H119">
        <v>3.8969999999999998</v>
      </c>
      <c r="I119">
        <v>1001</v>
      </c>
      <c r="J119">
        <v>3000</v>
      </c>
    </row>
    <row r="120" spans="2:10" x14ac:dyDescent="0.25">
      <c r="B120" t="s">
        <v>588</v>
      </c>
      <c r="C120">
        <v>0.60540000000000005</v>
      </c>
      <c r="D120">
        <v>0.86180000000000001</v>
      </c>
      <c r="E120">
        <v>2.4639999999999999E-2</v>
      </c>
      <c r="F120" s="13">
        <v>7.381E-4</v>
      </c>
      <c r="G120">
        <v>0.28079999999999999</v>
      </c>
      <c r="H120">
        <v>3.117</v>
      </c>
      <c r="I120">
        <v>1001</v>
      </c>
      <c r="J120">
        <v>3000</v>
      </c>
    </row>
    <row r="121" spans="2:10" x14ac:dyDescent="0.25">
      <c r="B121" t="s">
        <v>589</v>
      </c>
      <c r="C121">
        <v>1.0509999999999999</v>
      </c>
      <c r="D121">
        <v>1.294</v>
      </c>
      <c r="E121">
        <v>3.78E-2</v>
      </c>
      <c r="F121">
        <v>1.758E-3</v>
      </c>
      <c r="G121">
        <v>0.55820000000000003</v>
      </c>
      <c r="H121">
        <v>4.5469999999999997</v>
      </c>
      <c r="I121">
        <v>1001</v>
      </c>
      <c r="J121">
        <v>3000</v>
      </c>
    </row>
    <row r="122" spans="2:10" x14ac:dyDescent="0.25">
      <c r="B122" t="s">
        <v>590</v>
      </c>
      <c r="C122">
        <v>1.1439999999999999</v>
      </c>
      <c r="D122">
        <v>1.4339999999999999</v>
      </c>
      <c r="E122">
        <v>3.628E-2</v>
      </c>
      <c r="F122">
        <v>1.521E-3</v>
      </c>
      <c r="G122">
        <v>0.62250000000000005</v>
      </c>
      <c r="H122">
        <v>5.109</v>
      </c>
      <c r="I122">
        <v>1001</v>
      </c>
      <c r="J122">
        <v>3000</v>
      </c>
    </row>
    <row r="123" spans="2:10" x14ac:dyDescent="0.25">
      <c r="B123" t="s">
        <v>591</v>
      </c>
      <c r="C123">
        <v>0.7389</v>
      </c>
      <c r="D123">
        <v>1.0720000000000001</v>
      </c>
      <c r="E123">
        <v>2.562E-2</v>
      </c>
      <c r="F123" s="13">
        <v>9.6469999999999998E-4</v>
      </c>
      <c r="G123">
        <v>0.3125</v>
      </c>
      <c r="H123">
        <v>3.9809999999999999</v>
      </c>
      <c r="I123">
        <v>1001</v>
      </c>
      <c r="J123">
        <v>3000</v>
      </c>
    </row>
    <row r="124" spans="2:10" x14ac:dyDescent="0.25">
      <c r="B124" t="s">
        <v>592</v>
      </c>
      <c r="C124">
        <v>0.93059999999999998</v>
      </c>
      <c r="D124">
        <v>1.224</v>
      </c>
      <c r="E124">
        <v>3.1890000000000002E-2</v>
      </c>
      <c r="F124">
        <v>1.119E-3</v>
      </c>
      <c r="G124">
        <v>0.44419999999999998</v>
      </c>
      <c r="H124">
        <v>4.3440000000000003</v>
      </c>
      <c r="I124">
        <v>1001</v>
      </c>
      <c r="J124">
        <v>3000</v>
      </c>
    </row>
    <row r="125" spans="2:10" x14ac:dyDescent="0.25">
      <c r="B125" t="s">
        <v>593</v>
      </c>
      <c r="C125">
        <v>0.98819999999999997</v>
      </c>
      <c r="D125">
        <v>1.2809999999999999</v>
      </c>
      <c r="E125">
        <v>4.4839999999999998E-2</v>
      </c>
      <c r="F125" s="13">
        <v>9.7360000000000003E-4</v>
      </c>
      <c r="G125">
        <v>0.48830000000000001</v>
      </c>
      <c r="H125">
        <v>4.6470000000000002</v>
      </c>
      <c r="I125">
        <v>1001</v>
      </c>
      <c r="J125">
        <v>3000</v>
      </c>
    </row>
    <row r="126" spans="2:10" x14ac:dyDescent="0.25">
      <c r="B126" t="s">
        <v>594</v>
      </c>
      <c r="C126">
        <v>0.64510000000000001</v>
      </c>
      <c r="D126">
        <v>0.99929999999999997</v>
      </c>
      <c r="E126">
        <v>3.2579999999999998E-2</v>
      </c>
      <c r="F126" s="13">
        <v>5.9389999999999996E-4</v>
      </c>
      <c r="G126">
        <v>0.27329999999999999</v>
      </c>
      <c r="H126">
        <v>3.4750000000000001</v>
      </c>
      <c r="I126">
        <v>1001</v>
      </c>
      <c r="J126">
        <v>3000</v>
      </c>
    </row>
    <row r="127" spans="2:10" x14ac:dyDescent="0.25">
      <c r="B127" t="s">
        <v>595</v>
      </c>
      <c r="C127">
        <v>1.097</v>
      </c>
      <c r="D127">
        <v>1.397</v>
      </c>
      <c r="E127">
        <v>4.9880000000000001E-2</v>
      </c>
      <c r="F127">
        <v>1.4599999999999999E-3</v>
      </c>
      <c r="G127">
        <v>0.58309999999999995</v>
      </c>
      <c r="H127">
        <v>4.976</v>
      </c>
      <c r="I127">
        <v>1001</v>
      </c>
      <c r="J127">
        <v>3000</v>
      </c>
    </row>
    <row r="128" spans="2:10" x14ac:dyDescent="0.25">
      <c r="B128" t="s">
        <v>596</v>
      </c>
      <c r="C128">
        <v>1.0069999999999999</v>
      </c>
      <c r="D128">
        <v>1.399</v>
      </c>
      <c r="E128">
        <v>3.1949999999999999E-2</v>
      </c>
      <c r="F128" s="13">
        <v>7.1960000000000004E-4</v>
      </c>
      <c r="G128">
        <v>0.50129999999999997</v>
      </c>
      <c r="H128">
        <v>5.0990000000000002</v>
      </c>
      <c r="I128">
        <v>1001</v>
      </c>
      <c r="J128">
        <v>3000</v>
      </c>
    </row>
    <row r="129" spans="1:10" x14ac:dyDescent="0.25">
      <c r="B129" t="s">
        <v>430</v>
      </c>
      <c r="C129">
        <v>61.3</v>
      </c>
      <c r="D129">
        <v>9.8019999999999996</v>
      </c>
      <c r="E129">
        <v>0.33479999999999999</v>
      </c>
      <c r="F129">
        <v>43.35</v>
      </c>
      <c r="G129">
        <v>60.85</v>
      </c>
      <c r="H129">
        <v>82.05</v>
      </c>
      <c r="I129">
        <v>1001</v>
      </c>
      <c r="J129">
        <v>3000</v>
      </c>
    </row>
    <row r="130" spans="1:10" x14ac:dyDescent="0.25">
      <c r="A130" t="s">
        <v>796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217</v>
      </c>
    </row>
    <row r="4" spans="5:22" ht="15.75" thickBot="1" x14ac:dyDescent="0.3"/>
    <row r="5" spans="5:22" ht="15.75" thickBot="1" x14ac:dyDescent="0.3">
      <c r="E5" s="275" t="s">
        <v>151</v>
      </c>
      <c r="F5" s="276"/>
      <c r="G5" s="276"/>
      <c r="H5" s="277"/>
    </row>
    <row r="6" spans="5:22" ht="45.75" thickBot="1" x14ac:dyDescent="0.3">
      <c r="E6" s="38" t="s">
        <v>156</v>
      </c>
      <c r="F6" s="34" t="s">
        <v>229</v>
      </c>
      <c r="G6" s="34" t="s">
        <v>148</v>
      </c>
      <c r="H6" s="35" t="s">
        <v>149</v>
      </c>
      <c r="V6" t="s">
        <v>229</v>
      </c>
    </row>
    <row r="7" spans="5:22" ht="30" x14ac:dyDescent="0.25">
      <c r="E7" s="36" t="s">
        <v>146</v>
      </c>
      <c r="F7" s="31">
        <v>-4.0599999999999996</v>
      </c>
      <c r="G7" s="31">
        <v>-4.2699999999999996</v>
      </c>
      <c r="H7" s="1">
        <v>-3.93</v>
      </c>
      <c r="V7" t="s">
        <v>148</v>
      </c>
    </row>
    <row r="8" spans="5:22" x14ac:dyDescent="0.25">
      <c r="E8" s="36" t="s">
        <v>150</v>
      </c>
      <c r="F8" s="31">
        <v>-3.02</v>
      </c>
      <c r="G8" s="31">
        <v>-3.23</v>
      </c>
      <c r="H8" s="1">
        <v>-2.89</v>
      </c>
      <c r="M8" t="s">
        <v>84</v>
      </c>
      <c r="V8" t="s">
        <v>149</v>
      </c>
    </row>
    <row r="9" spans="5:22" ht="15.75" thickBot="1" x14ac:dyDescent="0.3">
      <c r="E9" s="37" t="s">
        <v>147</v>
      </c>
      <c r="F9" s="32">
        <v>-2.13</v>
      </c>
      <c r="G9" s="32">
        <v>-2.34</v>
      </c>
      <c r="H9" s="2">
        <v>-2.0099999999999998</v>
      </c>
    </row>
    <row r="10" spans="5:22" ht="15.75" thickBot="1" x14ac:dyDescent="0.3"/>
    <row r="11" spans="5:22" ht="15.75" thickBot="1" x14ac:dyDescent="0.3">
      <c r="E11" s="275" t="s">
        <v>153</v>
      </c>
      <c r="F11" s="276"/>
      <c r="G11" s="276"/>
      <c r="H11" s="277"/>
    </row>
    <row r="12" spans="5:22" ht="45.75" thickBot="1" x14ac:dyDescent="0.3">
      <c r="E12" s="38" t="s">
        <v>156</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152</v>
      </c>
      <c r="F17" s="276"/>
      <c r="G17" s="276"/>
      <c r="H17" s="277"/>
    </row>
    <row r="18" spans="5:8" ht="45.75" thickBot="1" x14ac:dyDescent="0.3">
      <c r="E18" s="38" t="s">
        <v>156</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B52"/>
  <sheetViews>
    <sheetView showGridLines="0" showRowColHeaders="0" topLeftCell="A2" workbookViewId="0">
      <selection activeCell="A2" sqref="A2:P2"/>
    </sheetView>
  </sheetViews>
  <sheetFormatPr defaultRowHeight="15" x14ac:dyDescent="0.25"/>
  <sheetData>
    <row r="1" spans="1:28" x14ac:dyDescent="0.25">
      <c r="A1" s="19" t="s">
        <v>0</v>
      </c>
      <c r="B1" s="19" t="s">
        <v>1</v>
      </c>
      <c r="C1" s="19" t="s">
        <v>2</v>
      </c>
      <c r="D1" s="19" t="s">
        <v>3</v>
      </c>
      <c r="E1" s="19" t="s">
        <v>44</v>
      </c>
      <c r="F1" s="19" t="s">
        <v>45</v>
      </c>
      <c r="G1" s="19" t="s">
        <v>46</v>
      </c>
      <c r="H1" s="19" t="s">
        <v>47</v>
      </c>
      <c r="I1" s="19" t="s">
        <v>255</v>
      </c>
      <c r="J1" s="19" t="s">
        <v>256</v>
      </c>
      <c r="K1" s="19" t="s">
        <v>496</v>
      </c>
      <c r="L1" s="19" t="s">
        <v>497</v>
      </c>
      <c r="M1" s="19" t="s">
        <v>498</v>
      </c>
      <c r="N1" s="19" t="s">
        <v>499</v>
      </c>
      <c r="O1" s="19" t="s">
        <v>500</v>
      </c>
      <c r="P1" s="19" t="s">
        <v>501</v>
      </c>
      <c r="Q1" s="19" t="s">
        <v>502</v>
      </c>
      <c r="R1" s="19" t="s">
        <v>503</v>
      </c>
      <c r="S1" s="19" t="s">
        <v>4</v>
      </c>
      <c r="T1" s="16" t="s">
        <v>5</v>
      </c>
      <c r="U1" s="16" t="s">
        <v>48</v>
      </c>
      <c r="V1" s="16" t="s">
        <v>49</v>
      </c>
      <c r="W1" s="16" t="s">
        <v>257</v>
      </c>
      <c r="X1" s="16" t="s">
        <v>504</v>
      </c>
      <c r="Y1" t="s">
        <v>505</v>
      </c>
      <c r="Z1" t="s">
        <v>506</v>
      </c>
      <c r="AA1" t="s">
        <v>507</v>
      </c>
      <c r="AB1" t="s">
        <v>6</v>
      </c>
    </row>
    <row r="2" spans="1:28" x14ac:dyDescent="0.25">
      <c r="A2" s="19">
        <v>0.42857142857142855</v>
      </c>
      <c r="B2" s="19">
        <v>9.4285714285714288</v>
      </c>
      <c r="C2" s="19">
        <v>0.5714285714285714</v>
      </c>
      <c r="D2" s="19">
        <v>12.571428571428571</v>
      </c>
      <c r="E2" s="19" t="s">
        <v>16</v>
      </c>
      <c r="F2" s="19">
        <v>1</v>
      </c>
      <c r="G2" s="19" t="s">
        <v>16</v>
      </c>
      <c r="H2" s="19">
        <v>1</v>
      </c>
      <c r="I2" s="19" t="s">
        <v>16</v>
      </c>
      <c r="J2" s="19">
        <v>1</v>
      </c>
      <c r="K2" s="19" t="s">
        <v>16</v>
      </c>
      <c r="L2" s="19">
        <v>1</v>
      </c>
      <c r="M2" s="19" t="s">
        <v>16</v>
      </c>
      <c r="N2" s="19">
        <v>1</v>
      </c>
      <c r="O2" s="19" t="s">
        <v>16</v>
      </c>
      <c r="P2" s="19">
        <v>1</v>
      </c>
      <c r="Q2" s="19" t="s">
        <v>16</v>
      </c>
      <c r="R2" s="19">
        <v>1</v>
      </c>
      <c r="S2" s="19">
        <v>1</v>
      </c>
      <c r="T2" s="16">
        <v>3</v>
      </c>
      <c r="U2" s="16" t="s">
        <v>16</v>
      </c>
      <c r="V2" s="16" t="s">
        <v>16</v>
      </c>
      <c r="W2" s="16" t="s">
        <v>16</v>
      </c>
      <c r="X2" s="16" t="s">
        <v>16</v>
      </c>
      <c r="Y2" t="s">
        <v>16</v>
      </c>
      <c r="Z2" t="s">
        <v>16</v>
      </c>
      <c r="AA2" t="s">
        <v>16</v>
      </c>
      <c r="AB2">
        <v>2</v>
      </c>
    </row>
    <row r="3" spans="1:28" x14ac:dyDescent="0.25">
      <c r="A3" s="19">
        <v>25</v>
      </c>
      <c r="B3" s="19">
        <v>80</v>
      </c>
      <c r="C3" s="19">
        <v>20</v>
      </c>
      <c r="D3" s="19">
        <v>80</v>
      </c>
      <c r="E3" s="19" t="s">
        <v>16</v>
      </c>
      <c r="F3" s="19">
        <v>1</v>
      </c>
      <c r="G3" s="19" t="s">
        <v>16</v>
      </c>
      <c r="H3" s="19">
        <v>1</v>
      </c>
      <c r="I3" s="19" t="s">
        <v>16</v>
      </c>
      <c r="J3" s="19">
        <v>1</v>
      </c>
      <c r="K3" s="19" t="s">
        <v>16</v>
      </c>
      <c r="L3" s="19">
        <v>1</v>
      </c>
      <c r="M3" s="19" t="s">
        <v>16</v>
      </c>
      <c r="N3" s="19">
        <v>1</v>
      </c>
      <c r="O3" s="19" t="s">
        <v>16</v>
      </c>
      <c r="P3" s="19">
        <v>1</v>
      </c>
      <c r="Q3" s="19" t="s">
        <v>16</v>
      </c>
      <c r="R3" s="19">
        <v>1</v>
      </c>
      <c r="S3" s="19">
        <v>3</v>
      </c>
      <c r="T3" s="16">
        <v>4</v>
      </c>
      <c r="U3" s="16" t="s">
        <v>16</v>
      </c>
      <c r="V3" s="16" t="s">
        <v>16</v>
      </c>
      <c r="W3" s="16" t="s">
        <v>16</v>
      </c>
      <c r="X3" s="16" t="s">
        <v>16</v>
      </c>
      <c r="Y3" t="s">
        <v>16</v>
      </c>
      <c r="Z3" t="s">
        <v>16</v>
      </c>
      <c r="AA3" t="s">
        <v>16</v>
      </c>
      <c r="AB3">
        <v>2</v>
      </c>
    </row>
    <row r="4" spans="1:28" x14ac:dyDescent="0.25">
      <c r="A4" s="19">
        <v>13</v>
      </c>
      <c r="B4" s="19">
        <v>34</v>
      </c>
      <c r="C4" s="19">
        <v>6</v>
      </c>
      <c r="D4" s="19">
        <v>36</v>
      </c>
      <c r="E4" s="19" t="s">
        <v>16</v>
      </c>
      <c r="F4" s="19">
        <v>1</v>
      </c>
      <c r="G4" s="19" t="s">
        <v>16</v>
      </c>
      <c r="H4" s="19">
        <v>1</v>
      </c>
      <c r="I4" s="19" t="s">
        <v>16</v>
      </c>
      <c r="J4" s="19">
        <v>1</v>
      </c>
      <c r="K4" s="19" t="s">
        <v>16</v>
      </c>
      <c r="L4" s="19">
        <v>1</v>
      </c>
      <c r="M4" s="19" t="s">
        <v>16</v>
      </c>
      <c r="N4" s="19">
        <v>1</v>
      </c>
      <c r="O4" s="19" t="s">
        <v>16</v>
      </c>
      <c r="P4" s="19">
        <v>1</v>
      </c>
      <c r="Q4" s="19" t="s">
        <v>16</v>
      </c>
      <c r="R4" s="19">
        <v>1</v>
      </c>
      <c r="S4" s="19">
        <v>2</v>
      </c>
      <c r="T4" s="16">
        <v>3</v>
      </c>
      <c r="U4" s="16" t="s">
        <v>16</v>
      </c>
      <c r="V4" s="16" t="s">
        <v>16</v>
      </c>
      <c r="W4" s="16" t="s">
        <v>16</v>
      </c>
      <c r="X4" s="16" t="s">
        <v>16</v>
      </c>
      <c r="Y4" t="s">
        <v>16</v>
      </c>
      <c r="Z4" t="s">
        <v>16</v>
      </c>
      <c r="AA4" t="s">
        <v>16</v>
      </c>
      <c r="AB4">
        <v>2</v>
      </c>
    </row>
    <row r="5" spans="1:28" x14ac:dyDescent="0.25">
      <c r="A5" s="19">
        <v>19</v>
      </c>
      <c r="B5" s="19">
        <v>50</v>
      </c>
      <c r="C5" s="19">
        <v>6</v>
      </c>
      <c r="D5" s="19">
        <v>52</v>
      </c>
      <c r="E5" s="19" t="s">
        <v>16</v>
      </c>
      <c r="F5" s="19">
        <v>1</v>
      </c>
      <c r="G5" s="19" t="s">
        <v>16</v>
      </c>
      <c r="H5" s="19">
        <v>1</v>
      </c>
      <c r="I5" s="19" t="s">
        <v>16</v>
      </c>
      <c r="J5" s="19">
        <v>1</v>
      </c>
      <c r="K5" s="19" t="s">
        <v>16</v>
      </c>
      <c r="L5" s="19">
        <v>1</v>
      </c>
      <c r="M5" s="19" t="s">
        <v>16</v>
      </c>
      <c r="N5" s="19">
        <v>1</v>
      </c>
      <c r="O5" s="19" t="s">
        <v>16</v>
      </c>
      <c r="P5" s="19">
        <v>1</v>
      </c>
      <c r="Q5" s="19" t="s">
        <v>16</v>
      </c>
      <c r="R5" s="19">
        <v>1</v>
      </c>
      <c r="S5" s="19">
        <v>2</v>
      </c>
      <c r="T5" s="16">
        <v>3</v>
      </c>
      <c r="U5" s="16" t="s">
        <v>16</v>
      </c>
      <c r="V5" s="16" t="s">
        <v>16</v>
      </c>
      <c r="W5" s="16" t="s">
        <v>16</v>
      </c>
      <c r="X5" s="16" t="s">
        <v>16</v>
      </c>
      <c r="Y5" t="s">
        <v>16</v>
      </c>
      <c r="Z5" t="s">
        <v>16</v>
      </c>
      <c r="AA5" t="s">
        <v>16</v>
      </c>
      <c r="AB5">
        <v>2</v>
      </c>
    </row>
    <row r="6" spans="1:28" x14ac:dyDescent="0.25">
      <c r="A6" s="19">
        <v>5</v>
      </c>
      <c r="B6" s="19">
        <v>15</v>
      </c>
      <c r="C6" s="19">
        <v>6</v>
      </c>
      <c r="D6" s="19">
        <v>15</v>
      </c>
      <c r="E6" s="19" t="s">
        <v>16</v>
      </c>
      <c r="F6" s="19">
        <v>1</v>
      </c>
      <c r="G6" s="19" t="s">
        <v>16</v>
      </c>
      <c r="H6" s="19">
        <v>1</v>
      </c>
      <c r="I6" s="19" t="s">
        <v>16</v>
      </c>
      <c r="J6" s="19">
        <v>1</v>
      </c>
      <c r="K6" s="19" t="s">
        <v>16</v>
      </c>
      <c r="L6" s="19">
        <v>1</v>
      </c>
      <c r="M6" s="19" t="s">
        <v>16</v>
      </c>
      <c r="N6" s="19">
        <v>1</v>
      </c>
      <c r="O6" s="19" t="s">
        <v>16</v>
      </c>
      <c r="P6" s="19">
        <v>1</v>
      </c>
      <c r="Q6" s="19" t="s">
        <v>16</v>
      </c>
      <c r="R6" s="19">
        <v>1</v>
      </c>
      <c r="S6" s="19">
        <v>1</v>
      </c>
      <c r="T6" s="16">
        <v>3</v>
      </c>
      <c r="U6" s="16" t="s">
        <v>16</v>
      </c>
      <c r="V6" s="16" t="s">
        <v>16</v>
      </c>
      <c r="W6" s="16" t="s">
        <v>16</v>
      </c>
      <c r="X6" s="16" t="s">
        <v>16</v>
      </c>
      <c r="Y6" t="s">
        <v>16</v>
      </c>
      <c r="Z6" t="s">
        <v>16</v>
      </c>
      <c r="AA6" t="s">
        <v>16</v>
      </c>
      <c r="AB6">
        <v>2</v>
      </c>
    </row>
    <row r="7" spans="1:28" x14ac:dyDescent="0.25">
      <c r="A7" s="19">
        <v>2</v>
      </c>
      <c r="B7" s="19">
        <v>20</v>
      </c>
      <c r="C7" s="19">
        <v>9</v>
      </c>
      <c r="D7" s="19">
        <v>19</v>
      </c>
      <c r="E7" s="19" t="s">
        <v>16</v>
      </c>
      <c r="F7" s="19">
        <v>1</v>
      </c>
      <c r="G7" s="19" t="s">
        <v>16</v>
      </c>
      <c r="H7" s="19">
        <v>1</v>
      </c>
      <c r="I7" s="19" t="s">
        <v>16</v>
      </c>
      <c r="J7" s="19">
        <v>1</v>
      </c>
      <c r="K7" s="19" t="s">
        <v>16</v>
      </c>
      <c r="L7" s="19">
        <v>1</v>
      </c>
      <c r="M7" s="19" t="s">
        <v>16</v>
      </c>
      <c r="N7" s="19">
        <v>1</v>
      </c>
      <c r="O7" s="19" t="s">
        <v>16</v>
      </c>
      <c r="P7" s="19">
        <v>1</v>
      </c>
      <c r="Q7" s="19" t="s">
        <v>16</v>
      </c>
      <c r="R7" s="19">
        <v>1</v>
      </c>
      <c r="S7" s="19">
        <v>1</v>
      </c>
      <c r="T7" s="16">
        <v>9</v>
      </c>
      <c r="U7" s="16" t="s">
        <v>16</v>
      </c>
      <c r="V7" s="16" t="s">
        <v>16</v>
      </c>
      <c r="W7" s="16" t="s">
        <v>16</v>
      </c>
      <c r="X7" s="16" t="s">
        <v>16</v>
      </c>
      <c r="Y7" t="s">
        <v>16</v>
      </c>
      <c r="Z7" t="s">
        <v>16</v>
      </c>
      <c r="AA7" t="s">
        <v>16</v>
      </c>
      <c r="AB7">
        <v>2</v>
      </c>
    </row>
    <row r="8" spans="1:28" x14ac:dyDescent="0.25">
      <c r="A8" s="19">
        <v>12</v>
      </c>
      <c r="B8" s="19">
        <v>32</v>
      </c>
      <c r="C8" s="19">
        <v>9</v>
      </c>
      <c r="D8" s="19">
        <v>31</v>
      </c>
      <c r="E8" s="19" t="s">
        <v>16</v>
      </c>
      <c r="F8" s="19">
        <v>1</v>
      </c>
      <c r="G8" s="19" t="s">
        <v>16</v>
      </c>
      <c r="H8" s="19">
        <v>1</v>
      </c>
      <c r="I8" s="19" t="s">
        <v>16</v>
      </c>
      <c r="J8" s="19">
        <v>1</v>
      </c>
      <c r="K8" s="19" t="s">
        <v>16</v>
      </c>
      <c r="L8" s="19">
        <v>1</v>
      </c>
      <c r="M8" s="19" t="s">
        <v>16</v>
      </c>
      <c r="N8" s="19">
        <v>1</v>
      </c>
      <c r="O8" s="19" t="s">
        <v>16</v>
      </c>
      <c r="P8" s="19">
        <v>1</v>
      </c>
      <c r="Q8" s="19" t="s">
        <v>16</v>
      </c>
      <c r="R8" s="19">
        <v>1</v>
      </c>
      <c r="S8" s="19">
        <v>2</v>
      </c>
      <c r="T8" s="16">
        <v>7</v>
      </c>
      <c r="U8" s="16" t="s">
        <v>16</v>
      </c>
      <c r="V8" s="16" t="s">
        <v>16</v>
      </c>
      <c r="W8" s="16" t="s">
        <v>16</v>
      </c>
      <c r="X8" s="16" t="s">
        <v>16</v>
      </c>
      <c r="Y8" t="s">
        <v>16</v>
      </c>
      <c r="Z8" t="s">
        <v>16</v>
      </c>
      <c r="AA8" t="s">
        <v>16</v>
      </c>
      <c r="AB8">
        <v>2</v>
      </c>
    </row>
    <row r="9" spans="1:28" x14ac:dyDescent="0.25">
      <c r="A9" s="19">
        <v>13</v>
      </c>
      <c r="B9" s="19">
        <v>35</v>
      </c>
      <c r="C9" s="19">
        <v>5</v>
      </c>
      <c r="D9" s="19">
        <v>35</v>
      </c>
      <c r="E9" s="19" t="s">
        <v>16</v>
      </c>
      <c r="F9" s="19">
        <v>1</v>
      </c>
      <c r="G9" s="19" t="s">
        <v>16</v>
      </c>
      <c r="H9" s="19">
        <v>1</v>
      </c>
      <c r="I9" s="19" t="s">
        <v>16</v>
      </c>
      <c r="J9" s="19">
        <v>1</v>
      </c>
      <c r="K9" s="19" t="s">
        <v>16</v>
      </c>
      <c r="L9" s="19">
        <v>1</v>
      </c>
      <c r="M9" s="19" t="s">
        <v>16</v>
      </c>
      <c r="N9" s="19">
        <v>1</v>
      </c>
      <c r="O9" s="19" t="s">
        <v>16</v>
      </c>
      <c r="P9" s="19">
        <v>1</v>
      </c>
      <c r="Q9" s="19" t="s">
        <v>16</v>
      </c>
      <c r="R9" s="19">
        <v>1</v>
      </c>
      <c r="S9" s="19">
        <v>2</v>
      </c>
      <c r="T9" s="16">
        <v>5</v>
      </c>
      <c r="U9" s="16" t="s">
        <v>16</v>
      </c>
      <c r="V9" s="16" t="s">
        <v>16</v>
      </c>
      <c r="W9" s="16" t="s">
        <v>16</v>
      </c>
      <c r="X9" s="16" t="s">
        <v>16</v>
      </c>
      <c r="Y9" t="s">
        <v>16</v>
      </c>
      <c r="Z9" t="s">
        <v>16</v>
      </c>
      <c r="AA9" t="s">
        <v>16</v>
      </c>
      <c r="AB9">
        <v>2</v>
      </c>
    </row>
    <row r="10" spans="1:28" x14ac:dyDescent="0.25">
      <c r="A10" s="19">
        <v>1</v>
      </c>
      <c r="B10" s="19">
        <v>18</v>
      </c>
      <c r="C10" s="19">
        <v>3</v>
      </c>
      <c r="D10" s="19">
        <v>18</v>
      </c>
      <c r="E10" s="19" t="s">
        <v>16</v>
      </c>
      <c r="F10" s="19">
        <v>1</v>
      </c>
      <c r="G10" s="19" t="s">
        <v>16</v>
      </c>
      <c r="H10" s="19">
        <v>1</v>
      </c>
      <c r="I10" s="19" t="s">
        <v>16</v>
      </c>
      <c r="J10" s="19">
        <v>1</v>
      </c>
      <c r="K10" s="19" t="s">
        <v>16</v>
      </c>
      <c r="L10" s="19">
        <v>1</v>
      </c>
      <c r="M10" s="19" t="s">
        <v>16</v>
      </c>
      <c r="N10" s="19">
        <v>1</v>
      </c>
      <c r="O10" s="19" t="s">
        <v>16</v>
      </c>
      <c r="P10" s="19">
        <v>1</v>
      </c>
      <c r="Q10" s="19" t="s">
        <v>16</v>
      </c>
      <c r="R10" s="19">
        <v>1</v>
      </c>
      <c r="S10" s="19">
        <v>3</v>
      </c>
      <c r="T10" s="16">
        <v>8</v>
      </c>
      <c r="U10" s="16" t="s">
        <v>16</v>
      </c>
      <c r="V10" s="16" t="s">
        <v>16</v>
      </c>
      <c r="W10" s="16" t="s">
        <v>16</v>
      </c>
      <c r="X10" s="16" t="s">
        <v>16</v>
      </c>
      <c r="Y10" t="s">
        <v>16</v>
      </c>
      <c r="Z10" t="s">
        <v>16</v>
      </c>
      <c r="AA10" t="s">
        <v>16</v>
      </c>
      <c r="AB10">
        <v>2</v>
      </c>
    </row>
    <row r="11" spans="1:28" x14ac:dyDescent="0.25">
      <c r="A11" s="19">
        <v>7</v>
      </c>
      <c r="B11" s="19">
        <v>50</v>
      </c>
      <c r="C11" s="19">
        <v>6</v>
      </c>
      <c r="D11" s="19">
        <v>55</v>
      </c>
      <c r="E11" s="19" t="s">
        <v>16</v>
      </c>
      <c r="F11" s="19">
        <v>1</v>
      </c>
      <c r="G11" s="19" t="s">
        <v>16</v>
      </c>
      <c r="H11" s="19">
        <v>1</v>
      </c>
      <c r="I11" s="19" t="s">
        <v>16</v>
      </c>
      <c r="J11" s="19">
        <v>1</v>
      </c>
      <c r="K11" s="19" t="s">
        <v>16</v>
      </c>
      <c r="L11" s="19">
        <v>1</v>
      </c>
      <c r="M11" s="19" t="s">
        <v>16</v>
      </c>
      <c r="N11" s="19">
        <v>1</v>
      </c>
      <c r="O11" s="19" t="s">
        <v>16</v>
      </c>
      <c r="P11" s="19">
        <v>1</v>
      </c>
      <c r="Q11" s="19" t="s">
        <v>16</v>
      </c>
      <c r="R11" s="19">
        <v>1</v>
      </c>
      <c r="S11" s="19">
        <v>1</v>
      </c>
      <c r="T11" s="16">
        <v>8</v>
      </c>
      <c r="U11" s="16" t="s">
        <v>16</v>
      </c>
      <c r="V11" s="16" t="s">
        <v>16</v>
      </c>
      <c r="W11" s="16" t="s">
        <v>16</v>
      </c>
      <c r="X11" s="16" t="s">
        <v>16</v>
      </c>
      <c r="Y11" t="s">
        <v>16</v>
      </c>
      <c r="Z11" t="s">
        <v>16</v>
      </c>
      <c r="AA11" t="s">
        <v>16</v>
      </c>
      <c r="AB11">
        <v>2</v>
      </c>
    </row>
    <row r="12" spans="1:28" x14ac:dyDescent="0.25">
      <c r="A12" s="19">
        <v>25</v>
      </c>
      <c r="B12" s="19">
        <v>81</v>
      </c>
      <c r="C12" s="19">
        <v>25</v>
      </c>
      <c r="D12" s="19">
        <v>94</v>
      </c>
      <c r="E12" s="19" t="s">
        <v>16</v>
      </c>
      <c r="F12" s="19">
        <v>1</v>
      </c>
      <c r="G12" s="19" t="s">
        <v>16</v>
      </c>
      <c r="H12" s="19">
        <v>1</v>
      </c>
      <c r="I12" s="19" t="s">
        <v>16</v>
      </c>
      <c r="J12" s="19">
        <v>1</v>
      </c>
      <c r="K12" s="19" t="s">
        <v>16</v>
      </c>
      <c r="L12" s="19">
        <v>1</v>
      </c>
      <c r="M12" s="19" t="s">
        <v>16</v>
      </c>
      <c r="N12" s="19">
        <v>1</v>
      </c>
      <c r="O12" s="19" t="s">
        <v>16</v>
      </c>
      <c r="P12" s="19">
        <v>1</v>
      </c>
      <c r="Q12" s="19" t="s">
        <v>16</v>
      </c>
      <c r="R12" s="19">
        <v>1</v>
      </c>
      <c r="S12" s="19">
        <v>1</v>
      </c>
      <c r="T12" s="16">
        <v>2</v>
      </c>
      <c r="U12" s="16" t="s">
        <v>16</v>
      </c>
      <c r="V12" s="16" t="s">
        <v>16</v>
      </c>
      <c r="W12" s="16" t="s">
        <v>16</v>
      </c>
      <c r="X12" s="16" t="s">
        <v>16</v>
      </c>
      <c r="Y12" t="s">
        <v>16</v>
      </c>
      <c r="Z12" t="s">
        <v>16</v>
      </c>
      <c r="AA12" t="s">
        <v>16</v>
      </c>
      <c r="AB12">
        <v>2</v>
      </c>
    </row>
    <row r="13" spans="1:28" x14ac:dyDescent="0.25">
      <c r="A13" s="19">
        <v>17</v>
      </c>
      <c r="B13" s="19">
        <v>69</v>
      </c>
      <c r="C13" s="19">
        <v>14</v>
      </c>
      <c r="D13" s="19">
        <v>71</v>
      </c>
      <c r="E13" s="19" t="s">
        <v>16</v>
      </c>
      <c r="F13" s="19">
        <v>1</v>
      </c>
      <c r="G13" s="19" t="s">
        <v>16</v>
      </c>
      <c r="H13" s="19">
        <v>1</v>
      </c>
      <c r="I13" s="19" t="s">
        <v>16</v>
      </c>
      <c r="J13" s="19">
        <v>1</v>
      </c>
      <c r="K13" s="19" t="s">
        <v>16</v>
      </c>
      <c r="L13" s="19">
        <v>1</v>
      </c>
      <c r="M13" s="19" t="s">
        <v>16</v>
      </c>
      <c r="N13" s="19">
        <v>1</v>
      </c>
      <c r="O13" s="19" t="s">
        <v>16</v>
      </c>
      <c r="P13" s="19">
        <v>1</v>
      </c>
      <c r="Q13" s="19" t="s">
        <v>16</v>
      </c>
      <c r="R13" s="19">
        <v>1</v>
      </c>
      <c r="S13" s="19">
        <v>1</v>
      </c>
      <c r="T13" s="16">
        <v>8</v>
      </c>
      <c r="U13" s="16" t="s">
        <v>16</v>
      </c>
      <c r="V13" s="16" t="s">
        <v>16</v>
      </c>
      <c r="W13" s="16" t="s">
        <v>16</v>
      </c>
      <c r="X13" s="16" t="s">
        <v>16</v>
      </c>
      <c r="Y13" t="s">
        <v>16</v>
      </c>
      <c r="Z13" t="s">
        <v>16</v>
      </c>
      <c r="AA13" t="s">
        <v>16</v>
      </c>
      <c r="AB13">
        <v>2</v>
      </c>
    </row>
    <row r="14" spans="1:28" x14ac:dyDescent="0.25">
      <c r="A14" s="19">
        <v>3</v>
      </c>
      <c r="B14" s="19">
        <v>11</v>
      </c>
      <c r="C14" s="19">
        <v>11</v>
      </c>
      <c r="D14" s="19">
        <v>13</v>
      </c>
      <c r="E14" s="19" t="s">
        <v>16</v>
      </c>
      <c r="F14" s="19">
        <v>1</v>
      </c>
      <c r="G14" s="19" t="s">
        <v>16</v>
      </c>
      <c r="H14" s="19">
        <v>1</v>
      </c>
      <c r="I14" s="19" t="s">
        <v>16</v>
      </c>
      <c r="J14" s="19">
        <v>1</v>
      </c>
      <c r="K14" s="19" t="s">
        <v>16</v>
      </c>
      <c r="L14" s="19">
        <v>1</v>
      </c>
      <c r="M14" s="19" t="s">
        <v>16</v>
      </c>
      <c r="N14" s="19">
        <v>1</v>
      </c>
      <c r="O14" s="19" t="s">
        <v>16</v>
      </c>
      <c r="P14" s="19">
        <v>1</v>
      </c>
      <c r="Q14" s="19" t="s">
        <v>16</v>
      </c>
      <c r="R14" s="19">
        <v>1</v>
      </c>
      <c r="S14" s="19">
        <v>1</v>
      </c>
      <c r="T14" s="16">
        <v>9</v>
      </c>
      <c r="U14" s="16" t="s">
        <v>16</v>
      </c>
      <c r="V14" s="16" t="s">
        <v>16</v>
      </c>
      <c r="W14" s="16" t="s">
        <v>16</v>
      </c>
      <c r="X14" s="16" t="s">
        <v>16</v>
      </c>
      <c r="Y14" t="s">
        <v>16</v>
      </c>
      <c r="Z14" t="s">
        <v>16</v>
      </c>
      <c r="AA14" t="s">
        <v>16</v>
      </c>
      <c r="AB14">
        <v>2</v>
      </c>
    </row>
    <row r="15" spans="1:28" x14ac:dyDescent="0.25">
      <c r="A15" s="19">
        <v>2</v>
      </c>
      <c r="B15" s="19">
        <v>8</v>
      </c>
      <c r="C15" s="19">
        <v>3</v>
      </c>
      <c r="D15" s="19">
        <v>8</v>
      </c>
      <c r="E15" s="19" t="s">
        <v>16</v>
      </c>
      <c r="F15" s="19">
        <v>1</v>
      </c>
      <c r="G15" s="19" t="s">
        <v>16</v>
      </c>
      <c r="H15" s="19">
        <v>1</v>
      </c>
      <c r="I15" s="19" t="s">
        <v>16</v>
      </c>
      <c r="J15" s="19">
        <v>1</v>
      </c>
      <c r="K15" s="19" t="s">
        <v>16</v>
      </c>
      <c r="L15" s="19">
        <v>1</v>
      </c>
      <c r="M15" s="19" t="s">
        <v>16</v>
      </c>
      <c r="N15" s="19">
        <v>1</v>
      </c>
      <c r="O15" s="19" t="s">
        <v>16</v>
      </c>
      <c r="P15" s="19">
        <v>1</v>
      </c>
      <c r="Q15" s="19" t="s">
        <v>16</v>
      </c>
      <c r="R15" s="19">
        <v>1</v>
      </c>
      <c r="S15" s="19">
        <v>1</v>
      </c>
      <c r="T15" s="16">
        <v>2</v>
      </c>
      <c r="U15" s="16" t="s">
        <v>16</v>
      </c>
      <c r="V15" s="16" t="s">
        <v>16</v>
      </c>
      <c r="W15" s="16" t="s">
        <v>16</v>
      </c>
      <c r="X15" s="16" t="s">
        <v>16</v>
      </c>
      <c r="Y15" t="s">
        <v>16</v>
      </c>
      <c r="Z15" t="s">
        <v>16</v>
      </c>
      <c r="AA15" t="s">
        <v>16</v>
      </c>
      <c r="AB15">
        <v>2</v>
      </c>
    </row>
    <row r="16" spans="1:28" x14ac:dyDescent="0.25">
      <c r="A16" s="19">
        <v>2</v>
      </c>
      <c r="B16" s="19">
        <v>12</v>
      </c>
      <c r="C16" s="19">
        <v>4</v>
      </c>
      <c r="D16" s="19">
        <v>11</v>
      </c>
      <c r="E16" s="19" t="s">
        <v>16</v>
      </c>
      <c r="F16" s="19">
        <v>1</v>
      </c>
      <c r="G16" s="19" t="s">
        <v>16</v>
      </c>
      <c r="H16" s="19">
        <v>1</v>
      </c>
      <c r="I16" s="19" t="s">
        <v>16</v>
      </c>
      <c r="J16" s="19">
        <v>1</v>
      </c>
      <c r="K16" s="19" t="s">
        <v>16</v>
      </c>
      <c r="L16" s="19">
        <v>1</v>
      </c>
      <c r="M16" s="19" t="s">
        <v>16</v>
      </c>
      <c r="N16" s="19">
        <v>1</v>
      </c>
      <c r="O16" s="19" t="s">
        <v>16</v>
      </c>
      <c r="P16" s="19">
        <v>1</v>
      </c>
      <c r="Q16" s="19" t="s">
        <v>16</v>
      </c>
      <c r="R16" s="19">
        <v>1</v>
      </c>
      <c r="S16" s="19">
        <v>8</v>
      </c>
      <c r="T16" s="16">
        <v>9</v>
      </c>
      <c r="U16" s="16" t="s">
        <v>16</v>
      </c>
      <c r="V16" s="16" t="s">
        <v>16</v>
      </c>
      <c r="W16" s="16" t="s">
        <v>16</v>
      </c>
      <c r="X16" s="16" t="s">
        <v>16</v>
      </c>
      <c r="Y16" t="s">
        <v>16</v>
      </c>
      <c r="Z16" t="s">
        <v>16</v>
      </c>
      <c r="AA16" t="s">
        <v>16</v>
      </c>
      <c r="AB16">
        <v>2</v>
      </c>
    </row>
    <row r="17" spans="1:28" x14ac:dyDescent="0.25">
      <c r="A17" s="19">
        <v>9</v>
      </c>
      <c r="B17" s="19">
        <v>40</v>
      </c>
      <c r="C17" s="19">
        <v>11</v>
      </c>
      <c r="D17" s="19">
        <v>40</v>
      </c>
      <c r="E17" s="19" t="s">
        <v>16</v>
      </c>
      <c r="F17" s="19">
        <v>1</v>
      </c>
      <c r="G17" s="19" t="s">
        <v>16</v>
      </c>
      <c r="H17" s="19">
        <v>1</v>
      </c>
      <c r="I17" s="19" t="s">
        <v>16</v>
      </c>
      <c r="J17" s="19">
        <v>1</v>
      </c>
      <c r="K17" s="19" t="s">
        <v>16</v>
      </c>
      <c r="L17" s="19">
        <v>1</v>
      </c>
      <c r="M17" s="19" t="s">
        <v>16</v>
      </c>
      <c r="N17" s="19">
        <v>1</v>
      </c>
      <c r="O17" s="19" t="s">
        <v>16</v>
      </c>
      <c r="P17" s="19">
        <v>1</v>
      </c>
      <c r="Q17" s="19" t="s">
        <v>16</v>
      </c>
      <c r="R17" s="19">
        <v>1</v>
      </c>
      <c r="S17" s="19">
        <v>3</v>
      </c>
      <c r="T17" s="16">
        <v>4</v>
      </c>
      <c r="U17" s="16" t="s">
        <v>16</v>
      </c>
      <c r="V17" s="16" t="s">
        <v>16</v>
      </c>
      <c r="W17" s="16" t="s">
        <v>16</v>
      </c>
      <c r="X17" s="16" t="s">
        <v>16</v>
      </c>
      <c r="Y17" t="s">
        <v>16</v>
      </c>
      <c r="Z17" t="s">
        <v>16</v>
      </c>
      <c r="AA17" t="s">
        <v>16</v>
      </c>
      <c r="AB17">
        <v>2</v>
      </c>
    </row>
    <row r="18" spans="1:28" x14ac:dyDescent="0.25">
      <c r="A18" s="19">
        <v>3</v>
      </c>
      <c r="B18" s="19">
        <v>20</v>
      </c>
      <c r="C18" s="19">
        <v>4</v>
      </c>
      <c r="D18" s="19">
        <v>20</v>
      </c>
      <c r="E18" s="19" t="s">
        <v>16</v>
      </c>
      <c r="F18" s="19">
        <v>1</v>
      </c>
      <c r="G18" s="19" t="s">
        <v>16</v>
      </c>
      <c r="H18" s="19">
        <v>1</v>
      </c>
      <c r="I18" s="19" t="s">
        <v>16</v>
      </c>
      <c r="J18" s="19">
        <v>1</v>
      </c>
      <c r="K18" s="19" t="s">
        <v>16</v>
      </c>
      <c r="L18" s="19">
        <v>1</v>
      </c>
      <c r="M18" s="19" t="s">
        <v>16</v>
      </c>
      <c r="N18" s="19">
        <v>1</v>
      </c>
      <c r="O18" s="19" t="s">
        <v>16</v>
      </c>
      <c r="P18" s="19">
        <v>1</v>
      </c>
      <c r="Q18" s="19" t="s">
        <v>16</v>
      </c>
      <c r="R18" s="19">
        <v>1</v>
      </c>
      <c r="S18" s="19">
        <v>1</v>
      </c>
      <c r="T18" s="16">
        <v>2</v>
      </c>
      <c r="U18" s="16" t="s">
        <v>16</v>
      </c>
      <c r="V18" s="16" t="s">
        <v>16</v>
      </c>
      <c r="W18" s="16" t="s">
        <v>16</v>
      </c>
      <c r="X18" s="16" t="s">
        <v>16</v>
      </c>
      <c r="Y18" t="s">
        <v>16</v>
      </c>
      <c r="Z18" t="s">
        <v>16</v>
      </c>
      <c r="AA18" t="s">
        <v>16</v>
      </c>
      <c r="AB18">
        <v>2</v>
      </c>
    </row>
    <row r="19" spans="1:28" x14ac:dyDescent="0.25">
      <c r="A19" s="19">
        <v>1</v>
      </c>
      <c r="B19" s="19">
        <v>15</v>
      </c>
      <c r="C19" s="19">
        <v>4</v>
      </c>
      <c r="D19" s="19">
        <v>18</v>
      </c>
      <c r="E19" s="19" t="s">
        <v>16</v>
      </c>
      <c r="F19" s="19">
        <v>1</v>
      </c>
      <c r="G19" s="19" t="s">
        <v>16</v>
      </c>
      <c r="H19" s="19">
        <v>1</v>
      </c>
      <c r="I19" s="19" t="s">
        <v>16</v>
      </c>
      <c r="J19" s="19">
        <v>1</v>
      </c>
      <c r="K19" s="19" t="s">
        <v>16</v>
      </c>
      <c r="L19" s="19">
        <v>1</v>
      </c>
      <c r="M19" s="19" t="s">
        <v>16</v>
      </c>
      <c r="N19" s="19">
        <v>1</v>
      </c>
      <c r="O19" s="19" t="s">
        <v>16</v>
      </c>
      <c r="P19" s="19">
        <v>1</v>
      </c>
      <c r="Q19" s="19" t="s">
        <v>16</v>
      </c>
      <c r="R19" s="19">
        <v>1</v>
      </c>
      <c r="S19" s="19">
        <v>1</v>
      </c>
      <c r="T19" s="16">
        <v>2</v>
      </c>
      <c r="U19" s="16" t="s">
        <v>16</v>
      </c>
      <c r="V19" s="16" t="s">
        <v>16</v>
      </c>
      <c r="W19" s="16" t="s">
        <v>16</v>
      </c>
      <c r="X19" s="16" t="s">
        <v>16</v>
      </c>
      <c r="Y19" t="s">
        <v>16</v>
      </c>
      <c r="Z19" t="s">
        <v>16</v>
      </c>
      <c r="AA19" t="s">
        <v>16</v>
      </c>
      <c r="AB19">
        <v>2</v>
      </c>
    </row>
    <row r="20" spans="1:28" x14ac:dyDescent="0.25">
      <c r="A20" s="19">
        <v>9</v>
      </c>
      <c r="B20" s="19">
        <v>32</v>
      </c>
      <c r="C20" s="19">
        <v>6</v>
      </c>
      <c r="D20" s="19">
        <v>36</v>
      </c>
      <c r="E20" s="19" t="s">
        <v>16</v>
      </c>
      <c r="F20" s="19">
        <v>1</v>
      </c>
      <c r="G20" s="19" t="s">
        <v>16</v>
      </c>
      <c r="H20" s="19">
        <v>1</v>
      </c>
      <c r="I20" s="19" t="s">
        <v>16</v>
      </c>
      <c r="J20" s="19">
        <v>1</v>
      </c>
      <c r="K20" s="19" t="s">
        <v>16</v>
      </c>
      <c r="L20" s="19">
        <v>1</v>
      </c>
      <c r="M20" s="19" t="s">
        <v>16</v>
      </c>
      <c r="N20" s="19">
        <v>1</v>
      </c>
      <c r="O20" s="19" t="s">
        <v>16</v>
      </c>
      <c r="P20" s="19">
        <v>1</v>
      </c>
      <c r="Q20" s="19" t="s">
        <v>16</v>
      </c>
      <c r="R20" s="19">
        <v>1</v>
      </c>
      <c r="S20" s="19">
        <v>2</v>
      </c>
      <c r="T20" s="16">
        <v>3</v>
      </c>
      <c r="U20" s="16" t="s">
        <v>16</v>
      </c>
      <c r="V20" s="16" t="s">
        <v>16</v>
      </c>
      <c r="W20" s="16" t="s">
        <v>16</v>
      </c>
      <c r="X20" s="16" t="s">
        <v>16</v>
      </c>
      <c r="Y20" t="s">
        <v>16</v>
      </c>
      <c r="Z20" t="s">
        <v>16</v>
      </c>
      <c r="AA20" t="s">
        <v>16</v>
      </c>
      <c r="AB20">
        <v>2</v>
      </c>
    </row>
    <row r="21" spans="1:28" x14ac:dyDescent="0.25">
      <c r="A21" s="19">
        <v>13</v>
      </c>
      <c r="B21" s="19">
        <v>62</v>
      </c>
      <c r="C21" s="19">
        <v>10</v>
      </c>
      <c r="D21" s="19">
        <v>59</v>
      </c>
      <c r="E21" s="19" t="s">
        <v>16</v>
      </c>
      <c r="F21" s="19">
        <v>1</v>
      </c>
      <c r="G21" s="19" t="s">
        <v>16</v>
      </c>
      <c r="H21" s="19">
        <v>1</v>
      </c>
      <c r="I21" s="19" t="s">
        <v>16</v>
      </c>
      <c r="J21" s="19">
        <v>1</v>
      </c>
      <c r="K21" s="19" t="s">
        <v>16</v>
      </c>
      <c r="L21" s="19">
        <v>1</v>
      </c>
      <c r="M21" s="19" t="s">
        <v>16</v>
      </c>
      <c r="N21" s="19">
        <v>1</v>
      </c>
      <c r="O21" s="19" t="s">
        <v>16</v>
      </c>
      <c r="P21" s="19">
        <v>1</v>
      </c>
      <c r="Q21" s="19" t="s">
        <v>16</v>
      </c>
      <c r="R21" s="19">
        <v>1</v>
      </c>
      <c r="S21" s="19">
        <v>1</v>
      </c>
      <c r="T21" s="16">
        <v>8</v>
      </c>
      <c r="U21" s="16" t="s">
        <v>16</v>
      </c>
      <c r="V21" s="16" t="s">
        <v>16</v>
      </c>
      <c r="W21" s="16" t="s">
        <v>16</v>
      </c>
      <c r="X21" s="16" t="s">
        <v>16</v>
      </c>
      <c r="Y21" t="s">
        <v>16</v>
      </c>
      <c r="Z21" t="s">
        <v>16</v>
      </c>
      <c r="AA21" t="s">
        <v>16</v>
      </c>
      <c r="AB21">
        <v>2</v>
      </c>
    </row>
    <row r="22" spans="1:28" x14ac:dyDescent="0.25">
      <c r="A22" s="19">
        <v>5</v>
      </c>
      <c r="B22" s="19">
        <v>36</v>
      </c>
      <c r="C22" s="19">
        <v>0</v>
      </c>
      <c r="D22" s="19">
        <v>34</v>
      </c>
      <c r="E22" s="19" t="s">
        <v>16</v>
      </c>
      <c r="F22" s="19">
        <v>1</v>
      </c>
      <c r="G22" s="19" t="s">
        <v>16</v>
      </c>
      <c r="H22" s="19">
        <v>1</v>
      </c>
      <c r="I22" s="19" t="s">
        <v>16</v>
      </c>
      <c r="J22" s="19">
        <v>1</v>
      </c>
      <c r="K22" s="19" t="s">
        <v>16</v>
      </c>
      <c r="L22" s="19">
        <v>1</v>
      </c>
      <c r="M22" s="19" t="s">
        <v>16</v>
      </c>
      <c r="N22" s="19">
        <v>1</v>
      </c>
      <c r="O22" s="19" t="s">
        <v>16</v>
      </c>
      <c r="P22" s="19">
        <v>1</v>
      </c>
      <c r="Q22" s="19" t="s">
        <v>16</v>
      </c>
      <c r="R22" s="19">
        <v>1</v>
      </c>
      <c r="S22" s="19">
        <v>1</v>
      </c>
      <c r="T22" s="16">
        <v>8</v>
      </c>
      <c r="U22" s="16" t="s">
        <v>16</v>
      </c>
      <c r="V22" s="16" t="s">
        <v>16</v>
      </c>
      <c r="W22" s="16" t="s">
        <v>16</v>
      </c>
      <c r="X22" s="16" t="s">
        <v>16</v>
      </c>
      <c r="Y22" t="s">
        <v>16</v>
      </c>
      <c r="Z22" t="s">
        <v>16</v>
      </c>
      <c r="AA22" t="s">
        <v>16</v>
      </c>
      <c r="AB22">
        <v>2</v>
      </c>
    </row>
    <row r="23" spans="1:28" x14ac:dyDescent="0.25">
      <c r="A23" s="19">
        <v>0.52941176470588236</v>
      </c>
      <c r="B23" s="19">
        <v>18.529411764705884</v>
      </c>
      <c r="C23" s="19">
        <v>0.47058823529411764</v>
      </c>
      <c r="D23" s="19">
        <v>16.470588235294116</v>
      </c>
      <c r="E23" s="19" t="s">
        <v>16</v>
      </c>
      <c r="F23" s="19">
        <v>1</v>
      </c>
      <c r="G23" s="19" t="s">
        <v>16</v>
      </c>
      <c r="H23" s="19">
        <v>1</v>
      </c>
      <c r="I23" s="19" t="s">
        <v>16</v>
      </c>
      <c r="J23" s="19">
        <v>1</v>
      </c>
      <c r="K23" s="19" t="s">
        <v>16</v>
      </c>
      <c r="L23" s="19">
        <v>1</v>
      </c>
      <c r="M23" s="19" t="s">
        <v>16</v>
      </c>
      <c r="N23" s="19">
        <v>1</v>
      </c>
      <c r="O23" s="19" t="s">
        <v>16</v>
      </c>
      <c r="P23" s="19">
        <v>1</v>
      </c>
      <c r="Q23" s="19" t="s">
        <v>16</v>
      </c>
      <c r="R23" s="19">
        <v>1</v>
      </c>
      <c r="S23" s="19">
        <v>1</v>
      </c>
      <c r="T23" s="16">
        <v>8</v>
      </c>
      <c r="U23" s="16" t="s">
        <v>16</v>
      </c>
      <c r="V23" s="16" t="s">
        <v>16</v>
      </c>
      <c r="W23" s="16" t="s">
        <v>16</v>
      </c>
      <c r="X23" s="16" t="s">
        <v>16</v>
      </c>
      <c r="Y23" t="s">
        <v>16</v>
      </c>
      <c r="Z23" t="s">
        <v>16</v>
      </c>
      <c r="AA23" t="s">
        <v>16</v>
      </c>
      <c r="AB23">
        <v>2</v>
      </c>
    </row>
    <row r="24" spans="1:28" x14ac:dyDescent="0.25">
      <c r="A24" s="19">
        <v>4</v>
      </c>
      <c r="B24" s="19">
        <v>15</v>
      </c>
      <c r="C24" s="19">
        <v>11</v>
      </c>
      <c r="D24" s="19">
        <v>15</v>
      </c>
      <c r="E24" s="19" t="s">
        <v>16</v>
      </c>
      <c r="F24" s="19">
        <v>1</v>
      </c>
      <c r="G24" s="19" t="s">
        <v>16</v>
      </c>
      <c r="H24" s="19">
        <v>1</v>
      </c>
      <c r="I24" s="19" t="s">
        <v>16</v>
      </c>
      <c r="J24" s="19">
        <v>1</v>
      </c>
      <c r="K24" s="19" t="s">
        <v>16</v>
      </c>
      <c r="L24" s="19">
        <v>1</v>
      </c>
      <c r="M24" s="19" t="s">
        <v>16</v>
      </c>
      <c r="N24" s="19">
        <v>1</v>
      </c>
      <c r="O24" s="19" t="s">
        <v>16</v>
      </c>
      <c r="P24" s="19">
        <v>1</v>
      </c>
      <c r="Q24" s="19" t="s">
        <v>16</v>
      </c>
      <c r="R24" s="19">
        <v>1</v>
      </c>
      <c r="S24" s="19">
        <v>8</v>
      </c>
      <c r="T24" s="16">
        <v>9</v>
      </c>
      <c r="U24" s="16" t="s">
        <v>16</v>
      </c>
      <c r="V24" s="16" t="s">
        <v>16</v>
      </c>
      <c r="W24" s="16" t="s">
        <v>16</v>
      </c>
      <c r="X24" s="16" t="s">
        <v>16</v>
      </c>
      <c r="Y24" t="s">
        <v>16</v>
      </c>
      <c r="Z24" t="s">
        <v>16</v>
      </c>
      <c r="AA24" t="s">
        <v>16</v>
      </c>
      <c r="AB24">
        <v>2</v>
      </c>
    </row>
    <row r="25" spans="1:28" x14ac:dyDescent="0.25">
      <c r="A25" s="19">
        <v>9</v>
      </c>
      <c r="B25" s="19">
        <v>54</v>
      </c>
      <c r="C25" s="19">
        <v>24</v>
      </c>
      <c r="D25" s="19">
        <v>51</v>
      </c>
      <c r="E25" s="19" t="s">
        <v>16</v>
      </c>
      <c r="F25" s="19">
        <v>1</v>
      </c>
      <c r="G25" s="19" t="s">
        <v>16</v>
      </c>
      <c r="H25" s="19">
        <v>1</v>
      </c>
      <c r="I25" s="19" t="s">
        <v>16</v>
      </c>
      <c r="J25" s="19">
        <v>1</v>
      </c>
      <c r="K25" s="19" t="s">
        <v>16</v>
      </c>
      <c r="L25" s="19">
        <v>1</v>
      </c>
      <c r="M25" s="19" t="s">
        <v>16</v>
      </c>
      <c r="N25" s="19">
        <v>1</v>
      </c>
      <c r="O25" s="19" t="s">
        <v>16</v>
      </c>
      <c r="P25" s="19">
        <v>1</v>
      </c>
      <c r="Q25" s="19" t="s">
        <v>16</v>
      </c>
      <c r="R25" s="19">
        <v>1</v>
      </c>
      <c r="S25" s="19">
        <v>2</v>
      </c>
      <c r="T25" s="16">
        <v>9</v>
      </c>
      <c r="U25" s="16" t="s">
        <v>16</v>
      </c>
      <c r="V25" s="16" t="s">
        <v>16</v>
      </c>
      <c r="W25" s="16" t="s">
        <v>16</v>
      </c>
      <c r="X25" s="16" t="s">
        <v>16</v>
      </c>
      <c r="Y25" t="s">
        <v>16</v>
      </c>
      <c r="Z25" t="s">
        <v>16</v>
      </c>
      <c r="AA25" t="s">
        <v>16</v>
      </c>
      <c r="AB25">
        <v>2</v>
      </c>
    </row>
    <row r="26" spans="1:28" x14ac:dyDescent="0.25">
      <c r="A26" s="19">
        <v>7</v>
      </c>
      <c r="B26" s="19">
        <v>59</v>
      </c>
      <c r="C26" s="19">
        <v>8</v>
      </c>
      <c r="D26" s="19">
        <v>60</v>
      </c>
      <c r="E26" s="19" t="s">
        <v>16</v>
      </c>
      <c r="F26" s="19">
        <v>1</v>
      </c>
      <c r="G26" s="19" t="s">
        <v>16</v>
      </c>
      <c r="H26" s="19">
        <v>1</v>
      </c>
      <c r="I26" s="19" t="s">
        <v>16</v>
      </c>
      <c r="J26" s="19">
        <v>1</v>
      </c>
      <c r="K26" s="19" t="s">
        <v>16</v>
      </c>
      <c r="L26" s="19">
        <v>1</v>
      </c>
      <c r="M26" s="19" t="s">
        <v>16</v>
      </c>
      <c r="N26" s="19">
        <v>1</v>
      </c>
      <c r="O26" s="19" t="s">
        <v>16</v>
      </c>
      <c r="P26" s="19">
        <v>1</v>
      </c>
      <c r="Q26" s="19" t="s">
        <v>16</v>
      </c>
      <c r="R26" s="19">
        <v>1</v>
      </c>
      <c r="S26" s="19">
        <v>1</v>
      </c>
      <c r="T26" s="16">
        <v>2</v>
      </c>
      <c r="U26" s="16" t="s">
        <v>16</v>
      </c>
      <c r="V26" s="16" t="s">
        <v>16</v>
      </c>
      <c r="W26" s="16" t="s">
        <v>16</v>
      </c>
      <c r="X26" s="16" t="s">
        <v>16</v>
      </c>
      <c r="Y26" t="s">
        <v>16</v>
      </c>
      <c r="Z26" t="s">
        <v>16</v>
      </c>
      <c r="AA26" t="s">
        <v>16</v>
      </c>
      <c r="AB26">
        <v>2</v>
      </c>
    </row>
    <row r="27" spans="1:28" x14ac:dyDescent="0.25">
      <c r="A27" s="19">
        <v>9</v>
      </c>
      <c r="B27" s="19">
        <v>74</v>
      </c>
      <c r="C27" s="19">
        <v>12</v>
      </c>
      <c r="D27" s="19">
        <v>74</v>
      </c>
      <c r="E27" s="19" t="s">
        <v>16</v>
      </c>
      <c r="F27" s="19">
        <v>1</v>
      </c>
      <c r="G27" s="19" t="s">
        <v>16</v>
      </c>
      <c r="H27" s="19">
        <v>1</v>
      </c>
      <c r="I27" s="19" t="s">
        <v>16</v>
      </c>
      <c r="J27" s="19">
        <v>1</v>
      </c>
      <c r="K27" s="19" t="s">
        <v>16</v>
      </c>
      <c r="L27" s="19">
        <v>1</v>
      </c>
      <c r="M27" s="19" t="s">
        <v>16</v>
      </c>
      <c r="N27" s="19">
        <v>1</v>
      </c>
      <c r="O27" s="19" t="s">
        <v>16</v>
      </c>
      <c r="P27" s="19">
        <v>1</v>
      </c>
      <c r="Q27" s="19" t="s">
        <v>16</v>
      </c>
      <c r="R27" s="19">
        <v>1</v>
      </c>
      <c r="S27" s="19">
        <v>1</v>
      </c>
      <c r="T27" s="16">
        <v>2</v>
      </c>
      <c r="U27" s="16" t="s">
        <v>16</v>
      </c>
      <c r="V27" s="16" t="s">
        <v>16</v>
      </c>
      <c r="W27" s="16" t="s">
        <v>16</v>
      </c>
      <c r="X27" s="16" t="s">
        <v>16</v>
      </c>
      <c r="Y27" t="s">
        <v>16</v>
      </c>
      <c r="Z27" t="s">
        <v>16</v>
      </c>
      <c r="AA27" t="s">
        <v>16</v>
      </c>
      <c r="AB27">
        <v>2</v>
      </c>
    </row>
    <row r="28" spans="1:28" x14ac:dyDescent="0.25">
      <c r="A28" s="19">
        <v>32</v>
      </c>
      <c r="B28" s="19">
        <v>48</v>
      </c>
      <c r="C28" s="19">
        <v>20</v>
      </c>
      <c r="D28" s="19">
        <v>35</v>
      </c>
      <c r="E28" s="19" t="s">
        <v>16</v>
      </c>
      <c r="F28" s="19">
        <v>1</v>
      </c>
      <c r="G28" s="19" t="s">
        <v>16</v>
      </c>
      <c r="H28" s="19">
        <v>1</v>
      </c>
      <c r="I28" s="19" t="s">
        <v>16</v>
      </c>
      <c r="J28" s="19">
        <v>1</v>
      </c>
      <c r="K28" s="19" t="s">
        <v>16</v>
      </c>
      <c r="L28" s="19">
        <v>1</v>
      </c>
      <c r="M28" s="19" t="s">
        <v>16</v>
      </c>
      <c r="N28" s="19">
        <v>1</v>
      </c>
      <c r="O28" s="19" t="s">
        <v>16</v>
      </c>
      <c r="P28" s="19">
        <v>1</v>
      </c>
      <c r="Q28" s="19" t="s">
        <v>16</v>
      </c>
      <c r="R28" s="19">
        <v>1</v>
      </c>
      <c r="S28" s="19">
        <v>3</v>
      </c>
      <c r="T28" s="16">
        <v>8</v>
      </c>
      <c r="U28" s="16" t="s">
        <v>16</v>
      </c>
      <c r="V28" s="16" t="s">
        <v>16</v>
      </c>
      <c r="W28" s="16" t="s">
        <v>16</v>
      </c>
      <c r="X28" s="16" t="s">
        <v>16</v>
      </c>
      <c r="Y28" t="s">
        <v>16</v>
      </c>
      <c r="Z28" t="s">
        <v>16</v>
      </c>
      <c r="AA28" t="s">
        <v>16</v>
      </c>
      <c r="AB28">
        <v>2</v>
      </c>
    </row>
    <row r="29" spans="1:28" x14ac:dyDescent="0.25">
      <c r="A29" s="19">
        <v>10</v>
      </c>
      <c r="B29" s="19">
        <v>30</v>
      </c>
      <c r="C29" s="19">
        <v>6</v>
      </c>
      <c r="D29" s="19">
        <v>30</v>
      </c>
      <c r="E29" s="19" t="s">
        <v>16</v>
      </c>
      <c r="F29" s="19">
        <v>1</v>
      </c>
      <c r="G29" s="19" t="s">
        <v>16</v>
      </c>
      <c r="H29" s="19">
        <v>1</v>
      </c>
      <c r="I29" s="19" t="s">
        <v>16</v>
      </c>
      <c r="J29" s="19">
        <v>1</v>
      </c>
      <c r="K29" s="19" t="s">
        <v>16</v>
      </c>
      <c r="L29" s="19">
        <v>1</v>
      </c>
      <c r="M29" s="19" t="s">
        <v>16</v>
      </c>
      <c r="N29" s="19">
        <v>1</v>
      </c>
      <c r="O29" s="19" t="s">
        <v>16</v>
      </c>
      <c r="P29" s="19">
        <v>1</v>
      </c>
      <c r="Q29" s="19" t="s">
        <v>16</v>
      </c>
      <c r="R29" s="19">
        <v>1</v>
      </c>
      <c r="S29" s="19">
        <v>3</v>
      </c>
      <c r="T29" s="16">
        <v>6</v>
      </c>
      <c r="U29" s="16" t="s">
        <v>16</v>
      </c>
      <c r="V29" s="16" t="s">
        <v>16</v>
      </c>
      <c r="W29" s="16" t="s">
        <v>16</v>
      </c>
      <c r="X29" s="16" t="s">
        <v>16</v>
      </c>
      <c r="Y29" t="s">
        <v>16</v>
      </c>
      <c r="Z29" t="s">
        <v>16</v>
      </c>
      <c r="AA29" t="s">
        <v>16</v>
      </c>
      <c r="AB29">
        <v>2</v>
      </c>
    </row>
    <row r="30" spans="1:28" x14ac:dyDescent="0.25">
      <c r="A30" s="19">
        <v>4</v>
      </c>
      <c r="B30" s="19">
        <v>12</v>
      </c>
      <c r="C30" s="19">
        <v>10</v>
      </c>
      <c r="D30" s="19">
        <v>12</v>
      </c>
      <c r="E30" s="19" t="s">
        <v>16</v>
      </c>
      <c r="F30" s="19">
        <v>1</v>
      </c>
      <c r="G30" s="19" t="s">
        <v>16</v>
      </c>
      <c r="H30" s="19">
        <v>1</v>
      </c>
      <c r="I30" s="19" t="s">
        <v>16</v>
      </c>
      <c r="J30" s="19">
        <v>1</v>
      </c>
      <c r="K30" s="19" t="s">
        <v>16</v>
      </c>
      <c r="L30" s="19">
        <v>1</v>
      </c>
      <c r="M30" s="19" t="s">
        <v>16</v>
      </c>
      <c r="N30" s="19">
        <v>1</v>
      </c>
      <c r="O30" s="19" t="s">
        <v>16</v>
      </c>
      <c r="P30" s="19">
        <v>1</v>
      </c>
      <c r="Q30" s="19" t="s">
        <v>16</v>
      </c>
      <c r="R30" s="19">
        <v>1</v>
      </c>
      <c r="S30" s="19">
        <v>1</v>
      </c>
      <c r="T30" s="16">
        <v>9</v>
      </c>
      <c r="U30" s="16" t="s">
        <v>16</v>
      </c>
      <c r="V30" s="16" t="s">
        <v>16</v>
      </c>
      <c r="W30" s="16" t="s">
        <v>16</v>
      </c>
      <c r="X30" s="16" t="s">
        <v>16</v>
      </c>
      <c r="Y30" t="s">
        <v>16</v>
      </c>
      <c r="Z30" t="s">
        <v>16</v>
      </c>
      <c r="AA30" t="s">
        <v>16</v>
      </c>
      <c r="AB30">
        <v>2</v>
      </c>
    </row>
    <row r="31" spans="1:28" x14ac:dyDescent="0.25">
      <c r="A31" s="19">
        <v>3</v>
      </c>
      <c r="B31" s="19">
        <v>24</v>
      </c>
      <c r="C31" s="19">
        <v>7</v>
      </c>
      <c r="D31" s="19">
        <v>23</v>
      </c>
      <c r="E31" s="19" t="s">
        <v>16</v>
      </c>
      <c r="F31" s="19">
        <v>1</v>
      </c>
      <c r="G31" s="19" t="s">
        <v>16</v>
      </c>
      <c r="H31" s="19">
        <v>1</v>
      </c>
      <c r="I31" s="19" t="s">
        <v>16</v>
      </c>
      <c r="J31" s="19">
        <v>1</v>
      </c>
      <c r="K31" s="19" t="s">
        <v>16</v>
      </c>
      <c r="L31" s="19">
        <v>1</v>
      </c>
      <c r="M31" s="19" t="s">
        <v>16</v>
      </c>
      <c r="N31" s="19">
        <v>1</v>
      </c>
      <c r="O31" s="19" t="s">
        <v>16</v>
      </c>
      <c r="P31" s="19">
        <v>1</v>
      </c>
      <c r="Q31" s="19" t="s">
        <v>16</v>
      </c>
      <c r="R31" s="19">
        <v>1</v>
      </c>
      <c r="S31" s="19">
        <v>1</v>
      </c>
      <c r="T31" s="16">
        <v>2</v>
      </c>
      <c r="U31" s="16" t="s">
        <v>16</v>
      </c>
      <c r="V31" s="16" t="s">
        <v>16</v>
      </c>
      <c r="W31" s="16" t="s">
        <v>16</v>
      </c>
      <c r="X31" s="16" t="s">
        <v>16</v>
      </c>
      <c r="Y31" t="s">
        <v>16</v>
      </c>
      <c r="Z31" t="s">
        <v>16</v>
      </c>
      <c r="AA31" t="s">
        <v>16</v>
      </c>
      <c r="AB31">
        <v>2</v>
      </c>
    </row>
    <row r="32" spans="1:28" x14ac:dyDescent="0.25">
      <c r="A32" s="19">
        <v>2</v>
      </c>
      <c r="B32" s="19">
        <v>12</v>
      </c>
      <c r="C32" s="19">
        <v>3</v>
      </c>
      <c r="D32" s="19">
        <v>11</v>
      </c>
      <c r="E32" s="19" t="s">
        <v>16</v>
      </c>
      <c r="F32" s="19">
        <v>1</v>
      </c>
      <c r="G32" s="19" t="s">
        <v>16</v>
      </c>
      <c r="H32" s="19">
        <v>1</v>
      </c>
      <c r="I32" s="19" t="s">
        <v>16</v>
      </c>
      <c r="J32" s="19">
        <v>1</v>
      </c>
      <c r="K32" s="19" t="s">
        <v>16</v>
      </c>
      <c r="L32" s="19">
        <v>1</v>
      </c>
      <c r="M32" s="19" t="s">
        <v>16</v>
      </c>
      <c r="N32" s="19">
        <v>1</v>
      </c>
      <c r="O32" s="19" t="s">
        <v>16</v>
      </c>
      <c r="P32" s="19">
        <v>1</v>
      </c>
      <c r="Q32" s="19" t="s">
        <v>16</v>
      </c>
      <c r="R32" s="19">
        <v>1</v>
      </c>
      <c r="S32" s="19">
        <v>3</v>
      </c>
      <c r="T32" s="16">
        <v>8</v>
      </c>
      <c r="U32" s="16" t="s">
        <v>16</v>
      </c>
      <c r="V32" s="16" t="s">
        <v>16</v>
      </c>
      <c r="W32" s="16" t="s">
        <v>16</v>
      </c>
      <c r="X32" s="16" t="s">
        <v>16</v>
      </c>
      <c r="Y32" t="s">
        <v>16</v>
      </c>
      <c r="Z32" t="s">
        <v>16</v>
      </c>
      <c r="AA32" t="s">
        <v>16</v>
      </c>
      <c r="AB32">
        <v>2</v>
      </c>
    </row>
    <row r="33" spans="1:28" x14ac:dyDescent="0.25">
      <c r="A33" s="19">
        <v>2</v>
      </c>
      <c r="B33" s="19">
        <v>18</v>
      </c>
      <c r="C33" s="19">
        <v>1</v>
      </c>
      <c r="D33" s="19">
        <v>16</v>
      </c>
      <c r="E33" s="19" t="s">
        <v>16</v>
      </c>
      <c r="F33" s="19">
        <v>1</v>
      </c>
      <c r="G33" s="19" t="s">
        <v>16</v>
      </c>
      <c r="H33" s="19">
        <v>1</v>
      </c>
      <c r="I33" s="19" t="s">
        <v>16</v>
      </c>
      <c r="J33" s="19">
        <v>1</v>
      </c>
      <c r="K33" s="19" t="s">
        <v>16</v>
      </c>
      <c r="L33" s="19">
        <v>1</v>
      </c>
      <c r="M33" s="19" t="s">
        <v>16</v>
      </c>
      <c r="N33" s="19">
        <v>1</v>
      </c>
      <c r="O33" s="19" t="s">
        <v>16</v>
      </c>
      <c r="P33" s="19">
        <v>1</v>
      </c>
      <c r="Q33" s="19" t="s">
        <v>16</v>
      </c>
      <c r="R33" s="19">
        <v>1</v>
      </c>
      <c r="S33" s="19">
        <v>1</v>
      </c>
      <c r="T33" s="16">
        <v>3</v>
      </c>
      <c r="U33" s="16" t="s">
        <v>16</v>
      </c>
      <c r="V33" s="16" t="s">
        <v>16</v>
      </c>
      <c r="W33" s="16" t="s">
        <v>16</v>
      </c>
      <c r="X33" s="16" t="s">
        <v>16</v>
      </c>
      <c r="Y33" t="s">
        <v>16</v>
      </c>
      <c r="Z33" t="s">
        <v>16</v>
      </c>
      <c r="AA33" t="s">
        <v>16</v>
      </c>
      <c r="AB33">
        <v>2</v>
      </c>
    </row>
    <row r="34" spans="1:28" x14ac:dyDescent="0.25">
      <c r="A34" s="19">
        <v>12</v>
      </c>
      <c r="B34" s="19">
        <v>67</v>
      </c>
      <c r="C34" s="19">
        <v>17</v>
      </c>
      <c r="D34" s="19">
        <v>62</v>
      </c>
      <c r="E34" s="19" t="s">
        <v>16</v>
      </c>
      <c r="F34" s="19">
        <v>1</v>
      </c>
      <c r="G34" s="19" t="s">
        <v>16</v>
      </c>
      <c r="H34" s="19">
        <v>1</v>
      </c>
      <c r="I34" s="19" t="s">
        <v>16</v>
      </c>
      <c r="J34" s="19">
        <v>1</v>
      </c>
      <c r="K34" s="19" t="s">
        <v>16</v>
      </c>
      <c r="L34" s="19">
        <v>1</v>
      </c>
      <c r="M34" s="19" t="s">
        <v>16</v>
      </c>
      <c r="N34" s="19">
        <v>1</v>
      </c>
      <c r="O34" s="19" t="s">
        <v>16</v>
      </c>
      <c r="P34" s="19">
        <v>1</v>
      </c>
      <c r="Q34" s="19" t="s">
        <v>16</v>
      </c>
      <c r="R34" s="19">
        <v>1</v>
      </c>
      <c r="S34" s="19">
        <v>4</v>
      </c>
      <c r="T34" s="16">
        <v>6</v>
      </c>
      <c r="U34" s="16" t="s">
        <v>16</v>
      </c>
      <c r="V34" s="16" t="s">
        <v>16</v>
      </c>
      <c r="W34" s="16" t="s">
        <v>16</v>
      </c>
      <c r="X34" s="16" t="s">
        <v>16</v>
      </c>
      <c r="Y34" t="s">
        <v>16</v>
      </c>
      <c r="Z34" t="s">
        <v>16</v>
      </c>
      <c r="AA34" t="s">
        <v>16</v>
      </c>
      <c r="AB34">
        <v>2</v>
      </c>
    </row>
    <row r="35" spans="1:28" x14ac:dyDescent="0.25">
      <c r="A35" s="19" t="s">
        <v>17</v>
      </c>
      <c r="B35" s="19"/>
      <c r="C35" s="19"/>
      <c r="D35" s="19"/>
      <c r="E35" s="19"/>
      <c r="F35" s="19"/>
      <c r="G35" s="19"/>
      <c r="H35" s="19"/>
      <c r="I35" s="19"/>
      <c r="J35" s="19"/>
      <c r="K35" s="19"/>
      <c r="L35" s="19"/>
      <c r="M35" s="19"/>
      <c r="N35" s="19"/>
      <c r="O35" s="19"/>
      <c r="P35" s="19"/>
      <c r="Q35" s="19"/>
      <c r="R35" s="19"/>
      <c r="S35" s="19"/>
      <c r="T35" s="16"/>
      <c r="U35" s="16"/>
      <c r="V35" s="16"/>
      <c r="W35" s="16"/>
      <c r="X35" s="16"/>
    </row>
    <row r="36" spans="1:28"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8"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8"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8"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8"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8"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8"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8" x14ac:dyDescent="0.25">
      <c r="A43" s="20"/>
      <c r="B43" s="20"/>
      <c r="C43" s="20"/>
      <c r="D43" s="20"/>
      <c r="E43" s="20"/>
      <c r="F43" s="20"/>
      <c r="G43" s="20"/>
      <c r="H43" s="20"/>
      <c r="I43" s="20"/>
      <c r="J43" s="20"/>
      <c r="K43" s="20"/>
      <c r="L43" s="20"/>
      <c r="M43" s="20"/>
      <c r="N43" s="20"/>
      <c r="O43" s="20"/>
      <c r="P43" s="20"/>
      <c r="Q43" s="20"/>
      <c r="R43" s="20"/>
      <c r="S43" s="20"/>
    </row>
    <row r="44" spans="1:28" x14ac:dyDescent="0.25">
      <c r="A44" s="20"/>
      <c r="B44" s="20"/>
      <c r="C44" s="20"/>
      <c r="D44" s="20"/>
      <c r="E44" s="20"/>
      <c r="F44" s="20"/>
      <c r="G44" s="20"/>
      <c r="H44" s="20"/>
      <c r="I44" s="20"/>
      <c r="J44" s="20"/>
      <c r="K44" s="20"/>
      <c r="L44" s="20"/>
      <c r="M44" s="20"/>
      <c r="N44" s="20"/>
      <c r="O44" s="20"/>
      <c r="P44" s="20"/>
      <c r="Q44" s="20"/>
      <c r="R44" s="20"/>
      <c r="S44" s="20"/>
    </row>
    <row r="45" spans="1:28" x14ac:dyDescent="0.25">
      <c r="A45" s="20"/>
      <c r="B45" s="20"/>
      <c r="C45" s="20"/>
      <c r="D45" s="20"/>
      <c r="E45" s="20"/>
      <c r="F45" s="20"/>
      <c r="G45" s="20"/>
      <c r="H45" s="20"/>
      <c r="I45" s="20"/>
      <c r="J45" s="20"/>
      <c r="K45" s="20"/>
      <c r="L45" s="20"/>
      <c r="M45" s="20"/>
      <c r="N45" s="20"/>
      <c r="O45" s="20"/>
      <c r="P45" s="20"/>
      <c r="Q45" s="20"/>
      <c r="R45" s="20"/>
      <c r="S45" s="20"/>
    </row>
    <row r="46" spans="1:28" x14ac:dyDescent="0.25">
      <c r="A46" s="20"/>
      <c r="B46" s="20"/>
      <c r="C46" s="20"/>
      <c r="D46" s="20"/>
      <c r="E46" s="20"/>
      <c r="F46" s="20"/>
      <c r="G46" s="20"/>
      <c r="H46" s="20"/>
      <c r="I46" s="20"/>
      <c r="J46" s="20"/>
      <c r="K46" s="20"/>
      <c r="L46" s="20"/>
      <c r="M46" s="20"/>
      <c r="N46" s="20"/>
      <c r="O46" s="20"/>
      <c r="P46" s="20"/>
      <c r="Q46" s="20"/>
      <c r="R46" s="20"/>
      <c r="S46" s="20"/>
    </row>
    <row r="47" spans="1:28" x14ac:dyDescent="0.25">
      <c r="A47" s="20"/>
      <c r="B47" s="20"/>
      <c r="C47" s="20"/>
      <c r="D47" s="20"/>
      <c r="E47" s="20"/>
      <c r="F47" s="20"/>
      <c r="G47" s="20"/>
      <c r="H47" s="20"/>
      <c r="I47" s="20"/>
      <c r="J47" s="20"/>
      <c r="K47" s="20"/>
      <c r="L47" s="20"/>
      <c r="M47" s="20"/>
      <c r="N47" s="20"/>
      <c r="O47" s="20"/>
      <c r="P47" s="20"/>
      <c r="Q47" s="20"/>
      <c r="R47" s="20"/>
      <c r="S47" s="20"/>
    </row>
    <row r="48" spans="1:28"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18</v>
      </c>
    </row>
    <row r="2" spans="1:1" x14ac:dyDescent="0.25">
      <c r="A2" t="s">
        <v>19</v>
      </c>
    </row>
    <row r="3" spans="1:1" x14ac:dyDescent="0.25">
      <c r="A3" t="s">
        <v>20</v>
      </c>
    </row>
    <row r="4" spans="1:1" x14ac:dyDescent="0.25">
      <c r="A4" t="str">
        <f>CONCATENATE("check('",SUBSTITUTE(data_directory,"\","/"),FEmodel_name,".txt')")</f>
        <v>check('C:/WinBUGS data/Fixed Effect Model.txt')</v>
      </c>
    </row>
    <row r="5" spans="1:1" x14ac:dyDescent="0.25">
      <c r="A5" t="s">
        <v>21</v>
      </c>
    </row>
    <row r="6" spans="1:1" x14ac:dyDescent="0.25">
      <c r="A6" t="str">
        <f>CONCATENATE("data('",SUBSTITUTE(data_directory,"\","/"),datalist_name,".txt')")</f>
        <v>data('C:/WinBUGS data/Data List.txt')</v>
      </c>
    </row>
    <row r="7" spans="1:1" x14ac:dyDescent="0.25">
      <c r="A7" t="s">
        <v>77</v>
      </c>
    </row>
    <row r="8" spans="1:1" x14ac:dyDescent="0.25">
      <c r="A8" t="str">
        <f>CONCATENATE("data('",SUBSTITUTE(data_directory,"\","/"),data_name,".txt')")</f>
        <v>data('C:/WinBUGS data/Data Table.txt')</v>
      </c>
    </row>
    <row r="9" spans="1:1" x14ac:dyDescent="0.25">
      <c r="A9" t="s">
        <v>22</v>
      </c>
    </row>
    <row r="10" spans="1:1" x14ac:dyDescent="0.25">
      <c r="A10" t="s">
        <v>23</v>
      </c>
    </row>
    <row r="11" spans="1:1" x14ac:dyDescent="0.25">
      <c r="A11" t="s">
        <v>21</v>
      </c>
    </row>
    <row r="12" spans="1:1" x14ac:dyDescent="0.25">
      <c r="A12" t="str">
        <f>CONCATENATE("inits(1,'",SUBSTITUTE(data_directory,"\","/"),FEinits_name,"1.txt')")</f>
        <v>inits(1,'C:/WinBUGS data/Fixed Effect Inits1.txt')</v>
      </c>
    </row>
    <row r="13" spans="1:1" x14ac:dyDescent="0.25">
      <c r="A13" t="s">
        <v>21</v>
      </c>
    </row>
    <row r="14" spans="1:1" x14ac:dyDescent="0.25">
      <c r="A14" t="str">
        <f>CONCATENATE("inits(2,'",SUBSTITUTE(data_directory,"\","/"),FEinits_name,"2.txt')")</f>
        <v>inits(2,'C:/WinBUGS data/Fixed Effect Inits2.txt')</v>
      </c>
    </row>
    <row r="15" spans="1:1" x14ac:dyDescent="0.25">
      <c r="A15" t="s">
        <v>21</v>
      </c>
    </row>
    <row r="16" spans="1:1" x14ac:dyDescent="0.25">
      <c r="A16" t="str">
        <f>CONCATENATE("inits(3,'",SUBSTITUTE(data_directory,"\","/"),FEinits_name,"3.txt')")</f>
        <v>inits(3,'C:/WinBUGS data/Fixed Effect Inits3.txt')</v>
      </c>
    </row>
    <row r="17" spans="1:1" x14ac:dyDescent="0.25">
      <c r="A17" t="s">
        <v>24</v>
      </c>
    </row>
    <row r="18" spans="1:1" x14ac:dyDescent="0.25">
      <c r="A18" t="s">
        <v>25</v>
      </c>
    </row>
    <row r="19" spans="1:1" x14ac:dyDescent="0.25">
      <c r="A19" t="s">
        <v>26</v>
      </c>
    </row>
    <row r="20" spans="1:1" x14ac:dyDescent="0.25">
      <c r="A20" t="str">
        <f>IF(auto_run,CONCATENATE("update(",burn_in,")"),"")</f>
        <v>update(1000)</v>
      </c>
    </row>
    <row r="21" spans="1:1" x14ac:dyDescent="0.25">
      <c r="A21" t="s">
        <v>27</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201</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199</v>
      </c>
    </row>
    <row r="35" spans="1:1" x14ac:dyDescent="0.25">
      <c r="A35" t="s">
        <v>28</v>
      </c>
    </row>
    <row r="36" spans="1:1" x14ac:dyDescent="0.25">
      <c r="A36" t="str">
        <f>IF(auto_run,CONCATENATE("update(",model_runs,")"),"")</f>
        <v>update(1000)</v>
      </c>
    </row>
    <row r="37" spans="1:1" x14ac:dyDescent="0.25">
      <c r="A37" t="s">
        <v>75</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76</v>
      </c>
    </row>
    <row r="45" spans="1:1" x14ac:dyDescent="0.25">
      <c r="A45" t="str">
        <f ca="1">IF(auto_run,CONCATENATE("save('",SUBSTITUTE(results_directory,"\","/"),FEresults_name,TEXT(date_time," m d yyyy h mm ss AM/PM"),".txt')"),"")</f>
        <v>save('C:/WinBUGS Results/Fixed Effect Results 1 18 2018 12 32 58 PM.txt')</v>
      </c>
    </row>
    <row r="46" spans="1:1" x14ac:dyDescent="0.25">
      <c r="A46" t="str">
        <f ca="1">IF(auto_run,CONCATENATE("save('",SUBSTITUTE(results_directory,"\","/"),FEresults_name,TEXT(date_time," m d yyyy h mm ss AM/PM"),".odc')"),"")</f>
        <v>save('C:/WinBUGS Results/Fixed Effect Results 1 18 2018 12 32 58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18</v>
      </c>
    </row>
    <row r="2" spans="1:1" x14ac:dyDescent="0.25">
      <c r="A2" t="s">
        <v>19</v>
      </c>
    </row>
    <row r="3" spans="1:1" x14ac:dyDescent="0.25">
      <c r="A3" t="s">
        <v>20</v>
      </c>
    </row>
    <row r="4" spans="1:1" x14ac:dyDescent="0.25">
      <c r="A4" t="str">
        <f>CONCATENATE("check('",SUBSTITUTE(data_directory,"\","/"),REmodel_name,".txt')")</f>
        <v>check('C:/WinBUGS data/Random Effect Model (Vague).txt')</v>
      </c>
    </row>
    <row r="5" spans="1:1" x14ac:dyDescent="0.25">
      <c r="A5" t="s">
        <v>21</v>
      </c>
    </row>
    <row r="6" spans="1:1" x14ac:dyDescent="0.25">
      <c r="A6" t="str">
        <f>CONCATENATE("data('",SUBSTITUTE(data_directory,"\","/"),datalist_name,".txt')")</f>
        <v>data('C:/WinBUGS data/Data List.txt')</v>
      </c>
    </row>
    <row r="7" spans="1:1" x14ac:dyDescent="0.25">
      <c r="A7" t="s">
        <v>77</v>
      </c>
    </row>
    <row r="8" spans="1:1" x14ac:dyDescent="0.25">
      <c r="A8" t="str">
        <f>CONCATENATE("data('",SUBSTITUTE(data_directory,"\","/"),data_name,".txt')")</f>
        <v>data('C:/WinBUGS data/Data Table.txt')</v>
      </c>
    </row>
    <row r="9" spans="1:1" x14ac:dyDescent="0.25">
      <c r="A9" t="s">
        <v>22</v>
      </c>
    </row>
    <row r="10" spans="1:1" x14ac:dyDescent="0.25">
      <c r="A10" t="s">
        <v>23</v>
      </c>
    </row>
    <row r="11" spans="1:1" x14ac:dyDescent="0.25">
      <c r="A11" t="s">
        <v>21</v>
      </c>
    </row>
    <row r="12" spans="1:1" x14ac:dyDescent="0.25">
      <c r="A12" t="str">
        <f>CONCATENATE("inits(1,'",SUBSTITUTE(data_directory,"\","/"),REinits_name,"1.txt')")</f>
        <v>inits(1,'C:/WinBUGS data/Random Effect Inits (Vague)1.txt')</v>
      </c>
    </row>
    <row r="13" spans="1:1" x14ac:dyDescent="0.25">
      <c r="A13" t="s">
        <v>21</v>
      </c>
    </row>
    <row r="14" spans="1:1" x14ac:dyDescent="0.25">
      <c r="A14" t="str">
        <f>CONCATENATE("inits(2,'",SUBSTITUTE(data_directory,"\","/"),REinits_name,"2.txt')")</f>
        <v>inits(2,'C:/WinBUGS data/Random Effect Inits (Vague)2.txt')</v>
      </c>
    </row>
    <row r="15" spans="1:1" x14ac:dyDescent="0.25">
      <c r="A15" t="s">
        <v>21</v>
      </c>
    </row>
    <row r="16" spans="1:1" x14ac:dyDescent="0.25">
      <c r="A16" t="str">
        <f>CONCATENATE("inits(3,'",SUBSTITUTE(data_directory,"\","/"),REinits_name,"3.txt')")</f>
        <v>inits(3,'C:/WinBUGS data/Random Effect Inits (Vague)3.txt')</v>
      </c>
    </row>
    <row r="17" spans="1:1" x14ac:dyDescent="0.25">
      <c r="A17" t="s">
        <v>24</v>
      </c>
    </row>
    <row r="18" spans="1:1" x14ac:dyDescent="0.25">
      <c r="A18" t="s">
        <v>25</v>
      </c>
    </row>
    <row r="19" spans="1:1" x14ac:dyDescent="0.25">
      <c r="A19" t="s">
        <v>26</v>
      </c>
    </row>
    <row r="20" spans="1:1" x14ac:dyDescent="0.25">
      <c r="A20" t="str">
        <f>IF(auto_run,CONCATENATE("update(",burn_in,")"),"")</f>
        <v>update(1000)</v>
      </c>
    </row>
    <row r="21" spans="1:1" x14ac:dyDescent="0.25">
      <c r="A21" t="s">
        <v>27</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199</v>
      </c>
    </row>
    <row r="33" spans="1:1" x14ac:dyDescent="0.25">
      <c r="A33" t="s">
        <v>201</v>
      </c>
    </row>
    <row r="34" spans="1:1" x14ac:dyDescent="0.25">
      <c r="A34" t="s">
        <v>265</v>
      </c>
    </row>
    <row r="35" spans="1:1" x14ac:dyDescent="0.25">
      <c r="A35" t="s">
        <v>28</v>
      </c>
    </row>
    <row r="36" spans="1:1" x14ac:dyDescent="0.25">
      <c r="A36" t="str">
        <f>IF(auto_run,CONCATENATE("update(",model_runs,")"),"")</f>
        <v>update(1000)</v>
      </c>
    </row>
    <row r="37" spans="1:1" x14ac:dyDescent="0.25">
      <c r="A37" t="s">
        <v>75</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76</v>
      </c>
    </row>
    <row r="45" spans="1:1" x14ac:dyDescent="0.25">
      <c r="A45" t="str">
        <f ca="1">IF(auto_run,CONCATENATE("save('",SUBSTITUTE(results_directory,"\","/"),REresults_name,TEXT(date_time," m d yyyy h mm ss AM/PM"),".txt')"),"")</f>
        <v>save('C:/WinBUGS Results/Random Effect Results (Vague ) 1 18 2018 12 32 58 PM.txt')</v>
      </c>
    </row>
    <row r="46" spans="1:1" x14ac:dyDescent="0.25">
      <c r="A46" t="str">
        <f ca="1">IF(auto_run,CONCATENATE("save('",SUBSTITUTE(results_directory,"\","/"),REresults_name,TEXT(date_time," m d yyyy h mm ss AM/PM"),".odc')"),"")</f>
        <v>save('C:/WinBUGS Results/Random Effect Results (Vague ) 1 18 2018 12 32 58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18</v>
      </c>
    </row>
    <row r="2" spans="1:1" x14ac:dyDescent="0.25">
      <c r="A2" t="s">
        <v>19</v>
      </c>
    </row>
    <row r="3" spans="1:1" x14ac:dyDescent="0.25">
      <c r="A3" t="s">
        <v>20</v>
      </c>
    </row>
    <row r="4" spans="1:1" x14ac:dyDescent="0.25">
      <c r="A4" t="str">
        <f>CONCATENATE("check('",SUBSTITUTE(data_directory,"\","/"),"Inconsistency ",FEmodel_name,".txt')")</f>
        <v>check('C:/WinBUGS data/Inconsistency Fixed Effect Model.txt')</v>
      </c>
    </row>
    <row r="5" spans="1:1" x14ac:dyDescent="0.25">
      <c r="A5" t="s">
        <v>21</v>
      </c>
    </row>
    <row r="6" spans="1:1" x14ac:dyDescent="0.25">
      <c r="A6" t="str">
        <f>CONCATENATE("data('",SUBSTITUTE(data_directory,"\","/"),"Inconsistency ",datalist_name,".txt')")</f>
        <v>data('C:/WinBUGS data/Inconsistency Data List.txt')</v>
      </c>
    </row>
    <row r="7" spans="1:1" x14ac:dyDescent="0.25">
      <c r="A7" t="s">
        <v>77</v>
      </c>
    </row>
    <row r="8" spans="1:1" x14ac:dyDescent="0.25">
      <c r="A8" t="str">
        <f>CONCATENATE("data('",SUBSTITUTE(data_directory,"\","/"),"Inconsistency ",data_name,".txt')")</f>
        <v>data('C:/WinBUGS data/Inconsistency Data Table.txt')</v>
      </c>
    </row>
    <row r="9" spans="1:1" x14ac:dyDescent="0.25">
      <c r="A9" t="s">
        <v>22</v>
      </c>
    </row>
    <row r="10" spans="1:1" x14ac:dyDescent="0.25">
      <c r="A10" t="s">
        <v>23</v>
      </c>
    </row>
    <row r="11" spans="1:1" x14ac:dyDescent="0.25">
      <c r="A11" t="s">
        <v>21</v>
      </c>
    </row>
    <row r="12" spans="1:1" x14ac:dyDescent="0.25">
      <c r="A12" t="str">
        <f>CONCATENATE("inits(1,'",SUBSTITUTE(data_directory,"\","/"),"Inconsistency ",FEinits_name,"1.txt')")</f>
        <v>inits(1,'C:/WinBUGS data/Inconsistency Fixed Effect Inits1.txt')</v>
      </c>
    </row>
    <row r="13" spans="1:1" x14ac:dyDescent="0.25">
      <c r="A13" t="s">
        <v>21</v>
      </c>
    </row>
    <row r="14" spans="1:1" x14ac:dyDescent="0.25">
      <c r="A14" t="str">
        <f>CONCATENATE("inits(2,'",SUBSTITUTE(data_directory,"\","/"),"Inconsistency ",FEinits_name,"2.txt')")</f>
        <v>inits(2,'C:/WinBUGS data/Inconsistency Fixed Effect Inits2.txt')</v>
      </c>
    </row>
    <row r="15" spans="1:1" x14ac:dyDescent="0.25">
      <c r="A15" t="s">
        <v>21</v>
      </c>
    </row>
    <row r="16" spans="1:1" x14ac:dyDescent="0.25">
      <c r="A16" t="str">
        <f>CONCATENATE("inits(3,'",SUBSTITUTE(data_directory,"\","/"),"Inconsistency ",FEinits_name,"3.txt')")</f>
        <v>inits(3,'C:/WinBUGS data/Inconsistency Fixed Effect Inits3.txt')</v>
      </c>
    </row>
    <row r="17" spans="1:1" x14ac:dyDescent="0.25">
      <c r="A17" t="s">
        <v>24</v>
      </c>
    </row>
    <row r="18" spans="1:1" x14ac:dyDescent="0.25">
      <c r="A18" t="s">
        <v>25</v>
      </c>
    </row>
    <row r="19" spans="1:1" x14ac:dyDescent="0.25">
      <c r="A19" t="s">
        <v>26</v>
      </c>
    </row>
    <row r="20" spans="1:1" x14ac:dyDescent="0.25">
      <c r="A20" t="str">
        <f>IF(auto_run,CONCATENATE("update(",burn_in,")"),"")</f>
        <v>update(1000)</v>
      </c>
    </row>
    <row r="21" spans="1:1" x14ac:dyDescent="0.25">
      <c r="A21" t="s">
        <v>27</v>
      </c>
    </row>
    <row r="22" spans="1:1" x14ac:dyDescent="0.25">
      <c r="A22" t="s">
        <v>199</v>
      </c>
    </row>
    <row r="23" spans="1:1" x14ac:dyDescent="0.25">
      <c r="A23" t="s">
        <v>200</v>
      </c>
    </row>
    <row r="24" spans="1:1" x14ac:dyDescent="0.25">
      <c r="A24" t="s">
        <v>201</v>
      </c>
    </row>
    <row r="25" spans="1:1" x14ac:dyDescent="0.25">
      <c r="A25" t="str">
        <f>IF(auto_run,IF(DIC,"dic.set()",""),"")</f>
        <v>dic.set()</v>
      </c>
    </row>
    <row r="26" spans="1:1" x14ac:dyDescent="0.25">
      <c r="A26" t="s">
        <v>28</v>
      </c>
    </row>
    <row r="27" spans="1:1" x14ac:dyDescent="0.25">
      <c r="A27" t="str">
        <f>IF(auto_run,CONCATENATE("update(",model_runs,")"),"")</f>
        <v>update(1000)</v>
      </c>
    </row>
    <row r="28" spans="1:1" x14ac:dyDescent="0.25">
      <c r="A28" t="s">
        <v>75</v>
      </c>
    </row>
    <row r="29" spans="1:1" x14ac:dyDescent="0.25">
      <c r="A29" t="str">
        <f>IF(auto_run,"stats(*)","")</f>
        <v>stats(*)</v>
      </c>
    </row>
    <row r="30" spans="1:1" x14ac:dyDescent="0.25">
      <c r="A30" t="s">
        <v>76</v>
      </c>
    </row>
    <row r="31" spans="1:1" x14ac:dyDescent="0.25">
      <c r="A31" t="str">
        <f ca="1">IF(auto_run,CONCATENATE("save('",SUBSTITUTE(results_directory,"\","/"),"Inconsistency ",FEresults_name,TEXT(date_time," m d yyyy h mm ss AM/PM"),".txt')"),"")</f>
        <v>save('C:/WinBUGS Results/Inconsistency Fixed Effect Results 1 18 2018 12 32 58 PM.txt')</v>
      </c>
    </row>
    <row r="32" spans="1:1" x14ac:dyDescent="0.25">
      <c r="A32" t="str">
        <f ca="1">IF(auto_run,CONCATENATE("save('",SUBSTITUTE(results_directory,"\","/"),"Inconsistency ",FEresults_name,TEXT(date_time," m d yyyy h mm ss AM/PM"),".odc')"),"")</f>
        <v>save('C:/WinBUGS Results/Inconsistency Fixed Effect Results 1 18 2018 12 32 58 PM.odc')</v>
      </c>
    </row>
    <row r="33" spans="1:1" x14ac:dyDescent="0.25">
      <c r="A33" t="s">
        <v>208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18</v>
      </c>
    </row>
    <row r="2" spans="1:1" x14ac:dyDescent="0.25">
      <c r="A2" t="s">
        <v>19</v>
      </c>
    </row>
    <row r="3" spans="1:1" x14ac:dyDescent="0.25">
      <c r="A3" t="s">
        <v>20</v>
      </c>
    </row>
    <row r="4" spans="1:1" x14ac:dyDescent="0.25">
      <c r="A4" t="str">
        <f>CONCATENATE("check('",SUBSTITUTE(data_directory,"\","/"),"Inconsistency ",REmodel_name,".txt')")</f>
        <v>check('C:/WinBUGS data/Inconsistency Random Effect Model (Vague).txt')</v>
      </c>
    </row>
    <row r="5" spans="1:1" x14ac:dyDescent="0.25">
      <c r="A5" t="s">
        <v>21</v>
      </c>
    </row>
    <row r="6" spans="1:1" x14ac:dyDescent="0.25">
      <c r="A6" t="str">
        <f>CONCATENATE("data('",SUBSTITUTE(data_directory,"\","/"),"Inconsistency ",datalist_name,".txt')")</f>
        <v>data('C:/WinBUGS data/Inconsistency Data List.txt')</v>
      </c>
    </row>
    <row r="7" spans="1:1" x14ac:dyDescent="0.25">
      <c r="A7" t="s">
        <v>21</v>
      </c>
    </row>
    <row r="8" spans="1:1" x14ac:dyDescent="0.25">
      <c r="A8" t="str">
        <f>CONCATENATE("data('",SUBSTITUTE(data_directory,"\","/"),"Inconsistency ",data_name,".txt')")</f>
        <v>data('C:/WinBUGS data/Inconsistency Data Table.txt')</v>
      </c>
    </row>
    <row r="9" spans="1:1" x14ac:dyDescent="0.25">
      <c r="A9" t="s">
        <v>22</v>
      </c>
    </row>
    <row r="10" spans="1:1" x14ac:dyDescent="0.25">
      <c r="A10" t="s">
        <v>23</v>
      </c>
    </row>
    <row r="11" spans="1:1" x14ac:dyDescent="0.25">
      <c r="A11" t="s">
        <v>21</v>
      </c>
    </row>
    <row r="12" spans="1:1" x14ac:dyDescent="0.25">
      <c r="A12" t="str">
        <f>CONCATENATE("inits(1,'",SUBSTITUTE(data_directory,"\","/"),"Inconsistency ",REinits_name,"1.txt')")</f>
        <v>inits(1,'C:/WinBUGS data/Inconsistency Random Effect Inits (Vague)1.txt')</v>
      </c>
    </row>
    <row r="13" spans="1:1" x14ac:dyDescent="0.25">
      <c r="A13" t="s">
        <v>21</v>
      </c>
    </row>
    <row r="14" spans="1:1" x14ac:dyDescent="0.25">
      <c r="A14" t="str">
        <f>CONCATENATE("inits(2,'",SUBSTITUTE(data_directory,"\","/"),"Inconsistency ",REinits_name,"2.txt')")</f>
        <v>inits(2,'C:/WinBUGS data/Inconsistency Random Effect Inits (Vague)2.txt')</v>
      </c>
    </row>
    <row r="15" spans="1:1" x14ac:dyDescent="0.25">
      <c r="A15" t="s">
        <v>21</v>
      </c>
    </row>
    <row r="16" spans="1:1" x14ac:dyDescent="0.25">
      <c r="A16" t="str">
        <f>CONCATENATE("inits(3,'",SUBSTITUTE(data_directory,"\","/"),"Inconsistency ",REinits_name,"3.txt')")</f>
        <v>inits(3,'C:/WinBUGS data/Inconsistency Random Effect Inits (Vague)3.txt')</v>
      </c>
    </row>
    <row r="17" spans="1:1" x14ac:dyDescent="0.25">
      <c r="A17" t="s">
        <v>24</v>
      </c>
    </row>
    <row r="18" spans="1:1" x14ac:dyDescent="0.25">
      <c r="A18" t="s">
        <v>25</v>
      </c>
    </row>
    <row r="19" spans="1:1" x14ac:dyDescent="0.25">
      <c r="A19" t="s">
        <v>26</v>
      </c>
    </row>
    <row r="20" spans="1:1" x14ac:dyDescent="0.25">
      <c r="A20" t="str">
        <f>IF(auto_run,CONCATENATE("update(",burn_in,")"),"")</f>
        <v>update(1000)</v>
      </c>
    </row>
    <row r="21" spans="1:1" x14ac:dyDescent="0.25">
      <c r="A21" t="s">
        <v>27</v>
      </c>
    </row>
    <row r="22" spans="1:1" x14ac:dyDescent="0.25">
      <c r="A22" t="s">
        <v>199</v>
      </c>
    </row>
    <row r="23" spans="1:1" x14ac:dyDescent="0.25">
      <c r="A23" t="s">
        <v>200</v>
      </c>
    </row>
    <row r="24" spans="1:1" x14ac:dyDescent="0.25">
      <c r="A24" t="s">
        <v>201</v>
      </c>
    </row>
    <row r="25" spans="1:1" x14ac:dyDescent="0.25">
      <c r="A25" t="s">
        <v>28</v>
      </c>
    </row>
    <row r="26" spans="1:1" x14ac:dyDescent="0.25">
      <c r="A26" t="str">
        <f>IF(auto_run,CONCATENATE("update(",model_runs,")"),"")</f>
        <v>update(1000)</v>
      </c>
    </row>
    <row r="27" spans="1:1" x14ac:dyDescent="0.25">
      <c r="A27" t="s">
        <v>75</v>
      </c>
    </row>
    <row r="28" spans="1:1" x14ac:dyDescent="0.25">
      <c r="A28" t="str">
        <f>IF(auto_run,"stats(*)","")</f>
        <v>stats(*)</v>
      </c>
    </row>
    <row r="29" spans="1:1" x14ac:dyDescent="0.25">
      <c r="A29" t="s">
        <v>76</v>
      </c>
    </row>
    <row r="30" spans="1:1" x14ac:dyDescent="0.25">
      <c r="A30" t="str">
        <f ca="1">IF(auto_run,CONCATENATE("save('",SUBSTITUTE(results_directory,"\","/"),"Inconsistency ",REresults_name,TEXT(date_time," m d yyyy h mm ss AM/PM"),".txt')"),"")</f>
        <v>save('C:/WinBUGS Results/Inconsistency Random Effect Results (Vague ) 1 18 2018 12 32 58 PM.txt')</v>
      </c>
    </row>
    <row r="31" spans="1:1" x14ac:dyDescent="0.25">
      <c r="A31" t="str">
        <f ca="1">IF(auto_run,CONCATENATE("save('",SUBSTITUTE(results_directory,"\","/"),"Inconsistency ",REresults_name,TEXT(date_time," m d yyyy h mm ss AM/PM"),".odc')"),"")</f>
        <v>save('C:/WinBUGS Results/Inconsistency Random Effect Results (Vague ) 1 18 2018 12 32 58 PM.odc')</v>
      </c>
    </row>
    <row r="32" spans="1:1" x14ac:dyDescent="0.25">
      <c r="A32" t="s">
        <v>208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29</v>
      </c>
      <c r="D1" t="s">
        <v>124</v>
      </c>
    </row>
    <row r="2" spans="1:8" x14ac:dyDescent="0.25">
      <c r="B2" t="s">
        <v>79</v>
      </c>
    </row>
    <row r="3" spans="1:8" x14ac:dyDescent="0.25">
      <c r="B3" t="s">
        <v>80</v>
      </c>
    </row>
    <row r="4" spans="1:8" x14ac:dyDescent="0.25">
      <c r="B4" t="s">
        <v>410</v>
      </c>
    </row>
    <row r="5" spans="1:8" x14ac:dyDescent="0.25">
      <c r="B5" t="s">
        <v>30</v>
      </c>
      <c r="G5" t="s">
        <v>413</v>
      </c>
    </row>
    <row r="6" spans="1:8" x14ac:dyDescent="0.25">
      <c r="B6" t="s">
        <v>81</v>
      </c>
      <c r="G6" t="s">
        <v>414</v>
      </c>
    </row>
    <row r="7" spans="1:8" x14ac:dyDescent="0.25">
      <c r="C7" t="s">
        <v>89</v>
      </c>
    </row>
    <row r="8" spans="1:8" x14ac:dyDescent="0.25">
      <c r="C8" t="s">
        <v>143</v>
      </c>
    </row>
    <row r="9" spans="1:8" x14ac:dyDescent="0.25">
      <c r="A9" t="s">
        <v>82</v>
      </c>
      <c r="C9" t="s">
        <v>319</v>
      </c>
      <c r="H9" t="s">
        <v>412</v>
      </c>
    </row>
    <row r="10" spans="1:8" x14ac:dyDescent="0.25">
      <c r="C10" t="s">
        <v>320</v>
      </c>
      <c r="H10" t="s">
        <v>411</v>
      </c>
    </row>
    <row r="11" spans="1:8" x14ac:dyDescent="0.25">
      <c r="C11" t="s">
        <v>416</v>
      </c>
    </row>
    <row r="12" spans="1:8" x14ac:dyDescent="0.25">
      <c r="C12" t="s">
        <v>415</v>
      </c>
    </row>
    <row r="13" spans="1:8" x14ac:dyDescent="0.25">
      <c r="C13" t="s">
        <v>31</v>
      </c>
    </row>
    <row r="14" spans="1:8" x14ac:dyDescent="0.25">
      <c r="B14" t="s">
        <v>324</v>
      </c>
      <c r="F14" t="s">
        <v>323</v>
      </c>
    </row>
    <row r="15" spans="1:8" x14ac:dyDescent="0.25">
      <c r="A15" t="s">
        <v>84</v>
      </c>
      <c r="B15" t="s">
        <v>85</v>
      </c>
    </row>
    <row r="16" spans="1:8" x14ac:dyDescent="0.25">
      <c r="B16" t="s">
        <v>417</v>
      </c>
    </row>
    <row r="18" spans="1:6" x14ac:dyDescent="0.25">
      <c r="B18" t="s">
        <v>33</v>
      </c>
    </row>
    <row r="20" spans="1:6" x14ac:dyDescent="0.25">
      <c r="B20" t="s">
        <v>86</v>
      </c>
    </row>
    <row r="21" spans="1:6" x14ac:dyDescent="0.25">
      <c r="B21" t="s">
        <v>83</v>
      </c>
    </row>
    <row r="22" spans="1:6" x14ac:dyDescent="0.25">
      <c r="C22" t="s">
        <v>87</v>
      </c>
    </row>
    <row r="23" spans="1:6" x14ac:dyDescent="0.25">
      <c r="B23" t="s">
        <v>88</v>
      </c>
    </row>
    <row r="25" spans="1:6" x14ac:dyDescent="0.25">
      <c r="A25" t="s">
        <v>84</v>
      </c>
    </row>
    <row r="26" spans="1:6" x14ac:dyDescent="0.25">
      <c r="B26" t="s">
        <v>78</v>
      </c>
    </row>
    <row r="27" spans="1:6" x14ac:dyDescent="0.25">
      <c r="B27" t="s">
        <v>90</v>
      </c>
    </row>
    <row r="28" spans="1:6" x14ac:dyDescent="0.25">
      <c r="B28" t="s">
        <v>89</v>
      </c>
    </row>
    <row r="29" spans="1:6" x14ac:dyDescent="0.25">
      <c r="C29" t="str">
        <f>IF(events_bad,"","rk[k]&lt;-NT+1-rank(d[],k)")</f>
        <v/>
      </c>
      <c r="F29" t="s">
        <v>158</v>
      </c>
    </row>
    <row r="30" spans="1:6" x14ac:dyDescent="0.25">
      <c r="C30" t="str">
        <f>IF(events_bad,"rk[k]&lt;- rank(d[],k)","")</f>
        <v>rk[k]&lt;- rank(d[],k)</v>
      </c>
      <c r="F30" t="s">
        <v>157</v>
      </c>
    </row>
    <row r="31" spans="1:6" x14ac:dyDescent="0.25">
      <c r="A31" t="s">
        <v>91</v>
      </c>
      <c r="C31" t="s">
        <v>134</v>
      </c>
    </row>
    <row r="33" spans="2:4" x14ac:dyDescent="0.25">
      <c r="C33" t="s">
        <v>92</v>
      </c>
    </row>
    <row r="34" spans="2:4" x14ac:dyDescent="0.25">
      <c r="C34" t="s">
        <v>83</v>
      </c>
    </row>
    <row r="35" spans="2:4" x14ac:dyDescent="0.25">
      <c r="D35" t="s">
        <v>259</v>
      </c>
    </row>
    <row r="36" spans="2:4" x14ac:dyDescent="0.25">
      <c r="C36" t="s">
        <v>32</v>
      </c>
    </row>
    <row r="37" spans="2:4" x14ac:dyDescent="0.25">
      <c r="B37" t="s">
        <v>32</v>
      </c>
    </row>
    <row r="38" spans="2:4" x14ac:dyDescent="0.25">
      <c r="B38" t="s">
        <v>90</v>
      </c>
    </row>
    <row r="39" spans="2:4" x14ac:dyDescent="0.25">
      <c r="B39" t="s">
        <v>89</v>
      </c>
    </row>
    <row r="40" spans="2:4" x14ac:dyDescent="0.25">
      <c r="C40" t="s">
        <v>92</v>
      </c>
    </row>
    <row r="41" spans="2:4" x14ac:dyDescent="0.25">
      <c r="C41" t="s">
        <v>83</v>
      </c>
    </row>
    <row r="42" spans="2:4" x14ac:dyDescent="0.25">
      <c r="D42" t="s">
        <v>258</v>
      </c>
    </row>
    <row r="43" spans="2:4" x14ac:dyDescent="0.25">
      <c r="C43" t="s">
        <v>32</v>
      </c>
    </row>
    <row r="44" spans="2:4" x14ac:dyDescent="0.25">
      <c r="B44" t="s">
        <v>32</v>
      </c>
    </row>
    <row r="45" spans="2:4" x14ac:dyDescent="0.25">
      <c r="B45" t="s">
        <v>145</v>
      </c>
    </row>
    <row r="46" spans="2:4" x14ac:dyDescent="0.25">
      <c r="B46" t="s">
        <v>83</v>
      </c>
    </row>
    <row r="47" spans="2:4" x14ac:dyDescent="0.25">
      <c r="B47" t="s">
        <v>144</v>
      </c>
    </row>
    <row r="48" spans="2:4" x14ac:dyDescent="0.25">
      <c r="B48" t="s">
        <v>32</v>
      </c>
    </row>
    <row r="50" spans="1:4" x14ac:dyDescent="0.25">
      <c r="B50" t="s">
        <v>451</v>
      </c>
    </row>
    <row r="51" spans="1:4" x14ac:dyDescent="0.25">
      <c r="B51" t="s">
        <v>93</v>
      </c>
    </row>
    <row r="52" spans="1:4" x14ac:dyDescent="0.25">
      <c r="B52" t="s">
        <v>94</v>
      </c>
    </row>
    <row r="53" spans="1:4" x14ac:dyDescent="0.25">
      <c r="C53" t="s">
        <v>95</v>
      </c>
    </row>
    <row r="54" spans="1:4" x14ac:dyDescent="0.25">
      <c r="C54" t="s">
        <v>89</v>
      </c>
    </row>
    <row r="55" spans="1:4" x14ac:dyDescent="0.25">
      <c r="D55" t="s">
        <v>110</v>
      </c>
    </row>
    <row r="56" spans="1:4" x14ac:dyDescent="0.25">
      <c r="D56" t="s">
        <v>115</v>
      </c>
    </row>
    <row r="57" spans="1:4" x14ac:dyDescent="0.25">
      <c r="C57" t="s">
        <v>96</v>
      </c>
    </row>
    <row r="58" spans="1:4" x14ac:dyDescent="0.25">
      <c r="B58" t="s">
        <v>32</v>
      </c>
    </row>
    <row r="60" spans="1:4" x14ac:dyDescent="0.25">
      <c r="A60" t="s">
        <v>32</v>
      </c>
      <c r="B60" t="s">
        <v>97</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4" t="s">
        <v>243</v>
      </c>
      <c r="B4" s="104" t="s">
        <v>244</v>
      </c>
      <c r="C4" s="104" t="s">
        <v>237</v>
      </c>
      <c r="E4" s="14" t="s">
        <v>238</v>
      </c>
      <c r="F4" s="14" t="s">
        <v>239</v>
      </c>
      <c r="G4" s="55" t="s">
        <v>111</v>
      </c>
      <c r="H4" s="58" t="s">
        <v>240</v>
      </c>
      <c r="I4" s="58" t="s">
        <v>113</v>
      </c>
      <c r="J4" s="58" t="s">
        <v>241</v>
      </c>
      <c r="K4" s="58" t="str">
        <f>$N$4 &amp;" (95% Cr.I.)"</f>
        <v>O.R. (95% Cr.I.)</v>
      </c>
      <c r="L4" s="58" t="str">
        <f>$N$4 &amp;" (95% Cr.I.)"</f>
        <v>O.R. (95% Cr.I.)</v>
      </c>
      <c r="N4" s="106" t="str">
        <f>IF(Forest="RR", "R.R","O.R.")</f>
        <v>O.R.</v>
      </c>
      <c r="O4" s="55" t="s">
        <v>111</v>
      </c>
      <c r="P4" s="58" t="s">
        <v>112</v>
      </c>
      <c r="Q4" s="58" t="s">
        <v>113</v>
      </c>
      <c r="R4" s="58" t="s">
        <v>114</v>
      </c>
      <c r="S4" s="58" t="s">
        <v>242</v>
      </c>
      <c r="T4" s="58" t="s">
        <v>239</v>
      </c>
    </row>
    <row r="5" spans="1:20" x14ac:dyDescent="0.25">
      <c r="K5" s="59" t="str">
        <f t="shared" ref="K5:K40" si="0">CONCATENATE(TEXT(I5,"0.00")," (",TEXT(H5,"0.00")," – ",TEXT(J5,"0.00"),")")</f>
        <v>0.00 (0.00 – 0.00)</v>
      </c>
      <c r="L5" s="16" t="str">
        <f t="shared" ref="L5:L40" si="1">CONCATENATE(TEXT(I5,"0.00"),"
(",TEXT(H5,"0.00")," – ",TEXT(J5,"0.00"),")")</f>
        <v>0.00
(0.00 – 0.00)</v>
      </c>
      <c r="N5" s="59"/>
      <c r="O5" s="105"/>
    </row>
    <row r="6" spans="1:20" x14ac:dyDescent="0.25">
      <c r="B6" s="19"/>
      <c r="C6" s="19"/>
      <c r="K6" s="59" t="str">
        <f t="shared" si="0"/>
        <v>0.00 (0.00 – 0.00)</v>
      </c>
      <c r="L6" s="16" t="str">
        <f t="shared" si="1"/>
        <v>0.00
(0.00 – 0.00)</v>
      </c>
      <c r="N6" s="59"/>
      <c r="O6" s="16"/>
    </row>
    <row r="7" spans="1:20" x14ac:dyDescent="0.25">
      <c r="B7" s="19"/>
      <c r="C7" s="19"/>
      <c r="F7" s="59"/>
      <c r="G7" s="54"/>
      <c r="H7" s="16"/>
      <c r="I7" s="16"/>
      <c r="J7" s="16"/>
      <c r="K7" s="59" t="str">
        <f t="shared" si="0"/>
        <v>0.00 (0.00 – 0.00)</v>
      </c>
      <c r="L7" s="16" t="str">
        <f t="shared" si="1"/>
        <v>0.00
(0.00 – 0.00)</v>
      </c>
      <c r="N7" s="59"/>
      <c r="O7" s="16"/>
    </row>
    <row r="8" spans="1:20" x14ac:dyDescent="0.25">
      <c r="B8" s="19"/>
      <c r="C8" s="19"/>
      <c r="F8" s="59"/>
      <c r="G8" s="54"/>
      <c r="H8" s="16"/>
      <c r="I8" s="16"/>
      <c r="J8" s="16"/>
      <c r="K8" s="59" t="str">
        <f t="shared" si="0"/>
        <v>0.00 (0.00 – 0.00)</v>
      </c>
      <c r="L8" s="16" t="str">
        <f t="shared" si="1"/>
        <v>0.00
(0.00 – 0.00)</v>
      </c>
      <c r="N8" s="59"/>
      <c r="O8" s="16"/>
    </row>
    <row r="9" spans="1:20" x14ac:dyDescent="0.25">
      <c r="K9" s="59" t="str">
        <f t="shared" si="0"/>
        <v>0.00 (0.00 – 0.00)</v>
      </c>
      <c r="L9" s="16" t="str">
        <f t="shared" si="1"/>
        <v>0.00
(0.00 – 0.00)</v>
      </c>
      <c r="N9" s="59"/>
      <c r="O9" s="16"/>
    </row>
    <row r="10" spans="1:20" x14ac:dyDescent="0.25">
      <c r="B10" s="19"/>
      <c r="C10" s="19"/>
      <c r="E10" s="57"/>
      <c r="F10" s="57"/>
      <c r="G10" s="57"/>
      <c r="H10" s="57"/>
      <c r="I10" s="57"/>
      <c r="J10" s="57"/>
      <c r="K10" s="59" t="str">
        <f t="shared" si="0"/>
        <v>0.00 (0.00 – 0.00)</v>
      </c>
      <c r="L10" s="16" t="str">
        <f t="shared" si="1"/>
        <v>0.00
(0.00 – 0.00)</v>
      </c>
      <c r="N10" s="59"/>
      <c r="O10" s="16"/>
    </row>
    <row r="11" spans="1:20" x14ac:dyDescent="0.25">
      <c r="K11" s="59" t="str">
        <f t="shared" si="0"/>
        <v>0.00 (0.00 – 0.00)</v>
      </c>
      <c r="L11" s="16" t="str">
        <f t="shared" si="1"/>
        <v>0.00
(0.00 – 0.00)</v>
      </c>
      <c r="N11" s="59"/>
      <c r="O11" s="16"/>
    </row>
    <row r="12" spans="1:20" x14ac:dyDescent="0.25">
      <c r="B12" s="19"/>
      <c r="C12" s="19"/>
      <c r="K12" s="59" t="str">
        <f t="shared" si="0"/>
        <v>0.00 (0.00 – 0.00)</v>
      </c>
      <c r="L12" s="16" t="str">
        <f t="shared" si="1"/>
        <v>0.00
(0.00 – 0.00)</v>
      </c>
      <c r="N12" s="59"/>
      <c r="O12" s="16"/>
    </row>
    <row r="13" spans="1:20" x14ac:dyDescent="0.25">
      <c r="E13" s="57"/>
      <c r="F13" s="57"/>
      <c r="G13" s="57"/>
      <c r="H13" s="57"/>
      <c r="I13" s="57"/>
      <c r="J13" s="57"/>
      <c r="K13" s="59" t="str">
        <f t="shared" si="0"/>
        <v>0.00 (0.00 – 0.00)</v>
      </c>
      <c r="L13" s="16" t="str">
        <f t="shared" si="1"/>
        <v>0.00
(0.00 – 0.00)</v>
      </c>
      <c r="N13" s="59"/>
      <c r="O13" s="16"/>
    </row>
    <row r="14" spans="1:20" x14ac:dyDescent="0.25">
      <c r="K14" s="59" t="str">
        <f t="shared" si="0"/>
        <v>0.00 (0.00 – 0.00)</v>
      </c>
      <c r="L14" s="16" t="str">
        <f t="shared" si="1"/>
        <v>0.00
(0.00 – 0.00)</v>
      </c>
      <c r="N14" s="59"/>
      <c r="O14" s="16"/>
    </row>
    <row r="15" spans="1:20" ht="15" customHeight="1" x14ac:dyDescent="0.25">
      <c r="F15" s="59"/>
      <c r="G15" s="54"/>
      <c r="H15" s="16"/>
      <c r="I15" s="16"/>
      <c r="J15" s="16"/>
      <c r="K15" s="59" t="str">
        <f t="shared" si="0"/>
        <v>0.00 (0.00 – 0.00)</v>
      </c>
      <c r="L15" s="16" t="str">
        <f t="shared" si="1"/>
        <v>0.00
(0.00 – 0.00)</v>
      </c>
      <c r="N15" s="59"/>
      <c r="O15" s="16"/>
    </row>
    <row r="16" spans="1:20" ht="15" customHeight="1" x14ac:dyDescent="0.25">
      <c r="F16" s="59"/>
      <c r="G16" s="54"/>
      <c r="H16" s="16"/>
      <c r="I16" s="16"/>
      <c r="J16" s="16"/>
      <c r="K16" s="59" t="str">
        <f t="shared" si="0"/>
        <v>0.00 (0.00 – 0.00)</v>
      </c>
      <c r="L16" s="16" t="str">
        <f t="shared" si="1"/>
        <v>0.00
(0.00 – 0.00)</v>
      </c>
      <c r="N16" s="59"/>
      <c r="O16" s="16"/>
    </row>
    <row r="17" spans="5:15" ht="15" customHeight="1" x14ac:dyDescent="0.25">
      <c r="K17" s="59" t="str">
        <f t="shared" si="0"/>
        <v>0.00 (0.00 – 0.00)</v>
      </c>
      <c r="L17" s="16" t="str">
        <f t="shared" si="1"/>
        <v>0.00
(0.00 – 0.00)</v>
      </c>
      <c r="N17" s="59"/>
      <c r="O17" s="16"/>
    </row>
    <row r="18" spans="5:15" ht="15" customHeight="1" x14ac:dyDescent="0.25">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F20" s="59"/>
      <c r="G20" s="54"/>
      <c r="H20" s="16"/>
      <c r="I20" s="16"/>
      <c r="J20" s="16"/>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F22" s="59"/>
      <c r="G22" s="54"/>
      <c r="H22" s="16"/>
      <c r="I22" s="16"/>
      <c r="J22" s="16"/>
      <c r="K22" s="59" t="str">
        <f t="shared" si="0"/>
        <v>0.00 (0.00 – 0.00)</v>
      </c>
      <c r="L22" s="16" t="str">
        <f t="shared" si="1"/>
        <v>0.00
(0.00 – 0.00)</v>
      </c>
      <c r="N22" s="59"/>
      <c r="O22" s="16"/>
    </row>
    <row r="23" spans="5:15" ht="15" customHeight="1" x14ac:dyDescent="0.25">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F27" s="59"/>
      <c r="G27" s="54"/>
      <c r="H27" s="16"/>
      <c r="I27" s="16"/>
      <c r="J27" s="16"/>
      <c r="K27" s="59" t="str">
        <f t="shared" si="0"/>
        <v>0.00 (0.00 – 0.00)</v>
      </c>
      <c r="L27" s="16" t="str">
        <f t="shared" si="1"/>
        <v>0.00
(0.00 – 0.00)</v>
      </c>
      <c r="N27" s="59"/>
      <c r="O27" s="16"/>
    </row>
    <row r="28" spans="5:15" ht="15" customHeight="1" x14ac:dyDescent="0.25">
      <c r="F28" s="59"/>
      <c r="G28" s="54"/>
      <c r="H28" s="16"/>
      <c r="I28" s="16"/>
      <c r="J28" s="16"/>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F31" s="59"/>
      <c r="G31" s="54"/>
      <c r="H31" s="16"/>
      <c r="I31" s="16"/>
      <c r="J31" s="16"/>
      <c r="K31" s="59" t="str">
        <f t="shared" si="0"/>
        <v>0.00 (0.00 – 0.00)</v>
      </c>
      <c r="L31" s="16" t="str">
        <f t="shared" si="1"/>
        <v>0.00
(0.00 – 0.00)</v>
      </c>
      <c r="N31" s="59"/>
      <c r="O31" s="16"/>
    </row>
    <row r="32" spans="5:15" ht="15" customHeight="1" x14ac:dyDescent="0.25">
      <c r="E32" s="57"/>
      <c r="F32" s="57"/>
      <c r="G32" s="57"/>
      <c r="H32" s="57"/>
      <c r="I32" s="57"/>
      <c r="J32" s="57"/>
      <c r="K32" s="59" t="str">
        <f t="shared" si="0"/>
        <v>0.00 (0.00 – 0.00)</v>
      </c>
      <c r="L32" s="16" t="str">
        <f t="shared" si="1"/>
        <v>0.00
(0.00 – 0.00)</v>
      </c>
      <c r="N32" s="59"/>
      <c r="O32" s="16"/>
    </row>
    <row r="33" spans="3:15" ht="15" customHeight="1" x14ac:dyDescent="0.25">
      <c r="F33" s="59"/>
      <c r="G33" s="54"/>
      <c r="H33" s="16"/>
      <c r="I33" s="16"/>
      <c r="J33" s="16"/>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K36" s="59" t="str">
        <f t="shared" si="0"/>
        <v>0.00 (0.00 – 0.00)</v>
      </c>
      <c r="L36" s="16" t="str">
        <f t="shared" si="1"/>
        <v>0.00
(0.00 – 0.00)</v>
      </c>
      <c r="M36" s="57"/>
      <c r="N36" s="59"/>
      <c r="O36" s="16"/>
    </row>
    <row r="37" spans="3:15" ht="15" customHeight="1" x14ac:dyDescent="0.25">
      <c r="C37" s="56"/>
      <c r="D37" s="57"/>
      <c r="K37" s="59" t="str">
        <f t="shared" si="0"/>
        <v>0.00 (0.00 – 0.00)</v>
      </c>
      <c r="L37" s="16" t="str">
        <f t="shared" si="1"/>
        <v>0.00
(0.00 – 0.00)</v>
      </c>
      <c r="M37" s="57"/>
      <c r="N37" s="59"/>
      <c r="O37" s="16"/>
    </row>
    <row r="38" spans="3:15" ht="15" customHeight="1" x14ac:dyDescent="0.25">
      <c r="C38" s="56"/>
      <c r="D38" s="57"/>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hidden="1" customHeight="1" x14ac:dyDescent="0.25">
      <c r="C41" s="56"/>
      <c r="D41" s="57"/>
      <c r="E41" s="57"/>
      <c r="F41" s="57"/>
      <c r="G41" s="57"/>
      <c r="H41" s="57"/>
      <c r="I41" s="57"/>
      <c r="J41" s="57"/>
      <c r="K41" s="59" t="str">
        <f t="shared" ref="K41:K68" si="2">CONCATENATE(TEXT(I41,"0.00")," (",TEXT(H41,"0.00")," – ",TEXT(J41,"0.00"),")")</f>
        <v>0.00 (0.00 – 0.00)</v>
      </c>
      <c r="L41" s="16" t="str">
        <f t="shared" ref="L41:L69" si="3">CONCATENATE(TEXT(I41,"0.00"),"
(",TEXT(H41,"0.00")," – ",TEXT(J41,"0.00"),")")</f>
        <v>0.00
(0.00 – 0.00)</v>
      </c>
      <c r="M41" s="57"/>
      <c r="N41" s="59"/>
      <c r="O41" s="16"/>
    </row>
    <row r="42" spans="3:15" ht="15" hidden="1" customHeight="1" x14ac:dyDescent="0.25">
      <c r="C42" s="56"/>
      <c r="D42" s="57"/>
      <c r="E42" s="57"/>
      <c r="F42" s="57"/>
      <c r="G42" s="57"/>
      <c r="H42" s="57"/>
      <c r="I42" s="57"/>
      <c r="J42" s="57"/>
      <c r="K42" s="59" t="str">
        <f t="shared" si="2"/>
        <v>0.00 (0.00 – 0.00)</v>
      </c>
      <c r="L42" s="16" t="str">
        <f t="shared" si="3"/>
        <v>0.00
(0.00 – 0.00)</v>
      </c>
      <c r="M42" s="57"/>
      <c r="N42" s="59"/>
      <c r="O42" s="16"/>
    </row>
    <row r="43" spans="3:15" ht="15" hidden="1" customHeight="1" x14ac:dyDescent="0.25">
      <c r="C43" s="56"/>
      <c r="D43" s="57"/>
      <c r="E43" s="57"/>
      <c r="F43" s="57"/>
      <c r="G43" s="57"/>
      <c r="H43" s="57"/>
      <c r="I43" s="57"/>
      <c r="J43" s="57"/>
      <c r="K43" s="59" t="str">
        <f t="shared" si="2"/>
        <v>0.00 (0.00 – 0.00)</v>
      </c>
      <c r="L43" s="16" t="str">
        <f t="shared" si="3"/>
        <v>0.00
(0.00 – 0.00)</v>
      </c>
      <c r="M43" s="57"/>
      <c r="N43" s="59"/>
      <c r="O43" s="16"/>
    </row>
    <row r="44" spans="3:15" ht="15" hidden="1" customHeight="1" x14ac:dyDescent="0.25">
      <c r="C44" s="56"/>
      <c r="D44" s="57"/>
      <c r="E44" s="57"/>
      <c r="F44" s="57"/>
      <c r="G44" s="57"/>
      <c r="H44" s="57"/>
      <c r="I44" s="57"/>
      <c r="J44" s="57"/>
      <c r="K44" s="59" t="str">
        <f t="shared" si="2"/>
        <v>0.00 (0.00 – 0.00)</v>
      </c>
      <c r="L44" s="16" t="str">
        <f t="shared" si="3"/>
        <v>0.00
(0.00 – 0.00)</v>
      </c>
      <c r="M44" s="57"/>
      <c r="N44" s="59"/>
      <c r="O44" s="16"/>
    </row>
    <row r="45" spans="3:15" ht="15" hidden="1" customHeight="1" x14ac:dyDescent="0.25">
      <c r="C45" s="56"/>
      <c r="D45" s="57"/>
      <c r="E45" s="57"/>
      <c r="F45" s="57"/>
      <c r="G45" s="57"/>
      <c r="H45" s="57"/>
      <c r="I45" s="57"/>
      <c r="J45" s="57"/>
      <c r="K45" s="59" t="str">
        <f t="shared" si="2"/>
        <v>0.00 (0.00 – 0.00)</v>
      </c>
      <c r="L45" s="16" t="str">
        <f t="shared" si="3"/>
        <v>0.00
(0.00 – 0.00)</v>
      </c>
      <c r="M45" s="57"/>
      <c r="N45" s="59"/>
      <c r="O45" s="16"/>
    </row>
    <row r="46" spans="3:15" ht="15" hidden="1" customHeight="1" x14ac:dyDescent="0.25">
      <c r="C46" s="56"/>
      <c r="D46" s="57"/>
      <c r="E46" s="57"/>
      <c r="F46" s="57"/>
      <c r="G46" s="57"/>
      <c r="H46" s="57"/>
      <c r="I46" s="57"/>
      <c r="J46" s="57"/>
      <c r="K46" s="59" t="str">
        <f t="shared" si="2"/>
        <v>0.00 (0.00 – 0.00)</v>
      </c>
      <c r="L46" s="16" t="str">
        <f t="shared" si="3"/>
        <v>0.00
(0.00 – 0.00)</v>
      </c>
      <c r="M46" s="57"/>
      <c r="N46" s="59"/>
      <c r="O46" s="16"/>
    </row>
    <row r="47" spans="3:15" ht="15" hidden="1" customHeight="1" x14ac:dyDescent="0.25">
      <c r="C47" s="56"/>
      <c r="D47" s="57"/>
      <c r="E47" s="57"/>
      <c r="F47" s="57"/>
      <c r="G47" s="57"/>
      <c r="H47" s="57"/>
      <c r="I47" s="57"/>
      <c r="J47" s="57"/>
      <c r="K47" s="59" t="str">
        <f t="shared" si="2"/>
        <v>0.00 (0.00 – 0.00)</v>
      </c>
      <c r="L47" s="16" t="str">
        <f t="shared" si="3"/>
        <v>0.00
(0.00 – 0.00)</v>
      </c>
      <c r="M47" s="57"/>
      <c r="N47" s="59"/>
      <c r="O47" s="16"/>
    </row>
    <row r="48" spans="3:15"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98</v>
      </c>
      <c r="D1" t="s">
        <v>124</v>
      </c>
    </row>
    <row r="2" spans="1:7" x14ac:dyDescent="0.25">
      <c r="A2" t="s">
        <v>83</v>
      </c>
    </row>
    <row r="3" spans="1:7" x14ac:dyDescent="0.25">
      <c r="B3" t="s">
        <v>79</v>
      </c>
    </row>
    <row r="4" spans="1:7" x14ac:dyDescent="0.25">
      <c r="B4" t="s">
        <v>89</v>
      </c>
    </row>
    <row r="5" spans="1:7" x14ac:dyDescent="0.25">
      <c r="A5" t="s">
        <v>99</v>
      </c>
      <c r="B5" t="s">
        <v>100</v>
      </c>
      <c r="D5" t="s">
        <v>431</v>
      </c>
    </row>
    <row r="6" spans="1:7" x14ac:dyDescent="0.25">
      <c r="B6" t="s">
        <v>101</v>
      </c>
      <c r="D6" t="s">
        <v>432</v>
      </c>
    </row>
    <row r="7" spans="1:7" x14ac:dyDescent="0.25">
      <c r="B7" t="s">
        <v>433</v>
      </c>
      <c r="G7" t="s">
        <v>413</v>
      </c>
    </row>
    <row r="8" spans="1:7" x14ac:dyDescent="0.25">
      <c r="B8" t="s">
        <v>102</v>
      </c>
      <c r="G8" t="s">
        <v>414</v>
      </c>
    </row>
    <row r="9" spans="1:7" x14ac:dyDescent="0.25">
      <c r="C9" t="s">
        <v>80</v>
      </c>
    </row>
    <row r="10" spans="1:7" x14ac:dyDescent="0.25">
      <c r="B10" t="s">
        <v>103</v>
      </c>
      <c r="C10" t="s">
        <v>435</v>
      </c>
      <c r="G10" t="s">
        <v>436</v>
      </c>
    </row>
    <row r="11" spans="1:7" x14ac:dyDescent="0.25">
      <c r="A11" t="s">
        <v>104</v>
      </c>
      <c r="C11" t="s">
        <v>434</v>
      </c>
      <c r="G11" t="s">
        <v>412</v>
      </c>
    </row>
    <row r="12" spans="1:7" x14ac:dyDescent="0.25">
      <c r="A12" t="s">
        <v>82</v>
      </c>
      <c r="C12" t="s">
        <v>437</v>
      </c>
      <c r="G12" t="s">
        <v>411</v>
      </c>
    </row>
    <row r="13" spans="1:7" x14ac:dyDescent="0.25">
      <c r="B13" t="s">
        <v>105</v>
      </c>
      <c r="C13" t="s">
        <v>416</v>
      </c>
    </row>
    <row r="14" spans="1:7" x14ac:dyDescent="0.25">
      <c r="C14" t="s">
        <v>438</v>
      </c>
    </row>
    <row r="15" spans="1:7" x14ac:dyDescent="0.25">
      <c r="C15" t="s">
        <v>31</v>
      </c>
    </row>
    <row r="16" spans="1:7" x14ac:dyDescent="0.25">
      <c r="C16" t="s">
        <v>324</v>
      </c>
      <c r="G16" t="s">
        <v>439</v>
      </c>
    </row>
    <row r="17" spans="1:7" x14ac:dyDescent="0.25">
      <c r="C17" t="s">
        <v>106</v>
      </c>
      <c r="G17" t="s">
        <v>450</v>
      </c>
    </row>
    <row r="18" spans="1:7" x14ac:dyDescent="0.25">
      <c r="C18" t="s">
        <v>83</v>
      </c>
    </row>
    <row r="19" spans="1:7" x14ac:dyDescent="0.25">
      <c r="A19" t="s">
        <v>105</v>
      </c>
      <c r="C19" t="s">
        <v>440</v>
      </c>
      <c r="G19" t="s">
        <v>449</v>
      </c>
    </row>
    <row r="20" spans="1:7" x14ac:dyDescent="0.25">
      <c r="A20" t="s">
        <v>105</v>
      </c>
      <c r="C20" t="s">
        <v>441</v>
      </c>
      <c r="G20" t="s">
        <v>448</v>
      </c>
    </row>
    <row r="21" spans="1:7" x14ac:dyDescent="0.25">
      <c r="A21" t="s">
        <v>82</v>
      </c>
      <c r="C21" t="s">
        <v>442</v>
      </c>
      <c r="G21" t="s">
        <v>447</v>
      </c>
    </row>
    <row r="22" spans="1:7" x14ac:dyDescent="0.25">
      <c r="A22" t="s">
        <v>104</v>
      </c>
      <c r="C22" t="s">
        <v>443</v>
      </c>
      <c r="G22" t="s">
        <v>446</v>
      </c>
    </row>
    <row r="23" spans="1:7" x14ac:dyDescent="0.25">
      <c r="A23" t="s">
        <v>107</v>
      </c>
      <c r="C23" t="s">
        <v>444</v>
      </c>
      <c r="G23" t="s">
        <v>445</v>
      </c>
    </row>
    <row r="24" spans="1:7" x14ac:dyDescent="0.25">
      <c r="C24" t="s">
        <v>32</v>
      </c>
    </row>
    <row r="25" spans="1:7" x14ac:dyDescent="0.25">
      <c r="A25" t="s">
        <v>84</v>
      </c>
      <c r="B25" t="s">
        <v>108</v>
      </c>
    </row>
    <row r="26" spans="1:7" x14ac:dyDescent="0.25">
      <c r="B26" s="150" t="s">
        <v>321</v>
      </c>
      <c r="E26" t="s">
        <v>322</v>
      </c>
    </row>
    <row r="28" spans="1:7" x14ac:dyDescent="0.25">
      <c r="B28" t="s">
        <v>33</v>
      </c>
    </row>
    <row r="29" spans="1:7" x14ac:dyDescent="0.25">
      <c r="B29" t="s">
        <v>86</v>
      </c>
    </row>
    <row r="30" spans="1:7" x14ac:dyDescent="0.25">
      <c r="B30" t="s">
        <v>83</v>
      </c>
    </row>
    <row r="31" spans="1:7" x14ac:dyDescent="0.25">
      <c r="C31" t="s">
        <v>87</v>
      </c>
    </row>
    <row r="32" spans="1:7" x14ac:dyDescent="0.25">
      <c r="B32" t="s">
        <v>88</v>
      </c>
    </row>
    <row r="33" spans="2:9" x14ac:dyDescent="0.25">
      <c r="B33" t="str">
        <f>IF(vague_prior,"sd~dunif(0,2)   ","")</f>
        <v xml:space="preserve">sd~dunif(0,2)   </v>
      </c>
      <c r="I33" t="s">
        <v>162</v>
      </c>
    </row>
    <row r="34" spans="2:9" x14ac:dyDescent="0.25">
      <c r="B34" t="str">
        <f>IF(vague_prior,"tau&lt;-1/pow(sd,2)","")</f>
        <v>tau&lt;-1/pow(sd,2)</v>
      </c>
      <c r="I34" t="s">
        <v>162</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161</v>
      </c>
    </row>
    <row r="36" spans="2:9" x14ac:dyDescent="0.25">
      <c r="B36" t="str">
        <f>IF(NOT(vague_prior),"tau&lt;-1/var # between-trial precision (1/between-trial variance)","")</f>
        <v/>
      </c>
      <c r="I36" t="s">
        <v>161</v>
      </c>
    </row>
    <row r="37" spans="2:9" x14ac:dyDescent="0.25">
      <c r="B37" t="str">
        <f>IF(NOT(vague_prior),"sd &lt;- pow(tau,-0.5)","")</f>
        <v/>
      </c>
      <c r="I37" t="s">
        <v>161</v>
      </c>
    </row>
    <row r="40" spans="2:9" x14ac:dyDescent="0.25">
      <c r="B40" t="s">
        <v>34</v>
      </c>
    </row>
    <row r="42" spans="2:9" x14ac:dyDescent="0.25">
      <c r="B42" t="s">
        <v>35</v>
      </c>
    </row>
    <row r="43" spans="2:9" x14ac:dyDescent="0.25">
      <c r="B43" t="s">
        <v>90</v>
      </c>
    </row>
    <row r="44" spans="2:9" x14ac:dyDescent="0.25">
      <c r="B44" t="s">
        <v>89</v>
      </c>
    </row>
    <row r="45" spans="2:9" x14ac:dyDescent="0.25">
      <c r="C45" t="str">
        <f>IF(events_bad,"","rk[k]&lt;-NT+1-rank(d[],k)")</f>
        <v/>
      </c>
      <c r="F45" t="s">
        <v>159</v>
      </c>
    </row>
    <row r="46" spans="2:9" x14ac:dyDescent="0.25">
      <c r="C46" t="str">
        <f>IF(events_bad,"rk[k]&lt;- rank(d[],k)","")</f>
        <v>rk[k]&lt;- rank(d[],k)</v>
      </c>
      <c r="F46" t="s">
        <v>160</v>
      </c>
    </row>
    <row r="47" spans="2:9" x14ac:dyDescent="0.25">
      <c r="C47" t="s">
        <v>134</v>
      </c>
    </row>
    <row r="48" spans="2:9" x14ac:dyDescent="0.25">
      <c r="C48" t="s">
        <v>92</v>
      </c>
    </row>
    <row r="49" spans="2:4" x14ac:dyDescent="0.25">
      <c r="C49" t="s">
        <v>83</v>
      </c>
    </row>
    <row r="50" spans="2:4" x14ac:dyDescent="0.25">
      <c r="D50" t="s">
        <v>259</v>
      </c>
    </row>
    <row r="51" spans="2:4" x14ac:dyDescent="0.25">
      <c r="C51" t="s">
        <v>32</v>
      </c>
    </row>
    <row r="52" spans="2:4" x14ac:dyDescent="0.25">
      <c r="B52" t="s">
        <v>32</v>
      </c>
    </row>
    <row r="53" spans="2:4" x14ac:dyDescent="0.25">
      <c r="B53" t="s">
        <v>90</v>
      </c>
    </row>
    <row r="54" spans="2:4" x14ac:dyDescent="0.25">
      <c r="B54" t="s">
        <v>89</v>
      </c>
    </row>
    <row r="55" spans="2:4" x14ac:dyDescent="0.25">
      <c r="C55" t="s">
        <v>92</v>
      </c>
    </row>
    <row r="56" spans="2:4" x14ac:dyDescent="0.25">
      <c r="C56" t="s">
        <v>83</v>
      </c>
    </row>
    <row r="57" spans="2:4" x14ac:dyDescent="0.25">
      <c r="D57" t="s">
        <v>258</v>
      </c>
    </row>
    <row r="58" spans="2:4" x14ac:dyDescent="0.25">
      <c r="C58" t="s">
        <v>32</v>
      </c>
    </row>
    <row r="59" spans="2:4" x14ac:dyDescent="0.25">
      <c r="B59" t="s">
        <v>32</v>
      </c>
    </row>
    <row r="60" spans="2:4" x14ac:dyDescent="0.25">
      <c r="B60" t="s">
        <v>145</v>
      </c>
    </row>
    <row r="61" spans="2:4" x14ac:dyDescent="0.25">
      <c r="B61" t="s">
        <v>83</v>
      </c>
    </row>
    <row r="62" spans="2:4" x14ac:dyDescent="0.25">
      <c r="B62" t="s">
        <v>144</v>
      </c>
    </row>
    <row r="63" spans="2:4" x14ac:dyDescent="0.25">
      <c r="B63" t="s">
        <v>32</v>
      </c>
    </row>
    <row r="64" spans="2:4" x14ac:dyDescent="0.25">
      <c r="B64" t="s">
        <v>452</v>
      </c>
    </row>
    <row r="65" spans="1:4" x14ac:dyDescent="0.25">
      <c r="B65" t="s">
        <v>93</v>
      </c>
    </row>
    <row r="66" spans="1:4" x14ac:dyDescent="0.25">
      <c r="B66" t="s">
        <v>94</v>
      </c>
    </row>
    <row r="67" spans="1:4" x14ac:dyDescent="0.25">
      <c r="C67" t="s">
        <v>95</v>
      </c>
    </row>
    <row r="68" spans="1:4" x14ac:dyDescent="0.25">
      <c r="C68" t="s">
        <v>83</v>
      </c>
    </row>
    <row r="69" spans="1:4" x14ac:dyDescent="0.25">
      <c r="D69" t="s">
        <v>110</v>
      </c>
    </row>
    <row r="70" spans="1:4" x14ac:dyDescent="0.25">
      <c r="D70" t="s">
        <v>115</v>
      </c>
    </row>
    <row r="71" spans="1:4" x14ac:dyDescent="0.25">
      <c r="C71" t="s">
        <v>96</v>
      </c>
    </row>
    <row r="72" spans="1:4" x14ac:dyDescent="0.25">
      <c r="B72" t="s">
        <v>32</v>
      </c>
    </row>
    <row r="74" spans="1:4" x14ac:dyDescent="0.25">
      <c r="A74" t="s">
        <v>32</v>
      </c>
      <c r="B74" t="s">
        <v>97</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4" t="s">
        <v>243</v>
      </c>
      <c r="B4" s="104" t="s">
        <v>244</v>
      </c>
      <c r="C4" s="104" t="s">
        <v>237</v>
      </c>
      <c r="E4" s="14" t="s">
        <v>238</v>
      </c>
      <c r="F4" s="14" t="s">
        <v>239</v>
      </c>
      <c r="G4" s="55" t="s">
        <v>111</v>
      </c>
      <c r="H4" s="58" t="s">
        <v>240</v>
      </c>
      <c r="I4" s="58" t="s">
        <v>113</v>
      </c>
      <c r="J4" s="58" t="s">
        <v>241</v>
      </c>
      <c r="K4" s="58" t="str">
        <f>$N$4 &amp;" (95% Cr.I.)"</f>
        <v>O.R. (95% Cr.I.)</v>
      </c>
      <c r="L4" s="58" t="str">
        <f>$N$4 &amp;" (95% Cr.I.)"</f>
        <v>O.R. (95% Cr.I.)</v>
      </c>
      <c r="N4" s="106" t="str">
        <f>IF(Forest="RR", "R.R","O.R.")</f>
        <v>O.R.</v>
      </c>
      <c r="O4" s="55" t="s">
        <v>111</v>
      </c>
      <c r="P4" s="58" t="s">
        <v>112</v>
      </c>
      <c r="Q4" s="58" t="s">
        <v>113</v>
      </c>
      <c r="R4" s="58" t="s">
        <v>114</v>
      </c>
      <c r="S4" s="58" t="s">
        <v>242</v>
      </c>
      <c r="T4" s="58" t="s">
        <v>239</v>
      </c>
    </row>
    <row r="5" spans="1:20" x14ac:dyDescent="0.25">
      <c r="A5" t="s">
        <v>491</v>
      </c>
      <c r="B5" s="19">
        <v>5</v>
      </c>
      <c r="C5" s="19">
        <v>2.3860000000000001</v>
      </c>
      <c r="E5" s="19">
        <v>5</v>
      </c>
      <c r="F5" s="59">
        <v>4</v>
      </c>
      <c r="G5" s="54" t="s">
        <v>699</v>
      </c>
      <c r="H5" s="16">
        <v>0.17519999999999999</v>
      </c>
      <c r="I5" s="16">
        <v>0.81769999999999998</v>
      </c>
      <c r="J5" s="16">
        <v>3.64</v>
      </c>
      <c r="K5" s="59" t="str">
        <f>CONCATENATE(TEXT(I5,"0.00")," (",TEXT(H5,"0.00")," – ",TEXT(J5,"0.00"),")")</f>
        <v>0.82 (0.18 – 3.64)</v>
      </c>
      <c r="L5" s="16" t="str">
        <f>CONCATENATE(TEXT(I5,"0.00"),"
(",TEXT(H5,"0.00")," – ",TEXT(J5,"0.00"),")")</f>
        <v>0.82
(0.18 – 3.64)</v>
      </c>
      <c r="N5" s="59" t="s">
        <v>352</v>
      </c>
      <c r="O5" s="105" t="s">
        <v>678</v>
      </c>
      <c r="P5">
        <v>0.92449999999999999</v>
      </c>
      <c r="Q5">
        <v>1.431</v>
      </c>
      <c r="R5">
        <v>2.1760000000000002</v>
      </c>
      <c r="S5">
        <v>2</v>
      </c>
      <c r="T5">
        <v>1</v>
      </c>
    </row>
    <row r="6" spans="1:20" x14ac:dyDescent="0.25">
      <c r="A6" t="s">
        <v>490</v>
      </c>
      <c r="B6" s="54">
        <v>4</v>
      </c>
      <c r="C6" s="54">
        <v>2.4140000000000001</v>
      </c>
      <c r="E6" s="19">
        <v>5</v>
      </c>
      <c r="F6" s="59">
        <v>6</v>
      </c>
      <c r="G6" s="54" t="s">
        <v>746</v>
      </c>
      <c r="H6" s="16">
        <v>0.13142331449599159</v>
      </c>
      <c r="I6" s="16">
        <v>0.71994240460763137</v>
      </c>
      <c r="J6" s="16">
        <v>3.4770514603616132</v>
      </c>
      <c r="K6" s="59" t="str">
        <f t="shared" ref="K6:K69" si="0">CONCATENATE(TEXT(I6,"0.00")," (",TEXT(H6,"0.00")," – ",TEXT(J6,"0.00"),")")</f>
        <v>0.72 (0.13 – 3.48)</v>
      </c>
      <c r="L6" s="16" t="str">
        <f t="shared" ref="L6:L69" si="1">CONCATENATE(TEXT(I6,"0.00"),"
(",TEXT(H6,"0.00")," – ",TEXT(J6,"0.00"),")")</f>
        <v>0.72
(0.13 – 3.48)</v>
      </c>
      <c r="N6" s="59" t="s">
        <v>353</v>
      </c>
      <c r="O6" s="105" t="s">
        <v>679</v>
      </c>
      <c r="P6">
        <v>0.32140000000000002</v>
      </c>
      <c r="Q6">
        <v>0.55700000000000005</v>
      </c>
      <c r="R6">
        <v>0.995</v>
      </c>
      <c r="S6">
        <v>3</v>
      </c>
      <c r="T6">
        <v>1</v>
      </c>
    </row>
    <row r="7" spans="1:20" x14ac:dyDescent="0.25">
      <c r="A7" t="s">
        <v>492</v>
      </c>
      <c r="B7" s="19">
        <v>6</v>
      </c>
      <c r="C7" s="19">
        <v>3.2450000000000001</v>
      </c>
      <c r="E7" s="19">
        <v>5</v>
      </c>
      <c r="F7" s="59">
        <v>3</v>
      </c>
      <c r="G7" s="54" t="s">
        <v>694</v>
      </c>
      <c r="H7" s="16">
        <v>0.1545</v>
      </c>
      <c r="I7" s="16">
        <v>0.61599999999999999</v>
      </c>
      <c r="J7" s="16">
        <v>2.601</v>
      </c>
      <c r="K7" s="59" t="str">
        <f t="shared" si="0"/>
        <v>0.62 (0.15 – 2.60)</v>
      </c>
      <c r="L7" s="16" t="str">
        <f t="shared" si="1"/>
        <v>0.62
(0.15 – 2.60)</v>
      </c>
      <c r="N7" s="59" t="s">
        <v>354</v>
      </c>
      <c r="O7" s="105" t="s">
        <v>680</v>
      </c>
      <c r="P7">
        <v>0.18459999999999999</v>
      </c>
      <c r="Q7">
        <v>0.42959999999999998</v>
      </c>
      <c r="R7">
        <v>0.96389999999999998</v>
      </c>
      <c r="S7">
        <v>4</v>
      </c>
      <c r="T7">
        <v>1</v>
      </c>
    </row>
    <row r="8" spans="1:20" x14ac:dyDescent="0.25">
      <c r="A8" t="s">
        <v>489</v>
      </c>
      <c r="B8" s="54">
        <v>3</v>
      </c>
      <c r="C8" s="54">
        <v>3.66</v>
      </c>
      <c r="E8" s="19">
        <v>5</v>
      </c>
      <c r="F8" s="59">
        <v>8</v>
      </c>
      <c r="G8" s="54" t="s">
        <v>721</v>
      </c>
      <c r="H8" s="16">
        <v>0.14122299110295156</v>
      </c>
      <c r="I8" s="16">
        <v>0.52548607461902264</v>
      </c>
      <c r="J8" s="16">
        <v>2.2634676324128562</v>
      </c>
      <c r="K8" s="59" t="str">
        <f t="shared" si="0"/>
        <v>0.53 (0.14 – 2.26)</v>
      </c>
      <c r="L8" s="16" t="str">
        <f t="shared" si="1"/>
        <v>0.53
(0.14 – 2.26)</v>
      </c>
      <c r="N8" s="59" t="s">
        <v>355</v>
      </c>
      <c r="O8" s="105" t="s">
        <v>681</v>
      </c>
      <c r="P8">
        <v>9.5070000000000002E-2</v>
      </c>
      <c r="Q8">
        <v>0.35189999999999999</v>
      </c>
      <c r="R8">
        <v>1.4239999999999999</v>
      </c>
      <c r="S8">
        <v>5</v>
      </c>
      <c r="T8">
        <v>1</v>
      </c>
    </row>
    <row r="9" spans="1:20" x14ac:dyDescent="0.25">
      <c r="A9" t="s">
        <v>494</v>
      </c>
      <c r="B9" s="54">
        <v>8</v>
      </c>
      <c r="C9" s="54">
        <v>4.3970000000000002</v>
      </c>
      <c r="E9" s="19">
        <v>5</v>
      </c>
      <c r="F9" s="59">
        <v>7</v>
      </c>
      <c r="G9" s="54" t="s">
        <v>722</v>
      </c>
      <c r="H9" s="16">
        <v>5.5096418732782371E-2</v>
      </c>
      <c r="I9" s="16">
        <v>0.35663338088445079</v>
      </c>
      <c r="J9" s="16">
        <v>2.1805494984736153</v>
      </c>
      <c r="K9" s="59" t="str">
        <f t="shared" si="0"/>
        <v>0.36 (0.06 – 2.18)</v>
      </c>
      <c r="L9" s="16" t="str">
        <f t="shared" si="1"/>
        <v>0.36
(0.06 – 2.18)</v>
      </c>
      <c r="N9" s="59" t="s">
        <v>521</v>
      </c>
      <c r="O9" s="105" t="s">
        <v>682</v>
      </c>
      <c r="P9">
        <v>0.20549999999999999</v>
      </c>
      <c r="Q9">
        <v>0.48949999999999999</v>
      </c>
      <c r="R9">
        <v>1.419</v>
      </c>
      <c r="S9">
        <v>6</v>
      </c>
      <c r="T9">
        <v>1</v>
      </c>
    </row>
    <row r="10" spans="1:20" x14ac:dyDescent="0.25">
      <c r="A10" t="s">
        <v>493</v>
      </c>
      <c r="B10" s="19">
        <v>7</v>
      </c>
      <c r="C10" s="19">
        <v>5.9279999999999999</v>
      </c>
      <c r="E10" s="19">
        <v>5</v>
      </c>
      <c r="F10" s="59">
        <v>1</v>
      </c>
      <c r="G10" s="54" t="s">
        <v>681</v>
      </c>
      <c r="H10" s="16">
        <v>9.5070000000000002E-2</v>
      </c>
      <c r="I10" s="16">
        <v>0.35189999999999999</v>
      </c>
      <c r="J10" s="16">
        <v>1.4239999999999999</v>
      </c>
      <c r="K10" s="59" t="str">
        <f t="shared" si="0"/>
        <v>0.35 (0.10 – 1.42)</v>
      </c>
      <c r="L10" s="16" t="str">
        <f t="shared" si="1"/>
        <v>0.35
(0.10 – 1.42)</v>
      </c>
      <c r="N10" s="59" t="s">
        <v>522</v>
      </c>
      <c r="O10" s="105" t="s">
        <v>683</v>
      </c>
      <c r="P10">
        <v>0.32350000000000001</v>
      </c>
      <c r="Q10">
        <v>0.99119999999999997</v>
      </c>
      <c r="R10">
        <v>3.5779999999999998</v>
      </c>
      <c r="S10">
        <v>7</v>
      </c>
      <c r="T10">
        <v>1</v>
      </c>
    </row>
    <row r="11" spans="1:20" x14ac:dyDescent="0.25">
      <c r="A11" t="s">
        <v>487</v>
      </c>
      <c r="B11" s="19">
        <v>1</v>
      </c>
      <c r="C11" s="19">
        <v>6.3239999999999998</v>
      </c>
      <c r="E11" s="19">
        <v>5</v>
      </c>
      <c r="F11" s="59">
        <v>2</v>
      </c>
      <c r="G11" s="54" t="s">
        <v>688</v>
      </c>
      <c r="H11" s="16">
        <v>6.7830000000000001E-2</v>
      </c>
      <c r="I11" s="16">
        <v>0.25290000000000001</v>
      </c>
      <c r="J11" s="16">
        <v>0.90759999999999996</v>
      </c>
      <c r="K11" s="59" t="str">
        <f t="shared" si="0"/>
        <v>0.25 (0.07 – 0.91)</v>
      </c>
      <c r="L11" s="16" t="str">
        <f t="shared" si="1"/>
        <v>0.25
(0.07 – 0.91)</v>
      </c>
      <c r="N11" s="59" t="s">
        <v>523</v>
      </c>
      <c r="O11" s="105" t="s">
        <v>684</v>
      </c>
      <c r="P11">
        <v>0.38379999999999997</v>
      </c>
      <c r="Q11">
        <v>0.66959999999999997</v>
      </c>
      <c r="R11">
        <v>1.0620000000000001</v>
      </c>
      <c r="S11">
        <v>8</v>
      </c>
      <c r="T11">
        <v>1</v>
      </c>
    </row>
    <row r="12" spans="1:20" x14ac:dyDescent="0.25">
      <c r="A12" t="s">
        <v>488</v>
      </c>
      <c r="B12" s="19">
        <v>2</v>
      </c>
      <c r="C12" s="19">
        <v>7.6479999999999997</v>
      </c>
      <c r="E12" s="19">
        <v>5</v>
      </c>
      <c r="F12" s="59">
        <v>9</v>
      </c>
      <c r="G12" s="54" t="s">
        <v>723</v>
      </c>
      <c r="H12" s="16">
        <v>1.0863661053775123E-2</v>
      </c>
      <c r="I12" s="16">
        <v>5.2714812862414341E-2</v>
      </c>
      <c r="J12" s="16">
        <v>0.21340162185232608</v>
      </c>
      <c r="K12" s="59" t="str">
        <f t="shared" si="0"/>
        <v>0.05 (0.01 – 0.21)</v>
      </c>
      <c r="L12" s="16" t="str">
        <f t="shared" si="1"/>
        <v>0.05
(0.01 – 0.21)</v>
      </c>
      <c r="N12" s="59" t="s">
        <v>524</v>
      </c>
      <c r="O12" s="105" t="s">
        <v>685</v>
      </c>
      <c r="P12">
        <v>3.6640000000000001</v>
      </c>
      <c r="Q12">
        <v>6.8650000000000002</v>
      </c>
      <c r="R12">
        <v>16.03</v>
      </c>
      <c r="S12">
        <v>9</v>
      </c>
      <c r="T12">
        <v>1</v>
      </c>
    </row>
    <row r="13" spans="1:20" x14ac:dyDescent="0.25">
      <c r="A13" t="s">
        <v>495</v>
      </c>
      <c r="B13" s="54">
        <v>9</v>
      </c>
      <c r="C13" s="54">
        <v>8.9979999999999993</v>
      </c>
      <c r="E13" s="19">
        <v>4</v>
      </c>
      <c r="F13" s="59">
        <v>6</v>
      </c>
      <c r="G13" s="54" t="s">
        <v>747</v>
      </c>
      <c r="H13" s="16">
        <v>0.3620564808110065</v>
      </c>
      <c r="I13" s="16">
        <v>0.86206896551724144</v>
      </c>
      <c r="J13" s="16">
        <v>1.8825301204819276</v>
      </c>
      <c r="K13" s="59" t="str">
        <f t="shared" si="0"/>
        <v>0.86 (0.36 – 1.88)</v>
      </c>
      <c r="L13" s="16" t="str">
        <f t="shared" si="1"/>
        <v>0.86
(0.36 – 1.88)</v>
      </c>
      <c r="N13" s="59" t="s">
        <v>356</v>
      </c>
      <c r="O13" s="105" t="s">
        <v>686</v>
      </c>
      <c r="P13">
        <v>0.2114</v>
      </c>
      <c r="Q13">
        <v>0.38919999999999999</v>
      </c>
      <c r="R13">
        <v>0.71860000000000002</v>
      </c>
      <c r="S13">
        <v>3</v>
      </c>
      <c r="T13">
        <v>2</v>
      </c>
    </row>
    <row r="14" spans="1:20" x14ac:dyDescent="0.25">
      <c r="E14" s="19">
        <v>4</v>
      </c>
      <c r="F14" s="59">
        <v>3</v>
      </c>
      <c r="G14" s="54" t="s">
        <v>693</v>
      </c>
      <c r="H14" s="16">
        <v>0.4037</v>
      </c>
      <c r="I14" s="16">
        <v>0.77300000000000002</v>
      </c>
      <c r="J14" s="16">
        <v>1.3859999999999999</v>
      </c>
      <c r="K14" s="59" t="str">
        <f t="shared" si="0"/>
        <v>0.77 (0.40 – 1.39)</v>
      </c>
      <c r="L14" s="16" t="str">
        <f t="shared" si="1"/>
        <v>0.77
(0.40 – 1.39)</v>
      </c>
      <c r="N14" s="59" t="s">
        <v>357</v>
      </c>
      <c r="O14" s="105" t="s">
        <v>687</v>
      </c>
      <c r="P14">
        <v>0.1229</v>
      </c>
      <c r="Q14">
        <v>0.30099999999999999</v>
      </c>
      <c r="R14">
        <v>0.67169999999999996</v>
      </c>
      <c r="S14">
        <v>4</v>
      </c>
      <c r="T14">
        <v>2</v>
      </c>
    </row>
    <row r="15" spans="1:20" ht="15" customHeight="1" x14ac:dyDescent="0.25">
      <c r="E15" s="19">
        <v>4</v>
      </c>
      <c r="F15" s="19">
        <v>8</v>
      </c>
      <c r="G15" s="19" t="s">
        <v>718</v>
      </c>
      <c r="H15" s="19">
        <v>0.28184892897406988</v>
      </c>
      <c r="I15" s="19">
        <v>0.65359477124183007</v>
      </c>
      <c r="J15" s="19">
        <v>1.5518311607697084</v>
      </c>
      <c r="K15" s="59" t="str">
        <f t="shared" si="0"/>
        <v>0.65 (0.28 – 1.55)</v>
      </c>
      <c r="L15" s="16" t="str">
        <f t="shared" si="1"/>
        <v>0.65
(0.28 – 1.55)</v>
      </c>
      <c r="N15" s="59" t="s">
        <v>358</v>
      </c>
      <c r="O15" s="16" t="s">
        <v>688</v>
      </c>
      <c r="P15">
        <v>6.7830000000000001E-2</v>
      </c>
      <c r="Q15">
        <v>0.25290000000000001</v>
      </c>
      <c r="R15">
        <v>0.90759999999999996</v>
      </c>
      <c r="S15">
        <v>5</v>
      </c>
      <c r="T15">
        <v>2</v>
      </c>
    </row>
    <row r="16" spans="1:20" ht="15" customHeight="1" x14ac:dyDescent="0.25">
      <c r="E16" s="19">
        <v>4</v>
      </c>
      <c r="F16" s="19">
        <v>7</v>
      </c>
      <c r="G16" s="19" t="s">
        <v>719</v>
      </c>
      <c r="H16" s="19">
        <v>9.8619329388560148E-2</v>
      </c>
      <c r="I16" s="19">
        <v>0.4357298474945534</v>
      </c>
      <c r="J16" s="19">
        <v>1.7229496898690557</v>
      </c>
      <c r="K16" s="59" t="str">
        <f t="shared" si="0"/>
        <v>0.44 (0.10 – 1.72)</v>
      </c>
      <c r="L16" s="16" t="str">
        <f t="shared" si="1"/>
        <v>0.44
(0.10 – 1.72)</v>
      </c>
      <c r="N16" s="59" t="s">
        <v>525</v>
      </c>
      <c r="O16" s="16" t="s">
        <v>689</v>
      </c>
      <c r="P16">
        <v>0.1384</v>
      </c>
      <c r="Q16">
        <v>0.35270000000000001</v>
      </c>
      <c r="R16">
        <v>0.95269999999999999</v>
      </c>
      <c r="S16">
        <v>6</v>
      </c>
      <c r="T16">
        <v>2</v>
      </c>
    </row>
    <row r="17" spans="5:20" ht="15" customHeight="1" x14ac:dyDescent="0.25">
      <c r="E17" s="19">
        <v>4</v>
      </c>
      <c r="F17" s="19">
        <v>1</v>
      </c>
      <c r="G17" s="19" t="s">
        <v>680</v>
      </c>
      <c r="H17" s="19">
        <v>0.18459999999999999</v>
      </c>
      <c r="I17" s="19">
        <v>0.42959999999999998</v>
      </c>
      <c r="J17" s="19">
        <v>0.96389999999999998</v>
      </c>
      <c r="K17" s="59" t="str">
        <f t="shared" si="0"/>
        <v>0.43 (0.18 – 0.96)</v>
      </c>
      <c r="L17" s="16" t="str">
        <f t="shared" si="1"/>
        <v>0.43
(0.18 – 0.96)</v>
      </c>
      <c r="N17" s="59" t="s">
        <v>526</v>
      </c>
      <c r="O17" s="16" t="s">
        <v>690</v>
      </c>
      <c r="P17">
        <v>0.21379999999999999</v>
      </c>
      <c r="Q17">
        <v>0.71479999999999999</v>
      </c>
      <c r="R17">
        <v>2.4289999999999998</v>
      </c>
      <c r="S17">
        <v>7</v>
      </c>
      <c r="T17">
        <v>2</v>
      </c>
    </row>
    <row r="18" spans="5:20" ht="15" customHeight="1" x14ac:dyDescent="0.25">
      <c r="E18" s="19">
        <v>4</v>
      </c>
      <c r="F18" s="19">
        <v>2</v>
      </c>
      <c r="G18" s="19" t="s">
        <v>687</v>
      </c>
      <c r="H18" s="19">
        <v>0.1229</v>
      </c>
      <c r="I18" s="19">
        <v>0.30099999999999999</v>
      </c>
      <c r="J18" s="19">
        <v>0.67169999999999996</v>
      </c>
      <c r="K18" s="59" t="str">
        <f t="shared" si="0"/>
        <v>0.30 (0.12 – 0.67)</v>
      </c>
      <c r="L18" s="16" t="str">
        <f t="shared" si="1"/>
        <v>0.30
(0.12 – 0.67)</v>
      </c>
      <c r="N18" s="59" t="s">
        <v>527</v>
      </c>
      <c r="O18" s="16" t="s">
        <v>691</v>
      </c>
      <c r="P18">
        <v>0.24579999999999999</v>
      </c>
      <c r="Q18">
        <v>0.46960000000000002</v>
      </c>
      <c r="R18">
        <v>0.79090000000000005</v>
      </c>
      <c r="S18">
        <v>8</v>
      </c>
      <c r="T18">
        <v>2</v>
      </c>
    </row>
    <row r="19" spans="5:20" ht="15" customHeight="1" x14ac:dyDescent="0.25">
      <c r="E19" s="19">
        <v>4</v>
      </c>
      <c r="F19" s="19">
        <v>9</v>
      </c>
      <c r="G19" s="19" t="s">
        <v>720</v>
      </c>
      <c r="H19" s="19">
        <v>2.0678246484698098E-2</v>
      </c>
      <c r="I19" s="19">
        <v>6.0313630880579019E-2</v>
      </c>
      <c r="J19" s="19">
        <v>0.17482517482517484</v>
      </c>
      <c r="K19" s="59" t="str">
        <f t="shared" si="0"/>
        <v>0.06 (0.02 – 0.17)</v>
      </c>
      <c r="L19" s="16" t="str">
        <f t="shared" si="1"/>
        <v>0.06
(0.02 – 0.17)</v>
      </c>
      <c r="N19" s="59" t="s">
        <v>528</v>
      </c>
      <c r="O19" s="16" t="s">
        <v>692</v>
      </c>
      <c r="P19">
        <v>2.496</v>
      </c>
      <c r="Q19">
        <v>4.8600000000000003</v>
      </c>
      <c r="R19">
        <v>10.52</v>
      </c>
      <c r="S19">
        <v>9</v>
      </c>
      <c r="T19">
        <v>2</v>
      </c>
    </row>
    <row r="20" spans="5:20" ht="15" customHeight="1" x14ac:dyDescent="0.25">
      <c r="E20" s="19">
        <v>6</v>
      </c>
      <c r="F20" s="19">
        <v>3</v>
      </c>
      <c r="G20" s="19" t="s">
        <v>695</v>
      </c>
      <c r="H20" s="19">
        <v>0.40339999999999998</v>
      </c>
      <c r="I20" s="19">
        <v>0.89080000000000004</v>
      </c>
      <c r="J20" s="19">
        <v>2.1760000000000002</v>
      </c>
      <c r="K20" s="59" t="str">
        <f t="shared" si="0"/>
        <v>0.89 (0.40 – 2.18)</v>
      </c>
      <c r="L20" s="16" t="str">
        <f t="shared" si="1"/>
        <v>0.89
(0.40 – 2.18)</v>
      </c>
      <c r="N20" s="59" t="s">
        <v>359</v>
      </c>
      <c r="O20" s="16" t="s">
        <v>693</v>
      </c>
      <c r="P20">
        <v>0.4037</v>
      </c>
      <c r="Q20">
        <v>0.77300000000000002</v>
      </c>
      <c r="R20">
        <v>1.3859999999999999</v>
      </c>
      <c r="S20">
        <v>4</v>
      </c>
      <c r="T20">
        <v>3</v>
      </c>
    </row>
    <row r="21" spans="5:20" ht="15" customHeight="1" x14ac:dyDescent="0.25">
      <c r="E21" s="19">
        <v>6</v>
      </c>
      <c r="F21" s="19">
        <v>8</v>
      </c>
      <c r="G21" s="19" t="s">
        <v>714</v>
      </c>
      <c r="H21" s="19">
        <v>0.29949086552860138</v>
      </c>
      <c r="I21" s="19">
        <v>0.75301204819277101</v>
      </c>
      <c r="J21" s="19">
        <v>2.1829294913774286</v>
      </c>
      <c r="K21" s="59" t="str">
        <f t="shared" si="0"/>
        <v>0.75 (0.30 – 2.18)</v>
      </c>
      <c r="L21" s="16" t="str">
        <f t="shared" si="1"/>
        <v>0.75
(0.30 – 2.18)</v>
      </c>
      <c r="N21" s="59" t="s">
        <v>360</v>
      </c>
      <c r="O21" s="16" t="s">
        <v>694</v>
      </c>
      <c r="P21">
        <v>0.1545</v>
      </c>
      <c r="Q21">
        <v>0.61599999999999999</v>
      </c>
      <c r="R21">
        <v>2.601</v>
      </c>
      <c r="S21">
        <v>5</v>
      </c>
      <c r="T21">
        <v>3</v>
      </c>
    </row>
    <row r="22" spans="5:20" ht="15" customHeight="1" x14ac:dyDescent="0.25">
      <c r="E22" s="19">
        <v>6</v>
      </c>
      <c r="F22" s="19">
        <v>7</v>
      </c>
      <c r="G22" s="19" t="s">
        <v>715</v>
      </c>
      <c r="H22" s="19">
        <v>0.10662117496534812</v>
      </c>
      <c r="I22" s="19">
        <v>0.50530570995452251</v>
      </c>
      <c r="J22" s="19">
        <v>2.3889154323936932</v>
      </c>
      <c r="K22" s="59" t="str">
        <f t="shared" si="0"/>
        <v>0.51 (0.11 – 2.39)</v>
      </c>
      <c r="L22" s="16" t="str">
        <f t="shared" si="1"/>
        <v>0.51
(0.11 – 2.39)</v>
      </c>
      <c r="N22" s="59" t="s">
        <v>529</v>
      </c>
      <c r="O22" s="16" t="s">
        <v>695</v>
      </c>
      <c r="P22">
        <v>0.40339999999999998</v>
      </c>
      <c r="Q22">
        <v>0.89080000000000004</v>
      </c>
      <c r="R22">
        <v>2.1760000000000002</v>
      </c>
      <c r="S22">
        <v>6</v>
      </c>
      <c r="T22">
        <v>3</v>
      </c>
    </row>
    <row r="23" spans="5:20" ht="15" customHeight="1" x14ac:dyDescent="0.25">
      <c r="E23" s="19">
        <v>6</v>
      </c>
      <c r="F23" s="19">
        <v>1</v>
      </c>
      <c r="G23" s="19" t="s">
        <v>682</v>
      </c>
      <c r="H23" s="19">
        <v>0.20549999999999999</v>
      </c>
      <c r="I23" s="19">
        <v>0.48949999999999999</v>
      </c>
      <c r="J23" s="19">
        <v>1.419</v>
      </c>
      <c r="K23" s="59" t="str">
        <f t="shared" si="0"/>
        <v>0.49 (0.21 – 1.42)</v>
      </c>
      <c r="L23" s="16" t="str">
        <f t="shared" si="1"/>
        <v>0.49
(0.21 – 1.42)</v>
      </c>
      <c r="N23" s="59" t="s">
        <v>530</v>
      </c>
      <c r="O23" s="16" t="s">
        <v>696</v>
      </c>
      <c r="P23">
        <v>0.47770000000000001</v>
      </c>
      <c r="Q23">
        <v>1.7929999999999999</v>
      </c>
      <c r="R23">
        <v>7.0019999999999998</v>
      </c>
      <c r="S23">
        <v>7</v>
      </c>
      <c r="T23">
        <v>3</v>
      </c>
    </row>
    <row r="24" spans="5:20" ht="15" customHeight="1" x14ac:dyDescent="0.25">
      <c r="E24" s="19">
        <v>6</v>
      </c>
      <c r="F24" s="19">
        <v>2</v>
      </c>
      <c r="G24" s="19" t="s">
        <v>689</v>
      </c>
      <c r="H24" s="19">
        <v>0.1384</v>
      </c>
      <c r="I24" s="19">
        <v>0.35270000000000001</v>
      </c>
      <c r="J24" s="19">
        <v>0.95269999999999999</v>
      </c>
      <c r="K24" s="59" t="str">
        <f t="shared" si="0"/>
        <v>0.35 (0.14 – 0.95)</v>
      </c>
      <c r="L24" s="16" t="str">
        <f t="shared" si="1"/>
        <v>0.35
(0.14 – 0.95)</v>
      </c>
      <c r="N24" s="59" t="s">
        <v>531</v>
      </c>
      <c r="O24" s="16" t="s">
        <v>697</v>
      </c>
      <c r="P24">
        <v>0.63129999999999997</v>
      </c>
      <c r="Q24">
        <v>1.179</v>
      </c>
      <c r="R24">
        <v>2.08</v>
      </c>
      <c r="S24">
        <v>8</v>
      </c>
      <c r="T24">
        <v>3</v>
      </c>
    </row>
    <row r="25" spans="5:20" ht="15" customHeight="1" x14ac:dyDescent="0.25">
      <c r="E25" s="19">
        <v>6</v>
      </c>
      <c r="F25" s="19">
        <v>9</v>
      </c>
      <c r="G25" s="19" t="s">
        <v>716</v>
      </c>
      <c r="H25" s="19">
        <v>2.1687269572760789E-2</v>
      </c>
      <c r="I25" s="19">
        <v>7.0571630204657732E-2</v>
      </c>
      <c r="J25" s="19">
        <v>0.24050024050024049</v>
      </c>
      <c r="K25" s="59" t="str">
        <f t="shared" si="0"/>
        <v>0.07 (0.02 – 0.24)</v>
      </c>
      <c r="L25" s="16" t="str">
        <f t="shared" si="1"/>
        <v>0.07
(0.02 – 0.24)</v>
      </c>
      <c r="N25" s="59" t="s">
        <v>532</v>
      </c>
      <c r="O25" s="16" t="s">
        <v>698</v>
      </c>
      <c r="P25">
        <v>5.2460000000000004</v>
      </c>
      <c r="Q25">
        <v>12.24</v>
      </c>
      <c r="R25">
        <v>30.54</v>
      </c>
      <c r="S25">
        <v>9</v>
      </c>
      <c r="T25">
        <v>3</v>
      </c>
    </row>
    <row r="26" spans="5:20" ht="15" customHeight="1" x14ac:dyDescent="0.25">
      <c r="E26" s="19">
        <v>3</v>
      </c>
      <c r="F26" s="19">
        <v>8</v>
      </c>
      <c r="G26" s="19" t="s">
        <v>724</v>
      </c>
      <c r="H26" s="19">
        <v>0.48076923076923073</v>
      </c>
      <c r="I26" s="19">
        <v>0.84817642069550458</v>
      </c>
      <c r="J26" s="19">
        <v>1.5840329478853161</v>
      </c>
      <c r="K26" s="59" t="str">
        <f t="shared" si="0"/>
        <v>0.85 (0.48 – 1.58)</v>
      </c>
      <c r="L26" s="16" t="str">
        <f t="shared" si="1"/>
        <v>0.85
(0.48 – 1.58)</v>
      </c>
      <c r="N26" s="59" t="s">
        <v>361</v>
      </c>
      <c r="O26" s="16" t="s">
        <v>699</v>
      </c>
      <c r="P26">
        <v>0.17519999999999999</v>
      </c>
      <c r="Q26">
        <v>0.81769999999999998</v>
      </c>
      <c r="R26">
        <v>3.64</v>
      </c>
      <c r="S26">
        <v>5</v>
      </c>
      <c r="T26">
        <v>4</v>
      </c>
    </row>
    <row r="27" spans="5:20" ht="15" customHeight="1" x14ac:dyDescent="0.25">
      <c r="E27" s="19">
        <v>3</v>
      </c>
      <c r="F27" s="19">
        <v>7</v>
      </c>
      <c r="G27" s="19" t="s">
        <v>725</v>
      </c>
      <c r="H27" s="19">
        <v>0.14281633818908884</v>
      </c>
      <c r="I27" s="19">
        <v>0.5577244841048522</v>
      </c>
      <c r="J27" s="19">
        <v>2.0933640360058612</v>
      </c>
      <c r="K27" s="59" t="str">
        <f t="shared" si="0"/>
        <v>0.56 (0.14 – 2.09)</v>
      </c>
      <c r="L27" s="16" t="str">
        <f t="shared" si="1"/>
        <v>0.56
(0.14 – 2.09)</v>
      </c>
      <c r="N27" s="59" t="s">
        <v>533</v>
      </c>
      <c r="O27" s="16" t="s">
        <v>700</v>
      </c>
      <c r="P27">
        <v>0.53120000000000001</v>
      </c>
      <c r="Q27">
        <v>1.1599999999999999</v>
      </c>
      <c r="R27">
        <v>2.762</v>
      </c>
      <c r="S27">
        <v>6</v>
      </c>
      <c r="T27">
        <v>4</v>
      </c>
    </row>
    <row r="28" spans="5:20" ht="15" customHeight="1" x14ac:dyDescent="0.25">
      <c r="E28" s="19">
        <v>3</v>
      </c>
      <c r="F28" s="19">
        <v>1</v>
      </c>
      <c r="G28" s="19" t="s">
        <v>679</v>
      </c>
      <c r="H28" s="19">
        <v>0.32140000000000002</v>
      </c>
      <c r="I28" s="19">
        <v>0.55700000000000005</v>
      </c>
      <c r="J28" s="19">
        <v>0.995</v>
      </c>
      <c r="K28" s="59" t="str">
        <f t="shared" si="0"/>
        <v>0.56 (0.32 – 1.00)</v>
      </c>
      <c r="L28" s="16" t="str">
        <f t="shared" si="1"/>
        <v>0.56
(0.32 – 1.00)</v>
      </c>
      <c r="N28" s="59" t="s">
        <v>534</v>
      </c>
      <c r="O28" s="16" t="s">
        <v>701</v>
      </c>
      <c r="P28">
        <v>0.58040000000000003</v>
      </c>
      <c r="Q28">
        <v>2.2949999999999999</v>
      </c>
      <c r="R28">
        <v>10.14</v>
      </c>
      <c r="S28">
        <v>7</v>
      </c>
      <c r="T28">
        <v>4</v>
      </c>
    </row>
    <row r="29" spans="5:20" ht="15" customHeight="1" x14ac:dyDescent="0.25">
      <c r="E29" s="19">
        <v>3</v>
      </c>
      <c r="F29" s="19">
        <v>2</v>
      </c>
      <c r="G29" s="19" t="s">
        <v>686</v>
      </c>
      <c r="H29" s="19">
        <v>0.2114</v>
      </c>
      <c r="I29" s="19">
        <v>0.38919999999999999</v>
      </c>
      <c r="J29" s="19">
        <v>0.71860000000000002</v>
      </c>
      <c r="K29" s="59" t="str">
        <f t="shared" si="0"/>
        <v>0.39 (0.21 – 0.72)</v>
      </c>
      <c r="L29" s="16" t="str">
        <f t="shared" si="1"/>
        <v>0.39
(0.21 – 0.72)</v>
      </c>
      <c r="N29" s="59" t="s">
        <v>535</v>
      </c>
      <c r="O29" s="16" t="s">
        <v>702</v>
      </c>
      <c r="P29">
        <v>0.64439999999999997</v>
      </c>
      <c r="Q29">
        <v>1.53</v>
      </c>
      <c r="R29">
        <v>3.548</v>
      </c>
      <c r="S29">
        <v>8</v>
      </c>
      <c r="T29">
        <v>4</v>
      </c>
    </row>
    <row r="30" spans="5:20" ht="15" customHeight="1" x14ac:dyDescent="0.25">
      <c r="E30" s="19">
        <v>3</v>
      </c>
      <c r="F30" s="19">
        <v>9</v>
      </c>
      <c r="G30" s="19" t="s">
        <v>726</v>
      </c>
      <c r="H30" s="19">
        <v>3.274394237066143E-2</v>
      </c>
      <c r="I30" s="19">
        <v>8.1699346405228759E-2</v>
      </c>
      <c r="J30" s="19">
        <v>0.19062142584826533</v>
      </c>
      <c r="K30" s="59" t="str">
        <f t="shared" si="0"/>
        <v>0.08 (0.03 – 0.19)</v>
      </c>
      <c r="L30" s="16" t="str">
        <f t="shared" si="1"/>
        <v>0.08
(0.03 – 0.19)</v>
      </c>
      <c r="N30" s="59" t="s">
        <v>536</v>
      </c>
      <c r="O30" s="16" t="s">
        <v>703</v>
      </c>
      <c r="P30">
        <v>5.72</v>
      </c>
      <c r="Q30">
        <v>16.579999999999998</v>
      </c>
      <c r="R30">
        <v>48.36</v>
      </c>
      <c r="S30">
        <v>9</v>
      </c>
      <c r="T30">
        <v>4</v>
      </c>
    </row>
    <row r="31" spans="5:20" ht="15" customHeight="1" x14ac:dyDescent="0.25">
      <c r="E31" s="19">
        <v>8</v>
      </c>
      <c r="F31" s="19">
        <v>7</v>
      </c>
      <c r="G31" s="19" t="s">
        <v>711</v>
      </c>
      <c r="H31" s="19">
        <v>0.16750000000000001</v>
      </c>
      <c r="I31" s="19">
        <v>0.65490000000000004</v>
      </c>
      <c r="J31" s="19">
        <v>2.3940000000000001</v>
      </c>
      <c r="K31" s="59" t="str">
        <f t="shared" si="0"/>
        <v>0.65 (0.17 – 2.39)</v>
      </c>
      <c r="L31" s="16" t="str">
        <f t="shared" si="1"/>
        <v>0.65
(0.17 – 2.39)</v>
      </c>
      <c r="N31" s="59" t="s">
        <v>537</v>
      </c>
      <c r="O31" s="16" t="s">
        <v>704</v>
      </c>
      <c r="P31">
        <v>0.28760000000000002</v>
      </c>
      <c r="Q31">
        <v>1.389</v>
      </c>
      <c r="R31">
        <v>7.609</v>
      </c>
      <c r="S31">
        <v>6</v>
      </c>
      <c r="T31">
        <v>5</v>
      </c>
    </row>
    <row r="32" spans="5:20" ht="15" customHeight="1" x14ac:dyDescent="0.25">
      <c r="E32" s="19">
        <v>8</v>
      </c>
      <c r="F32" s="19">
        <v>1</v>
      </c>
      <c r="G32" s="19" t="s">
        <v>684</v>
      </c>
      <c r="H32" s="19">
        <v>0.38379999999999997</v>
      </c>
      <c r="I32" s="19">
        <v>0.66959999999999997</v>
      </c>
      <c r="J32" s="19">
        <v>1.0620000000000001</v>
      </c>
      <c r="K32" s="59" t="str">
        <f t="shared" si="0"/>
        <v>0.67 (0.38 – 1.06)</v>
      </c>
      <c r="L32" s="16" t="str">
        <f t="shared" si="1"/>
        <v>0.67
(0.38 – 1.06)</v>
      </c>
      <c r="N32" s="59" t="s">
        <v>538</v>
      </c>
      <c r="O32" s="16" t="s">
        <v>705</v>
      </c>
      <c r="P32">
        <v>0.45860000000000001</v>
      </c>
      <c r="Q32">
        <v>2.8039999999999998</v>
      </c>
      <c r="R32">
        <v>18.149999999999999</v>
      </c>
      <c r="S32">
        <v>7</v>
      </c>
      <c r="T32">
        <v>5</v>
      </c>
    </row>
    <row r="33" spans="3:20" ht="15" customHeight="1" x14ac:dyDescent="0.25">
      <c r="E33" s="19">
        <v>8</v>
      </c>
      <c r="F33" s="19">
        <v>2</v>
      </c>
      <c r="G33" s="19" t="s">
        <v>691</v>
      </c>
      <c r="H33" s="19">
        <v>0.24579999999999999</v>
      </c>
      <c r="I33" s="19">
        <v>0.46960000000000002</v>
      </c>
      <c r="J33" s="19">
        <v>0.79090000000000005</v>
      </c>
      <c r="K33" s="59" t="str">
        <f t="shared" si="0"/>
        <v>0.47 (0.25 – 0.79)</v>
      </c>
      <c r="L33" s="16" t="str">
        <f t="shared" si="1"/>
        <v>0.47
(0.25 – 0.79)</v>
      </c>
      <c r="N33" s="59" t="s">
        <v>539</v>
      </c>
      <c r="O33" s="16" t="s">
        <v>706</v>
      </c>
      <c r="P33">
        <v>0.44180000000000003</v>
      </c>
      <c r="Q33">
        <v>1.903</v>
      </c>
      <c r="R33">
        <v>7.0810000000000004</v>
      </c>
      <c r="S33">
        <v>8</v>
      </c>
      <c r="T33">
        <v>5</v>
      </c>
    </row>
    <row r="34" spans="3:20" ht="15" customHeight="1" x14ac:dyDescent="0.25">
      <c r="E34" s="19">
        <v>8</v>
      </c>
      <c r="F34" s="19">
        <v>9</v>
      </c>
      <c r="G34" s="19" t="s">
        <v>727</v>
      </c>
      <c r="H34" s="19">
        <v>3.9494470774091628E-2</v>
      </c>
      <c r="I34" s="19">
        <v>9.5057034220532327E-2</v>
      </c>
      <c r="J34" s="19">
        <v>0.20571898786257972</v>
      </c>
      <c r="K34" s="59" t="str">
        <f t="shared" si="0"/>
        <v>0.10 (0.04 – 0.21)</v>
      </c>
      <c r="L34" s="16" t="str">
        <f t="shared" si="1"/>
        <v>0.10
(0.04 – 0.21)</v>
      </c>
      <c r="N34" s="59" t="s">
        <v>540</v>
      </c>
      <c r="O34" s="16" t="s">
        <v>707</v>
      </c>
      <c r="P34">
        <v>4.6859999999999999</v>
      </c>
      <c r="Q34">
        <v>18.97</v>
      </c>
      <c r="R34">
        <v>92.05</v>
      </c>
      <c r="S34">
        <v>9</v>
      </c>
      <c r="T34">
        <v>5</v>
      </c>
    </row>
    <row r="35" spans="3:20" ht="15" customHeight="1" x14ac:dyDescent="0.25">
      <c r="E35" s="19">
        <v>7</v>
      </c>
      <c r="F35" s="19">
        <v>1</v>
      </c>
      <c r="G35" s="19" t="s">
        <v>683</v>
      </c>
      <c r="H35" s="19">
        <v>0.32350000000000001</v>
      </c>
      <c r="I35" s="19">
        <v>0.99119999999999997</v>
      </c>
      <c r="J35" s="19">
        <v>3.5779999999999998</v>
      </c>
      <c r="K35" s="59" t="str">
        <f t="shared" si="0"/>
        <v>0.99 (0.32 – 3.58)</v>
      </c>
      <c r="L35" s="16" t="str">
        <f t="shared" si="1"/>
        <v>0.99
(0.32 – 3.58)</v>
      </c>
      <c r="N35" s="59" t="s">
        <v>541</v>
      </c>
      <c r="O35" s="16" t="s">
        <v>708</v>
      </c>
      <c r="P35">
        <v>0.41860000000000003</v>
      </c>
      <c r="Q35">
        <v>1.9790000000000001</v>
      </c>
      <c r="R35">
        <v>9.3789999999999996</v>
      </c>
      <c r="S35">
        <v>7</v>
      </c>
      <c r="T35">
        <v>6</v>
      </c>
    </row>
    <row r="36" spans="3:20" ht="15" customHeight="1" x14ac:dyDescent="0.25">
      <c r="C36" s="56"/>
      <c r="D36" s="57"/>
      <c r="E36" s="57">
        <v>7</v>
      </c>
      <c r="F36" s="57">
        <v>2</v>
      </c>
      <c r="G36" s="57" t="s">
        <v>690</v>
      </c>
      <c r="H36" s="57">
        <v>0.21379999999999999</v>
      </c>
      <c r="I36" s="57">
        <v>0.71479999999999999</v>
      </c>
      <c r="J36" s="57">
        <v>2.4289999999999998</v>
      </c>
      <c r="K36" s="59" t="str">
        <f t="shared" si="0"/>
        <v>0.71 (0.21 – 2.43)</v>
      </c>
      <c r="L36" s="16" t="str">
        <f t="shared" si="1"/>
        <v>0.71
(0.21 – 2.43)</v>
      </c>
      <c r="M36" s="57"/>
      <c r="N36" s="59" t="s">
        <v>542</v>
      </c>
      <c r="O36" s="16" t="s">
        <v>709</v>
      </c>
      <c r="P36">
        <v>0.45810000000000001</v>
      </c>
      <c r="Q36">
        <v>1.3280000000000001</v>
      </c>
      <c r="R36">
        <v>3.339</v>
      </c>
      <c r="S36">
        <v>8</v>
      </c>
      <c r="T36">
        <v>6</v>
      </c>
    </row>
    <row r="37" spans="3:20" ht="15" customHeight="1" x14ac:dyDescent="0.25">
      <c r="C37" s="56"/>
      <c r="D37" s="57"/>
      <c r="E37" s="57">
        <v>7</v>
      </c>
      <c r="F37" s="57">
        <v>9</v>
      </c>
      <c r="G37" s="57" t="s">
        <v>728</v>
      </c>
      <c r="H37" s="57">
        <v>3.350083752093802E-2</v>
      </c>
      <c r="I37" s="57">
        <v>0.14330753797649756</v>
      </c>
      <c r="J37" s="57">
        <v>0.56465273856578202</v>
      </c>
      <c r="K37" s="59" t="str">
        <f t="shared" si="0"/>
        <v>0.14 (0.03 – 0.56)</v>
      </c>
      <c r="L37" s="16" t="str">
        <f t="shared" si="1"/>
        <v>0.14
(0.03 – 0.56)</v>
      </c>
      <c r="M37" s="57"/>
      <c r="N37" s="59" t="s">
        <v>543</v>
      </c>
      <c r="O37" s="16" t="s">
        <v>710</v>
      </c>
      <c r="P37">
        <v>4.1580000000000004</v>
      </c>
      <c r="Q37">
        <v>14.17</v>
      </c>
      <c r="R37">
        <v>46.11</v>
      </c>
      <c r="S37">
        <v>9</v>
      </c>
      <c r="T37">
        <v>6</v>
      </c>
    </row>
    <row r="38" spans="3:20" ht="15" customHeight="1" x14ac:dyDescent="0.25">
      <c r="C38" s="56"/>
      <c r="D38" s="57"/>
      <c r="E38" s="57">
        <v>1</v>
      </c>
      <c r="F38" s="57">
        <v>2</v>
      </c>
      <c r="G38" s="57" t="s">
        <v>729</v>
      </c>
      <c r="H38" s="57">
        <v>0.45955882352941174</v>
      </c>
      <c r="I38" s="57">
        <v>0.69881201956673655</v>
      </c>
      <c r="J38" s="57">
        <v>1.0816657652785289</v>
      </c>
      <c r="K38" s="59" t="str">
        <f t="shared" si="0"/>
        <v>0.70 (0.46 – 1.08)</v>
      </c>
      <c r="L38" s="16" t="str">
        <f t="shared" si="1"/>
        <v>0.70
(0.46 – 1.08)</v>
      </c>
      <c r="M38" s="57"/>
      <c r="N38" s="59" t="s">
        <v>544</v>
      </c>
      <c r="O38" s="16" t="s">
        <v>711</v>
      </c>
      <c r="P38">
        <v>0.16750000000000001</v>
      </c>
      <c r="Q38">
        <v>0.65490000000000004</v>
      </c>
      <c r="R38">
        <v>2.3940000000000001</v>
      </c>
      <c r="S38">
        <v>8</v>
      </c>
      <c r="T38">
        <v>7</v>
      </c>
    </row>
    <row r="39" spans="3:20" ht="15" customHeight="1" x14ac:dyDescent="0.25">
      <c r="C39" s="56"/>
      <c r="D39" s="57"/>
      <c r="E39" s="57">
        <v>1</v>
      </c>
      <c r="F39" s="57">
        <v>9</v>
      </c>
      <c r="G39" s="57" t="s">
        <v>730</v>
      </c>
      <c r="H39" s="57">
        <v>6.238303181534622E-2</v>
      </c>
      <c r="I39" s="57">
        <v>0.14566642388929352</v>
      </c>
      <c r="J39" s="57">
        <v>0.27292576419213971</v>
      </c>
      <c r="K39" s="59" t="str">
        <f t="shared" si="0"/>
        <v>0.15 (0.06 – 0.27)</v>
      </c>
      <c r="L39" s="16" t="str">
        <f t="shared" si="1"/>
        <v>0.15
(0.06 – 0.27)</v>
      </c>
      <c r="M39" s="57"/>
      <c r="N39" s="59" t="s">
        <v>545</v>
      </c>
      <c r="O39" s="16" t="s">
        <v>712</v>
      </c>
      <c r="P39">
        <v>1.7709999999999999</v>
      </c>
      <c r="Q39">
        <v>6.9779999999999998</v>
      </c>
      <c r="R39">
        <v>29.85</v>
      </c>
      <c r="S39">
        <v>9</v>
      </c>
      <c r="T39">
        <v>7</v>
      </c>
    </row>
    <row r="40" spans="3:20" ht="15" customHeight="1" x14ac:dyDescent="0.25">
      <c r="C40" s="56"/>
      <c r="D40" s="57"/>
      <c r="E40" s="57">
        <v>2</v>
      </c>
      <c r="F40" s="57">
        <v>9</v>
      </c>
      <c r="G40" s="57" t="s">
        <v>731</v>
      </c>
      <c r="H40" s="57">
        <v>9.5057034220532327E-2</v>
      </c>
      <c r="I40" s="57">
        <v>0.20576131687242796</v>
      </c>
      <c r="J40" s="57">
        <v>0.40064102564102566</v>
      </c>
      <c r="K40" s="59" t="str">
        <f t="shared" si="0"/>
        <v>0.21 (0.10 – 0.40)</v>
      </c>
      <c r="L40" s="16" t="str">
        <f t="shared" si="1"/>
        <v>0.21
(0.10 – 0.40)</v>
      </c>
      <c r="M40" s="57"/>
      <c r="N40" s="59" t="s">
        <v>546</v>
      </c>
      <c r="O40" s="16" t="s">
        <v>713</v>
      </c>
      <c r="P40">
        <v>4.8609999999999998</v>
      </c>
      <c r="Q40">
        <v>10.52</v>
      </c>
      <c r="R40">
        <v>25.32</v>
      </c>
      <c r="S40">
        <v>9</v>
      </c>
      <c r="T40">
        <v>8</v>
      </c>
    </row>
    <row r="41" spans="3:20" ht="15" hidden="1" customHeight="1" x14ac:dyDescent="0.25">
      <c r="C41" s="56"/>
      <c r="D41" s="57"/>
      <c r="E41" s="57"/>
      <c r="F41" s="57"/>
      <c r="G41" s="57"/>
      <c r="H41" s="57"/>
      <c r="I41" s="57"/>
      <c r="J41" s="57"/>
      <c r="K41" s="59" t="str">
        <f t="shared" si="0"/>
        <v>0.00 (0.00 – 0.00)</v>
      </c>
      <c r="L41" s="16" t="str">
        <f t="shared" si="1"/>
        <v>0.00
(0.00 – 0.00)</v>
      </c>
      <c r="M41" s="57"/>
      <c r="N41" s="59"/>
      <c r="O41" s="16"/>
    </row>
    <row r="42" spans="3:20" ht="15" hidden="1" customHeight="1" x14ac:dyDescent="0.25">
      <c r="C42" s="56"/>
      <c r="D42" s="57"/>
      <c r="E42" s="57"/>
      <c r="F42" s="57"/>
      <c r="G42" s="57"/>
      <c r="H42" s="57"/>
      <c r="I42" s="57"/>
      <c r="J42" s="57"/>
      <c r="K42" s="59" t="str">
        <f t="shared" si="0"/>
        <v>0.00 (0.00 – 0.00)</v>
      </c>
      <c r="L42" s="16" t="str">
        <f t="shared" si="1"/>
        <v>0.00
(0.00 – 0.00)</v>
      </c>
      <c r="M42" s="57"/>
      <c r="N42" s="59"/>
      <c r="O42" s="16"/>
    </row>
    <row r="43" spans="3:20" ht="15" hidden="1" customHeight="1" x14ac:dyDescent="0.25">
      <c r="C43" s="56"/>
      <c r="D43" s="57"/>
      <c r="E43" s="57"/>
      <c r="F43" s="57"/>
      <c r="G43" s="57"/>
      <c r="H43" s="57"/>
      <c r="I43" s="57"/>
      <c r="J43" s="57"/>
      <c r="K43" s="59" t="str">
        <f t="shared" si="0"/>
        <v>0.00 (0.00 – 0.00)</v>
      </c>
      <c r="L43" s="16" t="str">
        <f t="shared" si="1"/>
        <v>0.00
(0.00 – 0.00)</v>
      </c>
      <c r="M43" s="57"/>
      <c r="N43" s="59"/>
      <c r="O43" s="16"/>
    </row>
    <row r="44" spans="3:20" ht="15" hidden="1" customHeight="1" x14ac:dyDescent="0.25">
      <c r="C44" s="56"/>
      <c r="D44" s="57"/>
      <c r="E44" s="57"/>
      <c r="F44" s="57"/>
      <c r="G44" s="57"/>
      <c r="H44" s="57"/>
      <c r="I44" s="57"/>
      <c r="J44" s="57"/>
      <c r="K44" s="59" t="str">
        <f t="shared" si="0"/>
        <v>0.00 (0.00 – 0.00)</v>
      </c>
      <c r="L44" s="16" t="str">
        <f t="shared" si="1"/>
        <v>0.00
(0.00 – 0.00)</v>
      </c>
      <c r="M44" s="57"/>
      <c r="N44" s="59"/>
      <c r="O44" s="16"/>
    </row>
    <row r="45" spans="3:20" ht="15" hidden="1" customHeight="1" x14ac:dyDescent="0.25">
      <c r="C45" s="56"/>
      <c r="D45" s="57"/>
      <c r="E45" s="57"/>
      <c r="F45" s="57"/>
      <c r="G45" s="57"/>
      <c r="H45" s="57"/>
      <c r="I45" s="57"/>
      <c r="J45" s="57"/>
      <c r="K45" s="59" t="str">
        <f t="shared" si="0"/>
        <v>0.00 (0.00 – 0.00)</v>
      </c>
      <c r="L45" s="16" t="str">
        <f t="shared" si="1"/>
        <v>0.00
(0.00 – 0.00)</v>
      </c>
      <c r="M45" s="57"/>
      <c r="N45" s="59"/>
      <c r="O45" s="16"/>
    </row>
    <row r="46" spans="3:20" ht="15" hidden="1" customHeight="1" x14ac:dyDescent="0.25">
      <c r="C46" s="56"/>
      <c r="D46" s="57"/>
      <c r="E46" s="57"/>
      <c r="F46" s="57"/>
      <c r="G46" s="57"/>
      <c r="H46" s="57"/>
      <c r="I46" s="57"/>
      <c r="J46" s="57"/>
      <c r="K46" s="59" t="str">
        <f t="shared" si="0"/>
        <v>0.00 (0.00 – 0.00)</v>
      </c>
      <c r="L46" s="16" t="str">
        <f t="shared" si="1"/>
        <v>0.00
(0.00 – 0.00)</v>
      </c>
      <c r="M46" s="57"/>
      <c r="N46" s="59"/>
      <c r="O46" s="16"/>
    </row>
    <row r="47" spans="3:20" ht="15" hidden="1" customHeight="1" x14ac:dyDescent="0.25">
      <c r="C47" s="56"/>
      <c r="D47" s="57"/>
      <c r="E47" s="57"/>
      <c r="F47" s="57"/>
      <c r="G47" s="57"/>
      <c r="H47" s="57"/>
      <c r="I47" s="57"/>
      <c r="J47" s="57"/>
      <c r="K47" s="59" t="str">
        <f t="shared" si="0"/>
        <v>0.00 (0.00 – 0.00)</v>
      </c>
      <c r="L47" s="16" t="str">
        <f t="shared" si="1"/>
        <v>0.00
(0.00 – 0.00)</v>
      </c>
      <c r="M47" s="57"/>
      <c r="N47" s="59"/>
      <c r="O47" s="16"/>
    </row>
    <row r="48" spans="3:20"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0.1347 
95% CrI (0.04597 – 0.323)</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4" t="s">
        <v>243</v>
      </c>
      <c r="B4" s="104" t="s">
        <v>244</v>
      </c>
      <c r="C4" s="104" t="s">
        <v>237</v>
      </c>
      <c r="E4" s="14" t="s">
        <v>238</v>
      </c>
      <c r="F4" s="14" t="s">
        <v>239</v>
      </c>
      <c r="G4" s="55" t="s">
        <v>111</v>
      </c>
      <c r="H4" s="58" t="s">
        <v>240</v>
      </c>
      <c r="I4" s="58" t="s">
        <v>113</v>
      </c>
      <c r="J4" s="58" t="s">
        <v>241</v>
      </c>
      <c r="K4" s="58" t="str">
        <f>$N$4 &amp;" (95% Cr.I.)"</f>
        <v>O.R. (95% Cr.I.)</v>
      </c>
      <c r="L4" s="58" t="str">
        <f>$N$4 &amp;" (95% Cr.I.)"</f>
        <v>O.R. (95% Cr.I.)</v>
      </c>
      <c r="N4" s="106" t="str">
        <f>IF(Forest="RR", "R.R","O.R.")</f>
        <v>O.R.</v>
      </c>
      <c r="O4" s="55" t="s">
        <v>111</v>
      </c>
      <c r="P4" s="58" t="s">
        <v>112</v>
      </c>
      <c r="Q4" s="58" t="s">
        <v>113</v>
      </c>
      <c r="R4" s="58" t="s">
        <v>114</v>
      </c>
      <c r="S4" s="58" t="s">
        <v>242</v>
      </c>
      <c r="T4" s="58" t="s">
        <v>239</v>
      </c>
    </row>
    <row r="5" spans="1:20" x14ac:dyDescent="0.25">
      <c r="A5" t="s">
        <v>490</v>
      </c>
      <c r="B5" s="19">
        <v>4</v>
      </c>
      <c r="C5" s="19">
        <v>2.2719999999999998</v>
      </c>
      <c r="E5" s="57">
        <v>7</v>
      </c>
      <c r="F5" s="57">
        <v>1</v>
      </c>
      <c r="G5" s="57" t="s">
        <v>683</v>
      </c>
      <c r="H5" s="57">
        <v>0.313</v>
      </c>
      <c r="I5" s="57">
        <v>1.0680000000000001</v>
      </c>
      <c r="J5" s="57">
        <v>2.996</v>
      </c>
      <c r="K5" s="59" t="str">
        <f t="shared" ref="K5:K40" si="0">CONCATENATE(TEXT(I5,"0.00")," (",TEXT(H5,"0.00")," – ",TEXT(J5,"0.00"),")")</f>
        <v>1.07 (0.31 – 3.00)</v>
      </c>
      <c r="L5" s="16" t="str">
        <f t="shared" ref="L5:L40" si="1">CONCATENATE(TEXT(I5,"0.00"),"
(",TEXT(H5,"0.00")," – ",TEXT(J5,"0.00"),")")</f>
        <v>1.07
(0.31 – 3.00)</v>
      </c>
      <c r="N5" s="59" t="s">
        <v>352</v>
      </c>
      <c r="O5" s="16" t="s">
        <v>678</v>
      </c>
      <c r="P5">
        <v>1.046</v>
      </c>
      <c r="Q5">
        <v>1.518</v>
      </c>
      <c r="R5">
        <v>2.0760000000000001</v>
      </c>
      <c r="S5">
        <v>2</v>
      </c>
      <c r="T5">
        <v>1</v>
      </c>
    </row>
    <row r="6" spans="1:20" x14ac:dyDescent="0.25">
      <c r="A6" t="s">
        <v>491</v>
      </c>
      <c r="B6" s="54">
        <v>5</v>
      </c>
      <c r="C6" s="54">
        <v>2.6880000000000002</v>
      </c>
      <c r="E6" s="19">
        <v>3</v>
      </c>
      <c r="F6" s="19">
        <v>6</v>
      </c>
      <c r="G6" s="19" t="s">
        <v>753</v>
      </c>
      <c r="H6" s="19">
        <v>0.35124692658939233</v>
      </c>
      <c r="I6" s="19">
        <v>1.0331645831180907</v>
      </c>
      <c r="J6" s="19">
        <v>2.5766555011594949</v>
      </c>
      <c r="K6" s="59" t="str">
        <f t="shared" si="0"/>
        <v>1.03 (0.35 – 2.58)</v>
      </c>
      <c r="L6" s="16" t="str">
        <f t="shared" si="1"/>
        <v>1.03
(0.35 – 2.58)</v>
      </c>
      <c r="N6" s="59" t="s">
        <v>353</v>
      </c>
      <c r="O6" s="16" t="s">
        <v>679</v>
      </c>
      <c r="P6">
        <v>0.34689999999999999</v>
      </c>
      <c r="Q6">
        <v>0.56710000000000005</v>
      </c>
      <c r="R6">
        <v>0.94430000000000003</v>
      </c>
      <c r="S6">
        <v>3</v>
      </c>
      <c r="T6">
        <v>1</v>
      </c>
    </row>
    <row r="7" spans="1:20" x14ac:dyDescent="0.25">
      <c r="A7" t="s">
        <v>489</v>
      </c>
      <c r="B7" s="19">
        <v>3</v>
      </c>
      <c r="C7" s="19">
        <v>3.3820000000000001</v>
      </c>
      <c r="E7" s="19">
        <v>4</v>
      </c>
      <c r="F7" s="19">
        <v>5</v>
      </c>
      <c r="G7" s="19" t="s">
        <v>717</v>
      </c>
      <c r="H7" s="19">
        <v>0.28328611898016998</v>
      </c>
      <c r="I7" s="19">
        <v>1.0009008107296566</v>
      </c>
      <c r="J7" s="19">
        <v>4.6446818392940088</v>
      </c>
      <c r="K7" s="59" t="str">
        <f t="shared" si="0"/>
        <v>1.00 (0.28 – 4.64)</v>
      </c>
      <c r="L7" s="16" t="str">
        <f t="shared" si="1"/>
        <v>1.00
(0.28 – 4.64)</v>
      </c>
      <c r="N7" s="59" t="s">
        <v>354</v>
      </c>
      <c r="O7" s="16" t="s">
        <v>680</v>
      </c>
      <c r="P7">
        <v>0.21149999999999999</v>
      </c>
      <c r="Q7">
        <v>0.45579999999999998</v>
      </c>
      <c r="R7">
        <v>0.93610000000000004</v>
      </c>
      <c r="S7">
        <v>4</v>
      </c>
      <c r="T7">
        <v>1</v>
      </c>
    </row>
    <row r="8" spans="1:20" x14ac:dyDescent="0.25">
      <c r="A8" t="s">
        <v>492</v>
      </c>
      <c r="B8" s="19">
        <v>6</v>
      </c>
      <c r="C8" s="19">
        <v>3.5609999999999999</v>
      </c>
      <c r="E8" s="19">
        <v>3</v>
      </c>
      <c r="F8" s="19">
        <v>8</v>
      </c>
      <c r="G8" s="19" t="s">
        <v>724</v>
      </c>
      <c r="H8" s="19">
        <v>0.49261083743842371</v>
      </c>
      <c r="I8" s="19">
        <v>0.82101806239737274</v>
      </c>
      <c r="J8" s="19">
        <v>1.4148273910582909</v>
      </c>
      <c r="K8" s="59" t="str">
        <f t="shared" si="0"/>
        <v>0.82 (0.49 – 1.41)</v>
      </c>
      <c r="L8" s="16" t="str">
        <f t="shared" si="1"/>
        <v>0.82
(0.49 – 1.41)</v>
      </c>
      <c r="N8" s="59" t="s">
        <v>355</v>
      </c>
      <c r="O8" s="16" t="s">
        <v>681</v>
      </c>
      <c r="P8">
        <v>0.1212</v>
      </c>
      <c r="Q8">
        <v>0.42030000000000001</v>
      </c>
      <c r="R8">
        <v>1.5640000000000001</v>
      </c>
      <c r="S8">
        <v>5</v>
      </c>
      <c r="T8">
        <v>1</v>
      </c>
    </row>
    <row r="9" spans="1:20" x14ac:dyDescent="0.25">
      <c r="A9" t="s">
        <v>494</v>
      </c>
      <c r="B9" s="19">
        <v>8</v>
      </c>
      <c r="C9" s="19">
        <v>4.3470000000000004</v>
      </c>
      <c r="E9" s="19">
        <v>4</v>
      </c>
      <c r="F9" s="19">
        <v>6</v>
      </c>
      <c r="G9" s="19" t="s">
        <v>747</v>
      </c>
      <c r="H9" s="19">
        <v>0.34818941504178275</v>
      </c>
      <c r="I9" s="19">
        <v>0.79808459696727863</v>
      </c>
      <c r="J9" s="19">
        <v>1.7277125086385625</v>
      </c>
      <c r="K9" s="59" t="str">
        <f t="shared" si="0"/>
        <v>0.80 (0.35 – 1.73)</v>
      </c>
      <c r="L9" s="16" t="str">
        <f t="shared" si="1"/>
        <v>0.80
(0.35 – 1.73)</v>
      </c>
      <c r="N9" s="59" t="s">
        <v>521</v>
      </c>
      <c r="O9" s="16" t="s">
        <v>682</v>
      </c>
      <c r="P9">
        <v>0.2079</v>
      </c>
      <c r="Q9">
        <v>0.53410000000000002</v>
      </c>
      <c r="R9">
        <v>1.855</v>
      </c>
      <c r="S9">
        <v>6</v>
      </c>
      <c r="T9">
        <v>1</v>
      </c>
    </row>
    <row r="10" spans="1:20" x14ac:dyDescent="0.25">
      <c r="A10" t="s">
        <v>493</v>
      </c>
      <c r="B10" s="54">
        <v>7</v>
      </c>
      <c r="C10" s="54">
        <v>5.9480000000000004</v>
      </c>
      <c r="E10" s="19">
        <v>6</v>
      </c>
      <c r="F10" s="59">
        <v>8</v>
      </c>
      <c r="G10" s="54" t="s">
        <v>714</v>
      </c>
      <c r="H10" s="16">
        <v>0.27847396268448898</v>
      </c>
      <c r="I10" s="16">
        <v>0.79051383399209496</v>
      </c>
      <c r="J10" s="16">
        <v>2.4691358024691357</v>
      </c>
      <c r="K10" s="59" t="str">
        <f t="shared" si="0"/>
        <v>0.79 (0.28 – 2.47)</v>
      </c>
      <c r="L10" s="16" t="str">
        <f t="shared" si="1"/>
        <v>0.79
(0.28 – 2.47)</v>
      </c>
      <c r="N10" s="59" t="s">
        <v>522</v>
      </c>
      <c r="O10" s="16" t="s">
        <v>683</v>
      </c>
      <c r="P10">
        <v>0.313</v>
      </c>
      <c r="Q10">
        <v>1.0680000000000001</v>
      </c>
      <c r="R10">
        <v>2.996</v>
      </c>
      <c r="S10">
        <v>7</v>
      </c>
      <c r="T10">
        <v>1</v>
      </c>
    </row>
    <row r="11" spans="1:20" x14ac:dyDescent="0.25">
      <c r="A11" t="s">
        <v>487</v>
      </c>
      <c r="B11" s="19">
        <v>1</v>
      </c>
      <c r="C11" s="19">
        <v>6.1280000000000001</v>
      </c>
      <c r="E11" s="57">
        <v>5</v>
      </c>
      <c r="F11" s="57">
        <v>6</v>
      </c>
      <c r="G11" s="57" t="s">
        <v>746</v>
      </c>
      <c r="H11" s="57">
        <v>0.1404494382022472</v>
      </c>
      <c r="I11" s="57">
        <v>0.78864353312302837</v>
      </c>
      <c r="J11" s="57">
        <v>3.5285815102328866</v>
      </c>
      <c r="K11" s="59" t="str">
        <f t="shared" si="0"/>
        <v>0.79 (0.14 – 3.53)</v>
      </c>
      <c r="L11" s="16" t="str">
        <f t="shared" si="1"/>
        <v>0.79
(0.14 – 3.53)</v>
      </c>
      <c r="N11" s="59" t="s">
        <v>523</v>
      </c>
      <c r="O11" s="16" t="s">
        <v>684</v>
      </c>
      <c r="P11">
        <v>0.42970000000000003</v>
      </c>
      <c r="Q11">
        <v>0.68969999999999998</v>
      </c>
      <c r="R11">
        <v>1.0660000000000001</v>
      </c>
      <c r="S11">
        <v>8</v>
      </c>
      <c r="T11">
        <v>1</v>
      </c>
    </row>
    <row r="12" spans="1:20" x14ac:dyDescent="0.25">
      <c r="A12" t="s">
        <v>488</v>
      </c>
      <c r="B12" s="54">
        <v>2</v>
      </c>
      <c r="C12" s="54">
        <v>7.6740000000000004</v>
      </c>
      <c r="E12" s="19">
        <v>4</v>
      </c>
      <c r="F12" s="19">
        <v>3</v>
      </c>
      <c r="G12" s="19" t="s">
        <v>693</v>
      </c>
      <c r="H12" s="19">
        <v>0.44979999999999998</v>
      </c>
      <c r="I12" s="19">
        <v>0.78779999999999994</v>
      </c>
      <c r="J12" s="19">
        <v>1.4710000000000001</v>
      </c>
      <c r="K12" s="59" t="str">
        <f t="shared" si="0"/>
        <v>0.79 (0.45 – 1.47)</v>
      </c>
      <c r="L12" s="16" t="str">
        <f t="shared" si="1"/>
        <v>0.79
(0.45 – 1.47)</v>
      </c>
      <c r="N12" s="59" t="s">
        <v>524</v>
      </c>
      <c r="O12" s="16" t="s">
        <v>685</v>
      </c>
      <c r="P12">
        <v>3.6</v>
      </c>
      <c r="Q12">
        <v>6.4139999999999997</v>
      </c>
      <c r="R12">
        <v>12.78</v>
      </c>
      <c r="S12">
        <v>9</v>
      </c>
      <c r="T12">
        <v>1</v>
      </c>
    </row>
    <row r="13" spans="1:20" x14ac:dyDescent="0.25">
      <c r="A13" t="s">
        <v>495</v>
      </c>
      <c r="B13" s="54">
        <v>9</v>
      </c>
      <c r="C13" s="54">
        <v>9</v>
      </c>
      <c r="E13" s="57">
        <v>5</v>
      </c>
      <c r="F13" s="57">
        <v>3</v>
      </c>
      <c r="G13" s="57" t="s">
        <v>694</v>
      </c>
      <c r="H13" s="57">
        <v>0.2069</v>
      </c>
      <c r="I13" s="57">
        <v>0.73829999999999996</v>
      </c>
      <c r="J13" s="57">
        <v>2.7549999999999999</v>
      </c>
      <c r="K13" s="59" t="str">
        <f t="shared" si="0"/>
        <v>0.74 (0.21 – 2.76)</v>
      </c>
      <c r="L13" s="16" t="str">
        <f t="shared" si="1"/>
        <v>0.74
(0.21 – 2.76)</v>
      </c>
      <c r="N13" s="59" t="s">
        <v>356</v>
      </c>
      <c r="O13" s="16" t="s">
        <v>686</v>
      </c>
      <c r="P13">
        <v>0.24660000000000001</v>
      </c>
      <c r="Q13">
        <v>0.37930000000000003</v>
      </c>
      <c r="R13">
        <v>0.60629999999999995</v>
      </c>
      <c r="S13">
        <v>3</v>
      </c>
      <c r="T13">
        <v>2</v>
      </c>
    </row>
    <row r="14" spans="1:20" x14ac:dyDescent="0.25">
      <c r="E14" s="19">
        <v>7</v>
      </c>
      <c r="F14" s="19">
        <v>2</v>
      </c>
      <c r="G14" s="19" t="s">
        <v>690</v>
      </c>
      <c r="H14" s="19">
        <v>0.23050000000000001</v>
      </c>
      <c r="I14" s="19">
        <v>0.7036</v>
      </c>
      <c r="J14" s="19">
        <v>1.865</v>
      </c>
      <c r="K14" s="59" t="str">
        <f t="shared" si="0"/>
        <v>0.70 (0.23 – 1.87)</v>
      </c>
      <c r="L14" s="16" t="str">
        <f t="shared" si="1"/>
        <v>0.70
(0.23 – 1.87)</v>
      </c>
      <c r="N14" s="59" t="s">
        <v>357</v>
      </c>
      <c r="O14" s="16" t="s">
        <v>687</v>
      </c>
      <c r="P14">
        <v>0.14630000000000001</v>
      </c>
      <c r="Q14">
        <v>0.29499999999999998</v>
      </c>
      <c r="R14">
        <v>0.61799999999999999</v>
      </c>
      <c r="S14">
        <v>4</v>
      </c>
      <c r="T14">
        <v>2</v>
      </c>
    </row>
    <row r="15" spans="1:20" ht="15" customHeight="1" x14ac:dyDescent="0.25">
      <c r="E15" s="19">
        <v>8</v>
      </c>
      <c r="F15" s="19">
        <v>1</v>
      </c>
      <c r="G15" s="19" t="s">
        <v>684</v>
      </c>
      <c r="H15" s="19">
        <v>0.42970000000000003</v>
      </c>
      <c r="I15" s="19">
        <v>0.68969999999999998</v>
      </c>
      <c r="J15" s="19">
        <v>1.0660000000000001</v>
      </c>
      <c r="K15" s="59" t="str">
        <f t="shared" si="0"/>
        <v>0.69 (0.43 – 1.07)</v>
      </c>
      <c r="L15" s="16" t="str">
        <f t="shared" si="1"/>
        <v>0.69
(0.43 – 1.07)</v>
      </c>
      <c r="N15" s="59" t="s">
        <v>358</v>
      </c>
      <c r="O15" s="16" t="s">
        <v>688</v>
      </c>
      <c r="P15">
        <v>8.6099999999999996E-2</v>
      </c>
      <c r="Q15">
        <v>0.27960000000000002</v>
      </c>
      <c r="R15">
        <v>0.89239999999999997</v>
      </c>
      <c r="S15">
        <v>5</v>
      </c>
      <c r="T15">
        <v>2</v>
      </c>
    </row>
    <row r="16" spans="1:20" ht="15" customHeight="1" x14ac:dyDescent="0.25">
      <c r="E16" s="19">
        <v>1</v>
      </c>
      <c r="F16" s="19">
        <v>2</v>
      </c>
      <c r="G16" s="19" t="s">
        <v>729</v>
      </c>
      <c r="H16" s="19">
        <v>0.48169556840077071</v>
      </c>
      <c r="I16" s="19">
        <v>0.65876152832674573</v>
      </c>
      <c r="J16" s="19">
        <v>0.95602294455066916</v>
      </c>
      <c r="K16" s="59" t="str">
        <f t="shared" si="0"/>
        <v>0.66 (0.48 – 0.96)</v>
      </c>
      <c r="L16" s="16" t="str">
        <f t="shared" si="1"/>
        <v>0.66
(0.48 – 0.96)</v>
      </c>
      <c r="N16" s="59" t="s">
        <v>525</v>
      </c>
      <c r="O16" s="16" t="s">
        <v>689</v>
      </c>
      <c r="P16">
        <v>0.1386</v>
      </c>
      <c r="Q16">
        <v>0.36509999999999998</v>
      </c>
      <c r="R16">
        <v>1.1950000000000001</v>
      </c>
      <c r="S16">
        <v>6</v>
      </c>
      <c r="T16">
        <v>2</v>
      </c>
    </row>
    <row r="17" spans="5:20" ht="15" customHeight="1" x14ac:dyDescent="0.25">
      <c r="E17" s="19">
        <v>4</v>
      </c>
      <c r="F17" s="59">
        <v>8</v>
      </c>
      <c r="G17" s="54" t="s">
        <v>718</v>
      </c>
      <c r="H17" s="16">
        <v>0.29620853080568721</v>
      </c>
      <c r="I17" s="16">
        <v>0.64683053040103489</v>
      </c>
      <c r="J17" s="16">
        <v>1.4819205690574986</v>
      </c>
      <c r="K17" s="59" t="str">
        <f t="shared" si="0"/>
        <v>0.65 (0.30 – 1.48)</v>
      </c>
      <c r="L17" s="16" t="str">
        <f t="shared" si="1"/>
        <v>0.65
(0.30 – 1.48)</v>
      </c>
      <c r="N17" s="59" t="s">
        <v>526</v>
      </c>
      <c r="O17" s="16" t="s">
        <v>690</v>
      </c>
      <c r="P17">
        <v>0.23050000000000001</v>
      </c>
      <c r="Q17">
        <v>0.7036</v>
      </c>
      <c r="R17">
        <v>1.865</v>
      </c>
      <c r="S17">
        <v>7</v>
      </c>
      <c r="T17">
        <v>2</v>
      </c>
    </row>
    <row r="18" spans="5:20" ht="15" customHeight="1" x14ac:dyDescent="0.25">
      <c r="E18" s="19">
        <v>8</v>
      </c>
      <c r="F18" s="59">
        <v>7</v>
      </c>
      <c r="G18" s="54" t="s">
        <v>711</v>
      </c>
      <c r="H18" s="16">
        <v>0.20899999999999999</v>
      </c>
      <c r="I18" s="16">
        <v>0.64029999999999998</v>
      </c>
      <c r="J18" s="16">
        <v>2.2570000000000001</v>
      </c>
      <c r="K18" s="59" t="str">
        <f t="shared" si="0"/>
        <v>0.64 (0.21 – 2.26)</v>
      </c>
      <c r="L18" s="16" t="str">
        <f t="shared" si="1"/>
        <v>0.64
(0.21 – 2.26)</v>
      </c>
      <c r="N18" s="59" t="s">
        <v>527</v>
      </c>
      <c r="O18" s="16" t="s">
        <v>691</v>
      </c>
      <c r="P18">
        <v>0.25700000000000001</v>
      </c>
      <c r="Q18">
        <v>0.45669999999999999</v>
      </c>
      <c r="R18">
        <v>0.7601</v>
      </c>
      <c r="S18">
        <v>8</v>
      </c>
      <c r="T18">
        <v>2</v>
      </c>
    </row>
    <row r="19" spans="5:20" ht="15" customHeight="1" x14ac:dyDescent="0.25">
      <c r="E19" s="19">
        <v>5</v>
      </c>
      <c r="F19" s="19">
        <v>8</v>
      </c>
      <c r="G19" s="19" t="s">
        <v>721</v>
      </c>
      <c r="H19" s="19">
        <v>0.18392495861688429</v>
      </c>
      <c r="I19" s="19">
        <v>0.59808612440191389</v>
      </c>
      <c r="J19" s="19">
        <v>2.3089355806972987</v>
      </c>
      <c r="K19" s="59" t="str">
        <f t="shared" si="0"/>
        <v>0.60 (0.18 – 2.31)</v>
      </c>
      <c r="L19" s="16" t="str">
        <f t="shared" si="1"/>
        <v>0.60
(0.18 – 2.31)</v>
      </c>
      <c r="N19" s="59" t="s">
        <v>528</v>
      </c>
      <c r="O19" s="16" t="s">
        <v>692</v>
      </c>
      <c r="P19">
        <v>2.335</v>
      </c>
      <c r="Q19">
        <v>4.3280000000000003</v>
      </c>
      <c r="R19">
        <v>8.8719999999999999</v>
      </c>
      <c r="S19">
        <v>9</v>
      </c>
      <c r="T19">
        <v>2</v>
      </c>
    </row>
    <row r="20" spans="5:20" ht="15" customHeight="1" x14ac:dyDescent="0.25">
      <c r="E20" s="19">
        <v>3</v>
      </c>
      <c r="F20" s="59">
        <v>1</v>
      </c>
      <c r="G20" s="54" t="s">
        <v>679</v>
      </c>
      <c r="H20" s="16">
        <v>0.34689999999999999</v>
      </c>
      <c r="I20" s="16">
        <v>0.56710000000000005</v>
      </c>
      <c r="J20" s="16">
        <v>0.94430000000000003</v>
      </c>
      <c r="K20" s="59" t="str">
        <f t="shared" si="0"/>
        <v>0.57 (0.35 – 0.94)</v>
      </c>
      <c r="L20" s="16" t="str">
        <f t="shared" si="1"/>
        <v>0.57
(0.35 – 0.94)</v>
      </c>
      <c r="N20" s="59" t="s">
        <v>359</v>
      </c>
      <c r="O20" s="16" t="s">
        <v>693</v>
      </c>
      <c r="P20">
        <v>0.44979999999999998</v>
      </c>
      <c r="Q20">
        <v>0.78779999999999994</v>
      </c>
      <c r="R20">
        <v>1.4710000000000001</v>
      </c>
      <c r="S20">
        <v>4</v>
      </c>
      <c r="T20">
        <v>3</v>
      </c>
    </row>
    <row r="21" spans="5:20" ht="15" customHeight="1" x14ac:dyDescent="0.25">
      <c r="E21" s="19">
        <v>3</v>
      </c>
      <c r="F21" s="19">
        <v>7</v>
      </c>
      <c r="G21" s="19" t="s">
        <v>725</v>
      </c>
      <c r="H21" s="19">
        <v>0.18467220683287164</v>
      </c>
      <c r="I21" s="19">
        <v>0.55279159756771701</v>
      </c>
      <c r="J21" s="19">
        <v>1.7642907551164433</v>
      </c>
      <c r="K21" s="59" t="str">
        <f t="shared" si="0"/>
        <v>0.55 (0.18 – 1.76)</v>
      </c>
      <c r="L21" s="16" t="str">
        <f t="shared" si="1"/>
        <v>0.55
(0.18 – 1.76)</v>
      </c>
      <c r="N21" s="59" t="s">
        <v>360</v>
      </c>
      <c r="O21" s="16" t="s">
        <v>694</v>
      </c>
      <c r="P21">
        <v>0.2069</v>
      </c>
      <c r="Q21">
        <v>0.73829999999999996</v>
      </c>
      <c r="R21">
        <v>2.7549999999999999</v>
      </c>
      <c r="S21">
        <v>5</v>
      </c>
      <c r="T21">
        <v>3</v>
      </c>
    </row>
    <row r="22" spans="5:20" ht="15" customHeight="1" x14ac:dyDescent="0.25">
      <c r="E22" s="19">
        <v>6</v>
      </c>
      <c r="F22" s="59">
        <v>7</v>
      </c>
      <c r="G22" s="54" t="s">
        <v>715</v>
      </c>
      <c r="H22" s="16">
        <v>0.13185654008438819</v>
      </c>
      <c r="I22" s="16">
        <v>0.55187637969094916</v>
      </c>
      <c r="J22" s="16">
        <v>2.222716159146477</v>
      </c>
      <c r="K22" s="59" t="str">
        <f t="shared" si="0"/>
        <v>0.55 (0.13 – 2.22)</v>
      </c>
      <c r="L22" s="16" t="str">
        <f t="shared" si="1"/>
        <v>0.55
(0.13 – 2.22)</v>
      </c>
      <c r="N22" s="59" t="s">
        <v>529</v>
      </c>
      <c r="O22" s="16" t="s">
        <v>695</v>
      </c>
      <c r="P22">
        <v>0.3881</v>
      </c>
      <c r="Q22">
        <v>0.96789999999999998</v>
      </c>
      <c r="R22">
        <v>2.847</v>
      </c>
      <c r="S22">
        <v>6</v>
      </c>
      <c r="T22">
        <v>3</v>
      </c>
    </row>
    <row r="23" spans="5:20" ht="15" customHeight="1" x14ac:dyDescent="0.25">
      <c r="E23" s="19">
        <v>6</v>
      </c>
      <c r="F23" s="19">
        <v>1</v>
      </c>
      <c r="G23" s="19" t="s">
        <v>682</v>
      </c>
      <c r="H23" s="19">
        <v>0.2079</v>
      </c>
      <c r="I23" s="19">
        <v>0.53410000000000002</v>
      </c>
      <c r="J23" s="19">
        <v>1.855</v>
      </c>
      <c r="K23" s="59" t="str">
        <f t="shared" si="0"/>
        <v>0.53 (0.21 – 1.86)</v>
      </c>
      <c r="L23" s="16" t="str">
        <f t="shared" si="1"/>
        <v>0.53
(0.21 – 1.86)</v>
      </c>
      <c r="N23" s="59" t="s">
        <v>530</v>
      </c>
      <c r="O23" s="16" t="s">
        <v>696</v>
      </c>
      <c r="P23">
        <v>0.56679999999999997</v>
      </c>
      <c r="Q23">
        <v>1.8089999999999999</v>
      </c>
      <c r="R23">
        <v>5.415</v>
      </c>
      <c r="S23">
        <v>7</v>
      </c>
      <c r="T23">
        <v>3</v>
      </c>
    </row>
    <row r="24" spans="5:20" ht="15" customHeight="1" x14ac:dyDescent="0.25">
      <c r="E24" s="57">
        <v>8</v>
      </c>
      <c r="F24" s="57">
        <v>2</v>
      </c>
      <c r="G24" s="57" t="s">
        <v>691</v>
      </c>
      <c r="H24" s="57">
        <v>0.25700000000000001</v>
      </c>
      <c r="I24" s="57">
        <v>0.45669999999999999</v>
      </c>
      <c r="J24" s="57">
        <v>0.7601</v>
      </c>
      <c r="K24" s="59" t="str">
        <f t="shared" si="0"/>
        <v>0.46 (0.26 – 0.76)</v>
      </c>
      <c r="L24" s="16" t="str">
        <f t="shared" si="1"/>
        <v>0.46
(0.26 – 0.76)</v>
      </c>
      <c r="N24" s="59" t="s">
        <v>531</v>
      </c>
      <c r="O24" s="16" t="s">
        <v>697</v>
      </c>
      <c r="P24">
        <v>0.70679999999999998</v>
      </c>
      <c r="Q24">
        <v>1.218</v>
      </c>
      <c r="R24">
        <v>2.0299999999999998</v>
      </c>
      <c r="S24">
        <v>8</v>
      </c>
      <c r="T24">
        <v>3</v>
      </c>
    </row>
    <row r="25" spans="5:20" ht="15" customHeight="1" x14ac:dyDescent="0.25">
      <c r="E25" s="19">
        <v>4</v>
      </c>
      <c r="F25" s="19">
        <v>1</v>
      </c>
      <c r="G25" s="19" t="s">
        <v>680</v>
      </c>
      <c r="H25" s="19">
        <v>0.21149999999999999</v>
      </c>
      <c r="I25" s="19">
        <v>0.45579999999999998</v>
      </c>
      <c r="J25" s="19">
        <v>0.93610000000000004</v>
      </c>
      <c r="K25" s="59" t="str">
        <f t="shared" si="0"/>
        <v>0.46 (0.21 – 0.94)</v>
      </c>
      <c r="L25" s="16" t="str">
        <f t="shared" si="1"/>
        <v>0.46
(0.21 – 0.94)</v>
      </c>
      <c r="N25" s="59" t="s">
        <v>532</v>
      </c>
      <c r="O25" s="16" t="s">
        <v>698</v>
      </c>
      <c r="P25">
        <v>5.18</v>
      </c>
      <c r="Q25">
        <v>11.6</v>
      </c>
      <c r="R25">
        <v>26.39</v>
      </c>
      <c r="S25">
        <v>9</v>
      </c>
      <c r="T25">
        <v>3</v>
      </c>
    </row>
    <row r="26" spans="5:20" ht="15" customHeight="1" x14ac:dyDescent="0.25">
      <c r="E26" s="19">
        <v>4</v>
      </c>
      <c r="F26" s="19">
        <v>7</v>
      </c>
      <c r="G26" s="19" t="s">
        <v>719</v>
      </c>
      <c r="H26" s="19">
        <v>0.14245014245014245</v>
      </c>
      <c r="I26" s="19">
        <v>0.43346337234503685</v>
      </c>
      <c r="J26" s="19">
        <v>1.5559358954411078</v>
      </c>
      <c r="K26" s="59" t="str">
        <f t="shared" si="0"/>
        <v>0.43 (0.14 – 1.56)</v>
      </c>
      <c r="L26" s="16" t="str">
        <f t="shared" si="1"/>
        <v>0.43
(0.14 – 1.56)</v>
      </c>
      <c r="N26" s="59" t="s">
        <v>361</v>
      </c>
      <c r="O26" s="16" t="s">
        <v>699</v>
      </c>
      <c r="P26">
        <v>0.21529999999999999</v>
      </c>
      <c r="Q26">
        <v>0.99909999999999999</v>
      </c>
      <c r="R26">
        <v>3.53</v>
      </c>
      <c r="S26">
        <v>5</v>
      </c>
      <c r="T26">
        <v>4</v>
      </c>
    </row>
    <row r="27" spans="5:20" ht="15" customHeight="1" x14ac:dyDescent="0.25">
      <c r="E27" s="19">
        <v>5</v>
      </c>
      <c r="F27" s="19">
        <v>1</v>
      </c>
      <c r="G27" s="19" t="s">
        <v>681</v>
      </c>
      <c r="H27" s="19">
        <v>0.1212</v>
      </c>
      <c r="I27" s="19">
        <v>0.42030000000000001</v>
      </c>
      <c r="J27" s="19">
        <v>1.5640000000000001</v>
      </c>
      <c r="K27" s="59" t="str">
        <f t="shared" si="0"/>
        <v>0.42 (0.12 – 1.56)</v>
      </c>
      <c r="L27" s="16" t="str">
        <f t="shared" si="1"/>
        <v>0.42
(0.12 – 1.56)</v>
      </c>
      <c r="N27" s="59" t="s">
        <v>533</v>
      </c>
      <c r="O27" s="16" t="s">
        <v>700</v>
      </c>
      <c r="P27">
        <v>0.57879999999999998</v>
      </c>
      <c r="Q27">
        <v>1.2529999999999999</v>
      </c>
      <c r="R27">
        <v>2.8719999999999999</v>
      </c>
      <c r="S27">
        <v>6</v>
      </c>
      <c r="T27">
        <v>4</v>
      </c>
    </row>
    <row r="28" spans="5:20" ht="15" customHeight="1" x14ac:dyDescent="0.25">
      <c r="E28" s="19">
        <v>5</v>
      </c>
      <c r="F28" s="59">
        <v>7</v>
      </c>
      <c r="G28" s="54" t="s">
        <v>722</v>
      </c>
      <c r="H28" s="16">
        <v>9.00900900900901E-2</v>
      </c>
      <c r="I28" s="16">
        <v>0.41322314049586778</v>
      </c>
      <c r="J28" s="16">
        <v>1.9153418885271021</v>
      </c>
      <c r="K28" s="59" t="str">
        <f t="shared" si="0"/>
        <v>0.41 (0.09 – 1.92)</v>
      </c>
      <c r="L28" s="16" t="str">
        <f t="shared" si="1"/>
        <v>0.41
(0.09 – 1.92)</v>
      </c>
      <c r="N28" s="59" t="s">
        <v>534</v>
      </c>
      <c r="O28" s="16" t="s">
        <v>701</v>
      </c>
      <c r="P28">
        <v>0.64270000000000005</v>
      </c>
      <c r="Q28">
        <v>2.3069999999999999</v>
      </c>
      <c r="R28">
        <v>7.02</v>
      </c>
      <c r="S28">
        <v>7</v>
      </c>
      <c r="T28">
        <v>4</v>
      </c>
    </row>
    <row r="29" spans="5:20" ht="15" customHeight="1" x14ac:dyDescent="0.25">
      <c r="E29" s="19">
        <v>3</v>
      </c>
      <c r="F29" s="19">
        <v>2</v>
      </c>
      <c r="G29" s="19" t="s">
        <v>686</v>
      </c>
      <c r="H29" s="19">
        <v>0.24660000000000001</v>
      </c>
      <c r="I29" s="19">
        <v>0.37930000000000003</v>
      </c>
      <c r="J29" s="19">
        <v>0.60629999999999995</v>
      </c>
      <c r="K29" s="59" t="str">
        <f t="shared" si="0"/>
        <v>0.38 (0.25 – 0.61)</v>
      </c>
      <c r="L29" s="16" t="str">
        <f t="shared" si="1"/>
        <v>0.38
(0.25 – 0.61)</v>
      </c>
      <c r="N29" s="59" t="s">
        <v>535</v>
      </c>
      <c r="O29" s="16" t="s">
        <v>702</v>
      </c>
      <c r="P29">
        <v>0.67479999999999996</v>
      </c>
      <c r="Q29">
        <v>1.546</v>
      </c>
      <c r="R29">
        <v>3.3759999999999999</v>
      </c>
      <c r="S29">
        <v>8</v>
      </c>
      <c r="T29">
        <v>4</v>
      </c>
    </row>
    <row r="30" spans="5:20" ht="15" customHeight="1" x14ac:dyDescent="0.25">
      <c r="E30" s="19">
        <v>6</v>
      </c>
      <c r="F30" s="59">
        <v>2</v>
      </c>
      <c r="G30" s="54" t="s">
        <v>689</v>
      </c>
      <c r="H30" s="16">
        <v>0.1386</v>
      </c>
      <c r="I30" s="16">
        <v>0.36509999999999998</v>
      </c>
      <c r="J30" s="16">
        <v>1.1950000000000001</v>
      </c>
      <c r="K30" s="59" t="str">
        <f t="shared" si="0"/>
        <v>0.37 (0.14 – 1.20)</v>
      </c>
      <c r="L30" s="16" t="str">
        <f t="shared" si="1"/>
        <v>0.37
(0.14 – 1.20)</v>
      </c>
      <c r="N30" s="59" t="s">
        <v>536</v>
      </c>
      <c r="O30" s="16" t="s">
        <v>703</v>
      </c>
      <c r="P30">
        <v>5.54</v>
      </c>
      <c r="Q30">
        <v>14.7</v>
      </c>
      <c r="R30">
        <v>33.81</v>
      </c>
      <c r="S30">
        <v>9</v>
      </c>
      <c r="T30">
        <v>4</v>
      </c>
    </row>
    <row r="31" spans="5:20" ht="15" customHeight="1" x14ac:dyDescent="0.25">
      <c r="E31" s="19">
        <v>4</v>
      </c>
      <c r="F31" s="59">
        <v>2</v>
      </c>
      <c r="G31" s="54" t="s">
        <v>687</v>
      </c>
      <c r="H31" s="16">
        <v>0.14630000000000001</v>
      </c>
      <c r="I31" s="16">
        <v>0.29499999999999998</v>
      </c>
      <c r="J31" s="16">
        <v>0.61799999999999999</v>
      </c>
      <c r="K31" s="59" t="str">
        <f t="shared" si="0"/>
        <v>0.30 (0.15 – 0.62)</v>
      </c>
      <c r="L31" s="16" t="str">
        <f t="shared" si="1"/>
        <v>0.30
(0.15 – 0.62)</v>
      </c>
      <c r="N31" s="59" t="s">
        <v>537</v>
      </c>
      <c r="O31" s="16" t="s">
        <v>704</v>
      </c>
      <c r="P31">
        <v>0.28339999999999999</v>
      </c>
      <c r="Q31">
        <v>1.268</v>
      </c>
      <c r="R31">
        <v>7.12</v>
      </c>
      <c r="S31">
        <v>6</v>
      </c>
      <c r="T31">
        <v>5</v>
      </c>
    </row>
    <row r="32" spans="5:20" ht="15" customHeight="1" x14ac:dyDescent="0.25">
      <c r="E32" s="19">
        <v>5</v>
      </c>
      <c r="F32" s="19">
        <v>2</v>
      </c>
      <c r="G32" s="19" t="s">
        <v>688</v>
      </c>
      <c r="H32" s="19">
        <v>8.6099999999999996E-2</v>
      </c>
      <c r="I32" s="19">
        <v>0.27960000000000002</v>
      </c>
      <c r="J32" s="19">
        <v>0.89239999999999997</v>
      </c>
      <c r="K32" s="59" t="str">
        <f t="shared" si="0"/>
        <v>0.28 (0.09 – 0.89)</v>
      </c>
      <c r="L32" s="16" t="str">
        <f t="shared" si="1"/>
        <v>0.28
(0.09 – 0.89)</v>
      </c>
      <c r="N32" s="59" t="s">
        <v>538</v>
      </c>
      <c r="O32" s="16" t="s">
        <v>705</v>
      </c>
      <c r="P32">
        <v>0.52210000000000001</v>
      </c>
      <c r="Q32">
        <v>2.42</v>
      </c>
      <c r="R32">
        <v>11.1</v>
      </c>
      <c r="S32">
        <v>7</v>
      </c>
      <c r="T32">
        <v>5</v>
      </c>
    </row>
    <row r="33" spans="3:20" ht="15" customHeight="1" x14ac:dyDescent="0.25">
      <c r="E33" s="19">
        <v>2</v>
      </c>
      <c r="F33" s="19">
        <v>9</v>
      </c>
      <c r="G33" s="19" t="s">
        <v>731</v>
      </c>
      <c r="H33" s="19">
        <v>0.1127141568981064</v>
      </c>
      <c r="I33" s="19">
        <v>0.23105360443622919</v>
      </c>
      <c r="J33" s="19">
        <v>0.42826552462526768</v>
      </c>
      <c r="K33" s="59" t="str">
        <f t="shared" si="0"/>
        <v>0.23 (0.11 – 0.43)</v>
      </c>
      <c r="L33" s="16" t="str">
        <f t="shared" si="1"/>
        <v>0.23
(0.11 – 0.43)</v>
      </c>
      <c r="N33" s="59" t="s">
        <v>539</v>
      </c>
      <c r="O33" s="16" t="s">
        <v>706</v>
      </c>
      <c r="P33">
        <v>0.43309999999999998</v>
      </c>
      <c r="Q33">
        <v>1.6719999999999999</v>
      </c>
      <c r="R33">
        <v>5.4370000000000003</v>
      </c>
      <c r="S33">
        <v>8</v>
      </c>
      <c r="T33">
        <v>5</v>
      </c>
    </row>
    <row r="34" spans="3:20" ht="15" customHeight="1" x14ac:dyDescent="0.25">
      <c r="E34" s="19">
        <v>7</v>
      </c>
      <c r="F34" s="19">
        <v>9</v>
      </c>
      <c r="G34" s="19" t="s">
        <v>728</v>
      </c>
      <c r="H34" s="19">
        <v>4.0584415584415584E-2</v>
      </c>
      <c r="I34" s="19">
        <v>0.16490765171503957</v>
      </c>
      <c r="J34" s="19">
        <v>0.47664442326024786</v>
      </c>
      <c r="K34" s="59" t="str">
        <f t="shared" si="0"/>
        <v>0.16 (0.04 – 0.48)</v>
      </c>
      <c r="L34" s="16" t="str">
        <f t="shared" si="1"/>
        <v>0.16
(0.04 – 0.48)</v>
      </c>
      <c r="N34" s="59" t="s">
        <v>540</v>
      </c>
      <c r="O34" s="16" t="s">
        <v>707</v>
      </c>
      <c r="P34">
        <v>4.05</v>
      </c>
      <c r="Q34">
        <v>15.62</v>
      </c>
      <c r="R34">
        <v>54.66</v>
      </c>
      <c r="S34">
        <v>9</v>
      </c>
      <c r="T34">
        <v>5</v>
      </c>
    </row>
    <row r="35" spans="3:20" ht="15" customHeight="1" x14ac:dyDescent="0.25">
      <c r="E35" s="19">
        <v>1</v>
      </c>
      <c r="F35" s="19">
        <v>9</v>
      </c>
      <c r="G35" s="19" t="s">
        <v>730</v>
      </c>
      <c r="H35" s="19">
        <v>7.82472613458529E-2</v>
      </c>
      <c r="I35" s="19">
        <v>0.15590894917368259</v>
      </c>
      <c r="J35" s="19">
        <v>0.27777777777777779</v>
      </c>
      <c r="K35" s="59" t="str">
        <f t="shared" si="0"/>
        <v>0.16 (0.08 – 0.28)</v>
      </c>
      <c r="L35" s="16" t="str">
        <f t="shared" si="1"/>
        <v>0.16
(0.08 – 0.28)</v>
      </c>
      <c r="N35" s="59" t="s">
        <v>541</v>
      </c>
      <c r="O35" s="16" t="s">
        <v>708</v>
      </c>
      <c r="P35">
        <v>0.44990000000000002</v>
      </c>
      <c r="Q35">
        <v>1.8120000000000001</v>
      </c>
      <c r="R35">
        <v>7.5839999999999996</v>
      </c>
      <c r="S35">
        <v>7</v>
      </c>
      <c r="T35">
        <v>6</v>
      </c>
    </row>
    <row r="36" spans="3:20" ht="15" customHeight="1" x14ac:dyDescent="0.25">
      <c r="C36" s="56"/>
      <c r="D36" s="57"/>
      <c r="E36" s="57">
        <v>8</v>
      </c>
      <c r="F36" s="57">
        <v>9</v>
      </c>
      <c r="G36" s="57" t="s">
        <v>727</v>
      </c>
      <c r="H36" s="57">
        <v>5.047955577990914E-2</v>
      </c>
      <c r="I36" s="57">
        <v>0.10501995379122032</v>
      </c>
      <c r="J36" s="57">
        <v>0.21164021164021166</v>
      </c>
      <c r="K36" s="59" t="str">
        <f t="shared" si="0"/>
        <v>0.11 (0.05 – 0.21)</v>
      </c>
      <c r="L36" s="16" t="str">
        <f t="shared" si="1"/>
        <v>0.11
(0.05 – 0.21)</v>
      </c>
      <c r="M36" s="57"/>
      <c r="N36" s="59" t="s">
        <v>542</v>
      </c>
      <c r="O36" s="16" t="s">
        <v>709</v>
      </c>
      <c r="P36">
        <v>0.40500000000000003</v>
      </c>
      <c r="Q36">
        <v>1.2649999999999999</v>
      </c>
      <c r="R36">
        <v>3.5910000000000002</v>
      </c>
      <c r="S36">
        <v>8</v>
      </c>
      <c r="T36">
        <v>6</v>
      </c>
    </row>
    <row r="37" spans="3:20" ht="15" customHeight="1" x14ac:dyDescent="0.25">
      <c r="C37" s="56"/>
      <c r="D37" s="57"/>
      <c r="E37" s="19">
        <v>3</v>
      </c>
      <c r="F37" s="19">
        <v>9</v>
      </c>
      <c r="G37" s="19" t="s">
        <v>726</v>
      </c>
      <c r="H37" s="19">
        <v>3.7893141341417205E-2</v>
      </c>
      <c r="I37" s="19">
        <v>8.6206896551724144E-2</v>
      </c>
      <c r="J37" s="19">
        <v>0.19305019305019305</v>
      </c>
      <c r="K37" s="59" t="str">
        <f t="shared" si="0"/>
        <v>0.09 (0.04 – 0.19)</v>
      </c>
      <c r="L37" s="16" t="str">
        <f t="shared" si="1"/>
        <v>0.09
(0.04 – 0.19)</v>
      </c>
      <c r="M37" s="57"/>
      <c r="N37" s="59" t="s">
        <v>543</v>
      </c>
      <c r="O37" s="16" t="s">
        <v>710</v>
      </c>
      <c r="P37">
        <v>3.1619999999999999</v>
      </c>
      <c r="Q37">
        <v>11.83</v>
      </c>
      <c r="R37">
        <v>35.049999999999997</v>
      </c>
      <c r="S37">
        <v>9</v>
      </c>
      <c r="T37">
        <v>6</v>
      </c>
    </row>
    <row r="38" spans="3:20" ht="15" customHeight="1" x14ac:dyDescent="0.25">
      <c r="C38" s="56"/>
      <c r="D38" s="57"/>
      <c r="E38" s="19">
        <v>6</v>
      </c>
      <c r="F38" s="59">
        <v>9</v>
      </c>
      <c r="G38" s="54" t="s">
        <v>716</v>
      </c>
      <c r="H38" s="16">
        <v>2.8530670470756064E-2</v>
      </c>
      <c r="I38" s="16">
        <v>8.453085376162299E-2</v>
      </c>
      <c r="J38" s="16">
        <v>0.31625553447185328</v>
      </c>
      <c r="K38" s="59" t="str">
        <f t="shared" si="0"/>
        <v>0.08 (0.03 – 0.32)</v>
      </c>
      <c r="L38" s="16" t="str">
        <f t="shared" si="1"/>
        <v>0.08
(0.03 – 0.32)</v>
      </c>
      <c r="M38" s="57"/>
      <c r="N38" s="59" t="s">
        <v>544</v>
      </c>
      <c r="O38" s="16" t="s">
        <v>711</v>
      </c>
      <c r="P38">
        <v>0.20899999999999999</v>
      </c>
      <c r="Q38">
        <v>0.64029999999999998</v>
      </c>
      <c r="R38">
        <v>2.2570000000000001</v>
      </c>
      <c r="S38">
        <v>8</v>
      </c>
      <c r="T38">
        <v>7</v>
      </c>
    </row>
    <row r="39" spans="3:20" ht="15" customHeight="1" x14ac:dyDescent="0.25">
      <c r="C39" s="56"/>
      <c r="D39" s="57"/>
      <c r="E39" s="19">
        <v>4</v>
      </c>
      <c r="F39" s="19">
        <v>9</v>
      </c>
      <c r="G39" s="19" t="s">
        <v>720</v>
      </c>
      <c r="H39" s="19">
        <v>2.9577048210588583E-2</v>
      </c>
      <c r="I39" s="19">
        <v>6.8027210884353748E-2</v>
      </c>
      <c r="J39" s="19">
        <v>0.18050541516245489</v>
      </c>
      <c r="K39" s="59" t="str">
        <f t="shared" si="0"/>
        <v>0.07 (0.03 – 0.18)</v>
      </c>
      <c r="L39" s="16" t="str">
        <f t="shared" si="1"/>
        <v>0.07
(0.03 – 0.18)</v>
      </c>
      <c r="M39" s="57"/>
      <c r="N39" s="59" t="s">
        <v>545</v>
      </c>
      <c r="O39" s="16" t="s">
        <v>712</v>
      </c>
      <c r="P39">
        <v>2.0979999999999999</v>
      </c>
      <c r="Q39">
        <v>6.0640000000000001</v>
      </c>
      <c r="R39">
        <v>24.64</v>
      </c>
      <c r="S39">
        <v>9</v>
      </c>
      <c r="T39">
        <v>7</v>
      </c>
    </row>
    <row r="40" spans="3:20" ht="15" customHeight="1" x14ac:dyDescent="0.25">
      <c r="C40" s="56"/>
      <c r="D40" s="57"/>
      <c r="E40" s="19">
        <v>5</v>
      </c>
      <c r="F40" s="59">
        <v>9</v>
      </c>
      <c r="G40" s="54" t="s">
        <v>723</v>
      </c>
      <c r="H40" s="16">
        <v>1.8294914013904137E-2</v>
      </c>
      <c r="I40" s="16">
        <v>6.4020486555697823E-2</v>
      </c>
      <c r="J40" s="16">
        <v>0.24691358024691359</v>
      </c>
      <c r="K40" s="59" t="str">
        <f t="shared" si="0"/>
        <v>0.06 (0.02 – 0.25)</v>
      </c>
      <c r="L40" s="16" t="str">
        <f t="shared" si="1"/>
        <v>0.06
(0.02 – 0.25)</v>
      </c>
      <c r="M40" s="57"/>
      <c r="N40" s="59" t="s">
        <v>546</v>
      </c>
      <c r="O40" s="16" t="s">
        <v>713</v>
      </c>
      <c r="P40">
        <v>4.7249999999999996</v>
      </c>
      <c r="Q40">
        <v>9.5220000000000002</v>
      </c>
      <c r="R40">
        <v>19.809999999999999</v>
      </c>
      <c r="S40">
        <v>9</v>
      </c>
      <c r="T40">
        <v>8</v>
      </c>
    </row>
    <row r="41" spans="3:20" ht="15" hidden="1" customHeight="1" x14ac:dyDescent="0.25">
      <c r="C41" s="56"/>
      <c r="D41" s="57"/>
      <c r="E41" s="57"/>
      <c r="F41" s="57"/>
      <c r="G41" s="57"/>
      <c r="H41" s="57"/>
      <c r="I41" s="57"/>
      <c r="J41" s="57"/>
      <c r="K41" s="59" t="str">
        <f t="shared" ref="K41:K68" si="2">CONCATENATE(TEXT(I41,"0.00")," (",TEXT(H41,"0.00")," – ",TEXT(J41,"0.00"),")")</f>
        <v>0.00 (0.00 – 0.00)</v>
      </c>
      <c r="L41" s="16" t="str">
        <f t="shared" ref="L41:L69" si="3">CONCATENATE(TEXT(I41,"0.00"),"
(",TEXT(H41,"0.00")," – ",TEXT(J41,"0.00"),")")</f>
        <v>0.00
(0.00 – 0.00)</v>
      </c>
      <c r="M41" s="57"/>
      <c r="N41" s="59"/>
      <c r="O41" s="16"/>
    </row>
    <row r="42" spans="3:20" ht="15" hidden="1" customHeight="1" x14ac:dyDescent="0.25">
      <c r="C42" s="56"/>
      <c r="D42" s="57"/>
      <c r="E42" s="57"/>
      <c r="F42" s="57"/>
      <c r="G42" s="57"/>
      <c r="H42" s="57"/>
      <c r="I42" s="57"/>
      <c r="J42" s="57"/>
      <c r="K42" s="59" t="str">
        <f t="shared" si="2"/>
        <v>0.00 (0.00 – 0.00)</v>
      </c>
      <c r="L42" s="16" t="str">
        <f t="shared" si="3"/>
        <v>0.00
(0.00 – 0.00)</v>
      </c>
      <c r="M42" s="57"/>
      <c r="N42" s="59"/>
      <c r="O42" s="16"/>
    </row>
    <row r="43" spans="3:20" ht="15" hidden="1" customHeight="1" x14ac:dyDescent="0.25">
      <c r="C43" s="56"/>
      <c r="D43" s="57"/>
      <c r="E43" s="57"/>
      <c r="F43" s="57"/>
      <c r="G43" s="57"/>
      <c r="H43" s="57"/>
      <c r="I43" s="57"/>
      <c r="J43" s="57"/>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E46" s="57"/>
      <c r="F46" s="57"/>
      <c r="G46" s="57"/>
      <c r="H46" s="57"/>
      <c r="I46" s="57"/>
      <c r="J46" s="57"/>
      <c r="K46" s="59" t="str">
        <f t="shared" si="2"/>
        <v>0.00 (0.00 – 0.00)</v>
      </c>
      <c r="L46" s="16" t="str">
        <f t="shared" si="3"/>
        <v>0.00
(0.00 – 0.00)</v>
      </c>
      <c r="M46" s="57"/>
      <c r="N46" s="59"/>
      <c r="O46" s="16"/>
    </row>
    <row r="47" spans="3:20" ht="15" hidden="1" customHeight="1" x14ac:dyDescent="0.25">
      <c r="C47" s="56"/>
      <c r="D47" s="57"/>
      <c r="E47" s="57"/>
      <c r="F47" s="57"/>
      <c r="G47" s="57"/>
      <c r="H47" s="57"/>
      <c r="I47" s="57"/>
      <c r="J47" s="57"/>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0.2221 
95% CrI (0.03283 – 0.5463)</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4" t="s">
        <v>243</v>
      </c>
      <c r="B4" s="104" t="s">
        <v>244</v>
      </c>
      <c r="C4" s="104" t="s">
        <v>237</v>
      </c>
      <c r="E4" s="14" t="s">
        <v>238</v>
      </c>
      <c r="F4" s="14" t="s">
        <v>239</v>
      </c>
      <c r="G4" s="55" t="s">
        <v>111</v>
      </c>
      <c r="H4" s="58" t="s">
        <v>240</v>
      </c>
      <c r="I4" s="58" t="s">
        <v>113</v>
      </c>
      <c r="J4" s="58" t="s">
        <v>241</v>
      </c>
      <c r="K4" s="58" t="str">
        <f>$N$4 &amp;" (95% Cr.I.)"</f>
        <v>O.R. (95% Cr.I.)</v>
      </c>
      <c r="L4" s="58" t="str">
        <f>$N$4 &amp;" (95% Cr.I.)"</f>
        <v>O.R. (95% Cr.I.)</v>
      </c>
      <c r="N4" s="106" t="str">
        <f>IF(Forest="RR", "R.R","O.R.")</f>
        <v>O.R.</v>
      </c>
      <c r="O4" s="55" t="s">
        <v>111</v>
      </c>
      <c r="P4" s="58" t="s">
        <v>112</v>
      </c>
      <c r="Q4" s="58" t="s">
        <v>113</v>
      </c>
      <c r="R4" s="58" t="s">
        <v>114</v>
      </c>
      <c r="S4" s="58" t="s">
        <v>242</v>
      </c>
      <c r="T4" s="58" t="s">
        <v>239</v>
      </c>
    </row>
    <row r="5" spans="1:20" x14ac:dyDescent="0.25">
      <c r="A5" t="s">
        <v>491</v>
      </c>
      <c r="B5" s="19">
        <v>5</v>
      </c>
      <c r="C5" s="19">
        <v>2.3860000000000001</v>
      </c>
      <c r="E5" s="57">
        <v>7</v>
      </c>
      <c r="F5" s="57">
        <v>1</v>
      </c>
      <c r="G5" s="57" t="s">
        <v>683</v>
      </c>
      <c r="H5" s="57">
        <v>0.32350000000000001</v>
      </c>
      <c r="I5" s="57">
        <v>0.99119999999999997</v>
      </c>
      <c r="J5" s="57">
        <v>3.5779999999999998</v>
      </c>
      <c r="K5" s="59" t="str">
        <f t="shared" ref="K5:K40" si="0">CONCATENATE(TEXT(I5,"0.00")," (",TEXT(H5,"0.00")," – ",TEXT(J5,"0.00"),")")</f>
        <v>0.99 (0.32 – 3.58)</v>
      </c>
      <c r="L5" s="16" t="str">
        <f t="shared" ref="L5:L40" si="1">CONCATENATE(TEXT(I5,"0.00"),"
(",TEXT(H5,"0.00")," – ",TEXT(J5,"0.00"),")")</f>
        <v>0.99
(0.32 – 3.58)</v>
      </c>
      <c r="N5" s="59" t="s">
        <v>352</v>
      </c>
      <c r="O5" s="16" t="s">
        <v>678</v>
      </c>
      <c r="P5">
        <v>0.92449999999999999</v>
      </c>
      <c r="Q5">
        <v>1.431</v>
      </c>
      <c r="R5">
        <v>2.1760000000000002</v>
      </c>
      <c r="S5">
        <v>2</v>
      </c>
      <c r="T5">
        <v>1</v>
      </c>
    </row>
    <row r="6" spans="1:20" x14ac:dyDescent="0.25">
      <c r="A6" t="s">
        <v>490</v>
      </c>
      <c r="B6" s="54">
        <v>4</v>
      </c>
      <c r="C6" s="54">
        <v>2.4140000000000001</v>
      </c>
      <c r="E6" s="19">
        <v>6</v>
      </c>
      <c r="F6" s="19">
        <v>3</v>
      </c>
      <c r="G6" s="19" t="s">
        <v>695</v>
      </c>
      <c r="H6" s="19">
        <v>0.40339999999999998</v>
      </c>
      <c r="I6" s="19">
        <v>0.89080000000000004</v>
      </c>
      <c r="J6" s="19">
        <v>2.1760000000000002</v>
      </c>
      <c r="K6" s="59" t="str">
        <f t="shared" si="0"/>
        <v>0.89 (0.40 – 2.18)</v>
      </c>
      <c r="L6" s="16" t="str">
        <f t="shared" si="1"/>
        <v>0.89
(0.40 – 2.18)</v>
      </c>
      <c r="N6" s="59" t="s">
        <v>353</v>
      </c>
      <c r="O6" s="16" t="s">
        <v>679</v>
      </c>
      <c r="P6">
        <v>0.32140000000000002</v>
      </c>
      <c r="Q6">
        <v>0.55700000000000005</v>
      </c>
      <c r="R6">
        <v>0.995</v>
      </c>
      <c r="S6">
        <v>3</v>
      </c>
      <c r="T6">
        <v>1</v>
      </c>
    </row>
    <row r="7" spans="1:20" x14ac:dyDescent="0.25">
      <c r="A7" t="s">
        <v>492</v>
      </c>
      <c r="B7" s="54">
        <v>6</v>
      </c>
      <c r="C7" s="54">
        <v>3.2450000000000001</v>
      </c>
      <c r="E7" s="57">
        <v>4</v>
      </c>
      <c r="F7" s="57">
        <v>6</v>
      </c>
      <c r="G7" s="57" t="s">
        <v>747</v>
      </c>
      <c r="H7" s="57">
        <v>0.3620564808110065</v>
      </c>
      <c r="I7" s="57">
        <v>0.86206896551724144</v>
      </c>
      <c r="J7" s="57">
        <v>1.8825301204819276</v>
      </c>
      <c r="K7" s="59" t="str">
        <f t="shared" si="0"/>
        <v>0.86 (0.36 – 1.88)</v>
      </c>
      <c r="L7" s="16" t="str">
        <f t="shared" si="1"/>
        <v>0.86
(0.36 – 1.88)</v>
      </c>
      <c r="N7" s="59" t="s">
        <v>354</v>
      </c>
      <c r="O7" s="16" t="s">
        <v>680</v>
      </c>
      <c r="P7">
        <v>0.18459999999999999</v>
      </c>
      <c r="Q7">
        <v>0.42959999999999998</v>
      </c>
      <c r="R7">
        <v>0.96389999999999998</v>
      </c>
      <c r="S7">
        <v>4</v>
      </c>
      <c r="T7">
        <v>1</v>
      </c>
    </row>
    <row r="8" spans="1:20" x14ac:dyDescent="0.25">
      <c r="A8" t="s">
        <v>489</v>
      </c>
      <c r="B8" s="19">
        <v>3</v>
      </c>
      <c r="C8" s="19">
        <v>3.66</v>
      </c>
      <c r="E8" s="19">
        <v>3</v>
      </c>
      <c r="F8" s="19">
        <v>8</v>
      </c>
      <c r="G8" s="19" t="s">
        <v>724</v>
      </c>
      <c r="H8" s="19">
        <v>0.48076923076923073</v>
      </c>
      <c r="I8" s="19">
        <v>0.84817642069550458</v>
      </c>
      <c r="J8" s="19">
        <v>1.5840329478853161</v>
      </c>
      <c r="K8" s="59" t="str">
        <f t="shared" si="0"/>
        <v>0.85 (0.48 – 1.58)</v>
      </c>
      <c r="L8" s="16" t="str">
        <f t="shared" si="1"/>
        <v>0.85
(0.48 – 1.58)</v>
      </c>
      <c r="N8" s="59" t="s">
        <v>355</v>
      </c>
      <c r="O8" s="16" t="s">
        <v>681</v>
      </c>
      <c r="P8">
        <v>9.5070000000000002E-2</v>
      </c>
      <c r="Q8">
        <v>0.35189999999999999</v>
      </c>
      <c r="R8">
        <v>1.4239999999999999</v>
      </c>
      <c r="S8">
        <v>5</v>
      </c>
      <c r="T8">
        <v>1</v>
      </c>
    </row>
    <row r="9" spans="1:20" x14ac:dyDescent="0.25">
      <c r="A9" t="s">
        <v>494</v>
      </c>
      <c r="B9" s="19">
        <v>8</v>
      </c>
      <c r="C9" s="19">
        <v>4.3970000000000002</v>
      </c>
      <c r="E9" s="19">
        <v>5</v>
      </c>
      <c r="F9" s="19">
        <v>4</v>
      </c>
      <c r="G9" s="19" t="s">
        <v>699</v>
      </c>
      <c r="H9" s="19">
        <v>0.17519999999999999</v>
      </c>
      <c r="I9" s="19">
        <v>0.81769999999999998</v>
      </c>
      <c r="J9" s="19">
        <v>3.64</v>
      </c>
      <c r="K9" s="59" t="str">
        <f t="shared" si="0"/>
        <v>0.82 (0.18 – 3.64)</v>
      </c>
      <c r="L9" s="16" t="str">
        <f t="shared" si="1"/>
        <v>0.82
(0.18 – 3.64)</v>
      </c>
      <c r="N9" s="59" t="s">
        <v>521</v>
      </c>
      <c r="O9" s="16" t="s">
        <v>682</v>
      </c>
      <c r="P9">
        <v>0.20549999999999999</v>
      </c>
      <c r="Q9">
        <v>0.48949999999999999</v>
      </c>
      <c r="R9">
        <v>1.419</v>
      </c>
      <c r="S9">
        <v>6</v>
      </c>
      <c r="T9">
        <v>1</v>
      </c>
    </row>
    <row r="10" spans="1:20" x14ac:dyDescent="0.25">
      <c r="A10" t="s">
        <v>493</v>
      </c>
      <c r="B10" s="54">
        <v>7</v>
      </c>
      <c r="C10" s="54">
        <v>5.9279999999999999</v>
      </c>
      <c r="E10" s="19">
        <v>4</v>
      </c>
      <c r="F10" s="19">
        <v>3</v>
      </c>
      <c r="G10" s="19" t="s">
        <v>693</v>
      </c>
      <c r="H10" s="19">
        <v>0.4037</v>
      </c>
      <c r="I10" s="19">
        <v>0.77300000000000002</v>
      </c>
      <c r="J10" s="19">
        <v>1.3859999999999999</v>
      </c>
      <c r="K10" s="59" t="str">
        <f t="shared" si="0"/>
        <v>0.77 (0.40 – 1.39)</v>
      </c>
      <c r="L10" s="16" t="str">
        <f t="shared" si="1"/>
        <v>0.77
(0.40 – 1.39)</v>
      </c>
      <c r="N10" s="59" t="s">
        <v>522</v>
      </c>
      <c r="O10" s="16" t="s">
        <v>683</v>
      </c>
      <c r="P10">
        <v>0.32350000000000001</v>
      </c>
      <c r="Q10">
        <v>0.99119999999999997</v>
      </c>
      <c r="R10">
        <v>3.5779999999999998</v>
      </c>
      <c r="S10">
        <v>7</v>
      </c>
      <c r="T10">
        <v>1</v>
      </c>
    </row>
    <row r="11" spans="1:20" x14ac:dyDescent="0.25">
      <c r="A11" t="s">
        <v>487</v>
      </c>
      <c r="B11" s="19">
        <v>1</v>
      </c>
      <c r="C11" s="19">
        <v>6.3239999999999998</v>
      </c>
      <c r="E11" s="19">
        <v>6</v>
      </c>
      <c r="F11" s="19">
        <v>8</v>
      </c>
      <c r="G11" s="19" t="s">
        <v>714</v>
      </c>
      <c r="H11" s="19">
        <v>0.29949086552860138</v>
      </c>
      <c r="I11" s="19">
        <v>0.75301204819277101</v>
      </c>
      <c r="J11" s="19">
        <v>2.1829294913774286</v>
      </c>
      <c r="K11" s="59" t="str">
        <f t="shared" si="0"/>
        <v>0.75 (0.30 – 2.18)</v>
      </c>
      <c r="L11" s="16" t="str">
        <f t="shared" si="1"/>
        <v>0.75
(0.30 – 2.18)</v>
      </c>
      <c r="N11" s="59" t="s">
        <v>523</v>
      </c>
      <c r="O11" s="16" t="s">
        <v>684</v>
      </c>
      <c r="P11">
        <v>0.38379999999999997</v>
      </c>
      <c r="Q11">
        <v>0.66959999999999997</v>
      </c>
      <c r="R11">
        <v>1.0620000000000001</v>
      </c>
      <c r="S11">
        <v>8</v>
      </c>
      <c r="T11">
        <v>1</v>
      </c>
    </row>
    <row r="12" spans="1:20" x14ac:dyDescent="0.25">
      <c r="A12" t="s">
        <v>488</v>
      </c>
      <c r="B12" s="19">
        <v>2</v>
      </c>
      <c r="C12" s="19">
        <v>7.6479999999999997</v>
      </c>
      <c r="E12" s="19">
        <v>5</v>
      </c>
      <c r="F12" s="19">
        <v>6</v>
      </c>
      <c r="G12" s="19" t="s">
        <v>746</v>
      </c>
      <c r="H12" s="19">
        <v>0.13142331449599159</v>
      </c>
      <c r="I12" s="19">
        <v>0.71994240460763137</v>
      </c>
      <c r="J12" s="19">
        <v>3.4770514603616132</v>
      </c>
      <c r="K12" s="59" t="str">
        <f t="shared" si="0"/>
        <v>0.72 (0.13 – 3.48)</v>
      </c>
      <c r="L12" s="16" t="str">
        <f t="shared" si="1"/>
        <v>0.72
(0.13 – 3.48)</v>
      </c>
      <c r="N12" s="59" t="s">
        <v>524</v>
      </c>
      <c r="O12" s="16" t="s">
        <v>685</v>
      </c>
      <c r="P12">
        <v>3.6640000000000001</v>
      </c>
      <c r="Q12">
        <v>6.8650000000000002</v>
      </c>
      <c r="R12">
        <v>16.03</v>
      </c>
      <c r="S12">
        <v>9</v>
      </c>
      <c r="T12">
        <v>1</v>
      </c>
    </row>
    <row r="13" spans="1:20" x14ac:dyDescent="0.25">
      <c r="A13" t="s">
        <v>495</v>
      </c>
      <c r="B13" s="54">
        <v>9</v>
      </c>
      <c r="C13" s="54">
        <v>8.9979999999999993</v>
      </c>
      <c r="E13" s="19">
        <v>7</v>
      </c>
      <c r="F13" s="59">
        <v>2</v>
      </c>
      <c r="G13" s="54" t="s">
        <v>690</v>
      </c>
      <c r="H13" s="16">
        <v>0.21379999999999999</v>
      </c>
      <c r="I13" s="16">
        <v>0.71479999999999999</v>
      </c>
      <c r="J13" s="16">
        <v>2.4289999999999998</v>
      </c>
      <c r="K13" s="59" t="str">
        <f t="shared" si="0"/>
        <v>0.71 (0.21 – 2.43)</v>
      </c>
      <c r="L13" s="16" t="str">
        <f t="shared" si="1"/>
        <v>0.71
(0.21 – 2.43)</v>
      </c>
      <c r="N13" s="59" t="s">
        <v>356</v>
      </c>
      <c r="O13" s="16" t="s">
        <v>686</v>
      </c>
      <c r="P13">
        <v>0.2114</v>
      </c>
      <c r="Q13">
        <v>0.38919999999999999</v>
      </c>
      <c r="R13">
        <v>0.71860000000000002</v>
      </c>
      <c r="S13">
        <v>3</v>
      </c>
      <c r="T13">
        <v>2</v>
      </c>
    </row>
    <row r="14" spans="1:20" x14ac:dyDescent="0.25">
      <c r="E14" s="57">
        <v>1</v>
      </c>
      <c r="F14" s="57">
        <v>2</v>
      </c>
      <c r="G14" s="57" t="s">
        <v>729</v>
      </c>
      <c r="H14" s="57">
        <v>0.45955882352941174</v>
      </c>
      <c r="I14" s="57">
        <v>0.69881201956673655</v>
      </c>
      <c r="J14" s="57">
        <v>1.0816657652785289</v>
      </c>
      <c r="K14" s="59" t="str">
        <f t="shared" si="0"/>
        <v>0.70 (0.46 – 1.08)</v>
      </c>
      <c r="L14" s="16" t="str">
        <f t="shared" si="1"/>
        <v>0.70
(0.46 – 1.08)</v>
      </c>
      <c r="N14" s="59" t="s">
        <v>357</v>
      </c>
      <c r="O14" s="16" t="s">
        <v>687</v>
      </c>
      <c r="P14">
        <v>0.1229</v>
      </c>
      <c r="Q14">
        <v>0.30099999999999999</v>
      </c>
      <c r="R14">
        <v>0.67169999999999996</v>
      </c>
      <c r="S14">
        <v>4</v>
      </c>
      <c r="T14">
        <v>2</v>
      </c>
    </row>
    <row r="15" spans="1:20" ht="15" customHeight="1" x14ac:dyDescent="0.25">
      <c r="E15" s="19">
        <v>8</v>
      </c>
      <c r="F15" s="59">
        <v>1</v>
      </c>
      <c r="G15" s="54" t="s">
        <v>684</v>
      </c>
      <c r="H15" s="16">
        <v>0.38379999999999997</v>
      </c>
      <c r="I15" s="16">
        <v>0.66959999999999997</v>
      </c>
      <c r="J15" s="16">
        <v>1.0620000000000001</v>
      </c>
      <c r="K15" s="59" t="str">
        <f t="shared" si="0"/>
        <v>0.67 (0.38 – 1.06)</v>
      </c>
      <c r="L15" s="16" t="str">
        <f t="shared" si="1"/>
        <v>0.67
(0.38 – 1.06)</v>
      </c>
      <c r="N15" s="59" t="s">
        <v>358</v>
      </c>
      <c r="O15" s="16" t="s">
        <v>688</v>
      </c>
      <c r="P15">
        <v>6.7830000000000001E-2</v>
      </c>
      <c r="Q15">
        <v>0.25290000000000001</v>
      </c>
      <c r="R15">
        <v>0.90759999999999996</v>
      </c>
      <c r="S15">
        <v>5</v>
      </c>
      <c r="T15">
        <v>2</v>
      </c>
    </row>
    <row r="16" spans="1:20" ht="15" customHeight="1" x14ac:dyDescent="0.25">
      <c r="E16" s="19">
        <v>8</v>
      </c>
      <c r="F16" s="19">
        <v>7</v>
      </c>
      <c r="G16" s="19" t="s">
        <v>711</v>
      </c>
      <c r="H16" s="19">
        <v>0.16750000000000001</v>
      </c>
      <c r="I16" s="19">
        <v>0.65490000000000004</v>
      </c>
      <c r="J16" s="19">
        <v>2.3940000000000001</v>
      </c>
      <c r="K16" s="59" t="str">
        <f t="shared" si="0"/>
        <v>0.65 (0.17 – 2.39)</v>
      </c>
      <c r="L16" s="16" t="str">
        <f t="shared" si="1"/>
        <v>0.65
(0.17 – 2.39)</v>
      </c>
      <c r="N16" s="59" t="s">
        <v>525</v>
      </c>
      <c r="O16" s="16" t="s">
        <v>689</v>
      </c>
      <c r="P16">
        <v>0.1384</v>
      </c>
      <c r="Q16">
        <v>0.35270000000000001</v>
      </c>
      <c r="R16">
        <v>0.95269999999999999</v>
      </c>
      <c r="S16">
        <v>6</v>
      </c>
      <c r="T16">
        <v>2</v>
      </c>
    </row>
    <row r="17" spans="5:20" ht="15" customHeight="1" x14ac:dyDescent="0.25">
      <c r="E17" s="19">
        <v>4</v>
      </c>
      <c r="F17" s="19">
        <v>8</v>
      </c>
      <c r="G17" s="19" t="s">
        <v>718</v>
      </c>
      <c r="H17" s="19">
        <v>0.28184892897406988</v>
      </c>
      <c r="I17" s="19">
        <v>0.65359477124183007</v>
      </c>
      <c r="J17" s="19">
        <v>1.5518311607697084</v>
      </c>
      <c r="K17" s="59" t="str">
        <f t="shared" si="0"/>
        <v>0.65 (0.28 – 1.55)</v>
      </c>
      <c r="L17" s="16" t="str">
        <f t="shared" si="1"/>
        <v>0.65
(0.28 – 1.55)</v>
      </c>
      <c r="N17" s="59" t="s">
        <v>526</v>
      </c>
      <c r="O17" s="16" t="s">
        <v>690</v>
      </c>
      <c r="P17">
        <v>0.21379999999999999</v>
      </c>
      <c r="Q17">
        <v>0.71479999999999999</v>
      </c>
      <c r="R17">
        <v>2.4289999999999998</v>
      </c>
      <c r="S17">
        <v>7</v>
      </c>
      <c r="T17">
        <v>2</v>
      </c>
    </row>
    <row r="18" spans="5:20" ht="15" customHeight="1" x14ac:dyDescent="0.25">
      <c r="E18" s="19">
        <v>5</v>
      </c>
      <c r="F18" s="59">
        <v>3</v>
      </c>
      <c r="G18" s="54" t="s">
        <v>694</v>
      </c>
      <c r="H18" s="16">
        <v>0.1545</v>
      </c>
      <c r="I18" s="16">
        <v>0.61599999999999999</v>
      </c>
      <c r="J18" s="16">
        <v>2.601</v>
      </c>
      <c r="K18" s="59" t="str">
        <f t="shared" si="0"/>
        <v>0.62 (0.15 – 2.60)</v>
      </c>
      <c r="L18" s="16" t="str">
        <f t="shared" si="1"/>
        <v>0.62
(0.15 – 2.60)</v>
      </c>
      <c r="N18" s="59" t="s">
        <v>527</v>
      </c>
      <c r="O18" s="16" t="s">
        <v>691</v>
      </c>
      <c r="P18">
        <v>0.24579999999999999</v>
      </c>
      <c r="Q18">
        <v>0.46960000000000002</v>
      </c>
      <c r="R18">
        <v>0.79090000000000005</v>
      </c>
      <c r="S18">
        <v>8</v>
      </c>
      <c r="T18">
        <v>2</v>
      </c>
    </row>
    <row r="19" spans="5:20" ht="15" customHeight="1" x14ac:dyDescent="0.25">
      <c r="E19" s="19">
        <v>3</v>
      </c>
      <c r="F19" s="59">
        <v>7</v>
      </c>
      <c r="G19" s="54" t="s">
        <v>725</v>
      </c>
      <c r="H19" s="16">
        <v>0.14281633818908884</v>
      </c>
      <c r="I19" s="16">
        <v>0.5577244841048522</v>
      </c>
      <c r="J19" s="16">
        <v>2.0933640360058612</v>
      </c>
      <c r="K19" s="59" t="str">
        <f t="shared" si="0"/>
        <v>0.56 (0.14 – 2.09)</v>
      </c>
      <c r="L19" s="16" t="str">
        <f t="shared" si="1"/>
        <v>0.56
(0.14 – 2.09)</v>
      </c>
      <c r="N19" s="59" t="s">
        <v>528</v>
      </c>
      <c r="O19" s="16" t="s">
        <v>692</v>
      </c>
      <c r="P19">
        <v>2.496</v>
      </c>
      <c r="Q19">
        <v>4.8600000000000003</v>
      </c>
      <c r="R19">
        <v>10.52</v>
      </c>
      <c r="S19">
        <v>9</v>
      </c>
      <c r="T19">
        <v>2</v>
      </c>
    </row>
    <row r="20" spans="5:20" ht="15" customHeight="1" x14ac:dyDescent="0.25">
      <c r="E20" s="19">
        <v>3</v>
      </c>
      <c r="F20" s="59">
        <v>1</v>
      </c>
      <c r="G20" s="54" t="s">
        <v>679</v>
      </c>
      <c r="H20" s="16">
        <v>0.32140000000000002</v>
      </c>
      <c r="I20" s="16">
        <v>0.55700000000000005</v>
      </c>
      <c r="J20" s="16">
        <v>0.995</v>
      </c>
      <c r="K20" s="59" t="str">
        <f t="shared" si="0"/>
        <v>0.56 (0.32 – 1.00)</v>
      </c>
      <c r="L20" s="16" t="str">
        <f t="shared" si="1"/>
        <v>0.56
(0.32 – 1.00)</v>
      </c>
      <c r="N20" s="59" t="s">
        <v>359</v>
      </c>
      <c r="O20" s="16" t="s">
        <v>693</v>
      </c>
      <c r="P20">
        <v>0.4037</v>
      </c>
      <c r="Q20">
        <v>0.77300000000000002</v>
      </c>
      <c r="R20">
        <v>1.3859999999999999</v>
      </c>
      <c r="S20">
        <v>4</v>
      </c>
      <c r="T20">
        <v>3</v>
      </c>
    </row>
    <row r="21" spans="5:20" ht="15" customHeight="1" x14ac:dyDescent="0.25">
      <c r="E21" s="19">
        <v>5</v>
      </c>
      <c r="F21" s="19">
        <v>8</v>
      </c>
      <c r="G21" s="19" t="s">
        <v>721</v>
      </c>
      <c r="H21" s="19">
        <v>0.14122299110295156</v>
      </c>
      <c r="I21" s="19">
        <v>0.52548607461902264</v>
      </c>
      <c r="J21" s="19">
        <v>2.2634676324128562</v>
      </c>
      <c r="K21" s="59" t="str">
        <f t="shared" si="0"/>
        <v>0.53 (0.14 – 2.26)</v>
      </c>
      <c r="L21" s="16" t="str">
        <f t="shared" si="1"/>
        <v>0.53
(0.14 – 2.26)</v>
      </c>
      <c r="N21" s="59" t="s">
        <v>360</v>
      </c>
      <c r="O21" s="16" t="s">
        <v>694</v>
      </c>
      <c r="P21">
        <v>0.1545</v>
      </c>
      <c r="Q21">
        <v>0.61599999999999999</v>
      </c>
      <c r="R21">
        <v>2.601</v>
      </c>
      <c r="S21">
        <v>5</v>
      </c>
      <c r="T21">
        <v>3</v>
      </c>
    </row>
    <row r="22" spans="5:20" ht="15" customHeight="1" x14ac:dyDescent="0.25">
      <c r="E22" s="19">
        <v>6</v>
      </c>
      <c r="F22" s="19">
        <v>7</v>
      </c>
      <c r="G22" s="19" t="s">
        <v>715</v>
      </c>
      <c r="H22" s="19">
        <v>0.10662117496534812</v>
      </c>
      <c r="I22" s="19">
        <v>0.50530570995452251</v>
      </c>
      <c r="J22" s="19">
        <v>2.3889154323936932</v>
      </c>
      <c r="K22" s="59" t="str">
        <f t="shared" si="0"/>
        <v>0.51 (0.11 – 2.39)</v>
      </c>
      <c r="L22" s="16" t="str">
        <f t="shared" si="1"/>
        <v>0.51
(0.11 – 2.39)</v>
      </c>
      <c r="N22" s="59" t="s">
        <v>529</v>
      </c>
      <c r="O22" s="16" t="s">
        <v>695</v>
      </c>
      <c r="P22">
        <v>0.40339999999999998</v>
      </c>
      <c r="Q22">
        <v>0.89080000000000004</v>
      </c>
      <c r="R22">
        <v>2.1760000000000002</v>
      </c>
      <c r="S22">
        <v>6</v>
      </c>
      <c r="T22">
        <v>3</v>
      </c>
    </row>
    <row r="23" spans="5:20" ht="15" customHeight="1" x14ac:dyDescent="0.25">
      <c r="E23" s="19">
        <v>6</v>
      </c>
      <c r="F23" s="19">
        <v>1</v>
      </c>
      <c r="G23" s="19" t="s">
        <v>682</v>
      </c>
      <c r="H23" s="19">
        <v>0.20549999999999999</v>
      </c>
      <c r="I23" s="19">
        <v>0.48949999999999999</v>
      </c>
      <c r="J23" s="19">
        <v>1.419</v>
      </c>
      <c r="K23" s="59" t="str">
        <f t="shared" si="0"/>
        <v>0.49 (0.21 – 1.42)</v>
      </c>
      <c r="L23" s="16" t="str">
        <f t="shared" si="1"/>
        <v>0.49
(0.21 – 1.42)</v>
      </c>
      <c r="N23" s="59" t="s">
        <v>530</v>
      </c>
      <c r="O23" s="16" t="s">
        <v>696</v>
      </c>
      <c r="P23">
        <v>0.47770000000000001</v>
      </c>
      <c r="Q23">
        <v>1.7929999999999999</v>
      </c>
      <c r="R23">
        <v>7.0019999999999998</v>
      </c>
      <c r="S23">
        <v>7</v>
      </c>
      <c r="T23">
        <v>3</v>
      </c>
    </row>
    <row r="24" spans="5:20" ht="15" customHeight="1" x14ac:dyDescent="0.25">
      <c r="E24" s="19">
        <v>8</v>
      </c>
      <c r="F24" s="19">
        <v>2</v>
      </c>
      <c r="G24" s="19" t="s">
        <v>691</v>
      </c>
      <c r="H24" s="19">
        <v>0.24579999999999999</v>
      </c>
      <c r="I24" s="19">
        <v>0.46960000000000002</v>
      </c>
      <c r="J24" s="19">
        <v>0.79090000000000005</v>
      </c>
      <c r="K24" s="59" t="str">
        <f t="shared" si="0"/>
        <v>0.47 (0.25 – 0.79)</v>
      </c>
      <c r="L24" s="16" t="str">
        <f t="shared" si="1"/>
        <v>0.47
(0.25 – 0.79)</v>
      </c>
      <c r="N24" s="59" t="s">
        <v>531</v>
      </c>
      <c r="O24" s="16" t="s">
        <v>697</v>
      </c>
      <c r="P24">
        <v>0.63129999999999997</v>
      </c>
      <c r="Q24">
        <v>1.179</v>
      </c>
      <c r="R24">
        <v>2.08</v>
      </c>
      <c r="S24">
        <v>8</v>
      </c>
      <c r="T24">
        <v>3</v>
      </c>
    </row>
    <row r="25" spans="5:20" ht="15" customHeight="1" x14ac:dyDescent="0.25">
      <c r="E25" s="19">
        <v>4</v>
      </c>
      <c r="F25" s="19">
        <v>7</v>
      </c>
      <c r="G25" s="19" t="s">
        <v>719</v>
      </c>
      <c r="H25" s="19">
        <v>9.8619329388560148E-2</v>
      </c>
      <c r="I25" s="19">
        <v>0.4357298474945534</v>
      </c>
      <c r="J25" s="19">
        <v>1.7229496898690557</v>
      </c>
      <c r="K25" s="59" t="str">
        <f t="shared" si="0"/>
        <v>0.44 (0.10 – 1.72)</v>
      </c>
      <c r="L25" s="16" t="str">
        <f t="shared" si="1"/>
        <v>0.44
(0.10 – 1.72)</v>
      </c>
      <c r="N25" s="59" t="s">
        <v>532</v>
      </c>
      <c r="O25" s="16" t="s">
        <v>698</v>
      </c>
      <c r="P25">
        <v>5.2460000000000004</v>
      </c>
      <c r="Q25">
        <v>12.24</v>
      </c>
      <c r="R25">
        <v>30.54</v>
      </c>
      <c r="S25">
        <v>9</v>
      </c>
      <c r="T25">
        <v>3</v>
      </c>
    </row>
    <row r="26" spans="5:20" ht="15" customHeight="1" x14ac:dyDescent="0.25">
      <c r="E26" s="19">
        <v>4</v>
      </c>
      <c r="F26" s="19">
        <v>1</v>
      </c>
      <c r="G26" s="19" t="s">
        <v>680</v>
      </c>
      <c r="H26" s="19">
        <v>0.18459999999999999</v>
      </c>
      <c r="I26" s="19">
        <v>0.42959999999999998</v>
      </c>
      <c r="J26" s="19">
        <v>0.96389999999999998</v>
      </c>
      <c r="K26" s="59" t="str">
        <f t="shared" si="0"/>
        <v>0.43 (0.18 – 0.96)</v>
      </c>
      <c r="L26" s="16" t="str">
        <f t="shared" si="1"/>
        <v>0.43
(0.18 – 0.96)</v>
      </c>
      <c r="N26" s="59" t="s">
        <v>361</v>
      </c>
      <c r="O26" s="16" t="s">
        <v>699</v>
      </c>
      <c r="P26">
        <v>0.17519999999999999</v>
      </c>
      <c r="Q26">
        <v>0.81769999999999998</v>
      </c>
      <c r="R26">
        <v>3.64</v>
      </c>
      <c r="S26">
        <v>5</v>
      </c>
      <c r="T26">
        <v>4</v>
      </c>
    </row>
    <row r="27" spans="5:20" ht="15" customHeight="1" x14ac:dyDescent="0.25">
      <c r="E27" s="19">
        <v>3</v>
      </c>
      <c r="F27" s="19">
        <v>2</v>
      </c>
      <c r="G27" s="19" t="s">
        <v>686</v>
      </c>
      <c r="H27" s="19">
        <v>0.2114</v>
      </c>
      <c r="I27" s="19">
        <v>0.38919999999999999</v>
      </c>
      <c r="J27" s="19">
        <v>0.71860000000000002</v>
      </c>
      <c r="K27" s="59" t="str">
        <f t="shared" si="0"/>
        <v>0.39 (0.21 – 0.72)</v>
      </c>
      <c r="L27" s="16" t="str">
        <f t="shared" si="1"/>
        <v>0.39
(0.21 – 0.72)</v>
      </c>
      <c r="N27" s="59" t="s">
        <v>533</v>
      </c>
      <c r="O27" s="16" t="s">
        <v>700</v>
      </c>
      <c r="P27">
        <v>0.53120000000000001</v>
      </c>
      <c r="Q27">
        <v>1.1599999999999999</v>
      </c>
      <c r="R27">
        <v>2.762</v>
      </c>
      <c r="S27">
        <v>6</v>
      </c>
      <c r="T27">
        <v>4</v>
      </c>
    </row>
    <row r="28" spans="5:20" ht="15" customHeight="1" x14ac:dyDescent="0.25">
      <c r="E28" s="19">
        <v>5</v>
      </c>
      <c r="F28" s="19">
        <v>7</v>
      </c>
      <c r="G28" s="19" t="s">
        <v>722</v>
      </c>
      <c r="H28" s="19">
        <v>5.5096418732782371E-2</v>
      </c>
      <c r="I28" s="19">
        <v>0.35663338088445079</v>
      </c>
      <c r="J28" s="19">
        <v>2.1805494984736153</v>
      </c>
      <c r="K28" s="59" t="str">
        <f t="shared" si="0"/>
        <v>0.36 (0.06 – 2.18)</v>
      </c>
      <c r="L28" s="16" t="str">
        <f t="shared" si="1"/>
        <v>0.36
(0.06 – 2.18)</v>
      </c>
      <c r="N28" s="59" t="s">
        <v>534</v>
      </c>
      <c r="O28" s="16" t="s">
        <v>701</v>
      </c>
      <c r="P28">
        <v>0.58040000000000003</v>
      </c>
      <c r="Q28">
        <v>2.2949999999999999</v>
      </c>
      <c r="R28">
        <v>10.14</v>
      </c>
      <c r="S28">
        <v>7</v>
      </c>
      <c r="T28">
        <v>4</v>
      </c>
    </row>
    <row r="29" spans="5:20" ht="15" customHeight="1" x14ac:dyDescent="0.25">
      <c r="E29" s="19">
        <v>6</v>
      </c>
      <c r="F29" s="19">
        <v>2</v>
      </c>
      <c r="G29" s="19" t="s">
        <v>689</v>
      </c>
      <c r="H29" s="19">
        <v>0.1384</v>
      </c>
      <c r="I29" s="19">
        <v>0.35270000000000001</v>
      </c>
      <c r="J29" s="19">
        <v>0.95269999999999999</v>
      </c>
      <c r="K29" s="59" t="str">
        <f t="shared" si="0"/>
        <v>0.35 (0.14 – 0.95)</v>
      </c>
      <c r="L29" s="16" t="str">
        <f t="shared" si="1"/>
        <v>0.35
(0.14 – 0.95)</v>
      </c>
      <c r="N29" s="59" t="s">
        <v>535</v>
      </c>
      <c r="O29" s="16" t="s">
        <v>702</v>
      </c>
      <c r="P29">
        <v>0.64439999999999997</v>
      </c>
      <c r="Q29">
        <v>1.53</v>
      </c>
      <c r="R29">
        <v>3.548</v>
      </c>
      <c r="S29">
        <v>8</v>
      </c>
      <c r="T29">
        <v>4</v>
      </c>
    </row>
    <row r="30" spans="5:20" ht="15" customHeight="1" x14ac:dyDescent="0.25">
      <c r="E30" s="19">
        <v>5</v>
      </c>
      <c r="F30" s="19">
        <v>1</v>
      </c>
      <c r="G30" s="19" t="s">
        <v>681</v>
      </c>
      <c r="H30" s="19">
        <v>9.5070000000000002E-2</v>
      </c>
      <c r="I30" s="19">
        <v>0.35189999999999999</v>
      </c>
      <c r="J30" s="19">
        <v>1.4239999999999999</v>
      </c>
      <c r="K30" s="59" t="str">
        <f t="shared" si="0"/>
        <v>0.35 (0.10 – 1.42)</v>
      </c>
      <c r="L30" s="16" t="str">
        <f t="shared" si="1"/>
        <v>0.35
(0.10 – 1.42)</v>
      </c>
      <c r="N30" s="59" t="s">
        <v>536</v>
      </c>
      <c r="O30" s="16" t="s">
        <v>703</v>
      </c>
      <c r="P30">
        <v>5.72</v>
      </c>
      <c r="Q30">
        <v>16.579999999999998</v>
      </c>
      <c r="R30">
        <v>48.36</v>
      </c>
      <c r="S30">
        <v>9</v>
      </c>
      <c r="T30">
        <v>4</v>
      </c>
    </row>
    <row r="31" spans="5:20" ht="15" customHeight="1" x14ac:dyDescent="0.25">
      <c r="E31" s="19">
        <v>4</v>
      </c>
      <c r="F31" s="59">
        <v>2</v>
      </c>
      <c r="G31" s="54" t="s">
        <v>687</v>
      </c>
      <c r="H31" s="16">
        <v>0.1229</v>
      </c>
      <c r="I31" s="16">
        <v>0.30099999999999999</v>
      </c>
      <c r="J31" s="16">
        <v>0.67169999999999996</v>
      </c>
      <c r="K31" s="59" t="str">
        <f t="shared" si="0"/>
        <v>0.30 (0.12 – 0.67)</v>
      </c>
      <c r="L31" s="16" t="str">
        <f t="shared" si="1"/>
        <v>0.30
(0.12 – 0.67)</v>
      </c>
      <c r="N31" s="59" t="s">
        <v>537</v>
      </c>
      <c r="O31" s="16" t="s">
        <v>704</v>
      </c>
      <c r="P31">
        <v>0.28760000000000002</v>
      </c>
      <c r="Q31">
        <v>1.389</v>
      </c>
      <c r="R31">
        <v>7.609</v>
      </c>
      <c r="S31">
        <v>6</v>
      </c>
      <c r="T31">
        <v>5</v>
      </c>
    </row>
    <row r="32" spans="5:20" ht="15" customHeight="1" x14ac:dyDescent="0.25">
      <c r="E32" s="19">
        <v>5</v>
      </c>
      <c r="F32" s="59">
        <v>2</v>
      </c>
      <c r="G32" s="54" t="s">
        <v>688</v>
      </c>
      <c r="H32" s="16">
        <v>6.7830000000000001E-2</v>
      </c>
      <c r="I32" s="16">
        <v>0.25290000000000001</v>
      </c>
      <c r="J32" s="16">
        <v>0.90759999999999996</v>
      </c>
      <c r="K32" s="59" t="str">
        <f t="shared" si="0"/>
        <v>0.25 (0.07 – 0.91)</v>
      </c>
      <c r="L32" s="16" t="str">
        <f t="shared" si="1"/>
        <v>0.25
(0.07 – 0.91)</v>
      </c>
      <c r="N32" s="59" t="s">
        <v>538</v>
      </c>
      <c r="O32" s="16" t="s">
        <v>705</v>
      </c>
      <c r="P32">
        <v>0.45860000000000001</v>
      </c>
      <c r="Q32">
        <v>2.8039999999999998</v>
      </c>
      <c r="R32">
        <v>18.149999999999999</v>
      </c>
      <c r="S32">
        <v>7</v>
      </c>
      <c r="T32">
        <v>5</v>
      </c>
    </row>
    <row r="33" spans="3:20" ht="15" customHeight="1" x14ac:dyDescent="0.25">
      <c r="E33" s="57">
        <v>2</v>
      </c>
      <c r="F33" s="57">
        <v>9</v>
      </c>
      <c r="G33" s="57" t="s">
        <v>731</v>
      </c>
      <c r="H33" s="57">
        <v>9.5057034220532327E-2</v>
      </c>
      <c r="I33" s="57">
        <v>0.20576131687242796</v>
      </c>
      <c r="J33" s="57">
        <v>0.40064102564102566</v>
      </c>
      <c r="K33" s="59" t="str">
        <f t="shared" si="0"/>
        <v>0.21 (0.10 – 0.40)</v>
      </c>
      <c r="L33" s="16" t="str">
        <f t="shared" si="1"/>
        <v>0.21
(0.10 – 0.40)</v>
      </c>
      <c r="N33" s="59" t="s">
        <v>539</v>
      </c>
      <c r="O33" s="16" t="s">
        <v>706</v>
      </c>
      <c r="P33">
        <v>0.44180000000000003</v>
      </c>
      <c r="Q33">
        <v>1.903</v>
      </c>
      <c r="R33">
        <v>7.0810000000000004</v>
      </c>
      <c r="S33">
        <v>8</v>
      </c>
      <c r="T33">
        <v>5</v>
      </c>
    </row>
    <row r="34" spans="3:20" ht="15" customHeight="1" x14ac:dyDescent="0.25">
      <c r="E34" s="19">
        <v>1</v>
      </c>
      <c r="F34" s="19">
        <v>9</v>
      </c>
      <c r="G34" s="19" t="s">
        <v>730</v>
      </c>
      <c r="H34" s="19">
        <v>6.238303181534622E-2</v>
      </c>
      <c r="I34" s="19">
        <v>0.14566642388929352</v>
      </c>
      <c r="J34" s="19">
        <v>0.27292576419213971</v>
      </c>
      <c r="K34" s="59" t="str">
        <f t="shared" si="0"/>
        <v>0.15 (0.06 – 0.27)</v>
      </c>
      <c r="L34" s="16" t="str">
        <f t="shared" si="1"/>
        <v>0.15
(0.06 – 0.27)</v>
      </c>
      <c r="N34" s="59" t="s">
        <v>540</v>
      </c>
      <c r="O34" s="16" t="s">
        <v>707</v>
      </c>
      <c r="P34">
        <v>4.6859999999999999</v>
      </c>
      <c r="Q34">
        <v>18.97</v>
      </c>
      <c r="R34">
        <v>92.05</v>
      </c>
      <c r="S34">
        <v>9</v>
      </c>
      <c r="T34">
        <v>5</v>
      </c>
    </row>
    <row r="35" spans="3:20" ht="15" customHeight="1" x14ac:dyDescent="0.25">
      <c r="E35" s="19">
        <v>7</v>
      </c>
      <c r="F35" s="59">
        <v>9</v>
      </c>
      <c r="G35" s="54" t="s">
        <v>728</v>
      </c>
      <c r="H35" s="16">
        <v>3.350083752093802E-2</v>
      </c>
      <c r="I35" s="16">
        <v>0.14330753797649756</v>
      </c>
      <c r="J35" s="16">
        <v>0.56465273856578202</v>
      </c>
      <c r="K35" s="59" t="str">
        <f t="shared" si="0"/>
        <v>0.14 (0.03 – 0.56)</v>
      </c>
      <c r="L35" s="16" t="str">
        <f t="shared" si="1"/>
        <v>0.14
(0.03 – 0.56)</v>
      </c>
      <c r="N35" s="59" t="s">
        <v>541</v>
      </c>
      <c r="O35" s="16" t="s">
        <v>708</v>
      </c>
      <c r="P35">
        <v>0.41860000000000003</v>
      </c>
      <c r="Q35">
        <v>1.9790000000000001</v>
      </c>
      <c r="R35">
        <v>9.3789999999999996</v>
      </c>
      <c r="S35">
        <v>7</v>
      </c>
      <c r="T35">
        <v>6</v>
      </c>
    </row>
    <row r="36" spans="3:20" ht="15" customHeight="1" x14ac:dyDescent="0.25">
      <c r="C36" s="56"/>
      <c r="D36" s="57"/>
      <c r="E36" s="19">
        <v>8</v>
      </c>
      <c r="F36" s="59">
        <v>9</v>
      </c>
      <c r="G36" s="54" t="s">
        <v>727</v>
      </c>
      <c r="H36" s="16">
        <v>3.9494470774091628E-2</v>
      </c>
      <c r="I36" s="16">
        <v>9.5057034220532327E-2</v>
      </c>
      <c r="J36" s="16">
        <v>0.20571898786257972</v>
      </c>
      <c r="K36" s="59" t="str">
        <f t="shared" si="0"/>
        <v>0.10 (0.04 – 0.21)</v>
      </c>
      <c r="L36" s="16" t="str">
        <f t="shared" si="1"/>
        <v>0.10
(0.04 – 0.21)</v>
      </c>
      <c r="M36" s="57"/>
      <c r="N36" s="59" t="s">
        <v>542</v>
      </c>
      <c r="O36" s="16" t="s">
        <v>709</v>
      </c>
      <c r="P36">
        <v>0.45810000000000001</v>
      </c>
      <c r="Q36">
        <v>1.3280000000000001</v>
      </c>
      <c r="R36">
        <v>3.339</v>
      </c>
      <c r="S36">
        <v>8</v>
      </c>
      <c r="T36">
        <v>6</v>
      </c>
    </row>
    <row r="37" spans="3:20" ht="15" customHeight="1" x14ac:dyDescent="0.25">
      <c r="C37" s="56"/>
      <c r="D37" s="57"/>
      <c r="E37" s="19">
        <v>3</v>
      </c>
      <c r="F37" s="19">
        <v>9</v>
      </c>
      <c r="G37" s="19" t="s">
        <v>726</v>
      </c>
      <c r="H37" s="19">
        <v>3.274394237066143E-2</v>
      </c>
      <c r="I37" s="19">
        <v>8.1699346405228759E-2</v>
      </c>
      <c r="J37" s="19">
        <v>0.19062142584826533</v>
      </c>
      <c r="K37" s="59" t="str">
        <f t="shared" si="0"/>
        <v>0.08 (0.03 – 0.19)</v>
      </c>
      <c r="L37" s="16" t="str">
        <f t="shared" si="1"/>
        <v>0.08
(0.03 – 0.19)</v>
      </c>
      <c r="M37" s="57"/>
      <c r="N37" s="59" t="s">
        <v>543</v>
      </c>
      <c r="O37" s="16" t="s">
        <v>710</v>
      </c>
      <c r="P37">
        <v>4.1580000000000004</v>
      </c>
      <c r="Q37">
        <v>14.17</v>
      </c>
      <c r="R37">
        <v>46.11</v>
      </c>
      <c r="S37">
        <v>9</v>
      </c>
      <c r="T37">
        <v>6</v>
      </c>
    </row>
    <row r="38" spans="3:20" ht="15" customHeight="1" x14ac:dyDescent="0.25">
      <c r="C38" s="56"/>
      <c r="D38" s="57"/>
      <c r="E38" s="19">
        <v>6</v>
      </c>
      <c r="F38" s="19">
        <v>9</v>
      </c>
      <c r="G38" s="19" t="s">
        <v>716</v>
      </c>
      <c r="H38" s="19">
        <v>2.1687269572760789E-2</v>
      </c>
      <c r="I38" s="19">
        <v>7.0571630204657732E-2</v>
      </c>
      <c r="J38" s="19">
        <v>0.24050024050024049</v>
      </c>
      <c r="K38" s="59" t="str">
        <f t="shared" si="0"/>
        <v>0.07 (0.02 – 0.24)</v>
      </c>
      <c r="L38" s="16" t="str">
        <f t="shared" si="1"/>
        <v>0.07
(0.02 – 0.24)</v>
      </c>
      <c r="M38" s="57"/>
      <c r="N38" s="59" t="s">
        <v>544</v>
      </c>
      <c r="O38" s="16" t="s">
        <v>711</v>
      </c>
      <c r="P38">
        <v>0.16750000000000001</v>
      </c>
      <c r="Q38">
        <v>0.65490000000000004</v>
      </c>
      <c r="R38">
        <v>2.3940000000000001</v>
      </c>
      <c r="S38">
        <v>8</v>
      </c>
      <c r="T38">
        <v>7</v>
      </c>
    </row>
    <row r="39" spans="3:20" ht="15" customHeight="1" x14ac:dyDescent="0.25">
      <c r="C39" s="56"/>
      <c r="D39" s="57"/>
      <c r="E39" s="57">
        <v>4</v>
      </c>
      <c r="F39" s="57">
        <v>9</v>
      </c>
      <c r="G39" s="57" t="s">
        <v>720</v>
      </c>
      <c r="H39" s="57">
        <v>2.0678246484698098E-2</v>
      </c>
      <c r="I39" s="57">
        <v>6.0313630880579019E-2</v>
      </c>
      <c r="J39" s="57">
        <v>0.17482517482517484</v>
      </c>
      <c r="K39" s="59" t="str">
        <f t="shared" si="0"/>
        <v>0.06 (0.02 – 0.17)</v>
      </c>
      <c r="L39" s="16" t="str">
        <f t="shared" si="1"/>
        <v>0.06
(0.02 – 0.17)</v>
      </c>
      <c r="M39" s="57"/>
      <c r="N39" s="59" t="s">
        <v>545</v>
      </c>
      <c r="O39" s="16" t="s">
        <v>712</v>
      </c>
      <c r="P39">
        <v>1.7709999999999999</v>
      </c>
      <c r="Q39">
        <v>6.9779999999999998</v>
      </c>
      <c r="R39">
        <v>29.85</v>
      </c>
      <c r="S39">
        <v>9</v>
      </c>
      <c r="T39">
        <v>7</v>
      </c>
    </row>
    <row r="40" spans="3:20" ht="15" customHeight="1" x14ac:dyDescent="0.25">
      <c r="C40" s="56"/>
      <c r="D40" s="57"/>
      <c r="E40" s="19">
        <v>5</v>
      </c>
      <c r="F40" s="59">
        <v>9</v>
      </c>
      <c r="G40" s="54" t="s">
        <v>723</v>
      </c>
      <c r="H40" s="16">
        <v>1.0863661053775123E-2</v>
      </c>
      <c r="I40" s="16">
        <v>5.2714812862414341E-2</v>
      </c>
      <c r="J40" s="16">
        <v>0.21340162185232608</v>
      </c>
      <c r="K40" s="59" t="str">
        <f t="shared" si="0"/>
        <v>0.05 (0.01 – 0.21)</v>
      </c>
      <c r="L40" s="16" t="str">
        <f t="shared" si="1"/>
        <v>0.05
(0.01 – 0.21)</v>
      </c>
      <c r="M40" s="57"/>
      <c r="N40" s="59" t="s">
        <v>546</v>
      </c>
      <c r="O40" s="16" t="s">
        <v>713</v>
      </c>
      <c r="P40">
        <v>4.8609999999999998</v>
      </c>
      <c r="Q40">
        <v>10.52</v>
      </c>
      <c r="R40">
        <v>25.32</v>
      </c>
      <c r="S40">
        <v>9</v>
      </c>
      <c r="T40">
        <v>8</v>
      </c>
    </row>
    <row r="41" spans="3:20" ht="15" hidden="1" customHeight="1" x14ac:dyDescent="0.25">
      <c r="C41" s="56"/>
      <c r="D41" s="57"/>
      <c r="E41" s="57"/>
      <c r="F41" s="57"/>
      <c r="G41" s="57"/>
      <c r="H41" s="57"/>
      <c r="I41" s="57"/>
      <c r="J41" s="57"/>
      <c r="K41" s="59" t="str">
        <f t="shared" ref="K41:K68" si="2">CONCATENATE(TEXT(I41,"0.00")," (",TEXT(H41,"0.00")," – ",TEXT(J41,"0.00"),")")</f>
        <v>0.00 (0.00 – 0.00)</v>
      </c>
      <c r="L41" s="16" t="str">
        <f t="shared" ref="L41:L69" si="3">CONCATENATE(TEXT(I41,"0.00"),"
(",TEXT(H41,"0.00")," – ",TEXT(J41,"0.00"),")")</f>
        <v>0.00
(0.00 – 0.00)</v>
      </c>
      <c r="M41" s="57"/>
      <c r="N41" s="59"/>
      <c r="O41" s="16"/>
    </row>
    <row r="42" spans="3:20" ht="15" hidden="1" customHeight="1" x14ac:dyDescent="0.25">
      <c r="C42" s="56"/>
      <c r="D42" s="57"/>
      <c r="E42" s="57"/>
      <c r="F42" s="57"/>
      <c r="G42" s="57"/>
      <c r="H42" s="57"/>
      <c r="I42" s="57"/>
      <c r="J42" s="57"/>
      <c r="K42" s="59" t="str">
        <f t="shared" si="2"/>
        <v>0.00 (0.00 – 0.00)</v>
      </c>
      <c r="L42" s="16" t="str">
        <f t="shared" si="3"/>
        <v>0.00
(0.00 – 0.00)</v>
      </c>
      <c r="M42" s="57"/>
      <c r="N42" s="59"/>
      <c r="O42" s="16"/>
    </row>
    <row r="43" spans="3:20" ht="15" hidden="1" customHeight="1" x14ac:dyDescent="0.25">
      <c r="C43" s="56"/>
      <c r="D43" s="57"/>
      <c r="E43" s="57"/>
      <c r="F43" s="57"/>
      <c r="G43" s="57"/>
      <c r="H43" s="57"/>
      <c r="I43" s="57"/>
      <c r="J43" s="57"/>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E46" s="57"/>
      <c r="F46" s="57"/>
      <c r="G46" s="57"/>
      <c r="H46" s="57"/>
      <c r="I46" s="57"/>
      <c r="J46" s="57"/>
      <c r="K46" s="59" t="str">
        <f t="shared" si="2"/>
        <v>0.00 (0.00 – 0.00)</v>
      </c>
      <c r="L46" s="16" t="str">
        <f t="shared" si="3"/>
        <v>0.00
(0.00 – 0.00)</v>
      </c>
      <c r="M46" s="57"/>
      <c r="N46" s="59"/>
      <c r="O46" s="16"/>
    </row>
    <row r="47" spans="3:20" ht="15" hidden="1" customHeight="1" x14ac:dyDescent="0.25">
      <c r="C47" s="56"/>
      <c r="D47" s="57"/>
      <c r="E47" s="57"/>
      <c r="F47" s="57"/>
      <c r="G47" s="57"/>
      <c r="H47" s="57"/>
      <c r="I47" s="57"/>
      <c r="J47" s="57"/>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0">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168</v>
      </c>
    </row>
    <row r="3" spans="1:4" x14ac:dyDescent="0.25">
      <c r="A3" t="s">
        <v>169</v>
      </c>
    </row>
    <row r="4" spans="1:4" x14ac:dyDescent="0.25">
      <c r="A4" t="s">
        <v>89</v>
      </c>
    </row>
    <row r="5" spans="1:4" x14ac:dyDescent="0.25">
      <c r="B5" t="s">
        <v>204</v>
      </c>
    </row>
    <row r="6" spans="1:4" x14ac:dyDescent="0.25">
      <c r="B6" t="s">
        <v>94</v>
      </c>
    </row>
    <row r="7" spans="1:4" x14ac:dyDescent="0.25">
      <c r="C7" t="s">
        <v>176</v>
      </c>
    </row>
    <row r="8" spans="1:4" x14ac:dyDescent="0.25">
      <c r="C8" t="s">
        <v>170</v>
      </c>
    </row>
    <row r="9" spans="1:4" x14ac:dyDescent="0.25">
      <c r="C9" t="s">
        <v>89</v>
      </c>
    </row>
    <row r="10" spans="1:4" x14ac:dyDescent="0.25">
      <c r="D10" t="s">
        <v>165</v>
      </c>
    </row>
    <row r="11" spans="1:4" x14ac:dyDescent="0.25">
      <c r="D11" t="s">
        <v>177</v>
      </c>
    </row>
    <row r="12" spans="1:4" x14ac:dyDescent="0.25">
      <c r="D12" t="s">
        <v>175</v>
      </c>
    </row>
    <row r="13" spans="1:4" x14ac:dyDescent="0.25">
      <c r="D13" t="s">
        <v>171</v>
      </c>
    </row>
    <row r="15" spans="1:4" x14ac:dyDescent="0.25">
      <c r="C15" t="s">
        <v>166</v>
      </c>
    </row>
    <row r="16" spans="1:4" x14ac:dyDescent="0.25">
      <c r="C16" t="s">
        <v>178</v>
      </c>
    </row>
    <row r="17" spans="1:4" x14ac:dyDescent="0.25">
      <c r="B17" t="s">
        <v>166</v>
      </c>
    </row>
    <row r="18" spans="1:4" x14ac:dyDescent="0.25">
      <c r="B18" t="s">
        <v>167</v>
      </c>
    </row>
    <row r="19" spans="1:4" x14ac:dyDescent="0.25">
      <c r="B19" t="s">
        <v>205</v>
      </c>
    </row>
    <row r="20" spans="1:4" x14ac:dyDescent="0.25">
      <c r="B20" t="s">
        <v>89</v>
      </c>
    </row>
    <row r="21" spans="1:4" x14ac:dyDescent="0.25">
      <c r="C21" t="s">
        <v>172</v>
      </c>
    </row>
    <row r="22" spans="1:4" x14ac:dyDescent="0.25">
      <c r="B22" t="s">
        <v>32</v>
      </c>
    </row>
    <row r="23" spans="1:4" x14ac:dyDescent="0.25">
      <c r="B23" t="s">
        <v>206</v>
      </c>
    </row>
    <row r="24" spans="1:4" x14ac:dyDescent="0.25">
      <c r="B24" t="s">
        <v>89</v>
      </c>
    </row>
    <row r="25" spans="1:4" x14ac:dyDescent="0.25">
      <c r="C25" t="s">
        <v>207</v>
      </c>
    </row>
    <row r="26" spans="1:4" x14ac:dyDescent="0.25">
      <c r="C26" t="s">
        <v>89</v>
      </c>
    </row>
    <row r="27" spans="1:4" x14ac:dyDescent="0.25">
      <c r="D27" t="s">
        <v>173</v>
      </c>
    </row>
    <row r="28" spans="1:4" x14ac:dyDescent="0.25">
      <c r="C28" t="s">
        <v>32</v>
      </c>
    </row>
    <row r="29" spans="1:4" x14ac:dyDescent="0.25">
      <c r="B29" t="s">
        <v>32</v>
      </c>
    </row>
    <row r="30" spans="1:4" x14ac:dyDescent="0.25">
      <c r="A30" t="s">
        <v>174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heetViews>
  <sheetFormatPr defaultRowHeight="15" x14ac:dyDescent="0.25"/>
  <sheetData>
    <row r="2" spans="1:4" x14ac:dyDescent="0.25">
      <c r="A2" t="s">
        <v>185</v>
      </c>
    </row>
    <row r="3" spans="1:4" x14ac:dyDescent="0.25">
      <c r="A3" t="s">
        <v>186</v>
      </c>
    </row>
    <row r="4" spans="1:4" x14ac:dyDescent="0.25">
      <c r="A4" t="s">
        <v>83</v>
      </c>
    </row>
    <row r="5" spans="1:4" x14ac:dyDescent="0.25">
      <c r="B5" t="s">
        <v>202</v>
      </c>
    </row>
    <row r="6" spans="1:4" x14ac:dyDescent="0.25">
      <c r="B6" t="s">
        <v>89</v>
      </c>
    </row>
    <row r="7" spans="1:4" x14ac:dyDescent="0.25">
      <c r="C7" t="s">
        <v>190</v>
      </c>
    </row>
    <row r="8" spans="1:4" x14ac:dyDescent="0.25">
      <c r="C8" t="s">
        <v>191</v>
      </c>
    </row>
    <row r="9" spans="1:4" x14ac:dyDescent="0.25">
      <c r="C9" t="s">
        <v>192</v>
      </c>
    </row>
    <row r="10" spans="1:4" x14ac:dyDescent="0.25">
      <c r="C10" t="s">
        <v>83</v>
      </c>
    </row>
    <row r="11" spans="1:4" x14ac:dyDescent="0.25">
      <c r="D11" t="s">
        <v>187</v>
      </c>
    </row>
    <row r="12" spans="1:4" x14ac:dyDescent="0.25">
      <c r="D12" t="s">
        <v>188</v>
      </c>
    </row>
    <row r="13" spans="1:4" x14ac:dyDescent="0.25">
      <c r="D13" t="s">
        <v>189</v>
      </c>
    </row>
    <row r="14" spans="1:4" x14ac:dyDescent="0.25">
      <c r="D14" t="s">
        <v>194</v>
      </c>
    </row>
    <row r="15" spans="1:4" x14ac:dyDescent="0.25">
      <c r="C15" t="s">
        <v>32</v>
      </c>
    </row>
    <row r="16" spans="1:4" x14ac:dyDescent="0.25">
      <c r="A16" t="s">
        <v>105</v>
      </c>
      <c r="C16" t="s">
        <v>193</v>
      </c>
    </row>
    <row r="17" spans="2:4" x14ac:dyDescent="0.25">
      <c r="C17" t="s">
        <v>195</v>
      </c>
    </row>
    <row r="18" spans="2:4" x14ac:dyDescent="0.25">
      <c r="C18" t="s">
        <v>83</v>
      </c>
    </row>
    <row r="19" spans="2:4" x14ac:dyDescent="0.25">
      <c r="D19" t="s">
        <v>196</v>
      </c>
    </row>
    <row r="20" spans="2:4" x14ac:dyDescent="0.25">
      <c r="C20" t="s">
        <v>32</v>
      </c>
    </row>
    <row r="21" spans="2:4" x14ac:dyDescent="0.25">
      <c r="B21" t="s">
        <v>179</v>
      </c>
    </row>
    <row r="22" spans="2:4" x14ac:dyDescent="0.25">
      <c r="B22" t="s">
        <v>180</v>
      </c>
    </row>
    <row r="23" spans="2:4" x14ac:dyDescent="0.25">
      <c r="B23" t="s">
        <v>203</v>
      </c>
    </row>
    <row r="24" spans="2:4" x14ac:dyDescent="0.25">
      <c r="B24" t="s">
        <v>83</v>
      </c>
    </row>
    <row r="25" spans="2:4" x14ac:dyDescent="0.25">
      <c r="C25" t="s">
        <v>95</v>
      </c>
    </row>
    <row r="26" spans="2:4" x14ac:dyDescent="0.25">
      <c r="C26" t="s">
        <v>89</v>
      </c>
    </row>
    <row r="27" spans="2:4" x14ac:dyDescent="0.25">
      <c r="D27" t="s">
        <v>197</v>
      </c>
    </row>
    <row r="28" spans="2:4" x14ac:dyDescent="0.25">
      <c r="C28" t="s">
        <v>32</v>
      </c>
    </row>
    <row r="29" spans="2:4" x14ac:dyDescent="0.25">
      <c r="B29" t="s">
        <v>181</v>
      </c>
    </row>
    <row r="30" spans="2:4" x14ac:dyDescent="0.25">
      <c r="B30" t="s">
        <v>182</v>
      </c>
    </row>
    <row r="31" spans="2:4" x14ac:dyDescent="0.25">
      <c r="B31" t="s">
        <v>183</v>
      </c>
    </row>
    <row r="32" spans="2:4" x14ac:dyDescent="0.25">
      <c r="B32" t="s">
        <v>184</v>
      </c>
    </row>
    <row r="33" spans="1:1" x14ac:dyDescent="0.25">
      <c r="A33" t="s">
        <v>198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1" width="9.140625" customWidth="1"/>
    <col min="22" max="52" width="9.140625" hidden="1" customWidth="1"/>
  </cols>
  <sheetData>
    <row r="3" spans="2:21" ht="18.75" x14ac:dyDescent="0.3">
      <c r="B3" s="279"/>
      <c r="C3" s="279"/>
      <c r="D3" s="279"/>
      <c r="E3" s="279"/>
      <c r="F3" s="279"/>
      <c r="G3" s="279"/>
      <c r="H3" s="279"/>
      <c r="I3" s="279"/>
      <c r="J3" s="279"/>
    </row>
    <row r="4" spans="2:21" ht="15.75" thickBot="1" x14ac:dyDescent="0.3">
      <c r="B4" s="14"/>
      <c r="C4" s="14"/>
      <c r="D4" s="15"/>
      <c r="E4" s="15"/>
      <c r="F4" s="15"/>
      <c r="G4" s="15"/>
      <c r="H4" s="15"/>
      <c r="I4" s="15"/>
      <c r="J4" s="15"/>
      <c r="M4" t="s">
        <v>487</v>
      </c>
      <c r="N4" t="s">
        <v>488</v>
      </c>
      <c r="O4" t="s">
        <v>489</v>
      </c>
      <c r="P4" t="s">
        <v>490</v>
      </c>
      <c r="Q4" t="s">
        <v>491</v>
      </c>
      <c r="R4" t="s">
        <v>492</v>
      </c>
      <c r="S4" t="s">
        <v>493</v>
      </c>
      <c r="T4" t="s">
        <v>494</v>
      </c>
      <c r="U4" t="s">
        <v>495</v>
      </c>
    </row>
    <row r="5" spans="2:21" x14ac:dyDescent="0.25">
      <c r="B5" t="s">
        <v>372</v>
      </c>
      <c r="C5" s="17" t="s">
        <v>487</v>
      </c>
      <c r="D5" s="17">
        <v>1</v>
      </c>
      <c r="E5">
        <v>0</v>
      </c>
      <c r="F5">
        <v>0</v>
      </c>
      <c r="G5">
        <v>1.054E-12</v>
      </c>
      <c r="H5">
        <v>0</v>
      </c>
      <c r="I5">
        <v>0</v>
      </c>
      <c r="J5">
        <v>0</v>
      </c>
      <c r="L5">
        <v>1</v>
      </c>
      <c r="M5">
        <v>0</v>
      </c>
      <c r="N5">
        <v>0</v>
      </c>
      <c r="O5">
        <v>1.933E-2</v>
      </c>
      <c r="P5">
        <v>0.22900000000000001</v>
      </c>
      <c r="Q5">
        <v>0.5323</v>
      </c>
      <c r="R5">
        <v>0.16669999999999999</v>
      </c>
      <c r="S5">
        <v>3.567E-2</v>
      </c>
      <c r="T5">
        <v>1.7000000000000001E-2</v>
      </c>
      <c r="U5">
        <v>0</v>
      </c>
    </row>
    <row r="6" spans="2:21" x14ac:dyDescent="0.25">
      <c r="B6" t="s">
        <v>373</v>
      </c>
      <c r="C6" s="17" t="s">
        <v>487</v>
      </c>
      <c r="D6" s="17">
        <v>2</v>
      </c>
      <c r="E6">
        <v>1.333E-3</v>
      </c>
      <c r="F6">
        <v>3.6490000000000002E-2</v>
      </c>
      <c r="G6">
        <v>8.1709999999999997E-4</v>
      </c>
      <c r="H6">
        <v>0</v>
      </c>
      <c r="I6">
        <v>0</v>
      </c>
      <c r="J6">
        <v>0</v>
      </c>
      <c r="L6">
        <v>2</v>
      </c>
      <c r="M6">
        <v>1.333E-3</v>
      </c>
      <c r="N6">
        <v>0</v>
      </c>
      <c r="O6">
        <v>0.125</v>
      </c>
      <c r="P6">
        <v>0.37230000000000002</v>
      </c>
      <c r="Q6">
        <v>0.12330000000000001</v>
      </c>
      <c r="R6">
        <v>0.25800000000000001</v>
      </c>
      <c r="S6">
        <v>4.7E-2</v>
      </c>
      <c r="T6">
        <v>7.2999999999999995E-2</v>
      </c>
      <c r="U6">
        <v>0</v>
      </c>
    </row>
    <row r="7" spans="2:21" x14ac:dyDescent="0.25">
      <c r="B7" t="s">
        <v>374</v>
      </c>
      <c r="C7" s="17" t="s">
        <v>487</v>
      </c>
      <c r="D7" s="17">
        <v>3</v>
      </c>
      <c r="E7">
        <v>5.3330000000000001E-3</v>
      </c>
      <c r="F7">
        <v>7.2830000000000006E-2</v>
      </c>
      <c r="G7">
        <v>2.1310000000000001E-3</v>
      </c>
      <c r="H7">
        <v>0</v>
      </c>
      <c r="I7">
        <v>0</v>
      </c>
      <c r="J7">
        <v>0</v>
      </c>
      <c r="L7">
        <v>3</v>
      </c>
      <c r="M7">
        <v>5.3330000000000001E-3</v>
      </c>
      <c r="N7">
        <v>0</v>
      </c>
      <c r="O7">
        <v>0.31</v>
      </c>
      <c r="P7">
        <v>0.24</v>
      </c>
      <c r="Q7">
        <v>9.4670000000000004E-2</v>
      </c>
      <c r="R7">
        <v>0.1663</v>
      </c>
      <c r="S7">
        <v>5.3670000000000002E-2</v>
      </c>
      <c r="T7">
        <v>0.13</v>
      </c>
      <c r="U7">
        <v>0</v>
      </c>
    </row>
    <row r="8" spans="2:21" x14ac:dyDescent="0.25">
      <c r="B8" t="s">
        <v>375</v>
      </c>
      <c r="C8" s="17" t="s">
        <v>487</v>
      </c>
      <c r="D8" s="17">
        <v>4</v>
      </c>
      <c r="E8">
        <v>2.1329999999999998E-2</v>
      </c>
      <c r="F8">
        <v>0.14449999999999999</v>
      </c>
      <c r="G8">
        <v>4.7099999999999998E-3</v>
      </c>
      <c r="H8">
        <v>0</v>
      </c>
      <c r="I8">
        <v>0</v>
      </c>
      <c r="J8">
        <v>0</v>
      </c>
      <c r="L8">
        <v>4</v>
      </c>
      <c r="M8">
        <v>2.1329999999999998E-2</v>
      </c>
      <c r="N8">
        <v>3.3330000000000002E-4</v>
      </c>
      <c r="O8">
        <v>0.32529999999999998</v>
      </c>
      <c r="P8">
        <v>9.7670000000000007E-2</v>
      </c>
      <c r="Q8">
        <v>7.2669999999999998E-2</v>
      </c>
      <c r="R8">
        <v>0.16969999999999999</v>
      </c>
      <c r="S8">
        <v>7.2669999999999998E-2</v>
      </c>
      <c r="T8">
        <v>0.24030000000000001</v>
      </c>
      <c r="U8">
        <v>0</v>
      </c>
    </row>
    <row r="9" spans="2:21" x14ac:dyDescent="0.25">
      <c r="B9" t="s">
        <v>376</v>
      </c>
      <c r="C9" s="17" t="s">
        <v>487</v>
      </c>
      <c r="D9" s="17">
        <v>5</v>
      </c>
      <c r="E9">
        <v>9.733E-2</v>
      </c>
      <c r="F9">
        <v>0.2964</v>
      </c>
      <c r="G9">
        <v>1.112E-2</v>
      </c>
      <c r="H9">
        <v>0</v>
      </c>
      <c r="I9">
        <v>0</v>
      </c>
      <c r="J9">
        <v>1</v>
      </c>
      <c r="L9">
        <v>5</v>
      </c>
      <c r="M9">
        <v>9.733E-2</v>
      </c>
      <c r="N9">
        <v>3.0000000000000001E-3</v>
      </c>
      <c r="O9">
        <v>0.16470000000000001</v>
      </c>
      <c r="P9">
        <v>4.1669999999999999E-2</v>
      </c>
      <c r="Q9">
        <v>8.7330000000000005E-2</v>
      </c>
      <c r="R9">
        <v>0.1187</v>
      </c>
      <c r="S9">
        <v>0.11070000000000001</v>
      </c>
      <c r="T9">
        <v>0.37669999999999998</v>
      </c>
      <c r="U9">
        <v>0</v>
      </c>
    </row>
    <row r="10" spans="2:21" x14ac:dyDescent="0.25">
      <c r="B10" t="s">
        <v>597</v>
      </c>
      <c r="C10" s="17" t="s">
        <v>487</v>
      </c>
      <c r="D10" s="17">
        <v>6</v>
      </c>
      <c r="E10">
        <v>0.442</v>
      </c>
      <c r="F10">
        <v>0.49659999999999999</v>
      </c>
      <c r="G10">
        <v>2.4320000000000001E-2</v>
      </c>
      <c r="H10">
        <v>0</v>
      </c>
      <c r="I10">
        <v>0</v>
      </c>
      <c r="J10">
        <v>1</v>
      </c>
      <c r="L10">
        <v>6</v>
      </c>
      <c r="M10">
        <v>0.442</v>
      </c>
      <c r="N10">
        <v>2.3E-2</v>
      </c>
      <c r="O10">
        <v>5.3330000000000002E-2</v>
      </c>
      <c r="P10">
        <v>1.4E-2</v>
      </c>
      <c r="Q10">
        <v>4.4670000000000001E-2</v>
      </c>
      <c r="R10">
        <v>6.7669999999999994E-2</v>
      </c>
      <c r="S10">
        <v>0.2127</v>
      </c>
      <c r="T10">
        <v>0.14269999999999999</v>
      </c>
      <c r="U10">
        <v>0</v>
      </c>
    </row>
    <row r="11" spans="2:21" x14ac:dyDescent="0.25">
      <c r="B11" t="s">
        <v>598</v>
      </c>
      <c r="C11" s="17" t="s">
        <v>487</v>
      </c>
      <c r="D11" s="17">
        <v>7</v>
      </c>
      <c r="E11">
        <v>0.38</v>
      </c>
      <c r="F11">
        <v>0.4854</v>
      </c>
      <c r="G11">
        <v>2.495E-2</v>
      </c>
      <c r="H11">
        <v>0</v>
      </c>
      <c r="I11">
        <v>0</v>
      </c>
      <c r="J11">
        <v>1</v>
      </c>
      <c r="L11">
        <v>7</v>
      </c>
      <c r="M11">
        <v>0.38</v>
      </c>
      <c r="N11">
        <v>0.29570000000000002</v>
      </c>
      <c r="O11">
        <v>2.333E-3</v>
      </c>
      <c r="P11">
        <v>5.0000000000000001E-3</v>
      </c>
      <c r="Q11">
        <v>3.2329999999999998E-2</v>
      </c>
      <c r="R11">
        <v>3.9E-2</v>
      </c>
      <c r="S11">
        <v>0.22600000000000001</v>
      </c>
      <c r="T11">
        <v>1.967E-2</v>
      </c>
      <c r="U11">
        <v>0</v>
      </c>
    </row>
    <row r="12" spans="2:21" x14ac:dyDescent="0.25">
      <c r="B12" t="s">
        <v>599</v>
      </c>
      <c r="C12" s="17" t="s">
        <v>487</v>
      </c>
      <c r="D12" s="17">
        <v>8</v>
      </c>
      <c r="E12">
        <v>5.2670000000000002E-2</v>
      </c>
      <c r="F12">
        <v>0.22339999999999999</v>
      </c>
      <c r="G12">
        <v>1.7729999999999999E-2</v>
      </c>
      <c r="H12">
        <v>0</v>
      </c>
      <c r="I12">
        <v>0</v>
      </c>
      <c r="J12">
        <v>1</v>
      </c>
      <c r="L12">
        <v>8</v>
      </c>
      <c r="M12">
        <v>5.2670000000000002E-2</v>
      </c>
      <c r="N12">
        <v>0.67800000000000005</v>
      </c>
      <c r="O12">
        <v>0</v>
      </c>
      <c r="P12">
        <v>3.3330000000000002E-4</v>
      </c>
      <c r="Q12">
        <v>1.2670000000000001E-2</v>
      </c>
      <c r="R12">
        <v>1.4E-2</v>
      </c>
      <c r="S12">
        <v>0.2397</v>
      </c>
      <c r="T12">
        <v>6.667E-4</v>
      </c>
      <c r="U12">
        <v>2E-3</v>
      </c>
    </row>
    <row r="13" spans="2:21" x14ac:dyDescent="0.25">
      <c r="B13" t="s">
        <v>600</v>
      </c>
      <c r="C13" s="17" t="s">
        <v>487</v>
      </c>
      <c r="D13" s="17">
        <v>9</v>
      </c>
      <c r="E13">
        <v>0</v>
      </c>
      <c r="F13">
        <v>0</v>
      </c>
      <c r="G13">
        <v>1.054E-12</v>
      </c>
      <c r="H13">
        <v>0</v>
      </c>
      <c r="I13">
        <v>0</v>
      </c>
      <c r="J13">
        <v>0</v>
      </c>
      <c r="L13">
        <v>9</v>
      </c>
      <c r="M13">
        <v>0</v>
      </c>
      <c r="N13">
        <v>0</v>
      </c>
      <c r="O13">
        <v>0</v>
      </c>
      <c r="P13">
        <v>0</v>
      </c>
      <c r="Q13">
        <v>0</v>
      </c>
      <c r="R13">
        <v>0</v>
      </c>
      <c r="S13">
        <v>2E-3</v>
      </c>
      <c r="T13">
        <v>0</v>
      </c>
      <c r="U13">
        <v>0.998</v>
      </c>
    </row>
    <row r="14" spans="2:21" hidden="1" x14ac:dyDescent="0.25">
      <c r="B14" t="s">
        <v>377</v>
      </c>
      <c r="C14" s="17" t="s">
        <v>488</v>
      </c>
      <c r="D14" s="17">
        <v>1</v>
      </c>
      <c r="E14">
        <v>0</v>
      </c>
      <c r="F14">
        <v>0</v>
      </c>
      <c r="G14">
        <v>1.054E-12</v>
      </c>
      <c r="H14">
        <v>0</v>
      </c>
      <c r="I14">
        <v>0</v>
      </c>
      <c r="J14">
        <v>0</v>
      </c>
    </row>
    <row r="15" spans="2:21" hidden="1" x14ac:dyDescent="0.25">
      <c r="B15" t="s">
        <v>378</v>
      </c>
      <c r="C15" s="17" t="s">
        <v>488</v>
      </c>
      <c r="D15" s="17">
        <v>2</v>
      </c>
      <c r="E15">
        <v>0</v>
      </c>
      <c r="F15">
        <v>0</v>
      </c>
      <c r="G15">
        <v>1.054E-12</v>
      </c>
      <c r="H15">
        <v>0</v>
      </c>
      <c r="I15">
        <v>0</v>
      </c>
      <c r="J15">
        <v>0</v>
      </c>
    </row>
    <row r="16" spans="2:21" hidden="1" x14ac:dyDescent="0.25">
      <c r="B16" t="s">
        <v>379</v>
      </c>
      <c r="C16" s="17" t="s">
        <v>488</v>
      </c>
      <c r="D16" s="17">
        <v>3</v>
      </c>
      <c r="E16">
        <v>0</v>
      </c>
      <c r="F16">
        <v>0</v>
      </c>
      <c r="G16">
        <v>1.054E-12</v>
      </c>
      <c r="H16">
        <v>0</v>
      </c>
      <c r="I16">
        <v>0</v>
      </c>
      <c r="J16">
        <v>0</v>
      </c>
    </row>
    <row r="17" spans="2:10" hidden="1" x14ac:dyDescent="0.25">
      <c r="B17" t="s">
        <v>380</v>
      </c>
      <c r="C17" s="17" t="s">
        <v>488</v>
      </c>
      <c r="D17" s="17">
        <v>4</v>
      </c>
      <c r="E17">
        <v>3.3330000000000002E-4</v>
      </c>
      <c r="F17">
        <v>1.8249999999999999E-2</v>
      </c>
      <c r="G17">
        <v>3.3829999999999998E-4</v>
      </c>
      <c r="H17">
        <v>0</v>
      </c>
      <c r="I17">
        <v>0</v>
      </c>
      <c r="J17">
        <v>0</v>
      </c>
    </row>
    <row r="18" spans="2:10" hidden="1" x14ac:dyDescent="0.25">
      <c r="B18" t="s">
        <v>381</v>
      </c>
      <c r="C18" s="17" t="s">
        <v>488</v>
      </c>
      <c r="D18" s="17">
        <v>5</v>
      </c>
      <c r="E18">
        <v>3.0000000000000001E-3</v>
      </c>
      <c r="F18">
        <v>5.4690000000000003E-2</v>
      </c>
      <c r="G18">
        <v>1.524E-3</v>
      </c>
      <c r="H18">
        <v>0</v>
      </c>
      <c r="I18">
        <v>0</v>
      </c>
      <c r="J18">
        <v>0</v>
      </c>
    </row>
    <row r="19" spans="2:10" hidden="1" x14ac:dyDescent="0.25">
      <c r="B19" t="s">
        <v>601</v>
      </c>
      <c r="C19" s="17" t="s">
        <v>488</v>
      </c>
      <c r="D19" s="17">
        <v>6</v>
      </c>
      <c r="E19">
        <v>2.3E-2</v>
      </c>
      <c r="F19">
        <v>0.14990000000000001</v>
      </c>
      <c r="G19">
        <v>4.764E-3</v>
      </c>
      <c r="H19">
        <v>0</v>
      </c>
      <c r="I19">
        <v>0</v>
      </c>
      <c r="J19">
        <v>0</v>
      </c>
    </row>
    <row r="20" spans="2:10" hidden="1" x14ac:dyDescent="0.25">
      <c r="B20" t="s">
        <v>602</v>
      </c>
      <c r="C20" s="17" t="s">
        <v>488</v>
      </c>
      <c r="D20" s="17">
        <v>7</v>
      </c>
      <c r="E20">
        <v>0.29570000000000002</v>
      </c>
      <c r="F20">
        <v>0.45629999999999998</v>
      </c>
      <c r="G20">
        <v>2.4289999999999999E-2</v>
      </c>
      <c r="H20">
        <v>0</v>
      </c>
      <c r="I20">
        <v>0</v>
      </c>
      <c r="J20">
        <v>1</v>
      </c>
    </row>
    <row r="21" spans="2:10" hidden="1" x14ac:dyDescent="0.25">
      <c r="B21" t="s">
        <v>603</v>
      </c>
      <c r="C21" s="17" t="s">
        <v>488</v>
      </c>
      <c r="D21" s="17">
        <v>8</v>
      </c>
      <c r="E21">
        <v>0.67800000000000005</v>
      </c>
      <c r="F21">
        <v>0.4672</v>
      </c>
      <c r="G21">
        <v>2.6210000000000001E-2</v>
      </c>
      <c r="H21">
        <v>0</v>
      </c>
      <c r="I21">
        <v>1</v>
      </c>
      <c r="J21">
        <v>1</v>
      </c>
    </row>
    <row r="22" spans="2:10" hidden="1" x14ac:dyDescent="0.25">
      <c r="B22" t="s">
        <v>604</v>
      </c>
      <c r="C22" s="17" t="s">
        <v>488</v>
      </c>
      <c r="D22" s="17">
        <v>9</v>
      </c>
      <c r="E22">
        <v>0</v>
      </c>
      <c r="F22">
        <v>0</v>
      </c>
      <c r="G22">
        <v>1.054E-12</v>
      </c>
      <c r="H22">
        <v>0</v>
      </c>
      <c r="I22">
        <v>0</v>
      </c>
      <c r="J22">
        <v>0</v>
      </c>
    </row>
    <row r="23" spans="2:10" hidden="1" x14ac:dyDescent="0.25">
      <c r="B23" t="s">
        <v>382</v>
      </c>
      <c r="C23" s="17" t="s">
        <v>489</v>
      </c>
      <c r="D23" s="17">
        <v>1</v>
      </c>
      <c r="E23">
        <v>1.933E-2</v>
      </c>
      <c r="F23">
        <v>0.13769999999999999</v>
      </c>
      <c r="G23">
        <v>4.7470000000000004E-3</v>
      </c>
      <c r="H23">
        <v>0</v>
      </c>
      <c r="I23">
        <v>0</v>
      </c>
      <c r="J23">
        <v>0</v>
      </c>
    </row>
    <row r="24" spans="2:10" hidden="1" x14ac:dyDescent="0.25">
      <c r="B24" t="s">
        <v>383</v>
      </c>
      <c r="C24" s="17" t="s">
        <v>489</v>
      </c>
      <c r="D24" s="17">
        <v>2</v>
      </c>
      <c r="E24">
        <v>0.125</v>
      </c>
      <c r="F24">
        <v>0.33069999999999999</v>
      </c>
      <c r="G24">
        <v>1.5800000000000002E-2</v>
      </c>
      <c r="H24">
        <v>0</v>
      </c>
      <c r="I24">
        <v>0</v>
      </c>
      <c r="J24">
        <v>1</v>
      </c>
    </row>
    <row r="25" spans="2:10" hidden="1" x14ac:dyDescent="0.25">
      <c r="B25" t="s">
        <v>384</v>
      </c>
      <c r="C25" s="17" t="s">
        <v>489</v>
      </c>
      <c r="D25" s="17">
        <v>3</v>
      </c>
      <c r="E25">
        <v>0.31</v>
      </c>
      <c r="F25">
        <v>0.46250000000000002</v>
      </c>
      <c r="G25">
        <v>2.147E-2</v>
      </c>
      <c r="H25">
        <v>0</v>
      </c>
      <c r="I25">
        <v>0</v>
      </c>
      <c r="J25">
        <v>1</v>
      </c>
    </row>
    <row r="26" spans="2:10" hidden="1" x14ac:dyDescent="0.25">
      <c r="B26" t="s">
        <v>385</v>
      </c>
      <c r="C26" s="17" t="s">
        <v>489</v>
      </c>
      <c r="D26" s="17">
        <v>4</v>
      </c>
      <c r="E26">
        <v>0.32529999999999998</v>
      </c>
      <c r="F26">
        <v>0.46850000000000003</v>
      </c>
      <c r="G26">
        <v>1.958E-2</v>
      </c>
      <c r="H26">
        <v>0</v>
      </c>
      <c r="I26">
        <v>0</v>
      </c>
      <c r="J26">
        <v>1</v>
      </c>
    </row>
    <row r="27" spans="2:10" hidden="1" x14ac:dyDescent="0.25">
      <c r="B27" t="s">
        <v>386</v>
      </c>
      <c r="C27" s="17" t="s">
        <v>489</v>
      </c>
      <c r="D27" s="17">
        <v>5</v>
      </c>
      <c r="E27">
        <v>0.16470000000000001</v>
      </c>
      <c r="F27">
        <v>0.37090000000000001</v>
      </c>
      <c r="G27">
        <v>2.095E-2</v>
      </c>
      <c r="H27">
        <v>0</v>
      </c>
      <c r="I27">
        <v>0</v>
      </c>
      <c r="J27">
        <v>1</v>
      </c>
    </row>
    <row r="28" spans="2:10" hidden="1" x14ac:dyDescent="0.25">
      <c r="B28" t="s">
        <v>605</v>
      </c>
      <c r="C28" s="17" t="s">
        <v>489</v>
      </c>
      <c r="D28" s="17">
        <v>6</v>
      </c>
      <c r="E28">
        <v>5.3330000000000002E-2</v>
      </c>
      <c r="F28">
        <v>0.22470000000000001</v>
      </c>
      <c r="G28">
        <v>1.163E-2</v>
      </c>
      <c r="H28">
        <v>0</v>
      </c>
      <c r="I28">
        <v>0</v>
      </c>
      <c r="J28">
        <v>1</v>
      </c>
    </row>
    <row r="29" spans="2:10" hidden="1" x14ac:dyDescent="0.25">
      <c r="B29" t="s">
        <v>606</v>
      </c>
      <c r="C29" s="17" t="s">
        <v>489</v>
      </c>
      <c r="D29" s="17">
        <v>7</v>
      </c>
      <c r="E29">
        <v>2.333E-3</v>
      </c>
      <c r="F29">
        <v>4.8250000000000001E-2</v>
      </c>
      <c r="G29">
        <v>1.199E-3</v>
      </c>
      <c r="H29">
        <v>0</v>
      </c>
      <c r="I29">
        <v>0</v>
      </c>
      <c r="J29">
        <v>0</v>
      </c>
    </row>
    <row r="30" spans="2:10" hidden="1" x14ac:dyDescent="0.25">
      <c r="B30" t="s">
        <v>607</v>
      </c>
      <c r="C30" t="s">
        <v>489</v>
      </c>
      <c r="D30">
        <v>8</v>
      </c>
      <c r="E30">
        <v>0</v>
      </c>
      <c r="F30">
        <v>0</v>
      </c>
      <c r="G30">
        <v>1.054E-12</v>
      </c>
      <c r="H30">
        <v>0</v>
      </c>
      <c r="I30">
        <v>0</v>
      </c>
      <c r="J30">
        <v>0</v>
      </c>
    </row>
    <row r="31" spans="2:10" hidden="1" x14ac:dyDescent="0.25">
      <c r="B31" t="s">
        <v>608</v>
      </c>
      <c r="C31" t="s">
        <v>489</v>
      </c>
      <c r="D31">
        <v>9</v>
      </c>
      <c r="E31">
        <v>0</v>
      </c>
      <c r="F31">
        <v>0</v>
      </c>
      <c r="G31">
        <v>1.054E-12</v>
      </c>
      <c r="H31">
        <v>0</v>
      </c>
      <c r="I31">
        <v>0</v>
      </c>
      <c r="J31">
        <v>0</v>
      </c>
    </row>
    <row r="32" spans="2:10" hidden="1" x14ac:dyDescent="0.25">
      <c r="B32" t="s">
        <v>387</v>
      </c>
      <c r="C32" t="s">
        <v>490</v>
      </c>
      <c r="D32">
        <v>1</v>
      </c>
      <c r="E32">
        <v>0.22900000000000001</v>
      </c>
      <c r="F32">
        <v>0.42020000000000002</v>
      </c>
      <c r="G32">
        <v>2.0840000000000001E-2</v>
      </c>
      <c r="H32">
        <v>0</v>
      </c>
      <c r="I32">
        <v>0</v>
      </c>
      <c r="J32">
        <v>1</v>
      </c>
    </row>
    <row r="33" spans="2:10" hidden="1" x14ac:dyDescent="0.25">
      <c r="B33" t="s">
        <v>388</v>
      </c>
      <c r="C33" t="s">
        <v>490</v>
      </c>
      <c r="D33">
        <v>2</v>
      </c>
      <c r="E33">
        <v>0.37230000000000002</v>
      </c>
      <c r="F33">
        <v>0.4834</v>
      </c>
      <c r="G33">
        <v>2.0459999999999999E-2</v>
      </c>
      <c r="H33">
        <v>0</v>
      </c>
      <c r="I33">
        <v>0</v>
      </c>
      <c r="J33">
        <v>1</v>
      </c>
    </row>
    <row r="34" spans="2:10" hidden="1" x14ac:dyDescent="0.25">
      <c r="B34" t="s">
        <v>389</v>
      </c>
      <c r="C34" t="s">
        <v>490</v>
      </c>
      <c r="D34">
        <v>3</v>
      </c>
      <c r="E34">
        <v>0.24</v>
      </c>
      <c r="F34">
        <v>0.42709999999999998</v>
      </c>
      <c r="G34">
        <v>1.669E-2</v>
      </c>
      <c r="H34">
        <v>0</v>
      </c>
      <c r="I34">
        <v>0</v>
      </c>
      <c r="J34">
        <v>1</v>
      </c>
    </row>
    <row r="35" spans="2:10" hidden="1" x14ac:dyDescent="0.25">
      <c r="B35" t="s">
        <v>390</v>
      </c>
      <c r="C35" t="s">
        <v>490</v>
      </c>
      <c r="D35">
        <v>4</v>
      </c>
      <c r="E35">
        <v>9.7670000000000007E-2</v>
      </c>
      <c r="F35">
        <v>0.2969</v>
      </c>
      <c r="G35">
        <v>1.0540000000000001E-2</v>
      </c>
      <c r="H35">
        <v>0</v>
      </c>
      <c r="I35">
        <v>0</v>
      </c>
      <c r="J35">
        <v>1</v>
      </c>
    </row>
    <row r="36" spans="2:10" hidden="1" x14ac:dyDescent="0.25">
      <c r="B36" t="s">
        <v>391</v>
      </c>
      <c r="C36" t="s">
        <v>490</v>
      </c>
      <c r="D36">
        <v>5</v>
      </c>
      <c r="E36">
        <v>4.1669999999999999E-2</v>
      </c>
      <c r="F36">
        <v>0.19980000000000001</v>
      </c>
      <c r="G36">
        <v>5.8149999999999999E-3</v>
      </c>
      <c r="H36">
        <v>0</v>
      </c>
      <c r="I36">
        <v>0</v>
      </c>
      <c r="J36">
        <v>1</v>
      </c>
    </row>
    <row r="37" spans="2:10" hidden="1" x14ac:dyDescent="0.25">
      <c r="B37" t="s">
        <v>609</v>
      </c>
      <c r="C37" t="s">
        <v>490</v>
      </c>
      <c r="D37">
        <v>6</v>
      </c>
      <c r="E37">
        <v>1.4E-2</v>
      </c>
      <c r="F37">
        <v>0.11749999999999999</v>
      </c>
      <c r="G37">
        <v>3.4329999999999999E-3</v>
      </c>
      <c r="H37">
        <v>0</v>
      </c>
      <c r="I37">
        <v>0</v>
      </c>
      <c r="J37">
        <v>0</v>
      </c>
    </row>
    <row r="38" spans="2:10" hidden="1" x14ac:dyDescent="0.25">
      <c r="B38" t="s">
        <v>610</v>
      </c>
      <c r="C38" t="s">
        <v>490</v>
      </c>
      <c r="D38">
        <v>7</v>
      </c>
      <c r="E38">
        <v>5.0000000000000001E-3</v>
      </c>
      <c r="F38">
        <v>7.0529999999999995E-2</v>
      </c>
      <c r="G38">
        <v>1.6789999999999999E-3</v>
      </c>
      <c r="H38">
        <v>0</v>
      </c>
      <c r="I38">
        <v>0</v>
      </c>
      <c r="J38">
        <v>0</v>
      </c>
    </row>
    <row r="39" spans="2:10" hidden="1" x14ac:dyDescent="0.25">
      <c r="B39" t="s">
        <v>611</v>
      </c>
      <c r="C39" t="s">
        <v>490</v>
      </c>
      <c r="D39">
        <v>8</v>
      </c>
      <c r="E39">
        <v>3.3330000000000002E-4</v>
      </c>
      <c r="F39">
        <v>1.8249999999999999E-2</v>
      </c>
      <c r="G39">
        <v>3.3829999999999998E-4</v>
      </c>
      <c r="H39">
        <v>0</v>
      </c>
      <c r="I39">
        <v>0</v>
      </c>
      <c r="J39">
        <v>0</v>
      </c>
    </row>
    <row r="40" spans="2:10" hidden="1" x14ac:dyDescent="0.25">
      <c r="B40" t="s">
        <v>612</v>
      </c>
      <c r="C40" t="s">
        <v>490</v>
      </c>
      <c r="D40">
        <v>9</v>
      </c>
      <c r="E40">
        <v>0</v>
      </c>
      <c r="F40">
        <v>0</v>
      </c>
      <c r="G40">
        <v>1.054E-12</v>
      </c>
      <c r="H40">
        <v>0</v>
      </c>
      <c r="I40">
        <v>0</v>
      </c>
      <c r="J40">
        <v>0</v>
      </c>
    </row>
    <row r="41" spans="2:10" hidden="1" x14ac:dyDescent="0.25">
      <c r="B41" t="s">
        <v>392</v>
      </c>
      <c r="C41" t="s">
        <v>491</v>
      </c>
      <c r="D41">
        <v>1</v>
      </c>
      <c r="E41">
        <v>0.5323</v>
      </c>
      <c r="F41">
        <v>0.499</v>
      </c>
      <c r="G41">
        <v>2.903E-2</v>
      </c>
      <c r="H41">
        <v>0</v>
      </c>
      <c r="I41">
        <v>1</v>
      </c>
      <c r="J41">
        <v>1</v>
      </c>
    </row>
    <row r="42" spans="2:10" hidden="1" x14ac:dyDescent="0.25">
      <c r="B42" t="s">
        <v>393</v>
      </c>
      <c r="C42" t="s">
        <v>491</v>
      </c>
      <c r="D42">
        <v>2</v>
      </c>
      <c r="E42">
        <v>0.12330000000000001</v>
      </c>
      <c r="F42">
        <v>0.32879999999999998</v>
      </c>
      <c r="G42">
        <v>9.6559999999999997E-3</v>
      </c>
      <c r="H42">
        <v>0</v>
      </c>
      <c r="I42">
        <v>0</v>
      </c>
      <c r="J42">
        <v>1</v>
      </c>
    </row>
    <row r="43" spans="2:10" hidden="1" x14ac:dyDescent="0.25">
      <c r="B43" t="s">
        <v>394</v>
      </c>
      <c r="C43" t="s">
        <v>491</v>
      </c>
      <c r="D43">
        <v>3</v>
      </c>
      <c r="E43">
        <v>9.4670000000000004E-2</v>
      </c>
      <c r="F43">
        <v>0.2928</v>
      </c>
      <c r="G43">
        <v>9.3650000000000001E-3</v>
      </c>
      <c r="H43">
        <v>0</v>
      </c>
      <c r="I43">
        <v>0</v>
      </c>
      <c r="J43">
        <v>1</v>
      </c>
    </row>
    <row r="44" spans="2:10" hidden="1" x14ac:dyDescent="0.25">
      <c r="B44" t="s">
        <v>395</v>
      </c>
      <c r="C44" t="s">
        <v>491</v>
      </c>
      <c r="D44">
        <v>4</v>
      </c>
      <c r="E44">
        <v>7.2669999999999998E-2</v>
      </c>
      <c r="F44">
        <v>0.2596</v>
      </c>
      <c r="G44">
        <v>1.252E-2</v>
      </c>
      <c r="H44">
        <v>0</v>
      </c>
      <c r="I44">
        <v>0</v>
      </c>
      <c r="J44">
        <v>1</v>
      </c>
    </row>
    <row r="45" spans="2:10" hidden="1" x14ac:dyDescent="0.25">
      <c r="B45" t="s">
        <v>396</v>
      </c>
      <c r="C45" t="s">
        <v>491</v>
      </c>
      <c r="D45">
        <v>5</v>
      </c>
      <c r="E45">
        <v>8.7330000000000005E-2</v>
      </c>
      <c r="F45">
        <v>0.2823</v>
      </c>
      <c r="G45">
        <v>1.341E-2</v>
      </c>
      <c r="H45">
        <v>0</v>
      </c>
      <c r="I45">
        <v>0</v>
      </c>
      <c r="J45">
        <v>1</v>
      </c>
    </row>
    <row r="46" spans="2:10" hidden="1" x14ac:dyDescent="0.25">
      <c r="B46" t="s">
        <v>613</v>
      </c>
      <c r="C46" t="s">
        <v>491</v>
      </c>
      <c r="D46">
        <v>6</v>
      </c>
      <c r="E46">
        <v>4.4670000000000001E-2</v>
      </c>
      <c r="F46">
        <v>0.20660000000000001</v>
      </c>
      <c r="G46">
        <v>6.1409999999999998E-3</v>
      </c>
      <c r="H46">
        <v>0</v>
      </c>
      <c r="I46">
        <v>0</v>
      </c>
      <c r="J46">
        <v>1</v>
      </c>
    </row>
    <row r="47" spans="2:10" hidden="1" x14ac:dyDescent="0.25">
      <c r="B47" t="s">
        <v>614</v>
      </c>
      <c r="C47" t="s">
        <v>491</v>
      </c>
      <c r="D47">
        <v>7</v>
      </c>
      <c r="E47">
        <v>3.2329999999999998E-2</v>
      </c>
      <c r="F47">
        <v>0.1769</v>
      </c>
      <c r="G47">
        <v>7.3220000000000004E-3</v>
      </c>
      <c r="H47">
        <v>0</v>
      </c>
      <c r="I47">
        <v>0</v>
      </c>
      <c r="J47">
        <v>1</v>
      </c>
    </row>
    <row r="48" spans="2:10" hidden="1" x14ac:dyDescent="0.25">
      <c r="B48" t="s">
        <v>615</v>
      </c>
      <c r="C48" t="s">
        <v>491</v>
      </c>
      <c r="D48">
        <v>8</v>
      </c>
      <c r="E48">
        <v>1.2670000000000001E-2</v>
      </c>
      <c r="F48">
        <v>0.1118</v>
      </c>
      <c r="G48">
        <v>3.4499999999999999E-3</v>
      </c>
      <c r="H48">
        <v>0</v>
      </c>
      <c r="I48">
        <v>0</v>
      </c>
      <c r="J48">
        <v>0</v>
      </c>
    </row>
    <row r="49" spans="2:10" hidden="1" x14ac:dyDescent="0.25">
      <c r="B49" t="s">
        <v>616</v>
      </c>
      <c r="C49" t="s">
        <v>491</v>
      </c>
      <c r="D49">
        <v>9</v>
      </c>
      <c r="E49">
        <v>0</v>
      </c>
      <c r="F49">
        <v>0</v>
      </c>
      <c r="G49">
        <v>1.054E-12</v>
      </c>
      <c r="H49">
        <v>0</v>
      </c>
      <c r="I49">
        <v>0</v>
      </c>
      <c r="J49">
        <v>0</v>
      </c>
    </row>
    <row r="50" spans="2:10" hidden="1" x14ac:dyDescent="0.25">
      <c r="B50" t="s">
        <v>617</v>
      </c>
      <c r="C50" t="s">
        <v>492</v>
      </c>
      <c r="D50">
        <v>1</v>
      </c>
      <c r="E50">
        <v>0.16669999999999999</v>
      </c>
      <c r="F50">
        <v>0.37269999999999998</v>
      </c>
      <c r="G50">
        <v>1.771E-2</v>
      </c>
      <c r="H50">
        <v>0</v>
      </c>
      <c r="I50">
        <v>0</v>
      </c>
      <c r="J50">
        <v>1</v>
      </c>
    </row>
    <row r="51" spans="2:10" hidden="1" x14ac:dyDescent="0.25">
      <c r="B51" t="s">
        <v>618</v>
      </c>
      <c r="C51" t="s">
        <v>492</v>
      </c>
      <c r="D51">
        <v>2</v>
      </c>
      <c r="E51">
        <v>0.25800000000000001</v>
      </c>
      <c r="F51">
        <v>0.4375</v>
      </c>
      <c r="G51">
        <v>1.9630000000000002E-2</v>
      </c>
      <c r="H51">
        <v>0</v>
      </c>
      <c r="I51">
        <v>0</v>
      </c>
      <c r="J51">
        <v>1</v>
      </c>
    </row>
    <row r="52" spans="2:10" hidden="1" x14ac:dyDescent="0.25">
      <c r="B52" t="s">
        <v>619</v>
      </c>
      <c r="C52" t="s">
        <v>492</v>
      </c>
      <c r="D52">
        <v>3</v>
      </c>
      <c r="E52">
        <v>0.1663</v>
      </c>
      <c r="F52">
        <v>0.37240000000000001</v>
      </c>
      <c r="G52">
        <v>1.1900000000000001E-2</v>
      </c>
      <c r="H52">
        <v>0</v>
      </c>
      <c r="I52">
        <v>0</v>
      </c>
      <c r="J52">
        <v>1</v>
      </c>
    </row>
    <row r="53" spans="2:10" hidden="1" x14ac:dyDescent="0.25">
      <c r="B53" t="s">
        <v>620</v>
      </c>
      <c r="C53" t="s">
        <v>492</v>
      </c>
      <c r="D53">
        <v>4</v>
      </c>
      <c r="E53">
        <v>0.16969999999999999</v>
      </c>
      <c r="F53">
        <v>0.37530000000000002</v>
      </c>
      <c r="G53">
        <v>1.5219999999999999E-2</v>
      </c>
      <c r="H53">
        <v>0</v>
      </c>
      <c r="I53">
        <v>0</v>
      </c>
      <c r="J53">
        <v>1</v>
      </c>
    </row>
    <row r="54" spans="2:10" hidden="1" x14ac:dyDescent="0.25">
      <c r="B54" t="s">
        <v>621</v>
      </c>
      <c r="C54" t="s">
        <v>492</v>
      </c>
      <c r="D54">
        <v>5</v>
      </c>
      <c r="E54">
        <v>0.1187</v>
      </c>
      <c r="F54">
        <v>0.32340000000000002</v>
      </c>
      <c r="G54">
        <v>1.14E-2</v>
      </c>
      <c r="H54">
        <v>0</v>
      </c>
      <c r="I54">
        <v>0</v>
      </c>
      <c r="J54">
        <v>1</v>
      </c>
    </row>
    <row r="55" spans="2:10" hidden="1" x14ac:dyDescent="0.25">
      <c r="B55" t="s">
        <v>622</v>
      </c>
      <c r="C55" t="s">
        <v>492</v>
      </c>
      <c r="D55">
        <v>6</v>
      </c>
      <c r="E55">
        <v>6.7669999999999994E-2</v>
      </c>
      <c r="F55">
        <v>0.25119999999999998</v>
      </c>
      <c r="G55">
        <v>8.8500000000000002E-3</v>
      </c>
      <c r="H55">
        <v>0</v>
      </c>
      <c r="I55">
        <v>0</v>
      </c>
      <c r="J55">
        <v>1</v>
      </c>
    </row>
    <row r="56" spans="2:10" hidden="1" x14ac:dyDescent="0.25">
      <c r="B56" t="s">
        <v>623</v>
      </c>
      <c r="C56" t="s">
        <v>492</v>
      </c>
      <c r="D56">
        <v>7</v>
      </c>
      <c r="E56">
        <v>3.9E-2</v>
      </c>
      <c r="F56">
        <v>0.19359999999999999</v>
      </c>
      <c r="G56">
        <v>7.8779999999999996E-3</v>
      </c>
      <c r="H56">
        <v>0</v>
      </c>
      <c r="I56">
        <v>0</v>
      </c>
      <c r="J56">
        <v>1</v>
      </c>
    </row>
    <row r="57" spans="2:10" hidden="1" x14ac:dyDescent="0.25">
      <c r="B57" t="s">
        <v>624</v>
      </c>
      <c r="C57" t="s">
        <v>492</v>
      </c>
      <c r="D57">
        <v>8</v>
      </c>
      <c r="E57">
        <v>1.4E-2</v>
      </c>
      <c r="F57">
        <v>0.11749999999999999</v>
      </c>
      <c r="G57">
        <v>3.8080000000000002E-3</v>
      </c>
      <c r="H57">
        <v>0</v>
      </c>
      <c r="I57">
        <v>0</v>
      </c>
      <c r="J57">
        <v>0</v>
      </c>
    </row>
    <row r="58" spans="2:10" hidden="1" x14ac:dyDescent="0.25">
      <c r="B58" t="s">
        <v>625</v>
      </c>
      <c r="C58" t="s">
        <v>492</v>
      </c>
      <c r="D58">
        <v>9</v>
      </c>
      <c r="E58">
        <v>0</v>
      </c>
      <c r="F58">
        <v>0</v>
      </c>
      <c r="G58">
        <v>1.054E-12</v>
      </c>
      <c r="H58">
        <v>0</v>
      </c>
      <c r="I58">
        <v>0</v>
      </c>
      <c r="J58">
        <v>0</v>
      </c>
    </row>
    <row r="59" spans="2:10" hidden="1" x14ac:dyDescent="0.25">
      <c r="B59" t="s">
        <v>626</v>
      </c>
      <c r="C59" t="s">
        <v>493</v>
      </c>
      <c r="D59">
        <v>1</v>
      </c>
      <c r="E59">
        <v>3.567E-2</v>
      </c>
      <c r="F59">
        <v>0.1855</v>
      </c>
      <c r="G59">
        <v>1.069E-2</v>
      </c>
      <c r="H59">
        <v>0</v>
      </c>
      <c r="I59">
        <v>0</v>
      </c>
      <c r="J59">
        <v>1</v>
      </c>
    </row>
    <row r="60" spans="2:10" hidden="1" x14ac:dyDescent="0.25">
      <c r="B60" t="s">
        <v>627</v>
      </c>
      <c r="C60" t="s">
        <v>493</v>
      </c>
      <c r="D60">
        <v>2</v>
      </c>
      <c r="E60">
        <v>4.7E-2</v>
      </c>
      <c r="F60">
        <v>0.21160000000000001</v>
      </c>
      <c r="G60">
        <v>8.0839999999999992E-3</v>
      </c>
      <c r="H60">
        <v>0</v>
      </c>
      <c r="I60">
        <v>0</v>
      </c>
      <c r="J60">
        <v>1</v>
      </c>
    </row>
    <row r="61" spans="2:10" hidden="1" x14ac:dyDescent="0.25">
      <c r="B61" t="s">
        <v>628</v>
      </c>
      <c r="C61" t="s">
        <v>493</v>
      </c>
      <c r="D61">
        <v>3</v>
      </c>
      <c r="E61">
        <v>5.3670000000000002E-2</v>
      </c>
      <c r="F61">
        <v>0.22539999999999999</v>
      </c>
      <c r="G61">
        <v>7.3299999999999997E-3</v>
      </c>
      <c r="H61">
        <v>0</v>
      </c>
      <c r="I61">
        <v>0</v>
      </c>
      <c r="J61">
        <v>1</v>
      </c>
    </row>
    <row r="62" spans="2:10" hidden="1" x14ac:dyDescent="0.25">
      <c r="B62" t="s">
        <v>629</v>
      </c>
      <c r="C62" t="s">
        <v>493</v>
      </c>
      <c r="D62">
        <v>4</v>
      </c>
      <c r="E62">
        <v>7.2669999999999998E-2</v>
      </c>
      <c r="F62">
        <v>0.2596</v>
      </c>
      <c r="G62">
        <v>1.099E-2</v>
      </c>
      <c r="H62">
        <v>0</v>
      </c>
      <c r="I62">
        <v>0</v>
      </c>
      <c r="J62">
        <v>1</v>
      </c>
    </row>
    <row r="63" spans="2:10" hidden="1" x14ac:dyDescent="0.25">
      <c r="B63" t="s">
        <v>630</v>
      </c>
      <c r="C63" t="s">
        <v>493</v>
      </c>
      <c r="D63">
        <v>5</v>
      </c>
      <c r="E63">
        <v>0.11070000000000001</v>
      </c>
      <c r="F63">
        <v>0.31369999999999998</v>
      </c>
      <c r="G63">
        <v>1.068E-2</v>
      </c>
      <c r="H63">
        <v>0</v>
      </c>
      <c r="I63">
        <v>0</v>
      </c>
      <c r="J63">
        <v>1</v>
      </c>
    </row>
    <row r="64" spans="2:10" hidden="1" x14ac:dyDescent="0.25">
      <c r="B64" t="s">
        <v>631</v>
      </c>
      <c r="C64" t="s">
        <v>493</v>
      </c>
      <c r="D64">
        <v>6</v>
      </c>
      <c r="E64">
        <v>0.2127</v>
      </c>
      <c r="F64">
        <v>0.40920000000000001</v>
      </c>
      <c r="G64">
        <v>1.8960000000000001E-2</v>
      </c>
      <c r="H64">
        <v>0</v>
      </c>
      <c r="I64">
        <v>0</v>
      </c>
      <c r="J64">
        <v>1</v>
      </c>
    </row>
    <row r="65" spans="2:10" hidden="1" x14ac:dyDescent="0.25">
      <c r="B65" t="s">
        <v>632</v>
      </c>
      <c r="C65" t="s">
        <v>493</v>
      </c>
      <c r="D65">
        <v>7</v>
      </c>
      <c r="E65">
        <v>0.22600000000000001</v>
      </c>
      <c r="F65">
        <v>0.41820000000000002</v>
      </c>
      <c r="G65">
        <v>1.6500000000000001E-2</v>
      </c>
      <c r="H65">
        <v>0</v>
      </c>
      <c r="I65">
        <v>0</v>
      </c>
      <c r="J65">
        <v>1</v>
      </c>
    </row>
    <row r="66" spans="2:10" hidden="1" x14ac:dyDescent="0.25">
      <c r="B66" t="s">
        <v>633</v>
      </c>
      <c r="C66" t="s">
        <v>493</v>
      </c>
      <c r="D66">
        <v>8</v>
      </c>
      <c r="E66">
        <v>0.2397</v>
      </c>
      <c r="F66">
        <v>0.4269</v>
      </c>
      <c r="G66">
        <v>2.163E-2</v>
      </c>
      <c r="H66">
        <v>0</v>
      </c>
      <c r="I66">
        <v>0</v>
      </c>
      <c r="J66">
        <v>1</v>
      </c>
    </row>
    <row r="67" spans="2:10" hidden="1" x14ac:dyDescent="0.25">
      <c r="B67" t="s">
        <v>634</v>
      </c>
      <c r="C67" t="s">
        <v>493</v>
      </c>
      <c r="D67">
        <v>9</v>
      </c>
      <c r="E67">
        <v>2E-3</v>
      </c>
      <c r="F67">
        <v>4.4679999999999997E-2</v>
      </c>
      <c r="G67">
        <v>9.2409999999999996E-4</v>
      </c>
      <c r="H67">
        <v>0</v>
      </c>
      <c r="I67">
        <v>0</v>
      </c>
      <c r="J67">
        <v>0</v>
      </c>
    </row>
    <row r="68" spans="2:10" hidden="1" x14ac:dyDescent="0.25">
      <c r="B68" t="s">
        <v>635</v>
      </c>
      <c r="C68" t="s">
        <v>494</v>
      </c>
      <c r="D68">
        <v>1</v>
      </c>
      <c r="E68">
        <v>1.7000000000000001E-2</v>
      </c>
      <c r="F68">
        <v>0.1293</v>
      </c>
      <c r="G68">
        <v>4.1279999999999997E-3</v>
      </c>
      <c r="H68">
        <v>0</v>
      </c>
      <c r="I68">
        <v>0</v>
      </c>
      <c r="J68">
        <v>0</v>
      </c>
    </row>
    <row r="69" spans="2:10" hidden="1" x14ac:dyDescent="0.25">
      <c r="B69" t="s">
        <v>636</v>
      </c>
      <c r="C69" t="s">
        <v>494</v>
      </c>
      <c r="D69">
        <v>2</v>
      </c>
      <c r="E69">
        <v>7.2999999999999995E-2</v>
      </c>
      <c r="F69">
        <v>0.2601</v>
      </c>
      <c r="G69">
        <v>1.0030000000000001E-2</v>
      </c>
      <c r="H69">
        <v>0</v>
      </c>
      <c r="I69">
        <v>0</v>
      </c>
      <c r="J69">
        <v>1</v>
      </c>
    </row>
    <row r="70" spans="2:10" hidden="1" x14ac:dyDescent="0.25">
      <c r="B70" t="s">
        <v>637</v>
      </c>
      <c r="C70" t="s">
        <v>494</v>
      </c>
      <c r="D70">
        <v>3</v>
      </c>
      <c r="E70">
        <v>0.13</v>
      </c>
      <c r="F70">
        <v>0.33629999999999999</v>
      </c>
      <c r="G70">
        <v>1.4619999999999999E-2</v>
      </c>
      <c r="H70">
        <v>0</v>
      </c>
      <c r="I70">
        <v>0</v>
      </c>
      <c r="J70">
        <v>1</v>
      </c>
    </row>
    <row r="71" spans="2:10" hidden="1" x14ac:dyDescent="0.25">
      <c r="B71" t="s">
        <v>638</v>
      </c>
      <c r="C71" t="s">
        <v>494</v>
      </c>
      <c r="D71">
        <v>4</v>
      </c>
      <c r="E71">
        <v>0.24030000000000001</v>
      </c>
      <c r="F71">
        <v>0.42730000000000001</v>
      </c>
      <c r="G71">
        <v>1.6469999999999999E-2</v>
      </c>
      <c r="H71">
        <v>0</v>
      </c>
      <c r="I71">
        <v>0</v>
      </c>
      <c r="J71">
        <v>1</v>
      </c>
    </row>
    <row r="72" spans="2:10" hidden="1" x14ac:dyDescent="0.25">
      <c r="B72" t="s">
        <v>639</v>
      </c>
      <c r="C72" t="s">
        <v>494</v>
      </c>
      <c r="D72">
        <v>5</v>
      </c>
      <c r="E72">
        <v>0.37669999999999998</v>
      </c>
      <c r="F72">
        <v>0.48459999999999998</v>
      </c>
      <c r="G72">
        <v>2.3449999999999999E-2</v>
      </c>
      <c r="H72">
        <v>0</v>
      </c>
      <c r="I72">
        <v>0</v>
      </c>
      <c r="J72">
        <v>1</v>
      </c>
    </row>
    <row r="73" spans="2:10" hidden="1" x14ac:dyDescent="0.25">
      <c r="B73" t="s">
        <v>640</v>
      </c>
      <c r="C73" t="s">
        <v>494</v>
      </c>
      <c r="D73">
        <v>6</v>
      </c>
      <c r="E73">
        <v>0.14269999999999999</v>
      </c>
      <c r="F73">
        <v>0.34970000000000001</v>
      </c>
      <c r="G73">
        <v>1.6990000000000002E-2</v>
      </c>
      <c r="H73">
        <v>0</v>
      </c>
      <c r="I73">
        <v>0</v>
      </c>
      <c r="J73">
        <v>1</v>
      </c>
    </row>
    <row r="74" spans="2:10" hidden="1" x14ac:dyDescent="0.25">
      <c r="B74" t="s">
        <v>641</v>
      </c>
      <c r="C74" t="s">
        <v>494</v>
      </c>
      <c r="D74">
        <v>7</v>
      </c>
      <c r="E74">
        <v>1.967E-2</v>
      </c>
      <c r="F74">
        <v>0.1389</v>
      </c>
      <c r="G74">
        <v>4.6189999999999998E-3</v>
      </c>
      <c r="H74">
        <v>0</v>
      </c>
      <c r="I74">
        <v>0</v>
      </c>
      <c r="J74">
        <v>0</v>
      </c>
    </row>
    <row r="75" spans="2:10" hidden="1" x14ac:dyDescent="0.25">
      <c r="B75" t="s">
        <v>642</v>
      </c>
      <c r="C75" t="s">
        <v>494</v>
      </c>
      <c r="D75">
        <v>8</v>
      </c>
      <c r="E75">
        <v>6.667E-4</v>
      </c>
      <c r="F75">
        <v>2.581E-2</v>
      </c>
      <c r="G75">
        <v>4.7580000000000002E-4</v>
      </c>
      <c r="H75">
        <v>0</v>
      </c>
      <c r="I75">
        <v>0</v>
      </c>
      <c r="J75">
        <v>0</v>
      </c>
    </row>
    <row r="76" spans="2:10" hidden="1" x14ac:dyDescent="0.25">
      <c r="B76" t="s">
        <v>643</v>
      </c>
      <c r="C76" t="s">
        <v>494</v>
      </c>
      <c r="D76">
        <v>9</v>
      </c>
      <c r="E76">
        <v>0</v>
      </c>
      <c r="F76">
        <v>0</v>
      </c>
      <c r="G76">
        <v>1.054E-12</v>
      </c>
      <c r="H76">
        <v>0</v>
      </c>
      <c r="I76">
        <v>0</v>
      </c>
      <c r="J76">
        <v>0</v>
      </c>
    </row>
    <row r="77" spans="2:10" hidden="1" x14ac:dyDescent="0.25">
      <c r="B77" t="s">
        <v>644</v>
      </c>
      <c r="C77" t="s">
        <v>495</v>
      </c>
      <c r="D77">
        <v>1</v>
      </c>
      <c r="E77">
        <v>0</v>
      </c>
      <c r="F77">
        <v>0</v>
      </c>
      <c r="G77">
        <v>1.054E-12</v>
      </c>
      <c r="H77">
        <v>0</v>
      </c>
      <c r="I77">
        <v>0</v>
      </c>
      <c r="J77">
        <v>0</v>
      </c>
    </row>
    <row r="78" spans="2:10" hidden="1" x14ac:dyDescent="0.25">
      <c r="B78" t="s">
        <v>645</v>
      </c>
      <c r="C78" t="s">
        <v>495</v>
      </c>
      <c r="D78">
        <v>2</v>
      </c>
      <c r="E78">
        <v>0</v>
      </c>
      <c r="F78">
        <v>0</v>
      </c>
      <c r="G78">
        <v>1.054E-12</v>
      </c>
      <c r="H78">
        <v>0</v>
      </c>
      <c r="I78">
        <v>0</v>
      </c>
      <c r="J78">
        <v>0</v>
      </c>
    </row>
    <row r="79" spans="2:10" hidden="1" x14ac:dyDescent="0.25">
      <c r="B79" t="s">
        <v>646</v>
      </c>
      <c r="C79" t="s">
        <v>495</v>
      </c>
      <c r="D79">
        <v>3</v>
      </c>
      <c r="E79">
        <v>0</v>
      </c>
      <c r="F79">
        <v>0</v>
      </c>
      <c r="G79">
        <v>1.054E-12</v>
      </c>
      <c r="H79">
        <v>0</v>
      </c>
      <c r="I79">
        <v>0</v>
      </c>
      <c r="J79">
        <v>0</v>
      </c>
    </row>
    <row r="80" spans="2:10" hidden="1" x14ac:dyDescent="0.25">
      <c r="B80" t="s">
        <v>647</v>
      </c>
      <c r="C80" t="s">
        <v>495</v>
      </c>
      <c r="D80">
        <v>4</v>
      </c>
      <c r="E80">
        <v>0</v>
      </c>
      <c r="F80">
        <v>0</v>
      </c>
      <c r="G80">
        <v>1.054E-12</v>
      </c>
      <c r="H80">
        <v>0</v>
      </c>
      <c r="I80">
        <v>0</v>
      </c>
      <c r="J80">
        <v>0</v>
      </c>
    </row>
    <row r="81" spans="2:10" hidden="1" x14ac:dyDescent="0.25">
      <c r="B81" t="s">
        <v>648</v>
      </c>
      <c r="C81" t="s">
        <v>495</v>
      </c>
      <c r="D81">
        <v>5</v>
      </c>
      <c r="E81">
        <v>0</v>
      </c>
      <c r="F81">
        <v>0</v>
      </c>
      <c r="G81">
        <v>1.054E-12</v>
      </c>
      <c r="H81">
        <v>0</v>
      </c>
      <c r="I81">
        <v>0</v>
      </c>
      <c r="J81">
        <v>0</v>
      </c>
    </row>
    <row r="82" spans="2:10" hidden="1" x14ac:dyDescent="0.25">
      <c r="B82" t="s">
        <v>649</v>
      </c>
      <c r="C82" t="s">
        <v>495</v>
      </c>
      <c r="D82">
        <v>6</v>
      </c>
      <c r="E82">
        <v>0</v>
      </c>
      <c r="F82">
        <v>0</v>
      </c>
      <c r="G82">
        <v>1.054E-12</v>
      </c>
      <c r="H82">
        <v>0</v>
      </c>
      <c r="I82">
        <v>0</v>
      </c>
      <c r="J82">
        <v>0</v>
      </c>
    </row>
    <row r="83" spans="2:10" hidden="1" x14ac:dyDescent="0.25">
      <c r="B83" t="s">
        <v>650</v>
      </c>
      <c r="C83" t="s">
        <v>495</v>
      </c>
      <c r="D83">
        <v>7</v>
      </c>
      <c r="E83">
        <v>0</v>
      </c>
      <c r="F83">
        <v>0</v>
      </c>
      <c r="G83">
        <v>1.054E-12</v>
      </c>
      <c r="H83">
        <v>0</v>
      </c>
      <c r="I83">
        <v>0</v>
      </c>
      <c r="J83">
        <v>0</v>
      </c>
    </row>
    <row r="84" spans="2:10" hidden="1" x14ac:dyDescent="0.25">
      <c r="B84" t="s">
        <v>651</v>
      </c>
      <c r="C84" t="s">
        <v>495</v>
      </c>
      <c r="D84">
        <v>8</v>
      </c>
      <c r="E84">
        <v>2E-3</v>
      </c>
      <c r="F84">
        <v>4.4679999999999997E-2</v>
      </c>
      <c r="G84">
        <v>9.2409999999999996E-4</v>
      </c>
      <c r="H84">
        <v>0</v>
      </c>
      <c r="I84">
        <v>0</v>
      </c>
      <c r="J84">
        <v>0</v>
      </c>
    </row>
    <row r="85" spans="2:10" hidden="1" x14ac:dyDescent="0.25">
      <c r="B85" t="s">
        <v>652</v>
      </c>
      <c r="C85" t="s">
        <v>495</v>
      </c>
      <c r="D85">
        <v>9</v>
      </c>
      <c r="E85">
        <v>0.998</v>
      </c>
      <c r="F85">
        <v>4.4679999999999997E-2</v>
      </c>
      <c r="G85">
        <v>9.2409999999999996E-4</v>
      </c>
      <c r="H85">
        <v>1</v>
      </c>
      <c r="I85">
        <v>1</v>
      </c>
      <c r="J85">
        <v>1</v>
      </c>
    </row>
    <row r="86" spans="2:10" hidden="1" x14ac:dyDescent="0.25"/>
    <row r="87" spans="2:10" hidden="1" x14ac:dyDescent="0.25"/>
    <row r="88" spans="2:10" hidden="1" x14ac:dyDescent="0.25"/>
    <row r="89" spans="2:10" hidden="1" x14ac:dyDescent="0.25"/>
    <row r="90" spans="2:10" hidden="1" x14ac:dyDescent="0.25"/>
    <row r="91" spans="2:10" hidden="1" x14ac:dyDescent="0.25"/>
    <row r="92" spans="2:10" hidden="1" x14ac:dyDescent="0.25"/>
    <row r="93" spans="2:10" hidden="1" x14ac:dyDescent="0.25"/>
    <row r="94" spans="2:10" hidden="1" x14ac:dyDescent="0.25"/>
    <row r="95" spans="2:10" hidden="1" x14ac:dyDescent="0.25"/>
    <row r="96" spans="2:10"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232</v>
      </c>
    </row>
    <row r="3" spans="2:16" x14ac:dyDescent="0.25">
      <c r="P3" t="s">
        <v>231</v>
      </c>
    </row>
    <row r="7" spans="2:16" ht="15.75" thickBot="1" x14ac:dyDescent="0.3">
      <c r="F7" s="150"/>
      <c r="G7" s="150"/>
      <c r="H7" s="150"/>
    </row>
    <row r="8" spans="2:16" ht="15.75" thickTop="1" x14ac:dyDescent="0.25">
      <c r="B8" s="20"/>
      <c r="C8" s="18" t="s">
        <v>37</v>
      </c>
      <c r="D8" s="176">
        <f>'Winbugs Settings '!burn_in</f>
        <v>1000</v>
      </c>
      <c r="F8" s="151"/>
      <c r="G8" s="152"/>
      <c r="H8" s="153"/>
    </row>
    <row r="9" spans="2:16" ht="15.75" thickBot="1" x14ac:dyDescent="0.3">
      <c r="B9" s="20"/>
      <c r="C9" s="18" t="s">
        <v>38</v>
      </c>
      <c r="D9" s="176">
        <f>'Winbugs Settings '!model_runs</f>
        <v>1000</v>
      </c>
      <c r="F9" s="154"/>
      <c r="G9" s="155"/>
      <c r="H9" s="156"/>
    </row>
    <row r="10" spans="2:16" ht="15.75" customHeight="1" thickTop="1" thickBot="1" x14ac:dyDescent="0.3">
      <c r="B10" s="21"/>
      <c r="C10" s="23" t="s">
        <v>132</v>
      </c>
      <c r="D10" s="73" t="b">
        <v>1</v>
      </c>
      <c r="F10" s="157"/>
      <c r="G10" s="158"/>
      <c r="H10" s="159"/>
    </row>
    <row r="11" spans="2:16" ht="15.75" customHeight="1" thickTop="1" thickBot="1" x14ac:dyDescent="0.3">
      <c r="B11" s="21"/>
      <c r="C11" s="23" t="s">
        <v>218</v>
      </c>
      <c r="D11" s="73" t="b">
        <v>1</v>
      </c>
      <c r="F11" s="157"/>
      <c r="G11" s="158"/>
      <c r="H11" s="159"/>
    </row>
    <row r="12" spans="2:16" ht="15.75" customHeight="1" thickTop="1" x14ac:dyDescent="0.25">
      <c r="B12" s="20"/>
      <c r="C12" s="18" t="s">
        <v>127</v>
      </c>
      <c r="D12" s="73" t="b">
        <v>1</v>
      </c>
      <c r="F12" s="151"/>
      <c r="G12" s="160"/>
      <c r="H12" s="161"/>
    </row>
    <row r="13" spans="2:16" x14ac:dyDescent="0.25">
      <c r="B13" s="20"/>
      <c r="C13" s="18" t="s">
        <v>68</v>
      </c>
      <c r="D13" s="73" t="b">
        <v>0</v>
      </c>
      <c r="F13" s="162"/>
      <c r="G13" s="163"/>
      <c r="H13" s="164"/>
    </row>
    <row r="14" spans="2:16" x14ac:dyDescent="0.25">
      <c r="B14" s="20"/>
      <c r="C14" s="18" t="s">
        <v>163</v>
      </c>
      <c r="D14" s="73" t="b">
        <v>0</v>
      </c>
      <c r="F14" s="162"/>
      <c r="G14" s="163"/>
      <c r="H14" s="164"/>
    </row>
    <row r="15" spans="2:16" x14ac:dyDescent="0.25">
      <c r="B15" s="20"/>
      <c r="C15" s="18" t="s">
        <v>133</v>
      </c>
      <c r="D15" s="73" t="b">
        <v>0</v>
      </c>
      <c r="F15" s="162"/>
      <c r="G15" s="163"/>
      <c r="H15" s="164"/>
    </row>
    <row r="16" spans="2:16" x14ac:dyDescent="0.25">
      <c r="B16" s="20"/>
      <c r="C16" s="18" t="s">
        <v>40</v>
      </c>
      <c r="D16" s="73" t="b">
        <v>1</v>
      </c>
      <c r="F16" s="162"/>
      <c r="G16" s="163"/>
      <c r="H16" s="164"/>
    </row>
    <row r="17" spans="2:8" x14ac:dyDescent="0.25">
      <c r="B17" s="20"/>
      <c r="C17" s="18" t="s">
        <v>41</v>
      </c>
      <c r="D17" s="73" t="b">
        <v>1</v>
      </c>
      <c r="F17" s="162"/>
      <c r="G17" s="163"/>
      <c r="H17" s="164"/>
    </row>
    <row r="18" spans="2:8" x14ac:dyDescent="0.25">
      <c r="B18" s="20"/>
      <c r="C18" s="18" t="s">
        <v>226</v>
      </c>
      <c r="D18" s="73" t="b">
        <v>1</v>
      </c>
      <c r="F18" s="162"/>
      <c r="G18" s="163"/>
      <c r="H18" s="164"/>
    </row>
    <row r="19" spans="2:8" ht="15.75" thickBot="1" x14ac:dyDescent="0.3">
      <c r="B19" s="20"/>
      <c r="C19" s="18" t="s">
        <v>126</v>
      </c>
      <c r="D19" s="73" t="b">
        <v>1</v>
      </c>
      <c r="F19" s="165"/>
      <c r="G19" s="166"/>
      <c r="H19" s="167"/>
    </row>
    <row r="20" spans="2:8" ht="15.75" thickTop="1" x14ac:dyDescent="0.25">
      <c r="B20" s="20"/>
      <c r="C20" s="18" t="s">
        <v>70</v>
      </c>
      <c r="D20" s="73" t="b">
        <f>'Winbugs Settings '!trace_or</f>
        <v>1</v>
      </c>
      <c r="F20" s="151"/>
      <c r="G20" s="160"/>
      <c r="H20" s="161"/>
    </row>
    <row r="21" spans="2:8" x14ac:dyDescent="0.25">
      <c r="B21" s="20"/>
      <c r="C21" s="18" t="s">
        <v>71</v>
      </c>
      <c r="D21" s="73" t="b">
        <v>0</v>
      </c>
      <c r="F21" s="162"/>
      <c r="G21" s="163"/>
      <c r="H21" s="164"/>
    </row>
    <row r="22" spans="2:8" x14ac:dyDescent="0.25">
      <c r="B22" s="20"/>
      <c r="C22" s="18" t="s">
        <v>69</v>
      </c>
      <c r="D22" s="73" t="b">
        <f>'Winbugs Settings '!gr_or</f>
        <v>1</v>
      </c>
      <c r="F22" s="162"/>
      <c r="G22" s="163"/>
      <c r="H22" s="164"/>
    </row>
    <row r="23" spans="2:8" ht="15.75" thickBot="1" x14ac:dyDescent="0.3">
      <c r="B23" s="20"/>
      <c r="C23" s="18" t="s">
        <v>72</v>
      </c>
      <c r="D23" s="73" t="b">
        <v>0</v>
      </c>
      <c r="F23" s="165"/>
      <c r="G23" s="166"/>
      <c r="H23" s="167"/>
    </row>
    <row r="24" spans="2:8" ht="15.75" thickTop="1" x14ac:dyDescent="0.25">
      <c r="B24" s="20"/>
      <c r="C24" s="18" t="s">
        <v>42</v>
      </c>
      <c r="D24" s="73" t="b">
        <v>1</v>
      </c>
      <c r="F24" s="151"/>
      <c r="G24" s="160"/>
      <c r="H24" s="161"/>
    </row>
    <row r="25" spans="2:8" ht="15.75" thickBot="1" x14ac:dyDescent="0.3">
      <c r="B25" s="20"/>
      <c r="C25" s="18" t="s">
        <v>74</v>
      </c>
      <c r="D25" s="73" t="b">
        <v>1</v>
      </c>
      <c r="F25" s="165"/>
      <c r="G25" s="166"/>
      <c r="H25" s="167"/>
    </row>
    <row r="26" spans="2:8" ht="17.25" customHeight="1" thickTop="1" x14ac:dyDescent="0.25">
      <c r="B26" s="20"/>
      <c r="C26" s="18" t="s">
        <v>154</v>
      </c>
      <c r="D26" s="176" t="s">
        <v>229</v>
      </c>
      <c r="F26" s="151"/>
      <c r="G26" s="160"/>
      <c r="H26" s="161"/>
    </row>
    <row r="27" spans="2:8" ht="17.25" customHeight="1" thickBot="1" x14ac:dyDescent="0.3">
      <c r="B27" s="20"/>
      <c r="C27" s="18" t="s">
        <v>155</v>
      </c>
      <c r="D27" s="176" t="s">
        <v>146</v>
      </c>
      <c r="F27" s="165"/>
      <c r="G27" s="166"/>
      <c r="H27" s="167"/>
    </row>
    <row r="28" spans="2:8" ht="15.75" customHeight="1" thickTop="1" x14ac:dyDescent="0.25">
      <c r="B28" s="20"/>
      <c r="C28" s="18" t="s">
        <v>138</v>
      </c>
      <c r="D28" s="75">
        <f>'Winbugs Settings '!inits_low</f>
        <v>0</v>
      </c>
      <c r="F28" s="151"/>
      <c r="G28" s="160"/>
      <c r="H28" s="161"/>
    </row>
    <row r="29" spans="2:8" ht="15" customHeight="1" x14ac:dyDescent="0.25">
      <c r="B29" s="20"/>
      <c r="C29" s="18" t="s">
        <v>139</v>
      </c>
      <c r="D29" s="75">
        <f>'Winbugs Settings '!inits_high</f>
        <v>2</v>
      </c>
      <c r="F29" s="162"/>
      <c r="G29" s="163"/>
      <c r="H29" s="164"/>
    </row>
    <row r="30" spans="2:8" ht="15" customHeight="1" x14ac:dyDescent="0.25">
      <c r="B30" s="20"/>
      <c r="C30" s="18" t="s">
        <v>136</v>
      </c>
      <c r="D30" s="75">
        <f>'Winbugs Settings '!sd_low</f>
        <v>1</v>
      </c>
      <c r="F30" s="162"/>
      <c r="G30" s="163"/>
      <c r="H30" s="164"/>
    </row>
    <row r="31" spans="2:8" ht="15.75" customHeight="1" thickBot="1" x14ac:dyDescent="0.3">
      <c r="B31" s="20"/>
      <c r="C31" s="18" t="s">
        <v>137</v>
      </c>
      <c r="D31" s="75">
        <f>'Winbugs Settings '!sd_high</f>
        <v>2</v>
      </c>
      <c r="F31" s="165"/>
      <c r="G31" s="166"/>
      <c r="H31" s="167"/>
    </row>
    <row r="32" spans="2:8" ht="16.5" thickTop="1" thickBot="1" x14ac:dyDescent="0.3">
      <c r="C32" s="24" t="s">
        <v>36</v>
      </c>
      <c r="D32" s="72" t="str">
        <f>'Winbugs Settings '!winbugs_directory</f>
        <v>C:\Program Files\WinBUGS14\</v>
      </c>
      <c r="E32" t="s">
        <v>84</v>
      </c>
      <c r="F32" s="157"/>
      <c r="G32" s="158"/>
      <c r="H32" s="159"/>
    </row>
    <row r="33" spans="3:8" ht="15.75" thickTop="1" x14ac:dyDescent="0.25">
      <c r="C33" s="25" t="s">
        <v>50</v>
      </c>
      <c r="D33" s="72" t="str">
        <f>'Winbugs Settings '!data_directory</f>
        <v>C:\WinBUGS data\</v>
      </c>
      <c r="F33" s="151"/>
      <c r="G33" s="160"/>
      <c r="H33" s="161"/>
    </row>
    <row r="34" spans="3:8" ht="15.75" thickBot="1" x14ac:dyDescent="0.3">
      <c r="C34" s="24" t="s">
        <v>51</v>
      </c>
      <c r="D34" s="72" t="str">
        <f>'Winbugs Settings '!results_directory</f>
        <v>C:\WinBUGS Results\</v>
      </c>
      <c r="F34" s="165"/>
      <c r="G34" s="166"/>
      <c r="H34" s="167"/>
    </row>
    <row r="35" spans="3:8" ht="15.75" thickTop="1" x14ac:dyDescent="0.25">
      <c r="C35" s="18" t="s">
        <v>58</v>
      </c>
      <c r="D35" s="73" t="str">
        <f>'Winbugs Settings '!FEresults_name</f>
        <v>Fixed Effect Results</v>
      </c>
      <c r="F35" s="151"/>
      <c r="G35" s="160"/>
      <c r="H35" s="161"/>
    </row>
    <row r="36" spans="3:8" ht="15.75" thickBot="1" x14ac:dyDescent="0.3">
      <c r="C36" s="18" t="s">
        <v>59</v>
      </c>
      <c r="D36" s="73" t="str">
        <f>CONCATENATE('Winbugs Settings '!REresults_name, " (", IF(vague_prior,"Vague )","Informative)"))</f>
        <v>Random Effect Results (Vague )</v>
      </c>
      <c r="F36" s="165"/>
      <c r="G36" s="166"/>
      <c r="H36" s="167"/>
    </row>
    <row r="37" spans="3:8" ht="15.75" thickTop="1" x14ac:dyDescent="0.25">
      <c r="C37" s="18" t="s">
        <v>53</v>
      </c>
      <c r="D37" s="73" t="str">
        <f>'Winbugs Settings '!FEmodel_name</f>
        <v>Fixed Effect Model</v>
      </c>
      <c r="F37" s="150"/>
      <c r="G37" s="150"/>
      <c r="H37" s="150"/>
    </row>
    <row r="38" spans="3:8" x14ac:dyDescent="0.25">
      <c r="C38" s="18" t="s">
        <v>54</v>
      </c>
      <c r="D38" s="73" t="str">
        <f>CONCATENATE('Winbugs Settings '!REmodel_name, " (", IF(vague_prior,"Vague)","Informative)"))</f>
        <v>Random Effect Model (Vague)</v>
      </c>
      <c r="F38" s="150"/>
      <c r="G38" s="150"/>
      <c r="H38" s="150"/>
    </row>
    <row r="39" spans="3:8" x14ac:dyDescent="0.25">
      <c r="C39" s="18" t="s">
        <v>52</v>
      </c>
      <c r="D39" s="73" t="str">
        <f>'Winbugs Settings '!data_name</f>
        <v>Data Table</v>
      </c>
      <c r="F39" s="150"/>
      <c r="G39" s="150"/>
      <c r="H39" s="150"/>
    </row>
    <row r="40" spans="3:8" x14ac:dyDescent="0.25">
      <c r="C40" s="18" t="s">
        <v>55</v>
      </c>
      <c r="D40" s="73" t="str">
        <f>'Winbugs Settings '!datalist_name</f>
        <v>Data List</v>
      </c>
      <c r="F40" s="150"/>
      <c r="G40" s="150"/>
      <c r="H40" s="150"/>
    </row>
    <row r="41" spans="3:8" x14ac:dyDescent="0.25">
      <c r="C41" s="18" t="s">
        <v>57</v>
      </c>
      <c r="D41" s="73" t="str">
        <f>'Winbugs Settings '!FEinits_name</f>
        <v>Fixed Effect Inits</v>
      </c>
      <c r="F41" s="150"/>
      <c r="G41" s="150"/>
      <c r="H41" s="150"/>
    </row>
    <row r="42" spans="3:8" x14ac:dyDescent="0.25">
      <c r="C42" s="18" t="s">
        <v>271</v>
      </c>
      <c r="D42" s="73" t="str">
        <f>CONCATENATE('Winbugs Settings '!REVinits_name, " (", IF(vague_prior,"Vague)","Informative)"))</f>
        <v>Random Effect Inits (Vague)</v>
      </c>
      <c r="F42" s="150"/>
      <c r="G42" s="150"/>
      <c r="H42" s="150"/>
    </row>
    <row r="43" spans="3:8" x14ac:dyDescent="0.25">
      <c r="C43" s="18" t="s">
        <v>43</v>
      </c>
      <c r="D43" s="74" t="str">
        <f ca="1">IF('Winbugs Settings '!date_time,TEXT(NOW()," m d yyyy h mm ss AM/PM"),"")</f>
        <v xml:space="preserve"> 1 18 2018 12 32 58 PM</v>
      </c>
      <c r="F43" s="150"/>
      <c r="G43" s="150"/>
      <c r="H43" s="150"/>
    </row>
    <row r="44" spans="3:8" x14ac:dyDescent="0.25">
      <c r="C44" s="18" t="s">
        <v>109</v>
      </c>
      <c r="D44" s="75" t="b">
        <v>1</v>
      </c>
      <c r="F44" s="150"/>
      <c r="G44" s="150"/>
      <c r="H44" s="150"/>
    </row>
    <row r="45" spans="3:8" x14ac:dyDescent="0.25">
      <c r="C45" s="18" t="s">
        <v>164</v>
      </c>
      <c r="D45" s="75" t="b">
        <v>1</v>
      </c>
      <c r="F45" s="150"/>
      <c r="G45" s="150"/>
      <c r="H45" s="150"/>
    </row>
    <row r="46" spans="3:8" x14ac:dyDescent="0.25">
      <c r="F46" s="150"/>
      <c r="G46" s="150"/>
      <c r="H46" s="150"/>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2018-01-18T17:36:40Z</dcterms:modified>
</cp:coreProperties>
</file>